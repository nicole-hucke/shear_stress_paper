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3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shear_stress_paper\antecedent_conditions\flume_data\"/>
    </mc:Choice>
  </mc:AlternateContent>
  <xr:revisionPtr revIDLastSave="0" documentId="13_ncr:1_{13234B34-6D53-462E-BB80-B61F76CF3977}" xr6:coauthVersionLast="47" xr6:coauthVersionMax="47" xr10:uidLastSave="{00000000-0000-0000-0000-000000000000}"/>
  <bookViews>
    <workbookView xWindow="-25320" yWindow="360" windowWidth="25440" windowHeight="15270" xr2:uid="{0627FB22-753D-46C0-9E76-44A6937BF82A}"/>
  </bookViews>
  <sheets>
    <sheet name="summary" sheetId="1" r:id="rId1"/>
    <sheet name="1. k as func of τ  " sheetId="4" r:id="rId2"/>
    <sheet name="2. k as func of τ &amp; τmin" sheetId="5" r:id="rId3"/>
  </sheets>
  <definedNames>
    <definedName name="solver_adj" localSheetId="0" hidden="1">summary!$W$2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summary!$P$30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7" i="1" l="1"/>
  <c r="M37" i="1"/>
  <c r="G11" i="1"/>
  <c r="P32" i="1"/>
  <c r="N32" i="1"/>
  <c r="O32" i="1"/>
  <c r="N38" i="1"/>
  <c r="O38" i="1"/>
  <c r="P38" i="1"/>
  <c r="N39" i="1"/>
  <c r="O39" i="1"/>
  <c r="P39" i="1"/>
  <c r="N40" i="1"/>
  <c r="O40" i="1"/>
  <c r="P40" i="1"/>
  <c r="N41" i="1"/>
  <c r="O41" i="1"/>
  <c r="P41" i="1"/>
  <c r="N37" i="1"/>
  <c r="O37" i="1"/>
  <c r="H11" i="1"/>
  <c r="I11" i="1"/>
  <c r="J11" i="1"/>
  <c r="S5" i="1"/>
  <c r="CM6" i="5"/>
  <c r="CM5" i="5"/>
  <c r="CM4" i="5"/>
  <c r="L22" i="5"/>
  <c r="AD22" i="5" s="1"/>
  <c r="AU22" i="5" s="1"/>
  <c r="BL22" i="5" s="1"/>
  <c r="CC22" i="5" s="1"/>
  <c r="CU22" i="5" s="1"/>
  <c r="L53" i="5"/>
  <c r="AD53" i="5" s="1"/>
  <c r="AU53" i="5" s="1"/>
  <c r="BL53" i="5" s="1"/>
  <c r="CC53" i="5" s="1"/>
  <c r="CU53" i="5" s="1"/>
  <c r="L52" i="5"/>
  <c r="AD52" i="5" s="1"/>
  <c r="AU52" i="5" s="1"/>
  <c r="BL52" i="5" s="1"/>
  <c r="CC52" i="5" s="1"/>
  <c r="CU52" i="5" s="1"/>
  <c r="L51" i="5"/>
  <c r="AD51" i="5" s="1"/>
  <c r="AU51" i="5" s="1"/>
  <c r="BL51" i="5" s="1"/>
  <c r="CC51" i="5" s="1"/>
  <c r="CU51" i="5" s="1"/>
  <c r="L50" i="5"/>
  <c r="AD50" i="5" s="1"/>
  <c r="AU50" i="5" s="1"/>
  <c r="BL50" i="5" s="1"/>
  <c r="CC50" i="5" s="1"/>
  <c r="CU50" i="5" s="1"/>
  <c r="L49" i="5"/>
  <c r="AD49" i="5" s="1"/>
  <c r="AU49" i="5" s="1"/>
  <c r="BL49" i="5" s="1"/>
  <c r="CC49" i="5" s="1"/>
  <c r="CU49" i="5" s="1"/>
  <c r="L44" i="5"/>
  <c r="AD44" i="5" s="1"/>
  <c r="AU44" i="5" s="1"/>
  <c r="BL44" i="5" s="1"/>
  <c r="CC44" i="5" s="1"/>
  <c r="CU44" i="5" s="1"/>
  <c r="L43" i="5"/>
  <c r="AD43" i="5" s="1"/>
  <c r="AU43" i="5" s="1"/>
  <c r="BL43" i="5" s="1"/>
  <c r="CC43" i="5" s="1"/>
  <c r="CU43" i="5" s="1"/>
  <c r="L42" i="5"/>
  <c r="AD42" i="5" s="1"/>
  <c r="AU42" i="5" s="1"/>
  <c r="BL42" i="5" s="1"/>
  <c r="CC42" i="5" s="1"/>
  <c r="CU42" i="5" s="1"/>
  <c r="L40" i="5"/>
  <c r="AD40" i="5" s="1"/>
  <c r="AU40" i="5" s="1"/>
  <c r="BL40" i="5" s="1"/>
  <c r="CC40" i="5" s="1"/>
  <c r="CU40" i="5" s="1"/>
  <c r="L35" i="5"/>
  <c r="AD35" i="5" s="1"/>
  <c r="AU35" i="5" s="1"/>
  <c r="BL35" i="5" s="1"/>
  <c r="CC35" i="5" s="1"/>
  <c r="CU35" i="5" s="1"/>
  <c r="L34" i="5"/>
  <c r="AD34" i="5" s="1"/>
  <c r="AU34" i="5" s="1"/>
  <c r="BL34" i="5" s="1"/>
  <c r="CC34" i="5" s="1"/>
  <c r="CU34" i="5" s="1"/>
  <c r="L33" i="5"/>
  <c r="AD33" i="5" s="1"/>
  <c r="AU33" i="5" s="1"/>
  <c r="BL33" i="5" s="1"/>
  <c r="CC33" i="5" s="1"/>
  <c r="CU33" i="5" s="1"/>
  <c r="L32" i="5"/>
  <c r="AD32" i="5" s="1"/>
  <c r="AU32" i="5" s="1"/>
  <c r="BL32" i="5" s="1"/>
  <c r="CC32" i="5" s="1"/>
  <c r="CU32" i="5" s="1"/>
  <c r="L31" i="5"/>
  <c r="AD31" i="5" s="1"/>
  <c r="AU31" i="5" s="1"/>
  <c r="BL31" i="5" s="1"/>
  <c r="CC31" i="5" s="1"/>
  <c r="CU31" i="5" s="1"/>
  <c r="L26" i="5"/>
  <c r="AD26" i="5" s="1"/>
  <c r="AU26" i="5" s="1"/>
  <c r="BL26" i="5" s="1"/>
  <c r="CC26" i="5" s="1"/>
  <c r="CU26" i="5" s="1"/>
  <c r="L25" i="5"/>
  <c r="AD25" i="5" s="1"/>
  <c r="AU25" i="5" s="1"/>
  <c r="BL25" i="5" s="1"/>
  <c r="CC25" i="5" s="1"/>
  <c r="CU25" i="5" s="1"/>
  <c r="L24" i="5"/>
  <c r="AD24" i="5" s="1"/>
  <c r="AU24" i="5" s="1"/>
  <c r="BL24" i="5" s="1"/>
  <c r="CC24" i="5" s="1"/>
  <c r="CU24" i="5" s="1"/>
  <c r="L23" i="5"/>
  <c r="BD6" i="5"/>
  <c r="BD7" i="5" s="1"/>
  <c r="BU5" i="5"/>
  <c r="BU6" i="5" s="1"/>
  <c r="BD5" i="5"/>
  <c r="D5" i="5"/>
  <c r="D6" i="5" s="1"/>
  <c r="D7" i="5" s="1"/>
  <c r="BU4" i="5"/>
  <c r="BD4" i="5"/>
  <c r="AM4" i="5"/>
  <c r="V4" i="5"/>
  <c r="V5" i="5" s="1"/>
  <c r="V6" i="5" s="1"/>
  <c r="D4" i="5"/>
  <c r="B3" i="5"/>
  <c r="L50" i="4"/>
  <c r="AD50" i="4" s="1"/>
  <c r="AU50" i="4" s="1"/>
  <c r="BL50" i="4" s="1"/>
  <c r="CC50" i="4" s="1"/>
  <c r="L51" i="4"/>
  <c r="AD51" i="4" s="1"/>
  <c r="AU51" i="4" s="1"/>
  <c r="BL51" i="4" s="1"/>
  <c r="CC51" i="4" s="1"/>
  <c r="L52" i="4"/>
  <c r="AD52" i="4" s="1"/>
  <c r="AU52" i="4" s="1"/>
  <c r="BL52" i="4" s="1"/>
  <c r="CC52" i="4" s="1"/>
  <c r="L53" i="4"/>
  <c r="AD53" i="4" s="1"/>
  <c r="AU53" i="4" s="1"/>
  <c r="BL53" i="4" s="1"/>
  <c r="CC53" i="4" s="1"/>
  <c r="L49" i="4"/>
  <c r="AD49" i="4" s="1"/>
  <c r="AU49" i="4" s="1"/>
  <c r="BL49" i="4" s="1"/>
  <c r="CC49" i="4" s="1"/>
  <c r="L44" i="4"/>
  <c r="AD44" i="4" s="1"/>
  <c r="AU44" i="4" s="1"/>
  <c r="BL44" i="4" s="1"/>
  <c r="L42" i="4"/>
  <c r="AD42" i="4" s="1"/>
  <c r="AU42" i="4" s="1"/>
  <c r="BL42" i="4" s="1"/>
  <c r="CC42" i="4" s="1"/>
  <c r="L43" i="4"/>
  <c r="AD43" i="4" s="1"/>
  <c r="AU43" i="4" s="1"/>
  <c r="BL43" i="4" s="1"/>
  <c r="CC43" i="4" s="1"/>
  <c r="L40" i="4"/>
  <c r="AD40" i="4" s="1"/>
  <c r="AU40" i="4" s="1"/>
  <c r="BL40" i="4" s="1"/>
  <c r="CC40" i="4" s="1"/>
  <c r="L32" i="4"/>
  <c r="AD32" i="4" s="1"/>
  <c r="AU32" i="4" s="1"/>
  <c r="BL32" i="4" s="1"/>
  <c r="CC32" i="4" s="1"/>
  <c r="L33" i="4"/>
  <c r="AD33" i="4" s="1"/>
  <c r="AU33" i="4" s="1"/>
  <c r="BL33" i="4" s="1"/>
  <c r="CC33" i="4" s="1"/>
  <c r="L34" i="4"/>
  <c r="AD34" i="4" s="1"/>
  <c r="AU34" i="4" s="1"/>
  <c r="BL34" i="4" s="1"/>
  <c r="CC34" i="4" s="1"/>
  <c r="L35" i="4"/>
  <c r="AD35" i="4" s="1"/>
  <c r="AU35" i="4" s="1"/>
  <c r="BL35" i="4" s="1"/>
  <c r="CC35" i="4" s="1"/>
  <c r="L31" i="4"/>
  <c r="AD31" i="4" s="1"/>
  <c r="AU31" i="4" s="1"/>
  <c r="BL31" i="4" s="1"/>
  <c r="CC31" i="4" s="1"/>
  <c r="L24" i="4"/>
  <c r="AD24" i="4" s="1"/>
  <c r="AU24" i="4" s="1"/>
  <c r="BL24" i="4" s="1"/>
  <c r="CC24" i="4" s="1"/>
  <c r="L25" i="4"/>
  <c r="AD25" i="4" s="1"/>
  <c r="AU25" i="4" s="1"/>
  <c r="BL25" i="4" s="1"/>
  <c r="CC25" i="4" s="1"/>
  <c r="L26" i="4"/>
  <c r="AD26" i="4" s="1"/>
  <c r="AU26" i="4" s="1"/>
  <c r="BL26" i="4" s="1"/>
  <c r="CC26" i="4" s="1"/>
  <c r="L23" i="4"/>
  <c r="AD23" i="4" s="1"/>
  <c r="AU23" i="4" s="1"/>
  <c r="BL23" i="4" s="1"/>
  <c r="CC23" i="4" s="1"/>
  <c r="L22" i="4"/>
  <c r="AD22" i="4" s="1"/>
  <c r="AU22" i="4" s="1"/>
  <c r="B4" i="4"/>
  <c r="G2" i="4" s="1"/>
  <c r="B3" i="4"/>
  <c r="B2" i="4"/>
  <c r="E2" i="4" s="1"/>
  <c r="C16" i="1"/>
  <c r="B2" i="5" s="1"/>
  <c r="D16" i="1"/>
  <c r="E16" i="1"/>
  <c r="B4" i="5" s="1"/>
  <c r="F16" i="1"/>
  <c r="B5" i="5" s="1"/>
  <c r="C17" i="1"/>
  <c r="D17" i="1"/>
  <c r="E17" i="1"/>
  <c r="F17" i="1"/>
  <c r="C18" i="1"/>
  <c r="D18" i="1"/>
  <c r="E18" i="1"/>
  <c r="F18" i="1"/>
  <c r="C19" i="1"/>
  <c r="D19" i="1"/>
  <c r="E19" i="1"/>
  <c r="F19" i="1"/>
  <c r="BU4" i="4"/>
  <c r="BU5" i="4" s="1"/>
  <c r="BU6" i="4" s="1"/>
  <c r="BU7" i="4" s="1"/>
  <c r="BD4" i="4"/>
  <c r="AM4" i="4"/>
  <c r="AM5" i="4" s="1"/>
  <c r="AM6" i="4" s="1"/>
  <c r="AM7" i="4" s="1"/>
  <c r="V4" i="4"/>
  <c r="V5" i="4" s="1"/>
  <c r="V6" i="4" s="1"/>
  <c r="V7" i="4" s="1"/>
  <c r="V8" i="4" s="1"/>
  <c r="V9" i="4" s="1"/>
  <c r="D4" i="4"/>
  <c r="D5" i="4" s="1"/>
  <c r="M39" i="1" l="1"/>
  <c r="M38" i="1"/>
  <c r="M40" i="1"/>
  <c r="M41" i="1"/>
  <c r="M32" i="1" s="1"/>
  <c r="C24" i="1"/>
  <c r="B8" i="5" s="1"/>
  <c r="AD23" i="5"/>
  <c r="AU23" i="5" s="1"/>
  <c r="BL23" i="5" s="1"/>
  <c r="CC23" i="5" s="1"/>
  <c r="CU23" i="5" s="1"/>
  <c r="B5" i="4"/>
  <c r="H2" i="4" s="1"/>
  <c r="S6" i="1"/>
  <c r="CM7" i="5"/>
  <c r="V7" i="5"/>
  <c r="V8" i="5" s="1"/>
  <c r="BU7" i="5"/>
  <c r="BU8" i="5" s="1"/>
  <c r="D8" i="5"/>
  <c r="D9" i="5" s="1"/>
  <c r="BD8" i="5"/>
  <c r="BD9" i="5" s="1"/>
  <c r="AM5" i="5"/>
  <c r="CC44" i="4"/>
  <c r="BL22" i="4"/>
  <c r="CC22" i="4" s="1"/>
  <c r="AM8" i="4"/>
  <c r="BD5" i="4"/>
  <c r="D6" i="4"/>
  <c r="V10" i="4"/>
  <c r="BU8" i="4"/>
  <c r="D15" i="1"/>
  <c r="E15" i="1"/>
  <c r="F15" i="1"/>
  <c r="C15" i="1"/>
  <c r="C23" i="1"/>
  <c r="B8" i="4" l="1"/>
  <c r="V4" i="1"/>
  <c r="O6" i="1" s="1"/>
  <c r="W4" i="1"/>
  <c r="P6" i="1" s="1"/>
  <c r="P15" i="1" s="1"/>
  <c r="P24" i="1" s="1"/>
  <c r="U4" i="1"/>
  <c r="N6" i="1" s="1"/>
  <c r="T4" i="1"/>
  <c r="M6" i="1" s="1"/>
  <c r="M15" i="1" s="1"/>
  <c r="M24" i="1" s="1"/>
  <c r="V5" i="1"/>
  <c r="U5" i="1"/>
  <c r="W5" i="1"/>
  <c r="T5" i="1"/>
  <c r="T9" i="1"/>
  <c r="W6" i="1"/>
  <c r="T6" i="1"/>
  <c r="V6" i="1"/>
  <c r="U6" i="1"/>
  <c r="B7" i="5"/>
  <c r="B7" i="4"/>
  <c r="BY8" i="4" s="1"/>
  <c r="S7" i="1"/>
  <c r="CM8" i="5"/>
  <c r="AM6" i="5"/>
  <c r="BD10" i="5"/>
  <c r="BU9" i="5"/>
  <c r="D10" i="5"/>
  <c r="V9" i="5"/>
  <c r="BU9" i="4"/>
  <c r="D7" i="4"/>
  <c r="BD6" i="4"/>
  <c r="V11" i="4"/>
  <c r="AM9" i="4"/>
  <c r="N15" i="1" l="1"/>
  <c r="N24" i="1" s="1"/>
  <c r="O15" i="1"/>
  <c r="O24" i="1" s="1"/>
  <c r="BW6" i="4"/>
  <c r="BX8" i="4"/>
  <c r="W10" i="4"/>
  <c r="G3" i="4"/>
  <c r="K31" i="4" s="1"/>
  <c r="Z6" i="4"/>
  <c r="BV8" i="4"/>
  <c r="Z3" i="4"/>
  <c r="AC22" i="4" s="1"/>
  <c r="X10" i="4"/>
  <c r="Y3" i="4"/>
  <c r="AC31" i="4" s="1"/>
  <c r="Z5" i="4"/>
  <c r="BV6" i="4"/>
  <c r="Y10" i="4"/>
  <c r="X9" i="4"/>
  <c r="BH3" i="4"/>
  <c r="BK22" i="4" s="1"/>
  <c r="W9" i="4"/>
  <c r="BY7" i="4"/>
  <c r="G5" i="4"/>
  <c r="X3" i="4"/>
  <c r="AC40" i="4" s="1"/>
  <c r="Y9" i="4"/>
  <c r="W5" i="4"/>
  <c r="W4" i="4"/>
  <c r="W6" i="4"/>
  <c r="Y8" i="4"/>
  <c r="X5" i="4"/>
  <c r="BE4" i="4"/>
  <c r="BX4" i="4"/>
  <c r="BX3" i="4"/>
  <c r="CB31" i="4" s="1"/>
  <c r="E6" i="4"/>
  <c r="BW5" i="4"/>
  <c r="BV7" i="4"/>
  <c r="W7" i="4"/>
  <c r="BF5" i="4"/>
  <c r="Z8" i="4"/>
  <c r="H4" i="4"/>
  <c r="Y5" i="4"/>
  <c r="BY5" i="4"/>
  <c r="Y6" i="4"/>
  <c r="U7" i="1"/>
  <c r="W7" i="1"/>
  <c r="T7" i="1"/>
  <c r="V7" i="1"/>
  <c r="AP26" i="4"/>
  <c r="BV41" i="4"/>
  <c r="AO23" i="4"/>
  <c r="AP24" i="4"/>
  <c r="AN8" i="4"/>
  <c r="AO22" i="4"/>
  <c r="AP30" i="4"/>
  <c r="AN20" i="4"/>
  <c r="AP38" i="4"/>
  <c r="AO17" i="4"/>
  <c r="AO29" i="4"/>
  <c r="AO41" i="4"/>
  <c r="AN14" i="4"/>
  <c r="AN26" i="4"/>
  <c r="AN38" i="4"/>
  <c r="AP3" i="4"/>
  <c r="AT31" i="4" s="1"/>
  <c r="AO21" i="4"/>
  <c r="AO33" i="4"/>
  <c r="AN6" i="4"/>
  <c r="AN18" i="4"/>
  <c r="AN30" i="4"/>
  <c r="AN3" i="4"/>
  <c r="AT49" i="4" s="1"/>
  <c r="AO5" i="4"/>
  <c r="AO34" i="4"/>
  <c r="AN7" i="4"/>
  <c r="AN19" i="4"/>
  <c r="AN31" i="4"/>
  <c r="AO9" i="4"/>
  <c r="AO35" i="4"/>
  <c r="AN32" i="4"/>
  <c r="AQ32" i="4"/>
  <c r="AN35" i="4"/>
  <c r="AQ22" i="4"/>
  <c r="AP19" i="4"/>
  <c r="AO16" i="4"/>
  <c r="AQ41" i="4"/>
  <c r="AQ24" i="4"/>
  <c r="AP21" i="4"/>
  <c r="AO18" i="4"/>
  <c r="AN15" i="4"/>
  <c r="AQ12" i="4"/>
  <c r="AP10" i="4"/>
  <c r="AO7" i="4"/>
  <c r="AN4" i="4"/>
  <c r="AN40" i="4"/>
  <c r="AQ38" i="4"/>
  <c r="AP41" i="4"/>
  <c r="AQ39" i="4"/>
  <c r="AO40" i="4"/>
  <c r="AQ5" i="4"/>
  <c r="AP29" i="4"/>
  <c r="AQ15" i="4"/>
  <c r="AQ28" i="4"/>
  <c r="AP25" i="4"/>
  <c r="AQ10" i="4"/>
  <c r="AP8" i="4"/>
  <c r="AQ30" i="4"/>
  <c r="AP27" i="4"/>
  <c r="AQ8" i="4"/>
  <c r="AO8" i="4"/>
  <c r="AP6" i="4"/>
  <c r="AQ34" i="4"/>
  <c r="AP31" i="4"/>
  <c r="AQ17" i="4"/>
  <c r="AP14" i="4"/>
  <c r="AQ36" i="4"/>
  <c r="AP33" i="4"/>
  <c r="AO30" i="4"/>
  <c r="AN27" i="4"/>
  <c r="AQ25" i="4"/>
  <c r="AP22" i="4"/>
  <c r="AO19" i="4"/>
  <c r="AN16" i="4"/>
  <c r="AQ6" i="4"/>
  <c r="AP11" i="4"/>
  <c r="AO20" i="4"/>
  <c r="AN41" i="4"/>
  <c r="AP18" i="4"/>
  <c r="AO15" i="4"/>
  <c r="AQ14" i="4"/>
  <c r="AO26" i="4"/>
  <c r="AQ33" i="4"/>
  <c r="AQ40" i="4"/>
  <c r="AP37" i="4"/>
  <c r="AQ23" i="4"/>
  <c r="AP20" i="4"/>
  <c r="AQ3" i="4"/>
  <c r="AT22" i="4" s="1"/>
  <c r="AP39" i="4"/>
  <c r="AO36" i="4"/>
  <c r="AN33" i="4"/>
  <c r="AQ31" i="4"/>
  <c r="AP28" i="4"/>
  <c r="AO25" i="4"/>
  <c r="AN22" i="4"/>
  <c r="AQ13" i="4"/>
  <c r="BW3" i="4"/>
  <c r="CB40" i="4" s="1"/>
  <c r="AN5" i="4"/>
  <c r="AQ9" i="4"/>
  <c r="AP7" i="4"/>
  <c r="AO4" i="4"/>
  <c r="AQ29" i="4"/>
  <c r="AQ11" i="4"/>
  <c r="AP9" i="4"/>
  <c r="AO6" i="4"/>
  <c r="AO3" i="4"/>
  <c r="AT40" i="4" s="1"/>
  <c r="AN39" i="4"/>
  <c r="AQ37" i="4"/>
  <c r="AP34" i="4"/>
  <c r="AQ4" i="4"/>
  <c r="AN23" i="4"/>
  <c r="AQ16" i="4"/>
  <c r="AP13" i="4"/>
  <c r="AO10" i="4"/>
  <c r="AQ35" i="4"/>
  <c r="AQ18" i="4"/>
  <c r="AP15" i="4"/>
  <c r="AO12" i="4"/>
  <c r="AN9" i="4"/>
  <c r="BV10" i="4"/>
  <c r="AP4" i="4"/>
  <c r="AP40" i="4"/>
  <c r="AO37" i="4"/>
  <c r="AN34" i="4"/>
  <c r="AQ26" i="4"/>
  <c r="AP35" i="4"/>
  <c r="AN11" i="4"/>
  <c r="AQ27" i="4"/>
  <c r="AN13" i="4"/>
  <c r="AO39" i="4"/>
  <c r="AN17" i="4"/>
  <c r="Y4" i="4"/>
  <c r="AN21" i="4"/>
  <c r="AN28" i="4"/>
  <c r="AO14" i="4"/>
  <c r="AP12" i="4"/>
  <c r="AP32" i="4"/>
  <c r="AQ19" i="4"/>
  <c r="BV3" i="4"/>
  <c r="CB49" i="4" s="1"/>
  <c r="AO32" i="4"/>
  <c r="AN37" i="4"/>
  <c r="AP16" i="4"/>
  <c r="AQ20" i="4"/>
  <c r="AO38" i="4"/>
  <c r="AN25" i="4"/>
  <c r="AO13" i="4"/>
  <c r="AP5" i="4"/>
  <c r="AN29" i="4"/>
  <c r="AO28" i="4"/>
  <c r="AO31" i="4"/>
  <c r="AP17" i="4"/>
  <c r="AQ7" i="4"/>
  <c r="AP36" i="4"/>
  <c r="AO27" i="4"/>
  <c r="AO24" i="4"/>
  <c r="AN10" i="4"/>
  <c r="AP23" i="4"/>
  <c r="AQ21" i="4"/>
  <c r="AO11" i="4"/>
  <c r="AN36" i="4"/>
  <c r="AN24" i="4"/>
  <c r="AN12" i="4"/>
  <c r="BG5" i="4"/>
  <c r="BE5" i="4"/>
  <c r="BW4" i="4"/>
  <c r="Z10" i="4"/>
  <c r="BF4" i="4"/>
  <c r="BY4" i="4"/>
  <c r="BE3" i="4"/>
  <c r="BK49" i="4" s="1"/>
  <c r="BX7" i="4"/>
  <c r="X4" i="4"/>
  <c r="Z4" i="4"/>
  <c r="H5" i="4"/>
  <c r="BW7" i="4"/>
  <c r="AP2" i="5"/>
  <c r="AP31" i="5" s="1"/>
  <c r="H2" i="5"/>
  <c r="H8" i="5" s="1"/>
  <c r="BE2" i="5"/>
  <c r="BE6" i="5" s="1"/>
  <c r="CN2" i="5"/>
  <c r="CN9" i="5" s="1"/>
  <c r="BV2" i="5"/>
  <c r="BV40" i="5" s="1"/>
  <c r="AN2" i="5"/>
  <c r="AN10" i="5" s="1"/>
  <c r="W2" i="5"/>
  <c r="W12" i="5" s="1"/>
  <c r="E2" i="5"/>
  <c r="E4" i="5" s="1"/>
  <c r="BX2" i="5"/>
  <c r="BX5" i="5" s="1"/>
  <c r="CO2" i="5"/>
  <c r="CO23" i="5" s="1"/>
  <c r="BH2" i="5"/>
  <c r="BH38" i="5" s="1"/>
  <c r="AO2" i="5"/>
  <c r="AO41" i="5" s="1"/>
  <c r="BG2" i="5"/>
  <c r="BG5" i="5" s="1"/>
  <c r="X2" i="5"/>
  <c r="X19" i="5" s="1"/>
  <c r="AQ2" i="5"/>
  <c r="AQ29" i="5" s="1"/>
  <c r="CP2" i="5"/>
  <c r="CP8" i="5" s="1"/>
  <c r="G2" i="5"/>
  <c r="G6" i="5" s="1"/>
  <c r="F2" i="5"/>
  <c r="F8" i="5" s="1"/>
  <c r="Z2" i="5"/>
  <c r="Z34" i="5" s="1"/>
  <c r="Y2" i="5"/>
  <c r="Y18" i="5" s="1"/>
  <c r="CQ2" i="5"/>
  <c r="CQ6" i="5" s="1"/>
  <c r="BY2" i="5"/>
  <c r="BY4" i="5" s="1"/>
  <c r="BW2" i="5"/>
  <c r="BW6" i="5" s="1"/>
  <c r="BF2" i="5"/>
  <c r="BF4" i="5" s="1"/>
  <c r="BH5" i="4"/>
  <c r="BW8" i="4"/>
  <c r="H6" i="4"/>
  <c r="F2" i="4" s="1"/>
  <c r="F3" i="4" s="1"/>
  <c r="K40" i="4" s="1"/>
  <c r="BY6" i="4"/>
  <c r="BV4" i="4"/>
  <c r="Z9" i="4"/>
  <c r="Y7" i="4"/>
  <c r="BY3" i="4"/>
  <c r="CB22" i="4" s="1"/>
  <c r="H3" i="4"/>
  <c r="K22" i="4" s="1"/>
  <c r="X6" i="4"/>
  <c r="BX5" i="4"/>
  <c r="X7" i="4"/>
  <c r="BG3" i="4"/>
  <c r="BK31" i="4" s="1"/>
  <c r="Z7" i="4"/>
  <c r="X8" i="4"/>
  <c r="BG4" i="4"/>
  <c r="BH4" i="4"/>
  <c r="G6" i="4"/>
  <c r="E3" i="4" s="1"/>
  <c r="K49" i="4" s="1"/>
  <c r="W3" i="4"/>
  <c r="AC49" i="4" s="1"/>
  <c r="G4" i="4"/>
  <c r="BX6" i="4"/>
  <c r="BF3" i="4"/>
  <c r="BK40" i="4" s="1"/>
  <c r="W8" i="4"/>
  <c r="BV5" i="4"/>
  <c r="S8" i="1"/>
  <c r="CM9" i="5"/>
  <c r="V10" i="5"/>
  <c r="BU10" i="5"/>
  <c r="AM7" i="5"/>
  <c r="D11" i="5"/>
  <c r="BD11" i="5"/>
  <c r="E4" i="4"/>
  <c r="E5" i="4"/>
  <c r="BD7" i="4"/>
  <c r="BH6" i="4"/>
  <c r="BF6" i="4"/>
  <c r="BG6" i="4"/>
  <c r="BE6" i="4"/>
  <c r="D8" i="4"/>
  <c r="H7" i="4"/>
  <c r="G7" i="4"/>
  <c r="E7" i="4"/>
  <c r="BY9" i="4"/>
  <c r="BV9" i="4"/>
  <c r="BU10" i="4"/>
  <c r="BW9" i="4"/>
  <c r="BX9" i="4"/>
  <c r="AM10" i="4"/>
  <c r="X11" i="4"/>
  <c r="V12" i="4"/>
  <c r="Y11" i="4"/>
  <c r="Z11" i="4"/>
  <c r="W11" i="4"/>
  <c r="BX24" i="5" l="1"/>
  <c r="BE4" i="5"/>
  <c r="X17" i="5"/>
  <c r="BE8" i="5"/>
  <c r="BE30" i="5"/>
  <c r="AO5" i="5"/>
  <c r="BE25" i="5"/>
  <c r="BE17" i="5"/>
  <c r="AN23" i="5"/>
  <c r="AN19" i="5"/>
  <c r="BX37" i="5"/>
  <c r="AN26" i="5"/>
  <c r="AN27" i="5"/>
  <c r="AN41" i="5"/>
  <c r="CO10" i="5"/>
  <c r="CO29" i="5"/>
  <c r="BE41" i="5"/>
  <c r="CN8" i="5"/>
  <c r="AP5" i="5"/>
  <c r="W24" i="5"/>
  <c r="CO3" i="5"/>
  <c r="CT40" i="5" s="1"/>
  <c r="CO17" i="5"/>
  <c r="AP4" i="5"/>
  <c r="AN11" i="5"/>
  <c r="CO11" i="5"/>
  <c r="CO39" i="5"/>
  <c r="AN6" i="5"/>
  <c r="AN36" i="5"/>
  <c r="AN8" i="5"/>
  <c r="CO26" i="5"/>
  <c r="CO31" i="5"/>
  <c r="AN18" i="5"/>
  <c r="BG25" i="5"/>
  <c r="AN15" i="5"/>
  <c r="AN14" i="5"/>
  <c r="CO13" i="5"/>
  <c r="CO33" i="5"/>
  <c r="BV26" i="5"/>
  <c r="BV15" i="5"/>
  <c r="CN5" i="5"/>
  <c r="CN40" i="5"/>
  <c r="BX35" i="5"/>
  <c r="CN14" i="5"/>
  <c r="BX16" i="5"/>
  <c r="BX27" i="5"/>
  <c r="BY20" i="5"/>
  <c r="CN17" i="5"/>
  <c r="CN25" i="5"/>
  <c r="CN24" i="5"/>
  <c r="CO14" i="5"/>
  <c r="AN3" i="5"/>
  <c r="AT49" i="5" s="1"/>
  <c r="CN37" i="5"/>
  <c r="AN4" i="5"/>
  <c r="CQ9" i="5"/>
  <c r="AN30" i="5"/>
  <c r="CO21" i="5"/>
  <c r="BV7" i="5"/>
  <c r="AN12" i="5"/>
  <c r="CN30" i="5"/>
  <c r="AN38" i="5"/>
  <c r="CQ33" i="5"/>
  <c r="CQ14" i="5"/>
  <c r="BV33" i="5"/>
  <c r="AO36" i="5"/>
  <c r="CQ32" i="5"/>
  <c r="BV18" i="5"/>
  <c r="AN28" i="5"/>
  <c r="AN7" i="5"/>
  <c r="AN31" i="5"/>
  <c r="AN22" i="5"/>
  <c r="AN29" i="5"/>
  <c r="BG29" i="5"/>
  <c r="BV24" i="5"/>
  <c r="AQ4" i="5"/>
  <c r="CN16" i="5"/>
  <c r="CN10" i="5"/>
  <c r="CQ16" i="5"/>
  <c r="CN18" i="5"/>
  <c r="AN40" i="5"/>
  <c r="AN34" i="5"/>
  <c r="BH18" i="5"/>
  <c r="CO28" i="5"/>
  <c r="CO8" i="5"/>
  <c r="BV19" i="5"/>
  <c r="BV29" i="5"/>
  <c r="AN24" i="5"/>
  <c r="AN33" i="5"/>
  <c r="CN6" i="5"/>
  <c r="AP18" i="5"/>
  <c r="AP26" i="5"/>
  <c r="AP11" i="5"/>
  <c r="AP19" i="5"/>
  <c r="AP3" i="5"/>
  <c r="AT31" i="5" s="1"/>
  <c r="BF38" i="5"/>
  <c r="BE24" i="5"/>
  <c r="BX13" i="5"/>
  <c r="AP16" i="5"/>
  <c r="CQ34" i="5"/>
  <c r="AN9" i="5"/>
  <c r="AN16" i="5"/>
  <c r="CO9" i="5"/>
  <c r="BH15" i="5"/>
  <c r="AN32" i="5"/>
  <c r="BE35" i="5"/>
  <c r="BE38" i="5"/>
  <c r="BE33" i="5"/>
  <c r="BV21" i="5"/>
  <c r="BX10" i="5"/>
  <c r="AN39" i="5"/>
  <c r="BH36" i="5"/>
  <c r="CQ41" i="5"/>
  <c r="BH23" i="5"/>
  <c r="AP36" i="5"/>
  <c r="BE22" i="5"/>
  <c r="CO15" i="5"/>
  <c r="AN21" i="5"/>
  <c r="BE21" i="5"/>
  <c r="W15" i="5"/>
  <c r="BE18" i="5"/>
  <c r="BE13" i="5"/>
  <c r="BH19" i="5"/>
  <c r="CP40" i="5"/>
  <c r="BE37" i="5"/>
  <c r="AP12" i="5"/>
  <c r="BE26" i="5"/>
  <c r="BE36" i="5"/>
  <c r="BE11" i="5"/>
  <c r="CQ11" i="5"/>
  <c r="BH35" i="5"/>
  <c r="AP14" i="5"/>
  <c r="BH25" i="5"/>
  <c r="BE40" i="5"/>
  <c r="BH40" i="5"/>
  <c r="BE3" i="5"/>
  <c r="BK49" i="5" s="1"/>
  <c r="BE29" i="5"/>
  <c r="BE19" i="5"/>
  <c r="AP22" i="5"/>
  <c r="BE12" i="5"/>
  <c r="BG34" i="5"/>
  <c r="AP35" i="5"/>
  <c r="AP27" i="5"/>
  <c r="BE31" i="5"/>
  <c r="CO22" i="5"/>
  <c r="AN20" i="5"/>
  <c r="CQ22" i="5"/>
  <c r="W40" i="5"/>
  <c r="AP6" i="5"/>
  <c r="CO36" i="5"/>
  <c r="AN13" i="5"/>
  <c r="AN17" i="5"/>
  <c r="BX34" i="5"/>
  <c r="CQ24" i="5"/>
  <c r="BV39" i="5"/>
  <c r="AO39" i="5"/>
  <c r="CO18" i="5"/>
  <c r="AN5" i="5"/>
  <c r="AN37" i="5"/>
  <c r="AP8" i="5"/>
  <c r="CO12" i="5"/>
  <c r="BX30" i="5"/>
  <c r="AN35" i="5"/>
  <c r="CQ5" i="5"/>
  <c r="AN25" i="5"/>
  <c r="CO37" i="5"/>
  <c r="BE23" i="5"/>
  <c r="BE34" i="5"/>
  <c r="AQ34" i="5"/>
  <c r="AP32" i="5"/>
  <c r="AP28" i="5"/>
  <c r="BV22" i="5"/>
  <c r="E6" i="5"/>
  <c r="X40" i="5"/>
  <c r="CP12" i="5"/>
  <c r="H7" i="5"/>
  <c r="E5" i="5"/>
  <c r="AQ14" i="5"/>
  <c r="CQ4" i="5"/>
  <c r="AQ17" i="5"/>
  <c r="AQ5" i="5"/>
  <c r="BV31" i="5"/>
  <c r="AP20" i="5"/>
  <c r="BG6" i="5"/>
  <c r="AP21" i="5"/>
  <c r="CN4" i="5"/>
  <c r="BV8" i="5"/>
  <c r="AP40" i="5"/>
  <c r="AO12" i="5"/>
  <c r="AQ23" i="5"/>
  <c r="BY16" i="5"/>
  <c r="BV5" i="5"/>
  <c r="CQ23" i="5"/>
  <c r="AP7" i="5"/>
  <c r="AP25" i="5"/>
  <c r="BV4" i="5"/>
  <c r="E10" i="5"/>
  <c r="AP34" i="5"/>
  <c r="AP23" i="5"/>
  <c r="AQ8" i="5"/>
  <c r="AQ37" i="5"/>
  <c r="CQ15" i="5"/>
  <c r="AQ26" i="5"/>
  <c r="BV37" i="5"/>
  <c r="BV28" i="5"/>
  <c r="AP24" i="5"/>
  <c r="BV3" i="5"/>
  <c r="CB49" i="5" s="1"/>
  <c r="BV20" i="5"/>
  <c r="AQ18" i="5"/>
  <c r="AP37" i="5"/>
  <c r="AQ7" i="5"/>
  <c r="AP9" i="5"/>
  <c r="BV23" i="5"/>
  <c r="AQ35" i="5"/>
  <c r="E7" i="5"/>
  <c r="CN34" i="5"/>
  <c r="AP17" i="5"/>
  <c r="BV17" i="5"/>
  <c r="BV35" i="5"/>
  <c r="BV16" i="5"/>
  <c r="AQ11" i="5"/>
  <c r="AQ39" i="5"/>
  <c r="CP27" i="5"/>
  <c r="AP33" i="5"/>
  <c r="AP15" i="5"/>
  <c r="BV14" i="5"/>
  <c r="AQ38" i="5"/>
  <c r="BV36" i="5"/>
  <c r="AO14" i="5"/>
  <c r="AP13" i="5"/>
  <c r="AQ27" i="5"/>
  <c r="AP30" i="5"/>
  <c r="CP37" i="5"/>
  <c r="AO31" i="5"/>
  <c r="AO28" i="5"/>
  <c r="E8" i="5"/>
  <c r="BV38" i="5"/>
  <c r="E9" i="5"/>
  <c r="BF34" i="5"/>
  <c r="BY33" i="5"/>
  <c r="E3" i="5"/>
  <c r="K49" i="5" s="1"/>
  <c r="AQ9" i="5"/>
  <c r="AP38" i="5"/>
  <c r="AP39" i="5"/>
  <c r="AQ40" i="5"/>
  <c r="CN12" i="5"/>
  <c r="AP41" i="5"/>
  <c r="AP29" i="5"/>
  <c r="BV32" i="5"/>
  <c r="AQ24" i="5"/>
  <c r="CN27" i="5"/>
  <c r="AP10" i="5"/>
  <c r="BY39" i="5"/>
  <c r="BY17" i="5"/>
  <c r="BV13" i="5"/>
  <c r="BV9" i="5"/>
  <c r="BV6" i="5"/>
  <c r="AQ3" i="5"/>
  <c r="AT22" i="5" s="1"/>
  <c r="BX15" i="5"/>
  <c r="AQ16" i="5"/>
  <c r="BV27" i="5"/>
  <c r="W16" i="5"/>
  <c r="BV25" i="5"/>
  <c r="BV41" i="5"/>
  <c r="U8" i="1"/>
  <c r="W8" i="1"/>
  <c r="T8" i="1"/>
  <c r="V8" i="1"/>
  <c r="BH30" i="5"/>
  <c r="BY19" i="5"/>
  <c r="BH10" i="5"/>
  <c r="W31" i="5"/>
  <c r="AO23" i="5"/>
  <c r="G10" i="5"/>
  <c r="CP9" i="5"/>
  <c r="X3" i="5"/>
  <c r="AC40" i="5" s="1"/>
  <c r="AO19" i="5"/>
  <c r="H10" i="5"/>
  <c r="W9" i="5"/>
  <c r="X34" i="5"/>
  <c r="CP18" i="5"/>
  <c r="AO21" i="5"/>
  <c r="BH29" i="5"/>
  <c r="CP3" i="5"/>
  <c r="CT31" i="5" s="1"/>
  <c r="CN32" i="5"/>
  <c r="X23" i="5"/>
  <c r="CN36" i="5"/>
  <c r="G3" i="5"/>
  <c r="K31" i="5" s="1"/>
  <c r="CN3" i="5"/>
  <c r="CT49" i="5" s="1"/>
  <c r="CQ40" i="5"/>
  <c r="W27" i="5"/>
  <c r="W38" i="5"/>
  <c r="AO35" i="5"/>
  <c r="X26" i="5"/>
  <c r="CQ19" i="5"/>
  <c r="BG17" i="5"/>
  <c r="CP31" i="5"/>
  <c r="W32" i="5"/>
  <c r="W7" i="5"/>
  <c r="W30" i="5"/>
  <c r="W23" i="5"/>
  <c r="BY29" i="5"/>
  <c r="BH22" i="5"/>
  <c r="BH8" i="5"/>
  <c r="AQ31" i="5"/>
  <c r="CN33" i="5"/>
  <c r="BX33" i="5"/>
  <c r="AQ32" i="5"/>
  <c r="AQ21" i="5"/>
  <c r="CN11" i="5"/>
  <c r="AO13" i="5"/>
  <c r="CN13" i="5"/>
  <c r="AO8" i="5"/>
  <c r="BH3" i="5"/>
  <c r="BK22" i="5" s="1"/>
  <c r="BX40" i="5"/>
  <c r="BH7" i="5"/>
  <c r="CN39" i="5"/>
  <c r="CQ37" i="5"/>
  <c r="CN38" i="5"/>
  <c r="AO20" i="5"/>
  <c r="BH6" i="5"/>
  <c r="BH5" i="5"/>
  <c r="AO24" i="5"/>
  <c r="CQ7" i="5"/>
  <c r="BH13" i="5"/>
  <c r="G5" i="5"/>
  <c r="BH37" i="5"/>
  <c r="AO4" i="5"/>
  <c r="H9" i="5"/>
  <c r="CQ26" i="5"/>
  <c r="AO37" i="5"/>
  <c r="CQ10" i="5"/>
  <c r="W26" i="5"/>
  <c r="F9" i="5"/>
  <c r="AO9" i="5"/>
  <c r="CP16" i="5"/>
  <c r="G4" i="5"/>
  <c r="CQ20" i="5"/>
  <c r="G8" i="5"/>
  <c r="CN23" i="5"/>
  <c r="AO11" i="5"/>
  <c r="BG20" i="5"/>
  <c r="BF21" i="5"/>
  <c r="BH34" i="5"/>
  <c r="BY18" i="5"/>
  <c r="BX32" i="5"/>
  <c r="CP28" i="5"/>
  <c r="BG3" i="5"/>
  <c r="BK31" i="5" s="1"/>
  <c r="AO27" i="5"/>
  <c r="BG38" i="5"/>
  <c r="BY12" i="5"/>
  <c r="BX26" i="5"/>
  <c r="BX7" i="5"/>
  <c r="AO30" i="5"/>
  <c r="BX11" i="5"/>
  <c r="BX14" i="5"/>
  <c r="H3" i="5"/>
  <c r="K22" i="5" s="1"/>
  <c r="AO18" i="5"/>
  <c r="CN20" i="5"/>
  <c r="CQ17" i="5"/>
  <c r="BH9" i="5"/>
  <c r="BX4" i="5"/>
  <c r="CN28" i="5"/>
  <c r="BH27" i="5"/>
  <c r="BX3" i="5"/>
  <c r="CB31" i="5" s="1"/>
  <c r="H6" i="5"/>
  <c r="CN41" i="5"/>
  <c r="BH11" i="5"/>
  <c r="CQ12" i="5"/>
  <c r="W11" i="5"/>
  <c r="BH28" i="5"/>
  <c r="AO22" i="5"/>
  <c r="W22" i="5"/>
  <c r="BY7" i="5"/>
  <c r="W5" i="5"/>
  <c r="BY8" i="5"/>
  <c r="W41" i="5"/>
  <c r="BH4" i="5"/>
  <c r="AO29" i="5"/>
  <c r="BH33" i="5"/>
  <c r="W25" i="5"/>
  <c r="BH16" i="5"/>
  <c r="G9" i="5"/>
  <c r="BH41" i="5"/>
  <c r="BY3" i="5"/>
  <c r="CB22" i="5" s="1"/>
  <c r="AO40" i="5"/>
  <c r="BH31" i="5"/>
  <c r="W34" i="5"/>
  <c r="W3" i="5"/>
  <c r="AC49" i="5" s="1"/>
  <c r="AO6" i="5"/>
  <c r="BY25" i="5"/>
  <c r="W33" i="5"/>
  <c r="W8" i="5"/>
  <c r="AO17" i="5"/>
  <c r="BH32" i="5"/>
  <c r="X21" i="5"/>
  <c r="AO3" i="5"/>
  <c r="AT40" i="5" s="1"/>
  <c r="BH12" i="5"/>
  <c r="BY14" i="5"/>
  <c r="BH21" i="5"/>
  <c r="W20" i="5"/>
  <c r="G7" i="5"/>
  <c r="W37" i="5"/>
  <c r="CP22" i="5"/>
  <c r="W28" i="5"/>
  <c r="BX36" i="5"/>
  <c r="X10" i="5"/>
  <c r="W36" i="5"/>
  <c r="W29" i="5"/>
  <c r="X31" i="5"/>
  <c r="CQ31" i="5"/>
  <c r="BH26" i="5"/>
  <c r="CN31" i="5"/>
  <c r="W21" i="5"/>
  <c r="BY38" i="5"/>
  <c r="BX31" i="5"/>
  <c r="CN35" i="5"/>
  <c r="BX25" i="5"/>
  <c r="BX6" i="5"/>
  <c r="BX19" i="5"/>
  <c r="BX17" i="5"/>
  <c r="BH20" i="5"/>
  <c r="AO33" i="5"/>
  <c r="AO16" i="5"/>
  <c r="AO34" i="5"/>
  <c r="AO25" i="5"/>
  <c r="AO38" i="5"/>
  <c r="AO26" i="5"/>
  <c r="AO7" i="5"/>
  <c r="BX41" i="5"/>
  <c r="BH39" i="5"/>
  <c r="BH17" i="5"/>
  <c r="CQ30" i="5"/>
  <c r="CN7" i="5"/>
  <c r="CQ38" i="5"/>
  <c r="BH24" i="5"/>
  <c r="CN29" i="5"/>
  <c r="CN19" i="5"/>
  <c r="F7" i="4"/>
  <c r="F5" i="4"/>
  <c r="Y20" i="5"/>
  <c r="Y12" i="5"/>
  <c r="BF29" i="5"/>
  <c r="Y7" i="5"/>
  <c r="BF8" i="5"/>
  <c r="F4" i="4"/>
  <c r="F10" i="5"/>
  <c r="CP6" i="5"/>
  <c r="F3" i="5"/>
  <c r="K40" i="5" s="1"/>
  <c r="Z36" i="5"/>
  <c r="Y37" i="5"/>
  <c r="X12" i="5"/>
  <c r="X6" i="5"/>
  <c r="BF7" i="5"/>
  <c r="Y33" i="5"/>
  <c r="BG22" i="5"/>
  <c r="CP24" i="5"/>
  <c r="X35" i="5"/>
  <c r="Z4" i="5"/>
  <c r="Z19" i="5"/>
  <c r="BF35" i="5"/>
  <c r="BF16" i="5"/>
  <c r="Y15" i="5"/>
  <c r="CQ21" i="5"/>
  <c r="X27" i="5"/>
  <c r="BG40" i="5"/>
  <c r="Y11" i="5"/>
  <c r="CP4" i="5"/>
  <c r="BX22" i="5"/>
  <c r="BY26" i="5"/>
  <c r="BW15" i="5"/>
  <c r="BY6" i="5"/>
  <c r="BW13" i="5"/>
  <c r="W18" i="5"/>
  <c r="BE10" i="5"/>
  <c r="Y41" i="5"/>
  <c r="BY21" i="5"/>
  <c r="BW14" i="5"/>
  <c r="BG28" i="5"/>
  <c r="BY34" i="5"/>
  <c r="W14" i="5"/>
  <c r="BE15" i="5"/>
  <c r="Y19" i="5"/>
  <c r="BY9" i="5"/>
  <c r="W4" i="5"/>
  <c r="BE5" i="5"/>
  <c r="AQ6" i="5"/>
  <c r="BY37" i="5"/>
  <c r="CQ29" i="5"/>
  <c r="W39" i="5"/>
  <c r="AQ19" i="5"/>
  <c r="Y38" i="5"/>
  <c r="Z10" i="5"/>
  <c r="BX12" i="5"/>
  <c r="W35" i="5"/>
  <c r="AQ13" i="5"/>
  <c r="Y34" i="5"/>
  <c r="BF15" i="5"/>
  <c r="CO40" i="5"/>
  <c r="BY36" i="5"/>
  <c r="BF6" i="5"/>
  <c r="BE7" i="5"/>
  <c r="CP34" i="5"/>
  <c r="H4" i="5"/>
  <c r="BX18" i="5"/>
  <c r="BW11" i="5"/>
  <c r="BV12" i="5"/>
  <c r="Z21" i="5"/>
  <c r="Y17" i="5"/>
  <c r="BG27" i="5"/>
  <c r="Y22" i="5"/>
  <c r="BF11" i="5"/>
  <c r="AQ30" i="5"/>
  <c r="BW27" i="5"/>
  <c r="BX28" i="5"/>
  <c r="BW37" i="5"/>
  <c r="BV34" i="5"/>
  <c r="CQ13" i="5"/>
  <c r="BE32" i="5"/>
  <c r="BX21" i="5"/>
  <c r="BW18" i="5"/>
  <c r="BX9" i="5"/>
  <c r="BX8" i="5"/>
  <c r="Y9" i="5"/>
  <c r="Y32" i="5"/>
  <c r="BW28" i="5"/>
  <c r="BW3" i="5"/>
  <c r="CB40" i="5" s="1"/>
  <c r="CP19" i="5"/>
  <c r="Z12" i="5"/>
  <c r="Y24" i="5"/>
  <c r="Z8" i="5"/>
  <c r="BW21" i="5"/>
  <c r="BW25" i="5"/>
  <c r="Z9" i="5"/>
  <c r="CP15" i="5"/>
  <c r="X9" i="5"/>
  <c r="BG8" i="5"/>
  <c r="Z38" i="5"/>
  <c r="X5" i="5"/>
  <c r="BG12" i="5"/>
  <c r="Z16" i="5"/>
  <c r="Y40" i="5"/>
  <c r="BG4" i="5"/>
  <c r="BF30" i="5"/>
  <c r="X30" i="5"/>
  <c r="BF19" i="5"/>
  <c r="Z35" i="5"/>
  <c r="BW40" i="5"/>
  <c r="X32" i="5"/>
  <c r="BF12" i="5"/>
  <c r="Z31" i="5"/>
  <c r="BW17" i="5"/>
  <c r="BW12" i="5"/>
  <c r="BF10" i="5"/>
  <c r="CP30" i="5"/>
  <c r="CP20" i="5"/>
  <c r="CO19" i="5"/>
  <c r="BY32" i="5"/>
  <c r="BW23" i="5"/>
  <c r="Z20" i="5"/>
  <c r="Z25" i="5"/>
  <c r="BX29" i="5"/>
  <c r="BY30" i="5"/>
  <c r="AQ10" i="5"/>
  <c r="BX39" i="5"/>
  <c r="BW36" i="5"/>
  <c r="BF20" i="5"/>
  <c r="BY23" i="5"/>
  <c r="BX20" i="5"/>
  <c r="CQ18" i="5"/>
  <c r="BY11" i="5"/>
  <c r="BY10" i="5"/>
  <c r="BF22" i="5"/>
  <c r="BF40" i="5"/>
  <c r="Z22" i="5"/>
  <c r="X24" i="5"/>
  <c r="CP21" i="5"/>
  <c r="X33" i="5"/>
  <c r="BF14" i="5"/>
  <c r="Y23" i="5"/>
  <c r="X4" i="5"/>
  <c r="Z15" i="5"/>
  <c r="X13" i="5"/>
  <c r="Y6" i="5"/>
  <c r="BF31" i="5"/>
  <c r="Z41" i="5"/>
  <c r="CP7" i="5"/>
  <c r="X38" i="5"/>
  <c r="BF24" i="5"/>
  <c r="Z37" i="5"/>
  <c r="BG9" i="5"/>
  <c r="BW24" i="5"/>
  <c r="Y27" i="5"/>
  <c r="X39" i="5"/>
  <c r="BF25" i="5"/>
  <c r="BK42" i="5" s="1"/>
  <c r="Y29" i="5"/>
  <c r="CP38" i="5"/>
  <c r="BG7" i="5"/>
  <c r="CO16" i="5"/>
  <c r="BF3" i="5"/>
  <c r="BK40" i="5" s="1"/>
  <c r="CP35" i="5"/>
  <c r="X36" i="5"/>
  <c r="BW22" i="5"/>
  <c r="BW32" i="5"/>
  <c r="BF23" i="5"/>
  <c r="BY31" i="5"/>
  <c r="BY41" i="5"/>
  <c r="BX38" i="5"/>
  <c r="BG14" i="5"/>
  <c r="BY22" i="5"/>
  <c r="BE14" i="5"/>
  <c r="CO35" i="5"/>
  <c r="CO34" i="5"/>
  <c r="F6" i="4"/>
  <c r="F4" i="5"/>
  <c r="BF28" i="5"/>
  <c r="CP25" i="5"/>
  <c r="Y25" i="5"/>
  <c r="Z28" i="5"/>
  <c r="BF9" i="5"/>
  <c r="BW33" i="5"/>
  <c r="BW31" i="5"/>
  <c r="BG10" i="5"/>
  <c r="CP32" i="5"/>
  <c r="BG26" i="5"/>
  <c r="CP13" i="5"/>
  <c r="BW9" i="5"/>
  <c r="BG35" i="5"/>
  <c r="CP14" i="5"/>
  <c r="BF17" i="5"/>
  <c r="CO38" i="5"/>
  <c r="Z11" i="5"/>
  <c r="CP10" i="5"/>
  <c r="CQ3" i="5"/>
  <c r="CT22" i="5" s="1"/>
  <c r="AQ33" i="5"/>
  <c r="BG23" i="5"/>
  <c r="CP41" i="5"/>
  <c r="BW41" i="5"/>
  <c r="AQ25" i="5"/>
  <c r="BG11" i="5"/>
  <c r="Y21" i="5"/>
  <c r="W13" i="5"/>
  <c r="BE27" i="5"/>
  <c r="Y30" i="5"/>
  <c r="Z14" i="5"/>
  <c r="CQ35" i="5"/>
  <c r="AQ20" i="5"/>
  <c r="AQ36" i="5"/>
  <c r="BX23" i="5"/>
  <c r="CO27" i="5"/>
  <c r="BY35" i="5"/>
  <c r="CO20" i="5"/>
  <c r="F6" i="5"/>
  <c r="X29" i="5"/>
  <c r="BF18" i="5"/>
  <c r="Z40" i="5"/>
  <c r="BW38" i="5"/>
  <c r="CP5" i="5"/>
  <c r="X25" i="5"/>
  <c r="BG37" i="5"/>
  <c r="BE16" i="5"/>
  <c r="BY13" i="5"/>
  <c r="CO4" i="5"/>
  <c r="W17" i="5"/>
  <c r="BE9" i="5"/>
  <c r="Y10" i="5"/>
  <c r="BV30" i="5"/>
  <c r="BG31" i="5"/>
  <c r="CO6" i="5"/>
  <c r="AQ22" i="5"/>
  <c r="BV10" i="5"/>
  <c r="BY27" i="5"/>
  <c r="W10" i="5"/>
  <c r="BE20" i="5"/>
  <c r="AQ12" i="5"/>
  <c r="CQ39" i="5"/>
  <c r="BY15" i="5"/>
  <c r="W6" i="5"/>
  <c r="BF36" i="5"/>
  <c r="Y35" i="5"/>
  <c r="CO30" i="5"/>
  <c r="BW8" i="5"/>
  <c r="BG21" i="5"/>
  <c r="BY28" i="5"/>
  <c r="Z24" i="5"/>
  <c r="BW16" i="5"/>
  <c r="W19" i="5"/>
  <c r="BE39" i="5"/>
  <c r="Y36" i="5"/>
  <c r="Z26" i="5"/>
  <c r="BW4" i="5"/>
  <c r="BW39" i="5"/>
  <c r="BY24" i="5"/>
  <c r="BV11" i="5"/>
  <c r="CQ36" i="5"/>
  <c r="AO10" i="5"/>
  <c r="BG41" i="5"/>
  <c r="CQ28" i="5"/>
  <c r="Y39" i="5"/>
  <c r="BF41" i="5"/>
  <c r="X11" i="5"/>
  <c r="BE28" i="5"/>
  <c r="X28" i="5"/>
  <c r="AQ15" i="5"/>
  <c r="AQ41" i="5"/>
  <c r="H5" i="5"/>
  <c r="AO15" i="5"/>
  <c r="CN26" i="5"/>
  <c r="AO32" i="5"/>
  <c r="CN22" i="5"/>
  <c r="BG16" i="5"/>
  <c r="CN21" i="5"/>
  <c r="CO5" i="5"/>
  <c r="BG36" i="5"/>
  <c r="BY5" i="5"/>
  <c r="BY40" i="5"/>
  <c r="BH14" i="5"/>
  <c r="CP29" i="5"/>
  <c r="CN15" i="5"/>
  <c r="CQ25" i="5"/>
  <c r="Y8" i="5"/>
  <c r="BW26" i="5"/>
  <c r="BW10" i="5"/>
  <c r="Z18" i="5"/>
  <c r="Z27" i="5"/>
  <c r="BW5" i="5"/>
  <c r="F7" i="5"/>
  <c r="Y26" i="5"/>
  <c r="Y16" i="5"/>
  <c r="X8" i="5"/>
  <c r="Z7" i="5"/>
  <c r="BW20" i="5"/>
  <c r="BF13" i="5"/>
  <c r="X7" i="5"/>
  <c r="BG15" i="5"/>
  <c r="BF37" i="5"/>
  <c r="BW29" i="5"/>
  <c r="Y3" i="5"/>
  <c r="AC31" i="5" s="1"/>
  <c r="Z32" i="5"/>
  <c r="BW34" i="5"/>
  <c r="CP26" i="5"/>
  <c r="CP23" i="5"/>
  <c r="X16" i="5"/>
  <c r="BG32" i="5"/>
  <c r="Z33" i="5"/>
  <c r="BW35" i="5"/>
  <c r="CP39" i="5"/>
  <c r="Z29" i="5"/>
  <c r="Z3" i="5"/>
  <c r="AC22" i="5" s="1"/>
  <c r="BG13" i="5"/>
  <c r="Y14" i="5"/>
  <c r="BG33" i="5"/>
  <c r="Y31" i="5"/>
  <c r="BF26" i="5"/>
  <c r="X15" i="5"/>
  <c r="CP33" i="5"/>
  <c r="CO25" i="5"/>
  <c r="CP11" i="5"/>
  <c r="Z30" i="5"/>
  <c r="F5" i="5"/>
  <c r="Z5" i="5"/>
  <c r="Y28" i="5"/>
  <c r="CP36" i="5"/>
  <c r="X18" i="5"/>
  <c r="Z23" i="5"/>
  <c r="X20" i="5"/>
  <c r="BG18" i="5"/>
  <c r="Z13" i="5"/>
  <c r="BF27" i="5"/>
  <c r="BG19" i="5"/>
  <c r="Y5" i="5"/>
  <c r="BF33" i="5"/>
  <c r="Y4" i="5"/>
  <c r="BG24" i="5"/>
  <c r="CP17" i="5"/>
  <c r="BW30" i="5"/>
  <c r="X22" i="5"/>
  <c r="BF5" i="5"/>
  <c r="Z39" i="5"/>
  <c r="X41" i="5"/>
  <c r="BF39" i="5"/>
  <c r="Y13" i="5"/>
  <c r="CO41" i="5"/>
  <c r="X37" i="5"/>
  <c r="BF32" i="5"/>
  <c r="CO7" i="5"/>
  <c r="BG39" i="5"/>
  <c r="CO32" i="5"/>
  <c r="CO24" i="5"/>
  <c r="Z6" i="5"/>
  <c r="Z17" i="5"/>
  <c r="BG30" i="5"/>
  <c r="X14" i="5"/>
  <c r="CQ8" i="5"/>
  <c r="CQ27" i="5"/>
  <c r="AQ28" i="5"/>
  <c r="BW19" i="5"/>
  <c r="BW7" i="5"/>
  <c r="S9" i="1"/>
  <c r="CM10" i="5"/>
  <c r="AM8" i="5"/>
  <c r="D12" i="5"/>
  <c r="E11" i="5"/>
  <c r="G11" i="5"/>
  <c r="F11" i="5"/>
  <c r="H11" i="5"/>
  <c r="BD12" i="5"/>
  <c r="V11" i="5"/>
  <c r="BU11" i="5"/>
  <c r="BU11" i="4"/>
  <c r="BY10" i="4"/>
  <c r="BW10" i="4"/>
  <c r="BX10" i="4"/>
  <c r="BD8" i="4"/>
  <c r="BE7" i="4"/>
  <c r="BG7" i="4"/>
  <c r="BH7" i="4"/>
  <c r="BF7" i="4"/>
  <c r="D9" i="4"/>
  <c r="H8" i="4"/>
  <c r="F8" i="4"/>
  <c r="G8" i="4"/>
  <c r="E8" i="4"/>
  <c r="V13" i="4"/>
  <c r="Z12" i="4"/>
  <c r="W12" i="4"/>
  <c r="Y12" i="4"/>
  <c r="X12" i="4"/>
  <c r="AM11" i="4"/>
  <c r="V9" i="1" l="1"/>
  <c r="U9" i="1"/>
  <c r="W9" i="1"/>
  <c r="S10" i="1"/>
  <c r="CM11" i="5"/>
  <c r="BU12" i="5"/>
  <c r="V12" i="5"/>
  <c r="AM9" i="5"/>
  <c r="BD13" i="5"/>
  <c r="D13" i="5"/>
  <c r="H12" i="5"/>
  <c r="E12" i="5"/>
  <c r="F12" i="5"/>
  <c r="G12" i="5"/>
  <c r="BU12" i="4"/>
  <c r="BW11" i="4"/>
  <c r="BY11" i="4"/>
  <c r="BX11" i="4"/>
  <c r="BV11" i="4"/>
  <c r="BD9" i="4"/>
  <c r="BE8" i="4"/>
  <c r="BF8" i="4"/>
  <c r="BH8" i="4"/>
  <c r="BG8" i="4"/>
  <c r="D10" i="4"/>
  <c r="G9" i="4"/>
  <c r="F9" i="4"/>
  <c r="E9" i="4"/>
  <c r="H9" i="4"/>
  <c r="V14" i="4"/>
  <c r="Y13" i="4"/>
  <c r="AC32" i="4" s="1"/>
  <c r="Z13" i="4"/>
  <c r="AC23" i="4" s="1"/>
  <c r="X13" i="4"/>
  <c r="W13" i="4"/>
  <c r="AC50" i="4" s="1"/>
  <c r="AM12" i="4"/>
  <c r="V10" i="1" l="1"/>
  <c r="U10" i="1"/>
  <c r="W10" i="1"/>
  <c r="T10" i="1"/>
  <c r="S11" i="1"/>
  <c r="CM12" i="5"/>
  <c r="BD14" i="5"/>
  <c r="BK50" i="5"/>
  <c r="BK23" i="5"/>
  <c r="BK32" i="5"/>
  <c r="AM10" i="5"/>
  <c r="D14" i="5"/>
  <c r="F13" i="5"/>
  <c r="E13" i="5"/>
  <c r="K50" i="5" s="1"/>
  <c r="H13" i="5"/>
  <c r="K23" i="5" s="1"/>
  <c r="G13" i="5"/>
  <c r="K32" i="5" s="1"/>
  <c r="BU13" i="5"/>
  <c r="V13" i="5"/>
  <c r="BV12" i="4"/>
  <c r="BU13" i="4"/>
  <c r="BX12" i="4"/>
  <c r="BW12" i="4"/>
  <c r="BY12" i="4"/>
  <c r="BD10" i="4"/>
  <c r="BG9" i="4"/>
  <c r="BE9" i="4"/>
  <c r="BF9" i="4"/>
  <c r="BH9" i="4"/>
  <c r="E10" i="4"/>
  <c r="D11" i="4"/>
  <c r="F10" i="4"/>
  <c r="G10" i="4"/>
  <c r="H10" i="4"/>
  <c r="AM13" i="4"/>
  <c r="Y14" i="4"/>
  <c r="X14" i="4"/>
  <c r="V15" i="4"/>
  <c r="Z14" i="4"/>
  <c r="W14" i="4"/>
  <c r="W11" i="1" l="1"/>
  <c r="T11" i="1"/>
  <c r="U11" i="1"/>
  <c r="V11" i="1"/>
  <c r="S12" i="1"/>
  <c r="CM13" i="5"/>
  <c r="BD15" i="5"/>
  <c r="AM11" i="5"/>
  <c r="BU14" i="5"/>
  <c r="CB23" i="5"/>
  <c r="CB32" i="5"/>
  <c r="CB50" i="5"/>
  <c r="D15" i="5"/>
  <c r="G14" i="5"/>
  <c r="H14" i="5"/>
  <c r="E14" i="5"/>
  <c r="F14" i="5"/>
  <c r="V14" i="5"/>
  <c r="AC23" i="5"/>
  <c r="AC32" i="5"/>
  <c r="AC50" i="5"/>
  <c r="AT23" i="4"/>
  <c r="AT50" i="4"/>
  <c r="AM14" i="4"/>
  <c r="AT32" i="4"/>
  <c r="H11" i="4"/>
  <c r="E11" i="4"/>
  <c r="D12" i="4"/>
  <c r="G11" i="4"/>
  <c r="F11" i="4"/>
  <c r="BU14" i="4"/>
  <c r="BW13" i="4"/>
  <c r="BV13" i="4"/>
  <c r="CB50" i="4" s="1"/>
  <c r="BX13" i="4"/>
  <c r="CB32" i="4" s="1"/>
  <c r="BY13" i="4"/>
  <c r="CB23" i="4" s="1"/>
  <c r="V16" i="4"/>
  <c r="Z15" i="4"/>
  <c r="Y15" i="4"/>
  <c r="X15" i="4"/>
  <c r="W15" i="4"/>
  <c r="BD11" i="4"/>
  <c r="BF10" i="4"/>
  <c r="BH10" i="4"/>
  <c r="BG10" i="4"/>
  <c r="BE10" i="4"/>
  <c r="W12" i="1" l="1"/>
  <c r="T12" i="1"/>
  <c r="V12" i="1"/>
  <c r="U12" i="1"/>
  <c r="S13" i="1"/>
  <c r="CT23" i="5"/>
  <c r="CT32" i="5"/>
  <c r="CT50" i="5"/>
  <c r="CM14" i="5"/>
  <c r="BU15" i="5"/>
  <c r="D16" i="5"/>
  <c r="E15" i="5"/>
  <c r="H15" i="5"/>
  <c r="G15" i="5"/>
  <c r="F15" i="5"/>
  <c r="V15" i="5"/>
  <c r="BD16" i="5"/>
  <c r="AM12" i="5"/>
  <c r="BU15" i="4"/>
  <c r="BX14" i="4"/>
  <c r="BW14" i="4"/>
  <c r="BV14" i="4"/>
  <c r="BY14" i="4"/>
  <c r="V17" i="4"/>
  <c r="Z16" i="4"/>
  <c r="Y16" i="4"/>
  <c r="X16" i="4"/>
  <c r="W16" i="4"/>
  <c r="BH11" i="4"/>
  <c r="BG11" i="4"/>
  <c r="BF11" i="4"/>
  <c r="BD12" i="4"/>
  <c r="BE11" i="4"/>
  <c r="AM15" i="4"/>
  <c r="D13" i="4"/>
  <c r="E13" i="4" s="1"/>
  <c r="G12" i="4"/>
  <c r="H12" i="4"/>
  <c r="E12" i="4"/>
  <c r="F12" i="4"/>
  <c r="U13" i="1" l="1"/>
  <c r="W13" i="1"/>
  <c r="T13" i="1"/>
  <c r="V13" i="1"/>
  <c r="S14" i="1"/>
  <c r="CM15" i="5"/>
  <c r="AM13" i="5"/>
  <c r="BD17" i="5"/>
  <c r="D17" i="5"/>
  <c r="G16" i="5"/>
  <c r="E16" i="5"/>
  <c r="H16" i="5"/>
  <c r="F16" i="5"/>
  <c r="BU16" i="5"/>
  <c r="V16" i="5"/>
  <c r="D14" i="4"/>
  <c r="H13" i="4"/>
  <c r="K23" i="4" s="1"/>
  <c r="G13" i="4"/>
  <c r="K32" i="4" s="1"/>
  <c r="K50" i="4"/>
  <c r="F13" i="4"/>
  <c r="AM16" i="4"/>
  <c r="V18" i="4"/>
  <c r="Z17" i="4"/>
  <c r="W17" i="4"/>
  <c r="X17" i="4"/>
  <c r="Y17" i="4"/>
  <c r="BU16" i="4"/>
  <c r="BX15" i="4"/>
  <c r="BY15" i="4"/>
  <c r="BW15" i="4"/>
  <c r="BV15" i="4"/>
  <c r="BD13" i="4"/>
  <c r="BG12" i="4"/>
  <c r="BH12" i="4"/>
  <c r="BF12" i="4"/>
  <c r="BE12" i="4"/>
  <c r="U14" i="1" l="1"/>
  <c r="W14" i="1"/>
  <c r="P7" i="1" s="1"/>
  <c r="T14" i="1"/>
  <c r="M7" i="1" s="1"/>
  <c r="V14" i="1"/>
  <c r="O7" i="1" s="1"/>
  <c r="S15" i="1"/>
  <c r="CM16" i="5"/>
  <c r="BD18" i="5"/>
  <c r="D18" i="5"/>
  <c r="E17" i="5"/>
  <c r="F17" i="5"/>
  <c r="G17" i="5"/>
  <c r="H17" i="5"/>
  <c r="BU17" i="5"/>
  <c r="V17" i="5"/>
  <c r="AM14" i="5"/>
  <c r="AT50" i="5"/>
  <c r="AT23" i="5"/>
  <c r="AT32" i="5"/>
  <c r="AM17" i="4"/>
  <c r="Z18" i="4"/>
  <c r="V19" i="4"/>
  <c r="W18" i="4"/>
  <c r="Y18" i="4"/>
  <c r="X18" i="4"/>
  <c r="BV16" i="4"/>
  <c r="BU17" i="4"/>
  <c r="BW16" i="4"/>
  <c r="BX16" i="4"/>
  <c r="BY16" i="4"/>
  <c r="BD14" i="4"/>
  <c r="BE13" i="4"/>
  <c r="BK50" i="4" s="1"/>
  <c r="BF13" i="4"/>
  <c r="BG13" i="4"/>
  <c r="BK32" i="4" s="1"/>
  <c r="BH13" i="4"/>
  <c r="BK23" i="4" s="1"/>
  <c r="D15" i="4"/>
  <c r="H14" i="4"/>
  <c r="E14" i="4"/>
  <c r="F14" i="4"/>
  <c r="G14" i="4"/>
  <c r="O16" i="1" l="1"/>
  <c r="O25" i="1" s="1"/>
  <c r="M16" i="1"/>
  <c r="M25" i="1" s="1"/>
  <c r="P16" i="1"/>
  <c r="P25" i="1" s="1"/>
  <c r="V15" i="1"/>
  <c r="U15" i="1"/>
  <c r="W15" i="1"/>
  <c r="T15" i="1"/>
  <c r="S16" i="1"/>
  <c r="CM17" i="5"/>
  <c r="D19" i="5"/>
  <c r="E18" i="5"/>
  <c r="H18" i="5"/>
  <c r="G18" i="5"/>
  <c r="F18" i="5"/>
  <c r="BU18" i="5"/>
  <c r="AM15" i="5"/>
  <c r="V18" i="5"/>
  <c r="BD19" i="5"/>
  <c r="BU18" i="4"/>
  <c r="BW17" i="4"/>
  <c r="BX17" i="4"/>
  <c r="BY17" i="4"/>
  <c r="BV17" i="4"/>
  <c r="BD15" i="4"/>
  <c r="BH14" i="4"/>
  <c r="BE14" i="4"/>
  <c r="BG14" i="4"/>
  <c r="BF14" i="4"/>
  <c r="AM18" i="4"/>
  <c r="V20" i="4"/>
  <c r="W19" i="4"/>
  <c r="Y19" i="4"/>
  <c r="X19" i="4"/>
  <c r="Z19" i="4"/>
  <c r="D16" i="4"/>
  <c r="H15" i="4"/>
  <c r="G15" i="4"/>
  <c r="F15" i="4"/>
  <c r="E15" i="4"/>
  <c r="V16" i="1" l="1"/>
  <c r="U16" i="1"/>
  <c r="W16" i="1"/>
  <c r="T16" i="1"/>
  <c r="S17" i="1"/>
  <c r="CM18" i="5"/>
  <c r="BD20" i="5"/>
  <c r="V19" i="5"/>
  <c r="AM16" i="5"/>
  <c r="BU19" i="5"/>
  <c r="D20" i="5"/>
  <c r="G19" i="5"/>
  <c r="E19" i="5"/>
  <c r="F19" i="5"/>
  <c r="H19" i="5"/>
  <c r="BD16" i="4"/>
  <c r="BE15" i="4"/>
  <c r="BG15" i="4"/>
  <c r="BF15" i="4"/>
  <c r="BH15" i="4"/>
  <c r="BX18" i="4"/>
  <c r="BV18" i="4"/>
  <c r="BU19" i="4"/>
  <c r="BY18" i="4"/>
  <c r="BW18" i="4"/>
  <c r="D17" i="4"/>
  <c r="E16" i="4"/>
  <c r="F16" i="4"/>
  <c r="H16" i="4"/>
  <c r="G16" i="4"/>
  <c r="X20" i="4"/>
  <c r="W20" i="4"/>
  <c r="V21" i="4"/>
  <c r="Z20" i="4"/>
  <c r="Y20" i="4"/>
  <c r="AM19" i="4"/>
  <c r="W17" i="1" l="1"/>
  <c r="T17" i="1"/>
  <c r="V17" i="1"/>
  <c r="U17" i="1"/>
  <c r="S18" i="1"/>
  <c r="CM19" i="5"/>
  <c r="D21" i="5"/>
  <c r="G20" i="5"/>
  <c r="E20" i="5"/>
  <c r="F20" i="5"/>
  <c r="H20" i="5"/>
  <c r="AM17" i="5"/>
  <c r="BU20" i="5"/>
  <c r="V20" i="5"/>
  <c r="BD21" i="5"/>
  <c r="AM20" i="4"/>
  <c r="V22" i="4"/>
  <c r="X21" i="4"/>
  <c r="W21" i="4"/>
  <c r="Z21" i="4"/>
  <c r="Y21" i="4"/>
  <c r="H17" i="4"/>
  <c r="D18" i="4"/>
  <c r="G17" i="4"/>
  <c r="E17" i="4"/>
  <c r="F17" i="4"/>
  <c r="BU20" i="4"/>
  <c r="BY19" i="4"/>
  <c r="BX19" i="4"/>
  <c r="BV19" i="4"/>
  <c r="BW19" i="4"/>
  <c r="BD17" i="4"/>
  <c r="BE16" i="4"/>
  <c r="BF16" i="4"/>
  <c r="BH16" i="4"/>
  <c r="BG16" i="4"/>
  <c r="W18" i="1" l="1"/>
  <c r="T18" i="1"/>
  <c r="V18" i="1"/>
  <c r="U18" i="1"/>
  <c r="S19" i="1"/>
  <c r="CM20" i="5"/>
  <c r="AM18" i="5"/>
  <c r="BD22" i="5"/>
  <c r="BU21" i="5"/>
  <c r="V21" i="5"/>
  <c r="D22" i="5"/>
  <c r="F21" i="5"/>
  <c r="G21" i="5"/>
  <c r="H21" i="5"/>
  <c r="E21" i="5"/>
  <c r="D19" i="4"/>
  <c r="F18" i="4"/>
  <c r="E18" i="4"/>
  <c r="G18" i="4"/>
  <c r="H18" i="4"/>
  <c r="X22" i="4"/>
  <c r="W22" i="4"/>
  <c r="V23" i="4"/>
  <c r="Y22" i="4"/>
  <c r="Z22" i="4"/>
  <c r="BY20" i="4"/>
  <c r="BU21" i="4"/>
  <c r="BV20" i="4"/>
  <c r="BW20" i="4"/>
  <c r="BX20" i="4"/>
  <c r="AM21" i="4"/>
  <c r="BG17" i="4"/>
  <c r="BE17" i="4"/>
  <c r="BD18" i="4"/>
  <c r="BH17" i="4"/>
  <c r="BF17" i="4"/>
  <c r="U19" i="1" l="1"/>
  <c r="W19" i="1"/>
  <c r="T19" i="1"/>
  <c r="V19" i="1"/>
  <c r="S20" i="1"/>
  <c r="CM21" i="5"/>
  <c r="D23" i="5"/>
  <c r="E22" i="5"/>
  <c r="F22" i="5"/>
  <c r="H22" i="5"/>
  <c r="G22" i="5"/>
  <c r="AM19" i="5"/>
  <c r="BD23" i="5"/>
  <c r="BU22" i="5"/>
  <c r="V22" i="5"/>
  <c r="BD19" i="4"/>
  <c r="BH18" i="4"/>
  <c r="BG18" i="4"/>
  <c r="BF18" i="4"/>
  <c r="BE18" i="4"/>
  <c r="BU22" i="4"/>
  <c r="BY21" i="4"/>
  <c r="BV21" i="4"/>
  <c r="BX21" i="4"/>
  <c r="BW21" i="4"/>
  <c r="AM22" i="4"/>
  <c r="V24" i="4"/>
  <c r="Z23" i="4"/>
  <c r="Y23" i="4"/>
  <c r="X23" i="4"/>
  <c r="W23" i="4"/>
  <c r="D20" i="4"/>
  <c r="F19" i="4"/>
  <c r="E19" i="4"/>
  <c r="H19" i="4"/>
  <c r="G19" i="4"/>
  <c r="U20" i="1" l="1"/>
  <c r="W20" i="1"/>
  <c r="T20" i="1"/>
  <c r="V20" i="1"/>
  <c r="S21" i="1"/>
  <c r="CM22" i="5"/>
  <c r="BD24" i="5"/>
  <c r="AM20" i="5"/>
  <c r="BU23" i="5"/>
  <c r="V23" i="5"/>
  <c r="D24" i="5"/>
  <c r="H23" i="5"/>
  <c r="E23" i="5"/>
  <c r="G23" i="5"/>
  <c r="F23" i="5"/>
  <c r="BX22" i="4"/>
  <c r="BU23" i="4"/>
  <c r="BW22" i="4"/>
  <c r="BV22" i="4"/>
  <c r="BY22" i="4"/>
  <c r="V25" i="4"/>
  <c r="Y24" i="4"/>
  <c r="Z24" i="4"/>
  <c r="W24" i="4"/>
  <c r="X24" i="4"/>
  <c r="D21" i="4"/>
  <c r="G20" i="4"/>
  <c r="H20" i="4"/>
  <c r="E20" i="4"/>
  <c r="F20" i="4"/>
  <c r="AM23" i="4"/>
  <c r="BH19" i="4"/>
  <c r="BD20" i="4"/>
  <c r="BG19" i="4"/>
  <c r="BF19" i="4"/>
  <c r="BE19" i="4"/>
  <c r="V21" i="1" l="1"/>
  <c r="W21" i="1"/>
  <c r="U21" i="1"/>
  <c r="T21" i="1"/>
  <c r="S22" i="1"/>
  <c r="CM23" i="5"/>
  <c r="BU24" i="5"/>
  <c r="AM21" i="5"/>
  <c r="V24" i="5"/>
  <c r="D25" i="5"/>
  <c r="G24" i="5"/>
  <c r="F24" i="5"/>
  <c r="H24" i="5"/>
  <c r="E24" i="5"/>
  <c r="BD25" i="5"/>
  <c r="Y25" i="4"/>
  <c r="AC33" i="4" s="1"/>
  <c r="W25" i="4"/>
  <c r="AC51" i="4" s="1"/>
  <c r="V26" i="4"/>
  <c r="Z25" i="4"/>
  <c r="AC24" i="4" s="1"/>
  <c r="X25" i="4"/>
  <c r="AC42" i="4" s="1"/>
  <c r="D22" i="4"/>
  <c r="H21" i="4"/>
  <c r="G21" i="4"/>
  <c r="F21" i="4"/>
  <c r="E21" i="4"/>
  <c r="BD21" i="4"/>
  <c r="BE20" i="4"/>
  <c r="BF20" i="4"/>
  <c r="BG20" i="4"/>
  <c r="BH20" i="4"/>
  <c r="BV23" i="4"/>
  <c r="BU24" i="4"/>
  <c r="BX23" i="4"/>
  <c r="BY23" i="4"/>
  <c r="BW23" i="4"/>
  <c r="AM24" i="4"/>
  <c r="V22" i="1" l="1"/>
  <c r="U22" i="1"/>
  <c r="W22" i="1"/>
  <c r="T22" i="1"/>
  <c r="S23" i="1"/>
  <c r="CM24" i="5"/>
  <c r="AM22" i="5"/>
  <c r="V25" i="5"/>
  <c r="D26" i="5"/>
  <c r="F25" i="5"/>
  <c r="K42" i="5" s="1"/>
  <c r="H25" i="5"/>
  <c r="K24" i="5" s="1"/>
  <c r="E25" i="5"/>
  <c r="K51" i="5" s="1"/>
  <c r="G25" i="5"/>
  <c r="K33" i="5" s="1"/>
  <c r="BD26" i="5"/>
  <c r="BK51" i="5"/>
  <c r="BK33" i="5"/>
  <c r="BK24" i="5"/>
  <c r="BU25" i="5"/>
  <c r="D23" i="4"/>
  <c r="F22" i="4"/>
  <c r="E22" i="4"/>
  <c r="G22" i="4"/>
  <c r="H22" i="4"/>
  <c r="BX24" i="4"/>
  <c r="BV24" i="4"/>
  <c r="BU25" i="4"/>
  <c r="BY24" i="4"/>
  <c r="BW24" i="4"/>
  <c r="Y26" i="4"/>
  <c r="W26" i="4"/>
  <c r="V27" i="4"/>
  <c r="Z26" i="4"/>
  <c r="X26" i="4"/>
  <c r="BD22" i="4"/>
  <c r="BF21" i="4"/>
  <c r="BG21" i="4"/>
  <c r="BE21" i="4"/>
  <c r="BH21" i="4"/>
  <c r="AM25" i="4"/>
  <c r="W23" i="1" l="1"/>
  <c r="T23" i="1"/>
  <c r="V23" i="1"/>
  <c r="U23" i="1"/>
  <c r="S24" i="1"/>
  <c r="CM25" i="5"/>
  <c r="V26" i="5"/>
  <c r="AC33" i="5"/>
  <c r="AC24" i="5"/>
  <c r="AC42" i="5"/>
  <c r="AC51" i="5"/>
  <c r="D27" i="5"/>
  <c r="E26" i="5"/>
  <c r="G26" i="5"/>
  <c r="F26" i="5"/>
  <c r="H26" i="5"/>
  <c r="BD27" i="5"/>
  <c r="BU26" i="5"/>
  <c r="CB24" i="5"/>
  <c r="CB51" i="5"/>
  <c r="CB33" i="5"/>
  <c r="CB42" i="5"/>
  <c r="AM23" i="5"/>
  <c r="AM26" i="4"/>
  <c r="AT24" i="4"/>
  <c r="AT42" i="4"/>
  <c r="AT51" i="4"/>
  <c r="AT33" i="4"/>
  <c r="V28" i="4"/>
  <c r="Y27" i="4"/>
  <c r="W27" i="4"/>
  <c r="Z27" i="4"/>
  <c r="X27" i="4"/>
  <c r="BV25" i="4"/>
  <c r="CB51" i="4" s="1"/>
  <c r="BU26" i="4"/>
  <c r="BY25" i="4"/>
  <c r="CB24" i="4" s="1"/>
  <c r="BX25" i="4"/>
  <c r="CB33" i="4" s="1"/>
  <c r="BW25" i="4"/>
  <c r="CB42" i="4" s="1"/>
  <c r="BD23" i="4"/>
  <c r="BG22" i="4"/>
  <c r="BF22" i="4"/>
  <c r="BE22" i="4"/>
  <c r="BH22" i="4"/>
  <c r="D24" i="4"/>
  <c r="H23" i="4"/>
  <c r="G23" i="4"/>
  <c r="E23" i="4"/>
  <c r="F23" i="4"/>
  <c r="W24" i="1" l="1"/>
  <c r="T24" i="1"/>
  <c r="V24" i="1"/>
  <c r="U24" i="1"/>
  <c r="S25" i="1"/>
  <c r="CT42" i="5"/>
  <c r="CM26" i="5"/>
  <c r="CT51" i="5"/>
  <c r="CT24" i="5"/>
  <c r="CT33" i="5"/>
  <c r="AM24" i="5"/>
  <c r="V27" i="5"/>
  <c r="BU27" i="5"/>
  <c r="BD28" i="5"/>
  <c r="D28" i="5"/>
  <c r="G27" i="5"/>
  <c r="F27" i="5"/>
  <c r="H27" i="5"/>
  <c r="E27" i="5"/>
  <c r="H24" i="4"/>
  <c r="G24" i="4"/>
  <c r="D25" i="4"/>
  <c r="E24" i="4"/>
  <c r="F24" i="4"/>
  <c r="BU27" i="4"/>
  <c r="BV26" i="4"/>
  <c r="BY26" i="4"/>
  <c r="BW26" i="4"/>
  <c r="BX26" i="4"/>
  <c r="V29" i="4"/>
  <c r="W28" i="4"/>
  <c r="X28" i="4"/>
  <c r="Z28" i="4"/>
  <c r="Y28" i="4"/>
  <c r="BG23" i="4"/>
  <c r="BD24" i="4"/>
  <c r="BE23" i="4"/>
  <c r="BH23" i="4"/>
  <c r="BF23" i="4"/>
  <c r="AM27" i="4"/>
  <c r="U25" i="1" l="1"/>
  <c r="W25" i="1"/>
  <c r="T25" i="1"/>
  <c r="V25" i="1"/>
  <c r="S26" i="1"/>
  <c r="CM27" i="5"/>
  <c r="V28" i="5"/>
  <c r="AM25" i="5"/>
  <c r="BD29" i="5"/>
  <c r="D29" i="5"/>
  <c r="F28" i="5"/>
  <c r="E28" i="5"/>
  <c r="H28" i="5"/>
  <c r="G28" i="5"/>
  <c r="BU28" i="5"/>
  <c r="BU28" i="4"/>
  <c r="BX27" i="4"/>
  <c r="BW27" i="4"/>
  <c r="BY27" i="4"/>
  <c r="BV27" i="4"/>
  <c r="D26" i="4"/>
  <c r="H25" i="4"/>
  <c r="K24" i="4" s="1"/>
  <c r="E25" i="4"/>
  <c r="K51" i="4" s="1"/>
  <c r="G25" i="4"/>
  <c r="K33" i="4" s="1"/>
  <c r="F25" i="4"/>
  <c r="K42" i="4" s="1"/>
  <c r="BD25" i="4"/>
  <c r="BH24" i="4"/>
  <c r="BE24" i="4"/>
  <c r="BG24" i="4"/>
  <c r="BF24" i="4"/>
  <c r="AM28" i="4"/>
  <c r="V30" i="4"/>
  <c r="W29" i="4"/>
  <c r="Y29" i="4"/>
  <c r="Z29" i="4"/>
  <c r="X29" i="4"/>
  <c r="U26" i="1" l="1"/>
  <c r="N8" i="1" s="1"/>
  <c r="W26" i="1"/>
  <c r="P8" i="1" s="1"/>
  <c r="T26" i="1"/>
  <c r="M8" i="1" s="1"/>
  <c r="V26" i="1"/>
  <c r="O8" i="1" s="1"/>
  <c r="S27" i="1"/>
  <c r="CM28" i="5"/>
  <c r="AM26" i="5"/>
  <c r="AT51" i="5"/>
  <c r="AT33" i="5"/>
  <c r="AT24" i="5"/>
  <c r="AT42" i="5"/>
  <c r="BD30" i="5"/>
  <c r="D30" i="5"/>
  <c r="E29" i="5"/>
  <c r="H29" i="5"/>
  <c r="G29" i="5"/>
  <c r="F29" i="5"/>
  <c r="BU29" i="5"/>
  <c r="V29" i="5"/>
  <c r="D27" i="4"/>
  <c r="E26" i="4"/>
  <c r="G26" i="4"/>
  <c r="H26" i="4"/>
  <c r="F26" i="4"/>
  <c r="BD26" i="4"/>
  <c r="BH25" i="4"/>
  <c r="BK24" i="4" s="1"/>
  <c r="BG25" i="4"/>
  <c r="BK33" i="4" s="1"/>
  <c r="BE25" i="4"/>
  <c r="BK51" i="4" s="1"/>
  <c r="BF25" i="4"/>
  <c r="BK42" i="4" s="1"/>
  <c r="AM29" i="4"/>
  <c r="V31" i="4"/>
  <c r="X30" i="4"/>
  <c r="Y30" i="4"/>
  <c r="Z30" i="4"/>
  <c r="W30" i="4"/>
  <c r="BU29" i="4"/>
  <c r="BW28" i="4"/>
  <c r="BV28" i="4"/>
  <c r="BY28" i="4"/>
  <c r="BX28" i="4"/>
  <c r="M17" i="1" l="1"/>
  <c r="M26" i="1" s="1"/>
  <c r="O17" i="1"/>
  <c r="O26" i="1" s="1"/>
  <c r="P17" i="1"/>
  <c r="P26" i="1" s="1"/>
  <c r="N17" i="1"/>
  <c r="N26" i="1" s="1"/>
  <c r="V27" i="1"/>
  <c r="T27" i="1"/>
  <c r="U27" i="1"/>
  <c r="W27" i="1"/>
  <c r="S28" i="1"/>
  <c r="CM29" i="5"/>
  <c r="BD31" i="5"/>
  <c r="D31" i="5"/>
  <c r="E30" i="5"/>
  <c r="G30" i="5"/>
  <c r="F30" i="5"/>
  <c r="H30" i="5"/>
  <c r="BU30" i="5"/>
  <c r="V30" i="5"/>
  <c r="AM27" i="5"/>
  <c r="V32" i="4"/>
  <c r="X31" i="4"/>
  <c r="AC43" i="4" s="1"/>
  <c r="Z31" i="4"/>
  <c r="AC25" i="4" s="1"/>
  <c r="Y31" i="4"/>
  <c r="AC34" i="4" s="1"/>
  <c r="W31" i="4"/>
  <c r="AC52" i="4" s="1"/>
  <c r="AM30" i="4"/>
  <c r="BD27" i="4"/>
  <c r="BH26" i="4"/>
  <c r="BG26" i="4"/>
  <c r="BE26" i="4"/>
  <c r="BF26" i="4"/>
  <c r="BU30" i="4"/>
  <c r="BY29" i="4"/>
  <c r="BX29" i="4"/>
  <c r="BV29" i="4"/>
  <c r="BW29" i="4"/>
  <c r="E27" i="4"/>
  <c r="D28" i="4"/>
  <c r="G27" i="4"/>
  <c r="H27" i="4"/>
  <c r="F27" i="4"/>
  <c r="V28" i="1" l="1"/>
  <c r="U28" i="1"/>
  <c r="W28" i="1"/>
  <c r="T28" i="1"/>
  <c r="S29" i="1"/>
  <c r="CM30" i="5"/>
  <c r="D32" i="5"/>
  <c r="F31" i="5"/>
  <c r="K43" i="5" s="1"/>
  <c r="H31" i="5"/>
  <c r="K25" i="5" s="1"/>
  <c r="G31" i="5"/>
  <c r="K34" i="5" s="1"/>
  <c r="E31" i="5"/>
  <c r="K52" i="5" s="1"/>
  <c r="BU31" i="5"/>
  <c r="V31" i="5"/>
  <c r="AM28" i="5"/>
  <c r="BD32" i="5"/>
  <c r="BK43" i="5"/>
  <c r="BK25" i="5"/>
  <c r="BK34" i="5"/>
  <c r="BK52" i="5"/>
  <c r="AM31" i="4"/>
  <c r="V33" i="4"/>
  <c r="X32" i="4"/>
  <c r="Z32" i="4"/>
  <c r="Y32" i="4"/>
  <c r="W32" i="4"/>
  <c r="BU31" i="4"/>
  <c r="BV30" i="4"/>
  <c r="BW30" i="4"/>
  <c r="BX30" i="4"/>
  <c r="BY30" i="4"/>
  <c r="BD28" i="4"/>
  <c r="BH27" i="4"/>
  <c r="BG27" i="4"/>
  <c r="BE27" i="4"/>
  <c r="BF27" i="4"/>
  <c r="D29" i="4"/>
  <c r="H28" i="4"/>
  <c r="E28" i="4"/>
  <c r="G28" i="4"/>
  <c r="F28" i="4"/>
  <c r="W29" i="1" l="1"/>
  <c r="T29" i="1"/>
  <c r="U29" i="1"/>
  <c r="V29" i="1"/>
  <c r="S30" i="1"/>
  <c r="CM31" i="5"/>
  <c r="BU32" i="5"/>
  <c r="CB25" i="5"/>
  <c r="CB43" i="5"/>
  <c r="CB34" i="5"/>
  <c r="CB52" i="5"/>
  <c r="V32" i="5"/>
  <c r="AC34" i="5"/>
  <c r="AC52" i="5"/>
  <c r="AC25" i="5"/>
  <c r="AC43" i="5"/>
  <c r="AM29" i="5"/>
  <c r="BD33" i="5"/>
  <c r="D33" i="5"/>
  <c r="G32" i="5"/>
  <c r="E32" i="5"/>
  <c r="F32" i="5"/>
  <c r="H32" i="5"/>
  <c r="V34" i="4"/>
  <c r="Z33" i="4"/>
  <c r="Y33" i="4"/>
  <c r="X33" i="4"/>
  <c r="W33" i="4"/>
  <c r="BD29" i="4"/>
  <c r="BG28" i="4"/>
  <c r="BH28" i="4"/>
  <c r="BF28" i="4"/>
  <c r="BE28" i="4"/>
  <c r="BU32" i="4"/>
  <c r="BV31" i="4"/>
  <c r="CB52" i="4" s="1"/>
  <c r="BY31" i="4"/>
  <c r="CB25" i="4" s="1"/>
  <c r="BX31" i="4"/>
  <c r="CB34" i="4" s="1"/>
  <c r="BW31" i="4"/>
  <c r="CB43" i="4" s="1"/>
  <c r="D30" i="4"/>
  <c r="F29" i="4"/>
  <c r="G29" i="4"/>
  <c r="H29" i="4"/>
  <c r="E29" i="4"/>
  <c r="AM32" i="4"/>
  <c r="AT43" i="4"/>
  <c r="AT34" i="4"/>
  <c r="AT52" i="4"/>
  <c r="AT25" i="4"/>
  <c r="W30" i="1" l="1"/>
  <c r="T30" i="1"/>
  <c r="V30" i="1"/>
  <c r="U30" i="1"/>
  <c r="S31" i="1"/>
  <c r="CT25" i="5"/>
  <c r="CM32" i="5"/>
  <c r="CT34" i="5"/>
  <c r="CT43" i="5"/>
  <c r="CT52" i="5"/>
  <c r="V33" i="5"/>
  <c r="D34" i="5"/>
  <c r="F33" i="5"/>
  <c r="G33" i="5"/>
  <c r="H33" i="5"/>
  <c r="E33" i="5"/>
  <c r="BD34" i="5"/>
  <c r="AM30" i="5"/>
  <c r="BU33" i="5"/>
  <c r="BD30" i="4"/>
  <c r="BE29" i="4"/>
  <c r="BF29" i="4"/>
  <c r="BG29" i="4"/>
  <c r="BH29" i="4"/>
  <c r="D31" i="4"/>
  <c r="H30" i="4"/>
  <c r="F30" i="4"/>
  <c r="G30" i="4"/>
  <c r="E30" i="4"/>
  <c r="AM33" i="4"/>
  <c r="BU33" i="4"/>
  <c r="BX32" i="4"/>
  <c r="BW32" i="4"/>
  <c r="BY32" i="4"/>
  <c r="BV32" i="4"/>
  <c r="V35" i="4"/>
  <c r="Y34" i="4"/>
  <c r="X34" i="4"/>
  <c r="Z34" i="4"/>
  <c r="W34" i="4"/>
  <c r="U31" i="1" l="1"/>
  <c r="W31" i="1"/>
  <c r="T31" i="1"/>
  <c r="V31" i="1"/>
  <c r="S32" i="1"/>
  <c r="CM33" i="5"/>
  <c r="AM31" i="5"/>
  <c r="BD35" i="5"/>
  <c r="D35" i="5"/>
  <c r="G34" i="5"/>
  <c r="E34" i="5"/>
  <c r="H34" i="5"/>
  <c r="F34" i="5"/>
  <c r="BU34" i="5"/>
  <c r="V34" i="5"/>
  <c r="D32" i="4"/>
  <c r="G31" i="4"/>
  <c r="K34" i="4" s="1"/>
  <c r="H31" i="4"/>
  <c r="K25" i="4" s="1"/>
  <c r="E31" i="4"/>
  <c r="K52" i="4" s="1"/>
  <c r="F31" i="4"/>
  <c r="K43" i="4" s="1"/>
  <c r="AM34" i="4"/>
  <c r="BU34" i="4"/>
  <c r="BV33" i="4"/>
  <c r="BX33" i="4"/>
  <c r="BW33" i="4"/>
  <c r="BY33" i="4"/>
  <c r="V36" i="4"/>
  <c r="X35" i="4"/>
  <c r="Z35" i="4"/>
  <c r="W35" i="4"/>
  <c r="Y35" i="4"/>
  <c r="BD31" i="4"/>
  <c r="BH30" i="4"/>
  <c r="BE30" i="4"/>
  <c r="BF30" i="4"/>
  <c r="BG30" i="4"/>
  <c r="U32" i="1" l="1"/>
  <c r="N9" i="1" s="1"/>
  <c r="W32" i="1"/>
  <c r="P9" i="1" s="1"/>
  <c r="T32" i="1"/>
  <c r="M9" i="1" s="1"/>
  <c r="V32" i="1"/>
  <c r="O9" i="1" s="1"/>
  <c r="S33" i="1"/>
  <c r="CM34" i="5"/>
  <c r="BD36" i="5"/>
  <c r="D36" i="5"/>
  <c r="G35" i="5"/>
  <c r="H35" i="5"/>
  <c r="F35" i="5"/>
  <c r="E35" i="5"/>
  <c r="V35" i="5"/>
  <c r="BU35" i="5"/>
  <c r="AM32" i="5"/>
  <c r="AT25" i="5"/>
  <c r="AT34" i="5"/>
  <c r="AT43" i="5"/>
  <c r="AT52" i="5"/>
  <c r="AM35" i="4"/>
  <c r="V37" i="4"/>
  <c r="Z36" i="4"/>
  <c r="Y36" i="4"/>
  <c r="W36" i="4"/>
  <c r="X36" i="4"/>
  <c r="BD32" i="4"/>
  <c r="BE31" i="4"/>
  <c r="BK52" i="4" s="1"/>
  <c r="BG31" i="4"/>
  <c r="BK34" i="4" s="1"/>
  <c r="BF31" i="4"/>
  <c r="BK43" i="4" s="1"/>
  <c r="BH31" i="4"/>
  <c r="BK25" i="4" s="1"/>
  <c r="BU35" i="4"/>
  <c r="BW34" i="4"/>
  <c r="BX34" i="4"/>
  <c r="BY34" i="4"/>
  <c r="BV34" i="4"/>
  <c r="D33" i="4"/>
  <c r="G32" i="4"/>
  <c r="F32" i="4"/>
  <c r="H32" i="4"/>
  <c r="E32" i="4"/>
  <c r="O18" i="1" l="1"/>
  <c r="O27" i="1" s="1"/>
  <c r="M18" i="1"/>
  <c r="M27" i="1" s="1"/>
  <c r="P18" i="1"/>
  <c r="P27" i="1" s="1"/>
  <c r="N18" i="1"/>
  <c r="N27" i="1" s="1"/>
  <c r="V33" i="1"/>
  <c r="U33" i="1"/>
  <c r="W33" i="1"/>
  <c r="T33" i="1"/>
  <c r="S34" i="1"/>
  <c r="CM35" i="5"/>
  <c r="D37" i="5"/>
  <c r="H36" i="5"/>
  <c r="E36" i="5"/>
  <c r="G36" i="5"/>
  <c r="F36" i="5"/>
  <c r="V36" i="5"/>
  <c r="BU36" i="5"/>
  <c r="AM33" i="5"/>
  <c r="BD37" i="5"/>
  <c r="V38" i="4"/>
  <c r="Z37" i="4"/>
  <c r="W37" i="4"/>
  <c r="X37" i="4"/>
  <c r="Y37" i="4"/>
  <c r="BU36" i="4"/>
  <c r="BV35" i="4"/>
  <c r="BW35" i="4"/>
  <c r="BY35" i="4"/>
  <c r="BX35" i="4"/>
  <c r="D34" i="4"/>
  <c r="G33" i="4"/>
  <c r="F33" i="4"/>
  <c r="H33" i="4"/>
  <c r="E33" i="4"/>
  <c r="BD33" i="4"/>
  <c r="BH32" i="4"/>
  <c r="BG32" i="4"/>
  <c r="BF32" i="4"/>
  <c r="BE32" i="4"/>
  <c r="AM36" i="4"/>
  <c r="V34" i="1" l="1"/>
  <c r="U34" i="1"/>
  <c r="W34" i="1"/>
  <c r="T34" i="1"/>
  <c r="S35" i="1"/>
  <c r="CM36" i="5"/>
  <c r="V37" i="5"/>
  <c r="AM34" i="5"/>
  <c r="BU37" i="5"/>
  <c r="BD38" i="5"/>
  <c r="D38" i="5"/>
  <c r="H37" i="5"/>
  <c r="F37" i="5"/>
  <c r="E37" i="5"/>
  <c r="G37" i="5"/>
  <c r="BU37" i="4"/>
  <c r="BY36" i="4"/>
  <c r="BW36" i="4"/>
  <c r="BV36" i="4"/>
  <c r="BX36" i="4"/>
  <c r="BD34" i="4"/>
  <c r="BG33" i="4"/>
  <c r="BH33" i="4"/>
  <c r="BF33" i="4"/>
  <c r="BE33" i="4"/>
  <c r="D35" i="4"/>
  <c r="F34" i="4"/>
  <c r="H34" i="4"/>
  <c r="G34" i="4"/>
  <c r="E34" i="4"/>
  <c r="AM37" i="4"/>
  <c r="V39" i="4"/>
  <c r="Z38" i="4"/>
  <c r="Y38" i="4"/>
  <c r="X38" i="4"/>
  <c r="W38" i="4"/>
  <c r="W35" i="1" l="1"/>
  <c r="T35" i="1"/>
  <c r="V35" i="1"/>
  <c r="U35" i="1"/>
  <c r="S36" i="1"/>
  <c r="CM37" i="5"/>
  <c r="AM35" i="5"/>
  <c r="BU38" i="5"/>
  <c r="BD39" i="5"/>
  <c r="D39" i="5"/>
  <c r="F38" i="5"/>
  <c r="H38" i="5"/>
  <c r="G38" i="5"/>
  <c r="E38" i="5"/>
  <c r="V38" i="5"/>
  <c r="BD35" i="4"/>
  <c r="BH34" i="4"/>
  <c r="BG34" i="4"/>
  <c r="BF34" i="4"/>
  <c r="BE34" i="4"/>
  <c r="D36" i="4"/>
  <c r="G35" i="4"/>
  <c r="H35" i="4"/>
  <c r="F35" i="4"/>
  <c r="E35" i="4"/>
  <c r="AM38" i="4"/>
  <c r="V40" i="4"/>
  <c r="Z39" i="4"/>
  <c r="X39" i="4"/>
  <c r="Y39" i="4"/>
  <c r="W39" i="4"/>
  <c r="BU38" i="4"/>
  <c r="BW37" i="4"/>
  <c r="BX37" i="4"/>
  <c r="BV37" i="4"/>
  <c r="BY37" i="4"/>
  <c r="W36" i="1" l="1"/>
  <c r="T36" i="1"/>
  <c r="V36" i="1"/>
  <c r="U36" i="1"/>
  <c r="S37" i="1"/>
  <c r="CM38" i="5"/>
  <c r="BU39" i="5"/>
  <c r="D40" i="5"/>
  <c r="H39" i="5"/>
  <c r="G39" i="5"/>
  <c r="F39" i="5"/>
  <c r="E39" i="5"/>
  <c r="V39" i="5"/>
  <c r="BD40" i="5"/>
  <c r="AM36" i="5"/>
  <c r="D37" i="4"/>
  <c r="G36" i="4"/>
  <c r="E36" i="4"/>
  <c r="H36" i="4"/>
  <c r="F36" i="4"/>
  <c r="AM39" i="4"/>
  <c r="BU39" i="4"/>
  <c r="BX38" i="4"/>
  <c r="BW38" i="4"/>
  <c r="BY38" i="4"/>
  <c r="BV38" i="4"/>
  <c r="V41" i="4"/>
  <c r="Y40" i="4"/>
  <c r="Z40" i="4"/>
  <c r="W40" i="4"/>
  <c r="X40" i="4"/>
  <c r="BD36" i="4"/>
  <c r="BH35" i="4"/>
  <c r="BG35" i="4"/>
  <c r="BF35" i="4"/>
  <c r="BE35" i="4"/>
  <c r="U37" i="1" l="1"/>
  <c r="W37" i="1"/>
  <c r="T37" i="1"/>
  <c r="V37" i="1"/>
  <c r="S38" i="1"/>
  <c r="CM39" i="5"/>
  <c r="D41" i="5"/>
  <c r="G40" i="5"/>
  <c r="H40" i="5"/>
  <c r="F40" i="5"/>
  <c r="E40" i="5"/>
  <c r="BD41" i="5"/>
  <c r="AM37" i="5"/>
  <c r="V40" i="5"/>
  <c r="BU40" i="5"/>
  <c r="AM40" i="4"/>
  <c r="BU40" i="4"/>
  <c r="BV39" i="4"/>
  <c r="BX39" i="4"/>
  <c r="BW39" i="4"/>
  <c r="BY39" i="4"/>
  <c r="Z41" i="4"/>
  <c r="AC26" i="4" s="1"/>
  <c r="Y41" i="4"/>
  <c r="AC35" i="4" s="1"/>
  <c r="X41" i="4"/>
  <c r="AC44" i="4" s="1"/>
  <c r="W41" i="4"/>
  <c r="AC53" i="4" s="1"/>
  <c r="BD37" i="4"/>
  <c r="BH36" i="4"/>
  <c r="BG36" i="4"/>
  <c r="BE36" i="4"/>
  <c r="BF36" i="4"/>
  <c r="D38" i="4"/>
  <c r="H37" i="4"/>
  <c r="E37" i="4"/>
  <c r="F37" i="4"/>
  <c r="G37" i="4"/>
  <c r="U38" i="1" l="1"/>
  <c r="W38" i="1"/>
  <c r="T38" i="1"/>
  <c r="V38" i="1"/>
  <c r="S39" i="1"/>
  <c r="CM40" i="5"/>
  <c r="BK44" i="5"/>
  <c r="BM40" i="5" s="1" a="1"/>
  <c r="BM40" i="5" s="1"/>
  <c r="BK35" i="5"/>
  <c r="BM31" i="5" s="1" a="1"/>
  <c r="BM31" i="5" s="1"/>
  <c r="BK26" i="5"/>
  <c r="BM22" i="5" s="1" a="1"/>
  <c r="BM22" i="5" s="1"/>
  <c r="BK53" i="5"/>
  <c r="BM49" i="5" s="1" a="1"/>
  <c r="BM49" i="5" s="1"/>
  <c r="AM38" i="5"/>
  <c r="V41" i="5"/>
  <c r="BU41" i="5"/>
  <c r="F41" i="5"/>
  <c r="K44" i="5" s="1"/>
  <c r="M40" i="5" s="1" a="1"/>
  <c r="M40" i="5" s="1"/>
  <c r="E41" i="5"/>
  <c r="K53" i="5" s="1"/>
  <c r="M49" i="5" s="1" a="1"/>
  <c r="M49" i="5" s="1"/>
  <c r="H41" i="5"/>
  <c r="K26" i="5" s="1"/>
  <c r="M22" i="5" s="1" a="1"/>
  <c r="M22" i="5" s="1"/>
  <c r="G41" i="5"/>
  <c r="K35" i="5" s="1"/>
  <c r="M31" i="5" s="1" a="1"/>
  <c r="M31" i="5" s="1"/>
  <c r="BU41" i="4"/>
  <c r="BV40" i="4"/>
  <c r="BW40" i="4"/>
  <c r="BX40" i="4"/>
  <c r="BY40" i="4"/>
  <c r="D39" i="4"/>
  <c r="H38" i="4"/>
  <c r="F38" i="4"/>
  <c r="G38" i="4"/>
  <c r="E38" i="4"/>
  <c r="BD38" i="4"/>
  <c r="BG37" i="4"/>
  <c r="BH37" i="4"/>
  <c r="BE37" i="4"/>
  <c r="BF37" i="4"/>
  <c r="AM41" i="4"/>
  <c r="V39" i="1" l="1"/>
  <c r="U39" i="1"/>
  <c r="W39" i="1"/>
  <c r="T39" i="1"/>
  <c r="S40" i="1"/>
  <c r="CM41" i="5"/>
  <c r="AC26" i="5"/>
  <c r="AE22" i="5" s="1" a="1"/>
  <c r="AE22" i="5" s="1"/>
  <c r="AC53" i="5"/>
  <c r="AE49" i="5" s="1" a="1"/>
  <c r="AE49" i="5" s="1"/>
  <c r="AC35" i="5"/>
  <c r="AE31" i="5" s="1" a="1"/>
  <c r="AE31" i="5" s="1"/>
  <c r="AC44" i="5"/>
  <c r="AE40" i="5" s="1" a="1"/>
  <c r="AE40" i="5" s="1"/>
  <c r="CB26" i="5"/>
  <c r="CD22" i="5" s="1" a="1"/>
  <c r="CD22" i="5" s="1"/>
  <c r="CB35" i="5"/>
  <c r="CD31" i="5" s="1" a="1"/>
  <c r="CD31" i="5" s="1"/>
  <c r="CB53" i="5"/>
  <c r="CD49" i="5" s="1" a="1"/>
  <c r="CD49" i="5" s="1"/>
  <c r="CB44" i="5"/>
  <c r="CD40" i="5" s="1" a="1"/>
  <c r="CD40" i="5" s="1"/>
  <c r="AM39" i="5"/>
  <c r="BD39" i="4"/>
  <c r="BF38" i="4"/>
  <c r="BG38" i="4"/>
  <c r="BE38" i="4"/>
  <c r="BH38" i="4"/>
  <c r="D40" i="4"/>
  <c r="H39" i="4"/>
  <c r="E39" i="4"/>
  <c r="F39" i="4"/>
  <c r="G39" i="4"/>
  <c r="AT44" i="4"/>
  <c r="AT35" i="4"/>
  <c r="AT26" i="4"/>
  <c r="AT53" i="4"/>
  <c r="BW41" i="4"/>
  <c r="CB44" i="4" s="1"/>
  <c r="BX41" i="4"/>
  <c r="CB35" i="4" s="1"/>
  <c r="BY41" i="4"/>
  <c r="CB26" i="4" s="1"/>
  <c r="CB53" i="4"/>
  <c r="V40" i="1" l="1"/>
  <c r="U40" i="1"/>
  <c r="W40" i="1"/>
  <c r="T40" i="1"/>
  <c r="S41" i="1"/>
  <c r="CT26" i="5"/>
  <c r="CV22" i="5" s="1" a="1"/>
  <c r="CV22" i="5" s="1"/>
  <c r="CT35" i="5"/>
  <c r="CV31" i="5" s="1" a="1"/>
  <c r="CV31" i="5" s="1"/>
  <c r="CT44" i="5"/>
  <c r="CV40" i="5" s="1" a="1"/>
  <c r="CV40" i="5" s="1"/>
  <c r="CT53" i="5"/>
  <c r="CV49" i="5" s="1" a="1"/>
  <c r="CV49" i="5" s="1"/>
  <c r="AM40" i="5"/>
  <c r="BD40" i="4"/>
  <c r="BE39" i="4"/>
  <c r="BH39" i="4"/>
  <c r="BG39" i="4"/>
  <c r="BF39" i="4"/>
  <c r="D41" i="4"/>
  <c r="G40" i="4"/>
  <c r="E40" i="4"/>
  <c r="H40" i="4"/>
  <c r="F40" i="4"/>
  <c r="W41" i="1" l="1"/>
  <c r="T41" i="1"/>
  <c r="V41" i="1"/>
  <c r="U41" i="1"/>
  <c r="S42" i="1"/>
  <c r="AM41" i="5"/>
  <c r="H41" i="4"/>
  <c r="K26" i="4" s="1"/>
  <c r="F41" i="4"/>
  <c r="K44" i="4" s="1"/>
  <c r="M40" i="4" s="1" a="1"/>
  <c r="M40" i="4" s="1"/>
  <c r="E41" i="4"/>
  <c r="K53" i="4" s="1"/>
  <c r="G41" i="4"/>
  <c r="K35" i="4" s="1"/>
  <c r="BD41" i="4"/>
  <c r="BE40" i="4"/>
  <c r="BG40" i="4"/>
  <c r="BF40" i="4"/>
  <c r="BH40" i="4"/>
  <c r="W42" i="1" l="1"/>
  <c r="P10" i="1" s="1"/>
  <c r="T42" i="1"/>
  <c r="M10" i="1" s="1"/>
  <c r="V42" i="1"/>
  <c r="O10" i="1" s="1"/>
  <c r="U42" i="1"/>
  <c r="N10" i="1" s="1"/>
  <c r="AT53" i="5"/>
  <c r="AV49" i="5" s="1" a="1"/>
  <c r="AV49" i="5" s="1"/>
  <c r="AT44" i="5"/>
  <c r="AV40" i="5" s="1" a="1"/>
  <c r="AV40" i="5" s="1"/>
  <c r="AT26" i="5"/>
  <c r="AV22" i="5" s="1" a="1"/>
  <c r="AV22" i="5" s="1"/>
  <c r="AT35" i="5"/>
  <c r="AV31" i="5" s="1" a="1"/>
  <c r="AV31" i="5" s="1"/>
  <c r="BG41" i="4"/>
  <c r="BK35" i="4" s="1"/>
  <c r="BF41" i="4"/>
  <c r="BK44" i="4" s="1"/>
  <c r="BH41" i="4"/>
  <c r="BK26" i="4" s="1"/>
  <c r="BE41" i="4"/>
  <c r="BK53" i="4" s="1"/>
  <c r="N19" i="1" l="1"/>
  <c r="N28" i="1" s="1"/>
  <c r="O19" i="1"/>
  <c r="O28" i="1" s="1"/>
  <c r="M19" i="1"/>
  <c r="M28" i="1" s="1"/>
  <c r="M30" i="1" s="1"/>
  <c r="M33" i="1" s="1"/>
  <c r="P19" i="1"/>
  <c r="P28" i="1" s="1"/>
  <c r="P30" i="1" s="1"/>
  <c r="P33" i="1" s="1"/>
  <c r="AE40" i="4" a="1"/>
  <c r="AE40" i="4" s="1"/>
  <c r="AE31" i="4" a="1"/>
  <c r="AE31" i="4" s="1"/>
  <c r="AE22" i="4" a="1"/>
  <c r="AE22" i="4" s="1"/>
  <c r="AE49" i="4" a="1"/>
  <c r="AE49" i="4" s="1"/>
  <c r="O30" i="1" l="1"/>
  <c r="O33" i="1" s="1"/>
  <c r="M31" i="1"/>
  <c r="N30" i="1"/>
  <c r="N33" i="1" s="1"/>
  <c r="AV49" i="4" a="1"/>
  <c r="AV49" i="4" s="1"/>
  <c r="AV31" i="4" a="1"/>
  <c r="AV31" i="4" s="1"/>
  <c r="AV40" i="4" a="1"/>
  <c r="AV40" i="4" s="1"/>
  <c r="AV22" i="4" a="1"/>
  <c r="AV22" i="4" s="1"/>
  <c r="CD49" i="4" a="1"/>
  <c r="CD49" i="4" s="1"/>
  <c r="CD40" i="4" a="1"/>
  <c r="CD40" i="4" s="1"/>
  <c r="CD22" i="4" a="1"/>
  <c r="CD22" i="4" s="1"/>
  <c r="CD31" i="4" a="1"/>
  <c r="CD31" i="4" s="1"/>
  <c r="O31" i="1" l="1"/>
  <c r="P31" i="1"/>
  <c r="N31" i="1"/>
  <c r="M22" i="4" a="1"/>
  <c r="M22" i="4" s="1"/>
  <c r="M49" i="4" a="1"/>
  <c r="M49" i="4" s="1"/>
  <c r="M31" i="4" a="1"/>
  <c r="M31" i="4" s="1"/>
  <c r="BM40" i="4" l="1" a="1"/>
  <c r="BM40" i="4" s="1"/>
  <c r="BM22" i="4" a="1"/>
  <c r="BM22" i="4" s="1"/>
  <c r="BM49" i="4" a="1"/>
  <c r="BM49" i="4" s="1"/>
  <c r="BM31" i="4" a="1"/>
  <c r="BM31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<sst xmlns="http://schemas.openxmlformats.org/spreadsheetml/2006/main" count="292" uniqueCount="48">
  <si>
    <t>tau*/tau*ref</t>
  </si>
  <si>
    <t>tau*c50</t>
  </si>
  <si>
    <t>duration</t>
  </si>
  <si>
    <t>d50</t>
  </si>
  <si>
    <t>mm</t>
  </si>
  <si>
    <t>applied tau</t>
  </si>
  <si>
    <t>min tauc</t>
  </si>
  <si>
    <t>max tauc</t>
  </si>
  <si>
    <t>GPM</t>
  </si>
  <si>
    <t>Time (mins)</t>
  </si>
  <si>
    <t>K values (assuming k=τ)</t>
  </si>
  <si>
    <t xml:space="preserve">τ* </t>
  </si>
  <si>
    <t>τ*c</t>
  </si>
  <si>
    <t xml:space="preserve">Predicted τ*c </t>
  </si>
  <si>
    <t>Measured τ*c</t>
  </si>
  <si>
    <t>Med High Flow (τ* = 0.089)</t>
  </si>
  <si>
    <t>Med Low Flow (τ* = 0.086)</t>
  </si>
  <si>
    <t>Low Flow (τ* = 0.075)</t>
  </si>
  <si>
    <t>RMSE</t>
  </si>
  <si>
    <t>K values (assuming k=τ^2)</t>
  </si>
  <si>
    <t>K values (assuming k=τ^0.5)</t>
  </si>
  <si>
    <t>K values (assuming k=τ/2)</t>
  </si>
  <si>
    <t>K values (assuming k=2τ)</t>
  </si>
  <si>
    <t>SEG</t>
  </si>
  <si>
    <t>Using surface GSD from SEG, by area, per experiment</t>
  </si>
  <si>
    <t>High Flow: (τ* = 0.055)</t>
  </si>
  <si>
    <t>Med High Flow (τ* = 0.047)</t>
  </si>
  <si>
    <t>Med Low Flow (τ* = 0.043)</t>
  </si>
  <si>
    <t>Low Flow (τ* = 0.041)</t>
  </si>
  <si>
    <t>K values (assuming k=τ*τmin)</t>
  </si>
  <si>
    <t>K values (assuming k=τ/τmin)</t>
  </si>
  <si>
    <t>K values (assuming k=τ/τmin^2)</t>
  </si>
  <si>
    <t>K values (assuming k=τ*τmin^2)</t>
  </si>
  <si>
    <t>K values (assuming k=τ^2*τmin)</t>
  </si>
  <si>
    <t>K values (assuming k=τ^2/τmin)</t>
  </si>
  <si>
    <t>Optimized k values for reduced error</t>
  </si>
  <si>
    <t>Predicted tau*c50</t>
  </si>
  <si>
    <t>Measured</t>
  </si>
  <si>
    <t>Error</t>
  </si>
  <si>
    <t>Sqrd Error</t>
  </si>
  <si>
    <t>SSE</t>
  </si>
  <si>
    <t xml:space="preserve">SST </t>
  </si>
  <si>
    <t>SST</t>
  </si>
  <si>
    <t>Measured - Pred</t>
  </si>
  <si>
    <t>(Measured-Pred)^2</t>
  </si>
  <si>
    <t>avg</t>
  </si>
  <si>
    <t>(Measured - Avg Measured)^2</t>
  </si>
  <si>
    <t>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</si>
</sst>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9" formatCode="0.0E+00"/>
    <numFmt numFmtId="171" formatCode="0.00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2" fillId="0" borderId="4" xfId="0" applyFont="1" applyBorder="1"/>
    <xf numFmtId="0" fontId="2" fillId="0" borderId="0" xfId="0" applyFont="1"/>
    <xf numFmtId="0" fontId="0" fillId="0" borderId="4" xfId="0" applyBorder="1"/>
    <xf numFmtId="164" fontId="0" fillId="0" borderId="0" xfId="0" applyNumberFormat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1" fillId="0" borderId="9" xfId="0" applyFont="1" applyBorder="1" applyAlignment="1">
      <alignment horizontal="center"/>
    </xf>
    <xf numFmtId="165" fontId="0" fillId="0" borderId="9" xfId="0" applyNumberFormat="1" applyBorder="1" applyAlignment="1">
      <alignment horizontal="center"/>
    </xf>
    <xf numFmtId="165" fontId="0" fillId="0" borderId="0" xfId="0" applyNumberFormat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2" fillId="5" borderId="4" xfId="0" applyFont="1" applyFill="1" applyBorder="1" applyAlignment="1">
      <alignment horizontal="center"/>
    </xf>
    <xf numFmtId="165" fontId="0" fillId="5" borderId="9" xfId="0" applyNumberFormat="1" applyFill="1" applyBorder="1" applyAlignment="1">
      <alignment horizontal="center"/>
    </xf>
    <xf numFmtId="165" fontId="0" fillId="4" borderId="9" xfId="0" applyNumberFormat="1" applyFill="1" applyBorder="1" applyAlignment="1">
      <alignment horizontal="center"/>
    </xf>
    <xf numFmtId="164" fontId="0" fillId="4" borderId="0" xfId="0" applyNumberFormat="1" applyFill="1" applyAlignment="1">
      <alignment horizontal="center"/>
    </xf>
    <xf numFmtId="165" fontId="0" fillId="3" borderId="9" xfId="0" applyNumberFormat="1" applyFill="1" applyBorder="1" applyAlignment="1">
      <alignment horizontal="center"/>
    </xf>
    <xf numFmtId="164" fontId="0" fillId="3" borderId="0" xfId="0" applyNumberFormat="1" applyFill="1" applyAlignment="1">
      <alignment horizontal="center"/>
    </xf>
    <xf numFmtId="165" fontId="0" fillId="2" borderId="9" xfId="0" applyNumberFormat="1" applyFill="1" applyBorder="1" applyAlignment="1">
      <alignment horizontal="center"/>
    </xf>
    <xf numFmtId="164" fontId="0" fillId="2" borderId="0" xfId="0" applyNumberFormat="1" applyFill="1" applyAlignment="1">
      <alignment horizontal="center"/>
    </xf>
    <xf numFmtId="0" fontId="1" fillId="5" borderId="0" xfId="0" applyFont="1" applyFill="1" applyAlignment="1">
      <alignment horizontal="center"/>
    </xf>
    <xf numFmtId="164" fontId="1" fillId="4" borderId="0" xfId="0" applyNumberFormat="1" applyFont="1" applyFill="1" applyAlignment="1">
      <alignment horizontal="center"/>
    </xf>
    <xf numFmtId="164" fontId="1" fillId="3" borderId="0" xfId="0" applyNumberFormat="1" applyFont="1" applyFill="1" applyAlignment="1">
      <alignment horizontal="center"/>
    </xf>
    <xf numFmtId="164" fontId="1" fillId="2" borderId="0" xfId="0" applyNumberFormat="1" applyFont="1" applyFill="1" applyAlignment="1">
      <alignment horizontal="center"/>
    </xf>
    <xf numFmtId="164" fontId="0" fillId="2" borderId="4" xfId="0" applyNumberFormat="1" applyFill="1" applyBorder="1" applyAlignment="1">
      <alignment horizontal="center"/>
    </xf>
    <xf numFmtId="164" fontId="0" fillId="5" borderId="0" xfId="0" applyNumberFormat="1" applyFill="1" applyAlignment="1">
      <alignment horizontal="center"/>
    </xf>
    <xf numFmtId="164" fontId="0" fillId="3" borderId="4" xfId="0" applyNumberFormat="1" applyFill="1" applyBorder="1" applyAlignment="1">
      <alignment horizontal="center"/>
    </xf>
    <xf numFmtId="164" fontId="0" fillId="4" borderId="4" xfId="0" applyNumberForma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164" fontId="3" fillId="2" borderId="0" xfId="0" applyNumberFormat="1" applyFont="1" applyFill="1" applyAlignment="1">
      <alignment horizontal="center"/>
    </xf>
    <xf numFmtId="164" fontId="3" fillId="5" borderId="0" xfId="0" applyNumberFormat="1" applyFont="1" applyFill="1" applyAlignment="1">
      <alignment horizontal="center"/>
    </xf>
    <xf numFmtId="164" fontId="0" fillId="2" borderId="0" xfId="0" quotePrefix="1" applyNumberFormat="1" applyFill="1" applyAlignment="1">
      <alignment horizontal="center"/>
    </xf>
    <xf numFmtId="0" fontId="0" fillId="0" borderId="2" xfId="0" applyBorder="1" applyAlignment="1">
      <alignment horizontal="center"/>
    </xf>
    <xf numFmtId="165" fontId="0" fillId="0" borderId="0" xfId="0" applyNumberFormat="1"/>
    <xf numFmtId="0" fontId="2" fillId="5" borderId="0" xfId="0" applyFont="1" applyFill="1"/>
    <xf numFmtId="2" fontId="0" fillId="0" borderId="0" xfId="0" applyNumberFormat="1"/>
    <xf numFmtId="2" fontId="0" fillId="0" borderId="4" xfId="0" applyNumberFormat="1" applyBorder="1"/>
    <xf numFmtId="165" fontId="0" fillId="0" borderId="8" xfId="0" applyNumberFormat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164" fontId="1" fillId="5" borderId="0" xfId="0" applyNumberFormat="1" applyFont="1" applyFill="1" applyAlignment="1">
      <alignment horizont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164" fontId="3" fillId="0" borderId="0" xfId="0" applyNumberFormat="1" applyFont="1" applyFill="1" applyBorder="1" applyAlignment="1">
      <alignment horizontal="center"/>
    </xf>
    <xf numFmtId="164" fontId="0" fillId="0" borderId="0" xfId="0" quotePrefix="1" applyNumberFormat="1" applyFill="1" applyBorder="1" applyAlignment="1">
      <alignment horizontal="center"/>
    </xf>
    <xf numFmtId="0" fontId="0" fillId="0" borderId="0" xfId="0" applyFill="1" applyBorder="1"/>
    <xf numFmtId="164" fontId="0" fillId="0" borderId="0" xfId="0" applyNumberFormat="1" applyFill="1" applyBorder="1"/>
    <xf numFmtId="164" fontId="0" fillId="5" borderId="9" xfId="0" applyNumberFormat="1" applyFill="1" applyBorder="1" applyAlignment="1">
      <alignment horizontal="center"/>
    </xf>
    <xf numFmtId="164" fontId="0" fillId="4" borderId="9" xfId="0" applyNumberFormat="1" applyFill="1" applyBorder="1" applyAlignment="1">
      <alignment horizontal="center"/>
    </xf>
    <xf numFmtId="164" fontId="0" fillId="3" borderId="9" xfId="0" applyNumberFormat="1" applyFill="1" applyBorder="1" applyAlignment="1">
      <alignment horizontal="center"/>
    </xf>
    <xf numFmtId="164" fontId="0" fillId="2" borderId="9" xfId="0" applyNumberFormat="1" applyFill="1" applyBorder="1" applyAlignment="1">
      <alignment horizontal="center"/>
    </xf>
    <xf numFmtId="165" fontId="1" fillId="5" borderId="0" xfId="0" applyNumberFormat="1" applyFont="1" applyFill="1" applyAlignment="1">
      <alignment horizontal="center"/>
    </xf>
    <xf numFmtId="165" fontId="1" fillId="4" borderId="0" xfId="0" applyNumberFormat="1" applyFont="1" applyFill="1" applyAlignment="1">
      <alignment horizontal="center"/>
    </xf>
    <xf numFmtId="165" fontId="1" fillId="3" borderId="0" xfId="0" applyNumberFormat="1" applyFont="1" applyFill="1" applyAlignment="1">
      <alignment horizontal="center"/>
    </xf>
    <xf numFmtId="165" fontId="1" fillId="2" borderId="0" xfId="0" applyNumberFormat="1" applyFont="1" applyFill="1" applyAlignment="1">
      <alignment horizontal="center"/>
    </xf>
    <xf numFmtId="165" fontId="0" fillId="5" borderId="0" xfId="0" applyNumberFormat="1" applyFont="1" applyFill="1" applyAlignment="1">
      <alignment horizontal="center"/>
    </xf>
    <xf numFmtId="165" fontId="0" fillId="4" borderId="0" xfId="0" applyNumberFormat="1" applyFont="1" applyFill="1" applyAlignment="1">
      <alignment horizontal="center"/>
    </xf>
    <xf numFmtId="165" fontId="0" fillId="3" borderId="0" xfId="0" applyNumberFormat="1" applyFont="1" applyFill="1" applyAlignment="1">
      <alignment horizontal="center"/>
    </xf>
    <xf numFmtId="165" fontId="0" fillId="2" borderId="0" xfId="0" applyNumberFormat="1" applyFont="1" applyFill="1" applyAlignment="1">
      <alignment horizontal="center"/>
    </xf>
    <xf numFmtId="165" fontId="2" fillId="5" borderId="0" xfId="0" applyNumberFormat="1" applyFont="1" applyFill="1"/>
    <xf numFmtId="169" fontId="2" fillId="5" borderId="0" xfId="0" applyNumberFormat="1" applyFont="1" applyFill="1"/>
    <xf numFmtId="169" fontId="0" fillId="0" borderId="0" xfId="0" applyNumberFormat="1"/>
    <xf numFmtId="169" fontId="0" fillId="0" borderId="0" xfId="0" applyNumberFormat="1" applyAlignment="1">
      <alignment horizontal="center"/>
    </xf>
    <xf numFmtId="171" fontId="1" fillId="5" borderId="9" xfId="0" applyNumberFormat="1" applyFont="1" applyFill="1" applyBorder="1" applyAlignment="1">
      <alignment horizontal="center"/>
    </xf>
    <xf numFmtId="171" fontId="1" fillId="4" borderId="9" xfId="0" applyNumberFormat="1" applyFont="1" applyFill="1" applyBorder="1" applyAlignment="1">
      <alignment horizontal="center"/>
    </xf>
    <xf numFmtId="171" fontId="1" fillId="3" borderId="9" xfId="0" applyNumberFormat="1" applyFont="1" applyFill="1" applyBorder="1" applyAlignment="1">
      <alignment horizontal="center"/>
    </xf>
    <xf numFmtId="171" fontId="1" fillId="2" borderId="9" xfId="0" applyNumberFormat="1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71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Predicted tau*c50 during</a:t>
            </a:r>
            <a:r>
              <a:rPr lang="en-US" baseline="0"/>
              <a:t> strengthening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summary!$T$3</c:f>
              <c:strCache>
                <c:ptCount val="1"/>
                <c:pt idx="0">
                  <c:v>4000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summary!$S$4:$S$42</c:f>
              <c:numCache>
                <c:formatCode>General</c:formatCode>
                <c:ptCount val="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25</c:v>
                </c:pt>
                <c:pt idx="22">
                  <c:v>30</c:v>
                </c:pt>
                <c:pt idx="23">
                  <c:v>35</c:v>
                </c:pt>
                <c:pt idx="24">
                  <c:v>40</c:v>
                </c:pt>
                <c:pt idx="25">
                  <c:v>45</c:v>
                </c:pt>
                <c:pt idx="26">
                  <c:v>50</c:v>
                </c:pt>
                <c:pt idx="27">
                  <c:v>55</c:v>
                </c:pt>
                <c:pt idx="28">
                  <c:v>60</c:v>
                </c:pt>
                <c:pt idx="29">
                  <c:v>65</c:v>
                </c:pt>
                <c:pt idx="30">
                  <c:v>70</c:v>
                </c:pt>
                <c:pt idx="31">
                  <c:v>75</c:v>
                </c:pt>
                <c:pt idx="32">
                  <c:v>80</c:v>
                </c:pt>
                <c:pt idx="33">
                  <c:v>85</c:v>
                </c:pt>
                <c:pt idx="34">
                  <c:v>90</c:v>
                </c:pt>
                <c:pt idx="35">
                  <c:v>95</c:v>
                </c:pt>
                <c:pt idx="36">
                  <c:v>100</c:v>
                </c:pt>
                <c:pt idx="37">
                  <c:v>110</c:v>
                </c:pt>
                <c:pt idx="38">
                  <c:v>120</c:v>
                </c:pt>
              </c:numCache>
            </c:numRef>
          </c:xVal>
          <c:yVal>
            <c:numRef>
              <c:f>summary!$T$4:$T$42</c:f>
              <c:numCache>
                <c:formatCode>0.000</c:formatCode>
                <c:ptCount val="39"/>
                <c:pt idx="0">
                  <c:v>0.04</c:v>
                </c:pt>
                <c:pt idx="1">
                  <c:v>4.0210908276248139E-2</c:v>
                </c:pt>
                <c:pt idx="2">
                  <c:v>4.041900719953493E-2</c:v>
                </c:pt>
                <c:pt idx="3">
                  <c:v>4.0624334191170723E-2</c:v>
                </c:pt>
                <c:pt idx="4">
                  <c:v>4.082692617400431E-2</c:v>
                </c:pt>
                <c:pt idx="5">
                  <c:v>4.1026819579062561E-2</c:v>
                </c:pt>
                <c:pt idx="6">
                  <c:v>4.1224050352101596E-2</c:v>
                </c:pt>
                <c:pt idx="7">
                  <c:v>4.1418653960070766E-2</c:v>
                </c:pt>
                <c:pt idx="8">
                  <c:v>4.1610665397490428E-2</c:v>
                </c:pt>
                <c:pt idx="9">
                  <c:v>4.1800119192744858E-2</c:v>
                </c:pt>
                <c:pt idx="10">
                  <c:v>4.1987049414291308E-2</c:v>
                </c:pt>
                <c:pt idx="11">
                  <c:v>4.2171489676786314E-2</c:v>
                </c:pt>
                <c:pt idx="12">
                  <c:v>4.2353473147130491E-2</c:v>
                </c:pt>
                <c:pt idx="13">
                  <c:v>4.2533032550432719E-2</c:v>
                </c:pt>
                <c:pt idx="14">
                  <c:v>4.2710200175894934E-2</c:v>
                </c:pt>
                <c:pt idx="15">
                  <c:v>4.288500788261853E-2</c:v>
                </c:pt>
                <c:pt idx="16">
                  <c:v>4.3057487105333407E-2</c:v>
                </c:pt>
                <c:pt idx="17">
                  <c:v>4.3227668860050708E-2</c:v>
                </c:pt>
                <c:pt idx="18">
                  <c:v>4.3395583749640247E-2</c:v>
                </c:pt>
                <c:pt idx="19">
                  <c:v>4.3561261969333687E-2</c:v>
                </c:pt>
                <c:pt idx="20">
                  <c:v>4.372473331215436E-2</c:v>
                </c:pt>
                <c:pt idx="21">
                  <c:v>4.4510002143487631E-2</c:v>
                </c:pt>
                <c:pt idx="22">
                  <c:v>4.5244345913217673E-2</c:v>
                </c:pt>
                <c:pt idx="23">
                  <c:v>4.5931067136095884E-2</c:v>
                </c:pt>
                <c:pt idx="24">
                  <c:v>4.6573254157202787E-2</c:v>
                </c:pt>
                <c:pt idx="25">
                  <c:v>4.7173795040954231E-2</c:v>
                </c:pt>
                <c:pt idx="26">
                  <c:v>4.7735390559398905E-2</c:v>
                </c:pt>
                <c:pt idx="27">
                  <c:v>4.8260566338218437E-2</c:v>
                </c:pt>
                <c:pt idx="28">
                  <c:v>4.8751684215053631E-2</c:v>
                </c:pt>
                <c:pt idx="29">
                  <c:v>4.9210952861237688E-2</c:v>
                </c:pt>
                <c:pt idx="30">
                  <c:v>4.9640437714704999E-2</c:v>
                </c:pt>
                <c:pt idx="31">
                  <c:v>5.0042070268745957E-2</c:v>
                </c:pt>
                <c:pt idx="32">
                  <c:v>5.0417656758381592E-2</c:v>
                </c:pt>
                <c:pt idx="33">
                  <c:v>5.0768886283422618E-2</c:v>
                </c:pt>
                <c:pt idx="34">
                  <c:v>5.1097338404744182E-2</c:v>
                </c:pt>
                <c:pt idx="35">
                  <c:v>5.1404490247938556E-2</c:v>
                </c:pt>
                <c:pt idx="36">
                  <c:v>5.1691723146292529E-2</c:v>
                </c:pt>
                <c:pt idx="37">
                  <c:v>5.2211515350298901E-2</c:v>
                </c:pt>
                <c:pt idx="38">
                  <c:v>5.2666076035423462E-2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528-428A-A9B9-9E11EAA9F17F}"/>
            </c:ext>
          </c:extLst>
        </c:ser>
        <c:ser>
          <c:idx val="1"/>
          <c:order val="1"/>
          <c:tx>
            <c:strRef>
              <c:f>summary!$U$3</c:f>
              <c:strCache>
                <c:ptCount val="1"/>
                <c:pt idx="0">
                  <c:v>5000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summary!$S$4:$S$42</c:f>
              <c:numCache>
                <c:formatCode>General</c:formatCode>
                <c:ptCount val="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25</c:v>
                </c:pt>
                <c:pt idx="22">
                  <c:v>30</c:v>
                </c:pt>
                <c:pt idx="23">
                  <c:v>35</c:v>
                </c:pt>
                <c:pt idx="24">
                  <c:v>40</c:v>
                </c:pt>
                <c:pt idx="25">
                  <c:v>45</c:v>
                </c:pt>
                <c:pt idx="26">
                  <c:v>50</c:v>
                </c:pt>
                <c:pt idx="27">
                  <c:v>55</c:v>
                </c:pt>
                <c:pt idx="28">
                  <c:v>60</c:v>
                </c:pt>
                <c:pt idx="29">
                  <c:v>65</c:v>
                </c:pt>
                <c:pt idx="30">
                  <c:v>70</c:v>
                </c:pt>
                <c:pt idx="31">
                  <c:v>75</c:v>
                </c:pt>
                <c:pt idx="32">
                  <c:v>80</c:v>
                </c:pt>
                <c:pt idx="33">
                  <c:v>85</c:v>
                </c:pt>
                <c:pt idx="34">
                  <c:v>90</c:v>
                </c:pt>
                <c:pt idx="35">
                  <c:v>95</c:v>
                </c:pt>
                <c:pt idx="36">
                  <c:v>100</c:v>
                </c:pt>
                <c:pt idx="37">
                  <c:v>110</c:v>
                </c:pt>
                <c:pt idx="38">
                  <c:v>120</c:v>
                </c:pt>
              </c:numCache>
            </c:numRef>
          </c:xVal>
          <c:yVal>
            <c:numRef>
              <c:f>summary!$U$4:$U$42</c:f>
              <c:numCache>
                <c:formatCode>0.000</c:formatCode>
                <c:ptCount val="39"/>
                <c:pt idx="0">
                  <c:v>0.04</c:v>
                </c:pt>
                <c:pt idx="1">
                  <c:v>4.0229822693336317E-2</c:v>
                </c:pt>
                <c:pt idx="2">
                  <c:v>4.0456309549208015E-2</c:v>
                </c:pt>
                <c:pt idx="3">
                  <c:v>4.0679508986730853E-2</c:v>
                </c:pt>
                <c:pt idx="4">
                  <c:v>4.0899468722225316E-2</c:v>
                </c:pt>
                <c:pt idx="5">
                  <c:v>4.1116235779417573E-2</c:v>
                </c:pt>
                <c:pt idx="6">
                  <c:v>4.1329856499492383E-2</c:v>
                </c:pt>
                <c:pt idx="7">
                  <c:v>4.1540376551000055E-2</c:v>
                </c:pt>
                <c:pt idx="8">
                  <c:v>4.1747840939619626E-2</c:v>
                </c:pt>
                <c:pt idx="9">
                  <c:v>4.195229401778032E-2</c:v>
                </c:pt>
                <c:pt idx="10">
                  <c:v>4.2153779494143381E-2</c:v>
                </c:pt>
                <c:pt idx="11">
                  <c:v>4.235234044294621E-2</c:v>
                </c:pt>
                <c:pt idx="12">
                  <c:v>4.254801931321097E-2</c:v>
                </c:pt>
                <c:pt idx="13">
                  <c:v>4.2740857937819461E-2</c:v>
                </c:pt>
                <c:pt idx="14">
                  <c:v>4.293089754245627E-2</c:v>
                </c:pt>
                <c:pt idx="15">
                  <c:v>4.3118178754422171E-2</c:v>
                </c:pt>
                <c:pt idx="16">
                  <c:v>4.3302741611319542E-2</c:v>
                </c:pt>
                <c:pt idx="17">
                  <c:v>4.3484625569611746E-2</c:v>
                </c:pt>
                <c:pt idx="18">
                  <c:v>4.3663869513058264E-2</c:v>
                </c:pt>
                <c:pt idx="19">
                  <c:v>4.3840511761027399E-2</c:v>
                </c:pt>
                <c:pt idx="20">
                  <c:v>4.4014590076688308E-2</c:v>
                </c:pt>
                <c:pt idx="21">
                  <c:v>4.4847806454783243E-2</c:v>
                </c:pt>
                <c:pt idx="22">
                  <c:v>4.5622282987465318E-2</c:v>
                </c:pt>
                <c:pt idx="23">
                  <c:v>4.6342160699238903E-2</c:v>
                </c:pt>
                <c:pt idx="24">
                  <c:v>4.7011288681869594E-2</c:v>
                </c:pt>
                <c:pt idx="25">
                  <c:v>4.7633244674973381E-2</c:v>
                </c:pt>
                <c:pt idx="26">
                  <c:v>4.8211354195721402E-2</c:v>
                </c:pt>
                <c:pt idx="27">
                  <c:v>4.874870831994435E-2</c:v>
                </c:pt>
                <c:pt idx="28">
                  <c:v>4.9248180209709815E-2</c:v>
                </c:pt>
                <c:pt idx="29">
                  <c:v>4.9712440475743191E-2</c:v>
                </c:pt>
                <c:pt idx="30">
                  <c:v>5.014397145683322E-2</c:v>
                </c:pt>
                <c:pt idx="31">
                  <c:v>5.0545080492572107E-2</c:v>
                </c:pt>
                <c:pt idx="32">
                  <c:v>5.0917912260397852E-2</c:v>
                </c:pt>
                <c:pt idx="33">
                  <c:v>5.1264460242903445E-2</c:v>
                </c:pt>
                <c:pt idx="34">
                  <c:v>5.1586577386726951E-2</c:v>
                </c:pt>
                <c:pt idx="35">
                  <c:v>5.1885986010014304E-2</c:v>
                </c:pt>
                <c:pt idx="36">
                  <c:v>5.2164287011428716E-2</c:v>
                </c:pt>
                <c:pt idx="37">
                  <c:v>5.266341340120366E-2</c:v>
                </c:pt>
                <c:pt idx="38">
                  <c:v>5.3094645879108775E-2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528-428A-A9B9-9E11EAA9F17F}"/>
            </c:ext>
          </c:extLst>
        </c:ser>
        <c:ser>
          <c:idx val="2"/>
          <c:order val="2"/>
          <c:tx>
            <c:strRef>
              <c:f>summary!$V$3</c:f>
              <c:strCache>
                <c:ptCount val="1"/>
                <c:pt idx="0">
                  <c:v>6000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summary!$S$4:$S$42</c:f>
              <c:numCache>
                <c:formatCode>General</c:formatCode>
                <c:ptCount val="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25</c:v>
                </c:pt>
                <c:pt idx="22">
                  <c:v>30</c:v>
                </c:pt>
                <c:pt idx="23">
                  <c:v>35</c:v>
                </c:pt>
                <c:pt idx="24">
                  <c:v>40</c:v>
                </c:pt>
                <c:pt idx="25">
                  <c:v>45</c:v>
                </c:pt>
                <c:pt idx="26">
                  <c:v>50</c:v>
                </c:pt>
                <c:pt idx="27">
                  <c:v>55</c:v>
                </c:pt>
                <c:pt idx="28">
                  <c:v>60</c:v>
                </c:pt>
                <c:pt idx="29">
                  <c:v>65</c:v>
                </c:pt>
                <c:pt idx="30">
                  <c:v>70</c:v>
                </c:pt>
                <c:pt idx="31">
                  <c:v>75</c:v>
                </c:pt>
                <c:pt idx="32">
                  <c:v>80</c:v>
                </c:pt>
                <c:pt idx="33">
                  <c:v>85</c:v>
                </c:pt>
                <c:pt idx="34">
                  <c:v>90</c:v>
                </c:pt>
                <c:pt idx="35">
                  <c:v>95</c:v>
                </c:pt>
                <c:pt idx="36">
                  <c:v>100</c:v>
                </c:pt>
                <c:pt idx="37">
                  <c:v>110</c:v>
                </c:pt>
                <c:pt idx="38">
                  <c:v>120</c:v>
                </c:pt>
              </c:numCache>
            </c:numRef>
          </c:xVal>
          <c:yVal>
            <c:numRef>
              <c:f>summary!$V$4:$V$42</c:f>
              <c:numCache>
                <c:formatCode>0.000</c:formatCode>
                <c:ptCount val="39"/>
                <c:pt idx="0">
                  <c:v>0.04</c:v>
                </c:pt>
                <c:pt idx="1">
                  <c:v>4.0523885320009473E-2</c:v>
                </c:pt>
                <c:pt idx="2">
                  <c:v>4.1030436930263474E-2</c:v>
                </c:pt>
                <c:pt idx="3">
                  <c:v>4.1520228348443072E-2</c:v>
                </c:pt>
                <c:pt idx="4">
                  <c:v>4.1993814116341621E-2</c:v>
                </c:pt>
                <c:pt idx="5">
                  <c:v>4.2451730427716876E-2</c:v>
                </c:pt>
                <c:pt idx="6">
                  <c:v>4.2894495735369527E-2</c:v>
                </c:pt>
                <c:pt idx="7">
                  <c:v>4.3322611338135419E-2</c:v>
                </c:pt>
                <c:pt idx="8">
                  <c:v>4.3736561948456001E-2</c:v>
                </c:pt>
                <c:pt idx="9">
                  <c:v>4.4136816241169774E-2</c:v>
                </c:pt>
                <c:pt idx="10">
                  <c:v>4.4523827384145807E-2</c:v>
                </c:pt>
                <c:pt idx="11">
                  <c:v>4.489803355136042E-2</c:v>
                </c:pt>
                <c:pt idx="12">
                  <c:v>4.5259858418997698E-2</c:v>
                </c:pt>
                <c:pt idx="13">
                  <c:v>4.5609711645135595E-2</c:v>
                </c:pt>
                <c:pt idx="14">
                  <c:v>4.5947989333560799E-2</c:v>
                </c:pt>
                <c:pt idx="15">
                  <c:v>4.6275074482237402E-2</c:v>
                </c:pt>
                <c:pt idx="16">
                  <c:v>4.6591337416937127E-2</c:v>
                </c:pt>
                <c:pt idx="17">
                  <c:v>4.689713621052214E-2</c:v>
                </c:pt>
                <c:pt idx="18">
                  <c:v>4.7192817088355134E-2</c:v>
                </c:pt>
                <c:pt idx="19">
                  <c:v>4.7478714820295601E-2</c:v>
                </c:pt>
                <c:pt idx="20">
                  <c:v>4.7755153099726277E-2</c:v>
                </c:pt>
                <c:pt idx="21">
                  <c:v>4.90060517971945E-2</c:v>
                </c:pt>
                <c:pt idx="22">
                  <c:v>5.0063257497512267E-2</c:v>
                </c:pt>
                <c:pt idx="23">
                  <c:v>5.0956762219394672E-2</c:v>
                </c:pt>
                <c:pt idx="24">
                  <c:v>5.1711913925241666E-2</c:v>
                </c:pt>
                <c:pt idx="25">
                  <c:v>5.2350135621084808E-2</c:v>
                </c:pt>
                <c:pt idx="26">
                  <c:v>5.2889533108888956E-2</c:v>
                </c:pt>
                <c:pt idx="27">
                  <c:v>5.3345408632620668E-2</c:v>
                </c:pt>
                <c:pt idx="28">
                  <c:v>5.3730694989781301E-2</c:v>
                </c:pt>
                <c:pt idx="29">
                  <c:v>5.4056322423776802E-2</c:v>
                </c:pt>
                <c:pt idx="30">
                  <c:v>5.4331528705545792E-2</c:v>
                </c:pt>
                <c:pt idx="31">
                  <c:v>5.4564121201195762E-2</c:v>
                </c:pt>
                <c:pt idx="32">
                  <c:v>5.476069836028144E-2</c:v>
                </c:pt>
                <c:pt idx="33">
                  <c:v>5.4926836908157688E-2</c:v>
                </c:pt>
                <c:pt idx="34">
                  <c:v>5.5067250052893375E-2</c:v>
                </c:pt>
                <c:pt idx="35">
                  <c:v>5.5185921194940736E-2</c:v>
                </c:pt>
                <c:pt idx="36">
                  <c:v>5.5286216932788748E-2</c:v>
                </c:pt>
                <c:pt idx="37">
                  <c:v>5.5442622836414969E-2</c:v>
                </c:pt>
                <c:pt idx="38">
                  <c:v>5.5554342045734756E-2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528-428A-A9B9-9E11EAA9F17F}"/>
            </c:ext>
          </c:extLst>
        </c:ser>
        <c:ser>
          <c:idx val="3"/>
          <c:order val="3"/>
          <c:tx>
            <c:strRef>
              <c:f>summary!$W$3</c:f>
              <c:strCache>
                <c:ptCount val="1"/>
                <c:pt idx="0">
                  <c:v>7000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summary!$S$4:$S$42</c:f>
              <c:numCache>
                <c:formatCode>General</c:formatCode>
                <c:ptCount val="3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25</c:v>
                </c:pt>
                <c:pt idx="22">
                  <c:v>30</c:v>
                </c:pt>
                <c:pt idx="23">
                  <c:v>35</c:v>
                </c:pt>
                <c:pt idx="24">
                  <c:v>40</c:v>
                </c:pt>
                <c:pt idx="25">
                  <c:v>45</c:v>
                </c:pt>
                <c:pt idx="26">
                  <c:v>50</c:v>
                </c:pt>
                <c:pt idx="27">
                  <c:v>55</c:v>
                </c:pt>
                <c:pt idx="28">
                  <c:v>60</c:v>
                </c:pt>
                <c:pt idx="29">
                  <c:v>65</c:v>
                </c:pt>
                <c:pt idx="30">
                  <c:v>70</c:v>
                </c:pt>
                <c:pt idx="31">
                  <c:v>75</c:v>
                </c:pt>
                <c:pt idx="32">
                  <c:v>80</c:v>
                </c:pt>
                <c:pt idx="33">
                  <c:v>85</c:v>
                </c:pt>
                <c:pt idx="34">
                  <c:v>90</c:v>
                </c:pt>
                <c:pt idx="35">
                  <c:v>95</c:v>
                </c:pt>
                <c:pt idx="36">
                  <c:v>100</c:v>
                </c:pt>
                <c:pt idx="37">
                  <c:v>110</c:v>
                </c:pt>
                <c:pt idx="38">
                  <c:v>120</c:v>
                </c:pt>
              </c:numCache>
            </c:numRef>
          </c:xVal>
          <c:yVal>
            <c:numRef>
              <c:f>summary!$W$4:$W$42</c:f>
              <c:numCache>
                <c:formatCode>0.000</c:formatCode>
                <c:ptCount val="39"/>
                <c:pt idx="0">
                  <c:v>0.04</c:v>
                </c:pt>
                <c:pt idx="1">
                  <c:v>4.0486860765766658E-2</c:v>
                </c:pt>
                <c:pt idx="2">
                  <c:v>4.0958751296537865E-2</c:v>
                </c:pt>
                <c:pt idx="3">
                  <c:v>4.1416131904484135E-2</c:v>
                </c:pt>
                <c:pt idx="4">
                  <c:v>4.1859448747870266E-2</c:v>
                </c:pt>
                <c:pt idx="5">
                  <c:v>4.228913426626664E-2</c:v>
                </c:pt>
                <c:pt idx="6">
                  <c:v>4.2705607602378404E-2</c:v>
                </c:pt>
                <c:pt idx="7">
                  <c:v>4.3109275010904065E-2</c:v>
                </c:pt>
                <c:pt idx="8">
                  <c:v>4.3500530254822221E-2</c:v>
                </c:pt>
                <c:pt idx="9">
                  <c:v>4.3879754989493182E-2</c:v>
                </c:pt>
                <c:pt idx="10">
                  <c:v>4.4247319134949954E-2</c:v>
                </c:pt>
                <c:pt idx="11">
                  <c:v>4.4603581236741907E-2</c:v>
                </c:pt>
                <c:pt idx="12">
                  <c:v>4.4948888815682965E-2</c:v>
                </c:pt>
                <c:pt idx="13">
                  <c:v>4.5283578706845642E-2</c:v>
                </c:pt>
                <c:pt idx="14">
                  <c:v>4.5607977388131479E-2</c:v>
                </c:pt>
                <c:pt idx="15">
                  <c:v>4.5922401298738452E-2</c:v>
                </c:pt>
                <c:pt idx="16">
                  <c:v>4.6227157147835971E-2</c:v>
                </c:pt>
                <c:pt idx="17">
                  <c:v>4.6522542213748609E-2</c:v>
                </c:pt>
                <c:pt idx="18">
                  <c:v>4.6808844633940361E-2</c:v>
                </c:pt>
                <c:pt idx="19">
                  <c:v>4.708634368608236E-2</c:v>
                </c:pt>
                <c:pt idx="20">
                  <c:v>4.7355310060478106E-2</c:v>
                </c:pt>
                <c:pt idx="21">
                  <c:v>4.8581057408194191E-2</c:v>
                </c:pt>
                <c:pt idx="22">
                  <c:v>4.9629593505223099E-2</c:v>
                </c:pt>
                <c:pt idx="23">
                  <c:v>5.0526538498676402E-2</c:v>
                </c:pt>
                <c:pt idx="24">
                  <c:v>5.1293808527396047E-2</c:v>
                </c:pt>
                <c:pt idx="25">
                  <c:v>5.1950151225407984E-2</c:v>
                </c:pt>
                <c:pt idx="26">
                  <c:v>5.2511603805476106E-2</c:v>
                </c:pt>
                <c:pt idx="27">
                  <c:v>5.2991884915664401E-2</c:v>
                </c:pt>
                <c:pt idx="28">
                  <c:v>5.340272984361133E-2</c:v>
                </c:pt>
                <c:pt idx="29">
                  <c:v>5.3754177258966751E-2</c:v>
                </c:pt>
                <c:pt idx="30">
                  <c:v>5.405481450031531E-2</c:v>
                </c:pt>
                <c:pt idx="31">
                  <c:v>5.4311987399977314E-2</c:v>
                </c:pt>
                <c:pt idx="32">
                  <c:v>5.4531979773589742E-2</c:v>
                </c:pt>
                <c:pt idx="33">
                  <c:v>5.4720166960152708E-2</c:v>
                </c:pt>
                <c:pt idx="34">
                  <c:v>5.4881147164170481E-2</c:v>
                </c:pt>
                <c:pt idx="35">
                  <c:v>5.5018853809128118E-2</c:v>
                </c:pt>
                <c:pt idx="36">
                  <c:v>5.5136651647571644E-2</c:v>
                </c:pt>
                <c:pt idx="37">
                  <c:v>5.5323617964585146E-2</c:v>
                </c:pt>
                <c:pt idx="38">
                  <c:v>5.5460431233895609E-2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528-428A-A9B9-9E11EAA9F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4769039"/>
        <c:axId val="1754766159"/>
      </c:scatterChart>
      <c:scatterChart>
        <c:scatterStyle val="lineMarker"/>
        <c:varyColors val="0"/>
        <c:ser>
          <c:idx val="4"/>
          <c:order val="4"/>
          <c:tx>
            <c:v>4000 - measured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90000"/>
                  <a:lumOff val="10000"/>
                </a:schemeClr>
              </a:solidFill>
              <a:ln w="9525">
                <a:solidFill>
                  <a:schemeClr val="tx2">
                    <a:lumMod val="90000"/>
                    <a:lumOff val="10000"/>
                  </a:schemeClr>
                </a:solidFill>
              </a:ln>
              <a:effectLst/>
            </c:spPr>
          </c:marker>
          <c:xVal>
            <c:numRef>
              <c:f>summary!$B$6:$B$10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summary!$G$6:$G$10</c:f>
              <c:numCache>
                <c:formatCode>0.000</c:formatCode>
                <c:ptCount val="5"/>
                <c:pt idx="0" formatCode="General">
                  <c:v>0.04</c:v>
                </c:pt>
                <c:pt idx="1">
                  <c:v>4.0883015185033886E-2</c:v>
                </c:pt>
                <c:pt idx="2">
                  <c:v>4.7200498607488234E-2</c:v>
                </c:pt>
                <c:pt idx="3">
                  <c:v>4.7978393655140922E-2</c:v>
                </c:pt>
                <c:pt idx="4">
                  <c:v>5.2297832157699113E-2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528-428A-A9B9-9E11EAA9F17F}"/>
            </c:ext>
          </c:extLst>
        </c:ser>
        <c:ser>
          <c:idx val="5"/>
          <c:order val="5"/>
          <c:tx>
            <c:v>5000 - measured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summary!$B$6:$B$10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summary!$H$6:$H$10</c:f>
              <c:numCache>
                <c:formatCode>0.000</c:formatCode>
                <c:ptCount val="5"/>
                <c:pt idx="0" formatCode="General">
                  <c:v>0.04</c:v>
                </c:pt>
                <c:pt idx="2">
                  <c:v>4.880607945181633E-2</c:v>
                </c:pt>
                <c:pt idx="3">
                  <c:v>4.7893651283411866E-2</c:v>
                </c:pt>
                <c:pt idx="4">
                  <c:v>5.1755608653064417E-2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528-428A-A9B9-9E11EAA9F17F}"/>
            </c:ext>
          </c:extLst>
        </c:ser>
        <c:ser>
          <c:idx val="6"/>
          <c:order val="6"/>
          <c:tx>
            <c:v>6000 - measured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summary!$B$6:$B$10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summary!$I$6:$I$10</c:f>
              <c:numCache>
                <c:formatCode>0.000</c:formatCode>
                <c:ptCount val="5"/>
                <c:pt idx="0" formatCode="General">
                  <c:v>0.04</c:v>
                </c:pt>
                <c:pt idx="1">
                  <c:v>4.5627026419976936E-2</c:v>
                </c:pt>
                <c:pt idx="2">
                  <c:v>4.860357919174027E-2</c:v>
                </c:pt>
                <c:pt idx="3">
                  <c:v>5.5833646253055487E-2</c:v>
                </c:pt>
                <c:pt idx="4">
                  <c:v>5.145407230191433E-2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528-428A-A9B9-9E11EAA9F17F}"/>
            </c:ext>
          </c:extLst>
        </c:ser>
        <c:ser>
          <c:idx val="7"/>
          <c:order val="7"/>
          <c:tx>
            <c:v>7000 - measured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summary!$B$6:$B$10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summary!$J$6:$J$10</c:f>
              <c:numCache>
                <c:formatCode>0.000</c:formatCode>
                <c:ptCount val="5"/>
                <c:pt idx="0" formatCode="General">
                  <c:v>0.04</c:v>
                </c:pt>
                <c:pt idx="1">
                  <c:v>4.8895149728212996E-2</c:v>
                </c:pt>
                <c:pt idx="2">
                  <c:v>5.1779269484048984E-2</c:v>
                </c:pt>
                <c:pt idx="3">
                  <c:v>4.8961843624642065E-2</c:v>
                </c:pt>
                <c:pt idx="4">
                  <c:v>4.8965324622054551E-2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528-428A-A9B9-9E11EAA9F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4769039"/>
        <c:axId val="1754766159"/>
      </c:scatterChart>
      <c:valAx>
        <c:axId val="1754769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766159"/>
        <c:crosses val="autoZero"/>
        <c:crossBetween val="midCat"/>
      </c:valAx>
      <c:valAx>
        <c:axId val="1754766159"/>
        <c:scaling>
          <c:orientation val="minMax"/>
          <c:min val="4.0000000000000008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7690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9835946584199587E-2"/>
          <c:y val="0.90370421195654926"/>
          <c:w val="0.90105122903839019"/>
          <c:h val="6.85179933988750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Testing</a:t>
            </a:r>
            <a:r>
              <a:rPr lang="en-US" baseline="0"/>
              <a:t> Equation with flume data (k=</a:t>
            </a:r>
            <a:r>
              <a:rPr lang="el-GR" baseline="0"/>
              <a:t>τ</a:t>
            </a:r>
            <a:r>
              <a:rPr lang="en-US" baseline="0"/>
              <a:t>) </a:t>
            </a:r>
            <a:endParaRPr lang="en-US"/>
          </a:p>
        </c:rich>
      </c:tx>
      <c:layout>
        <c:manualLayout>
          <c:xMode val="edge"/>
          <c:yMode val="edge"/>
          <c:x val="0.1763585791018838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0"/>
          <c:tx>
            <c:strRef>
              <c:f>'1. k as func of τ  '!$H$2</c:f>
              <c:strCache>
                <c:ptCount val="1"/>
                <c:pt idx="0">
                  <c:v>0.055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'1. k as func of τ  '!$D$4:$D$41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'!$H$4:$H$41</c:f>
              <c:numCache>
                <c:formatCode>0.0000</c:formatCode>
                <c:ptCount val="38"/>
                <c:pt idx="0">
                  <c:v>4.0843074672333168E-2</c:v>
                </c:pt>
                <c:pt idx="1">
                  <c:v>4.1641259185332853E-2</c:v>
                </c:pt>
                <c:pt idx="2">
                  <c:v>4.2396943750057592E-2</c:v>
                </c:pt>
                <c:pt idx="3">
                  <c:v>4.3112391308939818E-2</c:v>
                </c:pt>
                <c:pt idx="4">
                  <c:v>4.3789744312301711E-2</c:v>
                </c:pt>
                <c:pt idx="5">
                  <c:v>4.4431031134050322E-2</c:v>
                </c:pt>
                <c:pt idx="6">
                  <c:v>4.5038172145763999E-2</c:v>
                </c:pt>
                <c:pt idx="7">
                  <c:v>4.5612985467359438E-2</c:v>
                </c:pt>
                <c:pt idx="8">
                  <c:v>4.615719241156007E-2</c:v>
                </c:pt>
                <c:pt idx="9">
                  <c:v>4.6672422638469518E-2</c:v>
                </c:pt>
                <c:pt idx="10">
                  <c:v>4.7160219035685833E-2</c:v>
                </c:pt>
                <c:pt idx="11">
                  <c:v>4.7622042338570245E-2</c:v>
                </c:pt>
                <c:pt idx="12">
                  <c:v>4.8059275504506255E-2</c:v>
                </c:pt>
                <c:pt idx="13">
                  <c:v>4.8473227854247868E-2</c:v>
                </c:pt>
                <c:pt idx="14">
                  <c:v>4.886513899275851E-2</c:v>
                </c:pt>
                <c:pt idx="15">
                  <c:v>4.9236182521281979E-2</c:v>
                </c:pt>
                <c:pt idx="16">
                  <c:v>4.9587469551761243E-2</c:v>
                </c:pt>
                <c:pt idx="17">
                  <c:v>4.9920052034129289E-2</c:v>
                </c:pt>
                <c:pt idx="18">
                  <c:v>5.0234925906435891E-2</c:v>
                </c:pt>
                <c:pt idx="19">
                  <c:v>5.053303407724339E-2</c:v>
                </c:pt>
                <c:pt idx="20">
                  <c:v>5.1801722572865465E-2</c:v>
                </c:pt>
                <c:pt idx="21">
                  <c:v>5.2766753595437796E-2</c:v>
                </c:pt>
                <c:pt idx="22">
                  <c:v>5.3500806814758876E-2</c:v>
                </c:pt>
                <c:pt idx="23">
                  <c:v>5.4059166200304175E-2</c:v>
                </c:pt>
                <c:pt idx="24">
                  <c:v>5.4483883639340647E-2</c:v>
                </c:pt>
                <c:pt idx="25">
                  <c:v>5.4806946003279476E-2</c:v>
                </c:pt>
                <c:pt idx="26">
                  <c:v>5.5052684184481837E-2</c:v>
                </c:pt>
                <c:pt idx="27">
                  <c:v>5.5239605536026443E-2</c:v>
                </c:pt>
                <c:pt idx="28">
                  <c:v>5.538178772152285E-2</c:v>
                </c:pt>
                <c:pt idx="29">
                  <c:v>5.5489938950397902E-2</c:v>
                </c:pt>
                <c:pt idx="30">
                  <c:v>5.5572204448472412E-2</c:v>
                </c:pt>
                <c:pt idx="31">
                  <c:v>5.5634779901787557E-2</c:v>
                </c:pt>
                <c:pt idx="32">
                  <c:v>5.5682378074159281E-2</c:v>
                </c:pt>
                <c:pt idx="33">
                  <c:v>5.5718583740967928E-2</c:v>
                </c:pt>
                <c:pt idx="34">
                  <c:v>5.5746123670417778E-2</c:v>
                </c:pt>
                <c:pt idx="35">
                  <c:v>5.5767071985445671E-2</c:v>
                </c:pt>
                <c:pt idx="36">
                  <c:v>5.5795126903639483E-2</c:v>
                </c:pt>
                <c:pt idx="37">
                  <c:v>5.5811359259406106E-2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718-4476-836A-8DA2BAADCA84}"/>
            </c:ext>
          </c:extLst>
        </c:ser>
        <c:ser>
          <c:idx val="2"/>
          <c:order val="1"/>
          <c:tx>
            <c:strRef>
              <c:f>'1. k as func of τ  '!$G$2</c:f>
              <c:strCache>
                <c:ptCount val="1"/>
                <c:pt idx="0">
                  <c:v>0.047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'1. k as func of τ  '!$D$4:$D$41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'!$G$4:$G$41</c:f>
              <c:numCache>
                <c:formatCode>0.0000</c:formatCode>
                <c:ptCount val="38"/>
                <c:pt idx="0">
                  <c:v>4.0731799722645824E-2</c:v>
                </c:pt>
                <c:pt idx="1">
                  <c:v>4.1429777113688074E-2</c:v>
                </c:pt>
                <c:pt idx="2">
                  <c:v>4.2095495374204456E-2</c:v>
                </c:pt>
                <c:pt idx="3">
                  <c:v>4.273044545721958E-2</c:v>
                </c:pt>
                <c:pt idx="4">
                  <c:v>4.3336049406866667E-2</c:v>
                </c:pt>
                <c:pt idx="5">
                  <c:v>4.3913663543219843E-2</c:v>
                </c:pt>
                <c:pt idx="6">
                  <c:v>4.4464581499929746E-2</c:v>
                </c:pt>
                <c:pt idx="7">
                  <c:v>4.4990037121465709E-2</c:v>
                </c:pt>
                <c:pt idx="8">
                  <c:v>4.5491207226453105E-2</c:v>
                </c:pt>
                <c:pt idx="9">
                  <c:v>4.5969214243294754E-2</c:v>
                </c:pt>
                <c:pt idx="10">
                  <c:v>4.6425128723979102E-2</c:v>
                </c:pt>
                <c:pt idx="11">
                  <c:v>4.6859971741705218E-2</c:v>
                </c:pt>
                <c:pt idx="12">
                  <c:v>4.7274717177694277E-2</c:v>
                </c:pt>
                <c:pt idx="13">
                  <c:v>4.7670293902309174E-2</c:v>
                </c:pt>
                <c:pt idx="14">
                  <c:v>4.8047587855367106E-2</c:v>
                </c:pt>
                <c:pt idx="15">
                  <c:v>4.840744403030426E-2</c:v>
                </c:pt>
                <c:pt idx="16">
                  <c:v>4.8750668366636295E-2</c:v>
                </c:pt>
                <c:pt idx="17">
                  <c:v>4.9078029554953093E-2</c:v>
                </c:pt>
                <c:pt idx="18">
                  <c:v>4.9390260758490234E-2</c:v>
                </c:pt>
                <c:pt idx="19">
                  <c:v>4.9688061255132823E-2</c:v>
                </c:pt>
                <c:pt idx="20">
                  <c:v>5.0982897255603163E-2</c:v>
                </c:pt>
                <c:pt idx="21">
                  <c:v>5.200491947696529E-2</c:v>
                </c:pt>
                <c:pt idx="22">
                  <c:v>5.2811608061912388E-2</c:v>
                </c:pt>
                <c:pt idx="23">
                  <c:v>5.3448332449584357E-2</c:v>
                </c:pt>
                <c:pt idx="24">
                  <c:v>5.3950903024427482E-2</c:v>
                </c:pt>
                <c:pt idx="25">
                  <c:v>5.4347585148731899E-2</c:v>
                </c:pt>
                <c:pt idx="26">
                  <c:v>5.4660688851215437E-2</c:v>
                </c:pt>
                <c:pt idx="27">
                  <c:v>5.4907823578248589E-2</c:v>
                </c:pt>
                <c:pt idx="28">
                  <c:v>5.5102888576909731E-2</c:v>
                </c:pt>
                <c:pt idx="29">
                  <c:v>5.5256854610576736E-2</c:v>
                </c:pt>
                <c:pt idx="30">
                  <c:v>5.5378380971973472E-2</c:v>
                </c:pt>
                <c:pt idx="31">
                  <c:v>5.5474302495458788E-2</c:v>
                </c:pt>
                <c:pt idx="32">
                  <c:v>5.5550013958897623E-2</c:v>
                </c:pt>
                <c:pt idx="33">
                  <c:v>5.5609773494482234E-2</c:v>
                </c:pt>
                <c:pt idx="34">
                  <c:v>5.5656942072806873E-2</c:v>
                </c:pt>
                <c:pt idx="35">
                  <c:v>5.5694172529158356E-2</c:v>
                </c:pt>
                <c:pt idx="36">
                  <c:v>5.5746753502987523E-2</c:v>
                </c:pt>
                <c:pt idx="37">
                  <c:v>5.5779511683450508E-2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718-4476-836A-8DA2BAADCA84}"/>
            </c:ext>
          </c:extLst>
        </c:ser>
        <c:ser>
          <c:idx val="1"/>
          <c:order val="2"/>
          <c:tx>
            <c:strRef>
              <c:f>'1. k as func of τ  '!$F$2</c:f>
              <c:strCache>
                <c:ptCount val="1"/>
                <c:pt idx="0">
                  <c:v>0.043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'1. k as func of τ  '!$D$4:$D$41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'!$F$4:$F$41</c:f>
              <c:numCache>
                <c:formatCode>0.0000</c:formatCode>
                <c:ptCount val="38"/>
                <c:pt idx="0">
                  <c:v>4.0660541085374521E-2</c:v>
                </c:pt>
                <c:pt idx="1">
                  <c:v>4.1293526008479492E-2</c:v>
                </c:pt>
                <c:pt idx="2">
                  <c:v>4.1900104345163933E-2</c:v>
                </c:pt>
                <c:pt idx="3">
                  <c:v>4.2481377713777552E-2</c:v>
                </c:pt>
                <c:pt idx="4">
                  <c:v>4.3038401775840618E-2</c:v>
                </c:pt>
                <c:pt idx="5">
                  <c:v>4.3572188153250743E-2</c:v>
                </c:pt>
                <c:pt idx="6">
                  <c:v>4.4083706265508449E-2</c:v>
                </c:pt>
                <c:pt idx="7">
                  <c:v>4.4573885090298221E-2</c:v>
                </c:pt>
                <c:pt idx="8">
                  <c:v>4.5043614850622395E-2</c:v>
                </c:pt>
                <c:pt idx="9">
                  <c:v>4.5493748631551909E-2</c:v>
                </c:pt>
                <c:pt idx="10">
                  <c:v>4.5925103929530184E-2</c:v>
                </c:pt>
                <c:pt idx="11">
                  <c:v>4.633846413704383E-2</c:v>
                </c:pt>
                <c:pt idx="12">
                  <c:v>4.6734579965356515E-2</c:v>
                </c:pt>
                <c:pt idx="13">
                  <c:v>4.7114170807889801E-2</c:v>
                </c:pt>
                <c:pt idx="14">
                  <c:v>4.747792604672714E-2</c:v>
                </c:pt>
                <c:pt idx="15">
                  <c:v>4.7826506304613658E-2</c:v>
                </c:pt>
                <c:pt idx="16">
                  <c:v>4.8160544644725543E-2</c:v>
                </c:pt>
                <c:pt idx="17">
                  <c:v>4.848064772038805E-2</c:v>
                </c:pt>
                <c:pt idx="18">
                  <c:v>4.8787396876830022E-2</c:v>
                </c:pt>
                <c:pt idx="19">
                  <c:v>4.9081349206975919E-2</c:v>
                </c:pt>
                <c:pt idx="20">
                  <c:v>5.0377083051721408E-2</c:v>
                </c:pt>
                <c:pt idx="21">
                  <c:v>5.1424171704325394E-2</c:v>
                </c:pt>
                <c:pt idx="22">
                  <c:v>5.2270329000330421E-2</c:v>
                </c:pt>
                <c:pt idx="23">
                  <c:v>5.2954112716066398E-2</c:v>
                </c:pt>
                <c:pt idx="24">
                  <c:v>5.3506681573078217E-2</c:v>
                </c:pt>
                <c:pt idx="25">
                  <c:v>5.395321508171947E-2</c:v>
                </c:pt>
                <c:pt idx="26">
                  <c:v>5.4314060923480706E-2</c:v>
                </c:pt>
                <c:pt idx="27">
                  <c:v>5.4605662156079315E-2</c:v>
                </c:pt>
                <c:pt idx="28">
                  <c:v>5.484130649228118E-2</c:v>
                </c:pt>
                <c:pt idx="29">
                  <c:v>5.503173179566271E-2</c:v>
                </c:pt>
                <c:pt idx="30">
                  <c:v>5.5185615384601948E-2</c:v>
                </c:pt>
                <c:pt idx="31">
                  <c:v>5.5309969441149652E-2</c:v>
                </c:pt>
                <c:pt idx="32">
                  <c:v>5.5410460542809459E-2</c:v>
                </c:pt>
                <c:pt idx="33">
                  <c:v>5.549166787768179E-2</c:v>
                </c:pt>
                <c:pt idx="34">
                  <c:v>5.5557291909343734E-2</c:v>
                </c:pt>
                <c:pt idx="35">
                  <c:v>5.5610322999926111E-2</c:v>
                </c:pt>
                <c:pt idx="36">
                  <c:v>5.5687808741154948E-2</c:v>
                </c:pt>
                <c:pt idx="37">
                  <c:v>5.5738409507309988E-2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718-4476-836A-8DA2BAADCA84}"/>
            </c:ext>
          </c:extLst>
        </c:ser>
        <c:ser>
          <c:idx val="0"/>
          <c:order val="3"/>
          <c:tx>
            <c:strRef>
              <c:f>'1. k as func of τ  '!$E$2</c:f>
              <c:strCache>
                <c:ptCount val="1"/>
                <c:pt idx="0">
                  <c:v>0.041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'1. k as func of τ  '!$D$4:$D$41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'!$E$4:$E$41</c:f>
              <c:numCache>
                <c:formatCode>0.0000</c:formatCode>
                <c:ptCount val="38"/>
                <c:pt idx="0">
                  <c:v>4.063033540369311E-2</c:v>
                </c:pt>
                <c:pt idx="1">
                  <c:v>4.1235577236720375E-2</c:v>
                </c:pt>
                <c:pt idx="2">
                  <c:v>4.1816724470875352E-2</c:v>
                </c:pt>
                <c:pt idx="3">
                  <c:v>4.237473630901404E-2</c:v>
                </c:pt>
                <c:pt idx="4">
                  <c:v>4.2910533768251165E-2</c:v>
                </c:pt>
                <c:pt idx="5">
                  <c:v>4.342500120012957E-2</c:v>
                </c:pt>
                <c:pt idx="6">
                  <c:v>4.3918987750271879E-2</c:v>
                </c:pt>
                <c:pt idx="7">
                  <c:v>4.439330875992361E-2</c:v>
                </c:pt>
                <c:pt idx="8">
                  <c:v>4.4848747111701052E-2</c:v>
                </c:pt>
                <c:pt idx="9">
                  <c:v>4.5286054521765082E-2</c:v>
                </c:pt>
                <c:pt idx="10">
                  <c:v>4.5705952780553706E-2</c:v>
                </c:pt>
                <c:pt idx="11">
                  <c:v>4.6109134944121215E-2</c:v>
                </c:pt>
                <c:pt idx="12">
                  <c:v>4.649626647805026E-2</c:v>
                </c:pt>
                <c:pt idx="13">
                  <c:v>4.6867986355824967E-2</c:v>
                </c:pt>
                <c:pt idx="14">
                  <c:v>4.7224908113477938E-2</c:v>
                </c:pt>
                <c:pt idx="15">
                  <c:v>4.7567620862251886E-2</c:v>
                </c:pt>
                <c:pt idx="16">
                  <c:v>4.7896690260947346E-2</c:v>
                </c:pt>
                <c:pt idx="17">
                  <c:v>4.8212659449561407E-2</c:v>
                </c:pt>
                <c:pt idx="18">
                  <c:v>4.8516049945758276E-2</c:v>
                </c:pt>
                <c:pt idx="19">
                  <c:v>4.8807362505651632E-2</c:v>
                </c:pt>
                <c:pt idx="20">
                  <c:v>5.009893083964715E-2</c:v>
                </c:pt>
                <c:pt idx="21">
                  <c:v>5.1153083660499421E-2</c:v>
                </c:pt>
                <c:pt idx="22">
                  <c:v>5.2013462581584562E-2</c:v>
                </c:pt>
                <c:pt idx="23">
                  <c:v>5.2715687034438699E-2</c:v>
                </c:pt>
                <c:pt idx="24">
                  <c:v>5.3288828902633645E-2</c:v>
                </c:pt>
                <c:pt idx="25">
                  <c:v>5.3756616089113508E-2</c:v>
                </c:pt>
                <c:pt idx="26">
                  <c:v>5.4138414844322073E-2</c:v>
                </c:pt>
                <c:pt idx="27">
                  <c:v>5.4450031523213482E-2</c:v>
                </c:pt>
                <c:pt idx="28">
                  <c:v>5.4704366963647978E-2</c:v>
                </c:pt>
                <c:pt idx="29">
                  <c:v>5.4911950577243802E-2</c:v>
                </c:pt>
                <c:pt idx="30">
                  <c:v>5.5081376263887732E-2</c:v>
                </c:pt>
                <c:pt idx="31">
                  <c:v>5.5219658196635359E-2</c:v>
                </c:pt>
                <c:pt idx="32">
                  <c:v>5.533252120639022E-2</c:v>
                </c:pt>
                <c:pt idx="33">
                  <c:v>5.5424637788201198E-2</c:v>
                </c:pt>
                <c:pt idx="34">
                  <c:v>5.5499821541168351E-2</c:v>
                </c:pt>
                <c:pt idx="35">
                  <c:v>5.5561185050311844E-2</c:v>
                </c:pt>
                <c:pt idx="36">
                  <c:v>5.5652146080370897E-2</c:v>
                </c:pt>
                <c:pt idx="37">
                  <c:v>5.5712739818110577E-2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718-4476-836A-8DA2BAADCA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5000000000000003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Measured vs Predicted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(k=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'1. k as func of τ  '!$J$47</c:f>
              <c:strCache>
                <c:ptCount val="1"/>
                <c:pt idx="0">
                  <c:v>Low Flow (τ* = 0.041)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'1. k as func of τ  '!$K$49:$K$54</c:f>
              <c:numCache>
                <c:formatCode>0.0000</c:formatCode>
                <c:ptCount val="6"/>
                <c:pt idx="0">
                  <c:v>0.04</c:v>
                </c:pt>
                <c:pt idx="1">
                  <c:v>4.5286054521765082E-2</c:v>
                </c:pt>
                <c:pt idx="2">
                  <c:v>5.1153083660499421E-2</c:v>
                </c:pt>
                <c:pt idx="3">
                  <c:v>5.4450031523213482E-2</c:v>
                </c:pt>
                <c:pt idx="4">
                  <c:v>5.5712739818110577E-2</c:v>
                </c:pt>
              </c:numCache>
            </c:numRef>
          </c:xVal>
          <c:yVal>
            <c:numRef>
              <c:f>'1. k as func of τ  '!$L$49:$L$54</c:f>
              <c:numCache>
                <c:formatCode>0.0000</c:formatCode>
                <c:ptCount val="6"/>
                <c:pt idx="0">
                  <c:v>0.04</c:v>
                </c:pt>
                <c:pt idx="1">
                  <c:v>4.0883015185033886E-2</c:v>
                </c:pt>
                <c:pt idx="2">
                  <c:v>4.7200498607488234E-2</c:v>
                </c:pt>
                <c:pt idx="3">
                  <c:v>4.7978393655140922E-2</c:v>
                </c:pt>
                <c:pt idx="4">
                  <c:v>5.2297832157699113E-2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EA-409B-9ED3-364158BC1502}"/>
            </c:ext>
          </c:extLst>
        </c:ser>
        <c:ser>
          <c:idx val="1"/>
          <c:order val="1"/>
          <c:tx>
            <c:strRef>
              <c:f>'1. k as func of τ  '!$J$38</c:f>
              <c:strCache>
                <c:ptCount val="1"/>
                <c:pt idx="0">
                  <c:v>Med Low Flow (τ* = 0.043)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'1. k as func of τ  '!$K$40:$K$45</c:f>
              <c:numCache>
                <c:formatCode>0.0000</c:formatCode>
                <c:ptCount val="6"/>
                <c:pt idx="0">
                  <c:v>0.04</c:v>
                </c:pt>
                <c:pt idx="2">
                  <c:v>5.1424171704325394E-2</c:v>
                </c:pt>
                <c:pt idx="3">
                  <c:v>5.4605662156079315E-2</c:v>
                </c:pt>
                <c:pt idx="4">
                  <c:v>5.5738409507309988E-2</c:v>
                </c:pt>
              </c:numCache>
            </c:numRef>
          </c:xVal>
          <c:yVal>
            <c:numRef>
              <c:f>'1. k as func of τ  '!$L$40:$L$45</c:f>
              <c:numCache>
                <c:formatCode>0.0000</c:formatCode>
                <c:ptCount val="6"/>
                <c:pt idx="0">
                  <c:v>0.04</c:v>
                </c:pt>
                <c:pt idx="2">
                  <c:v>4.880607945181633E-2</c:v>
                </c:pt>
                <c:pt idx="3">
                  <c:v>4.7893651283411866E-2</c:v>
                </c:pt>
                <c:pt idx="4">
                  <c:v>5.1755608653064417E-2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EA-409B-9ED3-364158BC1502}"/>
            </c:ext>
          </c:extLst>
        </c:ser>
        <c:ser>
          <c:idx val="2"/>
          <c:order val="2"/>
          <c:tx>
            <c:strRef>
              <c:f>'1. k as func of τ  '!$J$29</c:f>
              <c:strCache>
                <c:ptCount val="1"/>
                <c:pt idx="0">
                  <c:v>Med High Flow (τ* = 0.047)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'1. k as func of τ  '!$K$31:$K$36</c:f>
              <c:numCache>
                <c:formatCode>0.0000</c:formatCode>
                <c:ptCount val="6"/>
                <c:pt idx="0">
                  <c:v>0.04</c:v>
                </c:pt>
                <c:pt idx="1">
                  <c:v>4.5969214243294754E-2</c:v>
                </c:pt>
                <c:pt idx="2">
                  <c:v>5.200491947696529E-2</c:v>
                </c:pt>
                <c:pt idx="3">
                  <c:v>5.4907823578248589E-2</c:v>
                </c:pt>
                <c:pt idx="4">
                  <c:v>5.5779511683450508E-2</c:v>
                </c:pt>
              </c:numCache>
            </c:numRef>
          </c:xVal>
          <c:yVal>
            <c:numRef>
              <c:f>'1. k as func of τ  '!$L$31:$L$36</c:f>
              <c:numCache>
                <c:formatCode>0.0000</c:formatCode>
                <c:ptCount val="6"/>
                <c:pt idx="0">
                  <c:v>0.04</c:v>
                </c:pt>
                <c:pt idx="1">
                  <c:v>4.5627026419976936E-2</c:v>
                </c:pt>
                <c:pt idx="2">
                  <c:v>4.860357919174027E-2</c:v>
                </c:pt>
                <c:pt idx="3">
                  <c:v>5.5833646253055487E-2</c:v>
                </c:pt>
                <c:pt idx="4">
                  <c:v>5.145407230191433E-2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0EA-409B-9ED3-364158BC1502}"/>
            </c:ext>
          </c:extLst>
        </c:ser>
        <c:ser>
          <c:idx val="3"/>
          <c:order val="3"/>
          <c:tx>
            <c:strRef>
              <c:f>'1. k as func of τ  '!$J$20</c:f>
              <c:strCache>
                <c:ptCount val="1"/>
                <c:pt idx="0">
                  <c:v>High Flow: (τ* = 0.055)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'1. k as func of τ  '!$K$22:$K$27</c:f>
              <c:numCache>
                <c:formatCode>0.0000</c:formatCode>
                <c:ptCount val="6"/>
                <c:pt idx="0">
                  <c:v>0.04</c:v>
                </c:pt>
                <c:pt idx="1">
                  <c:v>4.6672422638469518E-2</c:v>
                </c:pt>
                <c:pt idx="2">
                  <c:v>5.2766753595437796E-2</c:v>
                </c:pt>
                <c:pt idx="3">
                  <c:v>5.5239605536026443E-2</c:v>
                </c:pt>
                <c:pt idx="4">
                  <c:v>5.5811359259406106E-2</c:v>
                </c:pt>
              </c:numCache>
            </c:numRef>
          </c:xVal>
          <c:yVal>
            <c:numRef>
              <c:f>'1. k as func of τ  '!$L$22:$L$27</c:f>
              <c:numCache>
                <c:formatCode>0.0000</c:formatCode>
                <c:ptCount val="6"/>
                <c:pt idx="0">
                  <c:v>0.04</c:v>
                </c:pt>
                <c:pt idx="1">
                  <c:v>4.8895149728212996E-2</c:v>
                </c:pt>
                <c:pt idx="2">
                  <c:v>5.1779269484048984E-2</c:v>
                </c:pt>
                <c:pt idx="3">
                  <c:v>4.8961843624642065E-2</c:v>
                </c:pt>
                <c:pt idx="4">
                  <c:v>4.8965324622054551E-2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0EA-409B-9ED3-364158BC1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50000"/>
                    <a:lumOff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F0EA-409B-9ED3-364158BC1502}"/>
              </c:ext>
            </c:extLst>
          </c:dPt>
          <c:xVal>
            <c:numRef>
              <c:f>'1. k as func of τ  '!$J$56:$J$57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xVal>
          <c:yVal>
            <c:numRef>
              <c:f>'1. k as func of τ  '!$K$56:$K$57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0EA-409B-9ED3-364158BC1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valAx>
        <c:axId val="1496099248"/>
        <c:scaling>
          <c:orientation val="minMax"/>
          <c:max val="6.0000000000000012E-2"/>
          <c:min val="3.5000000000000003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1088"/>
        <c:crosses val="autoZero"/>
        <c:crossBetween val="midCat"/>
      </c:valAx>
      <c:valAx>
        <c:axId val="1496091088"/>
        <c:scaling>
          <c:orientation val="minMax"/>
          <c:max val="6.0000000000000012E-2"/>
          <c:min val="3.5000000000000003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9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High Flow: (</a:t>
            </a:r>
            <a:r>
              <a:rPr lang="el-GR" sz="1200" baseline="0"/>
              <a:t>τ* = 0.</a:t>
            </a:r>
            <a:r>
              <a:rPr lang="en-US" sz="1200" baseline="0"/>
              <a:t>041)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'1. k as func of τ  '!$L$21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'1. k as func of τ  '!$J$22:$J$27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'1. k as func of τ  '!$L$22:$L$27</c:f>
              <c:numCache>
                <c:formatCode>0.0000</c:formatCode>
                <c:ptCount val="6"/>
                <c:pt idx="0">
                  <c:v>0.04</c:v>
                </c:pt>
                <c:pt idx="1">
                  <c:v>4.8895149728212996E-2</c:v>
                </c:pt>
                <c:pt idx="2">
                  <c:v>5.1779269484048984E-2</c:v>
                </c:pt>
                <c:pt idx="3">
                  <c:v>4.8961843624642065E-2</c:v>
                </c:pt>
                <c:pt idx="4">
                  <c:v>4.8965324622054551E-2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6E-4EEB-B6ED-8A5B5C4EA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'1. k as func of τ  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'1. k as func of τ  '!$D$4:$D$41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'!$H$4:$H$41</c:f>
              <c:numCache>
                <c:formatCode>0.0000</c:formatCode>
                <c:ptCount val="38"/>
                <c:pt idx="0">
                  <c:v>4.0843074672333168E-2</c:v>
                </c:pt>
                <c:pt idx="1">
                  <c:v>4.1641259185332853E-2</c:v>
                </c:pt>
                <c:pt idx="2">
                  <c:v>4.2396943750057592E-2</c:v>
                </c:pt>
                <c:pt idx="3">
                  <c:v>4.3112391308939818E-2</c:v>
                </c:pt>
                <c:pt idx="4">
                  <c:v>4.3789744312301711E-2</c:v>
                </c:pt>
                <c:pt idx="5">
                  <c:v>4.4431031134050322E-2</c:v>
                </c:pt>
                <c:pt idx="6">
                  <c:v>4.5038172145763999E-2</c:v>
                </c:pt>
                <c:pt idx="7">
                  <c:v>4.5612985467359438E-2</c:v>
                </c:pt>
                <c:pt idx="8">
                  <c:v>4.615719241156007E-2</c:v>
                </c:pt>
                <c:pt idx="9">
                  <c:v>4.6672422638469518E-2</c:v>
                </c:pt>
                <c:pt idx="10">
                  <c:v>4.7160219035685833E-2</c:v>
                </c:pt>
                <c:pt idx="11">
                  <c:v>4.7622042338570245E-2</c:v>
                </c:pt>
                <c:pt idx="12">
                  <c:v>4.8059275504506255E-2</c:v>
                </c:pt>
                <c:pt idx="13">
                  <c:v>4.8473227854247868E-2</c:v>
                </c:pt>
                <c:pt idx="14">
                  <c:v>4.886513899275851E-2</c:v>
                </c:pt>
                <c:pt idx="15">
                  <c:v>4.9236182521281979E-2</c:v>
                </c:pt>
                <c:pt idx="16">
                  <c:v>4.9587469551761243E-2</c:v>
                </c:pt>
                <c:pt idx="17">
                  <c:v>4.9920052034129289E-2</c:v>
                </c:pt>
                <c:pt idx="18">
                  <c:v>5.0234925906435891E-2</c:v>
                </c:pt>
                <c:pt idx="19">
                  <c:v>5.053303407724339E-2</c:v>
                </c:pt>
                <c:pt idx="20">
                  <c:v>5.1801722572865465E-2</c:v>
                </c:pt>
                <c:pt idx="21">
                  <c:v>5.2766753595437796E-2</c:v>
                </c:pt>
                <c:pt idx="22">
                  <c:v>5.3500806814758876E-2</c:v>
                </c:pt>
                <c:pt idx="23">
                  <c:v>5.4059166200304175E-2</c:v>
                </c:pt>
                <c:pt idx="24">
                  <c:v>5.4483883639340647E-2</c:v>
                </c:pt>
                <c:pt idx="25">
                  <c:v>5.4806946003279476E-2</c:v>
                </c:pt>
                <c:pt idx="26">
                  <c:v>5.5052684184481837E-2</c:v>
                </c:pt>
                <c:pt idx="27">
                  <c:v>5.5239605536026443E-2</c:v>
                </c:pt>
                <c:pt idx="28">
                  <c:v>5.538178772152285E-2</c:v>
                </c:pt>
                <c:pt idx="29">
                  <c:v>5.5489938950397902E-2</c:v>
                </c:pt>
                <c:pt idx="30">
                  <c:v>5.5572204448472412E-2</c:v>
                </c:pt>
                <c:pt idx="31">
                  <c:v>5.5634779901787557E-2</c:v>
                </c:pt>
                <c:pt idx="32">
                  <c:v>5.5682378074159281E-2</c:v>
                </c:pt>
                <c:pt idx="33">
                  <c:v>5.5718583740967928E-2</c:v>
                </c:pt>
                <c:pt idx="34">
                  <c:v>5.5746123670417778E-2</c:v>
                </c:pt>
                <c:pt idx="35">
                  <c:v>5.5767071985445671E-2</c:v>
                </c:pt>
                <c:pt idx="36">
                  <c:v>5.5795126903639483E-2</c:v>
                </c:pt>
                <c:pt idx="37">
                  <c:v>5.5811359259406106E-2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6E-4EEB-B6ED-8A5B5C4EA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High Flow (</a:t>
            </a:r>
            <a:r>
              <a:rPr lang="el-GR" sz="1200" baseline="0"/>
              <a:t>τ* = 0.0</a:t>
            </a:r>
            <a:r>
              <a:rPr lang="en-US" sz="1200" baseline="0"/>
              <a:t>43</a:t>
            </a:r>
            <a:r>
              <a:rPr lang="el-GR" sz="1200" baseline="0"/>
              <a:t>)</a:t>
            </a:r>
            <a:endParaRPr lang="en-US" sz="1200"/>
          </a:p>
        </c:rich>
      </c:tx>
      <c:layout>
        <c:manualLayout>
          <c:xMode val="edge"/>
          <c:yMode val="edge"/>
          <c:x val="0.31548891171212295"/>
          <c:y val="5.2131017869341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'1. k as func of τ  '!$L$30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'1. k as func of τ  '!$J$31:$J$36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'1. k as func of τ  '!$L$31:$L$36</c:f>
              <c:numCache>
                <c:formatCode>0.0000</c:formatCode>
                <c:ptCount val="6"/>
                <c:pt idx="0">
                  <c:v>0.04</c:v>
                </c:pt>
                <c:pt idx="1">
                  <c:v>4.5627026419976936E-2</c:v>
                </c:pt>
                <c:pt idx="2">
                  <c:v>4.860357919174027E-2</c:v>
                </c:pt>
                <c:pt idx="3">
                  <c:v>5.5833646253055487E-2</c:v>
                </c:pt>
                <c:pt idx="4">
                  <c:v>5.145407230191433E-2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52-4638-9C0C-056FA594A7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'1. k as func of τ  '!$K$30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'1. k as func of τ  '!$D$4:$D$41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'!$G$4:$G$41</c:f>
              <c:numCache>
                <c:formatCode>0.0000</c:formatCode>
                <c:ptCount val="38"/>
                <c:pt idx="0">
                  <c:v>4.0731799722645824E-2</c:v>
                </c:pt>
                <c:pt idx="1">
                  <c:v>4.1429777113688074E-2</c:v>
                </c:pt>
                <c:pt idx="2">
                  <c:v>4.2095495374204456E-2</c:v>
                </c:pt>
                <c:pt idx="3">
                  <c:v>4.273044545721958E-2</c:v>
                </c:pt>
                <c:pt idx="4">
                  <c:v>4.3336049406866667E-2</c:v>
                </c:pt>
                <c:pt idx="5">
                  <c:v>4.3913663543219843E-2</c:v>
                </c:pt>
                <c:pt idx="6">
                  <c:v>4.4464581499929746E-2</c:v>
                </c:pt>
                <c:pt idx="7">
                  <c:v>4.4990037121465709E-2</c:v>
                </c:pt>
                <c:pt idx="8">
                  <c:v>4.5491207226453105E-2</c:v>
                </c:pt>
                <c:pt idx="9">
                  <c:v>4.5969214243294754E-2</c:v>
                </c:pt>
                <c:pt idx="10">
                  <c:v>4.6425128723979102E-2</c:v>
                </c:pt>
                <c:pt idx="11">
                  <c:v>4.6859971741705218E-2</c:v>
                </c:pt>
                <c:pt idx="12">
                  <c:v>4.7274717177694277E-2</c:v>
                </c:pt>
                <c:pt idx="13">
                  <c:v>4.7670293902309174E-2</c:v>
                </c:pt>
                <c:pt idx="14">
                  <c:v>4.8047587855367106E-2</c:v>
                </c:pt>
                <c:pt idx="15">
                  <c:v>4.840744403030426E-2</c:v>
                </c:pt>
                <c:pt idx="16">
                  <c:v>4.8750668366636295E-2</c:v>
                </c:pt>
                <c:pt idx="17">
                  <c:v>4.9078029554953093E-2</c:v>
                </c:pt>
                <c:pt idx="18">
                  <c:v>4.9390260758490234E-2</c:v>
                </c:pt>
                <c:pt idx="19">
                  <c:v>4.9688061255132823E-2</c:v>
                </c:pt>
                <c:pt idx="20">
                  <c:v>5.0982897255603163E-2</c:v>
                </c:pt>
                <c:pt idx="21">
                  <c:v>5.200491947696529E-2</c:v>
                </c:pt>
                <c:pt idx="22">
                  <c:v>5.2811608061912388E-2</c:v>
                </c:pt>
                <c:pt idx="23">
                  <c:v>5.3448332449584357E-2</c:v>
                </c:pt>
                <c:pt idx="24">
                  <c:v>5.3950903024427482E-2</c:v>
                </c:pt>
                <c:pt idx="25">
                  <c:v>5.4347585148731899E-2</c:v>
                </c:pt>
                <c:pt idx="26">
                  <c:v>5.4660688851215437E-2</c:v>
                </c:pt>
                <c:pt idx="27">
                  <c:v>5.4907823578248589E-2</c:v>
                </c:pt>
                <c:pt idx="28">
                  <c:v>5.5102888576909731E-2</c:v>
                </c:pt>
                <c:pt idx="29">
                  <c:v>5.5256854610576736E-2</c:v>
                </c:pt>
                <c:pt idx="30">
                  <c:v>5.5378380971973472E-2</c:v>
                </c:pt>
                <c:pt idx="31">
                  <c:v>5.5474302495458788E-2</c:v>
                </c:pt>
                <c:pt idx="32">
                  <c:v>5.5550013958897623E-2</c:v>
                </c:pt>
                <c:pt idx="33">
                  <c:v>5.5609773494482234E-2</c:v>
                </c:pt>
                <c:pt idx="34">
                  <c:v>5.5656942072806873E-2</c:v>
                </c:pt>
                <c:pt idx="35">
                  <c:v>5.5694172529158356E-2</c:v>
                </c:pt>
                <c:pt idx="36">
                  <c:v>5.5746753502987523E-2</c:v>
                </c:pt>
                <c:pt idx="37">
                  <c:v>5.5779511683450508E-2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952-4638-9C0C-056FA594A7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ax val="6.0000000000000012E-2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Low Flow (</a:t>
            </a:r>
            <a:r>
              <a:rPr lang="el-GR" sz="1200" baseline="0"/>
              <a:t>τ* = 0.0</a:t>
            </a:r>
            <a:r>
              <a:rPr lang="en-US" sz="1200" baseline="0"/>
              <a:t>47)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'1. k as func of τ  '!$L$39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'1. k as func of τ  '!$J$40:$J$45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'1. k as func of τ  '!$L$40:$L$45</c:f>
              <c:numCache>
                <c:formatCode>0.0000</c:formatCode>
                <c:ptCount val="6"/>
                <c:pt idx="0">
                  <c:v>0.04</c:v>
                </c:pt>
                <c:pt idx="2">
                  <c:v>4.880607945181633E-2</c:v>
                </c:pt>
                <c:pt idx="3">
                  <c:v>4.7893651283411866E-2</c:v>
                </c:pt>
                <c:pt idx="4">
                  <c:v>5.1755608653064417E-2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B0-4EC1-A317-D7C92F77C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'1. k as func of τ  '!$K$39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'1. k as func of τ  '!$D$4:$D$41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'!$F$4:$F$41</c:f>
              <c:numCache>
                <c:formatCode>0.0000</c:formatCode>
                <c:ptCount val="38"/>
                <c:pt idx="0">
                  <c:v>4.0660541085374521E-2</c:v>
                </c:pt>
                <c:pt idx="1">
                  <c:v>4.1293526008479492E-2</c:v>
                </c:pt>
                <c:pt idx="2">
                  <c:v>4.1900104345163933E-2</c:v>
                </c:pt>
                <c:pt idx="3">
                  <c:v>4.2481377713777552E-2</c:v>
                </c:pt>
                <c:pt idx="4">
                  <c:v>4.3038401775840618E-2</c:v>
                </c:pt>
                <c:pt idx="5">
                  <c:v>4.3572188153250743E-2</c:v>
                </c:pt>
                <c:pt idx="6">
                  <c:v>4.4083706265508449E-2</c:v>
                </c:pt>
                <c:pt idx="7">
                  <c:v>4.4573885090298221E-2</c:v>
                </c:pt>
                <c:pt idx="8">
                  <c:v>4.5043614850622395E-2</c:v>
                </c:pt>
                <c:pt idx="9">
                  <c:v>4.5493748631551909E-2</c:v>
                </c:pt>
                <c:pt idx="10">
                  <c:v>4.5925103929530184E-2</c:v>
                </c:pt>
                <c:pt idx="11">
                  <c:v>4.633846413704383E-2</c:v>
                </c:pt>
                <c:pt idx="12">
                  <c:v>4.6734579965356515E-2</c:v>
                </c:pt>
                <c:pt idx="13">
                  <c:v>4.7114170807889801E-2</c:v>
                </c:pt>
                <c:pt idx="14">
                  <c:v>4.747792604672714E-2</c:v>
                </c:pt>
                <c:pt idx="15">
                  <c:v>4.7826506304613658E-2</c:v>
                </c:pt>
                <c:pt idx="16">
                  <c:v>4.8160544644725543E-2</c:v>
                </c:pt>
                <c:pt idx="17">
                  <c:v>4.848064772038805E-2</c:v>
                </c:pt>
                <c:pt idx="18">
                  <c:v>4.8787396876830022E-2</c:v>
                </c:pt>
                <c:pt idx="19">
                  <c:v>4.9081349206975919E-2</c:v>
                </c:pt>
                <c:pt idx="20">
                  <c:v>5.0377083051721408E-2</c:v>
                </c:pt>
                <c:pt idx="21">
                  <c:v>5.1424171704325394E-2</c:v>
                </c:pt>
                <c:pt idx="22">
                  <c:v>5.2270329000330421E-2</c:v>
                </c:pt>
                <c:pt idx="23">
                  <c:v>5.2954112716066398E-2</c:v>
                </c:pt>
                <c:pt idx="24">
                  <c:v>5.3506681573078217E-2</c:v>
                </c:pt>
                <c:pt idx="25">
                  <c:v>5.395321508171947E-2</c:v>
                </c:pt>
                <c:pt idx="26">
                  <c:v>5.4314060923480706E-2</c:v>
                </c:pt>
                <c:pt idx="27">
                  <c:v>5.4605662156079315E-2</c:v>
                </c:pt>
                <c:pt idx="28">
                  <c:v>5.484130649228118E-2</c:v>
                </c:pt>
                <c:pt idx="29">
                  <c:v>5.503173179566271E-2</c:v>
                </c:pt>
                <c:pt idx="30">
                  <c:v>5.5185615384601948E-2</c:v>
                </c:pt>
                <c:pt idx="31">
                  <c:v>5.5309969441149652E-2</c:v>
                </c:pt>
                <c:pt idx="32">
                  <c:v>5.5410460542809459E-2</c:v>
                </c:pt>
                <c:pt idx="33">
                  <c:v>5.549166787768179E-2</c:v>
                </c:pt>
                <c:pt idx="34">
                  <c:v>5.5557291909343734E-2</c:v>
                </c:pt>
                <c:pt idx="35">
                  <c:v>5.5610322999926111E-2</c:v>
                </c:pt>
                <c:pt idx="36">
                  <c:v>5.5687808741154948E-2</c:v>
                </c:pt>
                <c:pt idx="37">
                  <c:v>5.5738409507309988E-2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FB0-4EC1-A317-D7C92F77C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u="none" strike="noStrike" baseline="0">
                <a:effectLst/>
              </a:rPr>
              <a:t>Low Flow (</a:t>
            </a:r>
            <a:r>
              <a:rPr lang="el-GR" sz="1200" b="0" i="0" u="none" strike="noStrike" baseline="0">
                <a:effectLst/>
              </a:rPr>
              <a:t>τ* = 0.0</a:t>
            </a:r>
            <a:r>
              <a:rPr lang="en-US" sz="1200" b="0" i="0" u="none" strike="noStrike" baseline="0">
                <a:effectLst/>
              </a:rPr>
              <a:t>55</a:t>
            </a:r>
            <a:r>
              <a:rPr lang="el-GR" sz="1200" b="0" i="0" u="none" strike="noStrike" baseline="0">
                <a:effectLst/>
              </a:rPr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'1. k as func of τ  '!$L$48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'1. k as func of τ  '!$J$49:$J$54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'1. k as func of τ  '!$L$49:$L$54</c:f>
              <c:numCache>
                <c:formatCode>0.0000</c:formatCode>
                <c:ptCount val="6"/>
                <c:pt idx="0">
                  <c:v>0.04</c:v>
                </c:pt>
                <c:pt idx="1">
                  <c:v>4.0883015185033886E-2</c:v>
                </c:pt>
                <c:pt idx="2">
                  <c:v>4.7200498607488234E-2</c:v>
                </c:pt>
                <c:pt idx="3">
                  <c:v>4.7978393655140922E-2</c:v>
                </c:pt>
                <c:pt idx="4">
                  <c:v>5.2297832157699113E-2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82E-445B-9348-519A03C7EC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'1. k as func of τ  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'1. k as func of τ  '!$D$4:$D$41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'!$E$4:$E$41</c:f>
              <c:numCache>
                <c:formatCode>0.0000</c:formatCode>
                <c:ptCount val="38"/>
                <c:pt idx="0">
                  <c:v>4.063033540369311E-2</c:v>
                </c:pt>
                <c:pt idx="1">
                  <c:v>4.1235577236720375E-2</c:v>
                </c:pt>
                <c:pt idx="2">
                  <c:v>4.1816724470875352E-2</c:v>
                </c:pt>
                <c:pt idx="3">
                  <c:v>4.237473630901404E-2</c:v>
                </c:pt>
                <c:pt idx="4">
                  <c:v>4.2910533768251165E-2</c:v>
                </c:pt>
                <c:pt idx="5">
                  <c:v>4.342500120012957E-2</c:v>
                </c:pt>
                <c:pt idx="6">
                  <c:v>4.3918987750271879E-2</c:v>
                </c:pt>
                <c:pt idx="7">
                  <c:v>4.439330875992361E-2</c:v>
                </c:pt>
                <c:pt idx="8">
                  <c:v>4.4848747111701052E-2</c:v>
                </c:pt>
                <c:pt idx="9">
                  <c:v>4.5286054521765082E-2</c:v>
                </c:pt>
                <c:pt idx="10">
                  <c:v>4.5705952780553706E-2</c:v>
                </c:pt>
                <c:pt idx="11">
                  <c:v>4.6109134944121215E-2</c:v>
                </c:pt>
                <c:pt idx="12">
                  <c:v>4.649626647805026E-2</c:v>
                </c:pt>
                <c:pt idx="13">
                  <c:v>4.6867986355824967E-2</c:v>
                </c:pt>
                <c:pt idx="14">
                  <c:v>4.7224908113477938E-2</c:v>
                </c:pt>
                <c:pt idx="15">
                  <c:v>4.7567620862251886E-2</c:v>
                </c:pt>
                <c:pt idx="16">
                  <c:v>4.7896690260947346E-2</c:v>
                </c:pt>
                <c:pt idx="17">
                  <c:v>4.8212659449561407E-2</c:v>
                </c:pt>
                <c:pt idx="18">
                  <c:v>4.8516049945758276E-2</c:v>
                </c:pt>
                <c:pt idx="19">
                  <c:v>4.8807362505651632E-2</c:v>
                </c:pt>
                <c:pt idx="20">
                  <c:v>5.009893083964715E-2</c:v>
                </c:pt>
                <c:pt idx="21">
                  <c:v>5.1153083660499421E-2</c:v>
                </c:pt>
                <c:pt idx="22">
                  <c:v>5.2013462581584562E-2</c:v>
                </c:pt>
                <c:pt idx="23">
                  <c:v>5.2715687034438699E-2</c:v>
                </c:pt>
                <c:pt idx="24">
                  <c:v>5.3288828902633645E-2</c:v>
                </c:pt>
                <c:pt idx="25">
                  <c:v>5.3756616089113508E-2</c:v>
                </c:pt>
                <c:pt idx="26">
                  <c:v>5.4138414844322073E-2</c:v>
                </c:pt>
                <c:pt idx="27">
                  <c:v>5.4450031523213482E-2</c:v>
                </c:pt>
                <c:pt idx="28">
                  <c:v>5.4704366963647978E-2</c:v>
                </c:pt>
                <c:pt idx="29">
                  <c:v>5.4911950577243802E-2</c:v>
                </c:pt>
                <c:pt idx="30">
                  <c:v>5.5081376263887732E-2</c:v>
                </c:pt>
                <c:pt idx="31">
                  <c:v>5.5219658196635359E-2</c:v>
                </c:pt>
                <c:pt idx="32">
                  <c:v>5.533252120639022E-2</c:v>
                </c:pt>
                <c:pt idx="33">
                  <c:v>5.5424637788201198E-2</c:v>
                </c:pt>
                <c:pt idx="34">
                  <c:v>5.5499821541168351E-2</c:v>
                </c:pt>
                <c:pt idx="35">
                  <c:v>5.5561185050311844E-2</c:v>
                </c:pt>
                <c:pt idx="36">
                  <c:v>5.5652146080370897E-2</c:v>
                </c:pt>
                <c:pt idx="37">
                  <c:v>5.5712739818110577E-2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2E-445B-9348-519A03C7EC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Testing</a:t>
            </a:r>
            <a:r>
              <a:rPr lang="en-US" baseline="0"/>
              <a:t> Equation with flume data (k=</a:t>
            </a:r>
            <a:r>
              <a:rPr lang="el-GR" baseline="0"/>
              <a:t>τ</a:t>
            </a:r>
            <a:r>
              <a:rPr lang="en-US" baseline="0"/>
              <a:t>^2) </a:t>
            </a:r>
            <a:endParaRPr lang="en-US"/>
          </a:p>
        </c:rich>
      </c:tx>
      <c:layout>
        <c:manualLayout>
          <c:xMode val="edge"/>
          <c:yMode val="edge"/>
          <c:x val="0.1763585791018838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0"/>
          <c:tx>
            <c:strRef>
              <c:f>'1. k as func of τ  '!$Z$2</c:f>
              <c:strCache>
                <c:ptCount val="1"/>
                <c:pt idx="0">
                  <c:v>0.055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'1. k as func of τ  '!$V$4:$V$41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'!$Z$4:$Z$41</c:f>
              <c:numCache>
                <c:formatCode>0.0000</c:formatCode>
                <c:ptCount val="38"/>
                <c:pt idx="0">
                  <c:v>4.0047332082122869E-2</c:v>
                </c:pt>
                <c:pt idx="1">
                  <c:v>4.0094522672768515E-2</c:v>
                </c:pt>
                <c:pt idx="2">
                  <c:v>4.0141572194902456E-2</c:v>
                </c:pt>
                <c:pt idx="3">
                  <c:v>4.0188481070225809E-2</c:v>
                </c:pt>
                <c:pt idx="4">
                  <c:v>4.0235249719179085E-2</c:v>
                </c:pt>
                <c:pt idx="5">
                  <c:v>4.0281878560945963E-2</c:v>
                </c:pt>
                <c:pt idx="6">
                  <c:v>4.0328368013457044E-2</c:v>
                </c:pt>
                <c:pt idx="7">
                  <c:v>4.0374718493393594E-2</c:v>
                </c:pt>
                <c:pt idx="8">
                  <c:v>4.0420930416191263E-2</c:v>
                </c:pt>
                <c:pt idx="9">
                  <c:v>4.0467004196043842E-2</c:v>
                </c:pt>
                <c:pt idx="10">
                  <c:v>4.0512940245906945E-2</c:v>
                </c:pt>
                <c:pt idx="11">
                  <c:v>4.0558738977501743E-2</c:v>
                </c:pt>
                <c:pt idx="12">
                  <c:v>4.0604400801318621E-2</c:v>
                </c:pt>
                <c:pt idx="13">
                  <c:v>4.0649926126620856E-2</c:v>
                </c:pt>
                <c:pt idx="14">
                  <c:v>4.0695315361448325E-2</c:v>
                </c:pt>
                <c:pt idx="15">
                  <c:v>4.0740568912621129E-2</c:v>
                </c:pt>
                <c:pt idx="16">
                  <c:v>4.0785687185743241E-2</c:v>
                </c:pt>
                <c:pt idx="17">
                  <c:v>4.0830670585206147E-2</c:v>
                </c:pt>
                <c:pt idx="18">
                  <c:v>4.0875519514192486E-2</c:v>
                </c:pt>
                <c:pt idx="19">
                  <c:v>4.0920234374679627E-2</c:v>
                </c:pt>
                <c:pt idx="20">
                  <c:v>4.1141811634921428E-2</c:v>
                </c:pt>
                <c:pt idx="21">
                  <c:v>4.1360096792547367E-2</c:v>
                </c:pt>
                <c:pt idx="22">
                  <c:v>4.1575138760246509E-2</c:v>
                </c:pt>
                <c:pt idx="23">
                  <c:v>4.1786985723983552E-2</c:v>
                </c:pt>
                <c:pt idx="24">
                  <c:v>4.1995685153796217E-2</c:v>
                </c:pt>
                <c:pt idx="25">
                  <c:v>4.2201283814432181E-2</c:v>
                </c:pt>
                <c:pt idx="26">
                  <c:v>4.2403827775827976E-2</c:v>
                </c:pt>
                <c:pt idx="27">
                  <c:v>4.2603362423432233E-2</c:v>
                </c:pt>
                <c:pt idx="28">
                  <c:v>4.2799932468375476E-2</c:v>
                </c:pt>
                <c:pt idx="29">
                  <c:v>4.2993581957488876E-2</c:v>
                </c:pt>
                <c:pt idx="30">
                  <c:v>4.3184354283174159E-2</c:v>
                </c:pt>
                <c:pt idx="31">
                  <c:v>4.3372292193126806E-2</c:v>
                </c:pt>
                <c:pt idx="32">
                  <c:v>4.3557437799914861E-2</c:v>
                </c:pt>
                <c:pt idx="33">
                  <c:v>4.3739832590415376E-2</c:v>
                </c:pt>
                <c:pt idx="34">
                  <c:v>4.3919517435110654E-2</c:v>
                </c:pt>
                <c:pt idx="35">
                  <c:v>4.409653259724642E-2</c:v>
                </c:pt>
                <c:pt idx="36">
                  <c:v>4.4442711944637642E-2</c:v>
                </c:pt>
                <c:pt idx="37">
                  <c:v>4.4778680933326168E-2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BD3-4425-9D40-C765C635E275}"/>
            </c:ext>
          </c:extLst>
        </c:ser>
        <c:ser>
          <c:idx val="2"/>
          <c:order val="1"/>
          <c:tx>
            <c:strRef>
              <c:f>'1. k as func of τ  '!$Y$2</c:f>
              <c:strCache>
                <c:ptCount val="1"/>
                <c:pt idx="0">
                  <c:v>0.047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'1. k as func of τ  '!$V$4:$V$41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'!$Y$4:$Y$41</c:f>
              <c:numCache>
                <c:formatCode>0.0000</c:formatCode>
                <c:ptCount val="38"/>
                <c:pt idx="0">
                  <c:v>4.0035414999984073E-2</c:v>
                </c:pt>
                <c:pt idx="1">
                  <c:v>4.0070750787498451E-2</c:v>
                </c:pt>
                <c:pt idx="2">
                  <c:v>4.010600753971709E-2</c:v>
                </c:pt>
                <c:pt idx="3">
                  <c:v>4.0141185433417659E-2</c:v>
                </c:pt>
                <c:pt idx="4">
                  <c:v>4.0176284644982407E-2</c:v>
                </c:pt>
                <c:pt idx="5">
                  <c:v>4.0211305350399108E-2</c:v>
                </c:pt>
                <c:pt idx="6">
                  <c:v>4.024624772526187E-2</c:v>
                </c:pt>
                <c:pt idx="7">
                  <c:v>4.0281111944772081E-2</c:v>
                </c:pt>
                <c:pt idx="8">
                  <c:v>4.0315898183739228E-2</c:v>
                </c:pt>
                <c:pt idx="9">
                  <c:v>4.0350606616581824E-2</c:v>
                </c:pt>
                <c:pt idx="10">
                  <c:v>4.038523741732826E-2</c:v>
                </c:pt>
                <c:pt idx="11">
                  <c:v>4.0419790759617658E-2</c:v>
                </c:pt>
                <c:pt idx="12">
                  <c:v>4.04542668167008E-2</c:v>
                </c:pt>
                <c:pt idx="13">
                  <c:v>4.0488665761440917E-2</c:v>
                </c:pt>
                <c:pt idx="14">
                  <c:v>4.0522987766314633E-2</c:v>
                </c:pt>
                <c:pt idx="15">
                  <c:v>4.0557233003412782E-2</c:v>
                </c:pt>
                <c:pt idx="16">
                  <c:v>4.0591401644441263E-2</c:v>
                </c:pt>
                <c:pt idx="17">
                  <c:v>4.0625493860721965E-2</c:v>
                </c:pt>
                <c:pt idx="18">
                  <c:v>4.0659509823193545E-2</c:v>
                </c:pt>
                <c:pt idx="19">
                  <c:v>4.0693449702412343E-2</c:v>
                </c:pt>
                <c:pt idx="20">
                  <c:v>4.0862013792530176E-2</c:v>
                </c:pt>
                <c:pt idx="21">
                  <c:v>4.1028701166425589E-2</c:v>
                </c:pt>
                <c:pt idx="22">
                  <c:v>4.119353271860688E-2</c:v>
                </c:pt>
                <c:pt idx="23">
                  <c:v>4.1356529110952348E-2</c:v>
                </c:pt>
                <c:pt idx="24">
                  <c:v>4.1517710775300316E-2</c:v>
                </c:pt>
                <c:pt idx="25">
                  <c:v>4.167709791601025E-2</c:v>
                </c:pt>
                <c:pt idx="26">
                  <c:v>4.183471051249546E-2</c:v>
                </c:pt>
                <c:pt idx="27">
                  <c:v>4.1990568321727484E-2</c:v>
                </c:pt>
                <c:pt idx="28">
                  <c:v>4.2144690880712724E-2</c:v>
                </c:pt>
                <c:pt idx="29">
                  <c:v>4.2297097508941381E-2</c:v>
                </c:pt>
                <c:pt idx="30">
                  <c:v>4.2447807310809209E-2</c:v>
                </c:pt>
                <c:pt idx="31">
                  <c:v>4.2596839178012269E-2</c:v>
                </c:pt>
                <c:pt idx="32">
                  <c:v>4.2744211791915038E-2</c:v>
                </c:pt>
                <c:pt idx="33">
                  <c:v>4.288994362589215E-2</c:v>
                </c:pt>
                <c:pt idx="34">
                  <c:v>4.303405294764405E-2</c:v>
                </c:pt>
                <c:pt idx="35">
                  <c:v>4.3176557821486883E-2</c:v>
                </c:pt>
                <c:pt idx="36">
                  <c:v>4.3456825479349509E-2</c:v>
                </c:pt>
                <c:pt idx="37">
                  <c:v>4.3730887131741877E-2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BD3-4425-9D40-C765C635E275}"/>
            </c:ext>
          </c:extLst>
        </c:ser>
        <c:ser>
          <c:idx val="1"/>
          <c:order val="2"/>
          <c:tx>
            <c:strRef>
              <c:f>'1. k as func of τ  '!$X$2</c:f>
              <c:strCache>
                <c:ptCount val="1"/>
                <c:pt idx="0">
                  <c:v>0.043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'1. k as func of τ  '!$V$4:$V$41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'!$X$4:$X$41</c:f>
              <c:numCache>
                <c:formatCode>0.0000</c:formatCode>
                <c:ptCount val="38"/>
                <c:pt idx="0">
                  <c:v>4.0028725344178659E-2</c:v>
                </c:pt>
                <c:pt idx="1">
                  <c:v>4.0057398574941047E-2</c:v>
                </c:pt>
                <c:pt idx="2">
                  <c:v>4.0086019786831156E-2</c:v>
                </c:pt>
                <c:pt idx="3">
                  <c:v>4.0114589074221413E-2</c:v>
                </c:pt>
                <c:pt idx="4">
                  <c:v>4.0143106531313068E-2</c:v>
                </c:pt>
                <c:pt idx="5">
                  <c:v>4.0171572252136467E-2</c:v>
                </c:pt>
                <c:pt idx="6">
                  <c:v>4.0199986330551364E-2</c:v>
                </c:pt>
                <c:pt idx="7">
                  <c:v>4.0228348860247225E-2</c:v>
                </c:pt>
                <c:pt idx="8">
                  <c:v>4.0256659934743547E-2</c:v>
                </c:pt>
                <c:pt idx="9">
                  <c:v>4.0284919647390185E-2</c:v>
                </c:pt>
                <c:pt idx="10">
                  <c:v>4.0313128091367598E-2</c:v>
                </c:pt>
                <c:pt idx="11">
                  <c:v>4.0341285359687243E-2</c:v>
                </c:pt>
                <c:pt idx="12">
                  <c:v>4.0369391545191806E-2</c:v>
                </c:pt>
                <c:pt idx="13">
                  <c:v>4.0397446740555544E-2</c:v>
                </c:pt>
                <c:pt idx="14">
                  <c:v>4.0425451038284592E-2</c:v>
                </c:pt>
                <c:pt idx="15">
                  <c:v>4.0453404530717253E-2</c:v>
                </c:pt>
                <c:pt idx="16">
                  <c:v>4.048130731002432E-2</c:v>
                </c:pt>
                <c:pt idx="17">
                  <c:v>4.0509159468209356E-2</c:v>
                </c:pt>
                <c:pt idx="18">
                  <c:v>4.0536961097109019E-2</c:v>
                </c:pt>
                <c:pt idx="19">
                  <c:v>4.0564712288393361E-2</c:v>
                </c:pt>
                <c:pt idx="20">
                  <c:v>4.0702714877412262E-2</c:v>
                </c:pt>
                <c:pt idx="21">
                  <c:v>4.0839470181282117E-2</c:v>
                </c:pt>
                <c:pt idx="22">
                  <c:v>4.097498947312652E-2</c:v>
                </c:pt>
                <c:pt idx="23">
                  <c:v>4.1109283924181131E-2</c:v>
                </c:pt>
                <c:pt idx="24">
                  <c:v>4.1242364604714553E-2</c:v>
                </c:pt>
                <c:pt idx="25">
                  <c:v>4.1374242484940857E-2</c:v>
                </c:pt>
                <c:pt idx="26">
                  <c:v>4.1504928435923918E-2</c:v>
                </c:pt>
                <c:pt idx="27">
                  <c:v>4.1634433230473548E-2</c:v>
                </c:pt>
                <c:pt idx="28">
                  <c:v>4.1762767544033505E-2</c:v>
                </c:pt>
                <c:pt idx="29">
                  <c:v>4.1889941955561519E-2</c:v>
                </c:pt>
                <c:pt idx="30">
                  <c:v>4.2015966948401332E-2</c:v>
                </c:pt>
                <c:pt idx="31">
                  <c:v>4.2140852911146894E-2</c:v>
                </c:pt>
                <c:pt idx="32">
                  <c:v>4.2264610138498686E-2</c:v>
                </c:pt>
                <c:pt idx="33">
                  <c:v>4.2387248832112367E-2</c:v>
                </c:pt>
                <c:pt idx="34">
                  <c:v>4.2508779101439742E-2</c:v>
                </c:pt>
                <c:pt idx="35">
                  <c:v>4.2629210964562056E-2</c:v>
                </c:pt>
                <c:pt idx="36">
                  <c:v>4.2866819092611405E-2</c:v>
                </c:pt>
                <c:pt idx="37">
                  <c:v>4.310015156469503E-2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BD3-4425-9D40-C765C635E275}"/>
            </c:ext>
          </c:extLst>
        </c:ser>
        <c:ser>
          <c:idx val="0"/>
          <c:order val="3"/>
          <c:tx>
            <c:strRef>
              <c:f>'1. k as func of τ  '!$W$2</c:f>
              <c:strCache>
                <c:ptCount val="1"/>
                <c:pt idx="0">
                  <c:v>0.041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'1. k as func of τ  '!$V$4:$V$41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'!$W$4:$W$41</c:f>
              <c:numCache>
                <c:formatCode>0.0000</c:formatCode>
                <c:ptCount val="38"/>
                <c:pt idx="0">
                  <c:v>4.0026108816744781E-2</c:v>
                </c:pt>
                <c:pt idx="1">
                  <c:v>4.0052174581478611E-2</c:v>
                </c:pt>
                <c:pt idx="2">
                  <c:v>4.00781973651919E-2</c:v>
                </c:pt>
                <c:pt idx="3">
                  <c:v>4.0104177238758018E-2</c:v>
                </c:pt>
                <c:pt idx="4">
                  <c:v>4.0130114272933434E-2</c:v>
                </c:pt>
                <c:pt idx="5">
                  <c:v>4.0156008538357962E-2</c:v>
                </c:pt>
                <c:pt idx="6">
                  <c:v>4.0181860105554947E-2</c:v>
                </c:pt>
                <c:pt idx="7">
                  <c:v>4.0207669044931414E-2</c:v>
                </c:pt>
                <c:pt idx="8">
                  <c:v>4.0233435426778312E-2</c:v>
                </c:pt>
                <c:pt idx="9">
                  <c:v>4.0259159321270686E-2</c:v>
                </c:pt>
                <c:pt idx="10">
                  <c:v>4.0284840798467857E-2</c:v>
                </c:pt>
                <c:pt idx="11">
                  <c:v>4.0310479928313624E-2</c:v>
                </c:pt>
                <c:pt idx="12">
                  <c:v>4.0336076780636457E-2</c:v>
                </c:pt>
                <c:pt idx="13">
                  <c:v>4.0361631425149674E-2</c:v>
                </c:pt>
                <c:pt idx="14">
                  <c:v>4.0387143931451638E-2</c:v>
                </c:pt>
                <c:pt idx="15">
                  <c:v>4.0412614369025976E-2</c:v>
                </c:pt>
                <c:pt idx="16">
                  <c:v>4.0438042807241704E-2</c:v>
                </c:pt>
                <c:pt idx="17">
                  <c:v>4.0463429315353468E-2</c:v>
                </c:pt>
                <c:pt idx="18">
                  <c:v>4.0488773962501723E-2</c:v>
                </c:pt>
                <c:pt idx="19">
                  <c:v>4.05140768177129E-2</c:v>
                </c:pt>
                <c:pt idx="20">
                  <c:v>4.0639966622681115E-2</c:v>
                </c:pt>
                <c:pt idx="21">
                  <c:v>4.076482191796145E-2</c:v>
                </c:pt>
                <c:pt idx="22">
                  <c:v>4.0888651204721224E-2</c:v>
                </c:pt>
                <c:pt idx="23">
                  <c:v>4.1011462914268708E-2</c:v>
                </c:pt>
                <c:pt idx="24">
                  <c:v>4.1133265408627204E-2</c:v>
                </c:pt>
                <c:pt idx="25">
                  <c:v>4.125406698110444E-2</c:v>
                </c:pt>
                <c:pt idx="26">
                  <c:v>4.1373875856857187E-2</c:v>
                </c:pt>
                <c:pt idx="27">
                  <c:v>4.1492700193451332E-2</c:v>
                </c:pt>
                <c:pt idx="28">
                  <c:v>4.1610548081417315E-2</c:v>
                </c:pt>
                <c:pt idx="29">
                  <c:v>4.1727427544800952E-2</c:v>
                </c:pt>
                <c:pt idx="30">
                  <c:v>4.1843346541709854E-2</c:v>
                </c:pt>
                <c:pt idx="31">
                  <c:v>4.1958312964855207E-2</c:v>
                </c:pt>
                <c:pt idx="32">
                  <c:v>4.2072334642089204E-2</c:v>
                </c:pt>
                <c:pt idx="33">
                  <c:v>4.2185419336938049E-2</c:v>
                </c:pt>
                <c:pt idx="34">
                  <c:v>4.2297574749130512E-2</c:v>
                </c:pt>
                <c:pt idx="35">
                  <c:v>4.2408808515122243E-2</c:v>
                </c:pt>
                <c:pt idx="36">
                  <c:v>4.2628541341075743E-2</c:v>
                </c:pt>
                <c:pt idx="37">
                  <c:v>4.2844677660632359E-2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BD3-4425-9D40-C765C635E2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1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ax val="5.000000000000001E-2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Measured vs Predicted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(k=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^2)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'1. k as func of τ  '!$AB$47</c:f>
              <c:strCache>
                <c:ptCount val="1"/>
                <c:pt idx="0">
                  <c:v>Low Flow (τ* = 0.075)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'1. k as func of τ  '!$AC$49:$AC$54</c:f>
              <c:numCache>
                <c:formatCode>0.0000</c:formatCode>
                <c:ptCount val="6"/>
                <c:pt idx="0">
                  <c:v>0.04</c:v>
                </c:pt>
                <c:pt idx="1">
                  <c:v>4.0259159321270686E-2</c:v>
                </c:pt>
                <c:pt idx="2">
                  <c:v>4.076482191796145E-2</c:v>
                </c:pt>
                <c:pt idx="3">
                  <c:v>4.1492700193451332E-2</c:v>
                </c:pt>
                <c:pt idx="4">
                  <c:v>4.2844677660632359E-2</c:v>
                </c:pt>
              </c:numCache>
            </c:numRef>
          </c:xVal>
          <c:yVal>
            <c:numRef>
              <c:f>'1. k as func of τ  '!$AD$49:$AD$54</c:f>
              <c:numCache>
                <c:formatCode>0.0000</c:formatCode>
                <c:ptCount val="6"/>
                <c:pt idx="0">
                  <c:v>0.04</c:v>
                </c:pt>
                <c:pt idx="1">
                  <c:v>4.0883015185033886E-2</c:v>
                </c:pt>
                <c:pt idx="2">
                  <c:v>4.7200498607488234E-2</c:v>
                </c:pt>
                <c:pt idx="3">
                  <c:v>4.7978393655140922E-2</c:v>
                </c:pt>
                <c:pt idx="4">
                  <c:v>5.2297832157699113E-2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3C-4539-A737-B903A3137D04}"/>
            </c:ext>
          </c:extLst>
        </c:ser>
        <c:ser>
          <c:idx val="1"/>
          <c:order val="1"/>
          <c:tx>
            <c:strRef>
              <c:f>'1. k as func of τ  '!$AB$38</c:f>
              <c:strCache>
                <c:ptCount val="1"/>
                <c:pt idx="0">
                  <c:v>Med Low Flow (τ* = 0.086)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'1. k as func of τ  '!$AC$40:$AC$45</c:f>
              <c:numCache>
                <c:formatCode>0.0000</c:formatCode>
                <c:ptCount val="6"/>
                <c:pt idx="0">
                  <c:v>0.04</c:v>
                </c:pt>
                <c:pt idx="2">
                  <c:v>4.0839470181282117E-2</c:v>
                </c:pt>
                <c:pt idx="3">
                  <c:v>4.1634433230473548E-2</c:v>
                </c:pt>
                <c:pt idx="4">
                  <c:v>4.310015156469503E-2</c:v>
                </c:pt>
              </c:numCache>
            </c:numRef>
          </c:xVal>
          <c:yVal>
            <c:numRef>
              <c:f>'1. k as func of τ  '!$AD$40:$AD$45</c:f>
              <c:numCache>
                <c:formatCode>0.0000</c:formatCode>
                <c:ptCount val="6"/>
                <c:pt idx="0">
                  <c:v>0.04</c:v>
                </c:pt>
                <c:pt idx="2">
                  <c:v>4.880607945181633E-2</c:v>
                </c:pt>
                <c:pt idx="3">
                  <c:v>4.7893651283411866E-2</c:v>
                </c:pt>
                <c:pt idx="4">
                  <c:v>5.1755608653064417E-2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3C-4539-A737-B903A3137D04}"/>
            </c:ext>
          </c:extLst>
        </c:ser>
        <c:ser>
          <c:idx val="2"/>
          <c:order val="2"/>
          <c:tx>
            <c:strRef>
              <c:f>'1. k as func of τ  '!$AB$29</c:f>
              <c:strCache>
                <c:ptCount val="1"/>
                <c:pt idx="0">
                  <c:v>Med High Flow (τ* = 0.089)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'1. k as func of τ  '!$AC$31:$AC$36</c:f>
              <c:numCache>
                <c:formatCode>0.0000</c:formatCode>
                <c:ptCount val="6"/>
                <c:pt idx="0">
                  <c:v>0.04</c:v>
                </c:pt>
                <c:pt idx="1">
                  <c:v>4.0350606616581824E-2</c:v>
                </c:pt>
                <c:pt idx="2">
                  <c:v>4.1028701166425589E-2</c:v>
                </c:pt>
                <c:pt idx="3">
                  <c:v>4.1990568321727484E-2</c:v>
                </c:pt>
                <c:pt idx="4">
                  <c:v>4.3730887131741877E-2</c:v>
                </c:pt>
              </c:numCache>
            </c:numRef>
          </c:xVal>
          <c:yVal>
            <c:numRef>
              <c:f>'1. k as func of τ  '!$AD$31:$AD$36</c:f>
              <c:numCache>
                <c:formatCode>0.0000</c:formatCode>
                <c:ptCount val="6"/>
                <c:pt idx="0">
                  <c:v>0.04</c:v>
                </c:pt>
                <c:pt idx="1">
                  <c:v>4.5627026419976936E-2</c:v>
                </c:pt>
                <c:pt idx="2">
                  <c:v>4.860357919174027E-2</c:v>
                </c:pt>
                <c:pt idx="3">
                  <c:v>5.5833646253055487E-2</c:v>
                </c:pt>
                <c:pt idx="4">
                  <c:v>5.145407230191433E-2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93C-4539-A737-B903A3137D04}"/>
            </c:ext>
          </c:extLst>
        </c:ser>
        <c:ser>
          <c:idx val="3"/>
          <c:order val="3"/>
          <c:tx>
            <c:strRef>
              <c:f>'1. k as func of τ  '!$AB$20</c:f>
              <c:strCache>
                <c:ptCount val="1"/>
                <c:pt idx="0">
                  <c:v>High Flow: (τ* = 0.055)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'1. k as func of τ  '!$AC$22:$AC$27</c:f>
              <c:numCache>
                <c:formatCode>0.0000</c:formatCode>
                <c:ptCount val="6"/>
                <c:pt idx="0">
                  <c:v>0.04</c:v>
                </c:pt>
                <c:pt idx="1">
                  <c:v>4.0467004196043842E-2</c:v>
                </c:pt>
                <c:pt idx="2">
                  <c:v>4.1360096792547367E-2</c:v>
                </c:pt>
                <c:pt idx="3">
                  <c:v>4.2603362423432233E-2</c:v>
                </c:pt>
                <c:pt idx="4">
                  <c:v>4.4778680933326168E-2</c:v>
                </c:pt>
              </c:numCache>
            </c:numRef>
          </c:xVal>
          <c:yVal>
            <c:numRef>
              <c:f>'1. k as func of τ  '!$AD$22:$AD$27</c:f>
              <c:numCache>
                <c:formatCode>0.0000</c:formatCode>
                <c:ptCount val="6"/>
                <c:pt idx="0">
                  <c:v>0.04</c:v>
                </c:pt>
                <c:pt idx="1">
                  <c:v>4.8895149728212996E-2</c:v>
                </c:pt>
                <c:pt idx="2">
                  <c:v>5.1779269484048984E-2</c:v>
                </c:pt>
                <c:pt idx="3">
                  <c:v>4.8961843624642065E-2</c:v>
                </c:pt>
                <c:pt idx="4">
                  <c:v>4.8965324622054551E-2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93C-4539-A737-B903A3137D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50000"/>
                    <a:lumOff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293C-4539-A737-B903A3137D04}"/>
              </c:ext>
            </c:extLst>
          </c:dPt>
          <c:xVal>
            <c:numRef>
              <c:f>'1. k as func of τ  '!$J$56:$J$57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xVal>
          <c:yVal>
            <c:numRef>
              <c:f>'1. k as func of τ  '!$K$56:$K$57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93C-4539-A737-B903A3137D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valAx>
        <c:axId val="1496099248"/>
        <c:scaling>
          <c:orientation val="minMax"/>
          <c:max val="6.0000000000000012E-2"/>
          <c:min val="3.0000000000000006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1088"/>
        <c:crosses val="autoZero"/>
        <c:crossBetween val="midCat"/>
      </c:valAx>
      <c:valAx>
        <c:axId val="1496091088"/>
        <c:scaling>
          <c:orientation val="minMax"/>
          <c:max val="6.0000000000000012E-2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9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High Flow: (</a:t>
            </a:r>
            <a:r>
              <a:rPr lang="el-GR" sz="1200" baseline="0"/>
              <a:t>τ* = 0.108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'1. k as func of τ  '!$AD$21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'1. k as func of τ  '!$AB$22:$AB$27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'1. k as func of τ  '!$AD$22:$AD$27</c:f>
              <c:numCache>
                <c:formatCode>0.0000</c:formatCode>
                <c:ptCount val="6"/>
                <c:pt idx="0">
                  <c:v>0.04</c:v>
                </c:pt>
                <c:pt idx="1">
                  <c:v>4.8895149728212996E-2</c:v>
                </c:pt>
                <c:pt idx="2">
                  <c:v>5.1779269484048984E-2</c:v>
                </c:pt>
                <c:pt idx="3">
                  <c:v>4.8961843624642065E-2</c:v>
                </c:pt>
                <c:pt idx="4">
                  <c:v>4.8965324622054551E-2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B3-4EFA-B408-662B027240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'1. k as func of τ  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'1. k as func of τ  '!$V$4:$V$41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'!$Z$4:$Z$41</c:f>
              <c:numCache>
                <c:formatCode>0.0000</c:formatCode>
                <c:ptCount val="38"/>
                <c:pt idx="0">
                  <c:v>4.0047332082122869E-2</c:v>
                </c:pt>
                <c:pt idx="1">
                  <c:v>4.0094522672768515E-2</c:v>
                </c:pt>
                <c:pt idx="2">
                  <c:v>4.0141572194902456E-2</c:v>
                </c:pt>
                <c:pt idx="3">
                  <c:v>4.0188481070225809E-2</c:v>
                </c:pt>
                <c:pt idx="4">
                  <c:v>4.0235249719179085E-2</c:v>
                </c:pt>
                <c:pt idx="5">
                  <c:v>4.0281878560945963E-2</c:v>
                </c:pt>
                <c:pt idx="6">
                  <c:v>4.0328368013457044E-2</c:v>
                </c:pt>
                <c:pt idx="7">
                  <c:v>4.0374718493393594E-2</c:v>
                </c:pt>
                <c:pt idx="8">
                  <c:v>4.0420930416191263E-2</c:v>
                </c:pt>
                <c:pt idx="9">
                  <c:v>4.0467004196043842E-2</c:v>
                </c:pt>
                <c:pt idx="10">
                  <c:v>4.0512940245906945E-2</c:v>
                </c:pt>
                <c:pt idx="11">
                  <c:v>4.0558738977501743E-2</c:v>
                </c:pt>
                <c:pt idx="12">
                  <c:v>4.0604400801318621E-2</c:v>
                </c:pt>
                <c:pt idx="13">
                  <c:v>4.0649926126620856E-2</c:v>
                </c:pt>
                <c:pt idx="14">
                  <c:v>4.0695315361448325E-2</c:v>
                </c:pt>
                <c:pt idx="15">
                  <c:v>4.0740568912621129E-2</c:v>
                </c:pt>
                <c:pt idx="16">
                  <c:v>4.0785687185743241E-2</c:v>
                </c:pt>
                <c:pt idx="17">
                  <c:v>4.0830670585206147E-2</c:v>
                </c:pt>
                <c:pt idx="18">
                  <c:v>4.0875519514192486E-2</c:v>
                </c:pt>
                <c:pt idx="19">
                  <c:v>4.0920234374679627E-2</c:v>
                </c:pt>
                <c:pt idx="20">
                  <c:v>4.1141811634921428E-2</c:v>
                </c:pt>
                <c:pt idx="21">
                  <c:v>4.1360096792547367E-2</c:v>
                </c:pt>
                <c:pt idx="22">
                  <c:v>4.1575138760246509E-2</c:v>
                </c:pt>
                <c:pt idx="23">
                  <c:v>4.1786985723983552E-2</c:v>
                </c:pt>
                <c:pt idx="24">
                  <c:v>4.1995685153796217E-2</c:v>
                </c:pt>
                <c:pt idx="25">
                  <c:v>4.2201283814432181E-2</c:v>
                </c:pt>
                <c:pt idx="26">
                  <c:v>4.2403827775827976E-2</c:v>
                </c:pt>
                <c:pt idx="27">
                  <c:v>4.2603362423432233E-2</c:v>
                </c:pt>
                <c:pt idx="28">
                  <c:v>4.2799932468375476E-2</c:v>
                </c:pt>
                <c:pt idx="29">
                  <c:v>4.2993581957488876E-2</c:v>
                </c:pt>
                <c:pt idx="30">
                  <c:v>4.3184354283174159E-2</c:v>
                </c:pt>
                <c:pt idx="31">
                  <c:v>4.3372292193126806E-2</c:v>
                </c:pt>
                <c:pt idx="32">
                  <c:v>4.3557437799914861E-2</c:v>
                </c:pt>
                <c:pt idx="33">
                  <c:v>4.3739832590415376E-2</c:v>
                </c:pt>
                <c:pt idx="34">
                  <c:v>4.3919517435110654E-2</c:v>
                </c:pt>
                <c:pt idx="35">
                  <c:v>4.409653259724642E-2</c:v>
                </c:pt>
                <c:pt idx="36">
                  <c:v>4.4442711944637642E-2</c:v>
                </c:pt>
                <c:pt idx="37">
                  <c:v>4.4778680933326168E-2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2B3-4EFA-B408-662B027240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ax val="5.000000000000001E-2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High Flow (</a:t>
            </a:r>
            <a:r>
              <a:rPr lang="el-GR" sz="1200" baseline="0"/>
              <a:t>τ* = 0.089)</a:t>
            </a:r>
            <a:endParaRPr lang="en-US" sz="1200"/>
          </a:p>
        </c:rich>
      </c:tx>
      <c:layout>
        <c:manualLayout>
          <c:xMode val="edge"/>
          <c:yMode val="edge"/>
          <c:x val="0.31548891171212295"/>
          <c:y val="5.2131017869341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'1. k as func of τ  '!$AD$30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'1. k as func of τ  '!$AB$31:$AB$36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'1. k as func of τ  '!$AD$31:$AD$36</c:f>
              <c:numCache>
                <c:formatCode>0.0000</c:formatCode>
                <c:ptCount val="6"/>
                <c:pt idx="0">
                  <c:v>0.04</c:v>
                </c:pt>
                <c:pt idx="1">
                  <c:v>4.5627026419976936E-2</c:v>
                </c:pt>
                <c:pt idx="2">
                  <c:v>4.860357919174027E-2</c:v>
                </c:pt>
                <c:pt idx="3">
                  <c:v>5.5833646253055487E-2</c:v>
                </c:pt>
                <c:pt idx="4">
                  <c:v>5.145407230191433E-2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D8-424E-8A18-87F256666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'1. k as func of τ  '!$K$30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'1. k as func of τ  '!$V$4:$V$41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'!$Y$4:$Y$41</c:f>
              <c:numCache>
                <c:formatCode>0.0000</c:formatCode>
                <c:ptCount val="38"/>
                <c:pt idx="0">
                  <c:v>4.0035414999984073E-2</c:v>
                </c:pt>
                <c:pt idx="1">
                  <c:v>4.0070750787498451E-2</c:v>
                </c:pt>
                <c:pt idx="2">
                  <c:v>4.010600753971709E-2</c:v>
                </c:pt>
                <c:pt idx="3">
                  <c:v>4.0141185433417659E-2</c:v>
                </c:pt>
                <c:pt idx="4">
                  <c:v>4.0176284644982407E-2</c:v>
                </c:pt>
                <c:pt idx="5">
                  <c:v>4.0211305350399108E-2</c:v>
                </c:pt>
                <c:pt idx="6">
                  <c:v>4.024624772526187E-2</c:v>
                </c:pt>
                <c:pt idx="7">
                  <c:v>4.0281111944772081E-2</c:v>
                </c:pt>
                <c:pt idx="8">
                  <c:v>4.0315898183739228E-2</c:v>
                </c:pt>
                <c:pt idx="9">
                  <c:v>4.0350606616581824E-2</c:v>
                </c:pt>
                <c:pt idx="10">
                  <c:v>4.038523741732826E-2</c:v>
                </c:pt>
                <c:pt idx="11">
                  <c:v>4.0419790759617658E-2</c:v>
                </c:pt>
                <c:pt idx="12">
                  <c:v>4.04542668167008E-2</c:v>
                </c:pt>
                <c:pt idx="13">
                  <c:v>4.0488665761440917E-2</c:v>
                </c:pt>
                <c:pt idx="14">
                  <c:v>4.0522987766314633E-2</c:v>
                </c:pt>
                <c:pt idx="15">
                  <c:v>4.0557233003412782E-2</c:v>
                </c:pt>
                <c:pt idx="16">
                  <c:v>4.0591401644441263E-2</c:v>
                </c:pt>
                <c:pt idx="17">
                  <c:v>4.0625493860721965E-2</c:v>
                </c:pt>
                <c:pt idx="18">
                  <c:v>4.0659509823193545E-2</c:v>
                </c:pt>
                <c:pt idx="19">
                  <c:v>4.0693449702412343E-2</c:v>
                </c:pt>
                <c:pt idx="20">
                  <c:v>4.0862013792530176E-2</c:v>
                </c:pt>
                <c:pt idx="21">
                  <c:v>4.1028701166425589E-2</c:v>
                </c:pt>
                <c:pt idx="22">
                  <c:v>4.119353271860688E-2</c:v>
                </c:pt>
                <c:pt idx="23">
                  <c:v>4.1356529110952348E-2</c:v>
                </c:pt>
                <c:pt idx="24">
                  <c:v>4.1517710775300316E-2</c:v>
                </c:pt>
                <c:pt idx="25">
                  <c:v>4.167709791601025E-2</c:v>
                </c:pt>
                <c:pt idx="26">
                  <c:v>4.183471051249546E-2</c:v>
                </c:pt>
                <c:pt idx="27">
                  <c:v>4.1990568321727484E-2</c:v>
                </c:pt>
                <c:pt idx="28">
                  <c:v>4.2144690880712724E-2</c:v>
                </c:pt>
                <c:pt idx="29">
                  <c:v>4.2297097508941381E-2</c:v>
                </c:pt>
                <c:pt idx="30">
                  <c:v>4.2447807310809209E-2</c:v>
                </c:pt>
                <c:pt idx="31">
                  <c:v>4.2596839178012269E-2</c:v>
                </c:pt>
                <c:pt idx="32">
                  <c:v>4.2744211791915038E-2</c:v>
                </c:pt>
                <c:pt idx="33">
                  <c:v>4.288994362589215E-2</c:v>
                </c:pt>
                <c:pt idx="34">
                  <c:v>4.303405294764405E-2</c:v>
                </c:pt>
                <c:pt idx="35">
                  <c:v>4.3176557821486883E-2</c:v>
                </c:pt>
                <c:pt idx="36">
                  <c:v>4.3456825479349509E-2</c:v>
                </c:pt>
                <c:pt idx="37">
                  <c:v>4.3730887131741877E-2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9D8-424E-8A18-87F256666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Low Flow (</a:t>
            </a:r>
            <a:r>
              <a:rPr lang="el-GR" sz="1200" baseline="0"/>
              <a:t>τ* = 0.086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'1. k as func of τ  '!$AD$39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'1. k as func of τ  '!$AB$40:$AB$45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'1. k as func of τ  '!$AD$40:$AD$45</c:f>
              <c:numCache>
                <c:formatCode>0.0000</c:formatCode>
                <c:ptCount val="6"/>
                <c:pt idx="0">
                  <c:v>0.04</c:v>
                </c:pt>
                <c:pt idx="2">
                  <c:v>4.880607945181633E-2</c:v>
                </c:pt>
                <c:pt idx="3">
                  <c:v>4.7893651283411866E-2</c:v>
                </c:pt>
                <c:pt idx="4">
                  <c:v>5.1755608653064417E-2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57-4140-8EA7-4EF908ECB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'1. k as func of τ  '!$K$39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'1. k as func of τ  '!$V$4:$V$41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'!$X$4:$X$41</c:f>
              <c:numCache>
                <c:formatCode>0.0000</c:formatCode>
                <c:ptCount val="38"/>
                <c:pt idx="0">
                  <c:v>4.0028725344178659E-2</c:v>
                </c:pt>
                <c:pt idx="1">
                  <c:v>4.0057398574941047E-2</c:v>
                </c:pt>
                <c:pt idx="2">
                  <c:v>4.0086019786831156E-2</c:v>
                </c:pt>
                <c:pt idx="3">
                  <c:v>4.0114589074221413E-2</c:v>
                </c:pt>
                <c:pt idx="4">
                  <c:v>4.0143106531313068E-2</c:v>
                </c:pt>
                <c:pt idx="5">
                  <c:v>4.0171572252136467E-2</c:v>
                </c:pt>
                <c:pt idx="6">
                  <c:v>4.0199986330551364E-2</c:v>
                </c:pt>
                <c:pt idx="7">
                  <c:v>4.0228348860247225E-2</c:v>
                </c:pt>
                <c:pt idx="8">
                  <c:v>4.0256659934743547E-2</c:v>
                </c:pt>
                <c:pt idx="9">
                  <c:v>4.0284919647390185E-2</c:v>
                </c:pt>
                <c:pt idx="10">
                  <c:v>4.0313128091367598E-2</c:v>
                </c:pt>
                <c:pt idx="11">
                  <c:v>4.0341285359687243E-2</c:v>
                </c:pt>
                <c:pt idx="12">
                  <c:v>4.0369391545191806E-2</c:v>
                </c:pt>
                <c:pt idx="13">
                  <c:v>4.0397446740555544E-2</c:v>
                </c:pt>
                <c:pt idx="14">
                  <c:v>4.0425451038284592E-2</c:v>
                </c:pt>
                <c:pt idx="15">
                  <c:v>4.0453404530717253E-2</c:v>
                </c:pt>
                <c:pt idx="16">
                  <c:v>4.048130731002432E-2</c:v>
                </c:pt>
                <c:pt idx="17">
                  <c:v>4.0509159468209356E-2</c:v>
                </c:pt>
                <c:pt idx="18">
                  <c:v>4.0536961097109019E-2</c:v>
                </c:pt>
                <c:pt idx="19">
                  <c:v>4.0564712288393361E-2</c:v>
                </c:pt>
                <c:pt idx="20">
                  <c:v>4.0702714877412262E-2</c:v>
                </c:pt>
                <c:pt idx="21">
                  <c:v>4.0839470181282117E-2</c:v>
                </c:pt>
                <c:pt idx="22">
                  <c:v>4.097498947312652E-2</c:v>
                </c:pt>
                <c:pt idx="23">
                  <c:v>4.1109283924181131E-2</c:v>
                </c:pt>
                <c:pt idx="24">
                  <c:v>4.1242364604714553E-2</c:v>
                </c:pt>
                <c:pt idx="25">
                  <c:v>4.1374242484940857E-2</c:v>
                </c:pt>
                <c:pt idx="26">
                  <c:v>4.1504928435923918E-2</c:v>
                </c:pt>
                <c:pt idx="27">
                  <c:v>4.1634433230473548E-2</c:v>
                </c:pt>
                <c:pt idx="28">
                  <c:v>4.1762767544033505E-2</c:v>
                </c:pt>
                <c:pt idx="29">
                  <c:v>4.1889941955561519E-2</c:v>
                </c:pt>
                <c:pt idx="30">
                  <c:v>4.2015966948401332E-2</c:v>
                </c:pt>
                <c:pt idx="31">
                  <c:v>4.2140852911146894E-2</c:v>
                </c:pt>
                <c:pt idx="32">
                  <c:v>4.2264610138498686E-2</c:v>
                </c:pt>
                <c:pt idx="33">
                  <c:v>4.2387248832112367E-2</c:v>
                </c:pt>
                <c:pt idx="34">
                  <c:v>4.2508779101439742E-2</c:v>
                </c:pt>
                <c:pt idx="35">
                  <c:v>4.2629210964562056E-2</c:v>
                </c:pt>
                <c:pt idx="36">
                  <c:v>4.2866819092611405E-2</c:v>
                </c:pt>
                <c:pt idx="37">
                  <c:v>4.310015156469503E-2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D57-4140-8EA7-4EF908ECB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u="none" strike="noStrike" baseline="0">
                <a:effectLst/>
              </a:rPr>
              <a:t>Low Flow (</a:t>
            </a:r>
            <a:r>
              <a:rPr lang="el-GR" sz="1200" b="0" i="0" u="none" strike="noStrike" baseline="0">
                <a:effectLst/>
              </a:rPr>
              <a:t>τ* = 0.075)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'1. k as func of τ  '!$AD$48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'1. k as func of τ  '!$AB$49:$AB$54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'1. k as func of τ  '!$AD$49:$AD$54</c:f>
              <c:numCache>
                <c:formatCode>0.0000</c:formatCode>
                <c:ptCount val="6"/>
                <c:pt idx="0">
                  <c:v>0.04</c:v>
                </c:pt>
                <c:pt idx="1">
                  <c:v>4.0883015185033886E-2</c:v>
                </c:pt>
                <c:pt idx="2">
                  <c:v>4.7200498607488234E-2</c:v>
                </c:pt>
                <c:pt idx="3">
                  <c:v>4.7978393655140922E-2</c:v>
                </c:pt>
                <c:pt idx="4">
                  <c:v>5.2297832157699113E-2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7B-49CA-97C7-381EE6D3D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'1. k as func of τ  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'1. k as func of τ  '!$V$4:$V$41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'!$W$4:$W$41</c:f>
              <c:numCache>
                <c:formatCode>0.0000</c:formatCode>
                <c:ptCount val="38"/>
                <c:pt idx="0">
                  <c:v>4.0026108816744781E-2</c:v>
                </c:pt>
                <c:pt idx="1">
                  <c:v>4.0052174581478611E-2</c:v>
                </c:pt>
                <c:pt idx="2">
                  <c:v>4.00781973651919E-2</c:v>
                </c:pt>
                <c:pt idx="3">
                  <c:v>4.0104177238758018E-2</c:v>
                </c:pt>
                <c:pt idx="4">
                  <c:v>4.0130114272933434E-2</c:v>
                </c:pt>
                <c:pt idx="5">
                  <c:v>4.0156008538357962E-2</c:v>
                </c:pt>
                <c:pt idx="6">
                  <c:v>4.0181860105554947E-2</c:v>
                </c:pt>
                <c:pt idx="7">
                  <c:v>4.0207669044931414E-2</c:v>
                </c:pt>
                <c:pt idx="8">
                  <c:v>4.0233435426778312E-2</c:v>
                </c:pt>
                <c:pt idx="9">
                  <c:v>4.0259159321270686E-2</c:v>
                </c:pt>
                <c:pt idx="10">
                  <c:v>4.0284840798467857E-2</c:v>
                </c:pt>
                <c:pt idx="11">
                  <c:v>4.0310479928313624E-2</c:v>
                </c:pt>
                <c:pt idx="12">
                  <c:v>4.0336076780636457E-2</c:v>
                </c:pt>
                <c:pt idx="13">
                  <c:v>4.0361631425149674E-2</c:v>
                </c:pt>
                <c:pt idx="14">
                  <c:v>4.0387143931451638E-2</c:v>
                </c:pt>
                <c:pt idx="15">
                  <c:v>4.0412614369025976E-2</c:v>
                </c:pt>
                <c:pt idx="16">
                  <c:v>4.0438042807241704E-2</c:v>
                </c:pt>
                <c:pt idx="17">
                  <c:v>4.0463429315353468E-2</c:v>
                </c:pt>
                <c:pt idx="18">
                  <c:v>4.0488773962501723E-2</c:v>
                </c:pt>
                <c:pt idx="19">
                  <c:v>4.05140768177129E-2</c:v>
                </c:pt>
                <c:pt idx="20">
                  <c:v>4.0639966622681115E-2</c:v>
                </c:pt>
                <c:pt idx="21">
                  <c:v>4.076482191796145E-2</c:v>
                </c:pt>
                <c:pt idx="22">
                  <c:v>4.0888651204721224E-2</c:v>
                </c:pt>
                <c:pt idx="23">
                  <c:v>4.1011462914268708E-2</c:v>
                </c:pt>
                <c:pt idx="24">
                  <c:v>4.1133265408627204E-2</c:v>
                </c:pt>
                <c:pt idx="25">
                  <c:v>4.125406698110444E-2</c:v>
                </c:pt>
                <c:pt idx="26">
                  <c:v>4.1373875856857187E-2</c:v>
                </c:pt>
                <c:pt idx="27">
                  <c:v>4.1492700193451332E-2</c:v>
                </c:pt>
                <c:pt idx="28">
                  <c:v>4.1610548081417315E-2</c:v>
                </c:pt>
                <c:pt idx="29">
                  <c:v>4.1727427544800952E-2</c:v>
                </c:pt>
                <c:pt idx="30">
                  <c:v>4.1843346541709854E-2</c:v>
                </c:pt>
                <c:pt idx="31">
                  <c:v>4.1958312964855207E-2</c:v>
                </c:pt>
                <c:pt idx="32">
                  <c:v>4.2072334642089204E-2</c:v>
                </c:pt>
                <c:pt idx="33">
                  <c:v>4.2185419336938049E-2</c:v>
                </c:pt>
                <c:pt idx="34">
                  <c:v>4.2297574749130512E-2</c:v>
                </c:pt>
                <c:pt idx="35">
                  <c:v>4.2408808515122243E-2</c:v>
                </c:pt>
                <c:pt idx="36">
                  <c:v>4.2628541341075743E-2</c:v>
                </c:pt>
                <c:pt idx="37">
                  <c:v>4.2844677660632359E-2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B7B-49CA-97C7-381EE6D3D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ax val="6.0000000000000012E-2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Testing</a:t>
            </a:r>
            <a:r>
              <a:rPr lang="en-US" baseline="0"/>
              <a:t> Equation with flume data (k=</a:t>
            </a:r>
            <a:r>
              <a:rPr lang="el-GR" baseline="0"/>
              <a:t>τ</a:t>
            </a:r>
            <a:r>
              <a:rPr lang="en-US" baseline="0"/>
              <a:t>^0.5) </a:t>
            </a:r>
            <a:endParaRPr lang="en-US"/>
          </a:p>
        </c:rich>
      </c:tx>
      <c:layout>
        <c:manualLayout>
          <c:xMode val="edge"/>
          <c:yMode val="edge"/>
          <c:x val="0.1763585791018838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0"/>
          <c:tx>
            <c:strRef>
              <c:f>'1. k as func of τ  '!$AQ$2</c:f>
              <c:strCache>
                <c:ptCount val="1"/>
                <c:pt idx="0">
                  <c:v>0.055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'1. k as func of τ  '!$V$4:$V$41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'!$AQ$4:$AQ$41</c:f>
              <c:numCache>
                <c:formatCode>0.0000</c:formatCode>
                <c:ptCount val="38"/>
                <c:pt idx="0">
                  <c:v>4.3302425133233402E-2</c:v>
                </c:pt>
                <c:pt idx="1">
                  <c:v>4.5916063136433052E-2</c:v>
                </c:pt>
                <c:pt idx="2">
                  <c:v>4.7984574408051546E-2</c:v>
                </c:pt>
                <c:pt idx="3">
                  <c:v>4.9621656083315924E-2</c:v>
                </c:pt>
                <c:pt idx="4">
                  <c:v>5.0917291474942027E-2</c:v>
                </c:pt>
                <c:pt idx="5">
                  <c:v>5.1942696067393428E-2</c:v>
                </c:pt>
                <c:pt idx="6">
                  <c:v>5.2754231924638559E-2</c:v>
                </c:pt>
                <c:pt idx="7">
                  <c:v>5.3396505669502645E-2</c:v>
                </c:pt>
                <c:pt idx="8">
                  <c:v>5.3904820317165994E-2</c:v>
                </c:pt>
                <c:pt idx="9">
                  <c:v>5.4307115729512009E-2</c:v>
                </c:pt>
                <c:pt idx="10">
                  <c:v>5.4625504348723777E-2</c:v>
                </c:pt>
                <c:pt idx="11">
                  <c:v>5.4877486622775626E-2</c:v>
                </c:pt>
                <c:pt idx="12">
                  <c:v>5.5076912929512147E-2</c:v>
                </c:pt>
                <c:pt idx="13">
                  <c:v>5.5234744872128809E-2</c:v>
                </c:pt>
                <c:pt idx="14">
                  <c:v>5.5359657791180461E-2</c:v>
                </c:pt>
                <c:pt idx="15">
                  <c:v>5.5458517610601818E-2</c:v>
                </c:pt>
                <c:pt idx="16">
                  <c:v>5.553675822790724E-2</c:v>
                </c:pt>
                <c:pt idx="17">
                  <c:v>5.5598680192079981E-2</c:v>
                </c:pt>
                <c:pt idx="18">
                  <c:v>5.5647687086185164E-2</c:v>
                </c:pt>
                <c:pt idx="19">
                  <c:v>5.5686472607638204E-2</c:v>
                </c:pt>
                <c:pt idx="20">
                  <c:v>5.5787948765357732E-2</c:v>
                </c:pt>
                <c:pt idx="21">
                  <c:v>5.5819457161143241E-2</c:v>
                </c:pt>
                <c:pt idx="22">
                  <c:v>5.5829240533191285E-2</c:v>
                </c:pt>
                <c:pt idx="23">
                  <c:v>5.5832278274918344E-2</c:v>
                </c:pt>
                <c:pt idx="24">
                  <c:v>5.583322149518586E-2</c:v>
                </c:pt>
                <c:pt idx="25">
                  <c:v>5.5833514365532647E-2</c:v>
                </c:pt>
                <c:pt idx="26">
                  <c:v>5.5833605301916202E-2</c:v>
                </c:pt>
                <c:pt idx="27">
                  <c:v>5.5833633537707039E-2</c:v>
                </c:pt>
                <c:pt idx="28">
                  <c:v>5.5833642304933678E-2</c:v>
                </c:pt>
                <c:pt idx="29">
                  <c:v>5.5833645027161767E-2</c:v>
                </c:pt>
                <c:pt idx="30">
                  <c:v>5.5833645872414898E-2</c:v>
                </c:pt>
                <c:pt idx="31">
                  <c:v>5.5833646134866403E-2</c:v>
                </c:pt>
                <c:pt idx="32">
                  <c:v>5.5833646216357717E-2</c:v>
                </c:pt>
                <c:pt idx="33">
                  <c:v>5.583364624166081E-2</c:v>
                </c:pt>
                <c:pt idx="34">
                  <c:v>5.5833646249517435E-2</c:v>
                </c:pt>
                <c:pt idx="35">
                  <c:v>5.5833646251956921E-2</c:v>
                </c:pt>
                <c:pt idx="36">
                  <c:v>5.5833646252949572E-2</c:v>
                </c:pt>
                <c:pt idx="37">
                  <c:v>5.5833646253045273E-2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A16-45A4-B0C5-07C0D19788D6}"/>
            </c:ext>
          </c:extLst>
        </c:ser>
        <c:ser>
          <c:idx val="2"/>
          <c:order val="1"/>
          <c:tx>
            <c:strRef>
              <c:f>'1. k as func of τ  '!$AP$2</c:f>
              <c:strCache>
                <c:ptCount val="1"/>
                <c:pt idx="0">
                  <c:v>0.047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'1. k as func of τ  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'!$AP$4:$AP$41</c:f>
              <c:numCache>
                <c:formatCode>0.0000</c:formatCode>
                <c:ptCount val="38"/>
                <c:pt idx="0">
                  <c:v>4.3095448132333666E-2</c:v>
                </c:pt>
                <c:pt idx="1">
                  <c:v>4.5585741963072468E-2</c:v>
                </c:pt>
                <c:pt idx="2">
                  <c:v>4.7589188022671064E-2</c:v>
                </c:pt>
                <c:pt idx="3">
                  <c:v>4.9200964136869751E-2</c:v>
                </c:pt>
                <c:pt idx="4">
                  <c:v>5.0497641045067578E-2</c:v>
                </c:pt>
                <c:pt idx="5">
                  <c:v>5.1540820050787847E-2</c:v>
                </c:pt>
                <c:pt idx="6">
                  <c:v>5.2380059518303303E-2</c:v>
                </c:pt>
                <c:pt idx="7">
                  <c:v>5.3055229244662321E-2</c:v>
                </c:pt>
                <c:pt idx="8">
                  <c:v>5.3598404556401719E-2</c:v>
                </c:pt>
                <c:pt idx="9">
                  <c:v>5.4035390113906262E-2</c:v>
                </c:pt>
                <c:pt idx="10">
                  <c:v>5.4386945814875194E-2</c:v>
                </c:pt>
                <c:pt idx="11">
                  <c:v>5.466977303596126E-2</c:v>
                </c:pt>
                <c:pt idx="12">
                  <c:v>5.4897308066019945E-2</c:v>
                </c:pt>
                <c:pt idx="13">
                  <c:v>5.5080360424647229E-2</c:v>
                </c:pt>
                <c:pt idx="14">
                  <c:v>5.5227626390640994E-2</c:v>
                </c:pt>
                <c:pt idx="15">
                  <c:v>5.5346102136611765E-2</c:v>
                </c:pt>
                <c:pt idx="16">
                  <c:v>5.5441416096552273E-2</c:v>
                </c:pt>
                <c:pt idx="17">
                  <c:v>5.5518096356170839E-2</c:v>
                </c:pt>
                <c:pt idx="18">
                  <c:v>5.5579785768916257E-2</c:v>
                </c:pt>
                <c:pt idx="19">
                  <c:v>5.5629415017223509E-2</c:v>
                </c:pt>
                <c:pt idx="20">
                  <c:v>5.5764819469848625E-2</c:v>
                </c:pt>
                <c:pt idx="21">
                  <c:v>5.5810451338392665E-2</c:v>
                </c:pt>
                <c:pt idx="22">
                  <c:v>5.5825829469513553E-2</c:v>
                </c:pt>
                <c:pt idx="23">
                  <c:v>5.5831011964211162E-2</c:v>
                </c:pt>
                <c:pt idx="24">
                  <c:v>5.5832758486664344E-2</c:v>
                </c:pt>
                <c:pt idx="25">
                  <c:v>5.5833347072057574E-2</c:v>
                </c:pt>
                <c:pt idx="26">
                  <c:v>5.5833545427804152E-2</c:v>
                </c:pt>
                <c:pt idx="27">
                  <c:v>5.5833612274522833E-2</c:v>
                </c:pt>
                <c:pt idx="28">
                  <c:v>5.5833634802147446E-2</c:v>
                </c:pt>
                <c:pt idx="29">
                  <c:v>5.583364239405144E-2</c:v>
                </c:pt>
                <c:pt idx="30">
                  <c:v>5.5833644952554932E-2</c:v>
                </c:pt>
                <c:pt idx="31">
                  <c:v>5.5833645814781348E-2</c:v>
                </c:pt>
                <c:pt idx="32">
                  <c:v>5.583364610535526E-2</c:v>
                </c:pt>
                <c:pt idx="33">
                  <c:v>5.5833646203279894E-2</c:v>
                </c:pt>
                <c:pt idx="34">
                  <c:v>5.5833646236280905E-2</c:v>
                </c:pt>
                <c:pt idx="35">
                  <c:v>5.5833646247402384E-2</c:v>
                </c:pt>
                <c:pt idx="36">
                  <c:v>5.5833646252413452E-2</c:v>
                </c:pt>
                <c:pt idx="37">
                  <c:v>5.5833646252982573E-2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A16-45A4-B0C5-07C0D19788D6}"/>
            </c:ext>
          </c:extLst>
        </c:ser>
        <c:ser>
          <c:idx val="1"/>
          <c:order val="2"/>
          <c:tx>
            <c:strRef>
              <c:f>'1. k as func of τ  '!$AO$2</c:f>
              <c:strCache>
                <c:ptCount val="1"/>
                <c:pt idx="0">
                  <c:v>0.043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'1. k as func of τ  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'!$AO$4:$AO$41</c:f>
              <c:numCache>
                <c:formatCode>0.0000</c:formatCode>
                <c:ptCount val="38"/>
                <c:pt idx="0">
                  <c:v>4.2953221538910374E-2</c:v>
                </c:pt>
                <c:pt idx="1">
                  <c:v>4.535562128235459E-2</c:v>
                </c:pt>
                <c:pt idx="2">
                  <c:v>4.7309936070885579E-2</c:v>
                </c:pt>
                <c:pt idx="3">
                  <c:v>4.889974072479189E-2</c:v>
                </c:pt>
                <c:pt idx="4">
                  <c:v>5.0193022059208857E-2</c:v>
                </c:pt>
                <c:pt idx="5">
                  <c:v>5.1245086289768024E-2</c:v>
                </c:pt>
                <c:pt idx="6">
                  <c:v>5.2100924161827808E-2</c:v>
                </c:pt>
                <c:pt idx="7">
                  <c:v>5.2797134946280119E-2</c:v>
                </c:pt>
                <c:pt idx="8">
                  <c:v>5.3363491580184545E-2</c:v>
                </c:pt>
                <c:pt idx="9">
                  <c:v>5.3824213884306679E-2</c:v>
                </c:pt>
                <c:pt idx="10">
                  <c:v>5.4199004305762986E-2</c:v>
                </c:pt>
                <c:pt idx="11">
                  <c:v>5.4503890478536932E-2</c:v>
                </c:pt>
                <c:pt idx="12">
                  <c:v>5.4751910633341186E-2</c:v>
                </c:pt>
                <c:pt idx="13">
                  <c:v>5.4953671167869381E-2</c:v>
                </c:pt>
                <c:pt idx="14">
                  <c:v>5.5117800221515169E-2</c:v>
                </c:pt>
                <c:pt idx="15">
                  <c:v>5.5251316651344487E-2</c:v>
                </c:pt>
                <c:pt idx="16">
                  <c:v>5.5359930188304499E-2</c:v>
                </c:pt>
                <c:pt idx="17">
                  <c:v>5.5448285609626391E-2</c:v>
                </c:pt>
                <c:pt idx="18">
                  <c:v>5.5520161369273575E-2</c:v>
                </c:pt>
                <c:pt idx="19">
                  <c:v>5.5578631180718867E-2</c:v>
                </c:pt>
                <c:pt idx="20">
                  <c:v>5.5742798941966931E-2</c:v>
                </c:pt>
                <c:pt idx="21">
                  <c:v>5.5801282542721035E-2</c:v>
                </c:pt>
                <c:pt idx="22">
                  <c:v>5.5822116910755074E-2</c:v>
                </c:pt>
                <c:pt idx="23">
                  <c:v>5.582953900662093E-2</c:v>
                </c:pt>
                <c:pt idx="24">
                  <c:v>5.5832183075639585E-2</c:v>
                </c:pt>
                <c:pt idx="25">
                  <c:v>5.5833125006477149E-2</c:v>
                </c:pt>
                <c:pt idx="26">
                  <c:v>5.5833460562658359E-2</c:v>
                </c:pt>
                <c:pt idx="27">
                  <c:v>5.583358010216833E-2</c:v>
                </c:pt>
                <c:pt idx="28">
                  <c:v>5.5833622687271045E-2</c:v>
                </c:pt>
                <c:pt idx="29">
                  <c:v>5.5833637857911893E-2</c:v>
                </c:pt>
                <c:pt idx="30">
                  <c:v>5.5833643262345113E-2</c:v>
                </c:pt>
                <c:pt idx="31">
                  <c:v>5.5833645187636123E-2</c:v>
                </c:pt>
                <c:pt idx="32">
                  <c:v>5.5833645873507393E-2</c:v>
                </c:pt>
                <c:pt idx="33">
                  <c:v>5.5833646117844173E-2</c:v>
                </c:pt>
                <c:pt idx="34">
                  <c:v>5.5833646204887413E-2</c:v>
                </c:pt>
                <c:pt idx="35">
                  <c:v>5.5833646235895949E-2</c:v>
                </c:pt>
                <c:pt idx="36">
                  <c:v>5.5833646250877784E-2</c:v>
                </c:pt>
                <c:pt idx="37">
                  <c:v>5.5833646252779118E-2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A16-45A4-B0C5-07C0D19788D6}"/>
            </c:ext>
          </c:extLst>
        </c:ser>
        <c:ser>
          <c:idx val="0"/>
          <c:order val="3"/>
          <c:tx>
            <c:strRef>
              <c:f>'1. k as func of τ  '!$AN$2</c:f>
              <c:strCache>
                <c:ptCount val="1"/>
                <c:pt idx="0">
                  <c:v>0.041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'1. k as func of τ  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'!$AN$4:$AN$41</c:f>
              <c:numCache>
                <c:formatCode>0.0000</c:formatCode>
                <c:ptCount val="38"/>
                <c:pt idx="0">
                  <c:v>4.2890281068279475E-2</c:v>
                </c:pt>
                <c:pt idx="1">
                  <c:v>4.5252968901233093E-2</c:v>
                </c:pt>
                <c:pt idx="2">
                  <c:v>4.7184370610655786E-2</c:v>
                </c:pt>
                <c:pt idx="3">
                  <c:v>4.8763213363867769E-2</c:v>
                </c:pt>
                <c:pt idx="4">
                  <c:v>5.0053853434863183E-2</c:v>
                </c:pt>
                <c:pt idx="5">
                  <c:v>5.1108899473786482E-2</c:v>
                </c:pt>
                <c:pt idx="6">
                  <c:v>5.1971356923592164E-2</c:v>
                </c:pt>
                <c:pt idx="7">
                  <c:v>5.2676380993901394E-2</c:v>
                </c:pt>
                <c:pt idx="8">
                  <c:v>5.3252709646204627E-2</c:v>
                </c:pt>
                <c:pt idx="9">
                  <c:v>5.3723835001286434E-2</c:v>
                </c:pt>
                <c:pt idx="10">
                  <c:v>5.4108960917400313E-2</c:v>
                </c:pt>
                <c:pt idx="11">
                  <c:v>5.4423785771683102E-2</c:v>
                </c:pt>
                <c:pt idx="12">
                  <c:v>5.4681142352290026E-2</c:v>
                </c:pt>
                <c:pt idx="13">
                  <c:v>5.4891520944325187E-2</c:v>
                </c:pt>
                <c:pt idx="14">
                  <c:v>5.5063496931425739E-2</c:v>
                </c:pt>
                <c:pt idx="15">
                  <c:v>5.5204080342756229E-2</c:v>
                </c:pt>
                <c:pt idx="16">
                  <c:v>5.5319001593533881E-2</c:v>
                </c:pt>
                <c:pt idx="17">
                  <c:v>5.5412945066347002E-2</c:v>
                </c:pt>
                <c:pt idx="18">
                  <c:v>5.5489740054432045E-2</c:v>
                </c:pt>
                <c:pt idx="19">
                  <c:v>5.5552516850077172E-2</c:v>
                </c:pt>
                <c:pt idx="20">
                  <c:v>5.5731024931450351E-2</c:v>
                </c:pt>
                <c:pt idx="21">
                  <c:v>5.5796186152701641E-2</c:v>
                </c:pt>
                <c:pt idx="22">
                  <c:v>5.5819972105260747E-2</c:v>
                </c:pt>
                <c:pt idx="23">
                  <c:v>5.5828654746995811E-2</c:v>
                </c:pt>
                <c:pt idx="24">
                  <c:v>5.5831824191957584E-2</c:v>
                </c:pt>
                <c:pt idx="25">
                  <c:v>5.5832981141843596E-2</c:v>
                </c:pt>
                <c:pt idx="26">
                  <c:v>5.5833403465958671E-2</c:v>
                </c:pt>
                <c:pt idx="27">
                  <c:v>5.5833557627915323E-2</c:v>
                </c:pt>
                <c:pt idx="28">
                  <c:v>5.5833613902013884E-2</c:v>
                </c:pt>
                <c:pt idx="29">
                  <c:v>5.5833634443879322E-2</c:v>
                </c:pt>
                <c:pt idx="30">
                  <c:v>5.5833641942324375E-2</c:v>
                </c:pt>
                <c:pt idx="31">
                  <c:v>5.5833644679499257E-2</c:v>
                </c:pt>
                <c:pt idx="32">
                  <c:v>5.5833645678656584E-2</c:v>
                </c:pt>
                <c:pt idx="33">
                  <c:v>5.5833646043381313E-2</c:v>
                </c:pt>
                <c:pt idx="34">
                  <c:v>5.5833646176517635E-2</c:v>
                </c:pt>
                <c:pt idx="35">
                  <c:v>5.5833646225116697E-2</c:v>
                </c:pt>
                <c:pt idx="36">
                  <c:v>5.583364624933268E-2</c:v>
                </c:pt>
                <c:pt idx="37">
                  <c:v>5.5833646252559425E-2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A16-45A4-B0C5-07C0D19788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1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4.0000000000000008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Measured vs Predicted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(k=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^0.5)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'1. k as func of τ  '!$AS$47</c:f>
              <c:strCache>
                <c:ptCount val="1"/>
                <c:pt idx="0">
                  <c:v>Low Flow (τ* = 0.075)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'1. k as func of τ  '!$AT$49:$AT$54</c:f>
              <c:numCache>
                <c:formatCode>0.0000</c:formatCode>
                <c:ptCount val="6"/>
                <c:pt idx="0">
                  <c:v>0.04</c:v>
                </c:pt>
                <c:pt idx="1">
                  <c:v>5.3723835001286434E-2</c:v>
                </c:pt>
                <c:pt idx="2">
                  <c:v>5.5796186152701641E-2</c:v>
                </c:pt>
                <c:pt idx="3">
                  <c:v>5.5833557627915323E-2</c:v>
                </c:pt>
                <c:pt idx="4">
                  <c:v>5.5833646252559425E-2</c:v>
                </c:pt>
              </c:numCache>
            </c:numRef>
          </c:xVal>
          <c:yVal>
            <c:numRef>
              <c:f>'1. k as func of τ  '!$AU$49:$AU$54</c:f>
              <c:numCache>
                <c:formatCode>0.0000</c:formatCode>
                <c:ptCount val="6"/>
                <c:pt idx="0">
                  <c:v>0.04</c:v>
                </c:pt>
                <c:pt idx="1">
                  <c:v>4.0883015185033886E-2</c:v>
                </c:pt>
                <c:pt idx="2">
                  <c:v>4.7200498607488234E-2</c:v>
                </c:pt>
                <c:pt idx="3">
                  <c:v>4.7978393655140922E-2</c:v>
                </c:pt>
                <c:pt idx="4">
                  <c:v>5.2297832157699113E-2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04-414F-BE62-773FF3724F22}"/>
            </c:ext>
          </c:extLst>
        </c:ser>
        <c:ser>
          <c:idx val="1"/>
          <c:order val="1"/>
          <c:tx>
            <c:strRef>
              <c:f>'1. k as func of τ  '!$AS$38</c:f>
              <c:strCache>
                <c:ptCount val="1"/>
                <c:pt idx="0">
                  <c:v>Med Low Flow (τ* = 0.086)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'1. k as func of τ  '!$AT$40:$AT$45</c:f>
              <c:numCache>
                <c:formatCode>0.0000</c:formatCode>
                <c:ptCount val="6"/>
                <c:pt idx="0">
                  <c:v>0.04</c:v>
                </c:pt>
                <c:pt idx="2">
                  <c:v>5.5801282542721035E-2</c:v>
                </c:pt>
                <c:pt idx="3">
                  <c:v>5.583358010216833E-2</c:v>
                </c:pt>
                <c:pt idx="4">
                  <c:v>5.5833646252779118E-2</c:v>
                </c:pt>
              </c:numCache>
            </c:numRef>
          </c:xVal>
          <c:yVal>
            <c:numRef>
              <c:f>'1. k as func of τ  '!$AU$40:$AU$45</c:f>
              <c:numCache>
                <c:formatCode>0.0000</c:formatCode>
                <c:ptCount val="6"/>
                <c:pt idx="0">
                  <c:v>0.04</c:v>
                </c:pt>
                <c:pt idx="2">
                  <c:v>4.880607945181633E-2</c:v>
                </c:pt>
                <c:pt idx="3">
                  <c:v>4.7893651283411866E-2</c:v>
                </c:pt>
                <c:pt idx="4">
                  <c:v>5.1755608653064417E-2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104-414F-BE62-773FF3724F22}"/>
            </c:ext>
          </c:extLst>
        </c:ser>
        <c:ser>
          <c:idx val="2"/>
          <c:order val="2"/>
          <c:tx>
            <c:strRef>
              <c:f>'1. k as func of τ  '!$AS$29</c:f>
              <c:strCache>
                <c:ptCount val="1"/>
                <c:pt idx="0">
                  <c:v>Med High Flow (τ* = 0.089)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'1. k as func of τ  '!$AT$31:$AT$36</c:f>
              <c:numCache>
                <c:formatCode>0.0000</c:formatCode>
                <c:ptCount val="6"/>
                <c:pt idx="0">
                  <c:v>0.04</c:v>
                </c:pt>
                <c:pt idx="1">
                  <c:v>5.4035390113906262E-2</c:v>
                </c:pt>
                <c:pt idx="2">
                  <c:v>5.5810451338392665E-2</c:v>
                </c:pt>
                <c:pt idx="3">
                  <c:v>5.5833612274522833E-2</c:v>
                </c:pt>
                <c:pt idx="4">
                  <c:v>5.5833646252982573E-2</c:v>
                </c:pt>
              </c:numCache>
            </c:numRef>
          </c:xVal>
          <c:yVal>
            <c:numRef>
              <c:f>'1. k as func of τ  '!$AU$31:$AU$36</c:f>
              <c:numCache>
                <c:formatCode>0.0000</c:formatCode>
                <c:ptCount val="6"/>
                <c:pt idx="0">
                  <c:v>0.04</c:v>
                </c:pt>
                <c:pt idx="1">
                  <c:v>4.5627026419976936E-2</c:v>
                </c:pt>
                <c:pt idx="2">
                  <c:v>4.860357919174027E-2</c:v>
                </c:pt>
                <c:pt idx="3">
                  <c:v>5.5833646253055487E-2</c:v>
                </c:pt>
                <c:pt idx="4">
                  <c:v>5.145407230191433E-2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104-414F-BE62-773FF3724F22}"/>
            </c:ext>
          </c:extLst>
        </c:ser>
        <c:ser>
          <c:idx val="3"/>
          <c:order val="3"/>
          <c:tx>
            <c:strRef>
              <c:f>'1. k as func of τ  '!$AS$20</c:f>
              <c:strCache>
                <c:ptCount val="1"/>
                <c:pt idx="0">
                  <c:v>High Flow: (τ* = 0.055)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'1. k as func of τ  '!$AT$22:$AT$27</c:f>
              <c:numCache>
                <c:formatCode>0.0000</c:formatCode>
                <c:ptCount val="6"/>
                <c:pt idx="0">
                  <c:v>0.04</c:v>
                </c:pt>
                <c:pt idx="1">
                  <c:v>5.4307115729512009E-2</c:v>
                </c:pt>
                <c:pt idx="2">
                  <c:v>5.5819457161143241E-2</c:v>
                </c:pt>
                <c:pt idx="3">
                  <c:v>5.5833633537707039E-2</c:v>
                </c:pt>
                <c:pt idx="4">
                  <c:v>5.5833646253045273E-2</c:v>
                </c:pt>
              </c:numCache>
            </c:numRef>
          </c:xVal>
          <c:yVal>
            <c:numRef>
              <c:f>'1. k as func of τ  '!$AU$22:$AU$27</c:f>
              <c:numCache>
                <c:formatCode>0.0000</c:formatCode>
                <c:ptCount val="6"/>
                <c:pt idx="0">
                  <c:v>0.04</c:v>
                </c:pt>
                <c:pt idx="1">
                  <c:v>4.8895149728212996E-2</c:v>
                </c:pt>
                <c:pt idx="2">
                  <c:v>5.1779269484048984E-2</c:v>
                </c:pt>
                <c:pt idx="3">
                  <c:v>4.8961843624642065E-2</c:v>
                </c:pt>
                <c:pt idx="4">
                  <c:v>4.8965324622054551E-2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104-414F-BE62-773FF3724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50000"/>
                    <a:lumOff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B104-414F-BE62-773FF3724F22}"/>
              </c:ext>
            </c:extLst>
          </c:dPt>
          <c:xVal>
            <c:numRef>
              <c:f>'1. k as func of τ  '!$J$56:$J$57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xVal>
          <c:yVal>
            <c:numRef>
              <c:f>'1. k as func of τ  '!$K$56:$K$57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104-414F-BE62-773FF3724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valAx>
        <c:axId val="1496099248"/>
        <c:scaling>
          <c:orientation val="minMax"/>
          <c:max val="6.0000000000000012E-2"/>
          <c:min val="3.5000000000000003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1088"/>
        <c:crosses val="autoZero"/>
        <c:crossBetween val="midCat"/>
      </c:valAx>
      <c:valAx>
        <c:axId val="1496091088"/>
        <c:scaling>
          <c:orientation val="minMax"/>
          <c:max val="6.0000000000000012E-2"/>
          <c:min val="3.5000000000000003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9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High Flow: (</a:t>
            </a:r>
            <a:r>
              <a:rPr lang="el-GR" sz="1200" baseline="0"/>
              <a:t>τ* = 0.108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'1. k as func of τ  '!$AU$21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'1. k as func of τ  '!$AS$22:$AS$27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'1. k as func of τ  '!$AU$22:$AU$27</c:f>
              <c:numCache>
                <c:formatCode>0.0000</c:formatCode>
                <c:ptCount val="6"/>
                <c:pt idx="0">
                  <c:v>0.04</c:v>
                </c:pt>
                <c:pt idx="1">
                  <c:v>4.8895149728212996E-2</c:v>
                </c:pt>
                <c:pt idx="2">
                  <c:v>5.1779269484048984E-2</c:v>
                </c:pt>
                <c:pt idx="3">
                  <c:v>4.8961843624642065E-2</c:v>
                </c:pt>
                <c:pt idx="4">
                  <c:v>4.8965324622054551E-2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66-47CC-9DB5-1B4BDD3F8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'1. k as func of τ  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'1. k as func of τ  '!$V$4:$V$41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'!$AQ$4:$AQ$41</c:f>
              <c:numCache>
                <c:formatCode>0.0000</c:formatCode>
                <c:ptCount val="38"/>
                <c:pt idx="0">
                  <c:v>4.3302425133233402E-2</c:v>
                </c:pt>
                <c:pt idx="1">
                  <c:v>4.5916063136433052E-2</c:v>
                </c:pt>
                <c:pt idx="2">
                  <c:v>4.7984574408051546E-2</c:v>
                </c:pt>
                <c:pt idx="3">
                  <c:v>4.9621656083315924E-2</c:v>
                </c:pt>
                <c:pt idx="4">
                  <c:v>5.0917291474942027E-2</c:v>
                </c:pt>
                <c:pt idx="5">
                  <c:v>5.1942696067393428E-2</c:v>
                </c:pt>
                <c:pt idx="6">
                  <c:v>5.2754231924638559E-2</c:v>
                </c:pt>
                <c:pt idx="7">
                  <c:v>5.3396505669502645E-2</c:v>
                </c:pt>
                <c:pt idx="8">
                  <c:v>5.3904820317165994E-2</c:v>
                </c:pt>
                <c:pt idx="9">
                  <c:v>5.4307115729512009E-2</c:v>
                </c:pt>
                <c:pt idx="10">
                  <c:v>5.4625504348723777E-2</c:v>
                </c:pt>
                <c:pt idx="11">
                  <c:v>5.4877486622775626E-2</c:v>
                </c:pt>
                <c:pt idx="12">
                  <c:v>5.5076912929512147E-2</c:v>
                </c:pt>
                <c:pt idx="13">
                  <c:v>5.5234744872128809E-2</c:v>
                </c:pt>
                <c:pt idx="14">
                  <c:v>5.5359657791180461E-2</c:v>
                </c:pt>
                <c:pt idx="15">
                  <c:v>5.5458517610601818E-2</c:v>
                </c:pt>
                <c:pt idx="16">
                  <c:v>5.553675822790724E-2</c:v>
                </c:pt>
                <c:pt idx="17">
                  <c:v>5.5598680192079981E-2</c:v>
                </c:pt>
                <c:pt idx="18">
                  <c:v>5.5647687086185164E-2</c:v>
                </c:pt>
                <c:pt idx="19">
                  <c:v>5.5686472607638204E-2</c:v>
                </c:pt>
                <c:pt idx="20">
                  <c:v>5.5787948765357732E-2</c:v>
                </c:pt>
                <c:pt idx="21">
                  <c:v>5.5819457161143241E-2</c:v>
                </c:pt>
                <c:pt idx="22">
                  <c:v>5.5829240533191285E-2</c:v>
                </c:pt>
                <c:pt idx="23">
                  <c:v>5.5832278274918344E-2</c:v>
                </c:pt>
                <c:pt idx="24">
                  <c:v>5.583322149518586E-2</c:v>
                </c:pt>
                <c:pt idx="25">
                  <c:v>5.5833514365532647E-2</c:v>
                </c:pt>
                <c:pt idx="26">
                  <c:v>5.5833605301916202E-2</c:v>
                </c:pt>
                <c:pt idx="27">
                  <c:v>5.5833633537707039E-2</c:v>
                </c:pt>
                <c:pt idx="28">
                  <c:v>5.5833642304933678E-2</c:v>
                </c:pt>
                <c:pt idx="29">
                  <c:v>5.5833645027161767E-2</c:v>
                </c:pt>
                <c:pt idx="30">
                  <c:v>5.5833645872414898E-2</c:v>
                </c:pt>
                <c:pt idx="31">
                  <c:v>5.5833646134866403E-2</c:v>
                </c:pt>
                <c:pt idx="32">
                  <c:v>5.5833646216357717E-2</c:v>
                </c:pt>
                <c:pt idx="33">
                  <c:v>5.583364624166081E-2</c:v>
                </c:pt>
                <c:pt idx="34">
                  <c:v>5.5833646249517435E-2</c:v>
                </c:pt>
                <c:pt idx="35">
                  <c:v>5.5833646251956921E-2</c:v>
                </c:pt>
                <c:pt idx="36">
                  <c:v>5.5833646252949572E-2</c:v>
                </c:pt>
                <c:pt idx="37">
                  <c:v>5.5833646253045273E-2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166-47CC-9DB5-1B4BDD3F8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High Flow (</a:t>
            </a:r>
            <a:r>
              <a:rPr lang="el-GR" sz="1200" baseline="0"/>
              <a:t>τ* = 0.089)</a:t>
            </a:r>
            <a:endParaRPr lang="en-US" sz="1200"/>
          </a:p>
        </c:rich>
      </c:tx>
      <c:layout>
        <c:manualLayout>
          <c:xMode val="edge"/>
          <c:yMode val="edge"/>
          <c:x val="0.31548891171212295"/>
          <c:y val="5.2131017869341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'1. k as func of τ  '!$AU$30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'1. k as func of τ  '!$AS$31:$AS$36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'1. k as func of τ  '!$AU$31:$AU$36</c:f>
              <c:numCache>
                <c:formatCode>0.0000</c:formatCode>
                <c:ptCount val="6"/>
                <c:pt idx="0">
                  <c:v>0.04</c:v>
                </c:pt>
                <c:pt idx="1">
                  <c:v>4.5627026419976936E-2</c:v>
                </c:pt>
                <c:pt idx="2">
                  <c:v>4.860357919174027E-2</c:v>
                </c:pt>
                <c:pt idx="3">
                  <c:v>5.5833646253055487E-2</c:v>
                </c:pt>
                <c:pt idx="4">
                  <c:v>5.145407230191433E-2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50-4E55-B696-F1F04B77B7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'1. k as func of τ  '!$K$30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'1. k as func of τ  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'!$AP$4:$AP$41</c:f>
              <c:numCache>
                <c:formatCode>0.0000</c:formatCode>
                <c:ptCount val="38"/>
                <c:pt idx="0">
                  <c:v>4.3095448132333666E-2</c:v>
                </c:pt>
                <c:pt idx="1">
                  <c:v>4.5585741963072468E-2</c:v>
                </c:pt>
                <c:pt idx="2">
                  <c:v>4.7589188022671064E-2</c:v>
                </c:pt>
                <c:pt idx="3">
                  <c:v>4.9200964136869751E-2</c:v>
                </c:pt>
                <c:pt idx="4">
                  <c:v>5.0497641045067578E-2</c:v>
                </c:pt>
                <c:pt idx="5">
                  <c:v>5.1540820050787847E-2</c:v>
                </c:pt>
                <c:pt idx="6">
                  <c:v>5.2380059518303303E-2</c:v>
                </c:pt>
                <c:pt idx="7">
                  <c:v>5.3055229244662321E-2</c:v>
                </c:pt>
                <c:pt idx="8">
                  <c:v>5.3598404556401719E-2</c:v>
                </c:pt>
                <c:pt idx="9">
                  <c:v>5.4035390113906262E-2</c:v>
                </c:pt>
                <c:pt idx="10">
                  <c:v>5.4386945814875194E-2</c:v>
                </c:pt>
                <c:pt idx="11">
                  <c:v>5.466977303596126E-2</c:v>
                </c:pt>
                <c:pt idx="12">
                  <c:v>5.4897308066019945E-2</c:v>
                </c:pt>
                <c:pt idx="13">
                  <c:v>5.5080360424647229E-2</c:v>
                </c:pt>
                <c:pt idx="14">
                  <c:v>5.5227626390640994E-2</c:v>
                </c:pt>
                <c:pt idx="15">
                  <c:v>5.5346102136611765E-2</c:v>
                </c:pt>
                <c:pt idx="16">
                  <c:v>5.5441416096552273E-2</c:v>
                </c:pt>
                <c:pt idx="17">
                  <c:v>5.5518096356170839E-2</c:v>
                </c:pt>
                <c:pt idx="18">
                  <c:v>5.5579785768916257E-2</c:v>
                </c:pt>
                <c:pt idx="19">
                  <c:v>5.5629415017223509E-2</c:v>
                </c:pt>
                <c:pt idx="20">
                  <c:v>5.5764819469848625E-2</c:v>
                </c:pt>
                <c:pt idx="21">
                  <c:v>5.5810451338392665E-2</c:v>
                </c:pt>
                <c:pt idx="22">
                  <c:v>5.5825829469513553E-2</c:v>
                </c:pt>
                <c:pt idx="23">
                  <c:v>5.5831011964211162E-2</c:v>
                </c:pt>
                <c:pt idx="24">
                  <c:v>5.5832758486664344E-2</c:v>
                </c:pt>
                <c:pt idx="25">
                  <c:v>5.5833347072057574E-2</c:v>
                </c:pt>
                <c:pt idx="26">
                  <c:v>5.5833545427804152E-2</c:v>
                </c:pt>
                <c:pt idx="27">
                  <c:v>5.5833612274522833E-2</c:v>
                </c:pt>
                <c:pt idx="28">
                  <c:v>5.5833634802147446E-2</c:v>
                </c:pt>
                <c:pt idx="29">
                  <c:v>5.583364239405144E-2</c:v>
                </c:pt>
                <c:pt idx="30">
                  <c:v>5.5833644952554932E-2</c:v>
                </c:pt>
                <c:pt idx="31">
                  <c:v>5.5833645814781348E-2</c:v>
                </c:pt>
                <c:pt idx="32">
                  <c:v>5.583364610535526E-2</c:v>
                </c:pt>
                <c:pt idx="33">
                  <c:v>5.5833646203279894E-2</c:v>
                </c:pt>
                <c:pt idx="34">
                  <c:v>5.5833646236280905E-2</c:v>
                </c:pt>
                <c:pt idx="35">
                  <c:v>5.5833646247402384E-2</c:v>
                </c:pt>
                <c:pt idx="36">
                  <c:v>5.5833646252413452E-2</c:v>
                </c:pt>
                <c:pt idx="37">
                  <c:v>5.5833646252982573E-2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C50-4E55-B696-F1F04B77B7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Low Flow (</a:t>
            </a:r>
            <a:r>
              <a:rPr lang="el-GR" sz="1200" baseline="0"/>
              <a:t>τ* = 0.086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'1. k as func of τ  '!$AU$39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'1. k as func of τ  '!$AS$40:$AS$45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'1. k as func of τ  '!$AU$40:$AU$45</c:f>
              <c:numCache>
                <c:formatCode>0.0000</c:formatCode>
                <c:ptCount val="6"/>
                <c:pt idx="0">
                  <c:v>0.04</c:v>
                </c:pt>
                <c:pt idx="2">
                  <c:v>4.880607945181633E-2</c:v>
                </c:pt>
                <c:pt idx="3">
                  <c:v>4.7893651283411866E-2</c:v>
                </c:pt>
                <c:pt idx="4">
                  <c:v>5.1755608653064417E-2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476-4F4F-9C81-9EB62738C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'1. k as func of τ  '!$K$39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'1. k as func of τ  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'!$AO$4:$AO$41</c:f>
              <c:numCache>
                <c:formatCode>0.0000</c:formatCode>
                <c:ptCount val="38"/>
                <c:pt idx="0">
                  <c:v>4.2953221538910374E-2</c:v>
                </c:pt>
                <c:pt idx="1">
                  <c:v>4.535562128235459E-2</c:v>
                </c:pt>
                <c:pt idx="2">
                  <c:v>4.7309936070885579E-2</c:v>
                </c:pt>
                <c:pt idx="3">
                  <c:v>4.889974072479189E-2</c:v>
                </c:pt>
                <c:pt idx="4">
                  <c:v>5.0193022059208857E-2</c:v>
                </c:pt>
                <c:pt idx="5">
                  <c:v>5.1245086289768024E-2</c:v>
                </c:pt>
                <c:pt idx="6">
                  <c:v>5.2100924161827808E-2</c:v>
                </c:pt>
                <c:pt idx="7">
                  <c:v>5.2797134946280119E-2</c:v>
                </c:pt>
                <c:pt idx="8">
                  <c:v>5.3363491580184545E-2</c:v>
                </c:pt>
                <c:pt idx="9">
                  <c:v>5.3824213884306679E-2</c:v>
                </c:pt>
                <c:pt idx="10">
                  <c:v>5.4199004305762986E-2</c:v>
                </c:pt>
                <c:pt idx="11">
                  <c:v>5.4503890478536932E-2</c:v>
                </c:pt>
                <c:pt idx="12">
                  <c:v>5.4751910633341186E-2</c:v>
                </c:pt>
                <c:pt idx="13">
                  <c:v>5.4953671167869381E-2</c:v>
                </c:pt>
                <c:pt idx="14">
                  <c:v>5.5117800221515169E-2</c:v>
                </c:pt>
                <c:pt idx="15">
                  <c:v>5.5251316651344487E-2</c:v>
                </c:pt>
                <c:pt idx="16">
                  <c:v>5.5359930188304499E-2</c:v>
                </c:pt>
                <c:pt idx="17">
                  <c:v>5.5448285609626391E-2</c:v>
                </c:pt>
                <c:pt idx="18">
                  <c:v>5.5520161369273575E-2</c:v>
                </c:pt>
                <c:pt idx="19">
                  <c:v>5.5578631180718867E-2</c:v>
                </c:pt>
                <c:pt idx="20">
                  <c:v>5.5742798941966931E-2</c:v>
                </c:pt>
                <c:pt idx="21">
                  <c:v>5.5801282542721035E-2</c:v>
                </c:pt>
                <c:pt idx="22">
                  <c:v>5.5822116910755074E-2</c:v>
                </c:pt>
                <c:pt idx="23">
                  <c:v>5.582953900662093E-2</c:v>
                </c:pt>
                <c:pt idx="24">
                  <c:v>5.5832183075639585E-2</c:v>
                </c:pt>
                <c:pt idx="25">
                  <c:v>5.5833125006477149E-2</c:v>
                </c:pt>
                <c:pt idx="26">
                  <c:v>5.5833460562658359E-2</c:v>
                </c:pt>
                <c:pt idx="27">
                  <c:v>5.583358010216833E-2</c:v>
                </c:pt>
                <c:pt idx="28">
                  <c:v>5.5833622687271045E-2</c:v>
                </c:pt>
                <c:pt idx="29">
                  <c:v>5.5833637857911893E-2</c:v>
                </c:pt>
                <c:pt idx="30">
                  <c:v>5.5833643262345113E-2</c:v>
                </c:pt>
                <c:pt idx="31">
                  <c:v>5.5833645187636123E-2</c:v>
                </c:pt>
                <c:pt idx="32">
                  <c:v>5.5833645873507393E-2</c:v>
                </c:pt>
                <c:pt idx="33">
                  <c:v>5.5833646117844173E-2</c:v>
                </c:pt>
                <c:pt idx="34">
                  <c:v>5.5833646204887413E-2</c:v>
                </c:pt>
                <c:pt idx="35">
                  <c:v>5.5833646235895949E-2</c:v>
                </c:pt>
                <c:pt idx="36">
                  <c:v>5.5833646250877784E-2</c:v>
                </c:pt>
                <c:pt idx="37">
                  <c:v>5.5833646252779118E-2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476-4F4F-9C81-9EB62738C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u="none" strike="noStrike" baseline="0">
                <a:effectLst/>
              </a:rPr>
              <a:t>Low Flow (</a:t>
            </a:r>
            <a:r>
              <a:rPr lang="el-GR" sz="1200" b="0" i="0" u="none" strike="noStrike" baseline="0">
                <a:effectLst/>
              </a:rPr>
              <a:t>τ* = 0.075)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'1. k as func of τ  '!$AU$48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'1. k as func of τ  '!$AS$49:$AS$54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'1. k as func of τ  '!$AU$49:$AU$54</c:f>
              <c:numCache>
                <c:formatCode>0.0000</c:formatCode>
                <c:ptCount val="6"/>
                <c:pt idx="0">
                  <c:v>0.04</c:v>
                </c:pt>
                <c:pt idx="1">
                  <c:v>4.0883015185033886E-2</c:v>
                </c:pt>
                <c:pt idx="2">
                  <c:v>4.7200498607488234E-2</c:v>
                </c:pt>
                <c:pt idx="3">
                  <c:v>4.7978393655140922E-2</c:v>
                </c:pt>
                <c:pt idx="4">
                  <c:v>5.2297832157699113E-2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06-4D2E-8FB0-F8B4B680D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'1. k as func of τ  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'1. k as func of τ  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'!$AN$4:$AN$41</c:f>
              <c:numCache>
                <c:formatCode>0.0000</c:formatCode>
                <c:ptCount val="38"/>
                <c:pt idx="0">
                  <c:v>4.2890281068279475E-2</c:v>
                </c:pt>
                <c:pt idx="1">
                  <c:v>4.5252968901233093E-2</c:v>
                </c:pt>
                <c:pt idx="2">
                  <c:v>4.7184370610655786E-2</c:v>
                </c:pt>
                <c:pt idx="3">
                  <c:v>4.8763213363867769E-2</c:v>
                </c:pt>
                <c:pt idx="4">
                  <c:v>5.0053853434863183E-2</c:v>
                </c:pt>
                <c:pt idx="5">
                  <c:v>5.1108899473786482E-2</c:v>
                </c:pt>
                <c:pt idx="6">
                  <c:v>5.1971356923592164E-2</c:v>
                </c:pt>
                <c:pt idx="7">
                  <c:v>5.2676380993901394E-2</c:v>
                </c:pt>
                <c:pt idx="8">
                  <c:v>5.3252709646204627E-2</c:v>
                </c:pt>
                <c:pt idx="9">
                  <c:v>5.3723835001286434E-2</c:v>
                </c:pt>
                <c:pt idx="10">
                  <c:v>5.4108960917400313E-2</c:v>
                </c:pt>
                <c:pt idx="11">
                  <c:v>5.4423785771683102E-2</c:v>
                </c:pt>
                <c:pt idx="12">
                  <c:v>5.4681142352290026E-2</c:v>
                </c:pt>
                <c:pt idx="13">
                  <c:v>5.4891520944325187E-2</c:v>
                </c:pt>
                <c:pt idx="14">
                  <c:v>5.5063496931425739E-2</c:v>
                </c:pt>
                <c:pt idx="15">
                  <c:v>5.5204080342756229E-2</c:v>
                </c:pt>
                <c:pt idx="16">
                  <c:v>5.5319001593533881E-2</c:v>
                </c:pt>
                <c:pt idx="17">
                  <c:v>5.5412945066347002E-2</c:v>
                </c:pt>
                <c:pt idx="18">
                  <c:v>5.5489740054432045E-2</c:v>
                </c:pt>
                <c:pt idx="19">
                  <c:v>5.5552516850077172E-2</c:v>
                </c:pt>
                <c:pt idx="20">
                  <c:v>5.5731024931450351E-2</c:v>
                </c:pt>
                <c:pt idx="21">
                  <c:v>5.5796186152701641E-2</c:v>
                </c:pt>
                <c:pt idx="22">
                  <c:v>5.5819972105260747E-2</c:v>
                </c:pt>
                <c:pt idx="23">
                  <c:v>5.5828654746995811E-2</c:v>
                </c:pt>
                <c:pt idx="24">
                  <c:v>5.5831824191957584E-2</c:v>
                </c:pt>
                <c:pt idx="25">
                  <c:v>5.5832981141843596E-2</c:v>
                </c:pt>
                <c:pt idx="26">
                  <c:v>5.5833403465958671E-2</c:v>
                </c:pt>
                <c:pt idx="27">
                  <c:v>5.5833557627915323E-2</c:v>
                </c:pt>
                <c:pt idx="28">
                  <c:v>5.5833613902013884E-2</c:v>
                </c:pt>
                <c:pt idx="29">
                  <c:v>5.5833634443879322E-2</c:v>
                </c:pt>
                <c:pt idx="30">
                  <c:v>5.5833641942324375E-2</c:v>
                </c:pt>
                <c:pt idx="31">
                  <c:v>5.5833644679499257E-2</c:v>
                </c:pt>
                <c:pt idx="32">
                  <c:v>5.5833645678656584E-2</c:v>
                </c:pt>
                <c:pt idx="33">
                  <c:v>5.5833646043381313E-2</c:v>
                </c:pt>
                <c:pt idx="34">
                  <c:v>5.5833646176517635E-2</c:v>
                </c:pt>
                <c:pt idx="35">
                  <c:v>5.5833646225116697E-2</c:v>
                </c:pt>
                <c:pt idx="36">
                  <c:v>5.583364624933268E-2</c:v>
                </c:pt>
                <c:pt idx="37">
                  <c:v>5.5833646252559425E-2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606-4D2E-8FB0-F8B4B680D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Testing</a:t>
            </a:r>
            <a:r>
              <a:rPr lang="en-US" baseline="0"/>
              <a:t> Equation with flume data (k=</a:t>
            </a:r>
            <a:r>
              <a:rPr lang="el-GR" baseline="0"/>
              <a:t>τ</a:t>
            </a:r>
            <a:r>
              <a:rPr lang="en-US" baseline="0"/>
              <a:t>/2) </a:t>
            </a:r>
            <a:endParaRPr lang="en-US"/>
          </a:p>
        </c:rich>
      </c:tx>
      <c:layout>
        <c:manualLayout>
          <c:xMode val="edge"/>
          <c:yMode val="edge"/>
          <c:x val="0.1763585791018838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0"/>
          <c:tx>
            <c:strRef>
              <c:f>'1. k as func of τ  '!$BH$2</c:f>
              <c:strCache>
                <c:ptCount val="1"/>
                <c:pt idx="0">
                  <c:v>0.055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'1. k as func of τ  '!$BD$4:$BD$41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'!$BH$4:$BH$41</c:f>
              <c:numCache>
                <c:formatCode>0.0000</c:formatCode>
                <c:ptCount val="38"/>
                <c:pt idx="0">
                  <c:v>4.0427303158723726E-2</c:v>
                </c:pt>
                <c:pt idx="1">
                  <c:v>4.0843074672333168E-2</c:v>
                </c:pt>
                <c:pt idx="2">
                  <c:v>4.1247625745733624E-2</c:v>
                </c:pt>
                <c:pt idx="3">
                  <c:v>4.1641259185332853E-2</c:v>
                </c:pt>
                <c:pt idx="4">
                  <c:v>4.2024269625691613E-2</c:v>
                </c:pt>
                <c:pt idx="5">
                  <c:v>4.2396943750057592E-2</c:v>
                </c:pt>
                <c:pt idx="6">
                  <c:v>4.2759560504947766E-2</c:v>
                </c:pt>
                <c:pt idx="7">
                  <c:v>4.3112391308939818E-2</c:v>
                </c:pt>
                <c:pt idx="8">
                  <c:v>4.3455700255828872E-2</c:v>
                </c:pt>
                <c:pt idx="9">
                  <c:v>4.3789744312301711E-2</c:v>
                </c:pt>
                <c:pt idx="10">
                  <c:v>4.4114773510276234E-2</c:v>
                </c:pt>
                <c:pt idx="11">
                  <c:v>4.4431031134050322E-2</c:v>
                </c:pt>
                <c:pt idx="12">
                  <c:v>4.4738753902400133E-2</c:v>
                </c:pt>
                <c:pt idx="13">
                  <c:v>4.5038172145763999E-2</c:v>
                </c:pt>
                <c:pt idx="14">
                  <c:v>4.5329509978644766E-2</c:v>
                </c:pt>
                <c:pt idx="15">
                  <c:v>4.5612985467359438E-2</c:v>
                </c:pt>
                <c:pt idx="16">
                  <c:v>4.5888810793261792E-2</c:v>
                </c:pt>
                <c:pt idx="17">
                  <c:v>4.615719241156007E-2</c:v>
                </c:pt>
                <c:pt idx="18">
                  <c:v>4.6418331205848679E-2</c:v>
                </c:pt>
                <c:pt idx="19">
                  <c:v>4.6672422638469518E-2</c:v>
                </c:pt>
                <c:pt idx="20">
                  <c:v>4.7843649177245859E-2</c:v>
                </c:pt>
                <c:pt idx="21">
                  <c:v>4.886513899275851E-2</c:v>
                </c:pt>
                <c:pt idx="22">
                  <c:v>4.9756035338299164E-2</c:v>
                </c:pt>
                <c:pt idx="23">
                  <c:v>5.053303407724339E-2</c:v>
                </c:pt>
                <c:pt idx="24">
                  <c:v>5.1210696572260725E-2</c:v>
                </c:pt>
                <c:pt idx="25">
                  <c:v>5.1801722572865465E-2</c:v>
                </c:pt>
                <c:pt idx="26">
                  <c:v>5.2317188215363346E-2</c:v>
                </c:pt>
                <c:pt idx="27">
                  <c:v>5.2766753595437796E-2</c:v>
                </c:pt>
                <c:pt idx="28">
                  <c:v>5.3158843803394418E-2</c:v>
                </c:pt>
                <c:pt idx="29">
                  <c:v>5.3500806814758876E-2</c:v>
                </c:pt>
                <c:pt idx="30">
                  <c:v>5.3799051195180601E-2</c:v>
                </c:pt>
                <c:pt idx="31">
                  <c:v>5.4059166200304175E-2</c:v>
                </c:pt>
                <c:pt idx="32">
                  <c:v>5.4286026521342796E-2</c:v>
                </c:pt>
                <c:pt idx="33">
                  <c:v>5.4483883639340647E-2</c:v>
                </c:pt>
                <c:pt idx="34">
                  <c:v>5.4656445500150808E-2</c:v>
                </c:pt>
                <c:pt idx="35">
                  <c:v>5.4806946003279476E-2</c:v>
                </c:pt>
                <c:pt idx="36">
                  <c:v>5.5052684184481837E-2</c:v>
                </c:pt>
                <c:pt idx="37">
                  <c:v>5.5239605536026443E-2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ED-4DB9-92CA-AD919D36C2EB}"/>
            </c:ext>
          </c:extLst>
        </c:ser>
        <c:ser>
          <c:idx val="2"/>
          <c:order val="1"/>
          <c:tx>
            <c:strRef>
              <c:f>'1. k as func of τ  '!$BG$2</c:f>
              <c:strCache>
                <c:ptCount val="1"/>
                <c:pt idx="0">
                  <c:v>0.047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'1. k as func of τ  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'!$BG$4:$BG$41</c:f>
              <c:numCache>
                <c:formatCode>0.0000</c:formatCode>
                <c:ptCount val="38"/>
                <c:pt idx="0">
                  <c:v>4.0370228269619876E-2</c:v>
                </c:pt>
                <c:pt idx="1">
                  <c:v>4.0731799722645824E-2</c:v>
                </c:pt>
                <c:pt idx="2">
                  <c:v>4.1084916776018131E-2</c:v>
                </c:pt>
                <c:pt idx="3">
                  <c:v>4.1429777113688074E-2</c:v>
                </c:pt>
                <c:pt idx="4">
                  <c:v>4.176657379728646E-2</c:v>
                </c:pt>
                <c:pt idx="5">
                  <c:v>4.2095495374204456E-2</c:v>
                </c:pt>
                <c:pt idx="6">
                  <c:v>4.2416725983147247E-2</c:v>
                </c:pt>
                <c:pt idx="7">
                  <c:v>4.273044545721958E-2</c:v>
                </c:pt>
                <c:pt idx="8">
                  <c:v>4.3036829424600936E-2</c:v>
                </c:pt>
                <c:pt idx="9">
                  <c:v>4.3336049406866667E-2</c:v>
                </c:pt>
                <c:pt idx="10">
                  <c:v>4.3628272915010181E-2</c:v>
                </c:pt>
                <c:pt idx="11">
                  <c:v>4.3913663543219843E-2</c:v>
                </c:pt>
                <c:pt idx="12">
                  <c:v>4.41923810604632E-2</c:v>
                </c:pt>
                <c:pt idx="13">
                  <c:v>4.4464581499929746E-2</c:v>
                </c:pt>
                <c:pt idx="14">
                  <c:v>4.4730417246382256E-2</c:v>
                </c:pt>
                <c:pt idx="15">
                  <c:v>4.4990037121465709E-2</c:v>
                </c:pt>
                <c:pt idx="16">
                  <c:v>4.524358646702141E-2</c:v>
                </c:pt>
                <c:pt idx="17">
                  <c:v>4.5491207226453105E-2</c:v>
                </c:pt>
                <c:pt idx="18">
                  <c:v>4.5733038024190494E-2</c:v>
                </c:pt>
                <c:pt idx="19">
                  <c:v>4.5969214243294754E-2</c:v>
                </c:pt>
                <c:pt idx="20">
                  <c:v>4.706979757293648E-2</c:v>
                </c:pt>
                <c:pt idx="21">
                  <c:v>4.8047587855367106E-2</c:v>
                </c:pt>
                <c:pt idx="22">
                  <c:v>4.891628521854359E-2</c:v>
                </c:pt>
                <c:pt idx="23">
                  <c:v>4.9688061255132823E-2</c:v>
                </c:pt>
                <c:pt idx="24">
                  <c:v>5.0373729562534338E-2</c:v>
                </c:pt>
                <c:pt idx="25">
                  <c:v>5.0982897255603163E-2</c:v>
                </c:pt>
                <c:pt idx="26">
                  <c:v>5.1524099574965274E-2</c:v>
                </c:pt>
                <c:pt idx="27">
                  <c:v>5.200491947696529E-2</c:v>
                </c:pt>
                <c:pt idx="28">
                  <c:v>5.2432093880858822E-2</c:v>
                </c:pt>
                <c:pt idx="29">
                  <c:v>5.2811608061912388E-2</c:v>
                </c:pt>
                <c:pt idx="30">
                  <c:v>5.3148779512982428E-2</c:v>
                </c:pt>
                <c:pt idx="31">
                  <c:v>5.3448332449584357E-2</c:v>
                </c:pt>
                <c:pt idx="32">
                  <c:v>5.3714464002365805E-2</c:v>
                </c:pt>
                <c:pt idx="33">
                  <c:v>5.3950903024427482E-2</c:v>
                </c:pt>
                <c:pt idx="34">
                  <c:v>5.4160962337459748E-2</c:v>
                </c:pt>
                <c:pt idx="35">
                  <c:v>5.4347585148731899E-2</c:v>
                </c:pt>
                <c:pt idx="36">
                  <c:v>5.4660688851215437E-2</c:v>
                </c:pt>
                <c:pt idx="37">
                  <c:v>5.4907823578248589E-2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ED-4DB9-92CA-AD919D36C2EB}"/>
            </c:ext>
          </c:extLst>
        </c:ser>
        <c:ser>
          <c:idx val="1"/>
          <c:order val="2"/>
          <c:tx>
            <c:strRef>
              <c:f>'1. k as func of τ  '!$BF$2</c:f>
              <c:strCache>
                <c:ptCount val="1"/>
                <c:pt idx="0">
                  <c:v>0.043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'1. k as func of τ  '!$BD$4:$BD$41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'!$BF$4:$BF$41</c:f>
              <c:numCache>
                <c:formatCode>0.0000</c:formatCode>
                <c:ptCount val="38"/>
                <c:pt idx="0">
                  <c:v>4.0333788841276863E-2</c:v>
                </c:pt>
                <c:pt idx="1">
                  <c:v>4.0660541085374521E-2</c:v>
                </c:pt>
                <c:pt idx="2">
                  <c:v>4.0980405070684595E-2</c:v>
                </c:pt>
                <c:pt idx="3">
                  <c:v>4.1293526008479492E-2</c:v>
                </c:pt>
                <c:pt idx="4">
                  <c:v>4.1600046048835118E-2</c:v>
                </c:pt>
                <c:pt idx="5">
                  <c:v>4.1900104345163933E-2</c:v>
                </c:pt>
                <c:pt idx="6">
                  <c:v>4.2193837117387528E-2</c:v>
                </c:pt>
                <c:pt idx="7">
                  <c:v>4.2481377713777552E-2</c:v>
                </c:pt>
                <c:pt idx="8">
                  <c:v>4.2762856671492877E-2</c:v>
                </c:pt>
                <c:pt idx="9">
                  <c:v>4.3038401775840618E-2</c:v>
                </c:pt>
                <c:pt idx="10">
                  <c:v>4.3308138118287931E-2</c:v>
                </c:pt>
                <c:pt idx="11">
                  <c:v>4.3572188153250743E-2</c:v>
                </c:pt>
                <c:pt idx="12">
                  <c:v>4.3830671753685407E-2</c:v>
                </c:pt>
                <c:pt idx="13">
                  <c:v>4.4083706265508449E-2</c:v>
                </c:pt>
                <c:pt idx="14">
                  <c:v>4.433140656086898E-2</c:v>
                </c:pt>
                <c:pt idx="15">
                  <c:v>4.4573885090298221E-2</c:v>
                </c:pt>
                <c:pt idx="16">
                  <c:v>4.4811251933759545E-2</c:v>
                </c:pt>
                <c:pt idx="17">
                  <c:v>4.5043614850622395E-2</c:v>
                </c:pt>
                <c:pt idx="18">
                  <c:v>4.5271079328582681E-2</c:v>
                </c:pt>
                <c:pt idx="19">
                  <c:v>4.5493748631551909E-2</c:v>
                </c:pt>
                <c:pt idx="20">
                  <c:v>4.6538631918081934E-2</c:v>
                </c:pt>
                <c:pt idx="21">
                  <c:v>4.747792604672714E-2</c:v>
                </c:pt>
                <c:pt idx="22">
                  <c:v>4.8322301175969876E-2</c:v>
                </c:pt>
                <c:pt idx="23">
                  <c:v>4.9081349206975919E-2</c:v>
                </c:pt>
                <c:pt idx="24">
                  <c:v>4.9763692745316356E-2</c:v>
                </c:pt>
                <c:pt idx="25">
                  <c:v>5.0377083051721408E-2</c:v>
                </c:pt>
                <c:pt idx="26">
                  <c:v>5.0928488094563566E-2</c:v>
                </c:pt>
                <c:pt idx="27">
                  <c:v>5.1424171704325394E-2</c:v>
                </c:pt>
                <c:pt idx="28">
                  <c:v>5.1869764729227857E-2</c:v>
                </c:pt>
                <c:pt idx="29">
                  <c:v>5.2270329000330421E-2</c:v>
                </c:pt>
                <c:pt idx="30">
                  <c:v>5.2630414832731058E-2</c:v>
                </c:pt>
                <c:pt idx="31">
                  <c:v>5.2954112716066398E-2</c:v>
                </c:pt>
                <c:pt idx="32">
                  <c:v>5.3245099781503616E-2</c:v>
                </c:pt>
                <c:pt idx="33">
                  <c:v>5.3506681573078217E-2</c:v>
                </c:pt>
                <c:pt idx="34">
                  <c:v>5.3741829597890124E-2</c:v>
                </c:pt>
                <c:pt idx="35">
                  <c:v>5.395321508171947E-2</c:v>
                </c:pt>
                <c:pt idx="36">
                  <c:v>5.4314060923480706E-2</c:v>
                </c:pt>
                <c:pt idx="37">
                  <c:v>5.4605662156079315E-2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ED-4DB9-92CA-AD919D36C2EB}"/>
            </c:ext>
          </c:extLst>
        </c:ser>
        <c:ser>
          <c:idx val="0"/>
          <c:order val="3"/>
          <c:tx>
            <c:strRef>
              <c:f>'1. k as func of τ  '!$BE$2</c:f>
              <c:strCache>
                <c:ptCount val="1"/>
                <c:pt idx="0">
                  <c:v>0.041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'1. k as func of τ  '!$BD$4:$BD$41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'!$BE$4:$BE$41</c:f>
              <c:numCache>
                <c:formatCode>0.0000</c:formatCode>
                <c:ptCount val="38"/>
                <c:pt idx="0">
                  <c:v>4.0318368432015847E-2</c:v>
                </c:pt>
                <c:pt idx="1">
                  <c:v>4.063033540369311E-2</c:v>
                </c:pt>
                <c:pt idx="2">
                  <c:v>4.093602962972314E-2</c:v>
                </c:pt>
                <c:pt idx="3">
                  <c:v>4.1235577236720375E-2</c:v>
                </c:pt>
                <c:pt idx="4">
                  <c:v>4.1529101815261024E-2</c:v>
                </c:pt>
                <c:pt idx="5">
                  <c:v>4.1816724470875352E-2</c:v>
                </c:pt>
                <c:pt idx="6">
                  <c:v>4.2098563874014748E-2</c:v>
                </c:pt>
                <c:pt idx="7">
                  <c:v>4.237473630901404E-2</c:v>
                </c:pt>
                <c:pt idx="8">
                  <c:v>4.2645355722069331E-2</c:v>
                </c:pt>
                <c:pt idx="9">
                  <c:v>4.2910533768251165E-2</c:v>
                </c:pt>
                <c:pt idx="10">
                  <c:v>4.3170379857572355E-2</c:v>
                </c:pt>
                <c:pt idx="11">
                  <c:v>4.342500120012957E-2</c:v>
                </c:pt>
                <c:pt idx="12">
                  <c:v>4.3674502850337207E-2</c:v>
                </c:pt>
                <c:pt idx="13">
                  <c:v>4.3918987750271879E-2</c:v>
                </c:pt>
                <c:pt idx="14">
                  <c:v>4.4158556772145377E-2</c:v>
                </c:pt>
                <c:pt idx="15">
                  <c:v>4.439330875992361E-2</c:v>
                </c:pt>
                <c:pt idx="16">
                  <c:v>4.4623340570108687E-2</c:v>
                </c:pt>
                <c:pt idx="17">
                  <c:v>4.4848747111701052E-2</c:v>
                </c:pt>
                <c:pt idx="18">
                  <c:v>4.5069621385358041E-2</c:v>
                </c:pt>
                <c:pt idx="19">
                  <c:v>4.5286054521765082E-2</c:v>
                </c:pt>
                <c:pt idx="20">
                  <c:v>4.6304666495607556E-2</c:v>
                </c:pt>
                <c:pt idx="21">
                  <c:v>4.7224908113477938E-2</c:v>
                </c:pt>
                <c:pt idx="22">
                  <c:v>4.8056279290145137E-2</c:v>
                </c:pt>
                <c:pt idx="23">
                  <c:v>4.8807362505651632E-2</c:v>
                </c:pt>
                <c:pt idx="24">
                  <c:v>4.9485911404684974E-2</c:v>
                </c:pt>
                <c:pt idx="25">
                  <c:v>5.009893083964715E-2</c:v>
                </c:pt>
                <c:pt idx="26">
                  <c:v>5.0652749183729195E-2</c:v>
                </c:pt>
                <c:pt idx="27">
                  <c:v>5.1153083660499421E-2</c:v>
                </c:pt>
                <c:pt idx="28">
                  <c:v>5.1605099364421009E-2</c:v>
                </c:pt>
                <c:pt idx="29">
                  <c:v>5.2013462581584562E-2</c:v>
                </c:pt>
                <c:pt idx="30">
                  <c:v>5.2382388961100548E-2</c:v>
                </c:pt>
                <c:pt idx="31">
                  <c:v>5.2715687034438699E-2</c:v>
                </c:pt>
                <c:pt idx="32">
                  <c:v>5.3016797531976606E-2</c:v>
                </c:pt>
                <c:pt idx="33">
                  <c:v>5.3288828902633645E-2</c:v>
                </c:pt>
                <c:pt idx="34">
                  <c:v>5.3534589403269238E-2</c:v>
                </c:pt>
                <c:pt idx="35">
                  <c:v>5.3756616089113508E-2</c:v>
                </c:pt>
                <c:pt idx="36">
                  <c:v>5.4138414844322073E-2</c:v>
                </c:pt>
                <c:pt idx="37">
                  <c:v>5.4450031523213482E-2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ED-4DB9-92CA-AD919D36C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1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Measured vs Predicted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(k=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/2)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'1. k as func of τ  '!$BJ$47</c:f>
              <c:strCache>
                <c:ptCount val="1"/>
                <c:pt idx="0">
                  <c:v>Low Flow (τ* = 0.075)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'1. k as func of τ  '!$BK$49:$BK$54</c:f>
              <c:numCache>
                <c:formatCode>0.0000</c:formatCode>
                <c:ptCount val="6"/>
                <c:pt idx="0">
                  <c:v>0.04</c:v>
                </c:pt>
                <c:pt idx="1">
                  <c:v>4.2910533768251165E-2</c:v>
                </c:pt>
                <c:pt idx="2">
                  <c:v>4.7224908113477938E-2</c:v>
                </c:pt>
                <c:pt idx="3">
                  <c:v>5.1153083660499421E-2</c:v>
                </c:pt>
                <c:pt idx="4">
                  <c:v>5.4450031523213482E-2</c:v>
                </c:pt>
              </c:numCache>
            </c:numRef>
          </c:xVal>
          <c:yVal>
            <c:numRef>
              <c:f>'1. k as func of τ  '!$BL$49:$BL$54</c:f>
              <c:numCache>
                <c:formatCode>0.0000</c:formatCode>
                <c:ptCount val="6"/>
                <c:pt idx="0">
                  <c:v>0.04</c:v>
                </c:pt>
                <c:pt idx="1">
                  <c:v>4.0883015185033886E-2</c:v>
                </c:pt>
                <c:pt idx="2">
                  <c:v>4.7200498607488234E-2</c:v>
                </c:pt>
                <c:pt idx="3">
                  <c:v>4.7978393655140922E-2</c:v>
                </c:pt>
                <c:pt idx="4">
                  <c:v>5.2297832157699113E-2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A1-4F6F-97A7-F143B576C0A2}"/>
            </c:ext>
          </c:extLst>
        </c:ser>
        <c:ser>
          <c:idx val="1"/>
          <c:order val="1"/>
          <c:tx>
            <c:strRef>
              <c:f>'1. k as func of τ  '!$BJ$38</c:f>
              <c:strCache>
                <c:ptCount val="1"/>
                <c:pt idx="0">
                  <c:v>Med Low Flow (τ* = 0.086)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'1. k as func of τ  '!$BK$40:$BK$45</c:f>
              <c:numCache>
                <c:formatCode>0.0000</c:formatCode>
                <c:ptCount val="6"/>
                <c:pt idx="0">
                  <c:v>0.04</c:v>
                </c:pt>
                <c:pt idx="2">
                  <c:v>4.747792604672714E-2</c:v>
                </c:pt>
                <c:pt idx="3">
                  <c:v>5.1424171704325394E-2</c:v>
                </c:pt>
                <c:pt idx="4">
                  <c:v>5.4605662156079315E-2</c:v>
                </c:pt>
              </c:numCache>
            </c:numRef>
          </c:xVal>
          <c:yVal>
            <c:numRef>
              <c:f>'1. k as func of τ  '!$BL$40:$BL$45</c:f>
              <c:numCache>
                <c:formatCode>0.0000</c:formatCode>
                <c:ptCount val="6"/>
                <c:pt idx="0">
                  <c:v>0.04</c:v>
                </c:pt>
                <c:pt idx="2">
                  <c:v>4.880607945181633E-2</c:v>
                </c:pt>
                <c:pt idx="3">
                  <c:v>4.7893651283411866E-2</c:v>
                </c:pt>
                <c:pt idx="4">
                  <c:v>5.1755608653064417E-2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A1-4F6F-97A7-F143B576C0A2}"/>
            </c:ext>
          </c:extLst>
        </c:ser>
        <c:ser>
          <c:idx val="2"/>
          <c:order val="2"/>
          <c:tx>
            <c:strRef>
              <c:f>'1. k as func of τ  '!$BJ$29</c:f>
              <c:strCache>
                <c:ptCount val="1"/>
                <c:pt idx="0">
                  <c:v>Med High Flow (τ* = 0.089)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'1. k as func of τ  '!$BK$31:$BK$36</c:f>
              <c:numCache>
                <c:formatCode>0.0000</c:formatCode>
                <c:ptCount val="6"/>
                <c:pt idx="0">
                  <c:v>0.04</c:v>
                </c:pt>
                <c:pt idx="1">
                  <c:v>4.3336049406866667E-2</c:v>
                </c:pt>
                <c:pt idx="2">
                  <c:v>4.8047587855367106E-2</c:v>
                </c:pt>
                <c:pt idx="3">
                  <c:v>5.200491947696529E-2</c:v>
                </c:pt>
                <c:pt idx="4">
                  <c:v>5.4907823578248589E-2</c:v>
                </c:pt>
              </c:numCache>
            </c:numRef>
          </c:xVal>
          <c:yVal>
            <c:numRef>
              <c:f>'1. k as func of τ  '!$BL$31:$BL$36</c:f>
              <c:numCache>
                <c:formatCode>0.0000</c:formatCode>
                <c:ptCount val="6"/>
                <c:pt idx="0">
                  <c:v>0.04</c:v>
                </c:pt>
                <c:pt idx="1">
                  <c:v>4.5627026419976936E-2</c:v>
                </c:pt>
                <c:pt idx="2">
                  <c:v>4.860357919174027E-2</c:v>
                </c:pt>
                <c:pt idx="3">
                  <c:v>5.5833646253055487E-2</c:v>
                </c:pt>
                <c:pt idx="4">
                  <c:v>5.145407230191433E-2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AA1-4F6F-97A7-F143B576C0A2}"/>
            </c:ext>
          </c:extLst>
        </c:ser>
        <c:ser>
          <c:idx val="3"/>
          <c:order val="3"/>
          <c:tx>
            <c:strRef>
              <c:f>'1. k as func of τ  '!$BJ$20</c:f>
              <c:strCache>
                <c:ptCount val="1"/>
                <c:pt idx="0">
                  <c:v>High Flow: (τ* = 0.055)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'1. k as func of τ  '!$BK$22:$BK$27</c:f>
              <c:numCache>
                <c:formatCode>0.0000</c:formatCode>
                <c:ptCount val="6"/>
                <c:pt idx="0">
                  <c:v>0.04</c:v>
                </c:pt>
                <c:pt idx="1">
                  <c:v>4.3789744312301711E-2</c:v>
                </c:pt>
                <c:pt idx="2">
                  <c:v>4.886513899275851E-2</c:v>
                </c:pt>
                <c:pt idx="3">
                  <c:v>5.2766753595437796E-2</c:v>
                </c:pt>
                <c:pt idx="4">
                  <c:v>5.5239605536026443E-2</c:v>
                </c:pt>
              </c:numCache>
            </c:numRef>
          </c:xVal>
          <c:yVal>
            <c:numRef>
              <c:f>'1. k as func of τ  '!$BL$22:$BL$27</c:f>
              <c:numCache>
                <c:formatCode>0.0000</c:formatCode>
                <c:ptCount val="6"/>
                <c:pt idx="0">
                  <c:v>0.04</c:v>
                </c:pt>
                <c:pt idx="1">
                  <c:v>4.8895149728212996E-2</c:v>
                </c:pt>
                <c:pt idx="2">
                  <c:v>5.1779269484048984E-2</c:v>
                </c:pt>
                <c:pt idx="3">
                  <c:v>4.8961843624642065E-2</c:v>
                </c:pt>
                <c:pt idx="4">
                  <c:v>4.8965324622054551E-2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AA1-4F6F-97A7-F143B576C0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50000"/>
                    <a:lumOff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AA1-4F6F-97A7-F143B576C0A2}"/>
              </c:ext>
            </c:extLst>
          </c:dPt>
          <c:xVal>
            <c:numRef>
              <c:f>'1. k as func of τ  '!$J$56:$J$57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xVal>
          <c:yVal>
            <c:numRef>
              <c:f>'1. k as func of τ  '!$K$56:$K$57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7AA1-4F6F-97A7-F143B576C0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valAx>
        <c:axId val="1496099248"/>
        <c:scaling>
          <c:orientation val="minMax"/>
          <c:max val="6.0000000000000012E-2"/>
          <c:min val="3.0000000000000006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1088"/>
        <c:crosses val="autoZero"/>
        <c:crossBetween val="midCat"/>
      </c:valAx>
      <c:valAx>
        <c:axId val="1496091088"/>
        <c:scaling>
          <c:orientation val="minMax"/>
          <c:max val="6.0000000000000012E-2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9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High Flow: (</a:t>
            </a:r>
            <a:r>
              <a:rPr lang="el-GR" sz="1200" baseline="0"/>
              <a:t>τ* = 0.108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'1. k as func of τ  '!$AD$21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'1. k as func of τ  '!$BJ$22:$BJ$27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'1. k as func of τ  '!$BL$22:$BL$27</c:f>
              <c:numCache>
                <c:formatCode>0.0000</c:formatCode>
                <c:ptCount val="6"/>
                <c:pt idx="0">
                  <c:v>0.04</c:v>
                </c:pt>
                <c:pt idx="1">
                  <c:v>4.8895149728212996E-2</c:v>
                </c:pt>
                <c:pt idx="2">
                  <c:v>5.1779269484048984E-2</c:v>
                </c:pt>
                <c:pt idx="3">
                  <c:v>4.8961843624642065E-2</c:v>
                </c:pt>
                <c:pt idx="4">
                  <c:v>4.8965324622054551E-2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5C-4257-8618-6882939A0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'1. k as func of τ  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'1. k as func of τ  '!$V$4:$V$41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'!$BH$4:$BH$41</c:f>
              <c:numCache>
                <c:formatCode>0.0000</c:formatCode>
                <c:ptCount val="38"/>
                <c:pt idx="0">
                  <c:v>4.0427303158723726E-2</c:v>
                </c:pt>
                <c:pt idx="1">
                  <c:v>4.0843074672333168E-2</c:v>
                </c:pt>
                <c:pt idx="2">
                  <c:v>4.1247625745733624E-2</c:v>
                </c:pt>
                <c:pt idx="3">
                  <c:v>4.1641259185332853E-2</c:v>
                </c:pt>
                <c:pt idx="4">
                  <c:v>4.2024269625691613E-2</c:v>
                </c:pt>
                <c:pt idx="5">
                  <c:v>4.2396943750057592E-2</c:v>
                </c:pt>
                <c:pt idx="6">
                  <c:v>4.2759560504947766E-2</c:v>
                </c:pt>
                <c:pt idx="7">
                  <c:v>4.3112391308939818E-2</c:v>
                </c:pt>
                <c:pt idx="8">
                  <c:v>4.3455700255828872E-2</c:v>
                </c:pt>
                <c:pt idx="9">
                  <c:v>4.3789744312301711E-2</c:v>
                </c:pt>
                <c:pt idx="10">
                  <c:v>4.4114773510276234E-2</c:v>
                </c:pt>
                <c:pt idx="11">
                  <c:v>4.4431031134050322E-2</c:v>
                </c:pt>
                <c:pt idx="12">
                  <c:v>4.4738753902400133E-2</c:v>
                </c:pt>
                <c:pt idx="13">
                  <c:v>4.5038172145763999E-2</c:v>
                </c:pt>
                <c:pt idx="14">
                  <c:v>4.5329509978644766E-2</c:v>
                </c:pt>
                <c:pt idx="15">
                  <c:v>4.5612985467359438E-2</c:v>
                </c:pt>
                <c:pt idx="16">
                  <c:v>4.5888810793261792E-2</c:v>
                </c:pt>
                <c:pt idx="17">
                  <c:v>4.615719241156007E-2</c:v>
                </c:pt>
                <c:pt idx="18">
                  <c:v>4.6418331205848679E-2</c:v>
                </c:pt>
                <c:pt idx="19">
                  <c:v>4.6672422638469518E-2</c:v>
                </c:pt>
                <c:pt idx="20">
                  <c:v>4.7843649177245859E-2</c:v>
                </c:pt>
                <c:pt idx="21">
                  <c:v>4.886513899275851E-2</c:v>
                </c:pt>
                <c:pt idx="22">
                  <c:v>4.9756035338299164E-2</c:v>
                </c:pt>
                <c:pt idx="23">
                  <c:v>5.053303407724339E-2</c:v>
                </c:pt>
                <c:pt idx="24">
                  <c:v>5.1210696572260725E-2</c:v>
                </c:pt>
                <c:pt idx="25">
                  <c:v>5.1801722572865465E-2</c:v>
                </c:pt>
                <c:pt idx="26">
                  <c:v>5.2317188215363346E-2</c:v>
                </c:pt>
                <c:pt idx="27">
                  <c:v>5.2766753595437796E-2</c:v>
                </c:pt>
                <c:pt idx="28">
                  <c:v>5.3158843803394418E-2</c:v>
                </c:pt>
                <c:pt idx="29">
                  <c:v>5.3500806814758876E-2</c:v>
                </c:pt>
                <c:pt idx="30">
                  <c:v>5.3799051195180601E-2</c:v>
                </c:pt>
                <c:pt idx="31">
                  <c:v>5.4059166200304175E-2</c:v>
                </c:pt>
                <c:pt idx="32">
                  <c:v>5.4286026521342796E-2</c:v>
                </c:pt>
                <c:pt idx="33">
                  <c:v>5.4483883639340647E-2</c:v>
                </c:pt>
                <c:pt idx="34">
                  <c:v>5.4656445500150808E-2</c:v>
                </c:pt>
                <c:pt idx="35">
                  <c:v>5.4806946003279476E-2</c:v>
                </c:pt>
                <c:pt idx="36">
                  <c:v>5.5052684184481837E-2</c:v>
                </c:pt>
                <c:pt idx="37">
                  <c:v>5.5239605536026443E-2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5C-4257-8618-6882939A0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High Flow (</a:t>
            </a:r>
            <a:r>
              <a:rPr lang="el-GR" sz="1200" baseline="0"/>
              <a:t>τ* = 0.089)</a:t>
            </a:r>
            <a:endParaRPr lang="en-US" sz="1200"/>
          </a:p>
        </c:rich>
      </c:tx>
      <c:layout>
        <c:manualLayout>
          <c:xMode val="edge"/>
          <c:yMode val="edge"/>
          <c:x val="0.31548891171212295"/>
          <c:y val="5.2131017869341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'1. k as func of τ  '!$AD$30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'1. k as func of τ  '!$BJ$31:$BJ$36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'1. k as func of τ  '!$BL$31:$BL$36</c:f>
              <c:numCache>
                <c:formatCode>0.0000</c:formatCode>
                <c:ptCount val="6"/>
                <c:pt idx="0">
                  <c:v>0.04</c:v>
                </c:pt>
                <c:pt idx="1">
                  <c:v>4.5627026419976936E-2</c:v>
                </c:pt>
                <c:pt idx="2">
                  <c:v>4.860357919174027E-2</c:v>
                </c:pt>
                <c:pt idx="3">
                  <c:v>5.5833646253055487E-2</c:v>
                </c:pt>
                <c:pt idx="4">
                  <c:v>5.145407230191433E-2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480-45EC-A84F-7A20472166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'1. k as func of τ  '!$K$30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'1. k as func of τ  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'!$BG$4:$BG$41</c:f>
              <c:numCache>
                <c:formatCode>0.0000</c:formatCode>
                <c:ptCount val="38"/>
                <c:pt idx="0">
                  <c:v>4.0370228269619876E-2</c:v>
                </c:pt>
                <c:pt idx="1">
                  <c:v>4.0731799722645824E-2</c:v>
                </c:pt>
                <c:pt idx="2">
                  <c:v>4.1084916776018131E-2</c:v>
                </c:pt>
                <c:pt idx="3">
                  <c:v>4.1429777113688074E-2</c:v>
                </c:pt>
                <c:pt idx="4">
                  <c:v>4.176657379728646E-2</c:v>
                </c:pt>
                <c:pt idx="5">
                  <c:v>4.2095495374204456E-2</c:v>
                </c:pt>
                <c:pt idx="6">
                  <c:v>4.2416725983147247E-2</c:v>
                </c:pt>
                <c:pt idx="7">
                  <c:v>4.273044545721958E-2</c:v>
                </c:pt>
                <c:pt idx="8">
                  <c:v>4.3036829424600936E-2</c:v>
                </c:pt>
                <c:pt idx="9">
                  <c:v>4.3336049406866667E-2</c:v>
                </c:pt>
                <c:pt idx="10">
                  <c:v>4.3628272915010181E-2</c:v>
                </c:pt>
                <c:pt idx="11">
                  <c:v>4.3913663543219843E-2</c:v>
                </c:pt>
                <c:pt idx="12">
                  <c:v>4.41923810604632E-2</c:v>
                </c:pt>
                <c:pt idx="13">
                  <c:v>4.4464581499929746E-2</c:v>
                </c:pt>
                <c:pt idx="14">
                  <c:v>4.4730417246382256E-2</c:v>
                </c:pt>
                <c:pt idx="15">
                  <c:v>4.4990037121465709E-2</c:v>
                </c:pt>
                <c:pt idx="16">
                  <c:v>4.524358646702141E-2</c:v>
                </c:pt>
                <c:pt idx="17">
                  <c:v>4.5491207226453105E-2</c:v>
                </c:pt>
                <c:pt idx="18">
                  <c:v>4.5733038024190494E-2</c:v>
                </c:pt>
                <c:pt idx="19">
                  <c:v>4.5969214243294754E-2</c:v>
                </c:pt>
                <c:pt idx="20">
                  <c:v>4.706979757293648E-2</c:v>
                </c:pt>
                <c:pt idx="21">
                  <c:v>4.8047587855367106E-2</c:v>
                </c:pt>
                <c:pt idx="22">
                  <c:v>4.891628521854359E-2</c:v>
                </c:pt>
                <c:pt idx="23">
                  <c:v>4.9688061255132823E-2</c:v>
                </c:pt>
                <c:pt idx="24">
                  <c:v>5.0373729562534338E-2</c:v>
                </c:pt>
                <c:pt idx="25">
                  <c:v>5.0982897255603163E-2</c:v>
                </c:pt>
                <c:pt idx="26">
                  <c:v>5.1524099574965274E-2</c:v>
                </c:pt>
                <c:pt idx="27">
                  <c:v>5.200491947696529E-2</c:v>
                </c:pt>
                <c:pt idx="28">
                  <c:v>5.2432093880858822E-2</c:v>
                </c:pt>
                <c:pt idx="29">
                  <c:v>5.2811608061912388E-2</c:v>
                </c:pt>
                <c:pt idx="30">
                  <c:v>5.3148779512982428E-2</c:v>
                </c:pt>
                <c:pt idx="31">
                  <c:v>5.3448332449584357E-2</c:v>
                </c:pt>
                <c:pt idx="32">
                  <c:v>5.3714464002365805E-2</c:v>
                </c:pt>
                <c:pt idx="33">
                  <c:v>5.3950903024427482E-2</c:v>
                </c:pt>
                <c:pt idx="34">
                  <c:v>5.4160962337459748E-2</c:v>
                </c:pt>
                <c:pt idx="35">
                  <c:v>5.4347585148731899E-2</c:v>
                </c:pt>
                <c:pt idx="36">
                  <c:v>5.4660688851215437E-2</c:v>
                </c:pt>
                <c:pt idx="37">
                  <c:v>5.4907823578248589E-2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480-45EC-A84F-7A20472166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Low Flow (</a:t>
            </a:r>
            <a:r>
              <a:rPr lang="el-GR" sz="1200" baseline="0"/>
              <a:t>τ* = 0.086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'1. k as func of τ  '!$AD$39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'1. k as func of τ  '!$BJ$40:$BJ$44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'1. k as func of τ  '!$BL$40:$BL$44</c:f>
              <c:numCache>
                <c:formatCode>0.0000</c:formatCode>
                <c:ptCount val="5"/>
                <c:pt idx="0">
                  <c:v>0.04</c:v>
                </c:pt>
                <c:pt idx="2">
                  <c:v>4.880607945181633E-2</c:v>
                </c:pt>
                <c:pt idx="3">
                  <c:v>4.7893651283411866E-2</c:v>
                </c:pt>
                <c:pt idx="4">
                  <c:v>5.1755608653064417E-2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3D-49CC-A975-E436BE560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'1. k as func of τ  '!$K$39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'1. k as func of τ  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'!$BF$4:$BF$41</c:f>
              <c:numCache>
                <c:formatCode>0.0000</c:formatCode>
                <c:ptCount val="38"/>
                <c:pt idx="0">
                  <c:v>4.0333788841276863E-2</c:v>
                </c:pt>
                <c:pt idx="1">
                  <c:v>4.0660541085374521E-2</c:v>
                </c:pt>
                <c:pt idx="2">
                  <c:v>4.0980405070684595E-2</c:v>
                </c:pt>
                <c:pt idx="3">
                  <c:v>4.1293526008479492E-2</c:v>
                </c:pt>
                <c:pt idx="4">
                  <c:v>4.1600046048835118E-2</c:v>
                </c:pt>
                <c:pt idx="5">
                  <c:v>4.1900104345163933E-2</c:v>
                </c:pt>
                <c:pt idx="6">
                  <c:v>4.2193837117387528E-2</c:v>
                </c:pt>
                <c:pt idx="7">
                  <c:v>4.2481377713777552E-2</c:v>
                </c:pt>
                <c:pt idx="8">
                  <c:v>4.2762856671492877E-2</c:v>
                </c:pt>
                <c:pt idx="9">
                  <c:v>4.3038401775840618E-2</c:v>
                </c:pt>
                <c:pt idx="10">
                  <c:v>4.3308138118287931E-2</c:v>
                </c:pt>
                <c:pt idx="11">
                  <c:v>4.3572188153250743E-2</c:v>
                </c:pt>
                <c:pt idx="12">
                  <c:v>4.3830671753685407E-2</c:v>
                </c:pt>
                <c:pt idx="13">
                  <c:v>4.4083706265508449E-2</c:v>
                </c:pt>
                <c:pt idx="14">
                  <c:v>4.433140656086898E-2</c:v>
                </c:pt>
                <c:pt idx="15">
                  <c:v>4.4573885090298221E-2</c:v>
                </c:pt>
                <c:pt idx="16">
                  <c:v>4.4811251933759545E-2</c:v>
                </c:pt>
                <c:pt idx="17">
                  <c:v>4.5043614850622395E-2</c:v>
                </c:pt>
                <c:pt idx="18">
                  <c:v>4.5271079328582681E-2</c:v>
                </c:pt>
                <c:pt idx="19">
                  <c:v>4.5493748631551909E-2</c:v>
                </c:pt>
                <c:pt idx="20">
                  <c:v>4.6538631918081934E-2</c:v>
                </c:pt>
                <c:pt idx="21">
                  <c:v>4.747792604672714E-2</c:v>
                </c:pt>
                <c:pt idx="22">
                  <c:v>4.8322301175969876E-2</c:v>
                </c:pt>
                <c:pt idx="23">
                  <c:v>4.9081349206975919E-2</c:v>
                </c:pt>
                <c:pt idx="24">
                  <c:v>4.9763692745316356E-2</c:v>
                </c:pt>
                <c:pt idx="25">
                  <c:v>5.0377083051721408E-2</c:v>
                </c:pt>
                <c:pt idx="26">
                  <c:v>5.0928488094563566E-2</c:v>
                </c:pt>
                <c:pt idx="27">
                  <c:v>5.1424171704325394E-2</c:v>
                </c:pt>
                <c:pt idx="28">
                  <c:v>5.1869764729227857E-2</c:v>
                </c:pt>
                <c:pt idx="29">
                  <c:v>5.2270329000330421E-2</c:v>
                </c:pt>
                <c:pt idx="30">
                  <c:v>5.2630414832731058E-2</c:v>
                </c:pt>
                <c:pt idx="31">
                  <c:v>5.2954112716066398E-2</c:v>
                </c:pt>
                <c:pt idx="32">
                  <c:v>5.3245099781503616E-2</c:v>
                </c:pt>
                <c:pt idx="33">
                  <c:v>5.3506681573078217E-2</c:v>
                </c:pt>
                <c:pt idx="34">
                  <c:v>5.3741829597890124E-2</c:v>
                </c:pt>
                <c:pt idx="35">
                  <c:v>5.395321508171947E-2</c:v>
                </c:pt>
                <c:pt idx="36">
                  <c:v>5.4314060923480706E-2</c:v>
                </c:pt>
                <c:pt idx="37">
                  <c:v>5.4605662156079315E-2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23D-49CC-A975-E436BE560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u="none" strike="noStrike" baseline="0">
                <a:effectLst/>
              </a:rPr>
              <a:t>Low Flow (</a:t>
            </a:r>
            <a:r>
              <a:rPr lang="el-GR" sz="1200" b="0" i="0" u="none" strike="noStrike" baseline="0">
                <a:effectLst/>
              </a:rPr>
              <a:t>τ* = 0.075)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'1. k as func of τ  '!$AD$48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'1. k as func of τ  '!$BJ$49:$BJ$54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'1. k as func of τ  '!$BL$49:$BL$54</c:f>
              <c:numCache>
                <c:formatCode>0.0000</c:formatCode>
                <c:ptCount val="6"/>
                <c:pt idx="0">
                  <c:v>0.04</c:v>
                </c:pt>
                <c:pt idx="1">
                  <c:v>4.0883015185033886E-2</c:v>
                </c:pt>
                <c:pt idx="2">
                  <c:v>4.7200498607488234E-2</c:v>
                </c:pt>
                <c:pt idx="3">
                  <c:v>4.7978393655140922E-2</c:v>
                </c:pt>
                <c:pt idx="4">
                  <c:v>5.2297832157699113E-2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C7-4DD2-8AC1-67E83F458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'1. k as func of τ  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'1. k as func of τ  '!$BD$4:$BD$41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'!$BE$4:$BE$41</c:f>
              <c:numCache>
                <c:formatCode>0.0000</c:formatCode>
                <c:ptCount val="38"/>
                <c:pt idx="0">
                  <c:v>4.0318368432015847E-2</c:v>
                </c:pt>
                <c:pt idx="1">
                  <c:v>4.063033540369311E-2</c:v>
                </c:pt>
                <c:pt idx="2">
                  <c:v>4.093602962972314E-2</c:v>
                </c:pt>
                <c:pt idx="3">
                  <c:v>4.1235577236720375E-2</c:v>
                </c:pt>
                <c:pt idx="4">
                  <c:v>4.1529101815261024E-2</c:v>
                </c:pt>
                <c:pt idx="5">
                  <c:v>4.1816724470875352E-2</c:v>
                </c:pt>
                <c:pt idx="6">
                  <c:v>4.2098563874014748E-2</c:v>
                </c:pt>
                <c:pt idx="7">
                  <c:v>4.237473630901404E-2</c:v>
                </c:pt>
                <c:pt idx="8">
                  <c:v>4.2645355722069331E-2</c:v>
                </c:pt>
                <c:pt idx="9">
                  <c:v>4.2910533768251165E-2</c:v>
                </c:pt>
                <c:pt idx="10">
                  <c:v>4.3170379857572355E-2</c:v>
                </c:pt>
                <c:pt idx="11">
                  <c:v>4.342500120012957E-2</c:v>
                </c:pt>
                <c:pt idx="12">
                  <c:v>4.3674502850337207E-2</c:v>
                </c:pt>
                <c:pt idx="13">
                  <c:v>4.3918987750271879E-2</c:v>
                </c:pt>
                <c:pt idx="14">
                  <c:v>4.4158556772145377E-2</c:v>
                </c:pt>
                <c:pt idx="15">
                  <c:v>4.439330875992361E-2</c:v>
                </c:pt>
                <c:pt idx="16">
                  <c:v>4.4623340570108687E-2</c:v>
                </c:pt>
                <c:pt idx="17">
                  <c:v>4.4848747111701052E-2</c:v>
                </c:pt>
                <c:pt idx="18">
                  <c:v>4.5069621385358041E-2</c:v>
                </c:pt>
                <c:pt idx="19">
                  <c:v>4.5286054521765082E-2</c:v>
                </c:pt>
                <c:pt idx="20">
                  <c:v>4.6304666495607556E-2</c:v>
                </c:pt>
                <c:pt idx="21">
                  <c:v>4.7224908113477938E-2</c:v>
                </c:pt>
                <c:pt idx="22">
                  <c:v>4.8056279290145137E-2</c:v>
                </c:pt>
                <c:pt idx="23">
                  <c:v>4.8807362505651632E-2</c:v>
                </c:pt>
                <c:pt idx="24">
                  <c:v>4.9485911404684974E-2</c:v>
                </c:pt>
                <c:pt idx="25">
                  <c:v>5.009893083964715E-2</c:v>
                </c:pt>
                <c:pt idx="26">
                  <c:v>5.0652749183729195E-2</c:v>
                </c:pt>
                <c:pt idx="27">
                  <c:v>5.1153083660499421E-2</c:v>
                </c:pt>
                <c:pt idx="28">
                  <c:v>5.1605099364421009E-2</c:v>
                </c:pt>
                <c:pt idx="29">
                  <c:v>5.2013462581584562E-2</c:v>
                </c:pt>
                <c:pt idx="30">
                  <c:v>5.2382388961100548E-2</c:v>
                </c:pt>
                <c:pt idx="31">
                  <c:v>5.2715687034438699E-2</c:v>
                </c:pt>
                <c:pt idx="32">
                  <c:v>5.3016797531976606E-2</c:v>
                </c:pt>
                <c:pt idx="33">
                  <c:v>5.3288828902633645E-2</c:v>
                </c:pt>
                <c:pt idx="34">
                  <c:v>5.3534589403269238E-2</c:v>
                </c:pt>
                <c:pt idx="35">
                  <c:v>5.3756616089113508E-2</c:v>
                </c:pt>
                <c:pt idx="36">
                  <c:v>5.4138414844322073E-2</c:v>
                </c:pt>
                <c:pt idx="37">
                  <c:v>5.4450031523213482E-2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C7-4DD2-8AC1-67E83F458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Testing</a:t>
            </a:r>
            <a:r>
              <a:rPr lang="en-US" baseline="0"/>
              <a:t> Equation with flume data (k=2</a:t>
            </a:r>
            <a:r>
              <a:rPr lang="el-GR" baseline="0"/>
              <a:t>τ</a:t>
            </a:r>
            <a:r>
              <a:rPr lang="en-US" baseline="0"/>
              <a:t>) </a:t>
            </a:r>
            <a:endParaRPr lang="en-US"/>
          </a:p>
        </c:rich>
      </c:tx>
      <c:layout>
        <c:manualLayout>
          <c:xMode val="edge"/>
          <c:yMode val="edge"/>
          <c:x val="0.1763585791018838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0"/>
          <c:tx>
            <c:strRef>
              <c:f>'1. k as func of τ  '!$BY$2</c:f>
              <c:strCache>
                <c:ptCount val="1"/>
                <c:pt idx="0">
                  <c:v>0.055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'1. k as func of τ  '!$BU$4:$BU$41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'!$BY$4:$BY$41</c:f>
              <c:numCache>
                <c:formatCode>0.0000</c:formatCode>
                <c:ptCount val="38"/>
                <c:pt idx="0">
                  <c:v>4.1641259185332853E-2</c:v>
                </c:pt>
                <c:pt idx="1">
                  <c:v>4.3112391308939818E-2</c:v>
                </c:pt>
                <c:pt idx="2">
                  <c:v>4.4431031134050322E-2</c:v>
                </c:pt>
                <c:pt idx="3">
                  <c:v>4.5612985467359438E-2</c:v>
                </c:pt>
                <c:pt idx="4">
                  <c:v>4.6672422638469518E-2</c:v>
                </c:pt>
                <c:pt idx="5">
                  <c:v>4.7622042338570245E-2</c:v>
                </c:pt>
                <c:pt idx="6">
                  <c:v>4.8473227854247868E-2</c:v>
                </c:pt>
                <c:pt idx="7">
                  <c:v>4.9236182521281979E-2</c:v>
                </c:pt>
                <c:pt idx="8">
                  <c:v>4.9920052034129289E-2</c:v>
                </c:pt>
                <c:pt idx="9">
                  <c:v>5.053303407724339E-2</c:v>
                </c:pt>
                <c:pt idx="10">
                  <c:v>5.108247659240378E-2</c:v>
                </c:pt>
                <c:pt idx="11">
                  <c:v>5.1574965860004707E-2</c:v>
                </c:pt>
                <c:pt idx="12">
                  <c:v>5.2016405450152341E-2</c:v>
                </c:pt>
                <c:pt idx="13">
                  <c:v>5.2412086989973475E-2</c:v>
                </c:pt>
                <c:pt idx="14">
                  <c:v>5.2766753595437796E-2</c:v>
                </c:pt>
                <c:pt idx="15">
                  <c:v>5.3084656728064221E-2</c:v>
                </c:pt>
                <c:pt idx="16">
                  <c:v>5.33696071580642E-2</c:v>
                </c:pt>
                <c:pt idx="17">
                  <c:v>5.3625020644827756E-2</c:v>
                </c:pt>
                <c:pt idx="18">
                  <c:v>5.3853958882333575E-2</c:v>
                </c:pt>
                <c:pt idx="19">
                  <c:v>5.4059166200304175E-2</c:v>
                </c:pt>
                <c:pt idx="20">
                  <c:v>5.4806946003279476E-2</c:v>
                </c:pt>
                <c:pt idx="21">
                  <c:v>5.5239605536026443E-2</c:v>
                </c:pt>
                <c:pt idx="22">
                  <c:v>5.5489938950397902E-2</c:v>
                </c:pt>
                <c:pt idx="23">
                  <c:v>5.5634779901787557E-2</c:v>
                </c:pt>
                <c:pt idx="24">
                  <c:v>5.5718583740967928E-2</c:v>
                </c:pt>
                <c:pt idx="25">
                  <c:v>5.5767071985445671E-2</c:v>
                </c:pt>
                <c:pt idx="26">
                  <c:v>5.5795126903639483E-2</c:v>
                </c:pt>
                <c:pt idx="27">
                  <c:v>5.5811359259406106E-2</c:v>
                </c:pt>
                <c:pt idx="28">
                  <c:v>5.5820751173220072E-2</c:v>
                </c:pt>
                <c:pt idx="29">
                  <c:v>5.582618526093705E-2</c:v>
                </c:pt>
                <c:pt idx="30">
                  <c:v>5.5829329381496574E-2</c:v>
                </c:pt>
                <c:pt idx="31">
                  <c:v>5.5831148545008043E-2</c:v>
                </c:pt>
                <c:pt idx="32">
                  <c:v>5.5832201098756792E-2</c:v>
                </c:pt>
                <c:pt idx="33">
                  <c:v>5.5832810098105687E-2</c:v>
                </c:pt>
                <c:pt idx="34">
                  <c:v>5.5833162460355489E-2</c:v>
                </c:pt>
                <c:pt idx="35">
                  <c:v>5.5833366334391336E-2</c:v>
                </c:pt>
                <c:pt idx="36">
                  <c:v>5.5833552544995085E-2</c:v>
                </c:pt>
                <c:pt idx="37">
                  <c:v>5.583361488251215E-2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3A1-416E-8DFD-D81FC87FA4EB}"/>
            </c:ext>
          </c:extLst>
        </c:ser>
        <c:ser>
          <c:idx val="2"/>
          <c:order val="1"/>
          <c:tx>
            <c:strRef>
              <c:f>'1. k as func of τ  '!$BG$2</c:f>
              <c:strCache>
                <c:ptCount val="1"/>
                <c:pt idx="0">
                  <c:v>0.047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'1. k as func of τ  '!$BU$4:$BU$41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'!$BW$4:$BW$41</c:f>
              <c:numCache>
                <c:formatCode>0.0000</c:formatCode>
                <c:ptCount val="38"/>
                <c:pt idx="0">
                  <c:v>4.1293526008479492E-2</c:v>
                </c:pt>
                <c:pt idx="1">
                  <c:v>4.2481377713777552E-2</c:v>
                </c:pt>
                <c:pt idx="2">
                  <c:v>4.3572188153250743E-2</c:v>
                </c:pt>
                <c:pt idx="3">
                  <c:v>4.4573885090298221E-2</c:v>
                </c:pt>
                <c:pt idx="4">
                  <c:v>4.5493748631551909E-2</c:v>
                </c:pt>
                <c:pt idx="5">
                  <c:v>4.633846413704383E-2</c:v>
                </c:pt>
                <c:pt idx="6">
                  <c:v>4.7114170807889801E-2</c:v>
                </c:pt>
                <c:pt idx="7">
                  <c:v>4.7826506304613658E-2</c:v>
                </c:pt>
                <c:pt idx="8">
                  <c:v>4.848064772038805E-2</c:v>
                </c:pt>
                <c:pt idx="9">
                  <c:v>4.9081349206975919E-2</c:v>
                </c:pt>
                <c:pt idx="10">
                  <c:v>4.9632976526829527E-2</c:v>
                </c:pt>
                <c:pt idx="11">
                  <c:v>5.013953878246391E-2</c:v>
                </c:pt>
                <c:pt idx="12">
                  <c:v>5.0604717553706588E-2</c:v>
                </c:pt>
                <c:pt idx="13">
                  <c:v>5.103189365458654E-2</c:v>
                </c:pt>
                <c:pt idx="14">
                  <c:v>5.1424171704325394E-2</c:v>
                </c:pt>
                <c:pt idx="15">
                  <c:v>5.1784402691007321E-2</c:v>
                </c:pt>
                <c:pt idx="16">
                  <c:v>5.2115204691915142E-2</c:v>
                </c:pt>
                <c:pt idx="17">
                  <c:v>5.2418981901123533E-2</c:v>
                </c:pt>
                <c:pt idx="18">
                  <c:v>5.269794210263741E-2</c:v>
                </c:pt>
                <c:pt idx="19">
                  <c:v>5.2954112716066398E-2</c:v>
                </c:pt>
                <c:pt idx="20">
                  <c:v>5.395321508171947E-2</c:v>
                </c:pt>
                <c:pt idx="21">
                  <c:v>5.4605662156079315E-2</c:v>
                </c:pt>
                <c:pt idx="22">
                  <c:v>5.503173179566271E-2</c:v>
                </c:pt>
                <c:pt idx="23">
                  <c:v>5.5309969441149652E-2</c:v>
                </c:pt>
                <c:pt idx="24">
                  <c:v>5.549166787768179E-2</c:v>
                </c:pt>
                <c:pt idx="25">
                  <c:v>5.5610322999926111E-2</c:v>
                </c:pt>
                <c:pt idx="26">
                  <c:v>5.5687808741154948E-2</c:v>
                </c:pt>
                <c:pt idx="27">
                  <c:v>5.5738409507309988E-2</c:v>
                </c:pt>
                <c:pt idx="28">
                  <c:v>5.5771453490562541E-2</c:v>
                </c:pt>
                <c:pt idx="29">
                  <c:v>5.5793032310650942E-2</c:v>
                </c:pt>
                <c:pt idx="30">
                  <c:v>5.5807123997868205E-2</c:v>
                </c:pt>
                <c:pt idx="31">
                  <c:v>5.5816326338302753E-2</c:v>
                </c:pt>
                <c:pt idx="32">
                  <c:v>5.5822335772671233E-2</c:v>
                </c:pt>
                <c:pt idx="33">
                  <c:v>5.5826260133184286E-2</c:v>
                </c:pt>
                <c:pt idx="34">
                  <c:v>5.5828822871121363E-2</c:v>
                </c:pt>
                <c:pt idx="35">
                  <c:v>5.5830496424229506E-2</c:v>
                </c:pt>
                <c:pt idx="36">
                  <c:v>5.5832303000873558E-2</c:v>
                </c:pt>
                <c:pt idx="37">
                  <c:v>5.5833073419887733E-2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3A1-416E-8DFD-D81FC87FA4EB}"/>
            </c:ext>
          </c:extLst>
        </c:ser>
        <c:ser>
          <c:idx val="1"/>
          <c:order val="2"/>
          <c:tx>
            <c:strRef>
              <c:f>'1. k as func of τ  '!$BW$2</c:f>
              <c:strCache>
                <c:ptCount val="1"/>
                <c:pt idx="0">
                  <c:v>0.043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'1. k as func of τ  '!$BU$4:$BU$41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'!$BW$4:$BW$41</c:f>
              <c:numCache>
                <c:formatCode>0.0000</c:formatCode>
                <c:ptCount val="38"/>
                <c:pt idx="0">
                  <c:v>4.1293526008479492E-2</c:v>
                </c:pt>
                <c:pt idx="1">
                  <c:v>4.2481377713777552E-2</c:v>
                </c:pt>
                <c:pt idx="2">
                  <c:v>4.3572188153250743E-2</c:v>
                </c:pt>
                <c:pt idx="3">
                  <c:v>4.4573885090298221E-2</c:v>
                </c:pt>
                <c:pt idx="4">
                  <c:v>4.5493748631551909E-2</c:v>
                </c:pt>
                <c:pt idx="5">
                  <c:v>4.633846413704383E-2</c:v>
                </c:pt>
                <c:pt idx="6">
                  <c:v>4.7114170807889801E-2</c:v>
                </c:pt>
                <c:pt idx="7">
                  <c:v>4.7826506304613658E-2</c:v>
                </c:pt>
                <c:pt idx="8">
                  <c:v>4.848064772038805E-2</c:v>
                </c:pt>
                <c:pt idx="9">
                  <c:v>4.9081349206975919E-2</c:v>
                </c:pt>
                <c:pt idx="10">
                  <c:v>4.9632976526829527E-2</c:v>
                </c:pt>
                <c:pt idx="11">
                  <c:v>5.013953878246391E-2</c:v>
                </c:pt>
                <c:pt idx="12">
                  <c:v>5.0604717553706588E-2</c:v>
                </c:pt>
                <c:pt idx="13">
                  <c:v>5.103189365458654E-2</c:v>
                </c:pt>
                <c:pt idx="14">
                  <c:v>5.1424171704325394E-2</c:v>
                </c:pt>
                <c:pt idx="15">
                  <c:v>5.1784402691007321E-2</c:v>
                </c:pt>
                <c:pt idx="16">
                  <c:v>5.2115204691915142E-2</c:v>
                </c:pt>
                <c:pt idx="17">
                  <c:v>5.2418981901123533E-2</c:v>
                </c:pt>
                <c:pt idx="18">
                  <c:v>5.269794210263741E-2</c:v>
                </c:pt>
                <c:pt idx="19">
                  <c:v>5.2954112716066398E-2</c:v>
                </c:pt>
                <c:pt idx="20">
                  <c:v>5.395321508171947E-2</c:v>
                </c:pt>
                <c:pt idx="21">
                  <c:v>5.4605662156079315E-2</c:v>
                </c:pt>
                <c:pt idx="22">
                  <c:v>5.503173179566271E-2</c:v>
                </c:pt>
                <c:pt idx="23">
                  <c:v>5.5309969441149652E-2</c:v>
                </c:pt>
                <c:pt idx="24">
                  <c:v>5.549166787768179E-2</c:v>
                </c:pt>
                <c:pt idx="25">
                  <c:v>5.5610322999926111E-2</c:v>
                </c:pt>
                <c:pt idx="26">
                  <c:v>5.5687808741154948E-2</c:v>
                </c:pt>
                <c:pt idx="27">
                  <c:v>5.5738409507309988E-2</c:v>
                </c:pt>
                <c:pt idx="28">
                  <c:v>5.5771453490562541E-2</c:v>
                </c:pt>
                <c:pt idx="29">
                  <c:v>5.5793032310650942E-2</c:v>
                </c:pt>
                <c:pt idx="30">
                  <c:v>5.5807123997868205E-2</c:v>
                </c:pt>
                <c:pt idx="31">
                  <c:v>5.5816326338302753E-2</c:v>
                </c:pt>
                <c:pt idx="32">
                  <c:v>5.5822335772671233E-2</c:v>
                </c:pt>
                <c:pt idx="33">
                  <c:v>5.5826260133184286E-2</c:v>
                </c:pt>
                <c:pt idx="34">
                  <c:v>5.5828822871121363E-2</c:v>
                </c:pt>
                <c:pt idx="35">
                  <c:v>5.5830496424229506E-2</c:v>
                </c:pt>
                <c:pt idx="36">
                  <c:v>5.5832303000873558E-2</c:v>
                </c:pt>
                <c:pt idx="37">
                  <c:v>5.5833073419887733E-2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3A1-416E-8DFD-D81FC87FA4EB}"/>
            </c:ext>
          </c:extLst>
        </c:ser>
        <c:ser>
          <c:idx val="0"/>
          <c:order val="3"/>
          <c:tx>
            <c:strRef>
              <c:f>'1. k as func of τ  '!$BV$2</c:f>
              <c:strCache>
                <c:ptCount val="1"/>
                <c:pt idx="0">
                  <c:v>0.041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'1. k as func of τ  '!$BU$4:$BU$41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'!$BV$4:$BV$41</c:f>
              <c:numCache>
                <c:formatCode>0.0000</c:formatCode>
                <c:ptCount val="38"/>
                <c:pt idx="0">
                  <c:v>4.1235577236720375E-2</c:v>
                </c:pt>
                <c:pt idx="1">
                  <c:v>4.237473630901404E-2</c:v>
                </c:pt>
                <c:pt idx="2">
                  <c:v>4.342500120012957E-2</c:v>
                </c:pt>
                <c:pt idx="3">
                  <c:v>4.439330875992361E-2</c:v>
                </c:pt>
                <c:pt idx="4">
                  <c:v>4.5286054521765082E-2</c:v>
                </c:pt>
                <c:pt idx="5">
                  <c:v>4.6109134944121215E-2</c:v>
                </c:pt>
                <c:pt idx="6">
                  <c:v>4.6867986355824967E-2</c:v>
                </c:pt>
                <c:pt idx="7">
                  <c:v>4.7567620862251886E-2</c:v>
                </c:pt>
                <c:pt idx="8">
                  <c:v>4.8212659449561407E-2</c:v>
                </c:pt>
                <c:pt idx="9">
                  <c:v>4.8807362505651632E-2</c:v>
                </c:pt>
                <c:pt idx="10">
                  <c:v>4.9355657959413914E-2</c:v>
                </c:pt>
                <c:pt idx="11">
                  <c:v>4.9861167224143133E-2</c:v>
                </c:pt>
                <c:pt idx="12">
                  <c:v>5.0327229116456151E-2</c:v>
                </c:pt>
                <c:pt idx="13">
                  <c:v>5.0756921908699515E-2</c:v>
                </c:pt>
                <c:pt idx="14">
                  <c:v>5.1153083660499421E-2</c:v>
                </c:pt>
                <c:pt idx="15">
                  <c:v>5.1518330963740845E-2</c:v>
                </c:pt>
                <c:pt idx="16">
                  <c:v>5.18550762247839E-2</c:v>
                </c:pt>
                <c:pt idx="17">
                  <c:v>5.2165543598063864E-2</c:v>
                </c:pt>
                <c:pt idx="18">
                  <c:v>5.2451783676314104E-2</c:v>
                </c:pt>
                <c:pt idx="19">
                  <c:v>5.2715687034438699E-2</c:v>
                </c:pt>
                <c:pt idx="20">
                  <c:v>5.3756616089113508E-2</c:v>
                </c:pt>
                <c:pt idx="21">
                  <c:v>5.4450031523213482E-2</c:v>
                </c:pt>
                <c:pt idx="22">
                  <c:v>5.4911950577243802E-2</c:v>
                </c:pt>
                <c:pt idx="23">
                  <c:v>5.5219658196635359E-2</c:v>
                </c:pt>
                <c:pt idx="24">
                  <c:v>5.5424637788201198E-2</c:v>
                </c:pt>
                <c:pt idx="25">
                  <c:v>5.5561185050311844E-2</c:v>
                </c:pt>
                <c:pt idx="26">
                  <c:v>5.5652146080370897E-2</c:v>
                </c:pt>
                <c:pt idx="27">
                  <c:v>5.5712739818110577E-2</c:v>
                </c:pt>
                <c:pt idx="28">
                  <c:v>5.5753104368191878E-2</c:v>
                </c:pt>
                <c:pt idx="29">
                  <c:v>5.5779993234336189E-2</c:v>
                </c:pt>
                <c:pt idx="30">
                  <c:v>5.5797905266579094E-2</c:v>
                </c:pt>
                <c:pt idx="31">
                  <c:v>5.5809837376224365E-2</c:v>
                </c:pt>
                <c:pt idx="32">
                  <c:v>5.5817785957304168E-2</c:v>
                </c:pt>
                <c:pt idx="33">
                  <c:v>5.5823080908746991E-2</c:v>
                </c:pt>
                <c:pt idx="34">
                  <c:v>5.5826608143419491E-2</c:v>
                </c:pt>
                <c:pt idx="35">
                  <c:v>5.5828957812641064E-2</c:v>
                </c:pt>
                <c:pt idx="36">
                  <c:v>5.5831565727056734E-2</c:v>
                </c:pt>
                <c:pt idx="37">
                  <c:v>5.5832723006080186E-2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3A1-416E-8DFD-D81FC87FA4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Measured vs Predicted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(k=2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'1. k as func of τ  '!$CA$47</c:f>
              <c:strCache>
                <c:ptCount val="1"/>
                <c:pt idx="0">
                  <c:v>Low Flow (τ* = 0.075)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'1. k as func of τ  '!$CB$49:$CB$54</c:f>
              <c:numCache>
                <c:formatCode>0.0000</c:formatCode>
                <c:ptCount val="6"/>
                <c:pt idx="0">
                  <c:v>0.04</c:v>
                </c:pt>
                <c:pt idx="1">
                  <c:v>4.8807362505651632E-2</c:v>
                </c:pt>
                <c:pt idx="2">
                  <c:v>5.4450031523213482E-2</c:v>
                </c:pt>
                <c:pt idx="3">
                  <c:v>5.5712739818110577E-2</c:v>
                </c:pt>
                <c:pt idx="4">
                  <c:v>5.5832723006080186E-2</c:v>
                </c:pt>
              </c:numCache>
            </c:numRef>
          </c:xVal>
          <c:yVal>
            <c:numRef>
              <c:f>'1. k as func of τ  '!$CC$49:$CC$54</c:f>
              <c:numCache>
                <c:formatCode>0.0000</c:formatCode>
                <c:ptCount val="6"/>
                <c:pt idx="0">
                  <c:v>0.04</c:v>
                </c:pt>
                <c:pt idx="1">
                  <c:v>4.0883015185033886E-2</c:v>
                </c:pt>
                <c:pt idx="2">
                  <c:v>4.7200498607488234E-2</c:v>
                </c:pt>
                <c:pt idx="3">
                  <c:v>4.7978393655140922E-2</c:v>
                </c:pt>
                <c:pt idx="4">
                  <c:v>5.2297832157699113E-2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BC-40D0-85F7-D056335FC5CB}"/>
            </c:ext>
          </c:extLst>
        </c:ser>
        <c:ser>
          <c:idx val="1"/>
          <c:order val="1"/>
          <c:tx>
            <c:strRef>
              <c:f>'1. k as func of τ  '!$CA$38</c:f>
              <c:strCache>
                <c:ptCount val="1"/>
                <c:pt idx="0">
                  <c:v>Med Low Flow (τ* = 0.086)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'1. k as func of τ  '!$CB$40:$CB$45</c:f>
              <c:numCache>
                <c:formatCode>0.0000</c:formatCode>
                <c:ptCount val="6"/>
                <c:pt idx="0">
                  <c:v>0.04</c:v>
                </c:pt>
                <c:pt idx="2">
                  <c:v>5.4605662156079315E-2</c:v>
                </c:pt>
                <c:pt idx="3">
                  <c:v>5.5738409507309988E-2</c:v>
                </c:pt>
                <c:pt idx="4">
                  <c:v>5.5833073419887733E-2</c:v>
                </c:pt>
              </c:numCache>
            </c:numRef>
          </c:xVal>
          <c:yVal>
            <c:numRef>
              <c:f>'1. k as func of τ  '!$CC$40:$CC$45</c:f>
              <c:numCache>
                <c:formatCode>0.0000</c:formatCode>
                <c:ptCount val="6"/>
                <c:pt idx="0">
                  <c:v>0.04</c:v>
                </c:pt>
                <c:pt idx="2">
                  <c:v>4.880607945181633E-2</c:v>
                </c:pt>
                <c:pt idx="3">
                  <c:v>4.7893651283411866E-2</c:v>
                </c:pt>
                <c:pt idx="4">
                  <c:v>5.1755608653064417E-2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BC-40D0-85F7-D056335FC5CB}"/>
            </c:ext>
          </c:extLst>
        </c:ser>
        <c:ser>
          <c:idx val="2"/>
          <c:order val="2"/>
          <c:tx>
            <c:strRef>
              <c:f>'1. k as func of τ  '!$CA$29</c:f>
              <c:strCache>
                <c:ptCount val="1"/>
                <c:pt idx="0">
                  <c:v>Med High Flow (τ* = 0.089)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'1. k as func of τ  '!$CB$31:$CB$36</c:f>
              <c:numCache>
                <c:formatCode>0.0000</c:formatCode>
                <c:ptCount val="6"/>
                <c:pt idx="0">
                  <c:v>0.04</c:v>
                </c:pt>
                <c:pt idx="1">
                  <c:v>4.9688061255132823E-2</c:v>
                </c:pt>
                <c:pt idx="2">
                  <c:v>5.4907823578248589E-2</c:v>
                </c:pt>
                <c:pt idx="3">
                  <c:v>5.5779511683450508E-2</c:v>
                </c:pt>
                <c:pt idx="4">
                  <c:v>5.5833461169242225E-2</c:v>
                </c:pt>
              </c:numCache>
            </c:numRef>
          </c:xVal>
          <c:yVal>
            <c:numRef>
              <c:f>'1. k as func of τ  '!$CC$31:$CC$36</c:f>
              <c:numCache>
                <c:formatCode>0.0000</c:formatCode>
                <c:ptCount val="6"/>
                <c:pt idx="0">
                  <c:v>0.04</c:v>
                </c:pt>
                <c:pt idx="1">
                  <c:v>4.5627026419976936E-2</c:v>
                </c:pt>
                <c:pt idx="2">
                  <c:v>4.860357919174027E-2</c:v>
                </c:pt>
                <c:pt idx="3">
                  <c:v>5.5833646253055487E-2</c:v>
                </c:pt>
                <c:pt idx="4">
                  <c:v>5.145407230191433E-2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BC-40D0-85F7-D056335FC5CB}"/>
            </c:ext>
          </c:extLst>
        </c:ser>
        <c:ser>
          <c:idx val="3"/>
          <c:order val="3"/>
          <c:tx>
            <c:strRef>
              <c:f>'1. k as func of τ  '!$CA$20</c:f>
              <c:strCache>
                <c:ptCount val="1"/>
                <c:pt idx="0">
                  <c:v>High Flow: (τ* = 0.055)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'1. k as func of τ  '!$CB$22:$CB$27</c:f>
              <c:numCache>
                <c:formatCode>0.0000</c:formatCode>
                <c:ptCount val="6"/>
                <c:pt idx="0">
                  <c:v>0.04</c:v>
                </c:pt>
                <c:pt idx="1">
                  <c:v>5.053303407724339E-2</c:v>
                </c:pt>
                <c:pt idx="2">
                  <c:v>5.5239605536026443E-2</c:v>
                </c:pt>
                <c:pt idx="3">
                  <c:v>5.5811359259406106E-2</c:v>
                </c:pt>
                <c:pt idx="4">
                  <c:v>5.583361488251215E-2</c:v>
                </c:pt>
              </c:numCache>
            </c:numRef>
          </c:xVal>
          <c:yVal>
            <c:numRef>
              <c:f>'1. k as func of τ  '!$CC$22:$CC$27</c:f>
              <c:numCache>
                <c:formatCode>0.0000</c:formatCode>
                <c:ptCount val="6"/>
                <c:pt idx="0">
                  <c:v>0.04</c:v>
                </c:pt>
                <c:pt idx="1">
                  <c:v>4.8895149728212996E-2</c:v>
                </c:pt>
                <c:pt idx="2">
                  <c:v>5.1779269484048984E-2</c:v>
                </c:pt>
                <c:pt idx="3">
                  <c:v>4.8961843624642065E-2</c:v>
                </c:pt>
                <c:pt idx="4">
                  <c:v>4.8965324622054551E-2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BC-40D0-85F7-D056335FC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50000"/>
                    <a:lumOff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0BC-40D0-85F7-D056335FC5CB}"/>
              </c:ext>
            </c:extLst>
          </c:dPt>
          <c:xVal>
            <c:numRef>
              <c:f>'1. k as func of τ  '!$J$56:$J$57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xVal>
          <c:yVal>
            <c:numRef>
              <c:f>'1. k as func of τ  '!$K$56:$K$57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70BC-40D0-85F7-D056335FC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valAx>
        <c:axId val="1496099248"/>
        <c:scaling>
          <c:orientation val="minMax"/>
          <c:max val="6.0000000000000012E-2"/>
          <c:min val="3.0000000000000006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1088"/>
        <c:crosses val="autoZero"/>
        <c:crossBetween val="midCat"/>
      </c:valAx>
      <c:valAx>
        <c:axId val="1496091088"/>
        <c:scaling>
          <c:orientation val="minMax"/>
          <c:max val="6.0000000000000012E-2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9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High Flow: (</a:t>
            </a:r>
            <a:r>
              <a:rPr lang="el-GR" sz="1200" baseline="0"/>
              <a:t>τ* = 0.108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'1. k as func of τ  '!$AD$21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'1. k as func of τ  '!$CA$22:$CA$27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'1. k as func of τ  '!$CC$22:$CC$27</c:f>
              <c:numCache>
                <c:formatCode>0.0000</c:formatCode>
                <c:ptCount val="6"/>
                <c:pt idx="0">
                  <c:v>0.04</c:v>
                </c:pt>
                <c:pt idx="1">
                  <c:v>4.8895149728212996E-2</c:v>
                </c:pt>
                <c:pt idx="2">
                  <c:v>5.1779269484048984E-2</c:v>
                </c:pt>
                <c:pt idx="3">
                  <c:v>4.8961843624642065E-2</c:v>
                </c:pt>
                <c:pt idx="4">
                  <c:v>4.8965324622054551E-2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95-4C21-8646-A7E98AB98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'1. k as func of τ  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'1. k as func of τ  '!$V$4:$V$41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'!$BY$4:$BY$41</c:f>
              <c:numCache>
                <c:formatCode>0.0000</c:formatCode>
                <c:ptCount val="38"/>
                <c:pt idx="0">
                  <c:v>4.1641259185332853E-2</c:v>
                </c:pt>
                <c:pt idx="1">
                  <c:v>4.3112391308939818E-2</c:v>
                </c:pt>
                <c:pt idx="2">
                  <c:v>4.4431031134050322E-2</c:v>
                </c:pt>
                <c:pt idx="3">
                  <c:v>4.5612985467359438E-2</c:v>
                </c:pt>
                <c:pt idx="4">
                  <c:v>4.6672422638469518E-2</c:v>
                </c:pt>
                <c:pt idx="5">
                  <c:v>4.7622042338570245E-2</c:v>
                </c:pt>
                <c:pt idx="6">
                  <c:v>4.8473227854247868E-2</c:v>
                </c:pt>
                <c:pt idx="7">
                  <c:v>4.9236182521281979E-2</c:v>
                </c:pt>
                <c:pt idx="8">
                  <c:v>4.9920052034129289E-2</c:v>
                </c:pt>
                <c:pt idx="9">
                  <c:v>5.053303407724339E-2</c:v>
                </c:pt>
                <c:pt idx="10">
                  <c:v>5.108247659240378E-2</c:v>
                </c:pt>
                <c:pt idx="11">
                  <c:v>5.1574965860004707E-2</c:v>
                </c:pt>
                <c:pt idx="12">
                  <c:v>5.2016405450152341E-2</c:v>
                </c:pt>
                <c:pt idx="13">
                  <c:v>5.2412086989973475E-2</c:v>
                </c:pt>
                <c:pt idx="14">
                  <c:v>5.2766753595437796E-2</c:v>
                </c:pt>
                <c:pt idx="15">
                  <c:v>5.3084656728064221E-2</c:v>
                </c:pt>
                <c:pt idx="16">
                  <c:v>5.33696071580642E-2</c:v>
                </c:pt>
                <c:pt idx="17">
                  <c:v>5.3625020644827756E-2</c:v>
                </c:pt>
                <c:pt idx="18">
                  <c:v>5.3853958882333575E-2</c:v>
                </c:pt>
                <c:pt idx="19">
                  <c:v>5.4059166200304175E-2</c:v>
                </c:pt>
                <c:pt idx="20">
                  <c:v>5.4806946003279476E-2</c:v>
                </c:pt>
                <c:pt idx="21">
                  <c:v>5.5239605536026443E-2</c:v>
                </c:pt>
                <c:pt idx="22">
                  <c:v>5.5489938950397902E-2</c:v>
                </c:pt>
                <c:pt idx="23">
                  <c:v>5.5634779901787557E-2</c:v>
                </c:pt>
                <c:pt idx="24">
                  <c:v>5.5718583740967928E-2</c:v>
                </c:pt>
                <c:pt idx="25">
                  <c:v>5.5767071985445671E-2</c:v>
                </c:pt>
                <c:pt idx="26">
                  <c:v>5.5795126903639483E-2</c:v>
                </c:pt>
                <c:pt idx="27">
                  <c:v>5.5811359259406106E-2</c:v>
                </c:pt>
                <c:pt idx="28">
                  <c:v>5.5820751173220072E-2</c:v>
                </c:pt>
                <c:pt idx="29">
                  <c:v>5.582618526093705E-2</c:v>
                </c:pt>
                <c:pt idx="30">
                  <c:v>5.5829329381496574E-2</c:v>
                </c:pt>
                <c:pt idx="31">
                  <c:v>5.5831148545008043E-2</c:v>
                </c:pt>
                <c:pt idx="32">
                  <c:v>5.5832201098756792E-2</c:v>
                </c:pt>
                <c:pt idx="33">
                  <c:v>5.5832810098105687E-2</c:v>
                </c:pt>
                <c:pt idx="34">
                  <c:v>5.5833162460355489E-2</c:v>
                </c:pt>
                <c:pt idx="35">
                  <c:v>5.5833366334391336E-2</c:v>
                </c:pt>
                <c:pt idx="36">
                  <c:v>5.5833552544995085E-2</c:v>
                </c:pt>
                <c:pt idx="37">
                  <c:v>5.583361488251215E-2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F95-4C21-8646-A7E98AB98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ax val="6.0000000000000012E-2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High Flow (</a:t>
            </a:r>
            <a:r>
              <a:rPr lang="el-GR" sz="1200" baseline="0"/>
              <a:t>τ* = 0.089)</a:t>
            </a:r>
            <a:endParaRPr lang="en-US" sz="1200"/>
          </a:p>
        </c:rich>
      </c:tx>
      <c:layout>
        <c:manualLayout>
          <c:xMode val="edge"/>
          <c:yMode val="edge"/>
          <c:x val="0.31548891171212295"/>
          <c:y val="5.2131017869341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'1. k as func of τ  '!$AD$30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'1. k as func of τ  '!$CA$31:$CA$36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'1. k as func of τ  '!$CC$31:$CC$36</c:f>
              <c:numCache>
                <c:formatCode>0.0000</c:formatCode>
                <c:ptCount val="6"/>
                <c:pt idx="0">
                  <c:v>0.04</c:v>
                </c:pt>
                <c:pt idx="1">
                  <c:v>4.5627026419976936E-2</c:v>
                </c:pt>
                <c:pt idx="2">
                  <c:v>4.860357919174027E-2</c:v>
                </c:pt>
                <c:pt idx="3">
                  <c:v>5.5833646253055487E-2</c:v>
                </c:pt>
                <c:pt idx="4">
                  <c:v>5.145407230191433E-2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C2-43D3-9174-B0B9728BE0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'1. k as func of τ  '!$K$30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'1. k as func of τ  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'!$BX$4:$BX$41</c:f>
              <c:numCache>
                <c:formatCode>0.0000</c:formatCode>
                <c:ptCount val="38"/>
                <c:pt idx="0">
                  <c:v>4.1429777113688074E-2</c:v>
                </c:pt>
                <c:pt idx="1">
                  <c:v>4.273044545721958E-2</c:v>
                </c:pt>
                <c:pt idx="2">
                  <c:v>4.3913663543219843E-2</c:v>
                </c:pt>
                <c:pt idx="3">
                  <c:v>4.4990037121465709E-2</c:v>
                </c:pt>
                <c:pt idx="4">
                  <c:v>4.5969214243294754E-2</c:v>
                </c:pt>
                <c:pt idx="5">
                  <c:v>4.6859971741705218E-2</c:v>
                </c:pt>
                <c:pt idx="6">
                  <c:v>4.7670293902309174E-2</c:v>
                </c:pt>
                <c:pt idx="7">
                  <c:v>4.840744403030426E-2</c:v>
                </c:pt>
                <c:pt idx="8">
                  <c:v>4.9078029554953093E-2</c:v>
                </c:pt>
                <c:pt idx="9">
                  <c:v>4.9688061255132823E-2</c:v>
                </c:pt>
                <c:pt idx="10">
                  <c:v>5.0243007136821886E-2</c:v>
                </c:pt>
                <c:pt idx="11">
                  <c:v>5.0747841445453579E-2</c:v>
                </c:pt>
                <c:pt idx="12">
                  <c:v>5.1207089252457656E-2</c:v>
                </c:pt>
                <c:pt idx="13">
                  <c:v>5.1624867015640383E-2</c:v>
                </c:pt>
                <c:pt idx="14">
                  <c:v>5.200491947696529E-2</c:v>
                </c:pt>
                <c:pt idx="15">
                  <c:v>5.2350653228466916E-2</c:v>
                </c:pt>
                <c:pt idx="16">
                  <c:v>5.2665167247164975E-2</c:v>
                </c:pt>
                <c:pt idx="17">
                  <c:v>5.2951280672678014E-2</c:v>
                </c:pt>
                <c:pt idx="18">
                  <c:v>5.3211558076520525E-2</c:v>
                </c:pt>
                <c:pt idx="19">
                  <c:v>5.3448332449584357E-2</c:v>
                </c:pt>
                <c:pt idx="20">
                  <c:v>5.4347585148731899E-2</c:v>
                </c:pt>
                <c:pt idx="21">
                  <c:v>5.4907823578248589E-2</c:v>
                </c:pt>
                <c:pt idx="22">
                  <c:v>5.5256854610576736E-2</c:v>
                </c:pt>
                <c:pt idx="23">
                  <c:v>5.5474302495458788E-2</c:v>
                </c:pt>
                <c:pt idx="24">
                  <c:v>5.5609773494482234E-2</c:v>
                </c:pt>
                <c:pt idx="25">
                  <c:v>5.5694172529158356E-2</c:v>
                </c:pt>
                <c:pt idx="26">
                  <c:v>5.5746753502987523E-2</c:v>
                </c:pt>
                <c:pt idx="27">
                  <c:v>5.5779511683450508E-2</c:v>
                </c:pt>
                <c:pt idx="28">
                  <c:v>5.5799920175517097E-2</c:v>
                </c:pt>
                <c:pt idx="29">
                  <c:v>5.5812634756807797E-2</c:v>
                </c:pt>
                <c:pt idx="30">
                  <c:v>5.5820555997479093E-2</c:v>
                </c:pt>
                <c:pt idx="31">
                  <c:v>5.5825490965634009E-2</c:v>
                </c:pt>
                <c:pt idx="32">
                  <c:v>5.5828565472734674E-2</c:v>
                </c:pt>
                <c:pt idx="33">
                  <c:v>5.5830480904327205E-2</c:v>
                </c:pt>
                <c:pt idx="34">
                  <c:v>5.5831674226725081E-2</c:v>
                </c:pt>
                <c:pt idx="35">
                  <c:v>5.58324176718843E-2</c:v>
                </c:pt>
                <c:pt idx="36">
                  <c:v>5.5833169398268302E-2</c:v>
                </c:pt>
                <c:pt idx="37">
                  <c:v>5.5833461169242225E-2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C2-43D3-9174-B0B9728BE0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Low Flow (</a:t>
            </a:r>
            <a:r>
              <a:rPr lang="el-GR" sz="1200" baseline="0"/>
              <a:t>τ* = 0.086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'1. k as func of τ  '!$AD$39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'1. k as func of τ  '!$CA$40:$CA$45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'1. k as func of τ  '!$CC$40:$CC$45</c:f>
              <c:numCache>
                <c:formatCode>0.0000</c:formatCode>
                <c:ptCount val="6"/>
                <c:pt idx="0">
                  <c:v>0.04</c:v>
                </c:pt>
                <c:pt idx="2">
                  <c:v>4.880607945181633E-2</c:v>
                </c:pt>
                <c:pt idx="3">
                  <c:v>4.7893651283411866E-2</c:v>
                </c:pt>
                <c:pt idx="4">
                  <c:v>5.1755608653064417E-2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73-4075-B43C-8185A03A9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'1. k as func of τ  '!$K$39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'1. k as func of τ  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'!$BW$4:$BW$41</c:f>
              <c:numCache>
                <c:formatCode>0.0000</c:formatCode>
                <c:ptCount val="38"/>
                <c:pt idx="0">
                  <c:v>4.1293526008479492E-2</c:v>
                </c:pt>
                <c:pt idx="1">
                  <c:v>4.2481377713777552E-2</c:v>
                </c:pt>
                <c:pt idx="2">
                  <c:v>4.3572188153250743E-2</c:v>
                </c:pt>
                <c:pt idx="3">
                  <c:v>4.4573885090298221E-2</c:v>
                </c:pt>
                <c:pt idx="4">
                  <c:v>4.5493748631551909E-2</c:v>
                </c:pt>
                <c:pt idx="5">
                  <c:v>4.633846413704383E-2</c:v>
                </c:pt>
                <c:pt idx="6">
                  <c:v>4.7114170807889801E-2</c:v>
                </c:pt>
                <c:pt idx="7">
                  <c:v>4.7826506304613658E-2</c:v>
                </c:pt>
                <c:pt idx="8">
                  <c:v>4.848064772038805E-2</c:v>
                </c:pt>
                <c:pt idx="9">
                  <c:v>4.9081349206975919E-2</c:v>
                </c:pt>
                <c:pt idx="10">
                  <c:v>4.9632976526829527E-2</c:v>
                </c:pt>
                <c:pt idx="11">
                  <c:v>5.013953878246391E-2</c:v>
                </c:pt>
                <c:pt idx="12">
                  <c:v>5.0604717553706588E-2</c:v>
                </c:pt>
                <c:pt idx="13">
                  <c:v>5.103189365458654E-2</c:v>
                </c:pt>
                <c:pt idx="14">
                  <c:v>5.1424171704325394E-2</c:v>
                </c:pt>
                <c:pt idx="15">
                  <c:v>5.1784402691007321E-2</c:v>
                </c:pt>
                <c:pt idx="16">
                  <c:v>5.2115204691915142E-2</c:v>
                </c:pt>
                <c:pt idx="17">
                  <c:v>5.2418981901123533E-2</c:v>
                </c:pt>
                <c:pt idx="18">
                  <c:v>5.269794210263741E-2</c:v>
                </c:pt>
                <c:pt idx="19">
                  <c:v>5.2954112716066398E-2</c:v>
                </c:pt>
                <c:pt idx="20">
                  <c:v>5.395321508171947E-2</c:v>
                </c:pt>
                <c:pt idx="21">
                  <c:v>5.4605662156079315E-2</c:v>
                </c:pt>
                <c:pt idx="22">
                  <c:v>5.503173179566271E-2</c:v>
                </c:pt>
                <c:pt idx="23">
                  <c:v>5.5309969441149652E-2</c:v>
                </c:pt>
                <c:pt idx="24">
                  <c:v>5.549166787768179E-2</c:v>
                </c:pt>
                <c:pt idx="25">
                  <c:v>5.5610322999926111E-2</c:v>
                </c:pt>
                <c:pt idx="26">
                  <c:v>5.5687808741154948E-2</c:v>
                </c:pt>
                <c:pt idx="27">
                  <c:v>5.5738409507309988E-2</c:v>
                </c:pt>
                <c:pt idx="28">
                  <c:v>5.5771453490562541E-2</c:v>
                </c:pt>
                <c:pt idx="29">
                  <c:v>5.5793032310650942E-2</c:v>
                </c:pt>
                <c:pt idx="30">
                  <c:v>5.5807123997868205E-2</c:v>
                </c:pt>
                <c:pt idx="31">
                  <c:v>5.5816326338302753E-2</c:v>
                </c:pt>
                <c:pt idx="32">
                  <c:v>5.5822335772671233E-2</c:v>
                </c:pt>
                <c:pt idx="33">
                  <c:v>5.5826260133184286E-2</c:v>
                </c:pt>
                <c:pt idx="34">
                  <c:v>5.5828822871121363E-2</c:v>
                </c:pt>
                <c:pt idx="35">
                  <c:v>5.5830496424229506E-2</c:v>
                </c:pt>
                <c:pt idx="36">
                  <c:v>5.5832303000873558E-2</c:v>
                </c:pt>
                <c:pt idx="37">
                  <c:v>5.5833073419887733E-2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273-4075-B43C-8185A03A9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u="none" strike="noStrike" baseline="0">
                <a:effectLst/>
              </a:rPr>
              <a:t>Low Flow (</a:t>
            </a:r>
            <a:r>
              <a:rPr lang="el-GR" sz="1200" b="0" i="0" u="none" strike="noStrike" baseline="0">
                <a:effectLst/>
              </a:rPr>
              <a:t>τ* = 0.075)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'1. k as func of τ  '!$AD$48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'1. k as func of τ  '!$CA$49:$CA$54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'1. k as func of τ  '!$CC$49:$CC$54</c:f>
              <c:numCache>
                <c:formatCode>0.0000</c:formatCode>
                <c:ptCount val="6"/>
                <c:pt idx="0">
                  <c:v>0.04</c:v>
                </c:pt>
                <c:pt idx="1">
                  <c:v>4.0883015185033886E-2</c:v>
                </c:pt>
                <c:pt idx="2">
                  <c:v>4.7200498607488234E-2</c:v>
                </c:pt>
                <c:pt idx="3">
                  <c:v>4.7978393655140922E-2</c:v>
                </c:pt>
                <c:pt idx="4">
                  <c:v>5.2297832157699113E-2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EE5-4108-AD29-C16A724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'1. k as func of τ  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'1. k as func of τ  '!$BU$4:$BU$41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'1. k as func of τ  '!$BV$4:$BV$41</c:f>
              <c:numCache>
                <c:formatCode>0.0000</c:formatCode>
                <c:ptCount val="38"/>
                <c:pt idx="0">
                  <c:v>4.1235577236720375E-2</c:v>
                </c:pt>
                <c:pt idx="1">
                  <c:v>4.237473630901404E-2</c:v>
                </c:pt>
                <c:pt idx="2">
                  <c:v>4.342500120012957E-2</c:v>
                </c:pt>
                <c:pt idx="3">
                  <c:v>4.439330875992361E-2</c:v>
                </c:pt>
                <c:pt idx="4">
                  <c:v>4.5286054521765082E-2</c:v>
                </c:pt>
                <c:pt idx="5">
                  <c:v>4.6109134944121215E-2</c:v>
                </c:pt>
                <c:pt idx="6">
                  <c:v>4.6867986355824967E-2</c:v>
                </c:pt>
                <c:pt idx="7">
                  <c:v>4.7567620862251886E-2</c:v>
                </c:pt>
                <c:pt idx="8">
                  <c:v>4.8212659449561407E-2</c:v>
                </c:pt>
                <c:pt idx="9">
                  <c:v>4.8807362505651632E-2</c:v>
                </c:pt>
                <c:pt idx="10">
                  <c:v>4.9355657959413914E-2</c:v>
                </c:pt>
                <c:pt idx="11">
                  <c:v>4.9861167224143133E-2</c:v>
                </c:pt>
                <c:pt idx="12">
                  <c:v>5.0327229116456151E-2</c:v>
                </c:pt>
                <c:pt idx="13">
                  <c:v>5.0756921908699515E-2</c:v>
                </c:pt>
                <c:pt idx="14">
                  <c:v>5.1153083660499421E-2</c:v>
                </c:pt>
                <c:pt idx="15">
                  <c:v>5.1518330963740845E-2</c:v>
                </c:pt>
                <c:pt idx="16">
                  <c:v>5.18550762247839E-2</c:v>
                </c:pt>
                <c:pt idx="17">
                  <c:v>5.2165543598063864E-2</c:v>
                </c:pt>
                <c:pt idx="18">
                  <c:v>5.2451783676314104E-2</c:v>
                </c:pt>
                <c:pt idx="19">
                  <c:v>5.2715687034438699E-2</c:v>
                </c:pt>
                <c:pt idx="20">
                  <c:v>5.3756616089113508E-2</c:v>
                </c:pt>
                <c:pt idx="21">
                  <c:v>5.4450031523213482E-2</c:v>
                </c:pt>
                <c:pt idx="22">
                  <c:v>5.4911950577243802E-2</c:v>
                </c:pt>
                <c:pt idx="23">
                  <c:v>5.5219658196635359E-2</c:v>
                </c:pt>
                <c:pt idx="24">
                  <c:v>5.5424637788201198E-2</c:v>
                </c:pt>
                <c:pt idx="25">
                  <c:v>5.5561185050311844E-2</c:v>
                </c:pt>
                <c:pt idx="26">
                  <c:v>5.5652146080370897E-2</c:v>
                </c:pt>
                <c:pt idx="27">
                  <c:v>5.5712739818110577E-2</c:v>
                </c:pt>
                <c:pt idx="28">
                  <c:v>5.5753104368191878E-2</c:v>
                </c:pt>
                <c:pt idx="29">
                  <c:v>5.5779993234336189E-2</c:v>
                </c:pt>
                <c:pt idx="30">
                  <c:v>5.5797905266579094E-2</c:v>
                </c:pt>
                <c:pt idx="31">
                  <c:v>5.5809837376224365E-2</c:v>
                </c:pt>
                <c:pt idx="32">
                  <c:v>5.5817785957304168E-2</c:v>
                </c:pt>
                <c:pt idx="33">
                  <c:v>5.5823080908746991E-2</c:v>
                </c:pt>
                <c:pt idx="34">
                  <c:v>5.5826608143419491E-2</c:v>
                </c:pt>
                <c:pt idx="35">
                  <c:v>5.5828957812641064E-2</c:v>
                </c:pt>
                <c:pt idx="36">
                  <c:v>5.5831565727056734E-2</c:v>
                </c:pt>
                <c:pt idx="37">
                  <c:v>5.5832723006080186E-2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EE5-4108-AD29-C16A724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Testing</a:t>
            </a:r>
            <a:r>
              <a:rPr lang="en-US" sz="1200" baseline="0"/>
              <a:t> Equation with flume data (k=</a:t>
            </a:r>
            <a:r>
              <a:rPr lang="el-GR" sz="1200" baseline="0"/>
              <a:t>τ*τ</a:t>
            </a:r>
            <a:r>
              <a:rPr lang="en-US" sz="1200" baseline="0"/>
              <a:t>min) </a:t>
            </a:r>
            <a:endParaRPr lang="en-US" sz="1200"/>
          </a:p>
        </c:rich>
      </c:tx>
      <c:layout>
        <c:manualLayout>
          <c:xMode val="edge"/>
          <c:yMode val="edge"/>
          <c:x val="0.1763585791018838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0"/>
          <c:tx>
            <c:strRef>
              <c:f>'2. k as func of τ &amp; τmin'!$H$2</c:f>
              <c:strCache>
                <c:ptCount val="1"/>
                <c:pt idx="0">
                  <c:v>0.002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'2. k as func of τ &amp; τmin'!$D$4:$D$41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τmin'!$H$4:$H$41</c:f>
              <c:numCache>
                <c:formatCode>0.0000</c:formatCode>
                <c:ptCount val="38"/>
                <c:pt idx="0">
                  <c:v>4.0034616094255335E-2</c:v>
                </c:pt>
                <c:pt idx="1">
                  <c:v>4.006915650954436E-2</c:v>
                </c:pt>
                <c:pt idx="2">
                  <c:v>4.0103621411319172E-2</c:v>
                </c:pt>
                <c:pt idx="3">
                  <c:v>4.0138010964670179E-2</c:v>
                </c:pt>
                <c:pt idx="4">
                  <c:v>4.0172325334326839E-2</c:v>
                </c:pt>
                <c:pt idx="5">
                  <c:v>4.0206564684658483E-2</c:v>
                </c:pt>
                <c:pt idx="6">
                  <c:v>4.0240729179675111E-2</c:v>
                </c:pt>
                <c:pt idx="7">
                  <c:v>4.0274818983028121E-2</c:v>
                </c:pt>
                <c:pt idx="8">
                  <c:v>4.0308834258011156E-2</c:v>
                </c:pt>
                <c:pt idx="9">
                  <c:v>4.0342775167560858E-2</c:v>
                </c:pt>
                <c:pt idx="10">
                  <c:v>4.0376641874257636E-2</c:v>
                </c:pt>
                <c:pt idx="11">
                  <c:v>4.0410434540326473E-2</c:v>
                </c:pt>
                <c:pt idx="12">
                  <c:v>4.0444153327637691E-2</c:v>
                </c:pt>
                <c:pt idx="13">
                  <c:v>4.0477798397707723E-2</c:v>
                </c:pt>
                <c:pt idx="14">
                  <c:v>4.0511369911699881E-2</c:v>
                </c:pt>
                <c:pt idx="15">
                  <c:v>4.0544868030425146E-2</c:v>
                </c:pt>
                <c:pt idx="16">
                  <c:v>4.0578292914342923E-2</c:v>
                </c:pt>
                <c:pt idx="17">
                  <c:v>4.0611644723561824E-2</c:v>
                </c:pt>
                <c:pt idx="18">
                  <c:v>4.0644923617840403E-2</c:v>
                </c:pt>
                <c:pt idx="19">
                  <c:v>4.0678129756587966E-2</c:v>
                </c:pt>
                <c:pt idx="20">
                  <c:v>4.0843074672333168E-2</c:v>
                </c:pt>
                <c:pt idx="21">
                  <c:v>4.1006224411699099E-2</c:v>
                </c:pt>
                <c:pt idx="22">
                  <c:v>4.1167598512470337E-2</c:v>
                </c:pt>
                <c:pt idx="23">
                  <c:v>4.1327216299792191E-2</c:v>
                </c:pt>
                <c:pt idx="24">
                  <c:v>4.1485096888484924E-2</c:v>
                </c:pt>
                <c:pt idx="25">
                  <c:v>4.1641259185332853E-2</c:v>
                </c:pt>
                <c:pt idx="26">
                  <c:v>4.1795721891348482E-2</c:v>
                </c:pt>
                <c:pt idx="27">
                  <c:v>4.1948503504012032E-2</c:v>
                </c:pt>
                <c:pt idx="28">
                  <c:v>4.2099622319486579E-2</c:v>
                </c:pt>
                <c:pt idx="29">
                  <c:v>4.2249096434809084E-2</c:v>
                </c:pt>
                <c:pt idx="30">
                  <c:v>4.2396943750057592E-2</c:v>
                </c:pt>
                <c:pt idx="31">
                  <c:v>4.2543181970494816E-2</c:v>
                </c:pt>
                <c:pt idx="32">
                  <c:v>4.2687828608688416E-2</c:v>
                </c:pt>
                <c:pt idx="33">
                  <c:v>4.2830900986608189E-2</c:v>
                </c:pt>
                <c:pt idx="34">
                  <c:v>4.2972416237700449E-2</c:v>
                </c:pt>
                <c:pt idx="35">
                  <c:v>4.3112391308939818E-2</c:v>
                </c:pt>
                <c:pt idx="36">
                  <c:v>4.3387787779554543E-2</c:v>
                </c:pt>
                <c:pt idx="37">
                  <c:v>4.3657222321384713E-2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7B-4E65-AED6-EF2524D7C54E}"/>
            </c:ext>
          </c:extLst>
        </c:ser>
        <c:ser>
          <c:idx val="2"/>
          <c:order val="1"/>
          <c:tx>
            <c:strRef>
              <c:f>'2. k as func of τ &amp; τmin'!$G$2</c:f>
              <c:strCache>
                <c:ptCount val="1"/>
                <c:pt idx="0">
                  <c:v>0.002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'2. k as func of τ &amp; τmin'!$D$4:$D$41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τmin'!$G$4:$G$41</c:f>
              <c:numCache>
                <c:formatCode>0.0000</c:formatCode>
                <c:ptCount val="38"/>
                <c:pt idx="0">
                  <c:v>4.0029941682639028E-2</c:v>
                </c:pt>
                <c:pt idx="1">
                  <c:v>4.0059826745069103E-2</c:v>
                </c:pt>
                <c:pt idx="2">
                  <c:v>4.0089655294359969E-2</c:v>
                </c:pt>
                <c:pt idx="3">
                  <c:v>4.0119427437378889E-2</c:v>
                </c:pt>
                <c:pt idx="4">
                  <c:v>4.0149143280791041E-2</c:v>
                </c:pt>
                <c:pt idx="5">
                  <c:v>4.0178802931059895E-2</c:v>
                </c:pt>
                <c:pt idx="6">
                  <c:v>4.0208406494447603E-2</c:v>
                </c:pt>
                <c:pt idx="7">
                  <c:v>4.0237954077015366E-2</c:v>
                </c:pt>
                <c:pt idx="8">
                  <c:v>4.0267445784623823E-2</c:v>
                </c:pt>
                <c:pt idx="9">
                  <c:v>4.0296881722933442E-2</c:v>
                </c:pt>
                <c:pt idx="10">
                  <c:v>4.0326261997404869E-2</c:v>
                </c:pt>
                <c:pt idx="11">
                  <c:v>4.0355586713299314E-2</c:v>
                </c:pt>
                <c:pt idx="12">
                  <c:v>4.0384855975678972E-2</c:v>
                </c:pt>
                <c:pt idx="13">
                  <c:v>4.0414069889407329E-2</c:v>
                </c:pt>
                <c:pt idx="14">
                  <c:v>4.0443228559149585E-2</c:v>
                </c:pt>
                <c:pt idx="15">
                  <c:v>4.0472332089373016E-2</c:v>
                </c:pt>
                <c:pt idx="16">
                  <c:v>4.0501380584347359E-2</c:v>
                </c:pt>
                <c:pt idx="17">
                  <c:v>4.0530374148145157E-2</c:v>
                </c:pt>
                <c:pt idx="18">
                  <c:v>4.0559312884642151E-2</c:v>
                </c:pt>
                <c:pt idx="19">
                  <c:v>4.0588196897517671E-2</c:v>
                </c:pt>
                <c:pt idx="20">
                  <c:v>4.0731799722645824E-2</c:v>
                </c:pt>
                <c:pt idx="21">
                  <c:v>4.0874049896835074E-2</c:v>
                </c:pt>
                <c:pt idx="22">
                  <c:v>4.1014960161231427E-2</c:v>
                </c:pt>
                <c:pt idx="23">
                  <c:v>4.1154543136967078E-2</c:v>
                </c:pt>
                <c:pt idx="24">
                  <c:v>4.1292811326290868E-2</c:v>
                </c:pt>
                <c:pt idx="25">
                  <c:v>4.1429777113688074E-2</c:v>
                </c:pt>
                <c:pt idx="26">
                  <c:v>4.1565452766989697E-2</c:v>
                </c:pt>
                <c:pt idx="27">
                  <c:v>4.1699850438471242E-2</c:v>
                </c:pt>
                <c:pt idx="28">
                  <c:v>4.1832982165941217E-2</c:v>
                </c:pt>
                <c:pt idx="29">
                  <c:v>4.1964859873819309E-2</c:v>
                </c:pt>
                <c:pt idx="30">
                  <c:v>4.2095495374204456E-2</c:v>
                </c:pt>
                <c:pt idx="31">
                  <c:v>4.2224900367932847E-2</c:v>
                </c:pt>
                <c:pt idx="32">
                  <c:v>4.2353086445625909E-2</c:v>
                </c:pt>
                <c:pt idx="33">
                  <c:v>4.2480065088728529E-2</c:v>
                </c:pt>
                <c:pt idx="34">
                  <c:v>4.2605847670537364E-2</c:v>
                </c:pt>
                <c:pt idx="35">
                  <c:v>4.273044545721958E-2</c:v>
                </c:pt>
                <c:pt idx="36">
                  <c:v>4.2976131180270258E-2</c:v>
                </c:pt>
                <c:pt idx="37">
                  <c:v>4.3217210282736285E-2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7B-4E65-AED6-EF2524D7C54E}"/>
            </c:ext>
          </c:extLst>
        </c:ser>
        <c:ser>
          <c:idx val="1"/>
          <c:order val="2"/>
          <c:tx>
            <c:strRef>
              <c:f>'2. k as func of τ &amp; τmin'!$F$2</c:f>
              <c:strCache>
                <c:ptCount val="1"/>
                <c:pt idx="0">
                  <c:v>0.002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'2. k as func of τ &amp; τmin'!$D$4:$D$41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τmin'!$F$4:$F$41</c:f>
              <c:numCache>
                <c:formatCode>0.0000</c:formatCode>
                <c:ptCount val="38"/>
                <c:pt idx="0">
                  <c:v>4.0026965602412812E-2</c:v>
                </c:pt>
                <c:pt idx="1">
                  <c:v>4.0053885280867119E-2</c:v>
                </c:pt>
                <c:pt idx="2">
                  <c:v>4.0080759113574047E-2</c:v>
                </c:pt>
                <c:pt idx="3">
                  <c:v>4.0107587178611501E-2</c:v>
                </c:pt>
                <c:pt idx="4">
                  <c:v>4.0134369553924458E-2</c:v>
                </c:pt>
                <c:pt idx="5">
                  <c:v>4.0161106317325106E-2</c:v>
                </c:pt>
                <c:pt idx="6">
                  <c:v>4.0187797546493133E-2</c:v>
                </c:pt>
                <c:pt idx="7">
                  <c:v>4.0214443318975938E-2</c:v>
                </c:pt>
                <c:pt idx="8">
                  <c:v>4.0241043712188854E-2</c:v>
                </c:pt>
                <c:pt idx="9">
                  <c:v>4.026759880341535E-2</c:v>
                </c:pt>
                <c:pt idx="10">
                  <c:v>4.0294108669807302E-2</c:v>
                </c:pt>
                <c:pt idx="11">
                  <c:v>4.0320573388385184E-2</c:v>
                </c:pt>
                <c:pt idx="12">
                  <c:v>4.0346993036038288E-2</c:v>
                </c:pt>
                <c:pt idx="13">
                  <c:v>4.0373367689524979E-2</c:v>
                </c:pt>
                <c:pt idx="14">
                  <c:v>4.0399697425472884E-2</c:v>
                </c:pt>
                <c:pt idx="15">
                  <c:v>4.0425982320379132E-2</c:v>
                </c:pt>
                <c:pt idx="16">
                  <c:v>4.0452222450610573E-2</c:v>
                </c:pt>
                <c:pt idx="17">
                  <c:v>4.0478417892404001E-2</c:v>
                </c:pt>
                <c:pt idx="18">
                  <c:v>4.0504568721866377E-2</c:v>
                </c:pt>
                <c:pt idx="19">
                  <c:v>4.0530675014975044E-2</c:v>
                </c:pt>
                <c:pt idx="20">
                  <c:v>4.0660541085374521E-2</c:v>
                </c:pt>
                <c:pt idx="21">
                  <c:v>4.0789305069389679E-2</c:v>
                </c:pt>
                <c:pt idx="22">
                  <c:v>4.0916976319689741E-2</c:v>
                </c:pt>
                <c:pt idx="23">
                  <c:v>4.1043564109574077E-2</c:v>
                </c:pt>
                <c:pt idx="24">
                  <c:v>4.116907763364578E-2</c:v>
                </c:pt>
                <c:pt idx="25">
                  <c:v>4.1293526008479492E-2</c:v>
                </c:pt>
                <c:pt idx="26">
                  <c:v>4.1416918273283601E-2</c:v>
                </c:pt>
                <c:pt idx="27">
                  <c:v>4.1539263390556788E-2</c:v>
                </c:pt>
                <c:pt idx="28">
                  <c:v>4.1660570246738991E-2</c:v>
                </c:pt>
                <c:pt idx="29">
                  <c:v>4.178084765285691E-2</c:v>
                </c:pt>
                <c:pt idx="30">
                  <c:v>4.1900104345163933E-2</c:v>
                </c:pt>
                <c:pt idx="31">
                  <c:v>4.201834898577473E-2</c:v>
                </c:pt>
                <c:pt idx="32">
                  <c:v>4.2135590163294413E-2</c:v>
                </c:pt>
                <c:pt idx="33">
                  <c:v>4.2251836393442328E-2</c:v>
                </c:pt>
                <c:pt idx="34">
                  <c:v>4.2367096119670634E-2</c:v>
                </c:pt>
                <c:pt idx="35">
                  <c:v>4.2481377713777552E-2</c:v>
                </c:pt>
                <c:pt idx="36">
                  <c:v>4.2707039638193833E-2</c:v>
                </c:pt>
                <c:pt idx="37">
                  <c:v>4.2928887730976834E-2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7B-4E65-AED6-EF2524D7C54E}"/>
            </c:ext>
          </c:extLst>
        </c:ser>
        <c:ser>
          <c:idx val="0"/>
          <c:order val="3"/>
          <c:tx>
            <c:strRef>
              <c:f>'2. k as func of τ &amp; τmin'!$E$2</c:f>
              <c:strCache>
                <c:ptCount val="1"/>
                <c:pt idx="0">
                  <c:v>0.002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 k as func of τ &amp; τmin'!$D$4:$D$41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τmin'!$E$4:$E$41</c:f>
              <c:numCache>
                <c:formatCode>0.0000</c:formatCode>
                <c:ptCount val="38"/>
                <c:pt idx="0">
                  <c:v>4.0025708125000052E-2</c:v>
                </c:pt>
                <c:pt idx="1">
                  <c:v>4.0051374509286655E-2</c:v>
                </c:pt>
                <c:pt idx="2">
                  <c:v>4.0076999220631668E-2</c:v>
                </c:pt>
                <c:pt idx="3">
                  <c:v>4.0102582326696903E-2</c:v>
                </c:pt>
                <c:pt idx="4">
                  <c:v>4.0128123895034298E-2</c:v>
                </c:pt>
                <c:pt idx="5">
                  <c:v>4.015362399308614E-2</c:v>
                </c:pt>
                <c:pt idx="6">
                  <c:v>4.0179082688185208E-2</c:v>
                </c:pt>
                <c:pt idx="7">
                  <c:v>4.0204500047554922E-2</c:v>
                </c:pt>
                <c:pt idx="8">
                  <c:v>4.0229876138309612E-2</c:v>
                </c:pt>
                <c:pt idx="9">
                  <c:v>4.0255211027454586E-2</c:v>
                </c:pt>
                <c:pt idx="10">
                  <c:v>4.0280504781886398E-2</c:v>
                </c:pt>
                <c:pt idx="11">
                  <c:v>4.0305757468392961E-2</c:v>
                </c:pt>
                <c:pt idx="12">
                  <c:v>4.0330969153653771E-2</c:v>
                </c:pt>
                <c:pt idx="13">
                  <c:v>4.0356139904240043E-2</c:v>
                </c:pt>
                <c:pt idx="14">
                  <c:v>4.0381269786614896E-2</c:v>
                </c:pt>
                <c:pt idx="15">
                  <c:v>4.0406358867133577E-2</c:v>
                </c:pt>
                <c:pt idx="16">
                  <c:v>4.0431407212043545E-2</c:v>
                </c:pt>
                <c:pt idx="17">
                  <c:v>4.0456414887484735E-2</c:v>
                </c:pt>
                <c:pt idx="18">
                  <c:v>4.0481381959489679E-2</c:v>
                </c:pt>
                <c:pt idx="19">
                  <c:v>4.0506308493983692E-2</c:v>
                </c:pt>
                <c:pt idx="20">
                  <c:v>4.063033540369311E-2</c:v>
                </c:pt>
                <c:pt idx="21">
                  <c:v>4.07533587030839E-2</c:v>
                </c:pt>
                <c:pt idx="22">
                  <c:v>4.0875386513245876E-2</c:v>
                </c:pt>
                <c:pt idx="23">
                  <c:v>4.0996426889553975E-2</c:v>
                </c:pt>
                <c:pt idx="24">
                  <c:v>4.1116487822200065E-2</c:v>
                </c:pt>
                <c:pt idx="25">
                  <c:v>4.1235577236720375E-2</c:v>
                </c:pt>
                <c:pt idx="26">
                  <c:v>4.1353702994518682E-2</c:v>
                </c:pt>
                <c:pt idx="27">
                  <c:v>4.147087289338524E-2</c:v>
                </c:pt>
                <c:pt idx="28">
                  <c:v>4.1587094668011582E-2</c:v>
                </c:pt>
                <c:pt idx="29">
                  <c:v>4.170237599050107E-2</c:v>
                </c:pt>
                <c:pt idx="30">
                  <c:v>4.1816724470875352E-2</c:v>
                </c:pt>
                <c:pt idx="31">
                  <c:v>4.1930147657576744E-2</c:v>
                </c:pt>
                <c:pt idx="32">
                  <c:v>4.2042653037966483E-2</c:v>
                </c:pt>
                <c:pt idx="33">
                  <c:v>4.2154248038819044E-2</c:v>
                </c:pt>
                <c:pt idx="34">
                  <c:v>4.2264940026812331E-2</c:v>
                </c:pt>
                <c:pt idx="35">
                  <c:v>4.237473630901404E-2</c:v>
                </c:pt>
                <c:pt idx="36">
                  <c:v>4.2591670689152455E-2</c:v>
                </c:pt>
                <c:pt idx="37">
                  <c:v>4.2805108461803215E-2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C7B-4E65-AED6-EF2524D7C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5000000000000003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Measured vs Predicted (k=</a:t>
            </a:r>
            <a:r>
              <a:rPr lang="el-GR"/>
              <a:t>τ*τ</a:t>
            </a:r>
            <a:r>
              <a:rPr lang="en-US"/>
              <a:t>min)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'2. k as func of τ &amp; τmin'!$J$47</c:f>
              <c:strCache>
                <c:ptCount val="1"/>
                <c:pt idx="0">
                  <c:v>Low Flow (τ* = 0.041)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 k as func of τ &amp; τmin'!$K$49:$K$54</c:f>
              <c:numCache>
                <c:formatCode>0.0000</c:formatCode>
                <c:ptCount val="6"/>
                <c:pt idx="0">
                  <c:v>0.04</c:v>
                </c:pt>
                <c:pt idx="1">
                  <c:v>4.0255211027454586E-2</c:v>
                </c:pt>
                <c:pt idx="2">
                  <c:v>4.07533587030839E-2</c:v>
                </c:pt>
                <c:pt idx="3">
                  <c:v>4.147087289338524E-2</c:v>
                </c:pt>
                <c:pt idx="4">
                  <c:v>4.2805108461803215E-2</c:v>
                </c:pt>
              </c:numCache>
            </c:numRef>
          </c:xVal>
          <c:yVal>
            <c:numRef>
              <c:f>'2. k as func of τ &amp; τmin'!$L$49:$L$54</c:f>
              <c:numCache>
                <c:formatCode>0.0000</c:formatCode>
                <c:ptCount val="6"/>
                <c:pt idx="0">
                  <c:v>0.04</c:v>
                </c:pt>
                <c:pt idx="1">
                  <c:v>4.0883015185033886E-2</c:v>
                </c:pt>
                <c:pt idx="2">
                  <c:v>4.7200498607488234E-2</c:v>
                </c:pt>
                <c:pt idx="3">
                  <c:v>4.7978393655140922E-2</c:v>
                </c:pt>
                <c:pt idx="4">
                  <c:v>5.2297832157699113E-2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C1-4A81-927A-B7B4C1E014A1}"/>
            </c:ext>
          </c:extLst>
        </c:ser>
        <c:ser>
          <c:idx val="1"/>
          <c:order val="1"/>
          <c:tx>
            <c:strRef>
              <c:f>'2. k as func of τ &amp; τmin'!$J$38</c:f>
              <c:strCache>
                <c:ptCount val="1"/>
                <c:pt idx="0">
                  <c:v>Med Low Flow (τ* = 0.043)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'2. k as func of τ &amp; τmin'!$K$40:$K$45</c:f>
              <c:numCache>
                <c:formatCode>0.0000</c:formatCode>
                <c:ptCount val="6"/>
                <c:pt idx="0">
                  <c:v>0.04</c:v>
                </c:pt>
                <c:pt idx="2">
                  <c:v>4.0789305069389679E-2</c:v>
                </c:pt>
                <c:pt idx="3">
                  <c:v>4.1539263390556788E-2</c:v>
                </c:pt>
                <c:pt idx="4">
                  <c:v>4.2928887730976834E-2</c:v>
                </c:pt>
              </c:numCache>
            </c:numRef>
          </c:xVal>
          <c:yVal>
            <c:numRef>
              <c:f>'2. k as func of τ &amp; τmin'!$L$40:$L$45</c:f>
              <c:numCache>
                <c:formatCode>0.0000</c:formatCode>
                <c:ptCount val="6"/>
                <c:pt idx="0">
                  <c:v>0.04</c:v>
                </c:pt>
                <c:pt idx="2">
                  <c:v>4.880607945181633E-2</c:v>
                </c:pt>
                <c:pt idx="3">
                  <c:v>4.7893651283411866E-2</c:v>
                </c:pt>
                <c:pt idx="4">
                  <c:v>5.1755608653064417E-2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C1-4A81-927A-B7B4C1E014A1}"/>
            </c:ext>
          </c:extLst>
        </c:ser>
        <c:ser>
          <c:idx val="2"/>
          <c:order val="2"/>
          <c:tx>
            <c:strRef>
              <c:f>'2. k as func of τ &amp; τmin'!$J$29</c:f>
              <c:strCache>
                <c:ptCount val="1"/>
                <c:pt idx="0">
                  <c:v>Med High Flow (τ* = 0.047)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'2. k as func of τ &amp; τmin'!$K$31:$K$36</c:f>
              <c:numCache>
                <c:formatCode>0.0000</c:formatCode>
                <c:ptCount val="6"/>
                <c:pt idx="0">
                  <c:v>0.04</c:v>
                </c:pt>
                <c:pt idx="1">
                  <c:v>4.0296881722933442E-2</c:v>
                </c:pt>
                <c:pt idx="2">
                  <c:v>4.0874049896835074E-2</c:v>
                </c:pt>
                <c:pt idx="3">
                  <c:v>4.1699850438471242E-2</c:v>
                </c:pt>
                <c:pt idx="4">
                  <c:v>4.3217210282736285E-2</c:v>
                </c:pt>
              </c:numCache>
            </c:numRef>
          </c:xVal>
          <c:yVal>
            <c:numRef>
              <c:f>'2. k as func of τ &amp; τmin'!$L$31:$L$36</c:f>
              <c:numCache>
                <c:formatCode>0.0000</c:formatCode>
                <c:ptCount val="6"/>
                <c:pt idx="0">
                  <c:v>0.04</c:v>
                </c:pt>
                <c:pt idx="1">
                  <c:v>4.5627026419976936E-2</c:v>
                </c:pt>
                <c:pt idx="2">
                  <c:v>4.860357919174027E-2</c:v>
                </c:pt>
                <c:pt idx="3">
                  <c:v>5.5833646253055487E-2</c:v>
                </c:pt>
                <c:pt idx="4">
                  <c:v>5.145407230191433E-2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CC1-4A81-927A-B7B4C1E014A1}"/>
            </c:ext>
          </c:extLst>
        </c:ser>
        <c:ser>
          <c:idx val="3"/>
          <c:order val="3"/>
          <c:tx>
            <c:strRef>
              <c:f>'2. k as func of τ &amp; τmin'!$J$20</c:f>
              <c:strCache>
                <c:ptCount val="1"/>
                <c:pt idx="0">
                  <c:v>High Flow: (τ* = 0.055)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'2. k as func of τ &amp; τmin'!$K$22:$K$27</c:f>
              <c:numCache>
                <c:formatCode>0.0000</c:formatCode>
                <c:ptCount val="6"/>
                <c:pt idx="0">
                  <c:v>0.04</c:v>
                </c:pt>
                <c:pt idx="1">
                  <c:v>4.0342775167560858E-2</c:v>
                </c:pt>
                <c:pt idx="2">
                  <c:v>4.1006224411699099E-2</c:v>
                </c:pt>
                <c:pt idx="3">
                  <c:v>4.1948503504012032E-2</c:v>
                </c:pt>
                <c:pt idx="4">
                  <c:v>4.3657222321384713E-2</c:v>
                </c:pt>
              </c:numCache>
            </c:numRef>
          </c:xVal>
          <c:yVal>
            <c:numRef>
              <c:f>'2. k as func of τ &amp; τmin'!$L$22:$L$27</c:f>
              <c:numCache>
                <c:formatCode>0.0000</c:formatCode>
                <c:ptCount val="6"/>
                <c:pt idx="0">
                  <c:v>0.04</c:v>
                </c:pt>
                <c:pt idx="1">
                  <c:v>4.8895149728212996E-2</c:v>
                </c:pt>
                <c:pt idx="2">
                  <c:v>5.1779269484048984E-2</c:v>
                </c:pt>
                <c:pt idx="3">
                  <c:v>4.8961843624642065E-2</c:v>
                </c:pt>
                <c:pt idx="4">
                  <c:v>4.8965324622054551E-2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CC1-4A81-927A-B7B4C1E01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50000"/>
                    <a:lumOff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0CC1-4A81-927A-B7B4C1E014A1}"/>
              </c:ext>
            </c:extLst>
          </c:dPt>
          <c:xVal>
            <c:numRef>
              <c:f>'2. k as func of τ &amp; τmin'!$J$56:$J$57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xVal>
          <c:yVal>
            <c:numRef>
              <c:f>'2. k as func of τ &amp; τmin'!$K$56:$K$57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0CC1-4A81-927A-B7B4C1E01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valAx>
        <c:axId val="1496099248"/>
        <c:scaling>
          <c:orientation val="minMax"/>
          <c:max val="6.0000000000000012E-2"/>
          <c:min val="3.5000000000000003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1088"/>
        <c:crosses val="autoZero"/>
        <c:crossBetween val="midCat"/>
      </c:valAx>
      <c:valAx>
        <c:axId val="1496091088"/>
        <c:scaling>
          <c:orientation val="minMax"/>
          <c:max val="6.0000000000000012E-2"/>
          <c:min val="3.5000000000000003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9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High Flow: (</a:t>
            </a:r>
            <a:r>
              <a:rPr lang="el-GR" sz="1200" baseline="0"/>
              <a:t>τ* = 0.</a:t>
            </a:r>
            <a:r>
              <a:rPr lang="en-US" sz="1200" baseline="0"/>
              <a:t>041)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'2. k as func of τ &amp; τmin'!$L$21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 k as func of τ &amp; τmin'!$J$22:$J$27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'2. k as func of τ &amp; τmin'!$L$22:$L$27</c:f>
              <c:numCache>
                <c:formatCode>0.0000</c:formatCode>
                <c:ptCount val="6"/>
                <c:pt idx="0">
                  <c:v>0.04</c:v>
                </c:pt>
                <c:pt idx="1">
                  <c:v>4.8895149728212996E-2</c:v>
                </c:pt>
                <c:pt idx="2">
                  <c:v>5.1779269484048984E-2</c:v>
                </c:pt>
                <c:pt idx="3">
                  <c:v>4.8961843624642065E-2</c:v>
                </c:pt>
                <c:pt idx="4">
                  <c:v>4.8965324622054551E-2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51-45C9-8DA6-030525AA99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'2. k as func of τ &amp; τmin'!$K$21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'2. k as func of τ &amp; τmin'!$D$4:$D$41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τmin'!$H$4:$H$41</c:f>
              <c:numCache>
                <c:formatCode>0.0000</c:formatCode>
                <c:ptCount val="38"/>
                <c:pt idx="0">
                  <c:v>4.0034616094255335E-2</c:v>
                </c:pt>
                <c:pt idx="1">
                  <c:v>4.006915650954436E-2</c:v>
                </c:pt>
                <c:pt idx="2">
                  <c:v>4.0103621411319172E-2</c:v>
                </c:pt>
                <c:pt idx="3">
                  <c:v>4.0138010964670179E-2</c:v>
                </c:pt>
                <c:pt idx="4">
                  <c:v>4.0172325334326839E-2</c:v>
                </c:pt>
                <c:pt idx="5">
                  <c:v>4.0206564684658483E-2</c:v>
                </c:pt>
                <c:pt idx="6">
                  <c:v>4.0240729179675111E-2</c:v>
                </c:pt>
                <c:pt idx="7">
                  <c:v>4.0274818983028121E-2</c:v>
                </c:pt>
                <c:pt idx="8">
                  <c:v>4.0308834258011156E-2</c:v>
                </c:pt>
                <c:pt idx="9">
                  <c:v>4.0342775167560858E-2</c:v>
                </c:pt>
                <c:pt idx="10">
                  <c:v>4.0376641874257636E-2</c:v>
                </c:pt>
                <c:pt idx="11">
                  <c:v>4.0410434540326473E-2</c:v>
                </c:pt>
                <c:pt idx="12">
                  <c:v>4.0444153327637691E-2</c:v>
                </c:pt>
                <c:pt idx="13">
                  <c:v>4.0477798397707723E-2</c:v>
                </c:pt>
                <c:pt idx="14">
                  <c:v>4.0511369911699881E-2</c:v>
                </c:pt>
                <c:pt idx="15">
                  <c:v>4.0544868030425146E-2</c:v>
                </c:pt>
                <c:pt idx="16">
                  <c:v>4.0578292914342923E-2</c:v>
                </c:pt>
                <c:pt idx="17">
                  <c:v>4.0611644723561824E-2</c:v>
                </c:pt>
                <c:pt idx="18">
                  <c:v>4.0644923617840403E-2</c:v>
                </c:pt>
                <c:pt idx="19">
                  <c:v>4.0678129756587966E-2</c:v>
                </c:pt>
                <c:pt idx="20">
                  <c:v>4.0843074672333168E-2</c:v>
                </c:pt>
                <c:pt idx="21">
                  <c:v>4.1006224411699099E-2</c:v>
                </c:pt>
                <c:pt idx="22">
                  <c:v>4.1167598512470337E-2</c:v>
                </c:pt>
                <c:pt idx="23">
                  <c:v>4.1327216299792191E-2</c:v>
                </c:pt>
                <c:pt idx="24">
                  <c:v>4.1485096888484924E-2</c:v>
                </c:pt>
                <c:pt idx="25">
                  <c:v>4.1641259185332853E-2</c:v>
                </c:pt>
                <c:pt idx="26">
                  <c:v>4.1795721891348482E-2</c:v>
                </c:pt>
                <c:pt idx="27">
                  <c:v>4.1948503504012032E-2</c:v>
                </c:pt>
                <c:pt idx="28">
                  <c:v>4.2099622319486579E-2</c:v>
                </c:pt>
                <c:pt idx="29">
                  <c:v>4.2249096434809084E-2</c:v>
                </c:pt>
                <c:pt idx="30">
                  <c:v>4.2396943750057592E-2</c:v>
                </c:pt>
                <c:pt idx="31">
                  <c:v>4.2543181970494816E-2</c:v>
                </c:pt>
                <c:pt idx="32">
                  <c:v>4.2687828608688416E-2</c:v>
                </c:pt>
                <c:pt idx="33">
                  <c:v>4.2830900986608189E-2</c:v>
                </c:pt>
                <c:pt idx="34">
                  <c:v>4.2972416237700449E-2</c:v>
                </c:pt>
                <c:pt idx="35">
                  <c:v>4.3112391308939818E-2</c:v>
                </c:pt>
                <c:pt idx="36">
                  <c:v>4.3387787779554543E-2</c:v>
                </c:pt>
                <c:pt idx="37">
                  <c:v>4.3657222321384713E-2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851-45C9-8DA6-030525AA99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High Flow (</a:t>
            </a:r>
            <a:r>
              <a:rPr lang="el-GR" sz="1200" baseline="0"/>
              <a:t>τ* = 0.0</a:t>
            </a:r>
            <a:r>
              <a:rPr lang="en-US" sz="1200" baseline="0"/>
              <a:t>43</a:t>
            </a:r>
            <a:r>
              <a:rPr lang="el-GR" sz="1200" baseline="0"/>
              <a:t>)</a:t>
            </a:r>
            <a:endParaRPr lang="en-US" sz="1200"/>
          </a:p>
        </c:rich>
      </c:tx>
      <c:layout>
        <c:manualLayout>
          <c:xMode val="edge"/>
          <c:yMode val="edge"/>
          <c:x val="0.31548891171212295"/>
          <c:y val="5.2131017869341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'2. k as func of τ &amp; τmin'!$L$30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'2. k as func of τ &amp; τmin'!$J$31:$J$36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'2. k as func of τ &amp; τmin'!$L$31:$L$36</c:f>
              <c:numCache>
                <c:formatCode>0.0000</c:formatCode>
                <c:ptCount val="6"/>
                <c:pt idx="0">
                  <c:v>0.04</c:v>
                </c:pt>
                <c:pt idx="1">
                  <c:v>4.5627026419976936E-2</c:v>
                </c:pt>
                <c:pt idx="2">
                  <c:v>4.860357919174027E-2</c:v>
                </c:pt>
                <c:pt idx="3">
                  <c:v>5.5833646253055487E-2</c:v>
                </c:pt>
                <c:pt idx="4">
                  <c:v>5.145407230191433E-2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D7-4161-9FDF-300596A46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'2. k as func of τ &amp; τmin'!$K$30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'2. k as func of τ &amp; τmin'!$D$4:$D$41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τmin'!$G$4:$G$41</c:f>
              <c:numCache>
                <c:formatCode>0.0000</c:formatCode>
                <c:ptCount val="38"/>
                <c:pt idx="0">
                  <c:v>4.0029941682639028E-2</c:v>
                </c:pt>
                <c:pt idx="1">
                  <c:v>4.0059826745069103E-2</c:v>
                </c:pt>
                <c:pt idx="2">
                  <c:v>4.0089655294359969E-2</c:v>
                </c:pt>
                <c:pt idx="3">
                  <c:v>4.0119427437378889E-2</c:v>
                </c:pt>
                <c:pt idx="4">
                  <c:v>4.0149143280791041E-2</c:v>
                </c:pt>
                <c:pt idx="5">
                  <c:v>4.0178802931059895E-2</c:v>
                </c:pt>
                <c:pt idx="6">
                  <c:v>4.0208406494447603E-2</c:v>
                </c:pt>
                <c:pt idx="7">
                  <c:v>4.0237954077015366E-2</c:v>
                </c:pt>
                <c:pt idx="8">
                  <c:v>4.0267445784623823E-2</c:v>
                </c:pt>
                <c:pt idx="9">
                  <c:v>4.0296881722933442E-2</c:v>
                </c:pt>
                <c:pt idx="10">
                  <c:v>4.0326261997404869E-2</c:v>
                </c:pt>
                <c:pt idx="11">
                  <c:v>4.0355586713299314E-2</c:v>
                </c:pt>
                <c:pt idx="12">
                  <c:v>4.0384855975678972E-2</c:v>
                </c:pt>
                <c:pt idx="13">
                  <c:v>4.0414069889407329E-2</c:v>
                </c:pt>
                <c:pt idx="14">
                  <c:v>4.0443228559149585E-2</c:v>
                </c:pt>
                <c:pt idx="15">
                  <c:v>4.0472332089373016E-2</c:v>
                </c:pt>
                <c:pt idx="16">
                  <c:v>4.0501380584347359E-2</c:v>
                </c:pt>
                <c:pt idx="17">
                  <c:v>4.0530374148145157E-2</c:v>
                </c:pt>
                <c:pt idx="18">
                  <c:v>4.0559312884642151E-2</c:v>
                </c:pt>
                <c:pt idx="19">
                  <c:v>4.0588196897517671E-2</c:v>
                </c:pt>
                <c:pt idx="20">
                  <c:v>4.0731799722645824E-2</c:v>
                </c:pt>
                <c:pt idx="21">
                  <c:v>4.0874049896835074E-2</c:v>
                </c:pt>
                <c:pt idx="22">
                  <c:v>4.1014960161231427E-2</c:v>
                </c:pt>
                <c:pt idx="23">
                  <c:v>4.1154543136967078E-2</c:v>
                </c:pt>
                <c:pt idx="24">
                  <c:v>4.1292811326290868E-2</c:v>
                </c:pt>
                <c:pt idx="25">
                  <c:v>4.1429777113688074E-2</c:v>
                </c:pt>
                <c:pt idx="26">
                  <c:v>4.1565452766989697E-2</c:v>
                </c:pt>
                <c:pt idx="27">
                  <c:v>4.1699850438471242E-2</c:v>
                </c:pt>
                <c:pt idx="28">
                  <c:v>4.1832982165941217E-2</c:v>
                </c:pt>
                <c:pt idx="29">
                  <c:v>4.1964859873819309E-2</c:v>
                </c:pt>
                <c:pt idx="30">
                  <c:v>4.2095495374204456E-2</c:v>
                </c:pt>
                <c:pt idx="31">
                  <c:v>4.2224900367932847E-2</c:v>
                </c:pt>
                <c:pt idx="32">
                  <c:v>4.2353086445625909E-2</c:v>
                </c:pt>
                <c:pt idx="33">
                  <c:v>4.2480065088728529E-2</c:v>
                </c:pt>
                <c:pt idx="34">
                  <c:v>4.2605847670537364E-2</c:v>
                </c:pt>
                <c:pt idx="35">
                  <c:v>4.273044545721958E-2</c:v>
                </c:pt>
                <c:pt idx="36">
                  <c:v>4.2976131180270258E-2</c:v>
                </c:pt>
                <c:pt idx="37">
                  <c:v>4.3217210282736285E-2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5D7-4161-9FDF-300596A46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ax val="6.0000000000000012E-2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Low Flow (</a:t>
            </a:r>
            <a:r>
              <a:rPr lang="el-GR" sz="1200" baseline="0"/>
              <a:t>τ* = 0.0</a:t>
            </a:r>
            <a:r>
              <a:rPr lang="en-US" sz="1200" baseline="0"/>
              <a:t>47)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'2. k as func of τ &amp; τmin'!$L$39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'2. k as func of τ &amp; τmin'!$J$40:$J$45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'2. k as func of τ &amp; τmin'!$L$40:$L$45</c:f>
              <c:numCache>
                <c:formatCode>0.0000</c:formatCode>
                <c:ptCount val="6"/>
                <c:pt idx="0">
                  <c:v>0.04</c:v>
                </c:pt>
                <c:pt idx="2">
                  <c:v>4.880607945181633E-2</c:v>
                </c:pt>
                <c:pt idx="3">
                  <c:v>4.7893651283411866E-2</c:v>
                </c:pt>
                <c:pt idx="4">
                  <c:v>5.1755608653064417E-2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AC-4C38-B1A2-1FF7F80A9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'2. k as func of τ &amp; τmin'!$K$39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'2. k as func of τ &amp; τmin'!$D$4:$D$41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τmin'!$F$4:$F$41</c:f>
              <c:numCache>
                <c:formatCode>0.0000</c:formatCode>
                <c:ptCount val="38"/>
                <c:pt idx="0">
                  <c:v>4.0026965602412812E-2</c:v>
                </c:pt>
                <c:pt idx="1">
                  <c:v>4.0053885280867119E-2</c:v>
                </c:pt>
                <c:pt idx="2">
                  <c:v>4.0080759113574047E-2</c:v>
                </c:pt>
                <c:pt idx="3">
                  <c:v>4.0107587178611501E-2</c:v>
                </c:pt>
                <c:pt idx="4">
                  <c:v>4.0134369553924458E-2</c:v>
                </c:pt>
                <c:pt idx="5">
                  <c:v>4.0161106317325106E-2</c:v>
                </c:pt>
                <c:pt idx="6">
                  <c:v>4.0187797546493133E-2</c:v>
                </c:pt>
                <c:pt idx="7">
                  <c:v>4.0214443318975938E-2</c:v>
                </c:pt>
                <c:pt idx="8">
                  <c:v>4.0241043712188854E-2</c:v>
                </c:pt>
                <c:pt idx="9">
                  <c:v>4.026759880341535E-2</c:v>
                </c:pt>
                <c:pt idx="10">
                  <c:v>4.0294108669807302E-2</c:v>
                </c:pt>
                <c:pt idx="11">
                  <c:v>4.0320573388385184E-2</c:v>
                </c:pt>
                <c:pt idx="12">
                  <c:v>4.0346993036038288E-2</c:v>
                </c:pt>
                <c:pt idx="13">
                  <c:v>4.0373367689524979E-2</c:v>
                </c:pt>
                <c:pt idx="14">
                  <c:v>4.0399697425472884E-2</c:v>
                </c:pt>
                <c:pt idx="15">
                  <c:v>4.0425982320379132E-2</c:v>
                </c:pt>
                <c:pt idx="16">
                  <c:v>4.0452222450610573E-2</c:v>
                </c:pt>
                <c:pt idx="17">
                  <c:v>4.0478417892404001E-2</c:v>
                </c:pt>
                <c:pt idx="18">
                  <c:v>4.0504568721866377E-2</c:v>
                </c:pt>
                <c:pt idx="19">
                  <c:v>4.0530675014975044E-2</c:v>
                </c:pt>
                <c:pt idx="20">
                  <c:v>4.0660541085374521E-2</c:v>
                </c:pt>
                <c:pt idx="21">
                  <c:v>4.0789305069389679E-2</c:v>
                </c:pt>
                <c:pt idx="22">
                  <c:v>4.0916976319689741E-2</c:v>
                </c:pt>
                <c:pt idx="23">
                  <c:v>4.1043564109574077E-2</c:v>
                </c:pt>
                <c:pt idx="24">
                  <c:v>4.116907763364578E-2</c:v>
                </c:pt>
                <c:pt idx="25">
                  <c:v>4.1293526008479492E-2</c:v>
                </c:pt>
                <c:pt idx="26">
                  <c:v>4.1416918273283601E-2</c:v>
                </c:pt>
                <c:pt idx="27">
                  <c:v>4.1539263390556788E-2</c:v>
                </c:pt>
                <c:pt idx="28">
                  <c:v>4.1660570246738991E-2</c:v>
                </c:pt>
                <c:pt idx="29">
                  <c:v>4.178084765285691E-2</c:v>
                </c:pt>
                <c:pt idx="30">
                  <c:v>4.1900104345163933E-2</c:v>
                </c:pt>
                <c:pt idx="31">
                  <c:v>4.201834898577473E-2</c:v>
                </c:pt>
                <c:pt idx="32">
                  <c:v>4.2135590163294413E-2</c:v>
                </c:pt>
                <c:pt idx="33">
                  <c:v>4.2251836393442328E-2</c:v>
                </c:pt>
                <c:pt idx="34">
                  <c:v>4.2367096119670634E-2</c:v>
                </c:pt>
                <c:pt idx="35">
                  <c:v>4.2481377713777552E-2</c:v>
                </c:pt>
                <c:pt idx="36">
                  <c:v>4.2707039638193833E-2</c:v>
                </c:pt>
                <c:pt idx="37">
                  <c:v>4.2928887730976834E-2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FAC-4C38-B1A2-1FF7F80A9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u="none" strike="noStrike" baseline="0">
                <a:effectLst/>
              </a:rPr>
              <a:t>Low Flow (</a:t>
            </a:r>
            <a:r>
              <a:rPr lang="el-GR" sz="1200" b="0" i="0" u="none" strike="noStrike" baseline="0">
                <a:effectLst/>
              </a:rPr>
              <a:t>τ* = 0.0</a:t>
            </a:r>
            <a:r>
              <a:rPr lang="en-US" sz="1200" b="0" i="0" u="none" strike="noStrike" baseline="0">
                <a:effectLst/>
              </a:rPr>
              <a:t>55</a:t>
            </a:r>
            <a:r>
              <a:rPr lang="el-GR" sz="1200" b="0" i="0" u="none" strike="noStrike" baseline="0">
                <a:effectLst/>
              </a:rPr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'2. k as func of τ &amp; τmin'!$L$48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 k as func of τ &amp; τmin'!$J$49:$J$54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'2. k as func of τ &amp; τmin'!$L$49:$L$54</c:f>
              <c:numCache>
                <c:formatCode>0.0000</c:formatCode>
                <c:ptCount val="6"/>
                <c:pt idx="0">
                  <c:v>0.04</c:v>
                </c:pt>
                <c:pt idx="1">
                  <c:v>4.0883015185033886E-2</c:v>
                </c:pt>
                <c:pt idx="2">
                  <c:v>4.7200498607488234E-2</c:v>
                </c:pt>
                <c:pt idx="3">
                  <c:v>4.7978393655140922E-2</c:v>
                </c:pt>
                <c:pt idx="4">
                  <c:v>5.2297832157699113E-2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E1-4086-BF8A-9282B1AB33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'2. k as func of τ &amp; τmin'!$K$21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'2. k as func of τ &amp; τmin'!$D$4:$D$41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τmin'!$E$4:$E$41</c:f>
              <c:numCache>
                <c:formatCode>0.0000</c:formatCode>
                <c:ptCount val="38"/>
                <c:pt idx="0">
                  <c:v>4.0025708125000052E-2</c:v>
                </c:pt>
                <c:pt idx="1">
                  <c:v>4.0051374509286655E-2</c:v>
                </c:pt>
                <c:pt idx="2">
                  <c:v>4.0076999220631668E-2</c:v>
                </c:pt>
                <c:pt idx="3">
                  <c:v>4.0102582326696903E-2</c:v>
                </c:pt>
                <c:pt idx="4">
                  <c:v>4.0128123895034298E-2</c:v>
                </c:pt>
                <c:pt idx="5">
                  <c:v>4.015362399308614E-2</c:v>
                </c:pt>
                <c:pt idx="6">
                  <c:v>4.0179082688185208E-2</c:v>
                </c:pt>
                <c:pt idx="7">
                  <c:v>4.0204500047554922E-2</c:v>
                </c:pt>
                <c:pt idx="8">
                  <c:v>4.0229876138309612E-2</c:v>
                </c:pt>
                <c:pt idx="9">
                  <c:v>4.0255211027454586E-2</c:v>
                </c:pt>
                <c:pt idx="10">
                  <c:v>4.0280504781886398E-2</c:v>
                </c:pt>
                <c:pt idx="11">
                  <c:v>4.0305757468392961E-2</c:v>
                </c:pt>
                <c:pt idx="12">
                  <c:v>4.0330969153653771E-2</c:v>
                </c:pt>
                <c:pt idx="13">
                  <c:v>4.0356139904240043E-2</c:v>
                </c:pt>
                <c:pt idx="14">
                  <c:v>4.0381269786614896E-2</c:v>
                </c:pt>
                <c:pt idx="15">
                  <c:v>4.0406358867133577E-2</c:v>
                </c:pt>
                <c:pt idx="16">
                  <c:v>4.0431407212043545E-2</c:v>
                </c:pt>
                <c:pt idx="17">
                  <c:v>4.0456414887484735E-2</c:v>
                </c:pt>
                <c:pt idx="18">
                  <c:v>4.0481381959489679E-2</c:v>
                </c:pt>
                <c:pt idx="19">
                  <c:v>4.0506308493983692E-2</c:v>
                </c:pt>
                <c:pt idx="20">
                  <c:v>4.063033540369311E-2</c:v>
                </c:pt>
                <c:pt idx="21">
                  <c:v>4.07533587030839E-2</c:v>
                </c:pt>
                <c:pt idx="22">
                  <c:v>4.0875386513245876E-2</c:v>
                </c:pt>
                <c:pt idx="23">
                  <c:v>4.0996426889553975E-2</c:v>
                </c:pt>
                <c:pt idx="24">
                  <c:v>4.1116487822200065E-2</c:v>
                </c:pt>
                <c:pt idx="25">
                  <c:v>4.1235577236720375E-2</c:v>
                </c:pt>
                <c:pt idx="26">
                  <c:v>4.1353702994518682E-2</c:v>
                </c:pt>
                <c:pt idx="27">
                  <c:v>4.147087289338524E-2</c:v>
                </c:pt>
                <c:pt idx="28">
                  <c:v>4.1587094668011582E-2</c:v>
                </c:pt>
                <c:pt idx="29">
                  <c:v>4.170237599050107E-2</c:v>
                </c:pt>
                <c:pt idx="30">
                  <c:v>4.1816724470875352E-2</c:v>
                </c:pt>
                <c:pt idx="31">
                  <c:v>4.1930147657576744E-2</c:v>
                </c:pt>
                <c:pt idx="32">
                  <c:v>4.2042653037966483E-2</c:v>
                </c:pt>
                <c:pt idx="33">
                  <c:v>4.2154248038819044E-2</c:v>
                </c:pt>
                <c:pt idx="34">
                  <c:v>4.2264940026812331E-2</c:v>
                </c:pt>
                <c:pt idx="35">
                  <c:v>4.237473630901404E-2</c:v>
                </c:pt>
                <c:pt idx="36">
                  <c:v>4.2591670689152455E-2</c:v>
                </c:pt>
                <c:pt idx="37">
                  <c:v>4.2805108461803215E-2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FE1-4086-BF8A-9282B1AB33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Testing</a:t>
            </a:r>
            <a:r>
              <a:rPr lang="en-US" baseline="0"/>
              <a:t> Equation with flume data (k=</a:t>
            </a:r>
            <a:r>
              <a:rPr lang="el-GR" baseline="0"/>
              <a:t>τ/τ</a:t>
            </a:r>
            <a:r>
              <a:rPr lang="en-US" baseline="0"/>
              <a:t>min) </a:t>
            </a:r>
            <a:endParaRPr lang="en-US"/>
          </a:p>
        </c:rich>
      </c:tx>
      <c:layout>
        <c:manualLayout>
          <c:xMode val="edge"/>
          <c:yMode val="edge"/>
          <c:x val="0.1763585791018838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0"/>
          <c:tx>
            <c:strRef>
              <c:f>'2. k as func of τ &amp; τmin'!$Z$2</c:f>
              <c:strCache>
                <c:ptCount val="1"/>
                <c:pt idx="0">
                  <c:v>1.368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'2. k as func of τ &amp; τmin'!$V$4:$V$41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τmin'!$Z$4:$Z$41</c:f>
              <c:numCache>
                <c:formatCode>0.0000</c:formatCode>
                <c:ptCount val="38"/>
                <c:pt idx="0">
                  <c:v>5.1801722572865465E-2</c:v>
                </c:pt>
                <c:pt idx="1">
                  <c:v>5.4806946003279476E-2</c:v>
                </c:pt>
                <c:pt idx="2">
                  <c:v>5.5572204448472412E-2</c:v>
                </c:pt>
                <c:pt idx="3">
                  <c:v>5.5767071985445671E-2</c:v>
                </c:pt>
                <c:pt idx="4">
                  <c:v>5.5816693596555687E-2</c:v>
                </c:pt>
                <c:pt idx="5">
                  <c:v>5.5829329381496574E-2</c:v>
                </c:pt>
                <c:pt idx="6">
                  <c:v>5.5832546992886062E-2</c:v>
                </c:pt>
                <c:pt idx="7">
                  <c:v>5.5833366334391336E-2</c:v>
                </c:pt>
                <c:pt idx="8">
                  <c:v>5.5833574973789012E-2</c:v>
                </c:pt>
                <c:pt idx="9">
                  <c:v>5.5833628102305001E-2</c:v>
                </c:pt>
                <c:pt idx="10">
                  <c:v>5.5833641631097948E-2</c:v>
                </c:pt>
                <c:pt idx="11">
                  <c:v>5.5833645076107379E-2</c:v>
                </c:pt>
                <c:pt idx="12">
                  <c:v>5.5833645953354147E-2</c:v>
                </c:pt>
                <c:pt idx="13">
                  <c:v>5.5833646176738708E-2</c:v>
                </c:pt>
                <c:pt idx="14">
                  <c:v>5.583364623362197E-2</c:v>
                </c:pt>
                <c:pt idx="15">
                  <c:v>5.5833646248106883E-2</c:v>
                </c:pt>
                <c:pt idx="16">
                  <c:v>5.5833646251795363E-2</c:v>
                </c:pt>
                <c:pt idx="17">
                  <c:v>5.5833646252734605E-2</c:v>
                </c:pt>
                <c:pt idx="18">
                  <c:v>5.5833646252973775E-2</c:v>
                </c:pt>
                <c:pt idx="19">
                  <c:v>5.5833646253034677E-2</c:v>
                </c:pt>
                <c:pt idx="20">
                  <c:v>5.5833646253055466E-2</c:v>
                </c:pt>
                <c:pt idx="21">
                  <c:v>5.5833646253055487E-2</c:v>
                </c:pt>
                <c:pt idx="22">
                  <c:v>5.5833646253055487E-2</c:v>
                </c:pt>
                <c:pt idx="23">
                  <c:v>5.5833646253055487E-2</c:v>
                </c:pt>
                <c:pt idx="24">
                  <c:v>5.5833646253055487E-2</c:v>
                </c:pt>
                <c:pt idx="25">
                  <c:v>5.5833646253055487E-2</c:v>
                </c:pt>
                <c:pt idx="26">
                  <c:v>5.5833646253055487E-2</c:v>
                </c:pt>
                <c:pt idx="27">
                  <c:v>5.5833646253055487E-2</c:v>
                </c:pt>
                <c:pt idx="28">
                  <c:v>5.5833646253055487E-2</c:v>
                </c:pt>
                <c:pt idx="29">
                  <c:v>5.5833646253055487E-2</c:v>
                </c:pt>
                <c:pt idx="30">
                  <c:v>5.5833646253055487E-2</c:v>
                </c:pt>
                <c:pt idx="31">
                  <c:v>5.5833646253055487E-2</c:v>
                </c:pt>
                <c:pt idx="32">
                  <c:v>5.5833646253055487E-2</c:v>
                </c:pt>
                <c:pt idx="33">
                  <c:v>5.5833646253055487E-2</c:v>
                </c:pt>
                <c:pt idx="34">
                  <c:v>5.5833646253055487E-2</c:v>
                </c:pt>
                <c:pt idx="35">
                  <c:v>5.5833646253055487E-2</c:v>
                </c:pt>
                <c:pt idx="36">
                  <c:v>5.5833646253055487E-2</c:v>
                </c:pt>
                <c:pt idx="37">
                  <c:v>5.5833646253055487E-2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94C-4C4B-BD5C-9A8E70071FC1}"/>
            </c:ext>
          </c:extLst>
        </c:ser>
        <c:ser>
          <c:idx val="2"/>
          <c:order val="1"/>
          <c:tx>
            <c:strRef>
              <c:f>'2. k as func of τ &amp; τmin'!$Y$2</c:f>
              <c:strCache>
                <c:ptCount val="1"/>
                <c:pt idx="0">
                  <c:v>1.183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'2. k as func of τ &amp; τmin'!$V$4:$V$41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τmin'!$Y$4:$Y$41</c:f>
              <c:numCache>
                <c:formatCode>0.0000</c:formatCode>
                <c:ptCount val="38"/>
                <c:pt idx="0">
                  <c:v>5.0982897255603163E-2</c:v>
                </c:pt>
                <c:pt idx="1">
                  <c:v>5.4347585148731899E-2</c:v>
                </c:pt>
                <c:pt idx="2">
                  <c:v>5.5378380971973472E-2</c:v>
                </c:pt>
                <c:pt idx="3">
                  <c:v>5.5694172529158356E-2</c:v>
                </c:pt>
                <c:pt idx="4">
                  <c:v>5.5790917495853756E-2</c:v>
                </c:pt>
                <c:pt idx="5">
                  <c:v>5.5820555997479093E-2</c:v>
                </c:pt>
                <c:pt idx="6">
                  <c:v>5.5829635961105122E-2</c:v>
                </c:pt>
                <c:pt idx="7">
                  <c:v>5.58324176718843E-2</c:v>
                </c:pt>
                <c:pt idx="8">
                  <c:v>5.5833269868564565E-2</c:v>
                </c:pt>
                <c:pt idx="9">
                  <c:v>5.5833530945016974E-2</c:v>
                </c:pt>
                <c:pt idx="10">
                  <c:v>5.5833610927626127E-2</c:v>
                </c:pt>
                <c:pt idx="11">
                  <c:v>5.5833635430861513E-2</c:v>
                </c:pt>
                <c:pt idx="12">
                  <c:v>5.5833642937600174E-2</c:v>
                </c:pt>
                <c:pt idx="13">
                  <c:v>5.5833645237342411E-2</c:v>
                </c:pt>
                <c:pt idx="14">
                  <c:v>5.5833645941884634E-2</c:v>
                </c:pt>
                <c:pt idx="15">
                  <c:v>5.5833646157726104E-2</c:v>
                </c:pt>
                <c:pt idx="16">
                  <c:v>5.5833646223850661E-2</c:v>
                </c:pt>
                <c:pt idx="17">
                  <c:v>5.583364624410838E-2</c:v>
                </c:pt>
                <c:pt idx="18">
                  <c:v>5.5833646250314478E-2</c:v>
                </c:pt>
                <c:pt idx="19">
                  <c:v>5.5833646252215763E-2</c:v>
                </c:pt>
                <c:pt idx="20">
                  <c:v>5.5833646253053218E-2</c:v>
                </c:pt>
                <c:pt idx="21">
                  <c:v>5.583364625305548E-2</c:v>
                </c:pt>
                <c:pt idx="22">
                  <c:v>5.5833646253055487E-2</c:v>
                </c:pt>
                <c:pt idx="23">
                  <c:v>5.5833646253055487E-2</c:v>
                </c:pt>
                <c:pt idx="24">
                  <c:v>5.5833646253055487E-2</c:v>
                </c:pt>
                <c:pt idx="25">
                  <c:v>5.5833646253055487E-2</c:v>
                </c:pt>
                <c:pt idx="26">
                  <c:v>5.5833646253055487E-2</c:v>
                </c:pt>
                <c:pt idx="27">
                  <c:v>5.5833646253055487E-2</c:v>
                </c:pt>
                <c:pt idx="28">
                  <c:v>5.5833646253055487E-2</c:v>
                </c:pt>
                <c:pt idx="29">
                  <c:v>5.5833646253055487E-2</c:v>
                </c:pt>
                <c:pt idx="30">
                  <c:v>5.5833646253055487E-2</c:v>
                </c:pt>
                <c:pt idx="31">
                  <c:v>5.5833646253055487E-2</c:v>
                </c:pt>
                <c:pt idx="32">
                  <c:v>5.5833646253055487E-2</c:v>
                </c:pt>
                <c:pt idx="33">
                  <c:v>5.5833646253055487E-2</c:v>
                </c:pt>
                <c:pt idx="34">
                  <c:v>5.5833646253055487E-2</c:v>
                </c:pt>
                <c:pt idx="35">
                  <c:v>5.5833646253055487E-2</c:v>
                </c:pt>
                <c:pt idx="36">
                  <c:v>5.5833646253055487E-2</c:v>
                </c:pt>
                <c:pt idx="37">
                  <c:v>5.5833646253055487E-2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94C-4C4B-BD5C-9A8E70071FC1}"/>
            </c:ext>
          </c:extLst>
        </c:ser>
        <c:ser>
          <c:idx val="1"/>
          <c:order val="2"/>
          <c:tx>
            <c:strRef>
              <c:f>'2. k as func of τ &amp; τmin'!$X$2</c:f>
              <c:strCache>
                <c:ptCount val="1"/>
                <c:pt idx="0">
                  <c:v>1.065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'2. k as func of τ &amp; τmin'!$V$4:$V$41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τmin'!$X$4:$X$41</c:f>
              <c:numCache>
                <c:formatCode>0.0000</c:formatCode>
                <c:ptCount val="38"/>
                <c:pt idx="0">
                  <c:v>5.0377083051721408E-2</c:v>
                </c:pt>
                <c:pt idx="1">
                  <c:v>5.395321508171947E-2</c:v>
                </c:pt>
                <c:pt idx="2">
                  <c:v>5.5185615384601948E-2</c:v>
                </c:pt>
                <c:pt idx="3">
                  <c:v>5.5610322999926111E-2</c:v>
                </c:pt>
                <c:pt idx="4">
                  <c:v>5.5756684988066206E-2</c:v>
                </c:pt>
                <c:pt idx="5">
                  <c:v>5.5807123997868205E-2</c:v>
                </c:pt>
                <c:pt idx="6">
                  <c:v>5.5824506200324843E-2</c:v>
                </c:pt>
                <c:pt idx="7">
                  <c:v>5.5830496424229506E-2</c:v>
                </c:pt>
                <c:pt idx="8">
                  <c:v>5.5832560764609698E-2</c:v>
                </c:pt>
                <c:pt idx="9">
                  <c:v>5.5833272173944834E-2</c:v>
                </c:pt>
                <c:pt idx="10">
                  <c:v>5.5833517338573189E-2</c:v>
                </c:pt>
                <c:pt idx="11">
                  <c:v>5.5833601826774326E-2</c:v>
                </c:pt>
                <c:pt idx="12">
                  <c:v>5.583363094294895E-2</c:v>
                </c:pt>
                <c:pt idx="13">
                  <c:v>5.5833640976913616E-2</c:v>
                </c:pt>
                <c:pt idx="14">
                  <c:v>5.5833644434800794E-2</c:v>
                </c:pt>
                <c:pt idx="15">
                  <c:v>5.5833645626451767E-2</c:v>
                </c:pt>
                <c:pt idx="16">
                  <c:v>5.5833646037116422E-2</c:v>
                </c:pt>
                <c:pt idx="17">
                  <c:v>5.5833646178638945E-2</c:v>
                </c:pt>
                <c:pt idx="18">
                  <c:v>5.5833646227410189E-2</c:v>
                </c:pt>
                <c:pt idx="19">
                  <c:v>5.5833646244217647E-2</c:v>
                </c:pt>
                <c:pt idx="20">
                  <c:v>5.5833646253012528E-2</c:v>
                </c:pt>
                <c:pt idx="21">
                  <c:v>5.5833646253055279E-2</c:v>
                </c:pt>
                <c:pt idx="22">
                  <c:v>5.5833646253055487E-2</c:v>
                </c:pt>
                <c:pt idx="23">
                  <c:v>5.5833646253055487E-2</c:v>
                </c:pt>
                <c:pt idx="24">
                  <c:v>5.5833646253055487E-2</c:v>
                </c:pt>
                <c:pt idx="25">
                  <c:v>5.5833646253055487E-2</c:v>
                </c:pt>
                <c:pt idx="26">
                  <c:v>5.5833646253055487E-2</c:v>
                </c:pt>
                <c:pt idx="27">
                  <c:v>5.5833646253055487E-2</c:v>
                </c:pt>
                <c:pt idx="28">
                  <c:v>5.5833646253055487E-2</c:v>
                </c:pt>
                <c:pt idx="29">
                  <c:v>5.5833646253055487E-2</c:v>
                </c:pt>
                <c:pt idx="30">
                  <c:v>5.5833646253055487E-2</c:v>
                </c:pt>
                <c:pt idx="31">
                  <c:v>5.5833646253055487E-2</c:v>
                </c:pt>
                <c:pt idx="32">
                  <c:v>5.5833646253055487E-2</c:v>
                </c:pt>
                <c:pt idx="33">
                  <c:v>5.5833646253055487E-2</c:v>
                </c:pt>
                <c:pt idx="34">
                  <c:v>5.5833646253055487E-2</c:v>
                </c:pt>
                <c:pt idx="35">
                  <c:v>5.5833646253055487E-2</c:v>
                </c:pt>
                <c:pt idx="36">
                  <c:v>5.5833646253055487E-2</c:v>
                </c:pt>
                <c:pt idx="37">
                  <c:v>5.5833646253055487E-2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94C-4C4B-BD5C-9A8E70071FC1}"/>
            </c:ext>
          </c:extLst>
        </c:ser>
        <c:ser>
          <c:idx val="0"/>
          <c:order val="3"/>
          <c:tx>
            <c:strRef>
              <c:f>'2. k as func of τ &amp; τmin'!$W$2</c:f>
              <c:strCache>
                <c:ptCount val="1"/>
                <c:pt idx="0">
                  <c:v>1.016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 k as func of τ &amp; τmin'!$V$4:$V$41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τmin'!$W$4:$W$41</c:f>
              <c:numCache>
                <c:formatCode>0.0000</c:formatCode>
                <c:ptCount val="38"/>
                <c:pt idx="0">
                  <c:v>5.009893083964715E-2</c:v>
                </c:pt>
                <c:pt idx="1">
                  <c:v>5.3756616089113508E-2</c:v>
                </c:pt>
                <c:pt idx="2">
                  <c:v>5.5081376263887732E-2</c:v>
                </c:pt>
                <c:pt idx="3">
                  <c:v>5.5561185050311844E-2</c:v>
                </c:pt>
                <c:pt idx="4">
                  <c:v>5.5734964784873248E-2</c:v>
                </c:pt>
                <c:pt idx="5">
                  <c:v>5.5797905266579094E-2</c:v>
                </c:pt>
                <c:pt idx="6">
                  <c:v>5.5820701389771264E-2</c:v>
                </c:pt>
                <c:pt idx="7">
                  <c:v>5.5828957812641064E-2</c:v>
                </c:pt>
                <c:pt idx="8">
                  <c:v>5.5831948168414733E-2</c:v>
                </c:pt>
                <c:pt idx="9">
                  <c:v>5.5833031231600105E-2</c:v>
                </c:pt>
                <c:pt idx="10">
                  <c:v>5.5833423501267083E-2</c:v>
                </c:pt>
                <c:pt idx="11">
                  <c:v>5.5833565575611144E-2</c:v>
                </c:pt>
                <c:pt idx="12">
                  <c:v>5.5833617032863485E-2</c:v>
                </c:pt>
                <c:pt idx="13">
                  <c:v>5.5833635669928723E-2</c:v>
                </c:pt>
                <c:pt idx="14">
                  <c:v>5.5833642420001543E-2</c:v>
                </c:pt>
                <c:pt idx="15">
                  <c:v>5.5833644864779333E-2</c:v>
                </c:pt>
                <c:pt idx="16">
                  <c:v>5.583364575024214E-2</c:v>
                </c:pt>
                <c:pt idx="17">
                  <c:v>5.5833646070943835E-2</c:v>
                </c:pt>
                <c:pt idx="18">
                  <c:v>5.5833646187097311E-2</c:v>
                </c:pt>
                <c:pt idx="19">
                  <c:v>5.5833646229166395E-2</c:v>
                </c:pt>
                <c:pt idx="20">
                  <c:v>5.5833646252906599E-2</c:v>
                </c:pt>
                <c:pt idx="21">
                  <c:v>5.5833646253054557E-2</c:v>
                </c:pt>
                <c:pt idx="22">
                  <c:v>5.583364625305548E-2</c:v>
                </c:pt>
                <c:pt idx="23">
                  <c:v>5.5833646253055487E-2</c:v>
                </c:pt>
                <c:pt idx="24">
                  <c:v>5.5833646253055487E-2</c:v>
                </c:pt>
                <c:pt idx="25">
                  <c:v>5.5833646253055487E-2</c:v>
                </c:pt>
                <c:pt idx="26">
                  <c:v>5.5833646253055487E-2</c:v>
                </c:pt>
                <c:pt idx="27">
                  <c:v>5.5833646253055487E-2</c:v>
                </c:pt>
                <c:pt idx="28">
                  <c:v>5.5833646253055487E-2</c:v>
                </c:pt>
                <c:pt idx="29">
                  <c:v>5.5833646253055487E-2</c:v>
                </c:pt>
                <c:pt idx="30">
                  <c:v>5.5833646253055487E-2</c:v>
                </c:pt>
                <c:pt idx="31">
                  <c:v>5.5833646253055487E-2</c:v>
                </c:pt>
                <c:pt idx="32">
                  <c:v>5.5833646253055487E-2</c:v>
                </c:pt>
                <c:pt idx="33">
                  <c:v>5.5833646253055487E-2</c:v>
                </c:pt>
                <c:pt idx="34">
                  <c:v>5.5833646253055487E-2</c:v>
                </c:pt>
                <c:pt idx="35">
                  <c:v>5.5833646253055487E-2</c:v>
                </c:pt>
                <c:pt idx="36">
                  <c:v>5.5833646253055487E-2</c:v>
                </c:pt>
                <c:pt idx="37">
                  <c:v>5.5833646253055487E-2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94C-4C4B-BD5C-9A8E70071F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1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Measured vs Predicted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(k=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τ/τ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min)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'2. k as func of τ &amp; τmin'!$AB$47</c:f>
              <c:strCache>
                <c:ptCount val="1"/>
                <c:pt idx="0">
                  <c:v>Low Flow (τ* = 0.075)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 k as func of τ &amp; τmin'!$AC$49:$AC$54</c:f>
              <c:numCache>
                <c:formatCode>0.0000</c:formatCode>
                <c:ptCount val="6"/>
                <c:pt idx="0">
                  <c:v>0.04</c:v>
                </c:pt>
                <c:pt idx="1">
                  <c:v>5.5833031231600105E-2</c:v>
                </c:pt>
                <c:pt idx="2">
                  <c:v>5.5833646253054557E-2</c:v>
                </c:pt>
                <c:pt idx="3">
                  <c:v>5.5833646253055487E-2</c:v>
                </c:pt>
                <c:pt idx="4">
                  <c:v>5.5833646253055487E-2</c:v>
                </c:pt>
              </c:numCache>
            </c:numRef>
          </c:xVal>
          <c:yVal>
            <c:numRef>
              <c:f>'2. k as func of τ &amp; τmin'!$AD$49:$AD$54</c:f>
              <c:numCache>
                <c:formatCode>0.0000</c:formatCode>
                <c:ptCount val="6"/>
                <c:pt idx="0">
                  <c:v>0.04</c:v>
                </c:pt>
                <c:pt idx="1">
                  <c:v>4.0883015185033886E-2</c:v>
                </c:pt>
                <c:pt idx="2">
                  <c:v>4.7200498607488234E-2</c:v>
                </c:pt>
                <c:pt idx="3">
                  <c:v>4.7978393655140922E-2</c:v>
                </c:pt>
                <c:pt idx="4">
                  <c:v>5.2297832157699113E-2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B6C-4102-ACF5-82CD5B485CB9}"/>
            </c:ext>
          </c:extLst>
        </c:ser>
        <c:ser>
          <c:idx val="1"/>
          <c:order val="1"/>
          <c:tx>
            <c:strRef>
              <c:f>'2. k as func of τ &amp; τmin'!$AB$38</c:f>
              <c:strCache>
                <c:ptCount val="1"/>
                <c:pt idx="0">
                  <c:v>Med Low Flow (τ* = 0.086)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'2. k as func of τ &amp; τmin'!$AC$40:$AC$45</c:f>
              <c:numCache>
                <c:formatCode>0.0000</c:formatCode>
                <c:ptCount val="6"/>
                <c:pt idx="0">
                  <c:v>0.04</c:v>
                </c:pt>
                <c:pt idx="2">
                  <c:v>5.5833646253055279E-2</c:v>
                </c:pt>
                <c:pt idx="3">
                  <c:v>5.5833646253055487E-2</c:v>
                </c:pt>
                <c:pt idx="4">
                  <c:v>5.5833646253055487E-2</c:v>
                </c:pt>
              </c:numCache>
            </c:numRef>
          </c:xVal>
          <c:yVal>
            <c:numRef>
              <c:f>'2. k as func of τ &amp; τmin'!$AD$40:$AD$45</c:f>
              <c:numCache>
                <c:formatCode>0.0000</c:formatCode>
                <c:ptCount val="6"/>
                <c:pt idx="0">
                  <c:v>0.04</c:v>
                </c:pt>
                <c:pt idx="2">
                  <c:v>4.880607945181633E-2</c:v>
                </c:pt>
                <c:pt idx="3">
                  <c:v>4.7893651283411866E-2</c:v>
                </c:pt>
                <c:pt idx="4">
                  <c:v>5.1755608653064417E-2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B6C-4102-ACF5-82CD5B485CB9}"/>
            </c:ext>
          </c:extLst>
        </c:ser>
        <c:ser>
          <c:idx val="2"/>
          <c:order val="2"/>
          <c:tx>
            <c:strRef>
              <c:f>'2. k as func of τ &amp; τmin'!$AB$29</c:f>
              <c:strCache>
                <c:ptCount val="1"/>
                <c:pt idx="0">
                  <c:v>Med High Flow (τ* = 0.089)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'2. k as func of τ &amp; τmin'!$AC$31:$AC$36</c:f>
              <c:numCache>
                <c:formatCode>0.0000</c:formatCode>
                <c:ptCount val="6"/>
                <c:pt idx="0">
                  <c:v>0.04</c:v>
                </c:pt>
                <c:pt idx="1">
                  <c:v>5.5833530945016974E-2</c:v>
                </c:pt>
                <c:pt idx="2">
                  <c:v>5.583364625305548E-2</c:v>
                </c:pt>
                <c:pt idx="3">
                  <c:v>5.5833646253055487E-2</c:v>
                </c:pt>
                <c:pt idx="4">
                  <c:v>5.5833646253055487E-2</c:v>
                </c:pt>
              </c:numCache>
            </c:numRef>
          </c:xVal>
          <c:yVal>
            <c:numRef>
              <c:f>'2. k as func of τ &amp; τmin'!$AD$31:$AD$36</c:f>
              <c:numCache>
                <c:formatCode>0.0000</c:formatCode>
                <c:ptCount val="6"/>
                <c:pt idx="0">
                  <c:v>0.04</c:v>
                </c:pt>
                <c:pt idx="1">
                  <c:v>4.5627026419976936E-2</c:v>
                </c:pt>
                <c:pt idx="2">
                  <c:v>4.860357919174027E-2</c:v>
                </c:pt>
                <c:pt idx="3">
                  <c:v>5.5833646253055487E-2</c:v>
                </c:pt>
                <c:pt idx="4">
                  <c:v>5.145407230191433E-2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B6C-4102-ACF5-82CD5B485CB9}"/>
            </c:ext>
          </c:extLst>
        </c:ser>
        <c:ser>
          <c:idx val="3"/>
          <c:order val="3"/>
          <c:tx>
            <c:strRef>
              <c:f>'2. k as func of τ &amp; τmin'!$AB$20</c:f>
              <c:strCache>
                <c:ptCount val="1"/>
                <c:pt idx="0">
                  <c:v>High Flow: (τ* = 0.055)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'2. k as func of τ &amp; τmin'!$AC$22:$AC$27</c:f>
              <c:numCache>
                <c:formatCode>0.0000</c:formatCode>
                <c:ptCount val="6"/>
                <c:pt idx="0">
                  <c:v>0.04</c:v>
                </c:pt>
                <c:pt idx="1">
                  <c:v>5.5833628102305001E-2</c:v>
                </c:pt>
                <c:pt idx="2">
                  <c:v>5.5833646253055487E-2</c:v>
                </c:pt>
                <c:pt idx="3">
                  <c:v>5.5833646253055487E-2</c:v>
                </c:pt>
                <c:pt idx="4">
                  <c:v>5.5833646253055487E-2</c:v>
                </c:pt>
              </c:numCache>
            </c:numRef>
          </c:xVal>
          <c:yVal>
            <c:numRef>
              <c:f>'2. k as func of τ &amp; τmin'!$AD$22:$AD$27</c:f>
              <c:numCache>
                <c:formatCode>0.0000</c:formatCode>
                <c:ptCount val="6"/>
                <c:pt idx="0">
                  <c:v>0.04</c:v>
                </c:pt>
                <c:pt idx="1">
                  <c:v>4.8895149728212996E-2</c:v>
                </c:pt>
                <c:pt idx="2">
                  <c:v>5.1779269484048984E-2</c:v>
                </c:pt>
                <c:pt idx="3">
                  <c:v>4.8961843624642065E-2</c:v>
                </c:pt>
                <c:pt idx="4">
                  <c:v>4.8965324622054551E-2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B6C-4102-ACF5-82CD5B485C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50000"/>
                    <a:lumOff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2B6C-4102-ACF5-82CD5B485CB9}"/>
              </c:ext>
            </c:extLst>
          </c:dPt>
          <c:xVal>
            <c:numRef>
              <c:f>'2. k as func of τ &amp; τmin'!$J$56:$J$57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xVal>
          <c:yVal>
            <c:numRef>
              <c:f>'2. k as func of τ &amp; τmin'!$K$56:$K$57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B6C-4102-ACF5-82CD5B485C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valAx>
        <c:axId val="1496099248"/>
        <c:scaling>
          <c:orientation val="minMax"/>
          <c:max val="6.0000000000000012E-2"/>
          <c:min val="3.0000000000000006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1088"/>
        <c:crosses val="autoZero"/>
        <c:crossBetween val="midCat"/>
      </c:valAx>
      <c:valAx>
        <c:axId val="1496091088"/>
        <c:scaling>
          <c:orientation val="minMax"/>
          <c:max val="6.0000000000000012E-2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9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High Flow: (</a:t>
            </a:r>
            <a:r>
              <a:rPr lang="el-GR" sz="1200" baseline="0"/>
              <a:t>τ* = 0.108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'2. k as func of τ &amp; τmin'!$AD$21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 k as func of τ &amp; τmin'!$AB$22:$AB$27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'2. k as func of τ &amp; τmin'!$AD$22:$AD$27</c:f>
              <c:numCache>
                <c:formatCode>0.0000</c:formatCode>
                <c:ptCount val="6"/>
                <c:pt idx="0">
                  <c:v>0.04</c:v>
                </c:pt>
                <c:pt idx="1">
                  <c:v>4.8895149728212996E-2</c:v>
                </c:pt>
                <c:pt idx="2">
                  <c:v>5.1779269484048984E-2</c:v>
                </c:pt>
                <c:pt idx="3">
                  <c:v>4.8961843624642065E-2</c:v>
                </c:pt>
                <c:pt idx="4">
                  <c:v>4.8965324622054551E-2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B45-4648-9536-D9908F43F1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'2. k as func of τ &amp; τmin'!$K$21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'2. k as func of τ &amp; τmin'!$V$4:$V$41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τmin'!$Z$4:$Z$41</c:f>
              <c:numCache>
                <c:formatCode>0.0000</c:formatCode>
                <c:ptCount val="38"/>
                <c:pt idx="0">
                  <c:v>5.1801722572865465E-2</c:v>
                </c:pt>
                <c:pt idx="1">
                  <c:v>5.4806946003279476E-2</c:v>
                </c:pt>
                <c:pt idx="2">
                  <c:v>5.5572204448472412E-2</c:v>
                </c:pt>
                <c:pt idx="3">
                  <c:v>5.5767071985445671E-2</c:v>
                </c:pt>
                <c:pt idx="4">
                  <c:v>5.5816693596555687E-2</c:v>
                </c:pt>
                <c:pt idx="5">
                  <c:v>5.5829329381496574E-2</c:v>
                </c:pt>
                <c:pt idx="6">
                  <c:v>5.5832546992886062E-2</c:v>
                </c:pt>
                <c:pt idx="7">
                  <c:v>5.5833366334391336E-2</c:v>
                </c:pt>
                <c:pt idx="8">
                  <c:v>5.5833574973789012E-2</c:v>
                </c:pt>
                <c:pt idx="9">
                  <c:v>5.5833628102305001E-2</c:v>
                </c:pt>
                <c:pt idx="10">
                  <c:v>5.5833641631097948E-2</c:v>
                </c:pt>
                <c:pt idx="11">
                  <c:v>5.5833645076107379E-2</c:v>
                </c:pt>
                <c:pt idx="12">
                  <c:v>5.5833645953354147E-2</c:v>
                </c:pt>
                <c:pt idx="13">
                  <c:v>5.5833646176738708E-2</c:v>
                </c:pt>
                <c:pt idx="14">
                  <c:v>5.583364623362197E-2</c:v>
                </c:pt>
                <c:pt idx="15">
                  <c:v>5.5833646248106883E-2</c:v>
                </c:pt>
                <c:pt idx="16">
                  <c:v>5.5833646251795363E-2</c:v>
                </c:pt>
                <c:pt idx="17">
                  <c:v>5.5833646252734605E-2</c:v>
                </c:pt>
                <c:pt idx="18">
                  <c:v>5.5833646252973775E-2</c:v>
                </c:pt>
                <c:pt idx="19">
                  <c:v>5.5833646253034677E-2</c:v>
                </c:pt>
                <c:pt idx="20">
                  <c:v>5.5833646253055466E-2</c:v>
                </c:pt>
                <c:pt idx="21">
                  <c:v>5.5833646253055487E-2</c:v>
                </c:pt>
                <c:pt idx="22">
                  <c:v>5.5833646253055487E-2</c:v>
                </c:pt>
                <c:pt idx="23">
                  <c:v>5.5833646253055487E-2</c:v>
                </c:pt>
                <c:pt idx="24">
                  <c:v>5.5833646253055487E-2</c:v>
                </c:pt>
                <c:pt idx="25">
                  <c:v>5.5833646253055487E-2</c:v>
                </c:pt>
                <c:pt idx="26">
                  <c:v>5.5833646253055487E-2</c:v>
                </c:pt>
                <c:pt idx="27">
                  <c:v>5.5833646253055487E-2</c:v>
                </c:pt>
                <c:pt idx="28">
                  <c:v>5.5833646253055487E-2</c:v>
                </c:pt>
                <c:pt idx="29">
                  <c:v>5.5833646253055487E-2</c:v>
                </c:pt>
                <c:pt idx="30">
                  <c:v>5.5833646253055487E-2</c:v>
                </c:pt>
                <c:pt idx="31">
                  <c:v>5.5833646253055487E-2</c:v>
                </c:pt>
                <c:pt idx="32">
                  <c:v>5.5833646253055487E-2</c:v>
                </c:pt>
                <c:pt idx="33">
                  <c:v>5.5833646253055487E-2</c:v>
                </c:pt>
                <c:pt idx="34">
                  <c:v>5.5833646253055487E-2</c:v>
                </c:pt>
                <c:pt idx="35">
                  <c:v>5.5833646253055487E-2</c:v>
                </c:pt>
                <c:pt idx="36">
                  <c:v>5.5833646253055487E-2</c:v>
                </c:pt>
                <c:pt idx="37">
                  <c:v>5.5833646253055487E-2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45-4648-9536-D9908F43F1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High Flow (</a:t>
            </a:r>
            <a:r>
              <a:rPr lang="el-GR" sz="1200" baseline="0"/>
              <a:t>τ* = 0.089)</a:t>
            </a:r>
            <a:endParaRPr lang="en-US" sz="1200"/>
          </a:p>
        </c:rich>
      </c:tx>
      <c:layout>
        <c:manualLayout>
          <c:xMode val="edge"/>
          <c:yMode val="edge"/>
          <c:x val="0.31548891171212295"/>
          <c:y val="5.2131017869341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'2. k as func of τ &amp; τmin'!$AD$30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'2. k as func of τ &amp; τmin'!$AB$31:$AB$36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'2. k as func of τ &amp; τmin'!$AD$31:$AD$36</c:f>
              <c:numCache>
                <c:formatCode>0.0000</c:formatCode>
                <c:ptCount val="6"/>
                <c:pt idx="0">
                  <c:v>0.04</c:v>
                </c:pt>
                <c:pt idx="1">
                  <c:v>4.5627026419976936E-2</c:v>
                </c:pt>
                <c:pt idx="2">
                  <c:v>4.860357919174027E-2</c:v>
                </c:pt>
                <c:pt idx="3">
                  <c:v>5.5833646253055487E-2</c:v>
                </c:pt>
                <c:pt idx="4">
                  <c:v>5.145407230191433E-2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18-451C-A497-C3172A280B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'2. k as func of τ &amp; τmin'!$K$30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'2. k as func of τ &amp; τmin'!$V$4:$V$41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τmin'!$Y$4:$Y$41</c:f>
              <c:numCache>
                <c:formatCode>0.0000</c:formatCode>
                <c:ptCount val="38"/>
                <c:pt idx="0">
                  <c:v>5.0982897255603163E-2</c:v>
                </c:pt>
                <c:pt idx="1">
                  <c:v>5.4347585148731899E-2</c:v>
                </c:pt>
                <c:pt idx="2">
                  <c:v>5.5378380971973472E-2</c:v>
                </c:pt>
                <c:pt idx="3">
                  <c:v>5.5694172529158356E-2</c:v>
                </c:pt>
                <c:pt idx="4">
                  <c:v>5.5790917495853756E-2</c:v>
                </c:pt>
                <c:pt idx="5">
                  <c:v>5.5820555997479093E-2</c:v>
                </c:pt>
                <c:pt idx="6">
                  <c:v>5.5829635961105122E-2</c:v>
                </c:pt>
                <c:pt idx="7">
                  <c:v>5.58324176718843E-2</c:v>
                </c:pt>
                <c:pt idx="8">
                  <c:v>5.5833269868564565E-2</c:v>
                </c:pt>
                <c:pt idx="9">
                  <c:v>5.5833530945016974E-2</c:v>
                </c:pt>
                <c:pt idx="10">
                  <c:v>5.5833610927626127E-2</c:v>
                </c:pt>
                <c:pt idx="11">
                  <c:v>5.5833635430861513E-2</c:v>
                </c:pt>
                <c:pt idx="12">
                  <c:v>5.5833642937600174E-2</c:v>
                </c:pt>
                <c:pt idx="13">
                  <c:v>5.5833645237342411E-2</c:v>
                </c:pt>
                <c:pt idx="14">
                  <c:v>5.5833645941884634E-2</c:v>
                </c:pt>
                <c:pt idx="15">
                  <c:v>5.5833646157726104E-2</c:v>
                </c:pt>
                <c:pt idx="16">
                  <c:v>5.5833646223850661E-2</c:v>
                </c:pt>
                <c:pt idx="17">
                  <c:v>5.583364624410838E-2</c:v>
                </c:pt>
                <c:pt idx="18">
                  <c:v>5.5833646250314478E-2</c:v>
                </c:pt>
                <c:pt idx="19">
                  <c:v>5.5833646252215763E-2</c:v>
                </c:pt>
                <c:pt idx="20">
                  <c:v>5.5833646253053218E-2</c:v>
                </c:pt>
                <c:pt idx="21">
                  <c:v>5.583364625305548E-2</c:v>
                </c:pt>
                <c:pt idx="22">
                  <c:v>5.5833646253055487E-2</c:v>
                </c:pt>
                <c:pt idx="23">
                  <c:v>5.5833646253055487E-2</c:v>
                </c:pt>
                <c:pt idx="24">
                  <c:v>5.5833646253055487E-2</c:v>
                </c:pt>
                <c:pt idx="25">
                  <c:v>5.5833646253055487E-2</c:v>
                </c:pt>
                <c:pt idx="26">
                  <c:v>5.5833646253055487E-2</c:v>
                </c:pt>
                <c:pt idx="27">
                  <c:v>5.5833646253055487E-2</c:v>
                </c:pt>
                <c:pt idx="28">
                  <c:v>5.5833646253055487E-2</c:v>
                </c:pt>
                <c:pt idx="29">
                  <c:v>5.5833646253055487E-2</c:v>
                </c:pt>
                <c:pt idx="30">
                  <c:v>5.5833646253055487E-2</c:v>
                </c:pt>
                <c:pt idx="31">
                  <c:v>5.5833646253055487E-2</c:v>
                </c:pt>
                <c:pt idx="32">
                  <c:v>5.5833646253055487E-2</c:v>
                </c:pt>
                <c:pt idx="33">
                  <c:v>5.5833646253055487E-2</c:v>
                </c:pt>
                <c:pt idx="34">
                  <c:v>5.5833646253055487E-2</c:v>
                </c:pt>
                <c:pt idx="35">
                  <c:v>5.5833646253055487E-2</c:v>
                </c:pt>
                <c:pt idx="36">
                  <c:v>5.5833646253055487E-2</c:v>
                </c:pt>
                <c:pt idx="37">
                  <c:v>5.5833646253055487E-2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18-451C-A497-C3172A280B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Low Flow (</a:t>
            </a:r>
            <a:r>
              <a:rPr lang="el-GR" sz="1200" baseline="0"/>
              <a:t>τ* = 0.086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'2. k as func of τ &amp; τmin'!$AD$39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'2. k as func of τ &amp; τmin'!$AB$40:$AB$45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'2. k as func of τ &amp; τmin'!$AD$40:$AD$45</c:f>
              <c:numCache>
                <c:formatCode>0.0000</c:formatCode>
                <c:ptCount val="6"/>
                <c:pt idx="0">
                  <c:v>0.04</c:v>
                </c:pt>
                <c:pt idx="2">
                  <c:v>4.880607945181633E-2</c:v>
                </c:pt>
                <c:pt idx="3">
                  <c:v>4.7893651283411866E-2</c:v>
                </c:pt>
                <c:pt idx="4">
                  <c:v>5.1755608653064417E-2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88-4B3F-BC57-9F0772E48D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'2. k as func of τ &amp; τmin'!$K$39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'2. k as func of τ &amp; τmin'!$V$4:$V$41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τmin'!$X$4:$X$41</c:f>
              <c:numCache>
                <c:formatCode>0.0000</c:formatCode>
                <c:ptCount val="38"/>
                <c:pt idx="0">
                  <c:v>5.0377083051721408E-2</c:v>
                </c:pt>
                <c:pt idx="1">
                  <c:v>5.395321508171947E-2</c:v>
                </c:pt>
                <c:pt idx="2">
                  <c:v>5.5185615384601948E-2</c:v>
                </c:pt>
                <c:pt idx="3">
                  <c:v>5.5610322999926111E-2</c:v>
                </c:pt>
                <c:pt idx="4">
                  <c:v>5.5756684988066206E-2</c:v>
                </c:pt>
                <c:pt idx="5">
                  <c:v>5.5807123997868205E-2</c:v>
                </c:pt>
                <c:pt idx="6">
                  <c:v>5.5824506200324843E-2</c:v>
                </c:pt>
                <c:pt idx="7">
                  <c:v>5.5830496424229506E-2</c:v>
                </c:pt>
                <c:pt idx="8">
                  <c:v>5.5832560764609698E-2</c:v>
                </c:pt>
                <c:pt idx="9">
                  <c:v>5.5833272173944834E-2</c:v>
                </c:pt>
                <c:pt idx="10">
                  <c:v>5.5833517338573189E-2</c:v>
                </c:pt>
                <c:pt idx="11">
                  <c:v>5.5833601826774326E-2</c:v>
                </c:pt>
                <c:pt idx="12">
                  <c:v>5.583363094294895E-2</c:v>
                </c:pt>
                <c:pt idx="13">
                  <c:v>5.5833640976913616E-2</c:v>
                </c:pt>
                <c:pt idx="14">
                  <c:v>5.5833644434800794E-2</c:v>
                </c:pt>
                <c:pt idx="15">
                  <c:v>5.5833645626451767E-2</c:v>
                </c:pt>
                <c:pt idx="16">
                  <c:v>5.5833646037116422E-2</c:v>
                </c:pt>
                <c:pt idx="17">
                  <c:v>5.5833646178638945E-2</c:v>
                </c:pt>
                <c:pt idx="18">
                  <c:v>5.5833646227410189E-2</c:v>
                </c:pt>
                <c:pt idx="19">
                  <c:v>5.5833646244217647E-2</c:v>
                </c:pt>
                <c:pt idx="20">
                  <c:v>5.5833646253012528E-2</c:v>
                </c:pt>
                <c:pt idx="21">
                  <c:v>5.5833646253055279E-2</c:v>
                </c:pt>
                <c:pt idx="22">
                  <c:v>5.5833646253055487E-2</c:v>
                </c:pt>
                <c:pt idx="23">
                  <c:v>5.5833646253055487E-2</c:v>
                </c:pt>
                <c:pt idx="24">
                  <c:v>5.5833646253055487E-2</c:v>
                </c:pt>
                <c:pt idx="25">
                  <c:v>5.5833646253055487E-2</c:v>
                </c:pt>
                <c:pt idx="26">
                  <c:v>5.5833646253055487E-2</c:v>
                </c:pt>
                <c:pt idx="27">
                  <c:v>5.5833646253055487E-2</c:v>
                </c:pt>
                <c:pt idx="28">
                  <c:v>5.5833646253055487E-2</c:v>
                </c:pt>
                <c:pt idx="29">
                  <c:v>5.5833646253055487E-2</c:v>
                </c:pt>
                <c:pt idx="30">
                  <c:v>5.5833646253055487E-2</c:v>
                </c:pt>
                <c:pt idx="31">
                  <c:v>5.5833646253055487E-2</c:v>
                </c:pt>
                <c:pt idx="32">
                  <c:v>5.5833646253055487E-2</c:v>
                </c:pt>
                <c:pt idx="33">
                  <c:v>5.5833646253055487E-2</c:v>
                </c:pt>
                <c:pt idx="34">
                  <c:v>5.5833646253055487E-2</c:v>
                </c:pt>
                <c:pt idx="35">
                  <c:v>5.5833646253055487E-2</c:v>
                </c:pt>
                <c:pt idx="36">
                  <c:v>5.5833646253055487E-2</c:v>
                </c:pt>
                <c:pt idx="37">
                  <c:v>5.5833646253055487E-2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488-4B3F-BC57-9F0772E48D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u="none" strike="noStrike" baseline="0">
                <a:effectLst/>
              </a:rPr>
              <a:t>Low Flow (</a:t>
            </a:r>
            <a:r>
              <a:rPr lang="el-GR" sz="1200" b="0" i="0" u="none" strike="noStrike" baseline="0">
                <a:effectLst/>
              </a:rPr>
              <a:t>τ* = 0.075)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'2. k as func of τ &amp; τmin'!$AD$48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 k as func of τ &amp; τmin'!$AB$49:$AB$54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'2. k as func of τ &amp; τmin'!$AD$49:$AD$54</c:f>
              <c:numCache>
                <c:formatCode>0.0000</c:formatCode>
                <c:ptCount val="6"/>
                <c:pt idx="0">
                  <c:v>0.04</c:v>
                </c:pt>
                <c:pt idx="1">
                  <c:v>4.0883015185033886E-2</c:v>
                </c:pt>
                <c:pt idx="2">
                  <c:v>4.7200498607488234E-2</c:v>
                </c:pt>
                <c:pt idx="3">
                  <c:v>4.7978393655140922E-2</c:v>
                </c:pt>
                <c:pt idx="4">
                  <c:v>5.2297832157699113E-2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D9-47D8-9593-4EEDF5A088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'2. k as func of τ &amp; τmin'!$K$21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'2. k as func of τ &amp; τmin'!$V$4:$V$41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τmin'!$W$4:$W$41</c:f>
              <c:numCache>
                <c:formatCode>0.0000</c:formatCode>
                <c:ptCount val="38"/>
                <c:pt idx="0">
                  <c:v>5.009893083964715E-2</c:v>
                </c:pt>
                <c:pt idx="1">
                  <c:v>5.3756616089113508E-2</c:v>
                </c:pt>
                <c:pt idx="2">
                  <c:v>5.5081376263887732E-2</c:v>
                </c:pt>
                <c:pt idx="3">
                  <c:v>5.5561185050311844E-2</c:v>
                </c:pt>
                <c:pt idx="4">
                  <c:v>5.5734964784873248E-2</c:v>
                </c:pt>
                <c:pt idx="5">
                  <c:v>5.5797905266579094E-2</c:v>
                </c:pt>
                <c:pt idx="6">
                  <c:v>5.5820701389771264E-2</c:v>
                </c:pt>
                <c:pt idx="7">
                  <c:v>5.5828957812641064E-2</c:v>
                </c:pt>
                <c:pt idx="8">
                  <c:v>5.5831948168414733E-2</c:v>
                </c:pt>
                <c:pt idx="9">
                  <c:v>5.5833031231600105E-2</c:v>
                </c:pt>
                <c:pt idx="10">
                  <c:v>5.5833423501267083E-2</c:v>
                </c:pt>
                <c:pt idx="11">
                  <c:v>5.5833565575611144E-2</c:v>
                </c:pt>
                <c:pt idx="12">
                  <c:v>5.5833617032863485E-2</c:v>
                </c:pt>
                <c:pt idx="13">
                  <c:v>5.5833635669928723E-2</c:v>
                </c:pt>
                <c:pt idx="14">
                  <c:v>5.5833642420001543E-2</c:v>
                </c:pt>
                <c:pt idx="15">
                  <c:v>5.5833644864779333E-2</c:v>
                </c:pt>
                <c:pt idx="16">
                  <c:v>5.583364575024214E-2</c:v>
                </c:pt>
                <c:pt idx="17">
                  <c:v>5.5833646070943835E-2</c:v>
                </c:pt>
                <c:pt idx="18">
                  <c:v>5.5833646187097311E-2</c:v>
                </c:pt>
                <c:pt idx="19">
                  <c:v>5.5833646229166395E-2</c:v>
                </c:pt>
                <c:pt idx="20">
                  <c:v>5.5833646252906599E-2</c:v>
                </c:pt>
                <c:pt idx="21">
                  <c:v>5.5833646253054557E-2</c:v>
                </c:pt>
                <c:pt idx="22">
                  <c:v>5.583364625305548E-2</c:v>
                </c:pt>
                <c:pt idx="23">
                  <c:v>5.5833646253055487E-2</c:v>
                </c:pt>
                <c:pt idx="24">
                  <c:v>5.5833646253055487E-2</c:v>
                </c:pt>
                <c:pt idx="25">
                  <c:v>5.5833646253055487E-2</c:v>
                </c:pt>
                <c:pt idx="26">
                  <c:v>5.5833646253055487E-2</c:v>
                </c:pt>
                <c:pt idx="27">
                  <c:v>5.5833646253055487E-2</c:v>
                </c:pt>
                <c:pt idx="28">
                  <c:v>5.5833646253055487E-2</c:v>
                </c:pt>
                <c:pt idx="29">
                  <c:v>5.5833646253055487E-2</c:v>
                </c:pt>
                <c:pt idx="30">
                  <c:v>5.5833646253055487E-2</c:v>
                </c:pt>
                <c:pt idx="31">
                  <c:v>5.5833646253055487E-2</c:v>
                </c:pt>
                <c:pt idx="32">
                  <c:v>5.5833646253055487E-2</c:v>
                </c:pt>
                <c:pt idx="33">
                  <c:v>5.5833646253055487E-2</c:v>
                </c:pt>
                <c:pt idx="34">
                  <c:v>5.5833646253055487E-2</c:v>
                </c:pt>
                <c:pt idx="35">
                  <c:v>5.5833646253055487E-2</c:v>
                </c:pt>
                <c:pt idx="36">
                  <c:v>5.5833646253055487E-2</c:v>
                </c:pt>
                <c:pt idx="37">
                  <c:v>5.5833646253055487E-2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ED9-47D8-9593-4EEDF5A088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ax val="6.0000000000000012E-2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Testing</a:t>
            </a:r>
            <a:r>
              <a:rPr lang="en-US" sz="1200" baseline="0"/>
              <a:t> Equation with flume data (k=</a:t>
            </a:r>
            <a:r>
              <a:rPr lang="el-GR" sz="1200" baseline="0"/>
              <a:t>τ*τ</a:t>
            </a:r>
            <a:r>
              <a:rPr lang="en-US" sz="1200" baseline="0"/>
              <a:t>min^2) </a:t>
            </a:r>
            <a:endParaRPr lang="en-US" sz="1200"/>
          </a:p>
        </c:rich>
      </c:tx>
      <c:layout>
        <c:manualLayout>
          <c:xMode val="edge"/>
          <c:yMode val="edge"/>
          <c:x val="0.1763585791018838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0"/>
          <c:tx>
            <c:strRef>
              <c:f>'2. k as func of τ &amp; τmin'!$AQ$2</c:f>
              <c:strCache>
                <c:ptCount val="1"/>
                <c:pt idx="0">
                  <c:v>0.0001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'2. k as func of τ &amp; τmin'!$V$4:$V$41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τmin'!$AQ$4:$AQ$41</c:f>
              <c:numCache>
                <c:formatCode>0.0000</c:formatCode>
                <c:ptCount val="38"/>
                <c:pt idx="0">
                  <c:v>4.0001386098885164E-2</c:v>
                </c:pt>
                <c:pt idx="1">
                  <c:v>4.0002772076429348E-2</c:v>
                </c:pt>
                <c:pt idx="2">
                  <c:v>4.000415793264317E-2</c:v>
                </c:pt>
                <c:pt idx="3">
                  <c:v>4.0005543667537266E-2</c:v>
                </c:pt>
                <c:pt idx="4">
                  <c:v>4.0006929281122247E-2</c:v>
                </c:pt>
                <c:pt idx="5">
                  <c:v>4.0008314773408736E-2</c:v>
                </c:pt>
                <c:pt idx="6">
                  <c:v>4.0009700144407342E-2</c:v>
                </c:pt>
                <c:pt idx="7">
                  <c:v>4.0011085394128704E-2</c:v>
                </c:pt>
                <c:pt idx="8">
                  <c:v>4.0012470522583415E-2</c:v>
                </c:pt>
                <c:pt idx="9">
                  <c:v>4.0013855529782101E-2</c:v>
                </c:pt>
                <c:pt idx="10">
                  <c:v>4.0015240415735377E-2</c:v>
                </c:pt>
                <c:pt idx="11">
                  <c:v>4.001662518045386E-2</c:v>
                </c:pt>
                <c:pt idx="12">
                  <c:v>4.0018009823948153E-2</c:v>
                </c:pt>
                <c:pt idx="13">
                  <c:v>4.0019394346228886E-2</c:v>
                </c:pt>
                <c:pt idx="14">
                  <c:v>4.0020778747306654E-2</c:v>
                </c:pt>
                <c:pt idx="15">
                  <c:v>4.0022163027192068E-2</c:v>
                </c:pt>
                <c:pt idx="16">
                  <c:v>4.002354718589575E-2</c:v>
                </c:pt>
                <c:pt idx="17">
                  <c:v>4.0024931223428289E-2</c:v>
                </c:pt>
                <c:pt idx="18">
                  <c:v>4.0026315139800317E-2</c:v>
                </c:pt>
                <c:pt idx="19">
                  <c:v>4.0027698935022421E-2</c:v>
                </c:pt>
                <c:pt idx="20">
                  <c:v>4.0034616094255335E-2</c:v>
                </c:pt>
                <c:pt idx="21">
                  <c:v>4.0041530226330765E-2</c:v>
                </c:pt>
                <c:pt idx="22">
                  <c:v>4.0048441332573473E-2</c:v>
                </c:pt>
                <c:pt idx="23">
                  <c:v>4.0055349414307662E-2</c:v>
                </c:pt>
                <c:pt idx="24">
                  <c:v>4.006225447285694E-2</c:v>
                </c:pt>
                <c:pt idx="25">
                  <c:v>4.006915650954436E-2</c:v>
                </c:pt>
                <c:pt idx="26">
                  <c:v>4.0076055525692364E-2</c:v>
                </c:pt>
                <c:pt idx="27">
                  <c:v>4.0082951522622833E-2</c:v>
                </c:pt>
                <c:pt idx="28">
                  <c:v>4.0089844501657076E-2</c:v>
                </c:pt>
                <c:pt idx="29">
                  <c:v>4.0096734464115803E-2</c:v>
                </c:pt>
                <c:pt idx="30">
                  <c:v>4.0103621411319172E-2</c:v>
                </c:pt>
                <c:pt idx="31">
                  <c:v>4.0110505344586739E-2</c:v>
                </c:pt>
                <c:pt idx="32">
                  <c:v>4.0117386265237504E-2</c:v>
                </c:pt>
                <c:pt idx="33">
                  <c:v>4.012426417458987E-2</c:v>
                </c:pt>
                <c:pt idx="34">
                  <c:v>4.0131139073961673E-2</c:v>
                </c:pt>
                <c:pt idx="35">
                  <c:v>4.0138010964670179E-2</c:v>
                </c:pt>
                <c:pt idx="36">
                  <c:v>4.0151745725363418E-2</c:v>
                </c:pt>
                <c:pt idx="37">
                  <c:v>4.0165468467196139E-2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92F-48EB-8D71-7B7901328D2B}"/>
            </c:ext>
          </c:extLst>
        </c:ser>
        <c:ser>
          <c:idx val="2"/>
          <c:order val="1"/>
          <c:tx>
            <c:strRef>
              <c:f>'2. k as func of τ &amp; τmin'!$AP$2</c:f>
              <c:strCache>
                <c:ptCount val="1"/>
                <c:pt idx="0">
                  <c:v>0.0001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'2. k as func of τ &amp; τmin'!$AM$4:$AM$59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τmin'!$AP$4:$AP$41</c:f>
              <c:numCache>
                <c:formatCode>0.0000</c:formatCode>
                <c:ptCount val="38"/>
                <c:pt idx="0">
                  <c:v>4.0001198755758541E-2</c:v>
                </c:pt>
                <c:pt idx="1">
                  <c:v>4.0002397420760005E-2</c:v>
                </c:pt>
                <c:pt idx="2">
                  <c:v>4.0003595995011271E-2</c:v>
                </c:pt>
                <c:pt idx="3">
                  <c:v>4.0004794478519207E-2</c:v>
                </c:pt>
                <c:pt idx="4">
                  <c:v>4.0005992871290683E-2</c:v>
                </c:pt>
                <c:pt idx="5">
                  <c:v>4.0007191173332568E-2</c:v>
                </c:pt>
                <c:pt idx="6">
                  <c:v>4.0008389384651732E-2</c:v>
                </c:pt>
                <c:pt idx="7">
                  <c:v>4.0009587505255045E-2</c:v>
                </c:pt>
                <c:pt idx="8">
                  <c:v>4.0010785535149376E-2</c:v>
                </c:pt>
                <c:pt idx="9">
                  <c:v>4.0011983474341581E-2</c:v>
                </c:pt>
                <c:pt idx="10">
                  <c:v>4.0013181322838542E-2</c:v>
                </c:pt>
                <c:pt idx="11">
                  <c:v>4.0014379080647117E-2</c:v>
                </c:pt>
                <c:pt idx="12">
                  <c:v>4.001557674777418E-2</c:v>
                </c:pt>
                <c:pt idx="13">
                  <c:v>4.0016774324226588E-2</c:v>
                </c:pt>
                <c:pt idx="14">
                  <c:v>4.001797181001121E-2</c:v>
                </c:pt>
                <c:pt idx="15">
                  <c:v>4.0019169205134902E-2</c:v>
                </c:pt>
                <c:pt idx="16">
                  <c:v>4.0020366509604541E-2</c:v>
                </c:pt>
                <c:pt idx="17">
                  <c:v>4.0021563723426981E-2</c:v>
                </c:pt>
                <c:pt idx="18">
                  <c:v>4.0022760846609093E-2</c:v>
                </c:pt>
                <c:pt idx="19">
                  <c:v>4.0023957879157732E-2</c:v>
                </c:pt>
                <c:pt idx="20">
                  <c:v>4.0029941682639028E-2</c:v>
                </c:pt>
                <c:pt idx="21">
                  <c:v>4.0035923221312608E-2</c:v>
                </c:pt>
                <c:pt idx="22">
                  <c:v>4.0041902496035689E-2</c:v>
                </c:pt>
                <c:pt idx="23">
                  <c:v>4.0047879507665141E-2</c:v>
                </c:pt>
                <c:pt idx="24">
                  <c:v>4.0053854257057542E-2</c:v>
                </c:pt>
                <c:pt idx="25">
                  <c:v>4.0059826745069103E-2</c:v>
                </c:pt>
                <c:pt idx="26">
                  <c:v>4.0065796972555745E-2</c:v>
                </c:pt>
                <c:pt idx="27">
                  <c:v>4.0071764940373053E-2</c:v>
                </c:pt>
                <c:pt idx="28">
                  <c:v>4.0077730649376295E-2</c:v>
                </c:pt>
                <c:pt idx="29">
                  <c:v>4.008369410042039E-2</c:v>
                </c:pt>
                <c:pt idx="30">
                  <c:v>4.0089655294359969E-2</c:v>
                </c:pt>
                <c:pt idx="31">
                  <c:v>4.0095614232049312E-2</c:v>
                </c:pt>
                <c:pt idx="32">
                  <c:v>4.0101570914342397E-2</c:v>
                </c:pt>
                <c:pt idx="33">
                  <c:v>4.0107525342092859E-2</c:v>
                </c:pt>
                <c:pt idx="34">
                  <c:v>4.0113477516154024E-2</c:v>
                </c:pt>
                <c:pt idx="35">
                  <c:v>4.0119427437378889E-2</c:v>
                </c:pt>
                <c:pt idx="36">
                  <c:v>4.0131320524730091E-2</c:v>
                </c:pt>
                <c:pt idx="37">
                  <c:v>4.0143204610964003E-2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92F-48EB-8D71-7B7901328D2B}"/>
            </c:ext>
          </c:extLst>
        </c:ser>
        <c:ser>
          <c:idx val="1"/>
          <c:order val="2"/>
          <c:tx>
            <c:strRef>
              <c:f>'2. k as func of τ &amp; τmin'!$AO$2</c:f>
              <c:strCache>
                <c:ptCount val="1"/>
                <c:pt idx="0">
                  <c:v>0.0001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'2. k as func of τ &amp; τmin'!$AM$4:$AM$59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τmin'!$AO$4:$AO$41</c:f>
              <c:numCache>
                <c:formatCode>0.0000</c:formatCode>
                <c:ptCount val="38"/>
                <c:pt idx="0">
                  <c:v>4.0001079506818832E-2</c:v>
                </c:pt>
                <c:pt idx="1">
                  <c:v>4.0002158940039022E-2</c:v>
                </c:pt>
                <c:pt idx="2">
                  <c:v>4.0003238299665574E-2</c:v>
                </c:pt>
                <c:pt idx="3">
                  <c:v>4.0004317585703511E-2</c:v>
                </c:pt>
                <c:pt idx="4">
                  <c:v>4.0005396798157858E-2</c:v>
                </c:pt>
                <c:pt idx="5">
                  <c:v>4.0006475937033624E-2</c:v>
                </c:pt>
                <c:pt idx="6">
                  <c:v>4.0007555002335826E-2</c:v>
                </c:pt>
                <c:pt idx="7">
                  <c:v>4.0008633994069481E-2</c:v>
                </c:pt>
                <c:pt idx="8">
                  <c:v>4.0009712912239599E-2</c:v>
                </c:pt>
                <c:pt idx="9">
                  <c:v>4.0010791756851211E-2</c:v>
                </c:pt>
                <c:pt idx="10">
                  <c:v>4.0011870527909305E-2</c:v>
                </c:pt>
                <c:pt idx="11">
                  <c:v>4.0012949225418926E-2</c:v>
                </c:pt>
                <c:pt idx="12">
                  <c:v>4.0014027849385077E-2</c:v>
                </c:pt>
                <c:pt idx="13">
                  <c:v>4.0015106399812761E-2</c:v>
                </c:pt>
                <c:pt idx="14">
                  <c:v>4.0016184876707009E-2</c:v>
                </c:pt>
                <c:pt idx="15">
                  <c:v>4.0017263280072823E-2</c:v>
                </c:pt>
                <c:pt idx="16">
                  <c:v>4.0018341609915221E-2</c:v>
                </c:pt>
                <c:pt idx="17">
                  <c:v>4.0019419866239213E-2</c:v>
                </c:pt>
                <c:pt idx="18">
                  <c:v>4.0020498049049814E-2</c:v>
                </c:pt>
                <c:pt idx="19">
                  <c:v>4.0021576158352029E-2</c:v>
                </c:pt>
                <c:pt idx="20">
                  <c:v>4.0026965602412812E-2</c:v>
                </c:pt>
                <c:pt idx="21">
                  <c:v>4.0032353209515675E-2</c:v>
                </c:pt>
                <c:pt idx="22">
                  <c:v>4.0037738980286744E-2</c:v>
                </c:pt>
                <c:pt idx="23">
                  <c:v>4.004312291535192E-2</c:v>
                </c:pt>
                <c:pt idx="24">
                  <c:v>4.0048505015336883E-2</c:v>
                </c:pt>
                <c:pt idx="25">
                  <c:v>4.0053885280867119E-2</c:v>
                </c:pt>
                <c:pt idx="26">
                  <c:v>4.0059263712567884E-2</c:v>
                </c:pt>
                <c:pt idx="27">
                  <c:v>4.0064640311064229E-2</c:v>
                </c:pt>
                <c:pt idx="28">
                  <c:v>4.0070015076980992E-2</c:v>
                </c:pt>
                <c:pt idx="29">
                  <c:v>4.0075388010942792E-2</c:v>
                </c:pt>
                <c:pt idx="30">
                  <c:v>4.0080759113574047E-2</c:v>
                </c:pt>
                <c:pt idx="31">
                  <c:v>4.0086128385498937E-2</c:v>
                </c:pt>
                <c:pt idx="32">
                  <c:v>4.0091495827341471E-2</c:v>
                </c:pt>
                <c:pt idx="33">
                  <c:v>4.0096861439725406E-2</c:v>
                </c:pt>
                <c:pt idx="34">
                  <c:v>4.01022252232743E-2</c:v>
                </c:pt>
                <c:pt idx="35">
                  <c:v>4.0107587178611501E-2</c:v>
                </c:pt>
                <c:pt idx="36">
                  <c:v>4.0118305607143176E-2</c:v>
                </c:pt>
                <c:pt idx="37">
                  <c:v>4.0129016730302933E-2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92F-48EB-8D71-7B7901328D2B}"/>
            </c:ext>
          </c:extLst>
        </c:ser>
        <c:ser>
          <c:idx val="0"/>
          <c:order val="3"/>
          <c:tx>
            <c:strRef>
              <c:f>'2. k as func of τ &amp; τmin'!$AN$2</c:f>
              <c:strCache>
                <c:ptCount val="1"/>
                <c:pt idx="0">
                  <c:v>0.0001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 k as func of τ &amp; τmin'!$AM$4:$AM$59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τmin'!$AN$4:$AN$41</c:f>
              <c:numCache>
                <c:formatCode>0.0000</c:formatCode>
                <c:ptCount val="38"/>
                <c:pt idx="0">
                  <c:v>4.0001029127272852E-2</c:v>
                </c:pt>
                <c:pt idx="1">
                  <c:v>4.0002058187656314E-2</c:v>
                </c:pt>
                <c:pt idx="2">
                  <c:v>4.0003087181154737E-2</c:v>
                </c:pt>
                <c:pt idx="3">
                  <c:v>4.0004116107772464E-2</c:v>
                </c:pt>
                <c:pt idx="4">
                  <c:v>4.0005144967513839E-2</c:v>
                </c:pt>
                <c:pt idx="5">
                  <c:v>4.0006173760383207E-2</c:v>
                </c:pt>
                <c:pt idx="6">
                  <c:v>4.0007202486384931E-2</c:v>
                </c:pt>
                <c:pt idx="7">
                  <c:v>4.0008231145523342E-2</c:v>
                </c:pt>
                <c:pt idx="8">
                  <c:v>4.0009259737802783E-2</c:v>
                </c:pt>
                <c:pt idx="9">
                  <c:v>4.0010288263227611E-2</c:v>
                </c:pt>
                <c:pt idx="10">
                  <c:v>4.0011316721802172E-2</c:v>
                </c:pt>
                <c:pt idx="11">
                  <c:v>4.0012345113530801E-2</c:v>
                </c:pt>
                <c:pt idx="12">
                  <c:v>4.0013373438417849E-2</c:v>
                </c:pt>
                <c:pt idx="13">
                  <c:v>4.0014401696467652E-2</c:v>
                </c:pt>
                <c:pt idx="14">
                  <c:v>4.001542988768457E-2</c:v>
                </c:pt>
                <c:pt idx="15">
                  <c:v>4.0016458012072931E-2</c:v>
                </c:pt>
                <c:pt idx="16">
                  <c:v>4.0017486069637093E-2</c:v>
                </c:pt>
                <c:pt idx="17">
                  <c:v>4.0018514060381385E-2</c:v>
                </c:pt>
                <c:pt idx="18">
                  <c:v>4.001954198431016E-2</c:v>
                </c:pt>
                <c:pt idx="19">
                  <c:v>4.0020569841427753E-2</c:v>
                </c:pt>
                <c:pt idx="20">
                  <c:v>4.0025708125000052E-2</c:v>
                </c:pt>
                <c:pt idx="21">
                  <c:v>4.0030844738944166E-2</c:v>
                </c:pt>
                <c:pt idx="22">
                  <c:v>4.0035979683802618E-2</c:v>
                </c:pt>
                <c:pt idx="23">
                  <c:v>4.0041112960117767E-2</c:v>
                </c:pt>
                <c:pt idx="24">
                  <c:v>4.0046244568431782E-2</c:v>
                </c:pt>
                <c:pt idx="25">
                  <c:v>4.0051374509286655E-2</c:v>
                </c:pt>
                <c:pt idx="26">
                  <c:v>4.0056502783224229E-2</c:v>
                </c:pt>
                <c:pt idx="27">
                  <c:v>4.0061629390786127E-2</c:v>
                </c:pt>
                <c:pt idx="28">
                  <c:v>4.0066754332513839E-2</c:v>
                </c:pt>
                <c:pt idx="29">
                  <c:v>4.0071877608948647E-2</c:v>
                </c:pt>
                <c:pt idx="30">
                  <c:v>4.0076999220631668E-2</c:v>
                </c:pt>
                <c:pt idx="31">
                  <c:v>4.0082119168103857E-2</c:v>
                </c:pt>
                <c:pt idx="32">
                  <c:v>4.0087237451905969E-2</c:v>
                </c:pt>
                <c:pt idx="33">
                  <c:v>4.00923540725786E-2</c:v>
                </c:pt>
                <c:pt idx="34">
                  <c:v>4.0097469030662164E-2</c:v>
                </c:pt>
                <c:pt idx="35">
                  <c:v>4.0102582326696903E-2</c:v>
                </c:pt>
                <c:pt idx="36">
                  <c:v>4.0112803934779978E-2</c:v>
                </c:pt>
                <c:pt idx="37">
                  <c:v>4.0123018901146237E-2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92F-48EB-8D71-7B7901328D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1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4.0000000000000008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Measured vs Predicted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(k=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τ*τ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min^2)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'2. k as func of τ &amp; τmin'!$AS$47</c:f>
              <c:strCache>
                <c:ptCount val="1"/>
                <c:pt idx="0">
                  <c:v>Low Flow (τ* = 0.075)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 k as func of τ &amp; τmin'!$AT$49:$AT$54</c:f>
              <c:numCache>
                <c:formatCode>0.0000</c:formatCode>
                <c:ptCount val="6"/>
                <c:pt idx="0">
                  <c:v>0.04</c:v>
                </c:pt>
                <c:pt idx="1">
                  <c:v>4.0010288263227611E-2</c:v>
                </c:pt>
                <c:pt idx="2">
                  <c:v>4.0030844738944166E-2</c:v>
                </c:pt>
                <c:pt idx="3">
                  <c:v>4.0061629390786127E-2</c:v>
                </c:pt>
                <c:pt idx="4">
                  <c:v>4.0123018901146237E-2</c:v>
                </c:pt>
              </c:numCache>
            </c:numRef>
          </c:xVal>
          <c:yVal>
            <c:numRef>
              <c:f>'2. k as func of τ &amp; τmin'!$AU$49:$AU$54</c:f>
              <c:numCache>
                <c:formatCode>0.0000</c:formatCode>
                <c:ptCount val="6"/>
                <c:pt idx="0">
                  <c:v>0.04</c:v>
                </c:pt>
                <c:pt idx="1">
                  <c:v>4.0883015185033886E-2</c:v>
                </c:pt>
                <c:pt idx="2">
                  <c:v>4.7200498607488234E-2</c:v>
                </c:pt>
                <c:pt idx="3">
                  <c:v>4.7978393655140922E-2</c:v>
                </c:pt>
                <c:pt idx="4">
                  <c:v>5.2297832157699113E-2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D4-404C-8EEB-AABF3640F1A9}"/>
            </c:ext>
          </c:extLst>
        </c:ser>
        <c:ser>
          <c:idx val="1"/>
          <c:order val="1"/>
          <c:tx>
            <c:strRef>
              <c:f>'2. k as func of τ &amp; τmin'!$AS$38</c:f>
              <c:strCache>
                <c:ptCount val="1"/>
                <c:pt idx="0">
                  <c:v>Med Low Flow (τ* = 0.086)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'2. k as func of τ &amp; τmin'!$AT$40:$AT$45</c:f>
              <c:numCache>
                <c:formatCode>0.0000</c:formatCode>
                <c:ptCount val="6"/>
                <c:pt idx="0">
                  <c:v>0.04</c:v>
                </c:pt>
                <c:pt idx="2">
                  <c:v>4.0032353209515675E-2</c:v>
                </c:pt>
                <c:pt idx="3">
                  <c:v>4.0064640311064229E-2</c:v>
                </c:pt>
                <c:pt idx="4">
                  <c:v>4.0129016730302933E-2</c:v>
                </c:pt>
              </c:numCache>
            </c:numRef>
          </c:xVal>
          <c:yVal>
            <c:numRef>
              <c:f>'2. k as func of τ &amp; τmin'!$AU$40:$AU$45</c:f>
              <c:numCache>
                <c:formatCode>0.0000</c:formatCode>
                <c:ptCount val="6"/>
                <c:pt idx="0">
                  <c:v>0.04</c:v>
                </c:pt>
                <c:pt idx="2">
                  <c:v>4.880607945181633E-2</c:v>
                </c:pt>
                <c:pt idx="3">
                  <c:v>4.7893651283411866E-2</c:v>
                </c:pt>
                <c:pt idx="4">
                  <c:v>5.1755608653064417E-2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AD4-404C-8EEB-AABF3640F1A9}"/>
            </c:ext>
          </c:extLst>
        </c:ser>
        <c:ser>
          <c:idx val="2"/>
          <c:order val="2"/>
          <c:tx>
            <c:strRef>
              <c:f>'2. k as func of τ &amp; τmin'!$AS$29</c:f>
              <c:strCache>
                <c:ptCount val="1"/>
                <c:pt idx="0">
                  <c:v>Med High Flow (τ* = 0.089)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'2. k as func of τ &amp; τmin'!$AT$31:$AT$36</c:f>
              <c:numCache>
                <c:formatCode>0.0000</c:formatCode>
                <c:ptCount val="6"/>
                <c:pt idx="0">
                  <c:v>0.04</c:v>
                </c:pt>
                <c:pt idx="1">
                  <c:v>4.0011983474341581E-2</c:v>
                </c:pt>
                <c:pt idx="2">
                  <c:v>4.0035923221312608E-2</c:v>
                </c:pt>
                <c:pt idx="3">
                  <c:v>4.0071764940373053E-2</c:v>
                </c:pt>
                <c:pt idx="4">
                  <c:v>4.0143204610964003E-2</c:v>
                </c:pt>
              </c:numCache>
            </c:numRef>
          </c:xVal>
          <c:yVal>
            <c:numRef>
              <c:f>'2. k as func of τ &amp; τmin'!$AU$31:$AU$36</c:f>
              <c:numCache>
                <c:formatCode>0.0000</c:formatCode>
                <c:ptCount val="6"/>
                <c:pt idx="0">
                  <c:v>0.04</c:v>
                </c:pt>
                <c:pt idx="1">
                  <c:v>4.5627026419976936E-2</c:v>
                </c:pt>
                <c:pt idx="2">
                  <c:v>4.860357919174027E-2</c:v>
                </c:pt>
                <c:pt idx="3">
                  <c:v>5.5833646253055487E-2</c:v>
                </c:pt>
                <c:pt idx="4">
                  <c:v>5.145407230191433E-2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AD4-404C-8EEB-AABF3640F1A9}"/>
            </c:ext>
          </c:extLst>
        </c:ser>
        <c:ser>
          <c:idx val="3"/>
          <c:order val="3"/>
          <c:tx>
            <c:strRef>
              <c:f>'2. k as func of τ &amp; τmin'!$AS$20</c:f>
              <c:strCache>
                <c:ptCount val="1"/>
                <c:pt idx="0">
                  <c:v>High Flow: (τ* = 0.055)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'2. k as func of τ &amp; τmin'!$AT$22:$AT$27</c:f>
              <c:numCache>
                <c:formatCode>0.0000</c:formatCode>
                <c:ptCount val="6"/>
                <c:pt idx="0">
                  <c:v>0.04</c:v>
                </c:pt>
                <c:pt idx="1">
                  <c:v>4.0013855529782101E-2</c:v>
                </c:pt>
                <c:pt idx="2">
                  <c:v>4.0041530226330765E-2</c:v>
                </c:pt>
                <c:pt idx="3">
                  <c:v>4.0082951522622833E-2</c:v>
                </c:pt>
                <c:pt idx="4">
                  <c:v>4.0165468467196139E-2</c:v>
                </c:pt>
              </c:numCache>
            </c:numRef>
          </c:xVal>
          <c:yVal>
            <c:numRef>
              <c:f>'2. k as func of τ &amp; τmin'!$AU$22:$AU$27</c:f>
              <c:numCache>
                <c:formatCode>0.0000</c:formatCode>
                <c:ptCount val="6"/>
                <c:pt idx="0">
                  <c:v>0.04</c:v>
                </c:pt>
                <c:pt idx="1">
                  <c:v>4.8895149728212996E-2</c:v>
                </c:pt>
                <c:pt idx="2">
                  <c:v>5.1779269484048984E-2</c:v>
                </c:pt>
                <c:pt idx="3">
                  <c:v>4.8961843624642065E-2</c:v>
                </c:pt>
                <c:pt idx="4">
                  <c:v>4.8965324622054551E-2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AD4-404C-8EEB-AABF3640F1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50000"/>
                    <a:lumOff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DAD4-404C-8EEB-AABF3640F1A9}"/>
              </c:ext>
            </c:extLst>
          </c:dPt>
          <c:xVal>
            <c:numRef>
              <c:f>'2. k as func of τ &amp; τmin'!$J$56:$J$57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xVal>
          <c:yVal>
            <c:numRef>
              <c:f>'2. k as func of τ &amp; τmin'!$K$56:$K$57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AD4-404C-8EEB-AABF3640F1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valAx>
        <c:axId val="1496099248"/>
        <c:scaling>
          <c:orientation val="minMax"/>
          <c:max val="6.0000000000000012E-2"/>
          <c:min val="3.5000000000000003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1088"/>
        <c:crosses val="autoZero"/>
        <c:crossBetween val="midCat"/>
      </c:valAx>
      <c:valAx>
        <c:axId val="1496091088"/>
        <c:scaling>
          <c:orientation val="minMax"/>
          <c:max val="6.0000000000000012E-2"/>
          <c:min val="3.5000000000000003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9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High Flow: (</a:t>
            </a:r>
            <a:r>
              <a:rPr lang="el-GR" sz="1200" baseline="0"/>
              <a:t>τ* = 0.108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'2. k as func of τ &amp; τmin'!$AU$21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 k as func of τ &amp; τmin'!$AS$22:$AS$27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'2. k as func of τ &amp; τmin'!$AU$22:$AU$27</c:f>
              <c:numCache>
                <c:formatCode>0.0000</c:formatCode>
                <c:ptCount val="6"/>
                <c:pt idx="0">
                  <c:v>0.04</c:v>
                </c:pt>
                <c:pt idx="1">
                  <c:v>4.8895149728212996E-2</c:v>
                </c:pt>
                <c:pt idx="2">
                  <c:v>5.1779269484048984E-2</c:v>
                </c:pt>
                <c:pt idx="3">
                  <c:v>4.8961843624642065E-2</c:v>
                </c:pt>
                <c:pt idx="4">
                  <c:v>4.8965324622054551E-2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B5-421D-A542-DE81E8E3B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'2. k as func of τ &amp; τmin'!$K$21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'2. k as func of τ &amp; τmin'!$V$4:$V$41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τmin'!$AQ$4:$AQ$41</c:f>
              <c:numCache>
                <c:formatCode>0.0000</c:formatCode>
                <c:ptCount val="38"/>
                <c:pt idx="0">
                  <c:v>4.0001386098885164E-2</c:v>
                </c:pt>
                <c:pt idx="1">
                  <c:v>4.0002772076429348E-2</c:v>
                </c:pt>
                <c:pt idx="2">
                  <c:v>4.000415793264317E-2</c:v>
                </c:pt>
                <c:pt idx="3">
                  <c:v>4.0005543667537266E-2</c:v>
                </c:pt>
                <c:pt idx="4">
                  <c:v>4.0006929281122247E-2</c:v>
                </c:pt>
                <c:pt idx="5">
                  <c:v>4.0008314773408736E-2</c:v>
                </c:pt>
                <c:pt idx="6">
                  <c:v>4.0009700144407342E-2</c:v>
                </c:pt>
                <c:pt idx="7">
                  <c:v>4.0011085394128704E-2</c:v>
                </c:pt>
                <c:pt idx="8">
                  <c:v>4.0012470522583415E-2</c:v>
                </c:pt>
                <c:pt idx="9">
                  <c:v>4.0013855529782101E-2</c:v>
                </c:pt>
                <c:pt idx="10">
                  <c:v>4.0015240415735377E-2</c:v>
                </c:pt>
                <c:pt idx="11">
                  <c:v>4.001662518045386E-2</c:v>
                </c:pt>
                <c:pt idx="12">
                  <c:v>4.0018009823948153E-2</c:v>
                </c:pt>
                <c:pt idx="13">
                  <c:v>4.0019394346228886E-2</c:v>
                </c:pt>
                <c:pt idx="14">
                  <c:v>4.0020778747306654E-2</c:v>
                </c:pt>
                <c:pt idx="15">
                  <c:v>4.0022163027192068E-2</c:v>
                </c:pt>
                <c:pt idx="16">
                  <c:v>4.002354718589575E-2</c:v>
                </c:pt>
                <c:pt idx="17">
                  <c:v>4.0024931223428289E-2</c:v>
                </c:pt>
                <c:pt idx="18">
                  <c:v>4.0026315139800317E-2</c:v>
                </c:pt>
                <c:pt idx="19">
                  <c:v>4.0027698935022421E-2</c:v>
                </c:pt>
                <c:pt idx="20">
                  <c:v>4.0034616094255335E-2</c:v>
                </c:pt>
                <c:pt idx="21">
                  <c:v>4.0041530226330765E-2</c:v>
                </c:pt>
                <c:pt idx="22">
                  <c:v>4.0048441332573473E-2</c:v>
                </c:pt>
                <c:pt idx="23">
                  <c:v>4.0055349414307662E-2</c:v>
                </c:pt>
                <c:pt idx="24">
                  <c:v>4.006225447285694E-2</c:v>
                </c:pt>
                <c:pt idx="25">
                  <c:v>4.006915650954436E-2</c:v>
                </c:pt>
                <c:pt idx="26">
                  <c:v>4.0076055525692364E-2</c:v>
                </c:pt>
                <c:pt idx="27">
                  <c:v>4.0082951522622833E-2</c:v>
                </c:pt>
                <c:pt idx="28">
                  <c:v>4.0089844501657076E-2</c:v>
                </c:pt>
                <c:pt idx="29">
                  <c:v>4.0096734464115803E-2</c:v>
                </c:pt>
                <c:pt idx="30">
                  <c:v>4.0103621411319172E-2</c:v>
                </c:pt>
                <c:pt idx="31">
                  <c:v>4.0110505344586739E-2</c:v>
                </c:pt>
                <c:pt idx="32">
                  <c:v>4.0117386265237504E-2</c:v>
                </c:pt>
                <c:pt idx="33">
                  <c:v>4.012426417458987E-2</c:v>
                </c:pt>
                <c:pt idx="34">
                  <c:v>4.0131139073961673E-2</c:v>
                </c:pt>
                <c:pt idx="35">
                  <c:v>4.0138010964670179E-2</c:v>
                </c:pt>
                <c:pt idx="36">
                  <c:v>4.0151745725363418E-2</c:v>
                </c:pt>
                <c:pt idx="37">
                  <c:v>4.0165468467196139E-2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B5-421D-A542-DE81E8E3B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High Flow (</a:t>
            </a:r>
            <a:r>
              <a:rPr lang="el-GR" sz="1200" baseline="0"/>
              <a:t>τ* = 0.089)</a:t>
            </a:r>
            <a:endParaRPr lang="en-US" sz="1200"/>
          </a:p>
        </c:rich>
      </c:tx>
      <c:layout>
        <c:manualLayout>
          <c:xMode val="edge"/>
          <c:yMode val="edge"/>
          <c:x val="0.31548891171212295"/>
          <c:y val="5.2131017869341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'2. k as func of τ &amp; τmin'!$AU$30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'2. k as func of τ &amp; τmin'!$AS$31:$AS$36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'2. k as func of τ &amp; τmin'!$AU$31:$AU$36</c:f>
              <c:numCache>
                <c:formatCode>0.0000</c:formatCode>
                <c:ptCount val="6"/>
                <c:pt idx="0">
                  <c:v>0.04</c:v>
                </c:pt>
                <c:pt idx="1">
                  <c:v>4.5627026419976936E-2</c:v>
                </c:pt>
                <c:pt idx="2">
                  <c:v>4.860357919174027E-2</c:v>
                </c:pt>
                <c:pt idx="3">
                  <c:v>5.5833646253055487E-2</c:v>
                </c:pt>
                <c:pt idx="4">
                  <c:v>5.145407230191433E-2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47E-478B-B85A-9A9DA03566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'2. k as func of τ &amp; τmin'!$K$30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'2. k as func of τ &amp; τmin'!$AM$4:$AM$59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τmin'!$AP$4:$AP$41</c:f>
              <c:numCache>
                <c:formatCode>0.0000</c:formatCode>
                <c:ptCount val="38"/>
                <c:pt idx="0">
                  <c:v>4.0001198755758541E-2</c:v>
                </c:pt>
                <c:pt idx="1">
                  <c:v>4.0002397420760005E-2</c:v>
                </c:pt>
                <c:pt idx="2">
                  <c:v>4.0003595995011271E-2</c:v>
                </c:pt>
                <c:pt idx="3">
                  <c:v>4.0004794478519207E-2</c:v>
                </c:pt>
                <c:pt idx="4">
                  <c:v>4.0005992871290683E-2</c:v>
                </c:pt>
                <c:pt idx="5">
                  <c:v>4.0007191173332568E-2</c:v>
                </c:pt>
                <c:pt idx="6">
                  <c:v>4.0008389384651732E-2</c:v>
                </c:pt>
                <c:pt idx="7">
                  <c:v>4.0009587505255045E-2</c:v>
                </c:pt>
                <c:pt idx="8">
                  <c:v>4.0010785535149376E-2</c:v>
                </c:pt>
                <c:pt idx="9">
                  <c:v>4.0011983474341581E-2</c:v>
                </c:pt>
                <c:pt idx="10">
                  <c:v>4.0013181322838542E-2</c:v>
                </c:pt>
                <c:pt idx="11">
                  <c:v>4.0014379080647117E-2</c:v>
                </c:pt>
                <c:pt idx="12">
                  <c:v>4.001557674777418E-2</c:v>
                </c:pt>
                <c:pt idx="13">
                  <c:v>4.0016774324226588E-2</c:v>
                </c:pt>
                <c:pt idx="14">
                  <c:v>4.001797181001121E-2</c:v>
                </c:pt>
                <c:pt idx="15">
                  <c:v>4.0019169205134902E-2</c:v>
                </c:pt>
                <c:pt idx="16">
                  <c:v>4.0020366509604541E-2</c:v>
                </c:pt>
                <c:pt idx="17">
                  <c:v>4.0021563723426981E-2</c:v>
                </c:pt>
                <c:pt idx="18">
                  <c:v>4.0022760846609093E-2</c:v>
                </c:pt>
                <c:pt idx="19">
                  <c:v>4.0023957879157732E-2</c:v>
                </c:pt>
                <c:pt idx="20">
                  <c:v>4.0029941682639028E-2</c:v>
                </c:pt>
                <c:pt idx="21">
                  <c:v>4.0035923221312608E-2</c:v>
                </c:pt>
                <c:pt idx="22">
                  <c:v>4.0041902496035689E-2</c:v>
                </c:pt>
                <c:pt idx="23">
                  <c:v>4.0047879507665141E-2</c:v>
                </c:pt>
                <c:pt idx="24">
                  <c:v>4.0053854257057542E-2</c:v>
                </c:pt>
                <c:pt idx="25">
                  <c:v>4.0059826745069103E-2</c:v>
                </c:pt>
                <c:pt idx="26">
                  <c:v>4.0065796972555745E-2</c:v>
                </c:pt>
                <c:pt idx="27">
                  <c:v>4.0071764940373053E-2</c:v>
                </c:pt>
                <c:pt idx="28">
                  <c:v>4.0077730649376295E-2</c:v>
                </c:pt>
                <c:pt idx="29">
                  <c:v>4.008369410042039E-2</c:v>
                </c:pt>
                <c:pt idx="30">
                  <c:v>4.0089655294359969E-2</c:v>
                </c:pt>
                <c:pt idx="31">
                  <c:v>4.0095614232049312E-2</c:v>
                </c:pt>
                <c:pt idx="32">
                  <c:v>4.0101570914342397E-2</c:v>
                </c:pt>
                <c:pt idx="33">
                  <c:v>4.0107525342092859E-2</c:v>
                </c:pt>
                <c:pt idx="34">
                  <c:v>4.0113477516154024E-2</c:v>
                </c:pt>
                <c:pt idx="35">
                  <c:v>4.0119427437378889E-2</c:v>
                </c:pt>
                <c:pt idx="36">
                  <c:v>4.0131320524730091E-2</c:v>
                </c:pt>
                <c:pt idx="37">
                  <c:v>4.0143204610964003E-2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47E-478B-B85A-9A9DA03566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Low Flow (</a:t>
            </a:r>
            <a:r>
              <a:rPr lang="el-GR" sz="1200" baseline="0"/>
              <a:t>τ* = 0.086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'2. k as func of τ &amp; τmin'!$AU$39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'2. k as func of τ &amp; τmin'!$AS$40:$AS$45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'2. k as func of τ &amp; τmin'!$AU$40:$AU$45</c:f>
              <c:numCache>
                <c:formatCode>0.0000</c:formatCode>
                <c:ptCount val="6"/>
                <c:pt idx="0">
                  <c:v>0.04</c:v>
                </c:pt>
                <c:pt idx="2">
                  <c:v>4.880607945181633E-2</c:v>
                </c:pt>
                <c:pt idx="3">
                  <c:v>4.7893651283411866E-2</c:v>
                </c:pt>
                <c:pt idx="4">
                  <c:v>5.1755608653064417E-2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12-4F5D-B66A-3A55FA75A7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'2. k as func of τ &amp; τmin'!$K$39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'2. k as func of τ &amp; τmin'!$AM$4:$AM$59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τmin'!$AO$4:$AO$41</c:f>
              <c:numCache>
                <c:formatCode>0.0000</c:formatCode>
                <c:ptCount val="38"/>
                <c:pt idx="0">
                  <c:v>4.0001079506818832E-2</c:v>
                </c:pt>
                <c:pt idx="1">
                  <c:v>4.0002158940039022E-2</c:v>
                </c:pt>
                <c:pt idx="2">
                  <c:v>4.0003238299665574E-2</c:v>
                </c:pt>
                <c:pt idx="3">
                  <c:v>4.0004317585703511E-2</c:v>
                </c:pt>
                <c:pt idx="4">
                  <c:v>4.0005396798157858E-2</c:v>
                </c:pt>
                <c:pt idx="5">
                  <c:v>4.0006475937033624E-2</c:v>
                </c:pt>
                <c:pt idx="6">
                  <c:v>4.0007555002335826E-2</c:v>
                </c:pt>
                <c:pt idx="7">
                  <c:v>4.0008633994069481E-2</c:v>
                </c:pt>
                <c:pt idx="8">
                  <c:v>4.0009712912239599E-2</c:v>
                </c:pt>
                <c:pt idx="9">
                  <c:v>4.0010791756851211E-2</c:v>
                </c:pt>
                <c:pt idx="10">
                  <c:v>4.0011870527909305E-2</c:v>
                </c:pt>
                <c:pt idx="11">
                  <c:v>4.0012949225418926E-2</c:v>
                </c:pt>
                <c:pt idx="12">
                  <c:v>4.0014027849385077E-2</c:v>
                </c:pt>
                <c:pt idx="13">
                  <c:v>4.0015106399812761E-2</c:v>
                </c:pt>
                <c:pt idx="14">
                  <c:v>4.0016184876707009E-2</c:v>
                </c:pt>
                <c:pt idx="15">
                  <c:v>4.0017263280072823E-2</c:v>
                </c:pt>
                <c:pt idx="16">
                  <c:v>4.0018341609915221E-2</c:v>
                </c:pt>
                <c:pt idx="17">
                  <c:v>4.0019419866239213E-2</c:v>
                </c:pt>
                <c:pt idx="18">
                  <c:v>4.0020498049049814E-2</c:v>
                </c:pt>
                <c:pt idx="19">
                  <c:v>4.0021576158352029E-2</c:v>
                </c:pt>
                <c:pt idx="20">
                  <c:v>4.0026965602412812E-2</c:v>
                </c:pt>
                <c:pt idx="21">
                  <c:v>4.0032353209515675E-2</c:v>
                </c:pt>
                <c:pt idx="22">
                  <c:v>4.0037738980286744E-2</c:v>
                </c:pt>
                <c:pt idx="23">
                  <c:v>4.004312291535192E-2</c:v>
                </c:pt>
                <c:pt idx="24">
                  <c:v>4.0048505015336883E-2</c:v>
                </c:pt>
                <c:pt idx="25">
                  <c:v>4.0053885280867119E-2</c:v>
                </c:pt>
                <c:pt idx="26">
                  <c:v>4.0059263712567884E-2</c:v>
                </c:pt>
                <c:pt idx="27">
                  <c:v>4.0064640311064229E-2</c:v>
                </c:pt>
                <c:pt idx="28">
                  <c:v>4.0070015076980992E-2</c:v>
                </c:pt>
                <c:pt idx="29">
                  <c:v>4.0075388010942792E-2</c:v>
                </c:pt>
                <c:pt idx="30">
                  <c:v>4.0080759113574047E-2</c:v>
                </c:pt>
                <c:pt idx="31">
                  <c:v>4.0086128385498937E-2</c:v>
                </c:pt>
                <c:pt idx="32">
                  <c:v>4.0091495827341471E-2</c:v>
                </c:pt>
                <c:pt idx="33">
                  <c:v>4.0096861439725406E-2</c:v>
                </c:pt>
                <c:pt idx="34">
                  <c:v>4.01022252232743E-2</c:v>
                </c:pt>
                <c:pt idx="35">
                  <c:v>4.0107587178611501E-2</c:v>
                </c:pt>
                <c:pt idx="36">
                  <c:v>4.0118305607143176E-2</c:v>
                </c:pt>
                <c:pt idx="37">
                  <c:v>4.0129016730302933E-2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12-4F5D-B66A-3A55FA75A7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u="none" strike="noStrike" baseline="0">
                <a:effectLst/>
              </a:rPr>
              <a:t>Low Flow (</a:t>
            </a:r>
            <a:r>
              <a:rPr lang="el-GR" sz="1200" b="0" i="0" u="none" strike="noStrike" baseline="0">
                <a:effectLst/>
              </a:rPr>
              <a:t>τ* = 0.075)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'2. k as func of τ &amp; τmin'!$AU$48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 k as func of τ &amp; τmin'!$AS$49:$AS$54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'2. k as func of τ &amp; τmin'!$AU$49:$AU$54</c:f>
              <c:numCache>
                <c:formatCode>0.0000</c:formatCode>
                <c:ptCount val="6"/>
                <c:pt idx="0">
                  <c:v>0.04</c:v>
                </c:pt>
                <c:pt idx="1">
                  <c:v>4.0883015185033886E-2</c:v>
                </c:pt>
                <c:pt idx="2">
                  <c:v>4.7200498607488234E-2</c:v>
                </c:pt>
                <c:pt idx="3">
                  <c:v>4.7978393655140922E-2</c:v>
                </c:pt>
                <c:pt idx="4">
                  <c:v>5.2297832157699113E-2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7D4-42BD-B91C-3847158B63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'2. k as func of τ &amp; τmin'!$K$21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'2. k as func of τ &amp; τmin'!$AM$4:$AM$59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τmin'!$AN$4:$AN$41</c:f>
              <c:numCache>
                <c:formatCode>0.0000</c:formatCode>
                <c:ptCount val="38"/>
                <c:pt idx="0">
                  <c:v>4.0001029127272852E-2</c:v>
                </c:pt>
                <c:pt idx="1">
                  <c:v>4.0002058187656314E-2</c:v>
                </c:pt>
                <c:pt idx="2">
                  <c:v>4.0003087181154737E-2</c:v>
                </c:pt>
                <c:pt idx="3">
                  <c:v>4.0004116107772464E-2</c:v>
                </c:pt>
                <c:pt idx="4">
                  <c:v>4.0005144967513839E-2</c:v>
                </c:pt>
                <c:pt idx="5">
                  <c:v>4.0006173760383207E-2</c:v>
                </c:pt>
                <c:pt idx="6">
                  <c:v>4.0007202486384931E-2</c:v>
                </c:pt>
                <c:pt idx="7">
                  <c:v>4.0008231145523342E-2</c:v>
                </c:pt>
                <c:pt idx="8">
                  <c:v>4.0009259737802783E-2</c:v>
                </c:pt>
                <c:pt idx="9">
                  <c:v>4.0010288263227611E-2</c:v>
                </c:pt>
                <c:pt idx="10">
                  <c:v>4.0011316721802172E-2</c:v>
                </c:pt>
                <c:pt idx="11">
                  <c:v>4.0012345113530801E-2</c:v>
                </c:pt>
                <c:pt idx="12">
                  <c:v>4.0013373438417849E-2</c:v>
                </c:pt>
                <c:pt idx="13">
                  <c:v>4.0014401696467652E-2</c:v>
                </c:pt>
                <c:pt idx="14">
                  <c:v>4.001542988768457E-2</c:v>
                </c:pt>
                <c:pt idx="15">
                  <c:v>4.0016458012072931E-2</c:v>
                </c:pt>
                <c:pt idx="16">
                  <c:v>4.0017486069637093E-2</c:v>
                </c:pt>
                <c:pt idx="17">
                  <c:v>4.0018514060381385E-2</c:v>
                </c:pt>
                <c:pt idx="18">
                  <c:v>4.001954198431016E-2</c:v>
                </c:pt>
                <c:pt idx="19">
                  <c:v>4.0020569841427753E-2</c:v>
                </c:pt>
                <c:pt idx="20">
                  <c:v>4.0025708125000052E-2</c:v>
                </c:pt>
                <c:pt idx="21">
                  <c:v>4.0030844738944166E-2</c:v>
                </c:pt>
                <c:pt idx="22">
                  <c:v>4.0035979683802618E-2</c:v>
                </c:pt>
                <c:pt idx="23">
                  <c:v>4.0041112960117767E-2</c:v>
                </c:pt>
                <c:pt idx="24">
                  <c:v>4.0046244568431782E-2</c:v>
                </c:pt>
                <c:pt idx="25">
                  <c:v>4.0051374509286655E-2</c:v>
                </c:pt>
                <c:pt idx="26">
                  <c:v>4.0056502783224229E-2</c:v>
                </c:pt>
                <c:pt idx="27">
                  <c:v>4.0061629390786127E-2</c:v>
                </c:pt>
                <c:pt idx="28">
                  <c:v>4.0066754332513839E-2</c:v>
                </c:pt>
                <c:pt idx="29">
                  <c:v>4.0071877608948647E-2</c:v>
                </c:pt>
                <c:pt idx="30">
                  <c:v>4.0076999220631668E-2</c:v>
                </c:pt>
                <c:pt idx="31">
                  <c:v>4.0082119168103857E-2</c:v>
                </c:pt>
                <c:pt idx="32">
                  <c:v>4.0087237451905969E-2</c:v>
                </c:pt>
                <c:pt idx="33">
                  <c:v>4.00923540725786E-2</c:v>
                </c:pt>
                <c:pt idx="34">
                  <c:v>4.0097469030662164E-2</c:v>
                </c:pt>
                <c:pt idx="35">
                  <c:v>4.0102582326696903E-2</c:v>
                </c:pt>
                <c:pt idx="36">
                  <c:v>4.0112803934779978E-2</c:v>
                </c:pt>
                <c:pt idx="37">
                  <c:v>4.0123018901146237E-2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7D4-42BD-B91C-3847158B63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Testing</a:t>
            </a:r>
            <a:r>
              <a:rPr lang="en-US" baseline="0"/>
              <a:t> Equation with flume data (k=</a:t>
            </a:r>
            <a:r>
              <a:rPr lang="el-GR" baseline="0"/>
              <a:t>τ^2*τ</a:t>
            </a:r>
            <a:r>
              <a:rPr lang="en-US" baseline="0"/>
              <a:t>min) </a:t>
            </a:r>
            <a:endParaRPr lang="en-US"/>
          </a:p>
        </c:rich>
      </c:tx>
      <c:layout>
        <c:manualLayout>
          <c:xMode val="edge"/>
          <c:yMode val="edge"/>
          <c:x val="0.1763585791018838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0"/>
          <c:tx>
            <c:strRef>
              <c:f>'2. k as func of τ &amp; τmin'!$BH$2</c:f>
              <c:strCache>
                <c:ptCount val="1"/>
                <c:pt idx="0">
                  <c:v>0.0001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'2. k as func of τ &amp; τmin'!$BD$4:$BD$41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τmin'!$BH$4:$BH$41</c:f>
              <c:numCache>
                <c:formatCode>0.0000</c:formatCode>
                <c:ptCount val="38"/>
                <c:pt idx="0">
                  <c:v>4.0001386098885164E-2</c:v>
                </c:pt>
                <c:pt idx="1">
                  <c:v>4.0002772076429348E-2</c:v>
                </c:pt>
                <c:pt idx="2">
                  <c:v>4.000415793264317E-2</c:v>
                </c:pt>
                <c:pt idx="3">
                  <c:v>4.0005543667537266E-2</c:v>
                </c:pt>
                <c:pt idx="4">
                  <c:v>4.0006929281122247E-2</c:v>
                </c:pt>
                <c:pt idx="5">
                  <c:v>4.0008314773408736E-2</c:v>
                </c:pt>
                <c:pt idx="6">
                  <c:v>4.0009700144407342E-2</c:v>
                </c:pt>
                <c:pt idx="7">
                  <c:v>4.0011085394128704E-2</c:v>
                </c:pt>
                <c:pt idx="8">
                  <c:v>4.0012470522583415E-2</c:v>
                </c:pt>
                <c:pt idx="9">
                  <c:v>4.0013855529782101E-2</c:v>
                </c:pt>
                <c:pt idx="10">
                  <c:v>4.0015240415735377E-2</c:v>
                </c:pt>
                <c:pt idx="11">
                  <c:v>4.001662518045386E-2</c:v>
                </c:pt>
                <c:pt idx="12">
                  <c:v>4.0018009823948153E-2</c:v>
                </c:pt>
                <c:pt idx="13">
                  <c:v>4.0019394346228886E-2</c:v>
                </c:pt>
                <c:pt idx="14">
                  <c:v>4.0020778747306654E-2</c:v>
                </c:pt>
                <c:pt idx="15">
                  <c:v>4.0022163027192068E-2</c:v>
                </c:pt>
                <c:pt idx="16">
                  <c:v>4.002354718589575E-2</c:v>
                </c:pt>
                <c:pt idx="17">
                  <c:v>4.0024931223428289E-2</c:v>
                </c:pt>
                <c:pt idx="18">
                  <c:v>4.0026315139800317E-2</c:v>
                </c:pt>
                <c:pt idx="19">
                  <c:v>4.0027698935022421E-2</c:v>
                </c:pt>
                <c:pt idx="20">
                  <c:v>4.0034616094255335E-2</c:v>
                </c:pt>
                <c:pt idx="21">
                  <c:v>4.0041530226330765E-2</c:v>
                </c:pt>
                <c:pt idx="22">
                  <c:v>4.0048441332573473E-2</c:v>
                </c:pt>
                <c:pt idx="23">
                  <c:v>4.0055349414307662E-2</c:v>
                </c:pt>
                <c:pt idx="24">
                  <c:v>4.006225447285694E-2</c:v>
                </c:pt>
                <c:pt idx="25">
                  <c:v>4.006915650954436E-2</c:v>
                </c:pt>
                <c:pt idx="26">
                  <c:v>4.0076055525692364E-2</c:v>
                </c:pt>
                <c:pt idx="27">
                  <c:v>4.0082951522622833E-2</c:v>
                </c:pt>
                <c:pt idx="28">
                  <c:v>4.0089844501657076E-2</c:v>
                </c:pt>
                <c:pt idx="29">
                  <c:v>4.0096734464115803E-2</c:v>
                </c:pt>
                <c:pt idx="30">
                  <c:v>4.0103621411319172E-2</c:v>
                </c:pt>
                <c:pt idx="31">
                  <c:v>4.0110505344586739E-2</c:v>
                </c:pt>
                <c:pt idx="32">
                  <c:v>4.0117386265237504E-2</c:v>
                </c:pt>
                <c:pt idx="33">
                  <c:v>4.012426417458987E-2</c:v>
                </c:pt>
                <c:pt idx="34">
                  <c:v>4.0131139073961673E-2</c:v>
                </c:pt>
                <c:pt idx="35">
                  <c:v>4.0138010964670179E-2</c:v>
                </c:pt>
                <c:pt idx="36">
                  <c:v>4.0151745725363418E-2</c:v>
                </c:pt>
                <c:pt idx="37">
                  <c:v>4.0165468467196139E-2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27B-4AB8-9A6A-38968E58A305}"/>
            </c:ext>
          </c:extLst>
        </c:ser>
        <c:ser>
          <c:idx val="2"/>
          <c:order val="1"/>
          <c:tx>
            <c:strRef>
              <c:f>'2. k as func of τ &amp; τmin'!$BG$2</c:f>
              <c:strCache>
                <c:ptCount val="1"/>
                <c:pt idx="0">
                  <c:v>0.0001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'2. k as func of τ &amp; τmin'!$AM$4:$AM$59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τmin'!$BG$4:$BG$41</c:f>
              <c:numCache>
                <c:formatCode>0.0000</c:formatCode>
                <c:ptCount val="38"/>
                <c:pt idx="0">
                  <c:v>4.000141812310494E-2</c:v>
                </c:pt>
                <c:pt idx="1">
                  <c:v>4.0002836119197235E-2</c:v>
                </c:pt>
                <c:pt idx="2">
                  <c:v>4.0004253988288274E-2</c:v>
                </c:pt>
                <c:pt idx="3">
                  <c:v>4.0005671730389436E-2</c:v>
                </c:pt>
                <c:pt idx="4">
                  <c:v>4.0007089345512073E-2</c:v>
                </c:pt>
                <c:pt idx="5">
                  <c:v>4.0008506833667579E-2</c:v>
                </c:pt>
                <c:pt idx="6">
                  <c:v>4.0009924194867319E-2</c:v>
                </c:pt>
                <c:pt idx="7">
                  <c:v>4.001134142912266E-2</c:v>
                </c:pt>
                <c:pt idx="8">
                  <c:v>4.0012758536444981E-2</c:v>
                </c:pt>
                <c:pt idx="9">
                  <c:v>4.0014175516845635E-2</c:v>
                </c:pt>
                <c:pt idx="10">
                  <c:v>4.0015592370336001E-2</c:v>
                </c:pt>
                <c:pt idx="11">
                  <c:v>4.0017009096927444E-2</c:v>
                </c:pt>
                <c:pt idx="12">
                  <c:v>4.0018425696631332E-2</c:v>
                </c:pt>
                <c:pt idx="13">
                  <c:v>4.0019842169459016E-2</c:v>
                </c:pt>
                <c:pt idx="14">
                  <c:v>4.0021258515421883E-2</c:v>
                </c:pt>
                <c:pt idx="15">
                  <c:v>4.0022674734531277E-2</c:v>
                </c:pt>
                <c:pt idx="16">
                  <c:v>4.0024090826798558E-2</c:v>
                </c:pt>
                <c:pt idx="17">
                  <c:v>4.0025506792235099E-2</c:v>
                </c:pt>
                <c:pt idx="18">
                  <c:v>4.0026922630852252E-2</c:v>
                </c:pt>
                <c:pt idx="19">
                  <c:v>4.0028338342661382E-2</c:v>
                </c:pt>
                <c:pt idx="20">
                  <c:v>4.0035414999984073E-2</c:v>
                </c:pt>
                <c:pt idx="21">
                  <c:v>4.0042488488809244E-2</c:v>
                </c:pt>
                <c:pt idx="22">
                  <c:v>4.0049558810555552E-2</c:v>
                </c:pt>
                <c:pt idx="23">
                  <c:v>4.0056625966641043E-2</c:v>
                </c:pt>
                <c:pt idx="24">
                  <c:v>4.0063689958483084E-2</c:v>
                </c:pt>
                <c:pt idx="25">
                  <c:v>4.0070750787498451E-2</c:v>
                </c:pt>
                <c:pt idx="26">
                  <c:v>4.0077808455103253E-2</c:v>
                </c:pt>
                <c:pt idx="27">
                  <c:v>4.0084862962712978E-2</c:v>
                </c:pt>
                <c:pt idx="28">
                  <c:v>4.0091914311742485E-2</c:v>
                </c:pt>
                <c:pt idx="29">
                  <c:v>4.0098962503605992E-2</c:v>
                </c:pt>
                <c:pt idx="30">
                  <c:v>4.010600753971709E-2</c:v>
                </c:pt>
                <c:pt idx="31">
                  <c:v>4.0113049421488731E-2</c:v>
                </c:pt>
                <c:pt idx="32">
                  <c:v>4.012008815033323E-2</c:v>
                </c:pt>
                <c:pt idx="33">
                  <c:v>4.0127123727662285E-2</c:v>
                </c:pt>
                <c:pt idx="34">
                  <c:v>4.0134156154886955E-2</c:v>
                </c:pt>
                <c:pt idx="35">
                  <c:v>4.0141185433417659E-2</c:v>
                </c:pt>
                <c:pt idx="36">
                  <c:v>4.0155234550035709E-2</c:v>
                </c:pt>
                <c:pt idx="37">
                  <c:v>4.0169271088787234E-2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27B-4AB8-9A6A-38968E58A305}"/>
            </c:ext>
          </c:extLst>
        </c:ser>
        <c:ser>
          <c:idx val="1"/>
          <c:order val="2"/>
          <c:tx>
            <c:strRef>
              <c:f>'2. k as func of τ &amp; τmin'!$BF$2</c:f>
              <c:strCache>
                <c:ptCount val="1"/>
                <c:pt idx="0">
                  <c:v>0.0001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'2. k as func of τ &amp; τmin'!$BD$4:$BD$41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τmin'!$BF$4:$BF$41</c:f>
              <c:numCache>
                <c:formatCode>0.0000</c:formatCode>
                <c:ptCount val="38"/>
                <c:pt idx="0">
                  <c:v>4.0001150015532297E-2</c:v>
                </c:pt>
                <c:pt idx="1">
                  <c:v>4.0002299947537664E-2</c:v>
                </c:pt>
                <c:pt idx="2">
                  <c:v>4.0003449796022182E-2</c:v>
                </c:pt>
                <c:pt idx="3">
                  <c:v>4.0004599560991908E-2</c:v>
                </c:pt>
                <c:pt idx="4">
                  <c:v>4.0005749242452912E-2</c:v>
                </c:pt>
                <c:pt idx="5">
                  <c:v>4.0006898840411267E-2</c:v>
                </c:pt>
                <c:pt idx="6">
                  <c:v>4.0008048354873017E-2</c:v>
                </c:pt>
                <c:pt idx="7">
                  <c:v>4.0009197785844247E-2</c:v>
                </c:pt>
                <c:pt idx="8">
                  <c:v>4.0010347133331015E-2</c:v>
                </c:pt>
                <c:pt idx="9">
                  <c:v>4.0011496397339377E-2</c:v>
                </c:pt>
                <c:pt idx="10">
                  <c:v>4.00126455778754E-2</c:v>
                </c:pt>
                <c:pt idx="11">
                  <c:v>4.0013794674945154E-2</c:v>
                </c:pt>
                <c:pt idx="12">
                  <c:v>4.0014943688554697E-2</c:v>
                </c:pt>
                <c:pt idx="13">
                  <c:v>4.0016092618710079E-2</c:v>
                </c:pt>
                <c:pt idx="14">
                  <c:v>4.001724146541738E-2</c:v>
                </c:pt>
                <c:pt idx="15">
                  <c:v>4.001839022868265E-2</c:v>
                </c:pt>
                <c:pt idx="16">
                  <c:v>4.0019538908511954E-2</c:v>
                </c:pt>
                <c:pt idx="17">
                  <c:v>4.0020687504911348E-2</c:v>
                </c:pt>
                <c:pt idx="18">
                  <c:v>4.0021836017886898E-2</c:v>
                </c:pt>
                <c:pt idx="19">
                  <c:v>4.0022984447444662E-2</c:v>
                </c:pt>
                <c:pt idx="20">
                  <c:v>4.0028725344178659E-2</c:v>
                </c:pt>
                <c:pt idx="21">
                  <c:v>4.0034464156376556E-2</c:v>
                </c:pt>
                <c:pt idx="22">
                  <c:v>4.0040200884795263E-2</c:v>
                </c:pt>
                <c:pt idx="23">
                  <c:v>4.0045935530191382E-2</c:v>
                </c:pt>
                <c:pt idx="24">
                  <c:v>4.0051668093321294E-2</c:v>
                </c:pt>
                <c:pt idx="25">
                  <c:v>4.0057398574941047E-2</c:v>
                </c:pt>
                <c:pt idx="26">
                  <c:v>4.0063126975806468E-2</c:v>
                </c:pt>
                <c:pt idx="27">
                  <c:v>4.006885329667307E-2</c:v>
                </c:pt>
                <c:pt idx="28">
                  <c:v>4.0074577538296109E-2</c:v>
                </c:pt>
                <c:pt idx="29">
                  <c:v>4.0080299701430566E-2</c:v>
                </c:pt>
                <c:pt idx="30">
                  <c:v>4.0086019786831156E-2</c:v>
                </c:pt>
                <c:pt idx="31">
                  <c:v>4.009173779525229E-2</c:v>
                </c:pt>
                <c:pt idx="32">
                  <c:v>4.0097453727448135E-2</c:v>
                </c:pt>
                <c:pt idx="33">
                  <c:v>4.010316758417258E-2</c:v>
                </c:pt>
                <c:pt idx="34">
                  <c:v>4.0108879366179226E-2</c:v>
                </c:pt>
                <c:pt idx="35">
                  <c:v>4.0114589074221413E-2</c:v>
                </c:pt>
                <c:pt idx="36">
                  <c:v>4.0126002271424384E-2</c:v>
                </c:pt>
                <c:pt idx="37">
                  <c:v>4.0137407181802712E-2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27B-4AB8-9A6A-38968E58A305}"/>
            </c:ext>
          </c:extLst>
        </c:ser>
        <c:ser>
          <c:idx val="0"/>
          <c:order val="3"/>
          <c:tx>
            <c:strRef>
              <c:f>'2. k as func of τ &amp; τmin'!$BE$2</c:f>
              <c:strCache>
                <c:ptCount val="1"/>
                <c:pt idx="0">
                  <c:v>0.0001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 k as func of τ &amp; τmin'!$BD$4:$BD$41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τmin'!$BE$4:$BE$41</c:f>
              <c:numCache>
                <c:formatCode>0.0000</c:formatCode>
                <c:ptCount val="38"/>
                <c:pt idx="0">
                  <c:v>4.0001045180159997E-2</c:v>
                </c:pt>
                <c:pt idx="1">
                  <c:v>4.0002090291327563E-2</c:v>
                </c:pt>
                <c:pt idx="2">
                  <c:v>4.0003135333507273E-2</c:v>
                </c:pt>
                <c:pt idx="3">
                  <c:v>4.0004180306703677E-2</c:v>
                </c:pt>
                <c:pt idx="4">
                  <c:v>4.0005225210921314E-2</c:v>
                </c:pt>
                <c:pt idx="5">
                  <c:v>4.0006270046164742E-2</c:v>
                </c:pt>
                <c:pt idx="6">
                  <c:v>4.0007314812438521E-2</c:v>
                </c:pt>
                <c:pt idx="7">
                  <c:v>4.000835950974721E-2</c:v>
                </c:pt>
                <c:pt idx="8">
                  <c:v>4.0009404138095346E-2</c:v>
                </c:pt>
                <c:pt idx="9">
                  <c:v>4.0010448697487488E-2</c:v>
                </c:pt>
                <c:pt idx="10">
                  <c:v>4.0011493187928182E-2</c:v>
                </c:pt>
                <c:pt idx="11">
                  <c:v>4.0012537609422E-2</c:v>
                </c:pt>
                <c:pt idx="12">
                  <c:v>4.0013581961973466E-2</c:v>
                </c:pt>
                <c:pt idx="13">
                  <c:v>4.0014626245587145E-2</c:v>
                </c:pt>
                <c:pt idx="14">
                  <c:v>4.0015670460267577E-2</c:v>
                </c:pt>
                <c:pt idx="15">
                  <c:v>4.0016714606019334E-2</c:v>
                </c:pt>
                <c:pt idx="16">
                  <c:v>4.0017758682846946E-2</c:v>
                </c:pt>
                <c:pt idx="17">
                  <c:v>4.0018802690754973E-2</c:v>
                </c:pt>
                <c:pt idx="18">
                  <c:v>4.001984662974796E-2</c:v>
                </c:pt>
                <c:pt idx="19">
                  <c:v>4.0020890499830458E-2</c:v>
                </c:pt>
                <c:pt idx="20">
                  <c:v>4.0026108816744781E-2</c:v>
                </c:pt>
                <c:pt idx="21">
                  <c:v>4.0031325411579041E-2</c:v>
                </c:pt>
                <c:pt idx="22">
                  <c:v>4.0036540284901542E-2</c:v>
                </c:pt>
                <c:pt idx="23">
                  <c:v>4.0041753437280378E-2</c:v>
                </c:pt>
                <c:pt idx="24">
                  <c:v>4.0046964869283497E-2</c:v>
                </c:pt>
                <c:pt idx="25">
                  <c:v>4.0052174581478611E-2</c:v>
                </c:pt>
                <c:pt idx="26">
                  <c:v>4.0057382574433281E-2</c:v>
                </c:pt>
                <c:pt idx="27">
                  <c:v>4.0062588848714865E-2</c:v>
                </c:pt>
                <c:pt idx="28">
                  <c:v>4.0067793404890542E-2</c:v>
                </c:pt>
                <c:pt idx="29">
                  <c:v>4.0072996243527281E-2</c:v>
                </c:pt>
                <c:pt idx="30">
                  <c:v>4.00781973651919E-2</c:v>
                </c:pt>
                <c:pt idx="31">
                  <c:v>4.0083396770451016E-2</c:v>
                </c:pt>
                <c:pt idx="32">
                  <c:v>4.0088594459871035E-2</c:v>
                </c:pt>
                <c:pt idx="33">
                  <c:v>4.0093790434018201E-2</c:v>
                </c:pt>
                <c:pt idx="34">
                  <c:v>4.0098984693458573E-2</c:v>
                </c:pt>
                <c:pt idx="35">
                  <c:v>4.0104177238758018E-2</c:v>
                </c:pt>
                <c:pt idx="36">
                  <c:v>4.0114557189196626E-2</c:v>
                </c:pt>
                <c:pt idx="37">
                  <c:v>4.0124930289857218E-2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27B-4AB8-9A6A-38968E58A3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1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Measured vs Predicted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(k=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τ^2*τ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min)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'2. k as func of τ &amp; τmin'!$BJ$47</c:f>
              <c:strCache>
                <c:ptCount val="1"/>
                <c:pt idx="0">
                  <c:v>Low Flow (τ* = 0.075)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 k as func of τ &amp; τmin'!$BK$49:$BK$54</c:f>
              <c:numCache>
                <c:formatCode>0.0000</c:formatCode>
                <c:ptCount val="6"/>
                <c:pt idx="0">
                  <c:v>0.04</c:v>
                </c:pt>
                <c:pt idx="1">
                  <c:v>4.0010448697487488E-2</c:v>
                </c:pt>
                <c:pt idx="2">
                  <c:v>4.0031325411579041E-2</c:v>
                </c:pt>
                <c:pt idx="3">
                  <c:v>4.0062588848714865E-2</c:v>
                </c:pt>
                <c:pt idx="4">
                  <c:v>4.0124930289857218E-2</c:v>
                </c:pt>
              </c:numCache>
            </c:numRef>
          </c:xVal>
          <c:yVal>
            <c:numRef>
              <c:f>'2. k as func of τ &amp; τmin'!$BL$49:$BL$54</c:f>
              <c:numCache>
                <c:formatCode>0.0000</c:formatCode>
                <c:ptCount val="6"/>
                <c:pt idx="0">
                  <c:v>0.04</c:v>
                </c:pt>
                <c:pt idx="1">
                  <c:v>4.0883015185033886E-2</c:v>
                </c:pt>
                <c:pt idx="2">
                  <c:v>4.7200498607488234E-2</c:v>
                </c:pt>
                <c:pt idx="3">
                  <c:v>4.7978393655140922E-2</c:v>
                </c:pt>
                <c:pt idx="4">
                  <c:v>5.2297832157699113E-2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B0-4AC3-9CB9-2FAA24812900}"/>
            </c:ext>
          </c:extLst>
        </c:ser>
        <c:ser>
          <c:idx val="1"/>
          <c:order val="1"/>
          <c:tx>
            <c:strRef>
              <c:f>'2. k as func of τ &amp; τmin'!$BJ$38</c:f>
              <c:strCache>
                <c:ptCount val="1"/>
                <c:pt idx="0">
                  <c:v>Med Low Flow (τ* = 0.086)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'2. k as func of τ &amp; τmin'!$BK$40:$BK$45</c:f>
              <c:numCache>
                <c:formatCode>0.0000</c:formatCode>
                <c:ptCount val="6"/>
                <c:pt idx="0">
                  <c:v>0.04</c:v>
                </c:pt>
                <c:pt idx="2">
                  <c:v>4.0034464156376556E-2</c:v>
                </c:pt>
                <c:pt idx="3">
                  <c:v>4.006885329667307E-2</c:v>
                </c:pt>
                <c:pt idx="4">
                  <c:v>4.0137407181802712E-2</c:v>
                </c:pt>
              </c:numCache>
            </c:numRef>
          </c:xVal>
          <c:yVal>
            <c:numRef>
              <c:f>'2. k as func of τ &amp; τmin'!$BL$40:$BL$45</c:f>
              <c:numCache>
                <c:formatCode>0.0000</c:formatCode>
                <c:ptCount val="6"/>
                <c:pt idx="0">
                  <c:v>0.04</c:v>
                </c:pt>
                <c:pt idx="2">
                  <c:v>4.880607945181633E-2</c:v>
                </c:pt>
                <c:pt idx="3">
                  <c:v>4.7893651283411866E-2</c:v>
                </c:pt>
                <c:pt idx="4">
                  <c:v>5.1755608653064417E-2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BB0-4AC3-9CB9-2FAA24812900}"/>
            </c:ext>
          </c:extLst>
        </c:ser>
        <c:ser>
          <c:idx val="2"/>
          <c:order val="2"/>
          <c:tx>
            <c:strRef>
              <c:f>'2. k as func of τ &amp; τmin'!$BJ$29</c:f>
              <c:strCache>
                <c:ptCount val="1"/>
                <c:pt idx="0">
                  <c:v>Med High Flow (τ* = 0.089)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'2. k as func of τ &amp; τmin'!$BK$31:$BK$36</c:f>
              <c:numCache>
                <c:formatCode>0.0000</c:formatCode>
                <c:ptCount val="6"/>
                <c:pt idx="0">
                  <c:v>0.04</c:v>
                </c:pt>
                <c:pt idx="1">
                  <c:v>4.0014175516845635E-2</c:v>
                </c:pt>
                <c:pt idx="2">
                  <c:v>4.0042488488809244E-2</c:v>
                </c:pt>
                <c:pt idx="3">
                  <c:v>4.0084862962712978E-2</c:v>
                </c:pt>
                <c:pt idx="4">
                  <c:v>4.0169271088787234E-2</c:v>
                </c:pt>
              </c:numCache>
            </c:numRef>
          </c:xVal>
          <c:yVal>
            <c:numRef>
              <c:f>'2. k as func of τ &amp; τmin'!$BL$31:$BL$36</c:f>
              <c:numCache>
                <c:formatCode>0.0000</c:formatCode>
                <c:ptCount val="6"/>
                <c:pt idx="0">
                  <c:v>0.04</c:v>
                </c:pt>
                <c:pt idx="1">
                  <c:v>4.5627026419976936E-2</c:v>
                </c:pt>
                <c:pt idx="2">
                  <c:v>4.860357919174027E-2</c:v>
                </c:pt>
                <c:pt idx="3">
                  <c:v>5.5833646253055487E-2</c:v>
                </c:pt>
                <c:pt idx="4">
                  <c:v>5.145407230191433E-2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BB0-4AC3-9CB9-2FAA24812900}"/>
            </c:ext>
          </c:extLst>
        </c:ser>
        <c:ser>
          <c:idx val="3"/>
          <c:order val="3"/>
          <c:tx>
            <c:strRef>
              <c:f>'2. k as func of τ &amp; τmin'!$BJ$20</c:f>
              <c:strCache>
                <c:ptCount val="1"/>
                <c:pt idx="0">
                  <c:v>High Flow: (τ* = 0.055)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'2. k as func of τ &amp; τmin'!$BK$22:$BK$27</c:f>
              <c:numCache>
                <c:formatCode>0.0000</c:formatCode>
                <c:ptCount val="6"/>
                <c:pt idx="0">
                  <c:v>0.04</c:v>
                </c:pt>
                <c:pt idx="1">
                  <c:v>4.0013855529782101E-2</c:v>
                </c:pt>
                <c:pt idx="2">
                  <c:v>4.0041530226330765E-2</c:v>
                </c:pt>
                <c:pt idx="3">
                  <c:v>4.0082951522622833E-2</c:v>
                </c:pt>
                <c:pt idx="4">
                  <c:v>4.0165468467196139E-2</c:v>
                </c:pt>
              </c:numCache>
            </c:numRef>
          </c:xVal>
          <c:yVal>
            <c:numRef>
              <c:f>'2. k as func of τ &amp; τmin'!$BL$22:$BL$27</c:f>
              <c:numCache>
                <c:formatCode>0.0000</c:formatCode>
                <c:ptCount val="6"/>
                <c:pt idx="0">
                  <c:v>0.04</c:v>
                </c:pt>
                <c:pt idx="1">
                  <c:v>4.8895149728212996E-2</c:v>
                </c:pt>
                <c:pt idx="2">
                  <c:v>5.1779269484048984E-2</c:v>
                </c:pt>
                <c:pt idx="3">
                  <c:v>4.8961843624642065E-2</c:v>
                </c:pt>
                <c:pt idx="4">
                  <c:v>4.8965324622054551E-2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BB0-4AC3-9CB9-2FAA248129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50000"/>
                    <a:lumOff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6BB0-4AC3-9CB9-2FAA24812900}"/>
              </c:ext>
            </c:extLst>
          </c:dPt>
          <c:xVal>
            <c:numRef>
              <c:f>'2. k as func of τ &amp; τmin'!$J$56:$J$57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xVal>
          <c:yVal>
            <c:numRef>
              <c:f>'2. k as func of τ &amp; τmin'!$K$56:$K$57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6BB0-4AC3-9CB9-2FAA248129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valAx>
        <c:axId val="1496099248"/>
        <c:scaling>
          <c:orientation val="minMax"/>
          <c:max val="6.0000000000000012E-2"/>
          <c:min val="3.0000000000000006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1088"/>
        <c:crosses val="autoZero"/>
        <c:crossBetween val="midCat"/>
      </c:valAx>
      <c:valAx>
        <c:axId val="1496091088"/>
        <c:scaling>
          <c:orientation val="minMax"/>
          <c:max val="6.0000000000000012E-2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9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High Flow: (</a:t>
            </a:r>
            <a:r>
              <a:rPr lang="el-GR" sz="1200" baseline="0"/>
              <a:t>τ* = 0.108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'2. k as func of τ &amp; τmin'!$AD$21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 k as func of τ &amp; τmin'!$BJ$22:$BJ$27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'2. k as func of τ &amp; τmin'!$BL$22:$BL$27</c:f>
              <c:numCache>
                <c:formatCode>0.0000</c:formatCode>
                <c:ptCount val="6"/>
                <c:pt idx="0">
                  <c:v>0.04</c:v>
                </c:pt>
                <c:pt idx="1">
                  <c:v>4.8895149728212996E-2</c:v>
                </c:pt>
                <c:pt idx="2">
                  <c:v>5.1779269484048984E-2</c:v>
                </c:pt>
                <c:pt idx="3">
                  <c:v>4.8961843624642065E-2</c:v>
                </c:pt>
                <c:pt idx="4">
                  <c:v>4.8965324622054551E-2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73-4808-B397-909DA329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'2. k as func of τ &amp; τmin'!$K$21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'2. k as func of τ &amp; τmin'!$V$4:$V$41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τmin'!$BH$4:$BH$41</c:f>
              <c:numCache>
                <c:formatCode>0.0000</c:formatCode>
                <c:ptCount val="38"/>
                <c:pt idx="0">
                  <c:v>4.0001386098885164E-2</c:v>
                </c:pt>
                <c:pt idx="1">
                  <c:v>4.0002772076429348E-2</c:v>
                </c:pt>
                <c:pt idx="2">
                  <c:v>4.000415793264317E-2</c:v>
                </c:pt>
                <c:pt idx="3">
                  <c:v>4.0005543667537266E-2</c:v>
                </c:pt>
                <c:pt idx="4">
                  <c:v>4.0006929281122247E-2</c:v>
                </c:pt>
                <c:pt idx="5">
                  <c:v>4.0008314773408736E-2</c:v>
                </c:pt>
                <c:pt idx="6">
                  <c:v>4.0009700144407342E-2</c:v>
                </c:pt>
                <c:pt idx="7">
                  <c:v>4.0011085394128704E-2</c:v>
                </c:pt>
                <c:pt idx="8">
                  <c:v>4.0012470522583415E-2</c:v>
                </c:pt>
                <c:pt idx="9">
                  <c:v>4.0013855529782101E-2</c:v>
                </c:pt>
                <c:pt idx="10">
                  <c:v>4.0015240415735377E-2</c:v>
                </c:pt>
                <c:pt idx="11">
                  <c:v>4.001662518045386E-2</c:v>
                </c:pt>
                <c:pt idx="12">
                  <c:v>4.0018009823948153E-2</c:v>
                </c:pt>
                <c:pt idx="13">
                  <c:v>4.0019394346228886E-2</c:v>
                </c:pt>
                <c:pt idx="14">
                  <c:v>4.0020778747306654E-2</c:v>
                </c:pt>
                <c:pt idx="15">
                  <c:v>4.0022163027192068E-2</c:v>
                </c:pt>
                <c:pt idx="16">
                  <c:v>4.002354718589575E-2</c:v>
                </c:pt>
                <c:pt idx="17">
                  <c:v>4.0024931223428289E-2</c:v>
                </c:pt>
                <c:pt idx="18">
                  <c:v>4.0026315139800317E-2</c:v>
                </c:pt>
                <c:pt idx="19">
                  <c:v>4.0027698935022421E-2</c:v>
                </c:pt>
                <c:pt idx="20">
                  <c:v>4.0034616094255335E-2</c:v>
                </c:pt>
                <c:pt idx="21">
                  <c:v>4.0041530226330765E-2</c:v>
                </c:pt>
                <c:pt idx="22">
                  <c:v>4.0048441332573473E-2</c:v>
                </c:pt>
                <c:pt idx="23">
                  <c:v>4.0055349414307662E-2</c:v>
                </c:pt>
                <c:pt idx="24">
                  <c:v>4.006225447285694E-2</c:v>
                </c:pt>
                <c:pt idx="25">
                  <c:v>4.006915650954436E-2</c:v>
                </c:pt>
                <c:pt idx="26">
                  <c:v>4.0076055525692364E-2</c:v>
                </c:pt>
                <c:pt idx="27">
                  <c:v>4.0082951522622833E-2</c:v>
                </c:pt>
                <c:pt idx="28">
                  <c:v>4.0089844501657076E-2</c:v>
                </c:pt>
                <c:pt idx="29">
                  <c:v>4.0096734464115803E-2</c:v>
                </c:pt>
                <c:pt idx="30">
                  <c:v>4.0103621411319172E-2</c:v>
                </c:pt>
                <c:pt idx="31">
                  <c:v>4.0110505344586739E-2</c:v>
                </c:pt>
                <c:pt idx="32">
                  <c:v>4.0117386265237504E-2</c:v>
                </c:pt>
                <c:pt idx="33">
                  <c:v>4.012426417458987E-2</c:v>
                </c:pt>
                <c:pt idx="34">
                  <c:v>4.0131139073961673E-2</c:v>
                </c:pt>
                <c:pt idx="35">
                  <c:v>4.0138010964670179E-2</c:v>
                </c:pt>
                <c:pt idx="36">
                  <c:v>4.0151745725363418E-2</c:v>
                </c:pt>
                <c:pt idx="37">
                  <c:v>4.0165468467196139E-2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773-4808-B397-909DA329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High Flow (</a:t>
            </a:r>
            <a:r>
              <a:rPr lang="el-GR" sz="1200" baseline="0"/>
              <a:t>τ* = 0.089)</a:t>
            </a:r>
            <a:endParaRPr lang="en-US" sz="1200"/>
          </a:p>
        </c:rich>
      </c:tx>
      <c:layout>
        <c:manualLayout>
          <c:xMode val="edge"/>
          <c:yMode val="edge"/>
          <c:x val="0.31548891171212295"/>
          <c:y val="5.2131017869341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'2. k as func of τ &amp; τmin'!$AD$30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'2. k as func of τ &amp; τmin'!$BJ$31:$BJ$36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'2. k as func of τ &amp; τmin'!$BL$31:$BL$36</c:f>
              <c:numCache>
                <c:formatCode>0.0000</c:formatCode>
                <c:ptCount val="6"/>
                <c:pt idx="0">
                  <c:v>0.04</c:v>
                </c:pt>
                <c:pt idx="1">
                  <c:v>4.5627026419976936E-2</c:v>
                </c:pt>
                <c:pt idx="2">
                  <c:v>4.860357919174027E-2</c:v>
                </c:pt>
                <c:pt idx="3">
                  <c:v>5.5833646253055487E-2</c:v>
                </c:pt>
                <c:pt idx="4">
                  <c:v>5.145407230191433E-2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27F-429A-8F0A-C1EDD70B3C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'2. k as func of τ &amp; τmin'!$K$30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'2. k as func of τ &amp; τmin'!$AM$4:$AM$59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τmin'!$BG$4:$BG$41</c:f>
              <c:numCache>
                <c:formatCode>0.0000</c:formatCode>
                <c:ptCount val="38"/>
                <c:pt idx="0">
                  <c:v>4.000141812310494E-2</c:v>
                </c:pt>
                <c:pt idx="1">
                  <c:v>4.0002836119197235E-2</c:v>
                </c:pt>
                <c:pt idx="2">
                  <c:v>4.0004253988288274E-2</c:v>
                </c:pt>
                <c:pt idx="3">
                  <c:v>4.0005671730389436E-2</c:v>
                </c:pt>
                <c:pt idx="4">
                  <c:v>4.0007089345512073E-2</c:v>
                </c:pt>
                <c:pt idx="5">
                  <c:v>4.0008506833667579E-2</c:v>
                </c:pt>
                <c:pt idx="6">
                  <c:v>4.0009924194867319E-2</c:v>
                </c:pt>
                <c:pt idx="7">
                  <c:v>4.001134142912266E-2</c:v>
                </c:pt>
                <c:pt idx="8">
                  <c:v>4.0012758536444981E-2</c:v>
                </c:pt>
                <c:pt idx="9">
                  <c:v>4.0014175516845635E-2</c:v>
                </c:pt>
                <c:pt idx="10">
                  <c:v>4.0015592370336001E-2</c:v>
                </c:pt>
                <c:pt idx="11">
                  <c:v>4.0017009096927444E-2</c:v>
                </c:pt>
                <c:pt idx="12">
                  <c:v>4.0018425696631332E-2</c:v>
                </c:pt>
                <c:pt idx="13">
                  <c:v>4.0019842169459016E-2</c:v>
                </c:pt>
                <c:pt idx="14">
                  <c:v>4.0021258515421883E-2</c:v>
                </c:pt>
                <c:pt idx="15">
                  <c:v>4.0022674734531277E-2</c:v>
                </c:pt>
                <c:pt idx="16">
                  <c:v>4.0024090826798558E-2</c:v>
                </c:pt>
                <c:pt idx="17">
                  <c:v>4.0025506792235099E-2</c:v>
                </c:pt>
                <c:pt idx="18">
                  <c:v>4.0026922630852252E-2</c:v>
                </c:pt>
                <c:pt idx="19">
                  <c:v>4.0028338342661382E-2</c:v>
                </c:pt>
                <c:pt idx="20">
                  <c:v>4.0035414999984073E-2</c:v>
                </c:pt>
                <c:pt idx="21">
                  <c:v>4.0042488488809244E-2</c:v>
                </c:pt>
                <c:pt idx="22">
                  <c:v>4.0049558810555552E-2</c:v>
                </c:pt>
                <c:pt idx="23">
                  <c:v>4.0056625966641043E-2</c:v>
                </c:pt>
                <c:pt idx="24">
                  <c:v>4.0063689958483084E-2</c:v>
                </c:pt>
                <c:pt idx="25">
                  <c:v>4.0070750787498451E-2</c:v>
                </c:pt>
                <c:pt idx="26">
                  <c:v>4.0077808455103253E-2</c:v>
                </c:pt>
                <c:pt idx="27">
                  <c:v>4.0084862962712978E-2</c:v>
                </c:pt>
                <c:pt idx="28">
                  <c:v>4.0091914311742485E-2</c:v>
                </c:pt>
                <c:pt idx="29">
                  <c:v>4.0098962503605992E-2</c:v>
                </c:pt>
                <c:pt idx="30">
                  <c:v>4.010600753971709E-2</c:v>
                </c:pt>
                <c:pt idx="31">
                  <c:v>4.0113049421488731E-2</c:v>
                </c:pt>
                <c:pt idx="32">
                  <c:v>4.012008815033323E-2</c:v>
                </c:pt>
                <c:pt idx="33">
                  <c:v>4.0127123727662285E-2</c:v>
                </c:pt>
                <c:pt idx="34">
                  <c:v>4.0134156154886955E-2</c:v>
                </c:pt>
                <c:pt idx="35">
                  <c:v>4.0141185433417659E-2</c:v>
                </c:pt>
                <c:pt idx="36">
                  <c:v>4.0155234550035709E-2</c:v>
                </c:pt>
                <c:pt idx="37">
                  <c:v>4.0169271088787234E-2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27F-429A-8F0A-C1EDD70B3C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Low Flow (</a:t>
            </a:r>
            <a:r>
              <a:rPr lang="el-GR" sz="1200" baseline="0"/>
              <a:t>τ* = 0.086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'2. k as func of τ &amp; τmin'!$AD$39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'2. k as func of τ &amp; τmin'!$BJ$40:$BJ$44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'2. k as func of τ &amp; τmin'!$BL$40:$BL$44</c:f>
              <c:numCache>
                <c:formatCode>0.0000</c:formatCode>
                <c:ptCount val="5"/>
                <c:pt idx="0">
                  <c:v>0.04</c:v>
                </c:pt>
                <c:pt idx="2">
                  <c:v>4.880607945181633E-2</c:v>
                </c:pt>
                <c:pt idx="3">
                  <c:v>4.7893651283411866E-2</c:v>
                </c:pt>
                <c:pt idx="4">
                  <c:v>5.1755608653064417E-2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79-4E90-A604-75B3E2A0C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'2. k as func of τ &amp; τmin'!$K$39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'2. k as func of τ &amp; τmin'!$AM$4:$AM$59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τmin'!$BF$4:$BF$41</c:f>
              <c:numCache>
                <c:formatCode>0.0000</c:formatCode>
                <c:ptCount val="38"/>
                <c:pt idx="0">
                  <c:v>4.0001150015532297E-2</c:v>
                </c:pt>
                <c:pt idx="1">
                  <c:v>4.0002299947537664E-2</c:v>
                </c:pt>
                <c:pt idx="2">
                  <c:v>4.0003449796022182E-2</c:v>
                </c:pt>
                <c:pt idx="3">
                  <c:v>4.0004599560991908E-2</c:v>
                </c:pt>
                <c:pt idx="4">
                  <c:v>4.0005749242452912E-2</c:v>
                </c:pt>
                <c:pt idx="5">
                  <c:v>4.0006898840411267E-2</c:v>
                </c:pt>
                <c:pt idx="6">
                  <c:v>4.0008048354873017E-2</c:v>
                </c:pt>
                <c:pt idx="7">
                  <c:v>4.0009197785844247E-2</c:v>
                </c:pt>
                <c:pt idx="8">
                  <c:v>4.0010347133331015E-2</c:v>
                </c:pt>
                <c:pt idx="9">
                  <c:v>4.0011496397339377E-2</c:v>
                </c:pt>
                <c:pt idx="10">
                  <c:v>4.00126455778754E-2</c:v>
                </c:pt>
                <c:pt idx="11">
                  <c:v>4.0013794674945154E-2</c:v>
                </c:pt>
                <c:pt idx="12">
                  <c:v>4.0014943688554697E-2</c:v>
                </c:pt>
                <c:pt idx="13">
                  <c:v>4.0016092618710079E-2</c:v>
                </c:pt>
                <c:pt idx="14">
                  <c:v>4.001724146541738E-2</c:v>
                </c:pt>
                <c:pt idx="15">
                  <c:v>4.001839022868265E-2</c:v>
                </c:pt>
                <c:pt idx="16">
                  <c:v>4.0019538908511954E-2</c:v>
                </c:pt>
                <c:pt idx="17">
                  <c:v>4.0020687504911348E-2</c:v>
                </c:pt>
                <c:pt idx="18">
                  <c:v>4.0021836017886898E-2</c:v>
                </c:pt>
                <c:pt idx="19">
                  <c:v>4.0022984447444662E-2</c:v>
                </c:pt>
                <c:pt idx="20">
                  <c:v>4.0028725344178659E-2</c:v>
                </c:pt>
                <c:pt idx="21">
                  <c:v>4.0034464156376556E-2</c:v>
                </c:pt>
                <c:pt idx="22">
                  <c:v>4.0040200884795263E-2</c:v>
                </c:pt>
                <c:pt idx="23">
                  <c:v>4.0045935530191382E-2</c:v>
                </c:pt>
                <c:pt idx="24">
                  <c:v>4.0051668093321294E-2</c:v>
                </c:pt>
                <c:pt idx="25">
                  <c:v>4.0057398574941047E-2</c:v>
                </c:pt>
                <c:pt idx="26">
                  <c:v>4.0063126975806468E-2</c:v>
                </c:pt>
                <c:pt idx="27">
                  <c:v>4.006885329667307E-2</c:v>
                </c:pt>
                <c:pt idx="28">
                  <c:v>4.0074577538296109E-2</c:v>
                </c:pt>
                <c:pt idx="29">
                  <c:v>4.0080299701430566E-2</c:v>
                </c:pt>
                <c:pt idx="30">
                  <c:v>4.0086019786831156E-2</c:v>
                </c:pt>
                <c:pt idx="31">
                  <c:v>4.009173779525229E-2</c:v>
                </c:pt>
                <c:pt idx="32">
                  <c:v>4.0097453727448135E-2</c:v>
                </c:pt>
                <c:pt idx="33">
                  <c:v>4.010316758417258E-2</c:v>
                </c:pt>
                <c:pt idx="34">
                  <c:v>4.0108879366179226E-2</c:v>
                </c:pt>
                <c:pt idx="35">
                  <c:v>4.0114589074221413E-2</c:v>
                </c:pt>
                <c:pt idx="36">
                  <c:v>4.0126002271424384E-2</c:v>
                </c:pt>
                <c:pt idx="37">
                  <c:v>4.0137407181802712E-2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A79-4E90-A604-75B3E2A0C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u="none" strike="noStrike" baseline="0">
                <a:effectLst/>
              </a:rPr>
              <a:t>Low Flow (</a:t>
            </a:r>
            <a:r>
              <a:rPr lang="el-GR" sz="1200" b="0" i="0" u="none" strike="noStrike" baseline="0">
                <a:effectLst/>
              </a:rPr>
              <a:t>τ* = 0.075)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'2. k as func of τ &amp; τmin'!$AD$48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 k as func of τ &amp; τmin'!$BJ$49:$BJ$54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'2. k as func of τ &amp; τmin'!$BL$49:$BL$54</c:f>
              <c:numCache>
                <c:formatCode>0.0000</c:formatCode>
                <c:ptCount val="6"/>
                <c:pt idx="0">
                  <c:v>0.04</c:v>
                </c:pt>
                <c:pt idx="1">
                  <c:v>4.0883015185033886E-2</c:v>
                </c:pt>
                <c:pt idx="2">
                  <c:v>4.7200498607488234E-2</c:v>
                </c:pt>
                <c:pt idx="3">
                  <c:v>4.7978393655140922E-2</c:v>
                </c:pt>
                <c:pt idx="4">
                  <c:v>5.2297832157699113E-2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B9-4722-8134-261FC9CD3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'2. k as func of τ &amp; τmin'!$K$21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'2. k as func of τ &amp; τmin'!$BD$4:$BD$41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τmin'!$BE$4:$BE$41</c:f>
              <c:numCache>
                <c:formatCode>0.0000</c:formatCode>
                <c:ptCount val="38"/>
                <c:pt idx="0">
                  <c:v>4.0001045180159997E-2</c:v>
                </c:pt>
                <c:pt idx="1">
                  <c:v>4.0002090291327563E-2</c:v>
                </c:pt>
                <c:pt idx="2">
                  <c:v>4.0003135333507273E-2</c:v>
                </c:pt>
                <c:pt idx="3">
                  <c:v>4.0004180306703677E-2</c:v>
                </c:pt>
                <c:pt idx="4">
                  <c:v>4.0005225210921314E-2</c:v>
                </c:pt>
                <c:pt idx="5">
                  <c:v>4.0006270046164742E-2</c:v>
                </c:pt>
                <c:pt idx="6">
                  <c:v>4.0007314812438521E-2</c:v>
                </c:pt>
                <c:pt idx="7">
                  <c:v>4.000835950974721E-2</c:v>
                </c:pt>
                <c:pt idx="8">
                  <c:v>4.0009404138095346E-2</c:v>
                </c:pt>
                <c:pt idx="9">
                  <c:v>4.0010448697487488E-2</c:v>
                </c:pt>
                <c:pt idx="10">
                  <c:v>4.0011493187928182E-2</c:v>
                </c:pt>
                <c:pt idx="11">
                  <c:v>4.0012537609422E-2</c:v>
                </c:pt>
                <c:pt idx="12">
                  <c:v>4.0013581961973466E-2</c:v>
                </c:pt>
                <c:pt idx="13">
                  <c:v>4.0014626245587145E-2</c:v>
                </c:pt>
                <c:pt idx="14">
                  <c:v>4.0015670460267577E-2</c:v>
                </c:pt>
                <c:pt idx="15">
                  <c:v>4.0016714606019334E-2</c:v>
                </c:pt>
                <c:pt idx="16">
                  <c:v>4.0017758682846946E-2</c:v>
                </c:pt>
                <c:pt idx="17">
                  <c:v>4.0018802690754973E-2</c:v>
                </c:pt>
                <c:pt idx="18">
                  <c:v>4.001984662974796E-2</c:v>
                </c:pt>
                <c:pt idx="19">
                  <c:v>4.0020890499830458E-2</c:v>
                </c:pt>
                <c:pt idx="20">
                  <c:v>4.0026108816744781E-2</c:v>
                </c:pt>
                <c:pt idx="21">
                  <c:v>4.0031325411579041E-2</c:v>
                </c:pt>
                <c:pt idx="22">
                  <c:v>4.0036540284901542E-2</c:v>
                </c:pt>
                <c:pt idx="23">
                  <c:v>4.0041753437280378E-2</c:v>
                </c:pt>
                <c:pt idx="24">
                  <c:v>4.0046964869283497E-2</c:v>
                </c:pt>
                <c:pt idx="25">
                  <c:v>4.0052174581478611E-2</c:v>
                </c:pt>
                <c:pt idx="26">
                  <c:v>4.0057382574433281E-2</c:v>
                </c:pt>
                <c:pt idx="27">
                  <c:v>4.0062588848714865E-2</c:v>
                </c:pt>
                <c:pt idx="28">
                  <c:v>4.0067793404890542E-2</c:v>
                </c:pt>
                <c:pt idx="29">
                  <c:v>4.0072996243527281E-2</c:v>
                </c:pt>
                <c:pt idx="30">
                  <c:v>4.00781973651919E-2</c:v>
                </c:pt>
                <c:pt idx="31">
                  <c:v>4.0083396770451016E-2</c:v>
                </c:pt>
                <c:pt idx="32">
                  <c:v>4.0088594459871035E-2</c:v>
                </c:pt>
                <c:pt idx="33">
                  <c:v>4.0093790434018201E-2</c:v>
                </c:pt>
                <c:pt idx="34">
                  <c:v>4.0098984693458573E-2</c:v>
                </c:pt>
                <c:pt idx="35">
                  <c:v>4.0104177238758018E-2</c:v>
                </c:pt>
                <c:pt idx="36">
                  <c:v>4.0114557189196626E-2</c:v>
                </c:pt>
                <c:pt idx="37">
                  <c:v>4.0124930289857218E-2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AB9-4722-8134-261FC9CD3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Testing</a:t>
            </a:r>
            <a:r>
              <a:rPr lang="en-US" baseline="0"/>
              <a:t> Equation with flume data (k=</a:t>
            </a:r>
            <a:r>
              <a:rPr lang="el-GR" baseline="0"/>
              <a:t>τ/τ</a:t>
            </a:r>
            <a:r>
              <a:rPr lang="en-US" baseline="0"/>
              <a:t>min^2) </a:t>
            </a:r>
            <a:endParaRPr lang="en-US"/>
          </a:p>
        </c:rich>
      </c:tx>
      <c:layout>
        <c:manualLayout>
          <c:xMode val="edge"/>
          <c:yMode val="edge"/>
          <c:x val="0.1763585791018838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0"/>
          <c:tx>
            <c:strRef>
              <c:f>'2. k as func of τ &amp; τmin'!$BY$2</c:f>
              <c:strCache>
                <c:ptCount val="1"/>
                <c:pt idx="0">
                  <c:v>34.197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'2. k as func of τ &amp; τmin'!$BU$4:$BU$41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τmin'!$BY$4:$BY$41</c:f>
              <c:numCache>
                <c:formatCode>0.0000</c:formatCode>
                <c:ptCount val="38"/>
                <c:pt idx="0">
                  <c:v>5.5833646253055466E-2</c:v>
                </c:pt>
                <c:pt idx="1">
                  <c:v>5.5833646253055487E-2</c:v>
                </c:pt>
                <c:pt idx="2">
                  <c:v>5.5833646253055487E-2</c:v>
                </c:pt>
                <c:pt idx="3">
                  <c:v>5.5833646253055487E-2</c:v>
                </c:pt>
                <c:pt idx="4">
                  <c:v>5.5833646253055487E-2</c:v>
                </c:pt>
                <c:pt idx="5">
                  <c:v>5.5833646253055487E-2</c:v>
                </c:pt>
                <c:pt idx="6">
                  <c:v>5.5833646253055487E-2</c:v>
                </c:pt>
                <c:pt idx="7">
                  <c:v>5.5833646253055487E-2</c:v>
                </c:pt>
                <c:pt idx="8">
                  <c:v>5.5833646253055487E-2</c:v>
                </c:pt>
                <c:pt idx="9">
                  <c:v>5.5833646253055487E-2</c:v>
                </c:pt>
                <c:pt idx="10">
                  <c:v>5.5833646253055487E-2</c:v>
                </c:pt>
                <c:pt idx="11">
                  <c:v>5.5833646253055487E-2</c:v>
                </c:pt>
                <c:pt idx="12">
                  <c:v>5.5833646253055487E-2</c:v>
                </c:pt>
                <c:pt idx="13">
                  <c:v>5.5833646253055487E-2</c:v>
                </c:pt>
                <c:pt idx="14">
                  <c:v>5.5833646253055487E-2</c:v>
                </c:pt>
                <c:pt idx="15">
                  <c:v>5.5833646253055487E-2</c:v>
                </c:pt>
                <c:pt idx="16">
                  <c:v>5.5833646253055487E-2</c:v>
                </c:pt>
                <c:pt idx="17">
                  <c:v>5.5833646253055487E-2</c:v>
                </c:pt>
                <c:pt idx="18">
                  <c:v>5.5833646253055487E-2</c:v>
                </c:pt>
                <c:pt idx="19">
                  <c:v>5.5833646253055487E-2</c:v>
                </c:pt>
                <c:pt idx="20">
                  <c:v>5.5833646253055487E-2</c:v>
                </c:pt>
                <c:pt idx="21">
                  <c:v>5.5833646253055487E-2</c:v>
                </c:pt>
                <c:pt idx="22">
                  <c:v>5.5833646253055487E-2</c:v>
                </c:pt>
                <c:pt idx="23">
                  <c:v>5.5833646253055487E-2</c:v>
                </c:pt>
                <c:pt idx="24">
                  <c:v>5.5833646253055487E-2</c:v>
                </c:pt>
                <c:pt idx="25">
                  <c:v>5.5833646253055487E-2</c:v>
                </c:pt>
                <c:pt idx="26">
                  <c:v>5.5833646253055487E-2</c:v>
                </c:pt>
                <c:pt idx="27">
                  <c:v>5.5833646253055487E-2</c:v>
                </c:pt>
                <c:pt idx="28">
                  <c:v>5.5833646253055487E-2</c:v>
                </c:pt>
                <c:pt idx="29">
                  <c:v>5.5833646253055487E-2</c:v>
                </c:pt>
                <c:pt idx="30">
                  <c:v>5.5833646253055487E-2</c:v>
                </c:pt>
                <c:pt idx="31">
                  <c:v>5.5833646253055487E-2</c:v>
                </c:pt>
                <c:pt idx="32">
                  <c:v>5.5833646253055487E-2</c:v>
                </c:pt>
                <c:pt idx="33">
                  <c:v>5.5833646253055487E-2</c:v>
                </c:pt>
                <c:pt idx="34">
                  <c:v>5.5833646253055487E-2</c:v>
                </c:pt>
                <c:pt idx="35">
                  <c:v>5.5833646253055487E-2</c:v>
                </c:pt>
                <c:pt idx="36">
                  <c:v>5.5833646253055487E-2</c:v>
                </c:pt>
                <c:pt idx="37">
                  <c:v>5.5833646253055487E-2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77F-4F54-AC1A-0C0CC7A1313D}"/>
            </c:ext>
          </c:extLst>
        </c:ser>
        <c:ser>
          <c:idx val="2"/>
          <c:order val="1"/>
          <c:tx>
            <c:strRef>
              <c:f>'2. k as func of τ &amp; τmin'!$BG$2</c:f>
              <c:strCache>
                <c:ptCount val="1"/>
                <c:pt idx="0">
                  <c:v>0.0001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'2. k as func of τ &amp; τmin'!$BU$4:$BU$41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τmin'!$BW$4:$BW$41</c:f>
              <c:numCache>
                <c:formatCode>0.0000</c:formatCode>
                <c:ptCount val="38"/>
                <c:pt idx="0">
                  <c:v>5.5833646253012528E-2</c:v>
                </c:pt>
                <c:pt idx="1">
                  <c:v>5.5833646253055487E-2</c:v>
                </c:pt>
                <c:pt idx="2">
                  <c:v>5.5833646253055487E-2</c:v>
                </c:pt>
                <c:pt idx="3">
                  <c:v>5.5833646253055487E-2</c:v>
                </c:pt>
                <c:pt idx="4">
                  <c:v>5.5833646253055487E-2</c:v>
                </c:pt>
                <c:pt idx="5">
                  <c:v>5.5833646253055487E-2</c:v>
                </c:pt>
                <c:pt idx="6">
                  <c:v>5.5833646253055487E-2</c:v>
                </c:pt>
                <c:pt idx="7">
                  <c:v>5.5833646253055487E-2</c:v>
                </c:pt>
                <c:pt idx="8">
                  <c:v>5.5833646253055487E-2</c:v>
                </c:pt>
                <c:pt idx="9">
                  <c:v>5.5833646253055487E-2</c:v>
                </c:pt>
                <c:pt idx="10">
                  <c:v>5.5833646253055487E-2</c:v>
                </c:pt>
                <c:pt idx="11">
                  <c:v>5.5833646253055487E-2</c:v>
                </c:pt>
                <c:pt idx="12">
                  <c:v>5.5833646253055487E-2</c:v>
                </c:pt>
                <c:pt idx="13">
                  <c:v>5.5833646253055487E-2</c:v>
                </c:pt>
                <c:pt idx="14">
                  <c:v>5.5833646253055487E-2</c:v>
                </c:pt>
                <c:pt idx="15">
                  <c:v>5.5833646253055487E-2</c:v>
                </c:pt>
                <c:pt idx="16">
                  <c:v>5.5833646253055487E-2</c:v>
                </c:pt>
                <c:pt idx="17">
                  <c:v>5.5833646253055487E-2</c:v>
                </c:pt>
                <c:pt idx="18">
                  <c:v>5.5833646253055487E-2</c:v>
                </c:pt>
                <c:pt idx="19">
                  <c:v>5.5833646253055487E-2</c:v>
                </c:pt>
                <c:pt idx="20">
                  <c:v>5.5833646253055487E-2</c:v>
                </c:pt>
                <c:pt idx="21">
                  <c:v>5.5833646253055487E-2</c:v>
                </c:pt>
                <c:pt idx="22">
                  <c:v>5.5833646253055487E-2</c:v>
                </c:pt>
                <c:pt idx="23">
                  <c:v>5.5833646253055487E-2</c:v>
                </c:pt>
                <c:pt idx="24">
                  <c:v>5.5833646253055487E-2</c:v>
                </c:pt>
                <c:pt idx="25">
                  <c:v>5.5833646253055487E-2</c:v>
                </c:pt>
                <c:pt idx="26">
                  <c:v>5.5833646253055487E-2</c:v>
                </c:pt>
                <c:pt idx="27">
                  <c:v>5.5833646253055487E-2</c:v>
                </c:pt>
                <c:pt idx="28">
                  <c:v>5.5833646253055487E-2</c:v>
                </c:pt>
                <c:pt idx="29">
                  <c:v>5.5833646253055487E-2</c:v>
                </c:pt>
                <c:pt idx="30">
                  <c:v>5.5833646253055487E-2</c:v>
                </c:pt>
                <c:pt idx="31">
                  <c:v>5.5833646253055487E-2</c:v>
                </c:pt>
                <c:pt idx="32">
                  <c:v>5.5833646253055487E-2</c:v>
                </c:pt>
                <c:pt idx="33">
                  <c:v>5.5833646253055487E-2</c:v>
                </c:pt>
                <c:pt idx="34">
                  <c:v>5.5833646253055487E-2</c:v>
                </c:pt>
                <c:pt idx="35">
                  <c:v>5.5833646253055487E-2</c:v>
                </c:pt>
                <c:pt idx="36">
                  <c:v>5.5833646253055487E-2</c:v>
                </c:pt>
                <c:pt idx="37">
                  <c:v>5.5833646253055487E-2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77F-4F54-AC1A-0C0CC7A1313D}"/>
            </c:ext>
          </c:extLst>
        </c:ser>
        <c:ser>
          <c:idx val="1"/>
          <c:order val="2"/>
          <c:tx>
            <c:strRef>
              <c:f>'2. k as func of τ &amp; τmin'!$BW$2</c:f>
              <c:strCache>
                <c:ptCount val="1"/>
                <c:pt idx="0">
                  <c:v>26.633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'2. k as func of τ &amp; τmin'!$BU$4:$BU$41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τmin'!$BW$4:$BW$41</c:f>
              <c:numCache>
                <c:formatCode>0.0000</c:formatCode>
                <c:ptCount val="38"/>
                <c:pt idx="0">
                  <c:v>5.5833646253012528E-2</c:v>
                </c:pt>
                <c:pt idx="1">
                  <c:v>5.5833646253055487E-2</c:v>
                </c:pt>
                <c:pt idx="2">
                  <c:v>5.5833646253055487E-2</c:v>
                </c:pt>
                <c:pt idx="3">
                  <c:v>5.5833646253055487E-2</c:v>
                </c:pt>
                <c:pt idx="4">
                  <c:v>5.5833646253055487E-2</c:v>
                </c:pt>
                <c:pt idx="5">
                  <c:v>5.5833646253055487E-2</c:v>
                </c:pt>
                <c:pt idx="6">
                  <c:v>5.5833646253055487E-2</c:v>
                </c:pt>
                <c:pt idx="7">
                  <c:v>5.5833646253055487E-2</c:v>
                </c:pt>
                <c:pt idx="8">
                  <c:v>5.5833646253055487E-2</c:v>
                </c:pt>
                <c:pt idx="9">
                  <c:v>5.5833646253055487E-2</c:v>
                </c:pt>
                <c:pt idx="10">
                  <c:v>5.5833646253055487E-2</c:v>
                </c:pt>
                <c:pt idx="11">
                  <c:v>5.5833646253055487E-2</c:v>
                </c:pt>
                <c:pt idx="12">
                  <c:v>5.5833646253055487E-2</c:v>
                </c:pt>
                <c:pt idx="13">
                  <c:v>5.5833646253055487E-2</c:v>
                </c:pt>
                <c:pt idx="14">
                  <c:v>5.5833646253055487E-2</c:v>
                </c:pt>
                <c:pt idx="15">
                  <c:v>5.5833646253055487E-2</c:v>
                </c:pt>
                <c:pt idx="16">
                  <c:v>5.5833646253055487E-2</c:v>
                </c:pt>
                <c:pt idx="17">
                  <c:v>5.5833646253055487E-2</c:v>
                </c:pt>
                <c:pt idx="18">
                  <c:v>5.5833646253055487E-2</c:v>
                </c:pt>
                <c:pt idx="19">
                  <c:v>5.5833646253055487E-2</c:v>
                </c:pt>
                <c:pt idx="20">
                  <c:v>5.5833646253055487E-2</c:v>
                </c:pt>
                <c:pt idx="21">
                  <c:v>5.5833646253055487E-2</c:v>
                </c:pt>
                <c:pt idx="22">
                  <c:v>5.5833646253055487E-2</c:v>
                </c:pt>
                <c:pt idx="23">
                  <c:v>5.5833646253055487E-2</c:v>
                </c:pt>
                <c:pt idx="24">
                  <c:v>5.5833646253055487E-2</c:v>
                </c:pt>
                <c:pt idx="25">
                  <c:v>5.5833646253055487E-2</c:v>
                </c:pt>
                <c:pt idx="26">
                  <c:v>5.5833646253055487E-2</c:v>
                </c:pt>
                <c:pt idx="27">
                  <c:v>5.5833646253055487E-2</c:v>
                </c:pt>
                <c:pt idx="28">
                  <c:v>5.5833646253055487E-2</c:v>
                </c:pt>
                <c:pt idx="29">
                  <c:v>5.5833646253055487E-2</c:v>
                </c:pt>
                <c:pt idx="30">
                  <c:v>5.5833646253055487E-2</c:v>
                </c:pt>
                <c:pt idx="31">
                  <c:v>5.5833646253055487E-2</c:v>
                </c:pt>
                <c:pt idx="32">
                  <c:v>5.5833646253055487E-2</c:v>
                </c:pt>
                <c:pt idx="33">
                  <c:v>5.5833646253055487E-2</c:v>
                </c:pt>
                <c:pt idx="34">
                  <c:v>5.5833646253055487E-2</c:v>
                </c:pt>
                <c:pt idx="35">
                  <c:v>5.5833646253055487E-2</c:v>
                </c:pt>
                <c:pt idx="36">
                  <c:v>5.5833646253055487E-2</c:v>
                </c:pt>
                <c:pt idx="37">
                  <c:v>5.5833646253055487E-2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77F-4F54-AC1A-0C0CC7A1313D}"/>
            </c:ext>
          </c:extLst>
        </c:ser>
        <c:ser>
          <c:idx val="0"/>
          <c:order val="3"/>
          <c:tx>
            <c:strRef>
              <c:f>'2. k as func of τ &amp; τmin'!$BV$2</c:f>
              <c:strCache>
                <c:ptCount val="1"/>
                <c:pt idx="0">
                  <c:v>25.390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 k as func of τ &amp; τmin'!$BU$4:$BU$41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τmin'!$BV$4:$BV$41</c:f>
              <c:numCache>
                <c:formatCode>0.0000</c:formatCode>
                <c:ptCount val="38"/>
                <c:pt idx="0">
                  <c:v>5.5833646252906599E-2</c:v>
                </c:pt>
                <c:pt idx="1">
                  <c:v>5.5833646253055487E-2</c:v>
                </c:pt>
                <c:pt idx="2">
                  <c:v>5.5833646253055487E-2</c:v>
                </c:pt>
                <c:pt idx="3">
                  <c:v>5.5833646253055487E-2</c:v>
                </c:pt>
                <c:pt idx="4">
                  <c:v>5.5833646253055487E-2</c:v>
                </c:pt>
                <c:pt idx="5">
                  <c:v>5.5833646253055487E-2</c:v>
                </c:pt>
                <c:pt idx="6">
                  <c:v>5.5833646253055487E-2</c:v>
                </c:pt>
                <c:pt idx="7">
                  <c:v>5.5833646253055487E-2</c:v>
                </c:pt>
                <c:pt idx="8">
                  <c:v>5.5833646253055487E-2</c:v>
                </c:pt>
                <c:pt idx="9">
                  <c:v>5.5833646253055487E-2</c:v>
                </c:pt>
                <c:pt idx="10">
                  <c:v>5.5833646253055487E-2</c:v>
                </c:pt>
                <c:pt idx="11">
                  <c:v>5.5833646253055487E-2</c:v>
                </c:pt>
                <c:pt idx="12">
                  <c:v>5.5833646253055487E-2</c:v>
                </c:pt>
                <c:pt idx="13">
                  <c:v>5.5833646253055487E-2</c:v>
                </c:pt>
                <c:pt idx="14">
                  <c:v>5.5833646253055487E-2</c:v>
                </c:pt>
                <c:pt idx="15">
                  <c:v>5.5833646253055487E-2</c:v>
                </c:pt>
                <c:pt idx="16">
                  <c:v>5.5833646253055487E-2</c:v>
                </c:pt>
                <c:pt idx="17">
                  <c:v>5.5833646253055487E-2</c:v>
                </c:pt>
                <c:pt idx="18">
                  <c:v>5.5833646253055487E-2</c:v>
                </c:pt>
                <c:pt idx="19">
                  <c:v>5.5833646253055487E-2</c:v>
                </c:pt>
                <c:pt idx="20">
                  <c:v>5.5833646253055487E-2</c:v>
                </c:pt>
                <c:pt idx="21">
                  <c:v>5.5833646253055487E-2</c:v>
                </c:pt>
                <c:pt idx="22">
                  <c:v>5.5833646253055487E-2</c:v>
                </c:pt>
                <c:pt idx="23">
                  <c:v>5.5833646253055487E-2</c:v>
                </c:pt>
                <c:pt idx="24">
                  <c:v>5.5833646253055487E-2</c:v>
                </c:pt>
                <c:pt idx="25">
                  <c:v>5.5833646253055487E-2</c:v>
                </c:pt>
                <c:pt idx="26">
                  <c:v>5.5833646253055487E-2</c:v>
                </c:pt>
                <c:pt idx="27">
                  <c:v>5.5833646253055487E-2</c:v>
                </c:pt>
                <c:pt idx="28">
                  <c:v>5.5833646253055487E-2</c:v>
                </c:pt>
                <c:pt idx="29">
                  <c:v>5.5833646253055487E-2</c:v>
                </c:pt>
                <c:pt idx="30">
                  <c:v>5.5833646253055487E-2</c:v>
                </c:pt>
                <c:pt idx="31">
                  <c:v>5.5833646253055487E-2</c:v>
                </c:pt>
                <c:pt idx="32">
                  <c:v>5.5833646253055487E-2</c:v>
                </c:pt>
                <c:pt idx="33">
                  <c:v>5.5833646253055487E-2</c:v>
                </c:pt>
                <c:pt idx="34">
                  <c:v>5.5833646253055487E-2</c:v>
                </c:pt>
                <c:pt idx="35">
                  <c:v>5.5833646253055487E-2</c:v>
                </c:pt>
                <c:pt idx="36">
                  <c:v>5.5833646253055487E-2</c:v>
                </c:pt>
                <c:pt idx="37">
                  <c:v>5.5833646253055487E-2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77F-4F54-AC1A-0C0CC7A13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Measured vs Predicted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(k=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τ/τ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min^2)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'2. k as func of τ &amp; τmin'!$CA$47</c:f>
              <c:strCache>
                <c:ptCount val="1"/>
                <c:pt idx="0">
                  <c:v>Low Flow (τ* = 0.075)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 k as func of τ &amp; τmin'!$CB$49:$CB$54</c:f>
              <c:numCache>
                <c:formatCode>0.0000</c:formatCode>
                <c:ptCount val="6"/>
                <c:pt idx="0">
                  <c:v>0.04</c:v>
                </c:pt>
                <c:pt idx="1">
                  <c:v>5.5833646253055487E-2</c:v>
                </c:pt>
                <c:pt idx="2">
                  <c:v>5.5833646253055487E-2</c:v>
                </c:pt>
                <c:pt idx="3">
                  <c:v>5.5833646253055487E-2</c:v>
                </c:pt>
                <c:pt idx="4">
                  <c:v>5.5833646253055487E-2</c:v>
                </c:pt>
              </c:numCache>
            </c:numRef>
          </c:xVal>
          <c:yVal>
            <c:numRef>
              <c:f>'2. k as func of τ &amp; τmin'!$CC$49:$CC$54</c:f>
              <c:numCache>
                <c:formatCode>0.0000</c:formatCode>
                <c:ptCount val="6"/>
                <c:pt idx="0">
                  <c:v>0.04</c:v>
                </c:pt>
                <c:pt idx="1">
                  <c:v>4.0883015185033886E-2</c:v>
                </c:pt>
                <c:pt idx="2">
                  <c:v>4.7200498607488234E-2</c:v>
                </c:pt>
                <c:pt idx="3">
                  <c:v>4.7978393655140922E-2</c:v>
                </c:pt>
                <c:pt idx="4">
                  <c:v>5.2297832157699113E-2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5-4C6F-B5F8-EF8EFC74C9B0}"/>
            </c:ext>
          </c:extLst>
        </c:ser>
        <c:ser>
          <c:idx val="1"/>
          <c:order val="1"/>
          <c:tx>
            <c:strRef>
              <c:f>'2. k as func of τ &amp; τmin'!$CA$38</c:f>
              <c:strCache>
                <c:ptCount val="1"/>
                <c:pt idx="0">
                  <c:v>Med Low Flow (τ* = 0.086)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'2. k as func of τ &amp; τmin'!$CB$40:$CB$45</c:f>
              <c:numCache>
                <c:formatCode>0.0000</c:formatCode>
                <c:ptCount val="6"/>
                <c:pt idx="0">
                  <c:v>0.04</c:v>
                </c:pt>
                <c:pt idx="2">
                  <c:v>5.5833646253055487E-2</c:v>
                </c:pt>
                <c:pt idx="3">
                  <c:v>5.5833646253055487E-2</c:v>
                </c:pt>
                <c:pt idx="4">
                  <c:v>5.5833646253055487E-2</c:v>
                </c:pt>
              </c:numCache>
            </c:numRef>
          </c:xVal>
          <c:yVal>
            <c:numRef>
              <c:f>'2. k as func of τ &amp; τmin'!$CC$40:$CC$45</c:f>
              <c:numCache>
                <c:formatCode>0.0000</c:formatCode>
                <c:ptCount val="6"/>
                <c:pt idx="0">
                  <c:v>0.04</c:v>
                </c:pt>
                <c:pt idx="2">
                  <c:v>4.880607945181633E-2</c:v>
                </c:pt>
                <c:pt idx="3">
                  <c:v>4.7893651283411866E-2</c:v>
                </c:pt>
                <c:pt idx="4">
                  <c:v>5.1755608653064417E-2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05-4C6F-B5F8-EF8EFC74C9B0}"/>
            </c:ext>
          </c:extLst>
        </c:ser>
        <c:ser>
          <c:idx val="2"/>
          <c:order val="2"/>
          <c:tx>
            <c:strRef>
              <c:f>'2. k as func of τ &amp; τmin'!$CA$29</c:f>
              <c:strCache>
                <c:ptCount val="1"/>
                <c:pt idx="0">
                  <c:v>Med High Flow (τ* = 0.089)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'2. k as func of τ &amp; τmin'!$CB$31:$CB$36</c:f>
              <c:numCache>
                <c:formatCode>0.0000</c:formatCode>
                <c:ptCount val="6"/>
                <c:pt idx="0">
                  <c:v>0.04</c:v>
                </c:pt>
                <c:pt idx="1">
                  <c:v>5.5833646253055487E-2</c:v>
                </c:pt>
                <c:pt idx="2">
                  <c:v>5.5833646253055487E-2</c:v>
                </c:pt>
                <c:pt idx="3">
                  <c:v>5.5833646253055487E-2</c:v>
                </c:pt>
                <c:pt idx="4">
                  <c:v>5.5833646253055487E-2</c:v>
                </c:pt>
              </c:numCache>
            </c:numRef>
          </c:xVal>
          <c:yVal>
            <c:numRef>
              <c:f>'2. k as func of τ &amp; τmin'!$CC$31:$CC$36</c:f>
              <c:numCache>
                <c:formatCode>0.0000</c:formatCode>
                <c:ptCount val="6"/>
                <c:pt idx="0">
                  <c:v>0.04</c:v>
                </c:pt>
                <c:pt idx="1">
                  <c:v>4.5627026419976936E-2</c:v>
                </c:pt>
                <c:pt idx="2">
                  <c:v>4.860357919174027E-2</c:v>
                </c:pt>
                <c:pt idx="3">
                  <c:v>5.5833646253055487E-2</c:v>
                </c:pt>
                <c:pt idx="4">
                  <c:v>5.145407230191433E-2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D05-4C6F-B5F8-EF8EFC74C9B0}"/>
            </c:ext>
          </c:extLst>
        </c:ser>
        <c:ser>
          <c:idx val="3"/>
          <c:order val="3"/>
          <c:tx>
            <c:strRef>
              <c:f>'2. k as func of τ &amp; τmin'!$CA$20</c:f>
              <c:strCache>
                <c:ptCount val="1"/>
                <c:pt idx="0">
                  <c:v>High Flow: (τ* = 0.055)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'2. k as func of τ &amp; τmin'!$CB$22:$CB$27</c:f>
              <c:numCache>
                <c:formatCode>0.0000</c:formatCode>
                <c:ptCount val="6"/>
                <c:pt idx="0">
                  <c:v>0.04</c:v>
                </c:pt>
                <c:pt idx="1">
                  <c:v>5.5833646253055487E-2</c:v>
                </c:pt>
                <c:pt idx="2">
                  <c:v>5.5833646253055487E-2</c:v>
                </c:pt>
                <c:pt idx="3">
                  <c:v>5.5833646253055487E-2</c:v>
                </c:pt>
                <c:pt idx="4">
                  <c:v>5.5833646253055487E-2</c:v>
                </c:pt>
              </c:numCache>
            </c:numRef>
          </c:xVal>
          <c:yVal>
            <c:numRef>
              <c:f>'2. k as func of τ &amp; τmin'!$CC$22:$CC$27</c:f>
              <c:numCache>
                <c:formatCode>0.0000</c:formatCode>
                <c:ptCount val="6"/>
                <c:pt idx="0">
                  <c:v>0.04</c:v>
                </c:pt>
                <c:pt idx="1">
                  <c:v>4.8895149728212996E-2</c:v>
                </c:pt>
                <c:pt idx="2">
                  <c:v>5.1779269484048984E-2</c:v>
                </c:pt>
                <c:pt idx="3">
                  <c:v>4.8961843624642065E-2</c:v>
                </c:pt>
                <c:pt idx="4">
                  <c:v>4.8965324622054551E-2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05-4C6F-B5F8-EF8EFC74C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50000"/>
                    <a:lumOff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ED05-4C6F-B5F8-EF8EFC74C9B0}"/>
              </c:ext>
            </c:extLst>
          </c:dPt>
          <c:xVal>
            <c:numRef>
              <c:f>'2. k as func of τ &amp; τmin'!$J$56:$J$57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xVal>
          <c:yVal>
            <c:numRef>
              <c:f>'2. k as func of τ &amp; τmin'!$K$56:$K$57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D05-4C6F-B5F8-EF8EFC74C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valAx>
        <c:axId val="1496099248"/>
        <c:scaling>
          <c:orientation val="minMax"/>
          <c:max val="6.0000000000000012E-2"/>
          <c:min val="3.0000000000000006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1088"/>
        <c:crosses val="autoZero"/>
        <c:crossBetween val="midCat"/>
      </c:valAx>
      <c:valAx>
        <c:axId val="1496091088"/>
        <c:scaling>
          <c:orientation val="minMax"/>
          <c:max val="6.0000000000000012E-2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9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High Flow: (</a:t>
            </a:r>
            <a:r>
              <a:rPr lang="el-GR" sz="1200" baseline="0"/>
              <a:t>τ* = 0.108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'2. k as func of τ &amp; τmin'!$AD$21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 k as func of τ &amp; τmin'!$CA$22:$CA$27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'2. k as func of τ &amp; τmin'!$CC$22:$CC$27</c:f>
              <c:numCache>
                <c:formatCode>0.0000</c:formatCode>
                <c:ptCount val="6"/>
                <c:pt idx="0">
                  <c:v>0.04</c:v>
                </c:pt>
                <c:pt idx="1">
                  <c:v>4.8895149728212996E-2</c:v>
                </c:pt>
                <c:pt idx="2">
                  <c:v>5.1779269484048984E-2</c:v>
                </c:pt>
                <c:pt idx="3">
                  <c:v>4.8961843624642065E-2</c:v>
                </c:pt>
                <c:pt idx="4">
                  <c:v>4.8965324622054551E-2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50-4211-ADE4-372C0F458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'2. k as func of τ &amp; τmin'!$K$21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'2. k as func of τ &amp; τmin'!$V$4:$V$41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τmin'!$BY$4:$BY$41</c:f>
              <c:numCache>
                <c:formatCode>0.0000</c:formatCode>
                <c:ptCount val="38"/>
                <c:pt idx="0">
                  <c:v>5.5833646253055466E-2</c:v>
                </c:pt>
                <c:pt idx="1">
                  <c:v>5.5833646253055487E-2</c:v>
                </c:pt>
                <c:pt idx="2">
                  <c:v>5.5833646253055487E-2</c:v>
                </c:pt>
                <c:pt idx="3">
                  <c:v>5.5833646253055487E-2</c:v>
                </c:pt>
                <c:pt idx="4">
                  <c:v>5.5833646253055487E-2</c:v>
                </c:pt>
                <c:pt idx="5">
                  <c:v>5.5833646253055487E-2</c:v>
                </c:pt>
                <c:pt idx="6">
                  <c:v>5.5833646253055487E-2</c:v>
                </c:pt>
                <c:pt idx="7">
                  <c:v>5.5833646253055487E-2</c:v>
                </c:pt>
                <c:pt idx="8">
                  <c:v>5.5833646253055487E-2</c:v>
                </c:pt>
                <c:pt idx="9">
                  <c:v>5.5833646253055487E-2</c:v>
                </c:pt>
                <c:pt idx="10">
                  <c:v>5.5833646253055487E-2</c:v>
                </c:pt>
                <c:pt idx="11">
                  <c:v>5.5833646253055487E-2</c:v>
                </c:pt>
                <c:pt idx="12">
                  <c:v>5.5833646253055487E-2</c:v>
                </c:pt>
                <c:pt idx="13">
                  <c:v>5.5833646253055487E-2</c:v>
                </c:pt>
                <c:pt idx="14">
                  <c:v>5.5833646253055487E-2</c:v>
                </c:pt>
                <c:pt idx="15">
                  <c:v>5.5833646253055487E-2</c:v>
                </c:pt>
                <c:pt idx="16">
                  <c:v>5.5833646253055487E-2</c:v>
                </c:pt>
                <c:pt idx="17">
                  <c:v>5.5833646253055487E-2</c:v>
                </c:pt>
                <c:pt idx="18">
                  <c:v>5.5833646253055487E-2</c:v>
                </c:pt>
                <c:pt idx="19">
                  <c:v>5.5833646253055487E-2</c:v>
                </c:pt>
                <c:pt idx="20">
                  <c:v>5.5833646253055487E-2</c:v>
                </c:pt>
                <c:pt idx="21">
                  <c:v>5.5833646253055487E-2</c:v>
                </c:pt>
                <c:pt idx="22">
                  <c:v>5.5833646253055487E-2</c:v>
                </c:pt>
                <c:pt idx="23">
                  <c:v>5.5833646253055487E-2</c:v>
                </c:pt>
                <c:pt idx="24">
                  <c:v>5.5833646253055487E-2</c:v>
                </c:pt>
                <c:pt idx="25">
                  <c:v>5.5833646253055487E-2</c:v>
                </c:pt>
                <c:pt idx="26">
                  <c:v>5.5833646253055487E-2</c:v>
                </c:pt>
                <c:pt idx="27">
                  <c:v>5.5833646253055487E-2</c:v>
                </c:pt>
                <c:pt idx="28">
                  <c:v>5.5833646253055487E-2</c:v>
                </c:pt>
                <c:pt idx="29">
                  <c:v>5.5833646253055487E-2</c:v>
                </c:pt>
                <c:pt idx="30">
                  <c:v>5.5833646253055487E-2</c:v>
                </c:pt>
                <c:pt idx="31">
                  <c:v>5.5833646253055487E-2</c:v>
                </c:pt>
                <c:pt idx="32">
                  <c:v>5.5833646253055487E-2</c:v>
                </c:pt>
                <c:pt idx="33">
                  <c:v>5.5833646253055487E-2</c:v>
                </c:pt>
                <c:pt idx="34">
                  <c:v>5.5833646253055487E-2</c:v>
                </c:pt>
                <c:pt idx="35">
                  <c:v>5.5833646253055487E-2</c:v>
                </c:pt>
                <c:pt idx="36">
                  <c:v>5.5833646253055487E-2</c:v>
                </c:pt>
                <c:pt idx="37">
                  <c:v>5.5833646253055487E-2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750-4211-ADE4-372C0F458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ax val="6.0000000000000012E-2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High Flow (</a:t>
            </a:r>
            <a:r>
              <a:rPr lang="el-GR" sz="1200" baseline="0"/>
              <a:t>τ* = 0.089)</a:t>
            </a:r>
            <a:endParaRPr lang="en-US" sz="1200"/>
          </a:p>
        </c:rich>
      </c:tx>
      <c:layout>
        <c:manualLayout>
          <c:xMode val="edge"/>
          <c:yMode val="edge"/>
          <c:x val="0.31548891171212295"/>
          <c:y val="5.2131017869341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'2. k as func of τ &amp; τmin'!$AD$30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'2. k as func of τ &amp; τmin'!$CA$31:$CA$36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'2. k as func of τ &amp; τmin'!$CC$31:$CC$36</c:f>
              <c:numCache>
                <c:formatCode>0.0000</c:formatCode>
                <c:ptCount val="6"/>
                <c:pt idx="0">
                  <c:v>0.04</c:v>
                </c:pt>
                <c:pt idx="1">
                  <c:v>4.5627026419976936E-2</c:v>
                </c:pt>
                <c:pt idx="2">
                  <c:v>4.860357919174027E-2</c:v>
                </c:pt>
                <c:pt idx="3">
                  <c:v>5.5833646253055487E-2</c:v>
                </c:pt>
                <c:pt idx="4">
                  <c:v>5.145407230191433E-2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EC9-4537-BAB1-D32B02D1D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'2. k as func of τ &amp; τmin'!$K$30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'2. k as func of τ &amp; τmin'!$AM$4:$AM$59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τmin'!$BX$4:$BX$41</c:f>
              <c:numCache>
                <c:formatCode>0.0000</c:formatCode>
                <c:ptCount val="38"/>
                <c:pt idx="0">
                  <c:v>5.5833646253053218E-2</c:v>
                </c:pt>
                <c:pt idx="1">
                  <c:v>5.5833646253055487E-2</c:v>
                </c:pt>
                <c:pt idx="2">
                  <c:v>5.5833646253055487E-2</c:v>
                </c:pt>
                <c:pt idx="3">
                  <c:v>5.5833646253055487E-2</c:v>
                </c:pt>
                <c:pt idx="4">
                  <c:v>5.5833646253055487E-2</c:v>
                </c:pt>
                <c:pt idx="5">
                  <c:v>5.5833646253055487E-2</c:v>
                </c:pt>
                <c:pt idx="6">
                  <c:v>5.5833646253055487E-2</c:v>
                </c:pt>
                <c:pt idx="7">
                  <c:v>5.5833646253055487E-2</c:v>
                </c:pt>
                <c:pt idx="8">
                  <c:v>5.5833646253055487E-2</c:v>
                </c:pt>
                <c:pt idx="9">
                  <c:v>5.5833646253055487E-2</c:v>
                </c:pt>
                <c:pt idx="10">
                  <c:v>5.5833646253055487E-2</c:v>
                </c:pt>
                <c:pt idx="11">
                  <c:v>5.5833646253055487E-2</c:v>
                </c:pt>
                <c:pt idx="12">
                  <c:v>5.5833646253055487E-2</c:v>
                </c:pt>
                <c:pt idx="13">
                  <c:v>5.5833646253055487E-2</c:v>
                </c:pt>
                <c:pt idx="14">
                  <c:v>5.5833646253055487E-2</c:v>
                </c:pt>
                <c:pt idx="15">
                  <c:v>5.5833646253055487E-2</c:v>
                </c:pt>
                <c:pt idx="16">
                  <c:v>5.5833646253055487E-2</c:v>
                </c:pt>
                <c:pt idx="17">
                  <c:v>5.5833646253055487E-2</c:v>
                </c:pt>
                <c:pt idx="18">
                  <c:v>5.5833646253055487E-2</c:v>
                </c:pt>
                <c:pt idx="19">
                  <c:v>5.5833646253055487E-2</c:v>
                </c:pt>
                <c:pt idx="20">
                  <c:v>5.5833646253055487E-2</c:v>
                </c:pt>
                <c:pt idx="21">
                  <c:v>5.5833646253055487E-2</c:v>
                </c:pt>
                <c:pt idx="22">
                  <c:v>5.5833646253055487E-2</c:v>
                </c:pt>
                <c:pt idx="23">
                  <c:v>5.5833646253055487E-2</c:v>
                </c:pt>
                <c:pt idx="24">
                  <c:v>5.5833646253055487E-2</c:v>
                </c:pt>
                <c:pt idx="25">
                  <c:v>5.5833646253055487E-2</c:v>
                </c:pt>
                <c:pt idx="26">
                  <c:v>5.5833646253055487E-2</c:v>
                </c:pt>
                <c:pt idx="27">
                  <c:v>5.5833646253055487E-2</c:v>
                </c:pt>
                <c:pt idx="28">
                  <c:v>5.5833646253055487E-2</c:v>
                </c:pt>
                <c:pt idx="29">
                  <c:v>5.5833646253055487E-2</c:v>
                </c:pt>
                <c:pt idx="30">
                  <c:v>5.5833646253055487E-2</c:v>
                </c:pt>
                <c:pt idx="31">
                  <c:v>5.5833646253055487E-2</c:v>
                </c:pt>
                <c:pt idx="32">
                  <c:v>5.5833646253055487E-2</c:v>
                </c:pt>
                <c:pt idx="33">
                  <c:v>5.5833646253055487E-2</c:v>
                </c:pt>
                <c:pt idx="34">
                  <c:v>5.5833646253055487E-2</c:v>
                </c:pt>
                <c:pt idx="35">
                  <c:v>5.5833646253055487E-2</c:v>
                </c:pt>
                <c:pt idx="36">
                  <c:v>5.5833646253055487E-2</c:v>
                </c:pt>
                <c:pt idx="37">
                  <c:v>5.5833646253055487E-2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EC9-4537-BAB1-D32B02D1D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Low Flow (</a:t>
            </a:r>
            <a:r>
              <a:rPr lang="el-GR" sz="1200" baseline="0"/>
              <a:t>τ* = 0.086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'2. k as func of τ &amp; τmin'!$AD$39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'2. k as func of τ &amp; τmin'!$CA$40:$CA$45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'2. k as func of τ &amp; τmin'!$CC$40:$CC$45</c:f>
              <c:numCache>
                <c:formatCode>0.0000</c:formatCode>
                <c:ptCount val="6"/>
                <c:pt idx="0">
                  <c:v>0.04</c:v>
                </c:pt>
                <c:pt idx="2">
                  <c:v>4.880607945181633E-2</c:v>
                </c:pt>
                <c:pt idx="3">
                  <c:v>4.7893651283411866E-2</c:v>
                </c:pt>
                <c:pt idx="4">
                  <c:v>5.1755608653064417E-2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6B-4374-89F0-4D07EA57CC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'2. k as func of τ &amp; τmin'!$K$39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'2. k as func of τ &amp; τmin'!$AM$4:$AM$59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τmin'!$BW$4:$BW$41</c:f>
              <c:numCache>
                <c:formatCode>0.0000</c:formatCode>
                <c:ptCount val="38"/>
                <c:pt idx="0">
                  <c:v>5.5833646253012528E-2</c:v>
                </c:pt>
                <c:pt idx="1">
                  <c:v>5.5833646253055487E-2</c:v>
                </c:pt>
                <c:pt idx="2">
                  <c:v>5.5833646253055487E-2</c:v>
                </c:pt>
                <c:pt idx="3">
                  <c:v>5.5833646253055487E-2</c:v>
                </c:pt>
                <c:pt idx="4">
                  <c:v>5.5833646253055487E-2</c:v>
                </c:pt>
                <c:pt idx="5">
                  <c:v>5.5833646253055487E-2</c:v>
                </c:pt>
                <c:pt idx="6">
                  <c:v>5.5833646253055487E-2</c:v>
                </c:pt>
                <c:pt idx="7">
                  <c:v>5.5833646253055487E-2</c:v>
                </c:pt>
                <c:pt idx="8">
                  <c:v>5.5833646253055487E-2</c:v>
                </c:pt>
                <c:pt idx="9">
                  <c:v>5.5833646253055487E-2</c:v>
                </c:pt>
                <c:pt idx="10">
                  <c:v>5.5833646253055487E-2</c:v>
                </c:pt>
                <c:pt idx="11">
                  <c:v>5.5833646253055487E-2</c:v>
                </c:pt>
                <c:pt idx="12">
                  <c:v>5.5833646253055487E-2</c:v>
                </c:pt>
                <c:pt idx="13">
                  <c:v>5.5833646253055487E-2</c:v>
                </c:pt>
                <c:pt idx="14">
                  <c:v>5.5833646253055487E-2</c:v>
                </c:pt>
                <c:pt idx="15">
                  <c:v>5.5833646253055487E-2</c:v>
                </c:pt>
                <c:pt idx="16">
                  <c:v>5.5833646253055487E-2</c:v>
                </c:pt>
                <c:pt idx="17">
                  <c:v>5.5833646253055487E-2</c:v>
                </c:pt>
                <c:pt idx="18">
                  <c:v>5.5833646253055487E-2</c:v>
                </c:pt>
                <c:pt idx="19">
                  <c:v>5.5833646253055487E-2</c:v>
                </c:pt>
                <c:pt idx="20">
                  <c:v>5.5833646253055487E-2</c:v>
                </c:pt>
                <c:pt idx="21">
                  <c:v>5.5833646253055487E-2</c:v>
                </c:pt>
                <c:pt idx="22">
                  <c:v>5.5833646253055487E-2</c:v>
                </c:pt>
                <c:pt idx="23">
                  <c:v>5.5833646253055487E-2</c:v>
                </c:pt>
                <c:pt idx="24">
                  <c:v>5.5833646253055487E-2</c:v>
                </c:pt>
                <c:pt idx="25">
                  <c:v>5.5833646253055487E-2</c:v>
                </c:pt>
                <c:pt idx="26">
                  <c:v>5.5833646253055487E-2</c:v>
                </c:pt>
                <c:pt idx="27">
                  <c:v>5.5833646253055487E-2</c:v>
                </c:pt>
                <c:pt idx="28">
                  <c:v>5.5833646253055487E-2</c:v>
                </c:pt>
                <c:pt idx="29">
                  <c:v>5.5833646253055487E-2</c:v>
                </c:pt>
                <c:pt idx="30">
                  <c:v>5.5833646253055487E-2</c:v>
                </c:pt>
                <c:pt idx="31">
                  <c:v>5.5833646253055487E-2</c:v>
                </c:pt>
                <c:pt idx="32">
                  <c:v>5.5833646253055487E-2</c:v>
                </c:pt>
                <c:pt idx="33">
                  <c:v>5.5833646253055487E-2</c:v>
                </c:pt>
                <c:pt idx="34">
                  <c:v>5.5833646253055487E-2</c:v>
                </c:pt>
                <c:pt idx="35">
                  <c:v>5.5833646253055487E-2</c:v>
                </c:pt>
                <c:pt idx="36">
                  <c:v>5.5833646253055487E-2</c:v>
                </c:pt>
                <c:pt idx="37">
                  <c:v>5.5833646253055487E-2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56B-4374-89F0-4D07EA57CC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u="none" strike="noStrike" baseline="0">
                <a:effectLst/>
              </a:rPr>
              <a:t>Low Flow (</a:t>
            </a:r>
            <a:r>
              <a:rPr lang="el-GR" sz="1200" b="0" i="0" u="none" strike="noStrike" baseline="0">
                <a:effectLst/>
              </a:rPr>
              <a:t>τ* = 0.075)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'2. k as func of τ &amp; τmin'!$AD$48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 k as func of τ &amp; τmin'!$CA$49:$CA$54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'2. k as func of τ &amp; τmin'!$CC$49:$CC$54</c:f>
              <c:numCache>
                <c:formatCode>0.0000</c:formatCode>
                <c:ptCount val="6"/>
                <c:pt idx="0">
                  <c:v>0.04</c:v>
                </c:pt>
                <c:pt idx="1">
                  <c:v>4.0883015185033886E-2</c:v>
                </c:pt>
                <c:pt idx="2">
                  <c:v>4.7200498607488234E-2</c:v>
                </c:pt>
                <c:pt idx="3">
                  <c:v>4.7978393655140922E-2</c:v>
                </c:pt>
                <c:pt idx="4">
                  <c:v>5.2297832157699113E-2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18-4479-B32E-720FFDC757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'2. k as func of τ &amp; τmin'!$K$21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'2. k as func of τ &amp; τmin'!$BU$4:$BU$41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τmin'!$BV$4:$BV$41</c:f>
              <c:numCache>
                <c:formatCode>0.0000</c:formatCode>
                <c:ptCount val="38"/>
                <c:pt idx="0">
                  <c:v>5.5833646252906599E-2</c:v>
                </c:pt>
                <c:pt idx="1">
                  <c:v>5.5833646253055487E-2</c:v>
                </c:pt>
                <c:pt idx="2">
                  <c:v>5.5833646253055487E-2</c:v>
                </c:pt>
                <c:pt idx="3">
                  <c:v>5.5833646253055487E-2</c:v>
                </c:pt>
                <c:pt idx="4">
                  <c:v>5.5833646253055487E-2</c:v>
                </c:pt>
                <c:pt idx="5">
                  <c:v>5.5833646253055487E-2</c:v>
                </c:pt>
                <c:pt idx="6">
                  <c:v>5.5833646253055487E-2</c:v>
                </c:pt>
                <c:pt idx="7">
                  <c:v>5.5833646253055487E-2</c:v>
                </c:pt>
                <c:pt idx="8">
                  <c:v>5.5833646253055487E-2</c:v>
                </c:pt>
                <c:pt idx="9">
                  <c:v>5.5833646253055487E-2</c:v>
                </c:pt>
                <c:pt idx="10">
                  <c:v>5.5833646253055487E-2</c:v>
                </c:pt>
                <c:pt idx="11">
                  <c:v>5.5833646253055487E-2</c:v>
                </c:pt>
                <c:pt idx="12">
                  <c:v>5.5833646253055487E-2</c:v>
                </c:pt>
                <c:pt idx="13">
                  <c:v>5.5833646253055487E-2</c:v>
                </c:pt>
                <c:pt idx="14">
                  <c:v>5.5833646253055487E-2</c:v>
                </c:pt>
                <c:pt idx="15">
                  <c:v>5.5833646253055487E-2</c:v>
                </c:pt>
                <c:pt idx="16">
                  <c:v>5.5833646253055487E-2</c:v>
                </c:pt>
                <c:pt idx="17">
                  <c:v>5.5833646253055487E-2</c:v>
                </c:pt>
                <c:pt idx="18">
                  <c:v>5.5833646253055487E-2</c:v>
                </c:pt>
                <c:pt idx="19">
                  <c:v>5.5833646253055487E-2</c:v>
                </c:pt>
                <c:pt idx="20">
                  <c:v>5.5833646253055487E-2</c:v>
                </c:pt>
                <c:pt idx="21">
                  <c:v>5.5833646253055487E-2</c:v>
                </c:pt>
                <c:pt idx="22">
                  <c:v>5.5833646253055487E-2</c:v>
                </c:pt>
                <c:pt idx="23">
                  <c:v>5.5833646253055487E-2</c:v>
                </c:pt>
                <c:pt idx="24">
                  <c:v>5.5833646253055487E-2</c:v>
                </c:pt>
                <c:pt idx="25">
                  <c:v>5.5833646253055487E-2</c:v>
                </c:pt>
                <c:pt idx="26">
                  <c:v>5.5833646253055487E-2</c:v>
                </c:pt>
                <c:pt idx="27">
                  <c:v>5.5833646253055487E-2</c:v>
                </c:pt>
                <c:pt idx="28">
                  <c:v>5.5833646253055487E-2</c:v>
                </c:pt>
                <c:pt idx="29">
                  <c:v>5.5833646253055487E-2</c:v>
                </c:pt>
                <c:pt idx="30">
                  <c:v>5.5833646253055487E-2</c:v>
                </c:pt>
                <c:pt idx="31">
                  <c:v>5.5833646253055487E-2</c:v>
                </c:pt>
                <c:pt idx="32">
                  <c:v>5.5833646253055487E-2</c:v>
                </c:pt>
                <c:pt idx="33">
                  <c:v>5.5833646253055487E-2</c:v>
                </c:pt>
                <c:pt idx="34">
                  <c:v>5.5833646253055487E-2</c:v>
                </c:pt>
                <c:pt idx="35">
                  <c:v>5.5833646253055487E-2</c:v>
                </c:pt>
                <c:pt idx="36">
                  <c:v>5.5833646253055487E-2</c:v>
                </c:pt>
                <c:pt idx="37">
                  <c:v>5.5833646253055487E-2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118-4479-B32E-720FFDC757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Testing</a:t>
            </a:r>
            <a:r>
              <a:rPr lang="en-US" baseline="0"/>
              <a:t> Equation with flume data (k=</a:t>
            </a:r>
            <a:r>
              <a:rPr lang="el-GR" baseline="0"/>
              <a:t>τ^2/τ</a:t>
            </a:r>
            <a:r>
              <a:rPr lang="en-US" baseline="0"/>
              <a:t>min) </a:t>
            </a:r>
            <a:endParaRPr lang="en-US"/>
          </a:p>
        </c:rich>
      </c:tx>
      <c:layout>
        <c:manualLayout>
          <c:xMode val="edge"/>
          <c:yMode val="edge"/>
          <c:x val="0.1763585791018838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0"/>
          <c:tx>
            <c:strRef>
              <c:f>'2. k as func of τ &amp; τmin'!$CQ$2</c:f>
              <c:strCache>
                <c:ptCount val="1"/>
                <c:pt idx="0">
                  <c:v>0.037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'2. k as func of τ &amp; τmin'!$CM$4:$CM$41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τmin'!$CQ$4:$CQ$41</c:f>
              <c:numCache>
                <c:formatCode>0.0000</c:formatCode>
                <c:ptCount val="38"/>
                <c:pt idx="0">
                  <c:v>4.058158697727475E-2</c:v>
                </c:pt>
                <c:pt idx="1">
                  <c:v>4.1141811634921428E-2</c:v>
                </c:pt>
                <c:pt idx="2">
                  <c:v>4.1681458634078822E-2</c:v>
                </c:pt>
                <c:pt idx="3">
                  <c:v>4.2201283814432181E-2</c:v>
                </c:pt>
                <c:pt idx="4">
                  <c:v>4.2702015252856398E-2</c:v>
                </c:pt>
                <c:pt idx="5">
                  <c:v>4.3184354283174159E-2</c:v>
                </c:pt>
                <c:pt idx="6">
                  <c:v>4.3648976478457155E-2</c:v>
                </c:pt>
                <c:pt idx="7">
                  <c:v>4.409653259724642E-2</c:v>
                </c:pt>
                <c:pt idx="8">
                  <c:v>4.4527649495016877E-2</c:v>
                </c:pt>
                <c:pt idx="9">
                  <c:v>4.49429310021629E-2</c:v>
                </c:pt>
                <c:pt idx="10">
                  <c:v>4.5342958769734397E-2</c:v>
                </c:pt>
                <c:pt idx="11">
                  <c:v>4.5728293084108224E-2</c:v>
                </c:pt>
                <c:pt idx="12">
                  <c:v>4.6099473651735702E-2</c:v>
                </c:pt>
                <c:pt idx="13">
                  <c:v>4.6457020355065631E-2</c:v>
                </c:pt>
                <c:pt idx="14">
                  <c:v>4.6801433980701336E-2</c:v>
                </c:pt>
                <c:pt idx="15">
                  <c:v>4.7133196920811776E-2</c:v>
                </c:pt>
                <c:pt idx="16">
                  <c:v>4.745277384877903E-2</c:v>
                </c:pt>
                <c:pt idx="17">
                  <c:v>4.7760612370028543E-2</c:v>
                </c:pt>
                <c:pt idx="18">
                  <c:v>4.8057143648953651E-2</c:v>
                </c:pt>
                <c:pt idx="19">
                  <c:v>4.8342783012812501E-2</c:v>
                </c:pt>
                <c:pt idx="20">
                  <c:v>4.9621100489956591E-2</c:v>
                </c:pt>
                <c:pt idx="21">
                  <c:v>5.0681272805459865E-2</c:v>
                </c:pt>
                <c:pt idx="22">
                  <c:v>5.1560526479649357E-2</c:v>
                </c:pt>
                <c:pt idx="23">
                  <c:v>5.2289735318882931E-2</c:v>
                </c:pt>
                <c:pt idx="24">
                  <c:v>5.2894504507600339E-2</c:v>
                </c:pt>
                <c:pt idx="25">
                  <c:v>5.339606969982473E-2</c:v>
                </c:pt>
                <c:pt idx="26">
                  <c:v>5.3812042680499578E-2</c:v>
                </c:pt>
                <c:pt idx="27">
                  <c:v>5.4157029779552709E-2</c:v>
                </c:pt>
                <c:pt idx="28">
                  <c:v>5.4443144753462812E-2</c:v>
                </c:pt>
                <c:pt idx="29">
                  <c:v>5.468043414347265E-2</c:v>
                </c:pt>
                <c:pt idx="30">
                  <c:v>5.4877230046328586E-2</c:v>
                </c:pt>
                <c:pt idx="31">
                  <c:v>5.5040442684615012E-2</c:v>
                </c:pt>
                <c:pt idx="32">
                  <c:v>5.5175803049896173E-2</c:v>
                </c:pt>
                <c:pt idx="33">
                  <c:v>5.5288064138751897E-2</c:v>
                </c:pt>
                <c:pt idx="34">
                  <c:v>5.5381167847839086E-2</c:v>
                </c:pt>
                <c:pt idx="35">
                  <c:v>5.5458383388273871E-2</c:v>
                </c:pt>
                <c:pt idx="36">
                  <c:v>5.5575532553958404E-2</c:v>
                </c:pt>
                <c:pt idx="37">
                  <c:v>5.5656110216548517E-2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4A-40EC-A691-81F649DABE8F}"/>
            </c:ext>
          </c:extLst>
        </c:ser>
        <c:ser>
          <c:idx val="2"/>
          <c:order val="1"/>
          <c:tx>
            <c:strRef>
              <c:f>'2. k as func of τ &amp; τmin'!$CP$2</c:f>
              <c:strCache>
                <c:ptCount val="1"/>
                <c:pt idx="0">
                  <c:v>0.028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'2. k as func of τ &amp; τmin'!$CM$4:$CM$41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τmin'!$CP$4:$CP$41</c:f>
              <c:numCache>
                <c:formatCode>0.0000</c:formatCode>
                <c:ptCount val="38"/>
                <c:pt idx="0">
                  <c:v>4.0437038437996987E-2</c:v>
                </c:pt>
                <c:pt idx="1">
                  <c:v>4.0862013792530176E-2</c:v>
                </c:pt>
                <c:pt idx="2">
                  <c:v>4.1275259027407793E-2</c:v>
                </c:pt>
                <c:pt idx="3">
                  <c:v>4.167709791601025E-2</c:v>
                </c:pt>
                <c:pt idx="4">
                  <c:v>4.2067845294963296E-2</c:v>
                </c:pt>
                <c:pt idx="5">
                  <c:v>4.2447807310809209E-2</c:v>
                </c:pt>
                <c:pt idx="6">
                  <c:v>4.2817281659869491E-2</c:v>
                </c:pt>
                <c:pt idx="7">
                  <c:v>4.3176557821486883E-2</c:v>
                </c:pt>
                <c:pt idx="8">
                  <c:v>4.352591728482938E-2</c:v>
                </c:pt>
                <c:pt idx="9">
                  <c:v>4.386563376943417E-2</c:v>
                </c:pt>
                <c:pt idx="10">
                  <c:v>4.4195973439664013E-2</c:v>
                </c:pt>
                <c:pt idx="11">
                  <c:v>4.4517195113244291E-2</c:v>
                </c:pt>
                <c:pt idx="12">
                  <c:v>4.4829550464044042E-2</c:v>
                </c:pt>
                <c:pt idx="13">
                  <c:v>4.5133284219259821E-2</c:v>
                </c:pt>
                <c:pt idx="14">
                  <c:v>4.5428634351156946E-2</c:v>
                </c:pt>
                <c:pt idx="15">
                  <c:v>4.5715832263518302E-2</c:v>
                </c:pt>
                <c:pt idx="16">
                  <c:v>4.5995102972946844E-2</c:v>
                </c:pt>
                <c:pt idx="17">
                  <c:v>4.6266665285163759E-2</c:v>
                </c:pt>
                <c:pt idx="18">
                  <c:v>4.6530731966440503E-2</c:v>
                </c:pt>
                <c:pt idx="19">
                  <c:v>4.678750991029898E-2</c:v>
                </c:pt>
                <c:pt idx="20">
                  <c:v>4.7968918802161503E-2</c:v>
                </c:pt>
                <c:pt idx="21">
                  <c:v>4.8996037849510524E-2</c:v>
                </c:pt>
                <c:pt idx="22">
                  <c:v>4.9889017024370104E-2</c:v>
                </c:pt>
                <c:pt idx="23">
                  <c:v>5.0665374749203462E-2</c:v>
                </c:pt>
                <c:pt idx="24">
                  <c:v>5.1340341572481511E-2</c:v>
                </c:pt>
                <c:pt idx="25">
                  <c:v>5.1927158960849554E-2</c:v>
                </c:pt>
                <c:pt idx="26">
                  <c:v>5.2437339069582443E-2</c:v>
                </c:pt>
                <c:pt idx="27">
                  <c:v>5.2880890587492568E-2</c:v>
                </c:pt>
                <c:pt idx="28">
                  <c:v>5.3266515086905157E-2</c:v>
                </c:pt>
                <c:pt idx="29">
                  <c:v>5.360177773068521E-2</c:v>
                </c:pt>
                <c:pt idx="30">
                  <c:v>5.3893255685238443E-2</c:v>
                </c:pt>
                <c:pt idx="31">
                  <c:v>5.4146667151045151E-2</c:v>
                </c:pt>
                <c:pt idx="32">
                  <c:v>5.4366983542041968E-2</c:v>
                </c:pt>
                <c:pt idx="33">
                  <c:v>5.4558527014581158E-2</c:v>
                </c:pt>
                <c:pt idx="34">
                  <c:v>5.4725055259285851E-2</c:v>
                </c:pt>
                <c:pt idx="35">
                  <c:v>5.4869835219243768E-2</c:v>
                </c:pt>
                <c:pt idx="36">
                  <c:v>5.5105140493853962E-2</c:v>
                </c:pt>
                <c:pt idx="37">
                  <c:v>5.5282998229146819E-2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74A-40EC-A691-81F649DABE8F}"/>
            </c:ext>
          </c:extLst>
        </c:ser>
        <c:ser>
          <c:idx val="1"/>
          <c:order val="2"/>
          <c:tx>
            <c:strRef>
              <c:f>'2. k as func of τ &amp; τmin'!$CO$2</c:f>
              <c:strCache>
                <c:ptCount val="1"/>
                <c:pt idx="0">
                  <c:v>0.023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'2. k as func of τ &amp; τmin'!$CM$4:$CM$41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τmin'!$CO$4:$CO$41</c:f>
              <c:numCache>
                <c:formatCode>0.0000</c:formatCode>
                <c:ptCount val="38"/>
                <c:pt idx="0">
                  <c:v>4.0355344831995321E-2</c:v>
                </c:pt>
                <c:pt idx="1">
                  <c:v>4.0702714877412262E-2</c:v>
                </c:pt>
                <c:pt idx="2">
                  <c:v>4.1042289109505081E-2</c:v>
                </c:pt>
                <c:pt idx="3">
                  <c:v>4.1374242484940857E-2</c:v>
                </c:pt>
                <c:pt idx="4">
                  <c:v>4.1698746033941247E-2</c:v>
                </c:pt>
                <c:pt idx="5">
                  <c:v>4.2015966948401332E-2</c:v>
                </c:pt>
                <c:pt idx="6">
                  <c:v>4.2326068668030827E-2</c:v>
                </c:pt>
                <c:pt idx="7">
                  <c:v>4.2629210964562056E-2</c:v>
                </c:pt>
                <c:pt idx="8">
                  <c:v>4.2925550024068164E-2</c:v>
                </c:pt>
                <c:pt idx="9">
                  <c:v>4.3215238527433822E-2</c:v>
                </c:pt>
                <c:pt idx="10">
                  <c:v>4.3498425729020088E-2</c:v>
                </c:pt>
                <c:pt idx="11">
                  <c:v>4.3775257533563705E-2</c:v>
                </c:pt>
                <c:pt idx="12">
                  <c:v>4.4045876571350735E-2</c:v>
                </c:pt>
                <c:pt idx="13">
                  <c:v>4.4310422271703023E-2</c:v>
                </c:pt>
                <c:pt idx="14">
                  <c:v>4.4569030934815471E-2</c:v>
                </c:pt>
                <c:pt idx="15">
                  <c:v>4.4821835801981146E-2</c:v>
                </c:pt>
                <c:pt idx="16">
                  <c:v>4.50689671242403E-2</c:v>
                </c:pt>
                <c:pt idx="17">
                  <c:v>4.5310552229488835E-2</c:v>
                </c:pt>
                <c:pt idx="18">
                  <c:v>4.5546715588080586E-2</c:v>
                </c:pt>
                <c:pt idx="19">
                  <c:v>4.5777578876957437E-2</c:v>
                </c:pt>
                <c:pt idx="20">
                  <c:v>4.6856465211739355E-2</c:v>
                </c:pt>
                <c:pt idx="21">
                  <c:v>4.7819600957364941E-2</c:v>
                </c:pt>
                <c:pt idx="22">
                  <c:v>4.8679404659197213E-2</c:v>
                </c:pt>
                <c:pt idx="23">
                  <c:v>4.9446962512845673E-2</c:v>
                </c:pt>
                <c:pt idx="24">
                  <c:v>5.013217130811131E-2</c:v>
                </c:pt>
                <c:pt idx="25">
                  <c:v>5.0743866036889927E-2</c:v>
                </c:pt>
                <c:pt idx="26">
                  <c:v>5.1289933810393165E-2</c:v>
                </c:pt>
                <c:pt idx="27">
                  <c:v>5.1777415554520964E-2</c:v>
                </c:pt>
                <c:pt idx="28">
                  <c:v>5.2212596794632131E-2</c:v>
                </c:pt>
                <c:pt idx="29">
                  <c:v>5.2601088700279873E-2</c:v>
                </c:pt>
                <c:pt idx="30">
                  <c:v>5.2947900434892468E-2</c:v>
                </c:pt>
                <c:pt idx="31">
                  <c:v>5.3257503743266307E-2</c:v>
                </c:pt>
                <c:pt idx="32">
                  <c:v>5.3533890609653911E-2</c:v>
                </c:pt>
                <c:pt idx="33">
                  <c:v>5.3780624729882757E-2</c:v>
                </c:pt>
                <c:pt idx="34">
                  <c:v>5.4000887461179578E-2</c:v>
                </c:pt>
                <c:pt idx="35">
                  <c:v>5.4197518842171138E-2</c:v>
                </c:pt>
                <c:pt idx="36">
                  <c:v>5.4529756900492721E-2</c:v>
                </c:pt>
                <c:pt idx="37">
                  <c:v>5.4794529474975463E-2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74A-40EC-A691-81F649DABE8F}"/>
            </c:ext>
          </c:extLst>
        </c:ser>
        <c:ser>
          <c:idx val="0"/>
          <c:order val="3"/>
          <c:tx>
            <c:strRef>
              <c:f>'2. k as func of τ &amp; τmin'!$CN$2</c:f>
              <c:strCache>
                <c:ptCount val="1"/>
                <c:pt idx="0">
                  <c:v>0.021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 k as func of τ &amp; τmin'!$CM$4:$CM$41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τmin'!$CN$4:$CN$41</c:f>
              <c:numCache>
                <c:formatCode>0.0000</c:formatCode>
                <c:ptCount val="38"/>
                <c:pt idx="0">
                  <c:v>4.0323283634805626E-2</c:v>
                </c:pt>
                <c:pt idx="1">
                  <c:v>4.0639966622681115E-2</c:v>
                </c:pt>
                <c:pt idx="2">
                  <c:v>4.0950183732402876E-2</c:v>
                </c:pt>
                <c:pt idx="3">
                  <c:v>4.125406698110444E-2</c:v>
                </c:pt>
                <c:pt idx="4">
                  <c:v>4.1551745690458171E-2</c:v>
                </c:pt>
                <c:pt idx="5">
                  <c:v>4.1843346541709854E-2</c:v>
                </c:pt>
                <c:pt idx="6">
                  <c:v>4.2128993629589634E-2</c:v>
                </c:pt>
                <c:pt idx="7">
                  <c:v>4.2408808515122243E-2</c:v>
                </c:pt>
                <c:pt idx="8">
                  <c:v>4.2682910277358932E-2</c:v>
                </c:pt>
                <c:pt idx="9">
                  <c:v>4.29514155640532E-2</c:v>
                </c:pt>
                <c:pt idx="10">
                  <c:v>4.3214438641301853E-2</c:v>
                </c:pt>
                <c:pt idx="11">
                  <c:v>4.3472091442172484E-2</c:v>
                </c:pt>
                <c:pt idx="12">
                  <c:v>4.3724483614338137E-2</c:v>
                </c:pt>
                <c:pt idx="13">
                  <c:v>4.3971722566739362E-2</c:v>
                </c:pt>
                <c:pt idx="14">
                  <c:v>4.4213913515293565E-2</c:v>
                </c:pt>
                <c:pt idx="15">
                  <c:v>4.4451159527671077E-2</c:v>
                </c:pt>
                <c:pt idx="16">
                  <c:v>4.4683561567157026E-2</c:v>
                </c:pt>
                <c:pt idx="17">
                  <c:v>4.4911218535617609E-2</c:v>
                </c:pt>
                <c:pt idx="18">
                  <c:v>4.5134227315589158E-2</c:v>
                </c:pt>
                <c:pt idx="19">
                  <c:v>4.5352682811507838E-2</c:v>
                </c:pt>
                <c:pt idx="20">
                  <c:v>4.63798492387692E-2</c:v>
                </c:pt>
                <c:pt idx="21">
                  <c:v>4.7306350219082194E-2</c:v>
                </c:pt>
                <c:pt idx="22">
                  <c:v>4.8142051273690867E-2</c:v>
                </c:pt>
                <c:pt idx="23">
                  <c:v>4.8895851072626978E-2</c:v>
                </c:pt>
                <c:pt idx="24">
                  <c:v>4.9575776189081683E-2</c:v>
                </c:pt>
                <c:pt idx="25">
                  <c:v>5.0189066567559393E-2</c:v>
                </c:pt>
                <c:pt idx="26">
                  <c:v>5.0742252615891506E-2</c:v>
                </c:pt>
                <c:pt idx="27">
                  <c:v>5.1241224741997375E-2</c:v>
                </c:pt>
                <c:pt idx="28">
                  <c:v>5.1691296075830333E-2</c:v>
                </c:pt>
                <c:pt idx="29">
                  <c:v>5.2097259044381394E-2</c:v>
                </c:pt>
                <c:pt idx="30">
                  <c:v>5.2463436402159877E-2</c:v>
                </c:pt>
                <c:pt idx="31">
                  <c:v>5.2793727260531033E-2</c:v>
                </c:pt>
                <c:pt idx="32">
                  <c:v>5.309164860603801E-2</c:v>
                </c:pt>
                <c:pt idx="33">
                  <c:v>5.3360372749801467E-2</c:v>
                </c:pt>
                <c:pt idx="34">
                  <c:v>5.3602761106763666E-2</c:v>
                </c:pt>
                <c:pt idx="35">
                  <c:v>5.3821394664463458E-2</c:v>
                </c:pt>
                <c:pt idx="36">
                  <c:v>5.419648139827344E-2</c:v>
                </c:pt>
                <c:pt idx="37">
                  <c:v>5.4501651398670047E-2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74A-40EC-A691-81F649DABE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ax val="5.800000000000001E-2"/>
          <c:min val="3.8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Measured vs Predicted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(k=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τ^2/τ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min)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'2. k as func of τ &amp; τmin'!$CS$47</c:f>
              <c:strCache>
                <c:ptCount val="1"/>
                <c:pt idx="0">
                  <c:v>Low Flow (τ* = 0.075)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 k as func of τ &amp; τmin'!$CT$49:$CT$54</c:f>
              <c:numCache>
                <c:formatCode>0.0000</c:formatCode>
                <c:ptCount val="6"/>
                <c:pt idx="0">
                  <c:v>0.04</c:v>
                </c:pt>
                <c:pt idx="1">
                  <c:v>4.29514155640532E-2</c:v>
                </c:pt>
                <c:pt idx="2">
                  <c:v>4.7306350219082194E-2</c:v>
                </c:pt>
                <c:pt idx="3">
                  <c:v>5.1241224741997375E-2</c:v>
                </c:pt>
                <c:pt idx="4">
                  <c:v>5.4501651398670047E-2</c:v>
                </c:pt>
              </c:numCache>
            </c:numRef>
          </c:xVal>
          <c:yVal>
            <c:numRef>
              <c:f>'2. k as func of τ &amp; τmin'!$CU$49:$CU$54</c:f>
              <c:numCache>
                <c:formatCode>0.0000</c:formatCode>
                <c:ptCount val="6"/>
                <c:pt idx="0">
                  <c:v>0.04</c:v>
                </c:pt>
                <c:pt idx="1">
                  <c:v>4.0883015185033886E-2</c:v>
                </c:pt>
                <c:pt idx="2">
                  <c:v>4.7200498607488234E-2</c:v>
                </c:pt>
                <c:pt idx="3">
                  <c:v>4.7978393655140922E-2</c:v>
                </c:pt>
                <c:pt idx="4">
                  <c:v>5.2297832157699113E-2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61-4308-AC27-BA0679026091}"/>
            </c:ext>
          </c:extLst>
        </c:ser>
        <c:ser>
          <c:idx val="1"/>
          <c:order val="1"/>
          <c:tx>
            <c:strRef>
              <c:f>'2. k as func of τ &amp; τmin'!$CS$38</c:f>
              <c:strCache>
                <c:ptCount val="1"/>
                <c:pt idx="0">
                  <c:v>Med Low Flow (τ* = 0.086)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'2. k as func of τ &amp; τmin'!$CT$40:$CT$45</c:f>
              <c:numCache>
                <c:formatCode>0.0000</c:formatCode>
                <c:ptCount val="6"/>
                <c:pt idx="0">
                  <c:v>0.04</c:v>
                </c:pt>
                <c:pt idx="2">
                  <c:v>4.7819600957364941E-2</c:v>
                </c:pt>
                <c:pt idx="3">
                  <c:v>5.1777415554520964E-2</c:v>
                </c:pt>
                <c:pt idx="4">
                  <c:v>5.4794529474975463E-2</c:v>
                </c:pt>
              </c:numCache>
            </c:numRef>
          </c:xVal>
          <c:yVal>
            <c:numRef>
              <c:f>'2. k as func of τ &amp; τmin'!$CU$40:$CU$45</c:f>
              <c:numCache>
                <c:formatCode>0.0000</c:formatCode>
                <c:ptCount val="6"/>
                <c:pt idx="0">
                  <c:v>0.04</c:v>
                </c:pt>
                <c:pt idx="2">
                  <c:v>4.880607945181633E-2</c:v>
                </c:pt>
                <c:pt idx="3">
                  <c:v>4.7893651283411866E-2</c:v>
                </c:pt>
                <c:pt idx="4">
                  <c:v>5.1755608653064417E-2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61-4308-AC27-BA0679026091}"/>
            </c:ext>
          </c:extLst>
        </c:ser>
        <c:ser>
          <c:idx val="2"/>
          <c:order val="2"/>
          <c:tx>
            <c:strRef>
              <c:f>'2. k as func of τ &amp; τmin'!$CS$29</c:f>
              <c:strCache>
                <c:ptCount val="1"/>
                <c:pt idx="0">
                  <c:v>Med High Flow (τ* = 0.089)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'2. k as func of τ &amp; τmin'!$CT$31:$CT$36</c:f>
              <c:numCache>
                <c:formatCode>0.0000</c:formatCode>
                <c:ptCount val="6"/>
                <c:pt idx="0">
                  <c:v>0.04</c:v>
                </c:pt>
                <c:pt idx="1">
                  <c:v>4.386563376943417E-2</c:v>
                </c:pt>
                <c:pt idx="2">
                  <c:v>4.8996037849510524E-2</c:v>
                </c:pt>
                <c:pt idx="3">
                  <c:v>5.2880890587492568E-2</c:v>
                </c:pt>
                <c:pt idx="4">
                  <c:v>5.5282998229146819E-2</c:v>
                </c:pt>
              </c:numCache>
            </c:numRef>
          </c:xVal>
          <c:yVal>
            <c:numRef>
              <c:f>'2. k as func of τ &amp; τmin'!$CU$31:$CU$36</c:f>
              <c:numCache>
                <c:formatCode>0.0000</c:formatCode>
                <c:ptCount val="6"/>
                <c:pt idx="0">
                  <c:v>0.04</c:v>
                </c:pt>
                <c:pt idx="1">
                  <c:v>4.5627026419976936E-2</c:v>
                </c:pt>
                <c:pt idx="2">
                  <c:v>4.860357919174027E-2</c:v>
                </c:pt>
                <c:pt idx="3">
                  <c:v>5.5833646253055487E-2</c:v>
                </c:pt>
                <c:pt idx="4">
                  <c:v>5.145407230191433E-2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B61-4308-AC27-BA0679026091}"/>
            </c:ext>
          </c:extLst>
        </c:ser>
        <c:ser>
          <c:idx val="3"/>
          <c:order val="3"/>
          <c:tx>
            <c:strRef>
              <c:f>'2. k as func of τ &amp; τmin'!$CS$20</c:f>
              <c:strCache>
                <c:ptCount val="1"/>
                <c:pt idx="0">
                  <c:v>High Flow: (τ* = 0.055)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'2. k as func of τ &amp; τmin'!$CT$22:$CT$27</c:f>
              <c:numCache>
                <c:formatCode>0.0000</c:formatCode>
                <c:ptCount val="6"/>
                <c:pt idx="0">
                  <c:v>0.04</c:v>
                </c:pt>
                <c:pt idx="1">
                  <c:v>4.49429310021629E-2</c:v>
                </c:pt>
                <c:pt idx="2">
                  <c:v>5.0681272805459865E-2</c:v>
                </c:pt>
                <c:pt idx="3">
                  <c:v>5.4157029779552709E-2</c:v>
                </c:pt>
                <c:pt idx="4">
                  <c:v>5.5656110216548517E-2</c:v>
                </c:pt>
              </c:numCache>
            </c:numRef>
          </c:xVal>
          <c:yVal>
            <c:numRef>
              <c:f>'2. k as func of τ &amp; τmin'!$CU$22:$CU$27</c:f>
              <c:numCache>
                <c:formatCode>0.0000</c:formatCode>
                <c:ptCount val="6"/>
                <c:pt idx="0">
                  <c:v>0.04</c:v>
                </c:pt>
                <c:pt idx="1">
                  <c:v>4.8895149728212996E-2</c:v>
                </c:pt>
                <c:pt idx="2">
                  <c:v>5.1779269484048984E-2</c:v>
                </c:pt>
                <c:pt idx="3">
                  <c:v>4.8961843624642065E-2</c:v>
                </c:pt>
                <c:pt idx="4">
                  <c:v>4.8965324622054551E-2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B61-4308-AC27-BA0679026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50000"/>
                    <a:lumOff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CB61-4308-AC27-BA0679026091}"/>
              </c:ext>
            </c:extLst>
          </c:dPt>
          <c:xVal>
            <c:numRef>
              <c:f>'2. k as func of τ &amp; τmin'!$J$56:$J$57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xVal>
          <c:yVal>
            <c:numRef>
              <c:f>'2. k as func of τ &amp; τmin'!$K$56:$K$57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B61-4308-AC27-BA0679026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valAx>
        <c:axId val="1496099248"/>
        <c:scaling>
          <c:orientation val="minMax"/>
          <c:max val="6.0000000000000012E-2"/>
          <c:min val="3.0000000000000006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1088"/>
        <c:crosses val="autoZero"/>
        <c:crossBetween val="midCat"/>
      </c:valAx>
      <c:valAx>
        <c:axId val="1496091088"/>
        <c:scaling>
          <c:orientation val="minMax"/>
          <c:max val="6.0000000000000012E-2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9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High Flow: (</a:t>
            </a:r>
            <a:r>
              <a:rPr lang="el-GR" sz="1200" baseline="0"/>
              <a:t>τ* = 0.108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'2. k as func of τ &amp; τmin'!$AD$21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 k as func of τ &amp; τmin'!$CS$22:$CS$27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'2. k as func of τ &amp; τmin'!$CU$22:$CU$27</c:f>
              <c:numCache>
                <c:formatCode>0.0000</c:formatCode>
                <c:ptCount val="6"/>
                <c:pt idx="0">
                  <c:v>0.04</c:v>
                </c:pt>
                <c:pt idx="1">
                  <c:v>4.8895149728212996E-2</c:v>
                </c:pt>
                <c:pt idx="2">
                  <c:v>5.1779269484048984E-2</c:v>
                </c:pt>
                <c:pt idx="3">
                  <c:v>4.8961843624642065E-2</c:v>
                </c:pt>
                <c:pt idx="4">
                  <c:v>4.8965324622054551E-2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53-44AA-A547-5C867E04D5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'2. k as func of τ &amp; τmin'!$K$21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'2. k as func of τ &amp; τmin'!$V$4:$V$41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τmin'!$CQ$4:$CQ$41</c:f>
              <c:numCache>
                <c:formatCode>0.0000</c:formatCode>
                <c:ptCount val="38"/>
                <c:pt idx="0">
                  <c:v>4.058158697727475E-2</c:v>
                </c:pt>
                <c:pt idx="1">
                  <c:v>4.1141811634921428E-2</c:v>
                </c:pt>
                <c:pt idx="2">
                  <c:v>4.1681458634078822E-2</c:v>
                </c:pt>
                <c:pt idx="3">
                  <c:v>4.2201283814432181E-2</c:v>
                </c:pt>
                <c:pt idx="4">
                  <c:v>4.2702015252856398E-2</c:v>
                </c:pt>
                <c:pt idx="5">
                  <c:v>4.3184354283174159E-2</c:v>
                </c:pt>
                <c:pt idx="6">
                  <c:v>4.3648976478457155E-2</c:v>
                </c:pt>
                <c:pt idx="7">
                  <c:v>4.409653259724642E-2</c:v>
                </c:pt>
                <c:pt idx="8">
                  <c:v>4.4527649495016877E-2</c:v>
                </c:pt>
                <c:pt idx="9">
                  <c:v>4.49429310021629E-2</c:v>
                </c:pt>
                <c:pt idx="10">
                  <c:v>4.5342958769734397E-2</c:v>
                </c:pt>
                <c:pt idx="11">
                  <c:v>4.5728293084108224E-2</c:v>
                </c:pt>
                <c:pt idx="12">
                  <c:v>4.6099473651735702E-2</c:v>
                </c:pt>
                <c:pt idx="13">
                  <c:v>4.6457020355065631E-2</c:v>
                </c:pt>
                <c:pt idx="14">
                  <c:v>4.6801433980701336E-2</c:v>
                </c:pt>
                <c:pt idx="15">
                  <c:v>4.7133196920811776E-2</c:v>
                </c:pt>
                <c:pt idx="16">
                  <c:v>4.745277384877903E-2</c:v>
                </c:pt>
                <c:pt idx="17">
                  <c:v>4.7760612370028543E-2</c:v>
                </c:pt>
                <c:pt idx="18">
                  <c:v>4.8057143648953651E-2</c:v>
                </c:pt>
                <c:pt idx="19">
                  <c:v>4.8342783012812501E-2</c:v>
                </c:pt>
                <c:pt idx="20">
                  <c:v>4.9621100489956591E-2</c:v>
                </c:pt>
                <c:pt idx="21">
                  <c:v>5.0681272805459865E-2</c:v>
                </c:pt>
                <c:pt idx="22">
                  <c:v>5.1560526479649357E-2</c:v>
                </c:pt>
                <c:pt idx="23">
                  <c:v>5.2289735318882931E-2</c:v>
                </c:pt>
                <c:pt idx="24">
                  <c:v>5.2894504507600339E-2</c:v>
                </c:pt>
                <c:pt idx="25">
                  <c:v>5.339606969982473E-2</c:v>
                </c:pt>
                <c:pt idx="26">
                  <c:v>5.3812042680499578E-2</c:v>
                </c:pt>
                <c:pt idx="27">
                  <c:v>5.4157029779552709E-2</c:v>
                </c:pt>
                <c:pt idx="28">
                  <c:v>5.4443144753462812E-2</c:v>
                </c:pt>
                <c:pt idx="29">
                  <c:v>5.468043414347265E-2</c:v>
                </c:pt>
                <c:pt idx="30">
                  <c:v>5.4877230046328586E-2</c:v>
                </c:pt>
                <c:pt idx="31">
                  <c:v>5.5040442684615012E-2</c:v>
                </c:pt>
                <c:pt idx="32">
                  <c:v>5.5175803049896173E-2</c:v>
                </c:pt>
                <c:pt idx="33">
                  <c:v>5.5288064138751897E-2</c:v>
                </c:pt>
                <c:pt idx="34">
                  <c:v>5.5381167847839086E-2</c:v>
                </c:pt>
                <c:pt idx="35">
                  <c:v>5.5458383388273871E-2</c:v>
                </c:pt>
                <c:pt idx="36">
                  <c:v>5.5575532553958404E-2</c:v>
                </c:pt>
                <c:pt idx="37">
                  <c:v>5.5656110216548517E-2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953-44AA-A547-5C867E04D5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ax val="6.0000000000000012E-2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High Flow (</a:t>
            </a:r>
            <a:r>
              <a:rPr lang="el-GR" sz="1200" baseline="0"/>
              <a:t>τ* = 0.089)</a:t>
            </a:r>
            <a:endParaRPr lang="en-US" sz="1200"/>
          </a:p>
        </c:rich>
      </c:tx>
      <c:layout>
        <c:manualLayout>
          <c:xMode val="edge"/>
          <c:yMode val="edge"/>
          <c:x val="0.31548891171212295"/>
          <c:y val="5.2131017869341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'2. k as func of τ &amp; τmin'!$AD$30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'2. k as func of τ &amp; τmin'!$CS$31:$CS$36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'2. k as func of τ &amp; τmin'!$CU$31:$CU$36</c:f>
              <c:numCache>
                <c:formatCode>0.0000</c:formatCode>
                <c:ptCount val="6"/>
                <c:pt idx="0">
                  <c:v>0.04</c:v>
                </c:pt>
                <c:pt idx="1">
                  <c:v>4.5627026419976936E-2</c:v>
                </c:pt>
                <c:pt idx="2">
                  <c:v>4.860357919174027E-2</c:v>
                </c:pt>
                <c:pt idx="3">
                  <c:v>5.5833646253055487E-2</c:v>
                </c:pt>
                <c:pt idx="4">
                  <c:v>5.145407230191433E-2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02-4161-88EC-19AA1EDD39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'2. k as func of τ &amp; τmin'!$K$30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'2. k as func of τ &amp; τmin'!$AM$4:$AM$59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τmin'!$CP$4:$CP$41</c:f>
              <c:numCache>
                <c:formatCode>0.0000</c:formatCode>
                <c:ptCount val="38"/>
                <c:pt idx="0">
                  <c:v>4.0437038437996987E-2</c:v>
                </c:pt>
                <c:pt idx="1">
                  <c:v>4.0862013792530176E-2</c:v>
                </c:pt>
                <c:pt idx="2">
                  <c:v>4.1275259027407793E-2</c:v>
                </c:pt>
                <c:pt idx="3">
                  <c:v>4.167709791601025E-2</c:v>
                </c:pt>
                <c:pt idx="4">
                  <c:v>4.2067845294963296E-2</c:v>
                </c:pt>
                <c:pt idx="5">
                  <c:v>4.2447807310809209E-2</c:v>
                </c:pt>
                <c:pt idx="6">
                  <c:v>4.2817281659869491E-2</c:v>
                </c:pt>
                <c:pt idx="7">
                  <c:v>4.3176557821486883E-2</c:v>
                </c:pt>
                <c:pt idx="8">
                  <c:v>4.352591728482938E-2</c:v>
                </c:pt>
                <c:pt idx="9">
                  <c:v>4.386563376943417E-2</c:v>
                </c:pt>
                <c:pt idx="10">
                  <c:v>4.4195973439664013E-2</c:v>
                </c:pt>
                <c:pt idx="11">
                  <c:v>4.4517195113244291E-2</c:v>
                </c:pt>
                <c:pt idx="12">
                  <c:v>4.4829550464044042E-2</c:v>
                </c:pt>
                <c:pt idx="13">
                  <c:v>4.5133284219259821E-2</c:v>
                </c:pt>
                <c:pt idx="14">
                  <c:v>4.5428634351156946E-2</c:v>
                </c:pt>
                <c:pt idx="15">
                  <c:v>4.5715832263518302E-2</c:v>
                </c:pt>
                <c:pt idx="16">
                  <c:v>4.5995102972946844E-2</c:v>
                </c:pt>
                <c:pt idx="17">
                  <c:v>4.6266665285163759E-2</c:v>
                </c:pt>
                <c:pt idx="18">
                  <c:v>4.6530731966440503E-2</c:v>
                </c:pt>
                <c:pt idx="19">
                  <c:v>4.678750991029898E-2</c:v>
                </c:pt>
                <c:pt idx="20">
                  <c:v>4.7968918802161503E-2</c:v>
                </c:pt>
                <c:pt idx="21">
                  <c:v>4.8996037849510524E-2</c:v>
                </c:pt>
                <c:pt idx="22">
                  <c:v>4.9889017024370104E-2</c:v>
                </c:pt>
                <c:pt idx="23">
                  <c:v>5.0665374749203462E-2</c:v>
                </c:pt>
                <c:pt idx="24">
                  <c:v>5.1340341572481511E-2</c:v>
                </c:pt>
                <c:pt idx="25">
                  <c:v>5.1927158960849554E-2</c:v>
                </c:pt>
                <c:pt idx="26">
                  <c:v>5.2437339069582443E-2</c:v>
                </c:pt>
                <c:pt idx="27">
                  <c:v>5.2880890587492568E-2</c:v>
                </c:pt>
                <c:pt idx="28">
                  <c:v>5.3266515086905157E-2</c:v>
                </c:pt>
                <c:pt idx="29">
                  <c:v>5.360177773068521E-2</c:v>
                </c:pt>
                <c:pt idx="30">
                  <c:v>5.3893255685238443E-2</c:v>
                </c:pt>
                <c:pt idx="31">
                  <c:v>5.4146667151045151E-2</c:v>
                </c:pt>
                <c:pt idx="32">
                  <c:v>5.4366983542041968E-2</c:v>
                </c:pt>
                <c:pt idx="33">
                  <c:v>5.4558527014581158E-2</c:v>
                </c:pt>
                <c:pt idx="34">
                  <c:v>5.4725055259285851E-2</c:v>
                </c:pt>
                <c:pt idx="35">
                  <c:v>5.4869835219243768E-2</c:v>
                </c:pt>
                <c:pt idx="36">
                  <c:v>5.5105140493853962E-2</c:v>
                </c:pt>
                <c:pt idx="37">
                  <c:v>5.5282998229146819E-2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702-4161-88EC-19AA1EDD39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Low Flow (</a:t>
            </a:r>
            <a:r>
              <a:rPr lang="el-GR" sz="1200" baseline="0"/>
              <a:t>τ* = 0.086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'2. k as func of τ &amp; τmin'!$AD$39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'2. k as func of τ &amp; τmin'!$CS$40:$CS$45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'2. k as func of τ &amp; τmin'!$CU$40:$CU$45</c:f>
              <c:numCache>
                <c:formatCode>0.0000</c:formatCode>
                <c:ptCount val="6"/>
                <c:pt idx="0">
                  <c:v>0.04</c:v>
                </c:pt>
                <c:pt idx="2">
                  <c:v>4.880607945181633E-2</c:v>
                </c:pt>
                <c:pt idx="3">
                  <c:v>4.7893651283411866E-2</c:v>
                </c:pt>
                <c:pt idx="4">
                  <c:v>5.1755608653064417E-2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DC-412B-A141-20BF6BBF9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'2. k as func of τ &amp; τmin'!$K$39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'2. k as func of τ &amp; τmin'!$AM$4:$AM$59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τmin'!$CO$4:$CO$41</c:f>
              <c:numCache>
                <c:formatCode>0.0000</c:formatCode>
                <c:ptCount val="38"/>
                <c:pt idx="0">
                  <c:v>4.0355344831995321E-2</c:v>
                </c:pt>
                <c:pt idx="1">
                  <c:v>4.0702714877412262E-2</c:v>
                </c:pt>
                <c:pt idx="2">
                  <c:v>4.1042289109505081E-2</c:v>
                </c:pt>
                <c:pt idx="3">
                  <c:v>4.1374242484940857E-2</c:v>
                </c:pt>
                <c:pt idx="4">
                  <c:v>4.1698746033941247E-2</c:v>
                </c:pt>
                <c:pt idx="5">
                  <c:v>4.2015966948401332E-2</c:v>
                </c:pt>
                <c:pt idx="6">
                  <c:v>4.2326068668030827E-2</c:v>
                </c:pt>
                <c:pt idx="7">
                  <c:v>4.2629210964562056E-2</c:v>
                </c:pt>
                <c:pt idx="8">
                  <c:v>4.2925550024068164E-2</c:v>
                </c:pt>
                <c:pt idx="9">
                  <c:v>4.3215238527433822E-2</c:v>
                </c:pt>
                <c:pt idx="10">
                  <c:v>4.3498425729020088E-2</c:v>
                </c:pt>
                <c:pt idx="11">
                  <c:v>4.3775257533563705E-2</c:v>
                </c:pt>
                <c:pt idx="12">
                  <c:v>4.4045876571350735E-2</c:v>
                </c:pt>
                <c:pt idx="13">
                  <c:v>4.4310422271703023E-2</c:v>
                </c:pt>
                <c:pt idx="14">
                  <c:v>4.4569030934815471E-2</c:v>
                </c:pt>
                <c:pt idx="15">
                  <c:v>4.4821835801981146E-2</c:v>
                </c:pt>
                <c:pt idx="16">
                  <c:v>4.50689671242403E-2</c:v>
                </c:pt>
                <c:pt idx="17">
                  <c:v>4.5310552229488835E-2</c:v>
                </c:pt>
                <c:pt idx="18">
                  <c:v>4.5546715588080586E-2</c:v>
                </c:pt>
                <c:pt idx="19">
                  <c:v>4.5777578876957437E-2</c:v>
                </c:pt>
                <c:pt idx="20">
                  <c:v>4.6856465211739355E-2</c:v>
                </c:pt>
                <c:pt idx="21">
                  <c:v>4.7819600957364941E-2</c:v>
                </c:pt>
                <c:pt idx="22">
                  <c:v>4.8679404659197213E-2</c:v>
                </c:pt>
                <c:pt idx="23">
                  <c:v>4.9446962512845673E-2</c:v>
                </c:pt>
                <c:pt idx="24">
                  <c:v>5.013217130811131E-2</c:v>
                </c:pt>
                <c:pt idx="25">
                  <c:v>5.0743866036889927E-2</c:v>
                </c:pt>
                <c:pt idx="26">
                  <c:v>5.1289933810393165E-2</c:v>
                </c:pt>
                <c:pt idx="27">
                  <c:v>5.1777415554520964E-2</c:v>
                </c:pt>
                <c:pt idx="28">
                  <c:v>5.2212596794632131E-2</c:v>
                </c:pt>
                <c:pt idx="29">
                  <c:v>5.2601088700279873E-2</c:v>
                </c:pt>
                <c:pt idx="30">
                  <c:v>5.2947900434892468E-2</c:v>
                </c:pt>
                <c:pt idx="31">
                  <c:v>5.3257503743266307E-2</c:v>
                </c:pt>
                <c:pt idx="32">
                  <c:v>5.3533890609653911E-2</c:v>
                </c:pt>
                <c:pt idx="33">
                  <c:v>5.3780624729882757E-2</c:v>
                </c:pt>
                <c:pt idx="34">
                  <c:v>5.4000887461179578E-2</c:v>
                </c:pt>
                <c:pt idx="35">
                  <c:v>5.4197518842171138E-2</c:v>
                </c:pt>
                <c:pt idx="36">
                  <c:v>5.4529756900492721E-2</c:v>
                </c:pt>
                <c:pt idx="37">
                  <c:v>5.4794529474975463E-2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6DC-412B-A141-20BF6BBF9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u="none" strike="noStrike" baseline="0">
                <a:effectLst/>
              </a:rPr>
              <a:t>Low Flow (</a:t>
            </a:r>
            <a:r>
              <a:rPr lang="el-GR" sz="1200" b="0" i="0" u="none" strike="noStrike" baseline="0">
                <a:effectLst/>
              </a:rPr>
              <a:t>τ* = 0.075)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'2. k as func of τ &amp; τmin'!$AD$48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 k as func of τ &amp; τmin'!$CS$49:$CS$53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</c:numCache>
            </c:numRef>
          </c:xVal>
          <c:yVal>
            <c:numRef>
              <c:f>'2. k as func of τ &amp; τmin'!$CU$49:$CU$53</c:f>
              <c:numCache>
                <c:formatCode>0.0000</c:formatCode>
                <c:ptCount val="5"/>
                <c:pt idx="0">
                  <c:v>0.04</c:v>
                </c:pt>
                <c:pt idx="1">
                  <c:v>4.0883015185033886E-2</c:v>
                </c:pt>
                <c:pt idx="2">
                  <c:v>4.7200498607488234E-2</c:v>
                </c:pt>
                <c:pt idx="3">
                  <c:v>4.7978393655140922E-2</c:v>
                </c:pt>
                <c:pt idx="4">
                  <c:v>5.2297832157699113E-2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B7-4827-81EA-6F64BBFB21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'2. k as func of τ &amp; τmin'!$K$21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'2. k as func of τ &amp; τmin'!$CM$4:$CM$41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</c:numCache>
            </c:numRef>
          </c:xVal>
          <c:yVal>
            <c:numRef>
              <c:f>'2. k as func of τ &amp; τmin'!$CN$4:$CN$41</c:f>
              <c:numCache>
                <c:formatCode>0.0000</c:formatCode>
                <c:ptCount val="38"/>
                <c:pt idx="0">
                  <c:v>4.0323283634805626E-2</c:v>
                </c:pt>
                <c:pt idx="1">
                  <c:v>4.0639966622681115E-2</c:v>
                </c:pt>
                <c:pt idx="2">
                  <c:v>4.0950183732402876E-2</c:v>
                </c:pt>
                <c:pt idx="3">
                  <c:v>4.125406698110444E-2</c:v>
                </c:pt>
                <c:pt idx="4">
                  <c:v>4.1551745690458171E-2</c:v>
                </c:pt>
                <c:pt idx="5">
                  <c:v>4.1843346541709854E-2</c:v>
                </c:pt>
                <c:pt idx="6">
                  <c:v>4.2128993629589634E-2</c:v>
                </c:pt>
                <c:pt idx="7">
                  <c:v>4.2408808515122243E-2</c:v>
                </c:pt>
                <c:pt idx="8">
                  <c:v>4.2682910277358932E-2</c:v>
                </c:pt>
                <c:pt idx="9">
                  <c:v>4.29514155640532E-2</c:v>
                </c:pt>
                <c:pt idx="10">
                  <c:v>4.3214438641301853E-2</c:v>
                </c:pt>
                <c:pt idx="11">
                  <c:v>4.3472091442172484E-2</c:v>
                </c:pt>
                <c:pt idx="12">
                  <c:v>4.3724483614338137E-2</c:v>
                </c:pt>
                <c:pt idx="13">
                  <c:v>4.3971722566739362E-2</c:v>
                </c:pt>
                <c:pt idx="14">
                  <c:v>4.4213913515293565E-2</c:v>
                </c:pt>
                <c:pt idx="15">
                  <c:v>4.4451159527671077E-2</c:v>
                </c:pt>
                <c:pt idx="16">
                  <c:v>4.4683561567157026E-2</c:v>
                </c:pt>
                <c:pt idx="17">
                  <c:v>4.4911218535617609E-2</c:v>
                </c:pt>
                <c:pt idx="18">
                  <c:v>4.5134227315589158E-2</c:v>
                </c:pt>
                <c:pt idx="19">
                  <c:v>4.5352682811507838E-2</c:v>
                </c:pt>
                <c:pt idx="20">
                  <c:v>4.63798492387692E-2</c:v>
                </c:pt>
                <c:pt idx="21">
                  <c:v>4.7306350219082194E-2</c:v>
                </c:pt>
                <c:pt idx="22">
                  <c:v>4.8142051273690867E-2</c:v>
                </c:pt>
                <c:pt idx="23">
                  <c:v>4.8895851072626978E-2</c:v>
                </c:pt>
                <c:pt idx="24">
                  <c:v>4.9575776189081683E-2</c:v>
                </c:pt>
                <c:pt idx="25">
                  <c:v>5.0189066567559393E-2</c:v>
                </c:pt>
                <c:pt idx="26">
                  <c:v>5.0742252615891506E-2</c:v>
                </c:pt>
                <c:pt idx="27">
                  <c:v>5.1241224741997375E-2</c:v>
                </c:pt>
                <c:pt idx="28">
                  <c:v>5.1691296075830333E-2</c:v>
                </c:pt>
                <c:pt idx="29">
                  <c:v>5.2097259044381394E-2</c:v>
                </c:pt>
                <c:pt idx="30">
                  <c:v>5.2463436402159877E-2</c:v>
                </c:pt>
                <c:pt idx="31">
                  <c:v>5.2793727260531033E-2</c:v>
                </c:pt>
                <c:pt idx="32">
                  <c:v>5.309164860603801E-2</c:v>
                </c:pt>
                <c:pt idx="33">
                  <c:v>5.3360372749801467E-2</c:v>
                </c:pt>
                <c:pt idx="34">
                  <c:v>5.3602761106763666E-2</c:v>
                </c:pt>
                <c:pt idx="35">
                  <c:v>5.3821394664463458E-2</c:v>
                </c:pt>
                <c:pt idx="36">
                  <c:v>5.419648139827344E-2</c:v>
                </c:pt>
                <c:pt idx="37">
                  <c:v>5.4501651398670047E-2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1B7-4827-81EA-6F64BBFB21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image" Target="../media/image1.png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/Relationships>
</file>

<file path=xl/drawings/_rels/drawing3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43.xml"/><Relationship Id="rId18" Type="http://schemas.openxmlformats.org/officeDocument/2006/relationships/chart" Target="../charts/chart48.xml"/><Relationship Id="rId26" Type="http://schemas.openxmlformats.org/officeDocument/2006/relationships/chart" Target="../charts/chart56.xml"/><Relationship Id="rId21" Type="http://schemas.openxmlformats.org/officeDocument/2006/relationships/chart" Target="../charts/chart51.xml"/><Relationship Id="rId34" Type="http://schemas.openxmlformats.org/officeDocument/2006/relationships/chart" Target="../charts/chart64.xml"/><Relationship Id="rId7" Type="http://schemas.openxmlformats.org/officeDocument/2006/relationships/chart" Target="../charts/chart37.xml"/><Relationship Id="rId12" Type="http://schemas.openxmlformats.org/officeDocument/2006/relationships/chart" Target="../charts/chart42.xml"/><Relationship Id="rId17" Type="http://schemas.openxmlformats.org/officeDocument/2006/relationships/chart" Target="../charts/chart47.xml"/><Relationship Id="rId25" Type="http://schemas.openxmlformats.org/officeDocument/2006/relationships/chart" Target="../charts/chart55.xml"/><Relationship Id="rId33" Type="http://schemas.openxmlformats.org/officeDocument/2006/relationships/chart" Target="../charts/chart63.xml"/><Relationship Id="rId2" Type="http://schemas.openxmlformats.org/officeDocument/2006/relationships/chart" Target="../charts/chart32.xml"/><Relationship Id="rId16" Type="http://schemas.openxmlformats.org/officeDocument/2006/relationships/chart" Target="../charts/chart46.xml"/><Relationship Id="rId20" Type="http://schemas.openxmlformats.org/officeDocument/2006/relationships/chart" Target="../charts/chart50.xml"/><Relationship Id="rId29" Type="http://schemas.openxmlformats.org/officeDocument/2006/relationships/chart" Target="../charts/chart59.xml"/><Relationship Id="rId1" Type="http://schemas.openxmlformats.org/officeDocument/2006/relationships/image" Target="../media/image1.png"/><Relationship Id="rId6" Type="http://schemas.openxmlformats.org/officeDocument/2006/relationships/chart" Target="../charts/chart36.xml"/><Relationship Id="rId11" Type="http://schemas.openxmlformats.org/officeDocument/2006/relationships/chart" Target="../charts/chart41.xml"/><Relationship Id="rId24" Type="http://schemas.openxmlformats.org/officeDocument/2006/relationships/chart" Target="../charts/chart54.xml"/><Relationship Id="rId32" Type="http://schemas.openxmlformats.org/officeDocument/2006/relationships/chart" Target="../charts/chart62.xml"/><Relationship Id="rId37" Type="http://schemas.openxmlformats.org/officeDocument/2006/relationships/chart" Target="../charts/chart67.xml"/><Relationship Id="rId5" Type="http://schemas.openxmlformats.org/officeDocument/2006/relationships/chart" Target="../charts/chart35.xml"/><Relationship Id="rId15" Type="http://schemas.openxmlformats.org/officeDocument/2006/relationships/chart" Target="../charts/chart45.xml"/><Relationship Id="rId23" Type="http://schemas.openxmlformats.org/officeDocument/2006/relationships/chart" Target="../charts/chart53.xml"/><Relationship Id="rId28" Type="http://schemas.openxmlformats.org/officeDocument/2006/relationships/chart" Target="../charts/chart58.xml"/><Relationship Id="rId36" Type="http://schemas.openxmlformats.org/officeDocument/2006/relationships/chart" Target="../charts/chart66.xml"/><Relationship Id="rId10" Type="http://schemas.openxmlformats.org/officeDocument/2006/relationships/chart" Target="../charts/chart40.xml"/><Relationship Id="rId19" Type="http://schemas.openxmlformats.org/officeDocument/2006/relationships/chart" Target="../charts/chart49.xml"/><Relationship Id="rId31" Type="http://schemas.openxmlformats.org/officeDocument/2006/relationships/chart" Target="../charts/chart61.xml"/><Relationship Id="rId4" Type="http://schemas.openxmlformats.org/officeDocument/2006/relationships/chart" Target="../charts/chart34.xml"/><Relationship Id="rId9" Type="http://schemas.openxmlformats.org/officeDocument/2006/relationships/chart" Target="../charts/chart39.xml"/><Relationship Id="rId14" Type="http://schemas.openxmlformats.org/officeDocument/2006/relationships/chart" Target="../charts/chart44.xml"/><Relationship Id="rId22" Type="http://schemas.openxmlformats.org/officeDocument/2006/relationships/chart" Target="../charts/chart52.xml"/><Relationship Id="rId27" Type="http://schemas.openxmlformats.org/officeDocument/2006/relationships/chart" Target="../charts/chart57.xml"/><Relationship Id="rId30" Type="http://schemas.openxmlformats.org/officeDocument/2006/relationships/chart" Target="../charts/chart60.xml"/><Relationship Id="rId35" Type="http://schemas.openxmlformats.org/officeDocument/2006/relationships/chart" Target="../charts/chart65.xml"/><Relationship Id="rId8" Type="http://schemas.openxmlformats.org/officeDocument/2006/relationships/chart" Target="../charts/chart38.xml"/><Relationship Id="rId3" Type="http://schemas.openxmlformats.org/officeDocument/2006/relationships/chart" Target="../charts/chart3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473569</xdr:colOff>
      <xdr:row>0</xdr:row>
      <xdr:rowOff>183679</xdr:rowOff>
    </xdr:from>
    <xdr:ext cx="2813109" cy="268653"/>
    <xdr:pic>
      <xdr:nvPicPr>
        <xdr:cNvPr id="2" name="Picture 1">
          <a:extLst>
            <a:ext uri="{FF2B5EF4-FFF2-40B4-BE49-F238E27FC236}">
              <a16:creationId xmlns:a16="http://schemas.microsoft.com/office/drawing/2014/main" id="{68519F7A-2127-4A44-92D0-2B9F3418F8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34981" y="183679"/>
          <a:ext cx="2813109" cy="268653"/>
        </a:xfrm>
        <a:prstGeom prst="rect">
          <a:avLst/>
        </a:prstGeom>
      </xdr:spPr>
    </xdr:pic>
    <xdr:clientData/>
  </xdr:oneCellAnchor>
  <xdr:twoCellAnchor>
    <xdr:from>
      <xdr:col>24</xdr:col>
      <xdr:colOff>190498</xdr:colOff>
      <xdr:row>2</xdr:row>
      <xdr:rowOff>1120</xdr:rowOff>
    </xdr:from>
    <xdr:to>
      <xdr:col>33</xdr:col>
      <xdr:colOff>313764</xdr:colOff>
      <xdr:row>27</xdr:row>
      <xdr:rowOff>179293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56BA615-572B-4F84-AB4C-BDF477C9A2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461595</xdr:colOff>
      <xdr:row>0</xdr:row>
      <xdr:rowOff>166425</xdr:rowOff>
    </xdr:from>
    <xdr:to>
      <xdr:col>11</xdr:col>
      <xdr:colOff>820616</xdr:colOff>
      <xdr:row>2</xdr:row>
      <xdr:rowOff>54078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A17236-2C8A-45CD-88AA-E8990A8ABA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14620" y="166425"/>
          <a:ext cx="2816471" cy="268653"/>
        </a:xfrm>
        <a:prstGeom prst="rect">
          <a:avLst/>
        </a:prstGeom>
      </xdr:spPr>
    </xdr:pic>
    <xdr:clientData/>
  </xdr:twoCellAnchor>
  <xdr:twoCellAnchor>
    <xdr:from>
      <xdr:col>8</xdr:col>
      <xdr:colOff>321653</xdr:colOff>
      <xdr:row>3</xdr:row>
      <xdr:rowOff>120894</xdr:rowOff>
    </xdr:from>
    <xdr:to>
      <xdr:col>13</xdr:col>
      <xdr:colOff>142876</xdr:colOff>
      <xdr:row>18</xdr:row>
      <xdr:rowOff>6594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A25DD1C-6616-40BC-88CF-074825DC0E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238124</xdr:colOff>
      <xdr:row>2</xdr:row>
      <xdr:rowOff>147637</xdr:rowOff>
    </xdr:from>
    <xdr:to>
      <xdr:col>19</xdr:col>
      <xdr:colOff>28575</xdr:colOff>
      <xdr:row>18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4C85A6A-8CBA-4DBF-86D9-D5C905C043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257175</xdr:colOff>
      <xdr:row>19</xdr:row>
      <xdr:rowOff>0</xdr:rowOff>
    </xdr:from>
    <xdr:to>
      <xdr:col>18</xdr:col>
      <xdr:colOff>495300</xdr:colOff>
      <xdr:row>29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8574BF2-C63D-4570-A494-381CA5900A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266700</xdr:colOff>
      <xdr:row>30</xdr:row>
      <xdr:rowOff>47625</xdr:rowOff>
    </xdr:from>
    <xdr:to>
      <xdr:col>18</xdr:col>
      <xdr:colOff>504825</xdr:colOff>
      <xdr:row>41</xdr:row>
      <xdr:rowOff>38100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E8A9C86-9A84-49E9-90D0-77D6F966DF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257175</xdr:colOff>
      <xdr:row>41</xdr:row>
      <xdr:rowOff>76200</xdr:rowOff>
    </xdr:from>
    <xdr:to>
      <xdr:col>18</xdr:col>
      <xdr:colOff>495300</xdr:colOff>
      <xdr:row>52</xdr:row>
      <xdr:rowOff>66675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3C47AB7-5639-4CE2-AC08-E2248DC88E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295275</xdr:colOff>
      <xdr:row>52</xdr:row>
      <xdr:rowOff>123825</xdr:rowOff>
    </xdr:from>
    <xdr:to>
      <xdr:col>18</xdr:col>
      <xdr:colOff>533400</xdr:colOff>
      <xdr:row>63</xdr:row>
      <xdr:rowOff>114300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8C69885-A76F-45D7-9335-A75A86F8D4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26</xdr:col>
      <xdr:colOff>461595</xdr:colOff>
      <xdr:row>0</xdr:row>
      <xdr:rowOff>166425</xdr:rowOff>
    </xdr:from>
    <xdr:ext cx="2813109" cy="268653"/>
    <xdr:pic>
      <xdr:nvPicPr>
        <xdr:cNvPr id="9" name="Picture 8">
          <a:extLst>
            <a:ext uri="{FF2B5EF4-FFF2-40B4-BE49-F238E27FC236}">
              <a16:creationId xmlns:a16="http://schemas.microsoft.com/office/drawing/2014/main" id="{9D9B2A66-BA3B-49E3-BB03-2A9D2D12D2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835195" y="166425"/>
          <a:ext cx="2813109" cy="268653"/>
        </a:xfrm>
        <a:prstGeom prst="rect">
          <a:avLst/>
        </a:prstGeom>
      </xdr:spPr>
    </xdr:pic>
    <xdr:clientData/>
  </xdr:oneCellAnchor>
  <xdr:twoCellAnchor>
    <xdr:from>
      <xdr:col>26</xdr:col>
      <xdr:colOff>321653</xdr:colOff>
      <xdr:row>3</xdr:row>
      <xdr:rowOff>120894</xdr:rowOff>
    </xdr:from>
    <xdr:to>
      <xdr:col>31</xdr:col>
      <xdr:colOff>142876</xdr:colOff>
      <xdr:row>18</xdr:row>
      <xdr:rowOff>6594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CA0AC72-6DB3-491E-B5BF-A6152FEB21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31</xdr:col>
      <xdr:colOff>238124</xdr:colOff>
      <xdr:row>2</xdr:row>
      <xdr:rowOff>147637</xdr:rowOff>
    </xdr:from>
    <xdr:to>
      <xdr:col>37</xdr:col>
      <xdr:colOff>28575</xdr:colOff>
      <xdr:row>18</xdr:row>
      <xdr:rowOff>142875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2C329E0-E898-4079-99E2-343A0C654A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31</xdr:col>
      <xdr:colOff>257175</xdr:colOff>
      <xdr:row>19</xdr:row>
      <xdr:rowOff>0</xdr:rowOff>
    </xdr:from>
    <xdr:to>
      <xdr:col>36</xdr:col>
      <xdr:colOff>495300</xdr:colOff>
      <xdr:row>29</xdr:row>
      <xdr:rowOff>180975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5638336-B706-4F5B-A95E-705357C30B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31</xdr:col>
      <xdr:colOff>266700</xdr:colOff>
      <xdr:row>30</xdr:row>
      <xdr:rowOff>47625</xdr:rowOff>
    </xdr:from>
    <xdr:to>
      <xdr:col>36</xdr:col>
      <xdr:colOff>504825</xdr:colOff>
      <xdr:row>41</xdr:row>
      <xdr:rowOff>38100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D01ADC4-F896-492C-A88E-ACEA2416DF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31</xdr:col>
      <xdr:colOff>257175</xdr:colOff>
      <xdr:row>41</xdr:row>
      <xdr:rowOff>76200</xdr:rowOff>
    </xdr:from>
    <xdr:to>
      <xdr:col>36</xdr:col>
      <xdr:colOff>495300</xdr:colOff>
      <xdr:row>52</xdr:row>
      <xdr:rowOff>66675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0352DE0-1F48-4AB5-86BB-554ED46A1B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31</xdr:col>
      <xdr:colOff>295275</xdr:colOff>
      <xdr:row>52</xdr:row>
      <xdr:rowOff>123825</xdr:rowOff>
    </xdr:from>
    <xdr:to>
      <xdr:col>36</xdr:col>
      <xdr:colOff>533400</xdr:colOff>
      <xdr:row>63</xdr:row>
      <xdr:rowOff>114300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72EA35D-7A81-42FB-88DC-5C6CA1C858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oneCellAnchor>
    <xdr:from>
      <xdr:col>43</xdr:col>
      <xdr:colOff>461595</xdr:colOff>
      <xdr:row>0</xdr:row>
      <xdr:rowOff>166425</xdr:rowOff>
    </xdr:from>
    <xdr:ext cx="2813109" cy="268653"/>
    <xdr:pic>
      <xdr:nvPicPr>
        <xdr:cNvPr id="16" name="Picture 15">
          <a:extLst>
            <a:ext uri="{FF2B5EF4-FFF2-40B4-BE49-F238E27FC236}">
              <a16:creationId xmlns:a16="http://schemas.microsoft.com/office/drawing/2014/main" id="{E207A4A1-F4F1-4094-900A-8A10D81438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131845" y="166425"/>
          <a:ext cx="2813109" cy="268653"/>
        </a:xfrm>
        <a:prstGeom prst="rect">
          <a:avLst/>
        </a:prstGeom>
      </xdr:spPr>
    </xdr:pic>
    <xdr:clientData/>
  </xdr:oneCellAnchor>
  <xdr:twoCellAnchor>
    <xdr:from>
      <xdr:col>43</xdr:col>
      <xdr:colOff>321653</xdr:colOff>
      <xdr:row>3</xdr:row>
      <xdr:rowOff>120894</xdr:rowOff>
    </xdr:from>
    <xdr:to>
      <xdr:col>48</xdr:col>
      <xdr:colOff>142876</xdr:colOff>
      <xdr:row>18</xdr:row>
      <xdr:rowOff>6594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361E03A8-5634-4CD3-B8C2-F63CEFDD5A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48</xdr:col>
      <xdr:colOff>238124</xdr:colOff>
      <xdr:row>2</xdr:row>
      <xdr:rowOff>147637</xdr:rowOff>
    </xdr:from>
    <xdr:to>
      <xdr:col>54</xdr:col>
      <xdr:colOff>28575</xdr:colOff>
      <xdr:row>18</xdr:row>
      <xdr:rowOff>142875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A4AE4B1-CF53-4152-97AC-186E19453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48</xdr:col>
      <xdr:colOff>257175</xdr:colOff>
      <xdr:row>19</xdr:row>
      <xdr:rowOff>0</xdr:rowOff>
    </xdr:from>
    <xdr:to>
      <xdr:col>53</xdr:col>
      <xdr:colOff>495300</xdr:colOff>
      <xdr:row>29</xdr:row>
      <xdr:rowOff>180975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505BC5F8-062A-41F7-94E5-0E9F0F40AF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48</xdr:col>
      <xdr:colOff>266700</xdr:colOff>
      <xdr:row>30</xdr:row>
      <xdr:rowOff>47625</xdr:rowOff>
    </xdr:from>
    <xdr:to>
      <xdr:col>53</xdr:col>
      <xdr:colOff>504825</xdr:colOff>
      <xdr:row>41</xdr:row>
      <xdr:rowOff>38100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2ED5921A-0D36-47CC-B1CF-7EABC708CA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48</xdr:col>
      <xdr:colOff>257175</xdr:colOff>
      <xdr:row>41</xdr:row>
      <xdr:rowOff>76200</xdr:rowOff>
    </xdr:from>
    <xdr:to>
      <xdr:col>53</xdr:col>
      <xdr:colOff>495300</xdr:colOff>
      <xdr:row>52</xdr:row>
      <xdr:rowOff>66675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DA5E2108-1CB0-48B2-BF85-24EC0B923D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48</xdr:col>
      <xdr:colOff>291353</xdr:colOff>
      <xdr:row>52</xdr:row>
      <xdr:rowOff>123265</xdr:rowOff>
    </xdr:from>
    <xdr:to>
      <xdr:col>53</xdr:col>
      <xdr:colOff>529478</xdr:colOff>
      <xdr:row>63</xdr:row>
      <xdr:rowOff>113740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F98A530B-D445-4828-AEFC-F0094B322C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oneCellAnchor>
    <xdr:from>
      <xdr:col>60</xdr:col>
      <xdr:colOff>461595</xdr:colOff>
      <xdr:row>0</xdr:row>
      <xdr:rowOff>166425</xdr:rowOff>
    </xdr:from>
    <xdr:ext cx="2813109" cy="268653"/>
    <xdr:pic>
      <xdr:nvPicPr>
        <xdr:cNvPr id="23" name="Picture 22">
          <a:extLst>
            <a:ext uri="{FF2B5EF4-FFF2-40B4-BE49-F238E27FC236}">
              <a16:creationId xmlns:a16="http://schemas.microsoft.com/office/drawing/2014/main" id="{FBC64327-4D25-4CB2-AAE7-9CBB62A66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466595" y="166425"/>
          <a:ext cx="2813109" cy="268653"/>
        </a:xfrm>
        <a:prstGeom prst="rect">
          <a:avLst/>
        </a:prstGeom>
      </xdr:spPr>
    </xdr:pic>
    <xdr:clientData/>
  </xdr:oneCellAnchor>
  <xdr:twoCellAnchor>
    <xdr:from>
      <xdr:col>60</xdr:col>
      <xdr:colOff>321653</xdr:colOff>
      <xdr:row>3</xdr:row>
      <xdr:rowOff>120894</xdr:rowOff>
    </xdr:from>
    <xdr:to>
      <xdr:col>65</xdr:col>
      <xdr:colOff>142876</xdr:colOff>
      <xdr:row>18</xdr:row>
      <xdr:rowOff>6594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BF8CEC3D-E9BA-4CAE-8C27-CC29DDDF5C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65</xdr:col>
      <xdr:colOff>238124</xdr:colOff>
      <xdr:row>2</xdr:row>
      <xdr:rowOff>147637</xdr:rowOff>
    </xdr:from>
    <xdr:to>
      <xdr:col>71</xdr:col>
      <xdr:colOff>28575</xdr:colOff>
      <xdr:row>18</xdr:row>
      <xdr:rowOff>142875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BF93F63D-D769-4A77-B8D4-A26DF019AA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65</xdr:col>
      <xdr:colOff>257175</xdr:colOff>
      <xdr:row>19</xdr:row>
      <xdr:rowOff>0</xdr:rowOff>
    </xdr:from>
    <xdr:to>
      <xdr:col>70</xdr:col>
      <xdr:colOff>495300</xdr:colOff>
      <xdr:row>29</xdr:row>
      <xdr:rowOff>180975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26ECF985-4987-42B7-B157-2F86250AB9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65</xdr:col>
      <xdr:colOff>266700</xdr:colOff>
      <xdr:row>30</xdr:row>
      <xdr:rowOff>47625</xdr:rowOff>
    </xdr:from>
    <xdr:to>
      <xdr:col>70</xdr:col>
      <xdr:colOff>504825</xdr:colOff>
      <xdr:row>41</xdr:row>
      <xdr:rowOff>38100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F8BDAE53-4266-40F4-B835-157BEE25CC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65</xdr:col>
      <xdr:colOff>257175</xdr:colOff>
      <xdr:row>41</xdr:row>
      <xdr:rowOff>76200</xdr:rowOff>
    </xdr:from>
    <xdr:to>
      <xdr:col>70</xdr:col>
      <xdr:colOff>495300</xdr:colOff>
      <xdr:row>52</xdr:row>
      <xdr:rowOff>66675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7429BDC4-1267-4534-A6EF-D7B7A6916A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65</xdr:col>
      <xdr:colOff>291353</xdr:colOff>
      <xdr:row>52</xdr:row>
      <xdr:rowOff>123265</xdr:rowOff>
    </xdr:from>
    <xdr:to>
      <xdr:col>70</xdr:col>
      <xdr:colOff>529478</xdr:colOff>
      <xdr:row>63</xdr:row>
      <xdr:rowOff>113740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9341B19-3CA0-4259-81AE-2B093FCA2C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oneCellAnchor>
    <xdr:from>
      <xdr:col>77</xdr:col>
      <xdr:colOff>461595</xdr:colOff>
      <xdr:row>0</xdr:row>
      <xdr:rowOff>166425</xdr:rowOff>
    </xdr:from>
    <xdr:ext cx="2813109" cy="268653"/>
    <xdr:pic>
      <xdr:nvPicPr>
        <xdr:cNvPr id="30" name="Picture 29">
          <a:extLst>
            <a:ext uri="{FF2B5EF4-FFF2-40B4-BE49-F238E27FC236}">
              <a16:creationId xmlns:a16="http://schemas.microsoft.com/office/drawing/2014/main" id="{F9A4AB9F-FC05-4B7E-BA17-42B2B60C4A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810870" y="166425"/>
          <a:ext cx="2813109" cy="268653"/>
        </a:xfrm>
        <a:prstGeom prst="rect">
          <a:avLst/>
        </a:prstGeom>
      </xdr:spPr>
    </xdr:pic>
    <xdr:clientData/>
  </xdr:oneCellAnchor>
  <xdr:twoCellAnchor>
    <xdr:from>
      <xdr:col>77</xdr:col>
      <xdr:colOff>321653</xdr:colOff>
      <xdr:row>3</xdr:row>
      <xdr:rowOff>120894</xdr:rowOff>
    </xdr:from>
    <xdr:to>
      <xdr:col>82</xdr:col>
      <xdr:colOff>142876</xdr:colOff>
      <xdr:row>18</xdr:row>
      <xdr:rowOff>6594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3D697EDD-4C00-4371-989A-184ECBFDB2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82</xdr:col>
      <xdr:colOff>238124</xdr:colOff>
      <xdr:row>2</xdr:row>
      <xdr:rowOff>147637</xdr:rowOff>
    </xdr:from>
    <xdr:to>
      <xdr:col>88</xdr:col>
      <xdr:colOff>28575</xdr:colOff>
      <xdr:row>18</xdr:row>
      <xdr:rowOff>142875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92D8E88F-5034-4CB5-B43E-B664F7F5D0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82</xdr:col>
      <xdr:colOff>257175</xdr:colOff>
      <xdr:row>19</xdr:row>
      <xdr:rowOff>0</xdr:rowOff>
    </xdr:from>
    <xdr:to>
      <xdr:col>87</xdr:col>
      <xdr:colOff>495300</xdr:colOff>
      <xdr:row>29</xdr:row>
      <xdr:rowOff>180975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82248BC-A452-49A6-8F38-DFAC6D71B1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82</xdr:col>
      <xdr:colOff>266700</xdr:colOff>
      <xdr:row>30</xdr:row>
      <xdr:rowOff>47625</xdr:rowOff>
    </xdr:from>
    <xdr:to>
      <xdr:col>87</xdr:col>
      <xdr:colOff>504825</xdr:colOff>
      <xdr:row>41</xdr:row>
      <xdr:rowOff>38100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7B338A69-2025-48F1-B3E8-088302828F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82</xdr:col>
      <xdr:colOff>257175</xdr:colOff>
      <xdr:row>41</xdr:row>
      <xdr:rowOff>76200</xdr:rowOff>
    </xdr:from>
    <xdr:to>
      <xdr:col>87</xdr:col>
      <xdr:colOff>495300</xdr:colOff>
      <xdr:row>52</xdr:row>
      <xdr:rowOff>66675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E93F2D87-A627-4C7C-B36D-363D6CCF0F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82</xdr:col>
      <xdr:colOff>257735</xdr:colOff>
      <xdr:row>52</xdr:row>
      <xdr:rowOff>134471</xdr:rowOff>
    </xdr:from>
    <xdr:to>
      <xdr:col>87</xdr:col>
      <xdr:colOff>495860</xdr:colOff>
      <xdr:row>63</xdr:row>
      <xdr:rowOff>124946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8A716D92-77D1-4E98-A0CE-523D899122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461595</xdr:colOff>
      <xdr:row>0</xdr:row>
      <xdr:rowOff>166425</xdr:rowOff>
    </xdr:from>
    <xdr:to>
      <xdr:col>11</xdr:col>
      <xdr:colOff>820616</xdr:colOff>
      <xdr:row>2</xdr:row>
      <xdr:rowOff>54078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4F1CB9-4548-4317-802D-0FE231AFEB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14620" y="166425"/>
          <a:ext cx="2816471" cy="268653"/>
        </a:xfrm>
        <a:prstGeom prst="rect">
          <a:avLst/>
        </a:prstGeom>
      </xdr:spPr>
    </xdr:pic>
    <xdr:clientData/>
  </xdr:twoCellAnchor>
  <xdr:twoCellAnchor>
    <xdr:from>
      <xdr:col>8</xdr:col>
      <xdr:colOff>321653</xdr:colOff>
      <xdr:row>3</xdr:row>
      <xdr:rowOff>120894</xdr:rowOff>
    </xdr:from>
    <xdr:to>
      <xdr:col>13</xdr:col>
      <xdr:colOff>142876</xdr:colOff>
      <xdr:row>18</xdr:row>
      <xdr:rowOff>6594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D35E56-423F-4355-BF8E-84317B4F31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238124</xdr:colOff>
      <xdr:row>2</xdr:row>
      <xdr:rowOff>147637</xdr:rowOff>
    </xdr:from>
    <xdr:to>
      <xdr:col>19</xdr:col>
      <xdr:colOff>28575</xdr:colOff>
      <xdr:row>18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FBA490D-FF31-48C4-B28F-8323AD0DF7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257175</xdr:colOff>
      <xdr:row>19</xdr:row>
      <xdr:rowOff>0</xdr:rowOff>
    </xdr:from>
    <xdr:to>
      <xdr:col>18</xdr:col>
      <xdr:colOff>495300</xdr:colOff>
      <xdr:row>29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6B9353E-28AB-4277-81A6-31A4E8A988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266700</xdr:colOff>
      <xdr:row>30</xdr:row>
      <xdr:rowOff>47625</xdr:rowOff>
    </xdr:from>
    <xdr:to>
      <xdr:col>18</xdr:col>
      <xdr:colOff>504825</xdr:colOff>
      <xdr:row>41</xdr:row>
      <xdr:rowOff>38100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E79A857-D36E-4B0F-BEB2-E5552CF41B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257175</xdr:colOff>
      <xdr:row>41</xdr:row>
      <xdr:rowOff>76200</xdr:rowOff>
    </xdr:from>
    <xdr:to>
      <xdr:col>18</xdr:col>
      <xdr:colOff>495300</xdr:colOff>
      <xdr:row>52</xdr:row>
      <xdr:rowOff>66675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45783A6-0CD4-42A8-96CA-F1A8176A6F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295275</xdr:colOff>
      <xdr:row>52</xdr:row>
      <xdr:rowOff>123825</xdr:rowOff>
    </xdr:from>
    <xdr:to>
      <xdr:col>18</xdr:col>
      <xdr:colOff>533400</xdr:colOff>
      <xdr:row>63</xdr:row>
      <xdr:rowOff>114300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319AE1-0FAA-493D-9954-0BB9344F3D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26</xdr:col>
      <xdr:colOff>461595</xdr:colOff>
      <xdr:row>0</xdr:row>
      <xdr:rowOff>166425</xdr:rowOff>
    </xdr:from>
    <xdr:ext cx="2813109" cy="268653"/>
    <xdr:pic>
      <xdr:nvPicPr>
        <xdr:cNvPr id="9" name="Picture 8">
          <a:extLst>
            <a:ext uri="{FF2B5EF4-FFF2-40B4-BE49-F238E27FC236}">
              <a16:creationId xmlns:a16="http://schemas.microsoft.com/office/drawing/2014/main" id="{4A37CD30-1918-4CCE-8570-1077F10509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835195" y="166425"/>
          <a:ext cx="2813109" cy="268653"/>
        </a:xfrm>
        <a:prstGeom prst="rect">
          <a:avLst/>
        </a:prstGeom>
      </xdr:spPr>
    </xdr:pic>
    <xdr:clientData/>
  </xdr:oneCellAnchor>
  <xdr:twoCellAnchor>
    <xdr:from>
      <xdr:col>26</xdr:col>
      <xdr:colOff>321653</xdr:colOff>
      <xdr:row>3</xdr:row>
      <xdr:rowOff>120894</xdr:rowOff>
    </xdr:from>
    <xdr:to>
      <xdr:col>31</xdr:col>
      <xdr:colOff>142876</xdr:colOff>
      <xdr:row>18</xdr:row>
      <xdr:rowOff>6594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1584C0E-00A8-48D2-AC5D-D6E195338A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31</xdr:col>
      <xdr:colOff>238124</xdr:colOff>
      <xdr:row>2</xdr:row>
      <xdr:rowOff>147637</xdr:rowOff>
    </xdr:from>
    <xdr:to>
      <xdr:col>37</xdr:col>
      <xdr:colOff>28575</xdr:colOff>
      <xdr:row>18</xdr:row>
      <xdr:rowOff>142875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B65912-4397-4A8E-B8C9-09D463EA8F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31</xdr:col>
      <xdr:colOff>257175</xdr:colOff>
      <xdr:row>19</xdr:row>
      <xdr:rowOff>0</xdr:rowOff>
    </xdr:from>
    <xdr:to>
      <xdr:col>36</xdr:col>
      <xdr:colOff>495300</xdr:colOff>
      <xdr:row>29</xdr:row>
      <xdr:rowOff>180975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A8C5DE3-0691-47BD-84C8-C8F863F9CD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31</xdr:col>
      <xdr:colOff>266700</xdr:colOff>
      <xdr:row>30</xdr:row>
      <xdr:rowOff>47625</xdr:rowOff>
    </xdr:from>
    <xdr:to>
      <xdr:col>36</xdr:col>
      <xdr:colOff>504825</xdr:colOff>
      <xdr:row>41</xdr:row>
      <xdr:rowOff>38100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5FB7D2C-FBFB-4E04-B9F7-C92557DA39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31</xdr:col>
      <xdr:colOff>257175</xdr:colOff>
      <xdr:row>41</xdr:row>
      <xdr:rowOff>76200</xdr:rowOff>
    </xdr:from>
    <xdr:to>
      <xdr:col>36</xdr:col>
      <xdr:colOff>495300</xdr:colOff>
      <xdr:row>52</xdr:row>
      <xdr:rowOff>66675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9BA9B57-0846-45F1-9C69-C8E5DE4CD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31</xdr:col>
      <xdr:colOff>295275</xdr:colOff>
      <xdr:row>52</xdr:row>
      <xdr:rowOff>123825</xdr:rowOff>
    </xdr:from>
    <xdr:to>
      <xdr:col>36</xdr:col>
      <xdr:colOff>533400</xdr:colOff>
      <xdr:row>63</xdr:row>
      <xdr:rowOff>114300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65E5DCF-157E-4C15-99BF-17ECA9FC10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oneCellAnchor>
    <xdr:from>
      <xdr:col>43</xdr:col>
      <xdr:colOff>461595</xdr:colOff>
      <xdr:row>0</xdr:row>
      <xdr:rowOff>166425</xdr:rowOff>
    </xdr:from>
    <xdr:ext cx="2813109" cy="268653"/>
    <xdr:pic>
      <xdr:nvPicPr>
        <xdr:cNvPr id="16" name="Picture 15">
          <a:extLst>
            <a:ext uri="{FF2B5EF4-FFF2-40B4-BE49-F238E27FC236}">
              <a16:creationId xmlns:a16="http://schemas.microsoft.com/office/drawing/2014/main" id="{A035BCB9-742F-4776-A020-608494DD3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131845" y="166425"/>
          <a:ext cx="2813109" cy="268653"/>
        </a:xfrm>
        <a:prstGeom prst="rect">
          <a:avLst/>
        </a:prstGeom>
      </xdr:spPr>
    </xdr:pic>
    <xdr:clientData/>
  </xdr:oneCellAnchor>
  <xdr:twoCellAnchor>
    <xdr:from>
      <xdr:col>43</xdr:col>
      <xdr:colOff>321653</xdr:colOff>
      <xdr:row>3</xdr:row>
      <xdr:rowOff>120894</xdr:rowOff>
    </xdr:from>
    <xdr:to>
      <xdr:col>48</xdr:col>
      <xdr:colOff>142876</xdr:colOff>
      <xdr:row>18</xdr:row>
      <xdr:rowOff>6594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828E667-2A74-4748-8C74-4FCAB3C108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48</xdr:col>
      <xdr:colOff>238124</xdr:colOff>
      <xdr:row>2</xdr:row>
      <xdr:rowOff>147637</xdr:rowOff>
    </xdr:from>
    <xdr:to>
      <xdr:col>54</xdr:col>
      <xdr:colOff>28575</xdr:colOff>
      <xdr:row>18</xdr:row>
      <xdr:rowOff>142875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D33BEE28-6AA6-4E5C-9419-6A17C7D9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48</xdr:col>
      <xdr:colOff>257175</xdr:colOff>
      <xdr:row>19</xdr:row>
      <xdr:rowOff>0</xdr:rowOff>
    </xdr:from>
    <xdr:to>
      <xdr:col>53</xdr:col>
      <xdr:colOff>495300</xdr:colOff>
      <xdr:row>29</xdr:row>
      <xdr:rowOff>180975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ACC1FE44-D265-4304-BC58-EBD2BCC42C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48</xdr:col>
      <xdr:colOff>266700</xdr:colOff>
      <xdr:row>30</xdr:row>
      <xdr:rowOff>47625</xdr:rowOff>
    </xdr:from>
    <xdr:to>
      <xdr:col>53</xdr:col>
      <xdr:colOff>504825</xdr:colOff>
      <xdr:row>41</xdr:row>
      <xdr:rowOff>38100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B10E97A-0291-4F67-B09A-5014F3EAB5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48</xdr:col>
      <xdr:colOff>257175</xdr:colOff>
      <xdr:row>41</xdr:row>
      <xdr:rowOff>76200</xdr:rowOff>
    </xdr:from>
    <xdr:to>
      <xdr:col>53</xdr:col>
      <xdr:colOff>495300</xdr:colOff>
      <xdr:row>52</xdr:row>
      <xdr:rowOff>66675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664446F4-2C60-4D82-B6A8-8518E3E7A6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48</xdr:col>
      <xdr:colOff>291353</xdr:colOff>
      <xdr:row>52</xdr:row>
      <xdr:rowOff>123265</xdr:rowOff>
    </xdr:from>
    <xdr:to>
      <xdr:col>53</xdr:col>
      <xdr:colOff>529478</xdr:colOff>
      <xdr:row>63</xdr:row>
      <xdr:rowOff>113740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59B9954B-9B87-445E-8AAF-FDB75ED0EF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oneCellAnchor>
    <xdr:from>
      <xdr:col>60</xdr:col>
      <xdr:colOff>461595</xdr:colOff>
      <xdr:row>0</xdr:row>
      <xdr:rowOff>166425</xdr:rowOff>
    </xdr:from>
    <xdr:ext cx="2813109" cy="268653"/>
    <xdr:pic>
      <xdr:nvPicPr>
        <xdr:cNvPr id="23" name="Picture 22">
          <a:extLst>
            <a:ext uri="{FF2B5EF4-FFF2-40B4-BE49-F238E27FC236}">
              <a16:creationId xmlns:a16="http://schemas.microsoft.com/office/drawing/2014/main" id="{2C662BA7-D5E9-488F-B421-466E14AFB4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647570" y="166425"/>
          <a:ext cx="2813109" cy="268653"/>
        </a:xfrm>
        <a:prstGeom prst="rect">
          <a:avLst/>
        </a:prstGeom>
      </xdr:spPr>
    </xdr:pic>
    <xdr:clientData/>
  </xdr:oneCellAnchor>
  <xdr:twoCellAnchor>
    <xdr:from>
      <xdr:col>60</xdr:col>
      <xdr:colOff>321653</xdr:colOff>
      <xdr:row>3</xdr:row>
      <xdr:rowOff>120894</xdr:rowOff>
    </xdr:from>
    <xdr:to>
      <xdr:col>65</xdr:col>
      <xdr:colOff>142876</xdr:colOff>
      <xdr:row>18</xdr:row>
      <xdr:rowOff>6594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E4450A2B-7944-4874-BDA2-FF6F0823C2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65</xdr:col>
      <xdr:colOff>238124</xdr:colOff>
      <xdr:row>2</xdr:row>
      <xdr:rowOff>147637</xdr:rowOff>
    </xdr:from>
    <xdr:to>
      <xdr:col>71</xdr:col>
      <xdr:colOff>28575</xdr:colOff>
      <xdr:row>18</xdr:row>
      <xdr:rowOff>142875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F4E4828E-6AD0-4B31-B469-179A9EB3FA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65</xdr:col>
      <xdr:colOff>257175</xdr:colOff>
      <xdr:row>19</xdr:row>
      <xdr:rowOff>0</xdr:rowOff>
    </xdr:from>
    <xdr:to>
      <xdr:col>70</xdr:col>
      <xdr:colOff>495300</xdr:colOff>
      <xdr:row>29</xdr:row>
      <xdr:rowOff>180975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E739E469-CF74-423E-8599-A0C37D676F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65</xdr:col>
      <xdr:colOff>266700</xdr:colOff>
      <xdr:row>30</xdr:row>
      <xdr:rowOff>47625</xdr:rowOff>
    </xdr:from>
    <xdr:to>
      <xdr:col>70</xdr:col>
      <xdr:colOff>504825</xdr:colOff>
      <xdr:row>41</xdr:row>
      <xdr:rowOff>38100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73735B67-3524-445C-BD00-0DF216C28B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65</xdr:col>
      <xdr:colOff>257175</xdr:colOff>
      <xdr:row>41</xdr:row>
      <xdr:rowOff>76200</xdr:rowOff>
    </xdr:from>
    <xdr:to>
      <xdr:col>70</xdr:col>
      <xdr:colOff>495300</xdr:colOff>
      <xdr:row>52</xdr:row>
      <xdr:rowOff>66675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6F25F650-9327-42CD-9615-626083FC48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65</xdr:col>
      <xdr:colOff>291353</xdr:colOff>
      <xdr:row>52</xdr:row>
      <xdr:rowOff>123265</xdr:rowOff>
    </xdr:from>
    <xdr:to>
      <xdr:col>70</xdr:col>
      <xdr:colOff>529478</xdr:colOff>
      <xdr:row>63</xdr:row>
      <xdr:rowOff>113740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13D5CE26-B3BB-4660-B89A-DDB33933B6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oneCellAnchor>
    <xdr:from>
      <xdr:col>77</xdr:col>
      <xdr:colOff>461595</xdr:colOff>
      <xdr:row>0</xdr:row>
      <xdr:rowOff>166425</xdr:rowOff>
    </xdr:from>
    <xdr:ext cx="2813109" cy="268653"/>
    <xdr:pic>
      <xdr:nvPicPr>
        <xdr:cNvPr id="30" name="Picture 29">
          <a:extLst>
            <a:ext uri="{FF2B5EF4-FFF2-40B4-BE49-F238E27FC236}">
              <a16:creationId xmlns:a16="http://schemas.microsoft.com/office/drawing/2014/main" id="{ACAE2CAD-6E11-4CF2-97D7-DCEBFFB41D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2468095" y="166425"/>
          <a:ext cx="2813109" cy="268653"/>
        </a:xfrm>
        <a:prstGeom prst="rect">
          <a:avLst/>
        </a:prstGeom>
      </xdr:spPr>
    </xdr:pic>
    <xdr:clientData/>
  </xdr:oneCellAnchor>
  <xdr:twoCellAnchor>
    <xdr:from>
      <xdr:col>77</xdr:col>
      <xdr:colOff>321653</xdr:colOff>
      <xdr:row>3</xdr:row>
      <xdr:rowOff>120894</xdr:rowOff>
    </xdr:from>
    <xdr:to>
      <xdr:col>82</xdr:col>
      <xdr:colOff>142876</xdr:colOff>
      <xdr:row>18</xdr:row>
      <xdr:rowOff>6594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C4B96580-E142-49AC-BC3F-E8E74DD774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82</xdr:col>
      <xdr:colOff>238124</xdr:colOff>
      <xdr:row>2</xdr:row>
      <xdr:rowOff>147637</xdr:rowOff>
    </xdr:from>
    <xdr:to>
      <xdr:col>88</xdr:col>
      <xdr:colOff>28575</xdr:colOff>
      <xdr:row>18</xdr:row>
      <xdr:rowOff>142875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94B0DD1-938A-4AE8-95E5-55B9AE69FD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82</xdr:col>
      <xdr:colOff>257175</xdr:colOff>
      <xdr:row>19</xdr:row>
      <xdr:rowOff>0</xdr:rowOff>
    </xdr:from>
    <xdr:to>
      <xdr:col>87</xdr:col>
      <xdr:colOff>495300</xdr:colOff>
      <xdr:row>29</xdr:row>
      <xdr:rowOff>180975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4080A6AB-3C5D-404B-93C4-68087E4ECB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82</xdr:col>
      <xdr:colOff>266700</xdr:colOff>
      <xdr:row>30</xdr:row>
      <xdr:rowOff>47625</xdr:rowOff>
    </xdr:from>
    <xdr:to>
      <xdr:col>87</xdr:col>
      <xdr:colOff>504825</xdr:colOff>
      <xdr:row>41</xdr:row>
      <xdr:rowOff>38100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D7E18542-A814-4CCA-BF28-ED329062D4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82</xdr:col>
      <xdr:colOff>257175</xdr:colOff>
      <xdr:row>41</xdr:row>
      <xdr:rowOff>76200</xdr:rowOff>
    </xdr:from>
    <xdr:to>
      <xdr:col>87</xdr:col>
      <xdr:colOff>495300</xdr:colOff>
      <xdr:row>52</xdr:row>
      <xdr:rowOff>66675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430330EF-CC4D-4654-8D33-42B5383033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82</xdr:col>
      <xdr:colOff>257735</xdr:colOff>
      <xdr:row>52</xdr:row>
      <xdr:rowOff>134471</xdr:rowOff>
    </xdr:from>
    <xdr:to>
      <xdr:col>87</xdr:col>
      <xdr:colOff>495860</xdr:colOff>
      <xdr:row>63</xdr:row>
      <xdr:rowOff>124946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8FC5879C-F684-4611-BF3B-023ABF1C04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oneCellAnchor>
    <xdr:from>
      <xdr:col>95</xdr:col>
      <xdr:colOff>461595</xdr:colOff>
      <xdr:row>0</xdr:row>
      <xdr:rowOff>166425</xdr:rowOff>
    </xdr:from>
    <xdr:ext cx="2813109" cy="268653"/>
    <xdr:pic>
      <xdr:nvPicPr>
        <xdr:cNvPr id="37" name="Picture 36">
          <a:extLst>
            <a:ext uri="{FF2B5EF4-FFF2-40B4-BE49-F238E27FC236}">
              <a16:creationId xmlns:a16="http://schemas.microsoft.com/office/drawing/2014/main" id="{1D376722-E32A-4439-BAB2-79DA1CD764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2468095" y="166425"/>
          <a:ext cx="2813109" cy="268653"/>
        </a:xfrm>
        <a:prstGeom prst="rect">
          <a:avLst/>
        </a:prstGeom>
      </xdr:spPr>
    </xdr:pic>
    <xdr:clientData/>
  </xdr:oneCellAnchor>
  <xdr:twoCellAnchor>
    <xdr:from>
      <xdr:col>95</xdr:col>
      <xdr:colOff>321653</xdr:colOff>
      <xdr:row>3</xdr:row>
      <xdr:rowOff>120894</xdr:rowOff>
    </xdr:from>
    <xdr:to>
      <xdr:col>100</xdr:col>
      <xdr:colOff>142876</xdr:colOff>
      <xdr:row>18</xdr:row>
      <xdr:rowOff>6594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1658BA67-D151-4318-9B22-4C2615F282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100</xdr:col>
      <xdr:colOff>238124</xdr:colOff>
      <xdr:row>2</xdr:row>
      <xdr:rowOff>147637</xdr:rowOff>
    </xdr:from>
    <xdr:to>
      <xdr:col>106</xdr:col>
      <xdr:colOff>28575</xdr:colOff>
      <xdr:row>18</xdr:row>
      <xdr:rowOff>142875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27C8864B-4E64-4133-8845-0D5194D830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100</xdr:col>
      <xdr:colOff>257175</xdr:colOff>
      <xdr:row>19</xdr:row>
      <xdr:rowOff>0</xdr:rowOff>
    </xdr:from>
    <xdr:to>
      <xdr:col>105</xdr:col>
      <xdr:colOff>495300</xdr:colOff>
      <xdr:row>29</xdr:row>
      <xdr:rowOff>180975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FDD823CD-E30C-485B-8E00-62AE565247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100</xdr:col>
      <xdr:colOff>266700</xdr:colOff>
      <xdr:row>30</xdr:row>
      <xdr:rowOff>47625</xdr:rowOff>
    </xdr:from>
    <xdr:to>
      <xdr:col>105</xdr:col>
      <xdr:colOff>504825</xdr:colOff>
      <xdr:row>41</xdr:row>
      <xdr:rowOff>38100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26A31413-C819-4CB5-8F5D-835A1E4D5D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100</xdr:col>
      <xdr:colOff>257175</xdr:colOff>
      <xdr:row>41</xdr:row>
      <xdr:rowOff>76200</xdr:rowOff>
    </xdr:from>
    <xdr:to>
      <xdr:col>105</xdr:col>
      <xdr:colOff>495300</xdr:colOff>
      <xdr:row>52</xdr:row>
      <xdr:rowOff>66675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17449DE1-C13A-4E90-B83E-09ED16F50F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100</xdr:col>
      <xdr:colOff>257735</xdr:colOff>
      <xdr:row>52</xdr:row>
      <xdr:rowOff>134471</xdr:rowOff>
    </xdr:from>
    <xdr:to>
      <xdr:col>105</xdr:col>
      <xdr:colOff>495860</xdr:colOff>
      <xdr:row>63</xdr:row>
      <xdr:rowOff>124946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B8C6B800-31A8-4A82-8961-2388357A55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FAACC-8A6A-4CD6-A3DC-46EC6066ED12}">
  <dimension ref="B1:X43"/>
  <sheetViews>
    <sheetView tabSelected="1" zoomScale="115" zoomScaleNormal="115" workbookViewId="0">
      <selection activeCell="R13" sqref="R13"/>
    </sheetView>
  </sheetViews>
  <sheetFormatPr defaultRowHeight="15" x14ac:dyDescent="0.25"/>
  <cols>
    <col min="19" max="19" width="12.42578125" customWidth="1"/>
  </cols>
  <sheetData>
    <row r="1" spans="2:24" x14ac:dyDescent="0.25">
      <c r="T1" s="49" t="s">
        <v>35</v>
      </c>
      <c r="U1" s="49"/>
      <c r="V1" s="49"/>
      <c r="W1" s="49"/>
    </row>
    <row r="2" spans="2:24" x14ac:dyDescent="0.25">
      <c r="B2" s="1" t="s">
        <v>24</v>
      </c>
      <c r="H2" s="1" t="s">
        <v>3</v>
      </c>
      <c r="I2">
        <v>16.7</v>
      </c>
      <c r="J2" t="s">
        <v>4</v>
      </c>
      <c r="S2" s="13"/>
      <c r="T2" s="79">
        <v>1.3409769870044037E-2</v>
      </c>
      <c r="U2" s="80">
        <v>1.4621201322670046E-2</v>
      </c>
      <c r="V2" s="81">
        <v>3.3646591065562982E-2</v>
      </c>
      <c r="W2" s="82">
        <v>3.1231147934010845E-2</v>
      </c>
    </row>
    <row r="3" spans="2:24" x14ac:dyDescent="0.25">
      <c r="S3" s="13" t="s">
        <v>9</v>
      </c>
      <c r="T3" s="13">
        <v>4000</v>
      </c>
      <c r="U3" s="13">
        <v>5000</v>
      </c>
      <c r="V3" s="13">
        <v>6000</v>
      </c>
      <c r="W3" s="13">
        <v>7000</v>
      </c>
      <c r="X3" s="13" t="s">
        <v>8</v>
      </c>
    </row>
    <row r="4" spans="2:24" x14ac:dyDescent="0.25">
      <c r="C4" s="1" t="s">
        <v>0</v>
      </c>
      <c r="G4" s="1" t="s">
        <v>1</v>
      </c>
      <c r="H4" t="s">
        <v>37</v>
      </c>
      <c r="M4" s="1" t="s">
        <v>36</v>
      </c>
      <c r="S4" s="13">
        <v>0</v>
      </c>
      <c r="T4" s="67">
        <f>$C$24-($C$24-$C$23)*EXP(-$T$2*S4)</f>
        <v>0.04</v>
      </c>
      <c r="U4" s="68">
        <f>$C$24-($C$24-$C$23)*EXP(-$U$2*S4)</f>
        <v>0.04</v>
      </c>
      <c r="V4" s="69">
        <f>$C$24-($C$24-$C$23)*EXP(-$V$2*S4)</f>
        <v>0.04</v>
      </c>
      <c r="W4" s="70">
        <f>$C$24-($C$24-$C$23)*EXP(-$W$2*S4)</f>
        <v>0.04</v>
      </c>
    </row>
    <row r="5" spans="2:24" x14ac:dyDescent="0.25">
      <c r="B5" s="2" t="s">
        <v>2</v>
      </c>
      <c r="C5" s="4">
        <v>4000</v>
      </c>
      <c r="D5" s="3">
        <v>5000</v>
      </c>
      <c r="E5" s="3">
        <v>6000</v>
      </c>
      <c r="F5" s="2">
        <v>7000</v>
      </c>
      <c r="G5" s="3">
        <v>4000</v>
      </c>
      <c r="H5" s="3">
        <v>5000</v>
      </c>
      <c r="I5" s="3">
        <v>6000</v>
      </c>
      <c r="J5" s="3">
        <v>7000</v>
      </c>
      <c r="L5" s="2" t="s">
        <v>2</v>
      </c>
      <c r="M5" s="3">
        <v>4000</v>
      </c>
      <c r="N5" s="3">
        <v>5000</v>
      </c>
      <c r="O5" s="3">
        <v>6000</v>
      </c>
      <c r="P5" s="3">
        <v>7000</v>
      </c>
      <c r="S5" s="13">
        <f>S4+1</f>
        <v>1</v>
      </c>
      <c r="T5" s="71">
        <f>$C$24-($C$24-$C$23)*EXP(-$T$2*S5)</f>
        <v>4.0210908276248139E-2</v>
      </c>
      <c r="U5" s="72">
        <f>$C$24-($C$24-$C$23)*EXP(-$U$2*S5)</f>
        <v>4.0229822693336317E-2</v>
      </c>
      <c r="V5" s="73">
        <f>$C$24-($C$24-$C$23)*EXP(-$V$2*S5)</f>
        <v>4.0523885320009473E-2</v>
      </c>
      <c r="W5" s="74">
        <f>$C$24-($C$24-$C$23)*EXP(-$W$2*S5)</f>
        <v>4.0486860765766658E-2</v>
      </c>
    </row>
    <row r="6" spans="2:24" x14ac:dyDescent="0.25">
      <c r="B6" s="5">
        <v>0</v>
      </c>
      <c r="C6" s="6">
        <v>0</v>
      </c>
      <c r="D6" s="6">
        <v>0</v>
      </c>
      <c r="E6" s="6">
        <v>0</v>
      </c>
      <c r="F6" s="5">
        <v>0</v>
      </c>
      <c r="G6" s="51">
        <v>0.04</v>
      </c>
      <c r="H6" s="51">
        <v>0.04</v>
      </c>
      <c r="I6" s="51">
        <v>0.04</v>
      </c>
      <c r="J6" s="51">
        <v>0.04</v>
      </c>
      <c r="L6" s="5">
        <v>0</v>
      </c>
      <c r="M6" s="75">
        <f>T4</f>
        <v>0.04</v>
      </c>
      <c r="N6" s="75">
        <f t="shared" ref="N6:P6" si="0">U4</f>
        <v>0.04</v>
      </c>
      <c r="O6" s="75">
        <f t="shared" si="0"/>
        <v>0.04</v>
      </c>
      <c r="P6" s="75">
        <f t="shared" si="0"/>
        <v>0.04</v>
      </c>
      <c r="S6" s="13">
        <f t="shared" ref="S6:S24" si="1">S5+1</f>
        <v>2</v>
      </c>
      <c r="T6" s="71">
        <f>$C$24-($C$24-$C$23)*EXP(-$T$2*S6)</f>
        <v>4.041900719953493E-2</v>
      </c>
      <c r="U6" s="72">
        <f>$C$24-($C$24-$C$23)*EXP(-$U$2*S6)</f>
        <v>4.0456309549208015E-2</v>
      </c>
      <c r="V6" s="73">
        <f>$C$24-($C$24-$C$23)*EXP(-$V$2*S6)</f>
        <v>4.1030436930263474E-2</v>
      </c>
      <c r="W6" s="74">
        <f>$C$24-($C$24-$C$23)*EXP(-$W$2*S6)</f>
        <v>4.0958751296537865E-2</v>
      </c>
    </row>
    <row r="7" spans="2:24" x14ac:dyDescent="0.25">
      <c r="B7" s="7">
        <v>10</v>
      </c>
      <c r="C7" s="52">
        <v>1.0155990589489787</v>
      </c>
      <c r="D7" s="52">
        <v>1.0653180442633792</v>
      </c>
      <c r="E7" s="52">
        <v>1.1830040600377434</v>
      </c>
      <c r="F7" s="53">
        <v>1.3678935834624455</v>
      </c>
      <c r="G7" s="50">
        <v>4.0883015185033886E-2</v>
      </c>
      <c r="H7" s="50"/>
      <c r="I7" s="50">
        <v>4.5627026419976936E-2</v>
      </c>
      <c r="J7" s="50">
        <v>4.8895149728212996E-2</v>
      </c>
      <c r="L7" s="7">
        <v>10</v>
      </c>
      <c r="M7" s="50">
        <f>T14</f>
        <v>4.1987049414291308E-2</v>
      </c>
      <c r="N7" s="50"/>
      <c r="O7" s="50">
        <f t="shared" ref="N7:P7" si="2">V14</f>
        <v>4.4523827384145807E-2</v>
      </c>
      <c r="P7" s="50">
        <f t="shared" si="2"/>
        <v>4.4247319134949954E-2</v>
      </c>
      <c r="S7" s="13">
        <f t="shared" si="1"/>
        <v>3</v>
      </c>
      <c r="T7" s="71">
        <f>$C$24-($C$24-$C$23)*EXP(-$T$2*S7)</f>
        <v>4.0624334191170723E-2</v>
      </c>
      <c r="U7" s="72">
        <f>$C$24-($C$24-$C$23)*EXP(-$U$2*S7)</f>
        <v>4.0679508986730853E-2</v>
      </c>
      <c r="V7" s="73">
        <f>$C$24-($C$24-$C$23)*EXP(-$V$2*S7)</f>
        <v>4.1520228348443072E-2</v>
      </c>
      <c r="W7" s="74">
        <f>$C$24-($C$24-$C$23)*EXP(-$W$2*S7)</f>
        <v>4.1416131904484135E-2</v>
      </c>
    </row>
    <row r="8" spans="2:24" x14ac:dyDescent="0.25">
      <c r="B8" s="7">
        <v>30</v>
      </c>
      <c r="C8" s="52">
        <v>1.0155990589489787</v>
      </c>
      <c r="D8" s="52">
        <v>1.0653180442633792</v>
      </c>
      <c r="E8" s="52">
        <v>1.1830040600377434</v>
      </c>
      <c r="F8" s="53">
        <v>1.3678935834624455</v>
      </c>
      <c r="G8" s="50">
        <v>4.7200498607488234E-2</v>
      </c>
      <c r="H8" s="50">
        <v>4.880607945181633E-2</v>
      </c>
      <c r="I8" s="50">
        <v>4.860357919174027E-2</v>
      </c>
      <c r="J8" s="50">
        <v>5.1779269484048984E-2</v>
      </c>
      <c r="L8" s="7">
        <v>30</v>
      </c>
      <c r="M8" s="50">
        <f>T26</f>
        <v>4.5244345913217673E-2</v>
      </c>
      <c r="N8" s="50">
        <f t="shared" ref="N8:P8" si="3">U26</f>
        <v>4.5622282987465318E-2</v>
      </c>
      <c r="O8" s="50">
        <f>V26</f>
        <v>5.0063257497512267E-2</v>
      </c>
      <c r="P8" s="50">
        <f>W26</f>
        <v>4.9629593505223099E-2</v>
      </c>
      <c r="S8" s="13">
        <f t="shared" si="1"/>
        <v>4</v>
      </c>
      <c r="T8" s="71">
        <f>$C$24-($C$24-$C$23)*EXP(-$T$2*S8)</f>
        <v>4.082692617400431E-2</v>
      </c>
      <c r="U8" s="72">
        <f>$C$24-($C$24-$C$23)*EXP(-$U$2*S8)</f>
        <v>4.0899468722225316E-2</v>
      </c>
      <c r="V8" s="73">
        <f>$C$24-($C$24-$C$23)*EXP(-$V$2*S8)</f>
        <v>4.1993814116341621E-2</v>
      </c>
      <c r="W8" s="74">
        <f>$C$24-($C$24-$C$23)*EXP(-$W$2*S8)</f>
        <v>4.1859448747870266E-2</v>
      </c>
    </row>
    <row r="9" spans="2:24" x14ac:dyDescent="0.25">
      <c r="B9" s="7">
        <v>60</v>
      </c>
      <c r="C9" s="52">
        <v>1.0155990589489787</v>
      </c>
      <c r="D9" s="52">
        <v>1.0653180442633792</v>
      </c>
      <c r="E9" s="52">
        <v>1.1830040600377434</v>
      </c>
      <c r="F9" s="53">
        <v>1.3678935834624455</v>
      </c>
      <c r="G9" s="50">
        <v>4.7978393655140922E-2</v>
      </c>
      <c r="H9" s="50">
        <v>4.7893651283411866E-2</v>
      </c>
      <c r="I9" s="50">
        <v>5.5833646253055487E-2</v>
      </c>
      <c r="J9" s="50">
        <v>4.8961843624642065E-2</v>
      </c>
      <c r="L9" s="7">
        <v>60</v>
      </c>
      <c r="M9" s="50">
        <f>T32</f>
        <v>4.8751684215053631E-2</v>
      </c>
      <c r="N9" s="50">
        <f t="shared" ref="N9:P9" si="4">U32</f>
        <v>4.9248180209709815E-2</v>
      </c>
      <c r="O9" s="50">
        <f t="shared" si="4"/>
        <v>5.3730694989781301E-2</v>
      </c>
      <c r="P9" s="50">
        <f t="shared" si="4"/>
        <v>5.340272984361133E-2</v>
      </c>
      <c r="S9" s="13">
        <f t="shared" si="1"/>
        <v>5</v>
      </c>
      <c r="T9" s="71">
        <f>$C$24-($C$24-$C$23)*EXP(-$T$2*S9)</f>
        <v>4.1026819579062561E-2</v>
      </c>
      <c r="U9" s="72">
        <f>$C$24-($C$24-$C$23)*EXP(-$U$2*S9)</f>
        <v>4.1116235779417573E-2</v>
      </c>
      <c r="V9" s="73">
        <f>$C$24-($C$24-$C$23)*EXP(-$V$2*S9)</f>
        <v>4.2451730427716876E-2</v>
      </c>
      <c r="W9" s="74">
        <f>$C$24-($C$24-$C$23)*EXP(-$W$2*S9)</f>
        <v>4.228913426626664E-2</v>
      </c>
    </row>
    <row r="10" spans="2:24" x14ac:dyDescent="0.25">
      <c r="B10" s="7">
        <v>120</v>
      </c>
      <c r="C10" s="52">
        <v>1.0155990589489787</v>
      </c>
      <c r="D10" s="52">
        <v>1.0653180442633792</v>
      </c>
      <c r="E10" s="52">
        <v>1.1830040600377434</v>
      </c>
      <c r="F10" s="53">
        <v>1.3678935834624455</v>
      </c>
      <c r="G10" s="50">
        <v>5.2297832157699113E-2</v>
      </c>
      <c r="H10" s="50">
        <v>5.1755608653064417E-2</v>
      </c>
      <c r="I10" s="50">
        <v>5.145407230191433E-2</v>
      </c>
      <c r="J10" s="50">
        <v>4.8965324622054551E-2</v>
      </c>
      <c r="L10" s="7">
        <v>120</v>
      </c>
      <c r="M10" s="50">
        <f>T42</f>
        <v>5.2666076035423462E-2</v>
      </c>
      <c r="N10" s="50">
        <f t="shared" ref="N10:P10" si="5">U42</f>
        <v>5.3094645879108775E-2</v>
      </c>
      <c r="O10" s="50">
        <f t="shared" si="5"/>
        <v>5.5554342045734756E-2</v>
      </c>
      <c r="P10" s="50">
        <f t="shared" si="5"/>
        <v>5.5460431233895609E-2</v>
      </c>
      <c r="S10" s="13">
        <f t="shared" si="1"/>
        <v>6</v>
      </c>
      <c r="T10" s="71">
        <f>$C$24-($C$24-$C$23)*EXP(-$T$2*S10)</f>
        <v>4.1224050352101596E-2</v>
      </c>
      <c r="U10" s="72">
        <f>$C$24-($C$24-$C$23)*EXP(-$U$2*S10)</f>
        <v>4.1329856499492383E-2</v>
      </c>
      <c r="V10" s="73">
        <f>$C$24-($C$24-$C$23)*EXP(-$V$2*S10)</f>
        <v>4.2894495735369527E-2</v>
      </c>
      <c r="W10" s="74">
        <f>$C$24-($C$24-$C$23)*EXP(-$W$2*S10)</f>
        <v>4.2705607602378404E-2</v>
      </c>
    </row>
    <row r="11" spans="2:24" x14ac:dyDescent="0.25">
      <c r="B11" s="7"/>
      <c r="F11" s="83" t="s">
        <v>45</v>
      </c>
      <c r="G11" s="84">
        <f>AVERAGE(G6:G10)</f>
        <v>4.5671947921072431E-2</v>
      </c>
      <c r="H11" s="84">
        <f t="shared" ref="H11:J11" si="6">AVERAGE(H6:H10)</f>
        <v>4.7113834847073155E-2</v>
      </c>
      <c r="I11" s="84">
        <f t="shared" si="6"/>
        <v>4.8303664833337402E-2</v>
      </c>
      <c r="J11" s="84">
        <f t="shared" si="6"/>
        <v>4.7720317491791717E-2</v>
      </c>
      <c r="K11" s="13"/>
      <c r="S11" s="13">
        <f t="shared" si="1"/>
        <v>7</v>
      </c>
      <c r="T11" s="71">
        <f>$C$24-($C$24-$C$23)*EXP(-$T$2*S11)</f>
        <v>4.1418653960070766E-2</v>
      </c>
      <c r="U11" s="72">
        <f>$C$24-($C$24-$C$23)*EXP(-$U$2*S11)</f>
        <v>4.1540376551000055E-2</v>
      </c>
      <c r="V11" s="73">
        <f>$C$24-($C$24-$C$23)*EXP(-$V$2*S11)</f>
        <v>4.3322611338135419E-2</v>
      </c>
      <c r="W11" s="74">
        <f>$C$24-($C$24-$C$23)*EXP(-$W$2*S11)</f>
        <v>4.3109275010904065E-2</v>
      </c>
    </row>
    <row r="12" spans="2:24" x14ac:dyDescent="0.25">
      <c r="S12" s="13">
        <f t="shared" si="1"/>
        <v>8</v>
      </c>
      <c r="T12" s="71">
        <f>$C$24-($C$24-$C$23)*EXP(-$T$2*S12)</f>
        <v>4.1610665397490428E-2</v>
      </c>
      <c r="U12" s="72">
        <f>$C$24-($C$24-$C$23)*EXP(-$U$2*S12)</f>
        <v>4.1747840939619626E-2</v>
      </c>
      <c r="V12" s="73">
        <f>$C$24-($C$24-$C$23)*EXP(-$V$2*S12)</f>
        <v>4.3736561948456001E-2</v>
      </c>
      <c r="W12" s="74">
        <f>$C$24-($C$24-$C$23)*EXP(-$W$2*S12)</f>
        <v>4.3500530254822221E-2</v>
      </c>
    </row>
    <row r="13" spans="2:24" x14ac:dyDescent="0.25">
      <c r="B13" s="1"/>
      <c r="C13" t="s">
        <v>5</v>
      </c>
      <c r="M13" s="1" t="s">
        <v>43</v>
      </c>
      <c r="S13" s="13">
        <f t="shared" si="1"/>
        <v>9</v>
      </c>
      <c r="T13" s="71">
        <f>$C$24-($C$24-$C$23)*EXP(-$T$2*S13)</f>
        <v>4.1800119192744858E-2</v>
      </c>
      <c r="U13" s="72">
        <f>$C$24-($C$24-$C$23)*EXP(-$U$2*S13)</f>
        <v>4.195229401778032E-2</v>
      </c>
      <c r="V13" s="73">
        <f>$C$24-($C$24-$C$23)*EXP(-$V$2*S13)</f>
        <v>4.4136816241169774E-2</v>
      </c>
      <c r="W13" s="74">
        <f>$C$24-($C$24-$C$23)*EXP(-$W$2*S13)</f>
        <v>4.3879754989493182E-2</v>
      </c>
    </row>
    <row r="14" spans="2:24" x14ac:dyDescent="0.25">
      <c r="B14" s="2" t="s">
        <v>2</v>
      </c>
      <c r="C14" s="4">
        <v>4000</v>
      </c>
      <c r="D14" s="3">
        <v>5000</v>
      </c>
      <c r="E14" s="3">
        <v>6000</v>
      </c>
      <c r="F14" s="2">
        <v>7000</v>
      </c>
      <c r="L14" s="2" t="s">
        <v>2</v>
      </c>
      <c r="M14" s="3">
        <v>4000</v>
      </c>
      <c r="N14" s="3">
        <v>5000</v>
      </c>
      <c r="O14" s="3">
        <v>6000</v>
      </c>
      <c r="P14" s="3">
        <v>7000</v>
      </c>
      <c r="S14" s="13">
        <f t="shared" si="1"/>
        <v>10</v>
      </c>
      <c r="T14" s="67">
        <f>$C$24-($C$24-$C$23)*EXP(-$T$2*S14)</f>
        <v>4.1987049414291308E-2</v>
      </c>
      <c r="U14" s="68">
        <f>$C$24-($C$24-$C$23)*EXP(-$U$2*S14)</f>
        <v>4.2153779494143381E-2</v>
      </c>
      <c r="V14" s="69">
        <f>$C$24-($C$24-$C$23)*EXP(-$V$2*S14)</f>
        <v>4.4523827384145807E-2</v>
      </c>
      <c r="W14" s="70">
        <f>$C$24-($C$24-$C$23)*EXP(-$W$2*S14)</f>
        <v>4.4247319134949954E-2</v>
      </c>
    </row>
    <row r="15" spans="2:24" x14ac:dyDescent="0.25">
      <c r="B15" s="5">
        <v>0</v>
      </c>
      <c r="C15" s="9">
        <f>C6*G$6</f>
        <v>0</v>
      </c>
      <c r="D15" s="10">
        <f t="shared" ref="D15:F15" si="7">D6*H$6</f>
        <v>0</v>
      </c>
      <c r="E15" s="10">
        <f t="shared" si="7"/>
        <v>0</v>
      </c>
      <c r="F15" s="11">
        <f t="shared" si="7"/>
        <v>0</v>
      </c>
      <c r="L15" s="5">
        <v>0</v>
      </c>
      <c r="M15" s="75">
        <f>G6-M6</f>
        <v>0</v>
      </c>
      <c r="N15" s="75">
        <f t="shared" ref="N15:P18" si="8">H6-N6</f>
        <v>0</v>
      </c>
      <c r="O15" s="75">
        <f t="shared" si="8"/>
        <v>0</v>
      </c>
      <c r="P15" s="75">
        <f t="shared" si="8"/>
        <v>0</v>
      </c>
      <c r="S15" s="13">
        <f t="shared" si="1"/>
        <v>11</v>
      </c>
      <c r="T15" s="71">
        <f>$C$24-($C$24-$C$23)*EXP(-$T$2*S15)</f>
        <v>4.2171489676786314E-2</v>
      </c>
      <c r="U15" s="72">
        <f>$C$24-($C$24-$C$23)*EXP(-$U$2*S15)</f>
        <v>4.235234044294621E-2</v>
      </c>
      <c r="V15" s="73">
        <f>$C$24-($C$24-$C$23)*EXP(-$V$2*S15)</f>
        <v>4.489803355136042E-2</v>
      </c>
      <c r="W15" s="74">
        <f>$C$24-($C$24-$C$23)*EXP(-$W$2*S15)</f>
        <v>4.4603581236741907E-2</v>
      </c>
    </row>
    <row r="16" spans="2:24" x14ac:dyDescent="0.25">
      <c r="B16" s="7">
        <v>10</v>
      </c>
      <c r="C16" s="54">
        <f>C7*G$6</f>
        <v>4.0623962357959148E-2</v>
      </c>
      <c r="D16" s="17">
        <f t="shared" ref="D16:D19" si="9">D7*H$6</f>
        <v>4.261272177053517E-2</v>
      </c>
      <c r="E16" s="17">
        <f t="shared" ref="E16:E19" si="10">E7*I$6</f>
        <v>4.7320162401509734E-2</v>
      </c>
      <c r="F16" s="55">
        <f t="shared" ref="F16:F19" si="11">F7*J$6</f>
        <v>5.4715743338497824E-2</v>
      </c>
      <c r="L16" s="7">
        <v>10</v>
      </c>
      <c r="M16" s="50">
        <f>G7-M7</f>
        <v>-1.1040342292574223E-3</v>
      </c>
      <c r="N16" s="50"/>
      <c r="O16" s="50">
        <f t="shared" si="8"/>
        <v>1.1031990358311289E-3</v>
      </c>
      <c r="P16" s="50">
        <f t="shared" si="8"/>
        <v>4.6478305932630415E-3</v>
      </c>
      <c r="S16" s="13">
        <f t="shared" si="1"/>
        <v>12</v>
      </c>
      <c r="T16" s="71">
        <f>$C$24-($C$24-$C$23)*EXP(-$T$2*S16)</f>
        <v>4.2353473147130491E-2</v>
      </c>
      <c r="U16" s="72">
        <f>$C$24-($C$24-$C$23)*EXP(-$U$2*S16)</f>
        <v>4.254801931321097E-2</v>
      </c>
      <c r="V16" s="73">
        <f>$C$24-($C$24-$C$23)*EXP(-$V$2*S16)</f>
        <v>4.5259858418997698E-2</v>
      </c>
      <c r="W16" s="74">
        <f>$C$24-($C$24-$C$23)*EXP(-$W$2*S16)</f>
        <v>4.4948888815682965E-2</v>
      </c>
    </row>
    <row r="17" spans="2:23" x14ac:dyDescent="0.25">
      <c r="B17" s="7">
        <v>30</v>
      </c>
      <c r="C17" s="54">
        <f t="shared" ref="C17:C19" si="12">C8*G$6</f>
        <v>4.0623962357959148E-2</v>
      </c>
      <c r="D17" s="17">
        <f t="shared" si="9"/>
        <v>4.261272177053517E-2</v>
      </c>
      <c r="E17" s="17">
        <f t="shared" si="10"/>
        <v>4.7320162401509734E-2</v>
      </c>
      <c r="F17" s="55">
        <f t="shared" si="11"/>
        <v>5.4715743338497824E-2</v>
      </c>
      <c r="L17" s="7">
        <v>30</v>
      </c>
      <c r="M17" s="50">
        <f t="shared" ref="M17:M19" si="13">G8-M8</f>
        <v>1.9561526942705604E-3</v>
      </c>
      <c r="N17" s="50">
        <f t="shared" ref="N16:N18" si="14">H8-N8</f>
        <v>3.1837964643510117E-3</v>
      </c>
      <c r="O17" s="50">
        <f t="shared" si="8"/>
        <v>-1.459678305771997E-3</v>
      </c>
      <c r="P17" s="50">
        <f t="shared" si="8"/>
        <v>2.1496759788258851E-3</v>
      </c>
      <c r="S17" s="13">
        <f t="shared" si="1"/>
        <v>13</v>
      </c>
      <c r="T17" s="71">
        <f>$C$24-($C$24-$C$23)*EXP(-$T$2*S17)</f>
        <v>4.2533032550432719E-2</v>
      </c>
      <c r="U17" s="72">
        <f>$C$24-($C$24-$C$23)*EXP(-$U$2*S17)</f>
        <v>4.2740857937819461E-2</v>
      </c>
      <c r="V17" s="73">
        <f>$C$24-($C$24-$C$23)*EXP(-$V$2*S17)</f>
        <v>4.5609711645135595E-2</v>
      </c>
      <c r="W17" s="74">
        <f>$C$24-($C$24-$C$23)*EXP(-$W$2*S17)</f>
        <v>4.5283578706845642E-2</v>
      </c>
    </row>
    <row r="18" spans="2:23" x14ac:dyDescent="0.25">
      <c r="B18" s="7">
        <v>60</v>
      </c>
      <c r="C18" s="54">
        <f t="shared" si="12"/>
        <v>4.0623962357959148E-2</v>
      </c>
      <c r="D18" s="17">
        <f t="shared" si="9"/>
        <v>4.261272177053517E-2</v>
      </c>
      <c r="E18" s="17">
        <f t="shared" si="10"/>
        <v>4.7320162401509734E-2</v>
      </c>
      <c r="F18" s="55">
        <f t="shared" si="11"/>
        <v>5.4715743338497824E-2</v>
      </c>
      <c r="L18" s="7">
        <v>60</v>
      </c>
      <c r="M18" s="50">
        <f t="shared" si="13"/>
        <v>-7.7329055991270934E-4</v>
      </c>
      <c r="N18" s="50">
        <f t="shared" si="14"/>
        <v>-1.3545289262979487E-3</v>
      </c>
      <c r="O18" s="50">
        <f t="shared" si="8"/>
        <v>2.1029512632741859E-3</v>
      </c>
      <c r="P18" s="50">
        <f t="shared" si="8"/>
        <v>-4.4408862189692644E-3</v>
      </c>
      <c r="S18" s="13">
        <f t="shared" si="1"/>
        <v>14</v>
      </c>
      <c r="T18" s="71">
        <f>$C$24-($C$24-$C$23)*EXP(-$T$2*S18)</f>
        <v>4.2710200175894934E-2</v>
      </c>
      <c r="U18" s="72">
        <f>$C$24-($C$24-$C$23)*EXP(-$U$2*S18)</f>
        <v>4.293089754245627E-2</v>
      </c>
      <c r="V18" s="73">
        <f>$C$24-($C$24-$C$23)*EXP(-$V$2*S18)</f>
        <v>4.5947989333560799E-2</v>
      </c>
      <c r="W18" s="74">
        <f>$C$24-($C$24-$C$23)*EXP(-$W$2*S18)</f>
        <v>4.5607977388131479E-2</v>
      </c>
    </row>
    <row r="19" spans="2:23" x14ac:dyDescent="0.25">
      <c r="B19" s="7">
        <v>120</v>
      </c>
      <c r="C19" s="54">
        <f t="shared" si="12"/>
        <v>4.0623962357959148E-2</v>
      </c>
      <c r="D19" s="17">
        <f t="shared" si="9"/>
        <v>4.261272177053517E-2</v>
      </c>
      <c r="E19" s="17">
        <f t="shared" si="10"/>
        <v>4.7320162401509734E-2</v>
      </c>
      <c r="F19" s="55">
        <f t="shared" si="11"/>
        <v>5.4715743338497824E-2</v>
      </c>
      <c r="L19" s="7">
        <v>120</v>
      </c>
      <c r="M19" s="50">
        <f>G10-M10</f>
        <v>-3.682438777243488E-4</v>
      </c>
      <c r="N19" s="50">
        <f>H10-N10</f>
        <v>-1.3390372260443581E-3</v>
      </c>
      <c r="O19" s="50">
        <f t="shared" ref="N19:P19" si="15">I10-O10</f>
        <v>-4.1002697438204255E-3</v>
      </c>
      <c r="P19" s="50">
        <f t="shared" si="15"/>
        <v>-6.4951066118410575E-3</v>
      </c>
      <c r="S19" s="13">
        <f t="shared" si="1"/>
        <v>15</v>
      </c>
      <c r="T19" s="71">
        <f>$C$24-($C$24-$C$23)*EXP(-$T$2*S19)</f>
        <v>4.288500788261853E-2</v>
      </c>
      <c r="U19" s="72">
        <f>$C$24-($C$24-$C$23)*EXP(-$U$2*S19)</f>
        <v>4.3118178754422171E-2</v>
      </c>
      <c r="V19" s="73">
        <f>$C$24-($C$24-$C$23)*EXP(-$V$2*S19)</f>
        <v>4.6275074482237402E-2</v>
      </c>
      <c r="W19" s="74">
        <f>$C$24-($C$24-$C$23)*EXP(-$W$2*S19)</f>
        <v>4.5922401298738452E-2</v>
      </c>
    </row>
    <row r="20" spans="2:23" x14ac:dyDescent="0.25">
      <c r="B20" s="7"/>
      <c r="C20" s="12"/>
      <c r="F20" s="7"/>
      <c r="M20" s="50"/>
      <c r="N20" s="50"/>
      <c r="O20" s="50"/>
      <c r="P20" s="50"/>
      <c r="S20" s="13">
        <f t="shared" si="1"/>
        <v>16</v>
      </c>
      <c r="T20" s="71">
        <f>$C$24-($C$24-$C$23)*EXP(-$T$2*S20)</f>
        <v>4.3057487105333407E-2</v>
      </c>
      <c r="U20" s="72">
        <f>$C$24-($C$24-$C$23)*EXP(-$U$2*S20)</f>
        <v>4.3302741611319542E-2</v>
      </c>
      <c r="V20" s="73">
        <f>$C$24-($C$24-$C$23)*EXP(-$V$2*S20)</f>
        <v>4.6591337416937127E-2</v>
      </c>
      <c r="W20" s="74">
        <f>$C$24-($C$24-$C$23)*EXP(-$W$2*S20)</f>
        <v>4.6227157147835971E-2</v>
      </c>
    </row>
    <row r="21" spans="2:23" x14ac:dyDescent="0.25">
      <c r="S21" s="13">
        <f>S20+1</f>
        <v>17</v>
      </c>
      <c r="T21" s="71">
        <f>$C$24-($C$24-$C$23)*EXP(-$T$2*S21)</f>
        <v>4.3227668860050708E-2</v>
      </c>
      <c r="U21" s="72">
        <f>$C$24-($C$24-$C$23)*EXP(-$U$2*S21)</f>
        <v>4.3484625569611746E-2</v>
      </c>
      <c r="V21" s="73">
        <f>$C$24-($C$24-$C$23)*EXP(-$V$2*S21)</f>
        <v>4.689713621052214E-2</v>
      </c>
      <c r="W21" s="74">
        <f>$C$24-($C$24-$C$23)*EXP(-$W$2*S21)</f>
        <v>4.6522542213748609E-2</v>
      </c>
    </row>
    <row r="22" spans="2:23" x14ac:dyDescent="0.25">
      <c r="C22" t="s">
        <v>23</v>
      </c>
      <c r="L22" t="s">
        <v>40</v>
      </c>
      <c r="M22" s="1" t="s">
        <v>44</v>
      </c>
      <c r="S22" s="13">
        <f t="shared" si="1"/>
        <v>18</v>
      </c>
      <c r="T22" s="71">
        <f>$C$24-($C$24-$C$23)*EXP(-$T$2*S22)</f>
        <v>4.3395583749640247E-2</v>
      </c>
      <c r="U22" s="72">
        <f>$C$24-($C$24-$C$23)*EXP(-$U$2*S22)</f>
        <v>4.3663869513058264E-2</v>
      </c>
      <c r="V22" s="73">
        <f>$C$24-($C$24-$C$23)*EXP(-$V$2*S22)</f>
        <v>4.7192817088355134E-2</v>
      </c>
      <c r="W22" s="74">
        <f>$C$24-($C$24-$C$23)*EXP(-$W$2*S22)</f>
        <v>4.6808844633940361E-2</v>
      </c>
    </row>
    <row r="23" spans="2:23" x14ac:dyDescent="0.25">
      <c r="B23" t="s">
        <v>6</v>
      </c>
      <c r="C23" s="8">
        <f>MIN(G6:J11)</f>
        <v>0.04</v>
      </c>
      <c r="D23" s="8"/>
      <c r="L23" s="2" t="s">
        <v>2</v>
      </c>
      <c r="M23" s="3">
        <v>4000</v>
      </c>
      <c r="N23" s="3">
        <v>5000</v>
      </c>
      <c r="O23" s="3">
        <v>6000</v>
      </c>
      <c r="P23" s="3">
        <v>7000</v>
      </c>
      <c r="S23" s="13">
        <f t="shared" si="1"/>
        <v>19</v>
      </c>
      <c r="T23" s="71">
        <f>$C$24-($C$24-$C$23)*EXP(-$T$2*S23)</f>
        <v>4.3561261969333687E-2</v>
      </c>
      <c r="U23" s="72">
        <f>$C$24-($C$24-$C$23)*EXP(-$U$2*S23)</f>
        <v>4.3840511761027399E-2</v>
      </c>
      <c r="V23" s="73">
        <f>$C$24-($C$24-$C$23)*EXP(-$V$2*S23)</f>
        <v>4.7478714820295601E-2</v>
      </c>
      <c r="W23" s="74">
        <f>$C$24-($C$24-$C$23)*EXP(-$W$2*S23)</f>
        <v>4.708634368608236E-2</v>
      </c>
    </row>
    <row r="24" spans="2:23" x14ac:dyDescent="0.25">
      <c r="B24" t="s">
        <v>7</v>
      </c>
      <c r="C24" s="8">
        <f>MAX(G6:J11)</f>
        <v>5.5833646253055487E-2</v>
      </c>
      <c r="D24" s="8"/>
      <c r="L24" s="5">
        <v>0</v>
      </c>
      <c r="M24" s="76">
        <f>M15^2</f>
        <v>0</v>
      </c>
      <c r="N24" s="76">
        <f>N15^2</f>
        <v>0</v>
      </c>
      <c r="O24" s="76">
        <f>O15^2</f>
        <v>0</v>
      </c>
      <c r="P24" s="76">
        <f>P15^2</f>
        <v>0</v>
      </c>
      <c r="S24" s="13">
        <f t="shared" si="1"/>
        <v>20</v>
      </c>
      <c r="T24" s="71">
        <f>$C$24-($C$24-$C$23)*EXP(-$T$2*S24)</f>
        <v>4.372473331215436E-2</v>
      </c>
      <c r="U24" s="72">
        <f>$C$24-($C$24-$C$23)*EXP(-$U$2*S24)</f>
        <v>4.4014590076688308E-2</v>
      </c>
      <c r="V24" s="73">
        <f>$C$24-($C$24-$C$23)*EXP(-$V$2*S24)</f>
        <v>4.7755153099726277E-2</v>
      </c>
      <c r="W24" s="74">
        <f>$C$24-($C$24-$C$23)*EXP(-$W$2*S24)</f>
        <v>4.7355310060478106E-2</v>
      </c>
    </row>
    <row r="25" spans="2:23" x14ac:dyDescent="0.25">
      <c r="L25" s="7">
        <v>10</v>
      </c>
      <c r="M25" s="77">
        <f>M16^2</f>
        <v>1.2188915793720306E-6</v>
      </c>
      <c r="N25" s="77"/>
      <c r="O25" s="77">
        <f>O16^2</f>
        <v>1.2170481126587324E-6</v>
      </c>
      <c r="P25" s="77">
        <f>P16^2</f>
        <v>2.1602329223671875E-5</v>
      </c>
      <c r="S25" s="13">
        <f>S24+5</f>
        <v>25</v>
      </c>
      <c r="T25" s="71">
        <f>$C$24-($C$24-$C$23)*EXP(-$T$2*S25)</f>
        <v>4.4510002143487631E-2</v>
      </c>
      <c r="U25" s="72">
        <f>$C$24-($C$24-$C$23)*EXP(-$U$2*S25)</f>
        <v>4.4847806454783243E-2</v>
      </c>
      <c r="V25" s="73">
        <f>$C$24-($C$24-$C$23)*EXP(-$V$2*S25)</f>
        <v>4.90060517971945E-2</v>
      </c>
      <c r="W25" s="74">
        <f>$C$24-($C$24-$C$23)*EXP(-$W$2*S25)</f>
        <v>4.8581057408194191E-2</v>
      </c>
    </row>
    <row r="26" spans="2:23" x14ac:dyDescent="0.25">
      <c r="L26" s="7">
        <v>30</v>
      </c>
      <c r="M26" s="77">
        <f>M17^2</f>
        <v>3.826533363301972E-6</v>
      </c>
      <c r="N26" s="77">
        <f>N17^2</f>
        <v>1.0136559926414002E-5</v>
      </c>
      <c r="O26" s="77">
        <f>O17^2</f>
        <v>2.1306607563414074E-6</v>
      </c>
      <c r="P26" s="77">
        <f>P17^2</f>
        <v>4.6211068139410271E-6</v>
      </c>
      <c r="S26" s="13">
        <f t="shared" ref="S26:S32" si="16">S25+5</f>
        <v>30</v>
      </c>
      <c r="T26" s="67">
        <f>$C$24-($C$24-$C$23)*EXP(-$T$2*S26)</f>
        <v>4.5244345913217673E-2</v>
      </c>
      <c r="U26" s="68">
        <f>$C$24-($C$24-$C$23)*EXP(-$U$2*S26)</f>
        <v>4.5622282987465318E-2</v>
      </c>
      <c r="V26" s="69">
        <f>$C$24-($C$24-$C$23)*EXP(-$V$2*S26)</f>
        <v>5.0063257497512267E-2</v>
      </c>
      <c r="W26" s="70">
        <f>$C$24-($C$24-$C$23)*EXP(-$W$2*S26)</f>
        <v>4.9629593505223099E-2</v>
      </c>
    </row>
    <row r="27" spans="2:23" x14ac:dyDescent="0.25">
      <c r="L27" s="7">
        <v>60</v>
      </c>
      <c r="M27" s="77">
        <f>M18^2</f>
        <v>5.9797829005011148E-7</v>
      </c>
      <c r="N27" s="77">
        <f>N18^2</f>
        <v>1.8347486121778739E-6</v>
      </c>
      <c r="O27" s="77">
        <f>O18^2</f>
        <v>4.4224040157064941E-6</v>
      </c>
      <c r="P27" s="77">
        <f>P18^2</f>
        <v>1.972147040983113E-5</v>
      </c>
      <c r="S27" s="13">
        <f t="shared" si="16"/>
        <v>35</v>
      </c>
      <c r="T27" s="71">
        <f>$C$24-($C$24-$C$23)*EXP(-$T$2*S27)</f>
        <v>4.5931067136095884E-2</v>
      </c>
      <c r="U27" s="72">
        <f>$C$24-($C$24-$C$23)*EXP(-$U$2*S27)</f>
        <v>4.6342160699238903E-2</v>
      </c>
      <c r="V27" s="73">
        <f>$C$24-($C$24-$C$23)*EXP(-$V$2*S27)</f>
        <v>5.0956762219394672E-2</v>
      </c>
      <c r="W27" s="74">
        <f>$C$24-($C$24-$C$23)*EXP(-$W$2*S27)</f>
        <v>5.0526538498676402E-2</v>
      </c>
    </row>
    <row r="28" spans="2:23" x14ac:dyDescent="0.25">
      <c r="L28" s="7">
        <v>120</v>
      </c>
      <c r="M28" s="77">
        <f>M19^2</f>
        <v>1.3560355348146514E-7</v>
      </c>
      <c r="N28" s="77">
        <f>N19^2</f>
        <v>1.7930206927325693E-6</v>
      </c>
      <c r="O28" s="77">
        <f>O19^2</f>
        <v>1.6812211972089218E-5</v>
      </c>
      <c r="P28" s="77">
        <f>P19^2</f>
        <v>4.2186409899181423E-5</v>
      </c>
      <c r="S28" s="13">
        <f t="shared" si="16"/>
        <v>40</v>
      </c>
      <c r="T28" s="71">
        <f>$C$24-($C$24-$C$23)*EXP(-$T$2*S28)</f>
        <v>4.6573254157202787E-2</v>
      </c>
      <c r="U28" s="72">
        <f>$C$24-($C$24-$C$23)*EXP(-$U$2*S28)</f>
        <v>4.7011288681869594E-2</v>
      </c>
      <c r="V28" s="73">
        <f>$C$24-($C$24-$C$23)*EXP(-$V$2*S28)</f>
        <v>5.1711913925241666E-2</v>
      </c>
      <c r="W28" s="74">
        <f>$C$24-($C$24-$C$23)*EXP(-$W$2*S28)</f>
        <v>5.1293808527396047E-2</v>
      </c>
    </row>
    <row r="29" spans="2:23" x14ac:dyDescent="0.25">
      <c r="S29" s="13">
        <f t="shared" si="16"/>
        <v>45</v>
      </c>
      <c r="T29" s="71">
        <f>$C$24-($C$24-$C$23)*EXP(-$T$2*S29)</f>
        <v>4.7173795040954231E-2</v>
      </c>
      <c r="U29" s="72">
        <f>$C$24-($C$24-$C$23)*EXP(-$U$2*S29)</f>
        <v>4.7633244674973381E-2</v>
      </c>
      <c r="V29" s="73">
        <f>$C$24-($C$24-$C$23)*EXP(-$V$2*S29)</f>
        <v>5.2350135621084808E-2</v>
      </c>
      <c r="W29" s="74">
        <f>$C$24-($C$24-$C$23)*EXP(-$W$2*S29)</f>
        <v>5.1950151225407984E-2</v>
      </c>
    </row>
    <row r="30" spans="2:23" x14ac:dyDescent="0.25">
      <c r="K30" t="s">
        <v>40</v>
      </c>
      <c r="L30" s="13" t="s">
        <v>39</v>
      </c>
      <c r="M30" s="78">
        <f>SUM(M24:M28)</f>
        <v>5.779006786205579E-6</v>
      </c>
      <c r="N30" s="78">
        <f t="shared" ref="N30:P30" si="17">SUM(N24:N28)</f>
        <v>1.3764329231324446E-5</v>
      </c>
      <c r="O30" s="78">
        <f t="shared" si="17"/>
        <v>2.4582324856795851E-5</v>
      </c>
      <c r="P30" s="78">
        <f>SUM(P24:P28)</f>
        <v>8.8131316346625463E-5</v>
      </c>
      <c r="S30" s="13">
        <f t="shared" si="16"/>
        <v>50</v>
      </c>
      <c r="T30" s="71">
        <f>$C$24-($C$24-$C$23)*EXP(-$T$2*S30)</f>
        <v>4.7735390559398905E-2</v>
      </c>
      <c r="U30" s="72">
        <f>$C$24-($C$24-$C$23)*EXP(-$U$2*S30)</f>
        <v>4.8211354195721402E-2</v>
      </c>
      <c r="V30" s="73">
        <f>$C$24-($C$24-$C$23)*EXP(-$V$2*S30)</f>
        <v>5.2889533108888956E-2</v>
      </c>
      <c r="W30" s="74">
        <f>$C$24-($C$24-$C$23)*EXP(-$W$2*S30)</f>
        <v>5.2511603805476106E-2</v>
      </c>
    </row>
    <row r="31" spans="2:23" x14ac:dyDescent="0.25">
      <c r="L31" s="13" t="s">
        <v>38</v>
      </c>
      <c r="M31" s="87">
        <f>SQRT(M30)</f>
        <v>2.4039564859218185E-3</v>
      </c>
      <c r="N31" s="87">
        <f t="shared" ref="N31:P31" si="18">SQRT(N30)</f>
        <v>3.7100308935808669E-3</v>
      </c>
      <c r="O31" s="87">
        <f>SQRT(O30)</f>
        <v>4.9580565604676044E-3</v>
      </c>
      <c r="P31" s="87">
        <f t="shared" si="18"/>
        <v>9.3878280952851643E-3</v>
      </c>
      <c r="S31" s="13">
        <f t="shared" si="16"/>
        <v>55</v>
      </c>
      <c r="T31" s="71">
        <f>$C$24-($C$24-$C$23)*EXP(-$T$2*S31)</f>
        <v>4.8260566338218437E-2</v>
      </c>
      <c r="U31" s="72">
        <f>$C$24-($C$24-$C$23)*EXP(-$U$2*S31)</f>
        <v>4.874870831994435E-2</v>
      </c>
      <c r="V31" s="73">
        <f>$C$24-($C$24-$C$23)*EXP(-$V$2*S31)</f>
        <v>5.3345408632620668E-2</v>
      </c>
      <c r="W31" s="74">
        <f>$C$24-($C$24-$C$23)*EXP(-$W$2*S31)</f>
        <v>5.2991884915664401E-2</v>
      </c>
    </row>
    <row r="32" spans="2:23" x14ac:dyDescent="0.25">
      <c r="K32" t="s">
        <v>41</v>
      </c>
      <c r="L32" s="13"/>
      <c r="M32" s="78">
        <f>SUM(M37:M41)</f>
        <v>1.066633710119824E-4</v>
      </c>
      <c r="N32" s="78">
        <f t="shared" ref="N32:P32" si="19">SUM(N37:N41)</f>
        <v>2.2953379497713702E-3</v>
      </c>
      <c r="O32" s="78">
        <f t="shared" si="19"/>
        <v>1.4283087888202216E-4</v>
      </c>
      <c r="P32" s="78">
        <f>SUM(P37:P41)</f>
        <v>8.0550054126204637E-5</v>
      </c>
      <c r="S32" s="13">
        <f t="shared" si="16"/>
        <v>60</v>
      </c>
      <c r="T32" s="67">
        <f>$C$24-($C$24-$C$23)*EXP(-$T$2*S32)</f>
        <v>4.8751684215053631E-2</v>
      </c>
      <c r="U32" s="68">
        <f>$C$24-($C$24-$C$23)*EXP(-$U$2*S32)</f>
        <v>4.9248180209709815E-2</v>
      </c>
      <c r="V32" s="69">
        <f>$C$24-($C$24-$C$23)*EXP(-$V$2*S32)</f>
        <v>5.3730694989781301E-2</v>
      </c>
      <c r="W32" s="70">
        <f>$C$24-($C$24-$C$23)*EXP(-$W$2*S32)</f>
        <v>5.340272984361133E-2</v>
      </c>
    </row>
    <row r="33" spans="12:23" x14ac:dyDescent="0.25">
      <c r="L33" s="13" t="s">
        <v>47</v>
      </c>
      <c r="M33" s="85">
        <f>1-(M30/M32)</f>
        <v>0.94582013739696658</v>
      </c>
      <c r="N33" s="85">
        <f t="shared" ref="N33:P33" si="20">1-(N30/N32)</f>
        <v>0.9940033539580978</v>
      </c>
      <c r="O33" s="85">
        <f t="shared" si="20"/>
        <v>0.82789208433632355</v>
      </c>
      <c r="P33" s="86">
        <f>1-(P30/P32)</f>
        <v>-9.4118648369157176E-2</v>
      </c>
      <c r="S33" s="13">
        <f>S32+5</f>
        <v>65</v>
      </c>
      <c r="T33" s="71">
        <f>$C$24-($C$24-$C$23)*EXP(-$T$2*S33)</f>
        <v>4.9210952861237688E-2</v>
      </c>
      <c r="U33" s="72">
        <f>$C$24-($C$24-$C$23)*EXP(-$U$2*S33)</f>
        <v>4.9712440475743191E-2</v>
      </c>
      <c r="V33" s="73">
        <f>$C$24-($C$24-$C$23)*EXP(-$V$2*S33)</f>
        <v>5.4056322423776802E-2</v>
      </c>
      <c r="W33" s="74">
        <f>$C$24-($C$24-$C$23)*EXP(-$W$2*S33)</f>
        <v>5.3754177258966751E-2</v>
      </c>
    </row>
    <row r="34" spans="12:23" x14ac:dyDescent="0.25">
      <c r="S34" s="13">
        <f t="shared" ref="S34:S40" si="21">S33+5</f>
        <v>70</v>
      </c>
      <c r="T34" s="71">
        <f>$C$24-($C$24-$C$23)*EXP(-$T$2*S34)</f>
        <v>4.9640437714704999E-2</v>
      </c>
      <c r="U34" s="72">
        <f>$C$24-($C$24-$C$23)*EXP(-$U$2*S34)</f>
        <v>5.014397145683322E-2</v>
      </c>
      <c r="V34" s="73">
        <f>$C$24-($C$24-$C$23)*EXP(-$V$2*S34)</f>
        <v>5.4331528705545792E-2</v>
      </c>
      <c r="W34" s="74">
        <f>$C$24-($C$24-$C$23)*EXP(-$W$2*S34)</f>
        <v>5.405481450031531E-2</v>
      </c>
    </row>
    <row r="35" spans="12:23" x14ac:dyDescent="0.25">
      <c r="L35" t="s">
        <v>42</v>
      </c>
      <c r="M35" s="1" t="s">
        <v>46</v>
      </c>
      <c r="S35" s="13">
        <f t="shared" si="21"/>
        <v>75</v>
      </c>
      <c r="T35" s="71">
        <f>$C$24-($C$24-$C$23)*EXP(-$T$2*S35)</f>
        <v>5.0042070268745957E-2</v>
      </c>
      <c r="U35" s="72">
        <f>$C$24-($C$24-$C$23)*EXP(-$U$2*S35)</f>
        <v>5.0545080492572107E-2</v>
      </c>
      <c r="V35" s="73">
        <f>$C$24-($C$24-$C$23)*EXP(-$V$2*S35)</f>
        <v>5.4564121201195762E-2</v>
      </c>
      <c r="W35" s="74">
        <f>$C$24-($C$24-$C$23)*EXP(-$W$2*S35)</f>
        <v>5.4311987399977314E-2</v>
      </c>
    </row>
    <row r="36" spans="12:23" x14ac:dyDescent="0.25">
      <c r="L36" s="2" t="s">
        <v>2</v>
      </c>
      <c r="M36" s="3">
        <v>4000</v>
      </c>
      <c r="N36" s="3">
        <v>5000</v>
      </c>
      <c r="O36" s="3">
        <v>6000</v>
      </c>
      <c r="P36" s="3">
        <v>7000</v>
      </c>
      <c r="S36" s="13">
        <f t="shared" si="21"/>
        <v>80</v>
      </c>
      <c r="T36" s="71">
        <f>$C$24-($C$24-$C$23)*EXP(-$T$2*S36)</f>
        <v>5.0417656758381592E-2</v>
      </c>
      <c r="U36" s="72">
        <f>$C$24-($C$24-$C$23)*EXP(-$U$2*S36)</f>
        <v>5.0917912260397852E-2</v>
      </c>
      <c r="V36" s="73">
        <f>$C$24-($C$24-$C$23)*EXP(-$V$2*S36)</f>
        <v>5.476069836028144E-2</v>
      </c>
      <c r="W36" s="74">
        <f>$C$24-($C$24-$C$23)*EXP(-$W$2*S36)</f>
        <v>5.4531979773589742E-2</v>
      </c>
    </row>
    <row r="37" spans="12:23" x14ac:dyDescent="0.25">
      <c r="L37" s="5">
        <v>0</v>
      </c>
      <c r="M37" s="76">
        <f>(G6-G$11)^2</f>
        <v>3.2170993219357866E-5</v>
      </c>
      <c r="N37" s="76">
        <f t="shared" ref="N37:P37" si="22">(H6-H$11)^2</f>
        <v>5.0606646231432329E-5</v>
      </c>
      <c r="O37" s="76">
        <f t="shared" si="22"/>
        <v>6.895084966440426E-5</v>
      </c>
      <c r="P37" s="76">
        <f>(J6-J$11)^2</f>
        <v>5.9603302174065133E-5</v>
      </c>
      <c r="S37" s="13">
        <f t="shared" si="21"/>
        <v>85</v>
      </c>
      <c r="T37" s="71">
        <f>$C$24-($C$24-$C$23)*EXP(-$T$2*S37)</f>
        <v>5.0768886283422618E-2</v>
      </c>
      <c r="U37" s="72">
        <f>$C$24-($C$24-$C$23)*EXP(-$U$2*S37)</f>
        <v>5.1264460242903445E-2</v>
      </c>
      <c r="V37" s="73">
        <f>$C$24-($C$24-$C$23)*EXP(-$V$2*S37)</f>
        <v>5.4926836908157688E-2</v>
      </c>
      <c r="W37" s="74">
        <f>$C$24-($C$24-$C$23)*EXP(-$W$2*S37)</f>
        <v>5.4720166960152708E-2</v>
      </c>
    </row>
    <row r="38" spans="12:23" x14ac:dyDescent="0.25">
      <c r="L38" s="7">
        <v>10</v>
      </c>
      <c r="M38" s="77">
        <f>(G7-G$11)^2</f>
        <v>2.2933876750301627E-5</v>
      </c>
      <c r="N38" s="77">
        <f t="shared" ref="N38:P41" si="23">(H7-H$11)^2</f>
        <v>2.2197134339972846E-3</v>
      </c>
      <c r="O38" s="77">
        <f t="shared" si="23"/>
        <v>7.1643931958768328E-6</v>
      </c>
      <c r="P38" s="77">
        <f t="shared" si="23"/>
        <v>1.3802307837346242E-6</v>
      </c>
      <c r="S38" s="13">
        <f t="shared" si="21"/>
        <v>90</v>
      </c>
      <c r="T38" s="71">
        <f>$C$24-($C$24-$C$23)*EXP(-$T$2*S38)</f>
        <v>5.1097338404744182E-2</v>
      </c>
      <c r="U38" s="72">
        <f>$C$24-($C$24-$C$23)*EXP(-$U$2*S38)</f>
        <v>5.1586577386726951E-2</v>
      </c>
      <c r="V38" s="73">
        <f>$C$24-($C$24-$C$23)*EXP(-$V$2*S38)</f>
        <v>5.5067250052893375E-2</v>
      </c>
      <c r="W38" s="74">
        <f>$C$24-($C$24-$C$23)*EXP(-$W$2*S38)</f>
        <v>5.4881147164170481E-2</v>
      </c>
    </row>
    <row r="39" spans="12:23" x14ac:dyDescent="0.25">
      <c r="L39" s="7">
        <v>30</v>
      </c>
      <c r="M39" s="77">
        <f t="shared" ref="M39:M41" si="24">(G8-G$11)^2</f>
        <v>2.3364672009422217E-6</v>
      </c>
      <c r="N39" s="77">
        <f t="shared" si="23"/>
        <v>2.8636918022823833E-6</v>
      </c>
      <c r="O39" s="77">
        <f t="shared" si="23"/>
        <v>8.9948622376204097E-8</v>
      </c>
      <c r="P39" s="77">
        <f t="shared" si="23"/>
        <v>1.6475091275449242E-5</v>
      </c>
      <c r="S39" s="13">
        <f t="shared" si="21"/>
        <v>95</v>
      </c>
      <c r="T39" s="71">
        <f>$C$24-($C$24-$C$23)*EXP(-$T$2*S39)</f>
        <v>5.1404490247938556E-2</v>
      </c>
      <c r="U39" s="72">
        <f>$C$24-($C$24-$C$23)*EXP(-$U$2*S39)</f>
        <v>5.1885986010014304E-2</v>
      </c>
      <c r="V39" s="73">
        <f>$C$24-($C$24-$C$23)*EXP(-$V$2*S39)</f>
        <v>5.5185921194940736E-2</v>
      </c>
      <c r="W39" s="74">
        <f>$C$24-($C$24-$C$23)*EXP(-$W$2*S39)</f>
        <v>5.5018853809128118E-2</v>
      </c>
    </row>
    <row r="40" spans="12:23" x14ac:dyDescent="0.25">
      <c r="L40" s="7">
        <v>60</v>
      </c>
      <c r="M40" s="77">
        <f t="shared" si="24"/>
        <v>5.319691924202739E-6</v>
      </c>
      <c r="N40" s="77">
        <f t="shared" si="23"/>
        <v>6.0811367438400662E-7</v>
      </c>
      <c r="O40" s="77">
        <f t="shared" si="23"/>
        <v>5.6700620181299581E-5</v>
      </c>
      <c r="P40" s="77">
        <f t="shared" si="23"/>
        <v>1.5413871385503411E-6</v>
      </c>
      <c r="S40" s="13">
        <f t="shared" si="21"/>
        <v>100</v>
      </c>
      <c r="T40" s="71">
        <f>$C$24-($C$24-$C$23)*EXP(-$T$2*S40)</f>
        <v>5.1691723146292529E-2</v>
      </c>
      <c r="U40" s="72">
        <f>$C$24-($C$24-$C$23)*EXP(-$U$2*S40)</f>
        <v>5.2164287011428716E-2</v>
      </c>
      <c r="V40" s="73">
        <f>$C$24-($C$24-$C$23)*EXP(-$V$2*S40)</f>
        <v>5.5286216932788748E-2</v>
      </c>
      <c r="W40" s="74">
        <f>$C$24-($C$24-$C$23)*EXP(-$W$2*S40)</f>
        <v>5.5136651647571644E-2</v>
      </c>
    </row>
    <row r="41" spans="12:23" x14ac:dyDescent="0.25">
      <c r="L41" s="7">
        <v>120</v>
      </c>
      <c r="M41" s="77">
        <f t="shared" si="24"/>
        <v>4.3902341917177948E-5</v>
      </c>
      <c r="N41" s="77">
        <f t="shared" si="23"/>
        <v>2.1546064065986603E-5</v>
      </c>
      <c r="O41" s="77">
        <f t="shared" si="23"/>
        <v>9.9250672180652888E-6</v>
      </c>
      <c r="P41" s="77">
        <f t="shared" si="23"/>
        <v>1.5500427544052988E-6</v>
      </c>
      <c r="S41" s="13">
        <f>S40+10</f>
        <v>110</v>
      </c>
      <c r="T41" s="71">
        <f>$C$24-($C$24-$C$23)*EXP(-$T$2*S41)</f>
        <v>5.2211515350298901E-2</v>
      </c>
      <c r="U41" s="72">
        <f>$C$24-($C$24-$C$23)*EXP(-$U$2*S41)</f>
        <v>5.266341340120366E-2</v>
      </c>
      <c r="V41" s="73">
        <f>$C$24-($C$24-$C$23)*EXP(-$V$2*S41)</f>
        <v>5.5442622836414969E-2</v>
      </c>
      <c r="W41" s="74">
        <f>$C$24-($C$24-$C$23)*EXP(-$W$2*S41)</f>
        <v>5.5323617964585146E-2</v>
      </c>
    </row>
    <row r="42" spans="12:23" x14ac:dyDescent="0.25">
      <c r="M42" s="50"/>
      <c r="N42" s="50"/>
      <c r="O42" s="50"/>
      <c r="P42" s="50"/>
      <c r="S42" s="13">
        <f t="shared" ref="S42" si="25">S41+10</f>
        <v>120</v>
      </c>
      <c r="T42" s="67">
        <f>$C$24-($C$24-$C$23)*EXP(-$T$2*S42)</f>
        <v>5.2666076035423462E-2</v>
      </c>
      <c r="U42" s="68">
        <f>$C$24-($C$24-$C$23)*EXP(-$U$2*S42)</f>
        <v>5.3094645879108775E-2</v>
      </c>
      <c r="V42" s="69">
        <f>$C$24-($C$24-$C$23)*EXP(-$V$2*S42)</f>
        <v>5.5554342045734756E-2</v>
      </c>
      <c r="W42" s="70">
        <f>$C$24-($C$24-$C$23)*EXP(-$W$2*S42)</f>
        <v>5.5460431233895609E-2</v>
      </c>
    </row>
    <row r="43" spans="12:23" x14ac:dyDescent="0.25">
      <c r="T43" s="50"/>
      <c r="U43" s="50"/>
      <c r="V43" s="50"/>
      <c r="W43" s="50"/>
    </row>
  </sheetData>
  <mergeCells count="1">
    <mergeCell ref="T1:W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BE7EC-36EC-49A1-B452-0E179AD184A0}">
  <dimension ref="A1:CD59"/>
  <sheetViews>
    <sheetView zoomScale="130" zoomScaleNormal="130" workbookViewId="0">
      <selection activeCell="P2" sqref="P2"/>
    </sheetView>
  </sheetViews>
  <sheetFormatPr defaultRowHeight="15" x14ac:dyDescent="0.25"/>
  <cols>
    <col min="4" max="4" width="13.28515625" customWidth="1"/>
    <col min="10" max="10" width="12.7109375" customWidth="1"/>
    <col min="11" max="12" width="15" customWidth="1"/>
    <col min="22" max="22" width="12.5703125" customWidth="1"/>
    <col min="29" max="29" width="13.5703125" customWidth="1"/>
    <col min="30" max="30" width="13" customWidth="1"/>
    <col min="39" max="39" width="14.28515625" customWidth="1"/>
    <col min="40" max="40" width="9.7109375" customWidth="1"/>
    <col min="45" max="45" width="11.42578125" customWidth="1"/>
    <col min="46" max="46" width="13" customWidth="1"/>
    <col min="47" max="47" width="14.5703125" customWidth="1"/>
    <col min="56" max="56" width="14.28515625" customWidth="1"/>
    <col min="57" max="57" width="9.7109375" customWidth="1"/>
    <col min="62" max="62" width="12.85546875" customWidth="1"/>
    <col min="63" max="64" width="15.28515625" customWidth="1"/>
    <col min="73" max="73" width="15" customWidth="1"/>
    <col min="79" max="79" width="12.85546875" customWidth="1"/>
    <col min="80" max="81" width="14.7109375" customWidth="1"/>
  </cols>
  <sheetData>
    <row r="1" spans="1:77" x14ac:dyDescent="0.25">
      <c r="A1" s="14" t="s">
        <v>8</v>
      </c>
      <c r="B1" s="15" t="s">
        <v>11</v>
      </c>
      <c r="D1" s="13" t="s">
        <v>12</v>
      </c>
      <c r="E1" s="49" t="s">
        <v>10</v>
      </c>
      <c r="F1" s="49"/>
      <c r="G1" s="49"/>
      <c r="H1" s="49"/>
      <c r="V1" s="13" t="s">
        <v>12</v>
      </c>
      <c r="W1" s="49" t="s">
        <v>19</v>
      </c>
      <c r="X1" s="49"/>
      <c r="Y1" s="49"/>
      <c r="Z1" s="49"/>
      <c r="AM1" s="13" t="s">
        <v>12</v>
      </c>
      <c r="AN1" s="49" t="s">
        <v>20</v>
      </c>
      <c r="AO1" s="49"/>
      <c r="AP1" s="49"/>
      <c r="AQ1" s="49"/>
      <c r="BD1" s="13" t="s">
        <v>12</v>
      </c>
      <c r="BE1" s="49" t="s">
        <v>21</v>
      </c>
      <c r="BF1" s="49"/>
      <c r="BG1" s="49"/>
      <c r="BH1" s="49"/>
      <c r="BU1" s="13" t="s">
        <v>12</v>
      </c>
      <c r="BV1" s="49" t="s">
        <v>22</v>
      </c>
      <c r="BW1" s="49"/>
      <c r="BX1" s="49"/>
      <c r="BY1" s="49"/>
    </row>
    <row r="2" spans="1:77" x14ac:dyDescent="0.25">
      <c r="A2" s="15">
        <v>4000</v>
      </c>
      <c r="B2" s="16">
        <f>summary!C16</f>
        <v>4.0623962357959148E-2</v>
      </c>
      <c r="D2" s="13" t="s">
        <v>9</v>
      </c>
      <c r="E2" s="30">
        <f>B2</f>
        <v>4.0623962357959148E-2</v>
      </c>
      <c r="F2" s="31">
        <f>B3</f>
        <v>4.261272177053517E-2</v>
      </c>
      <c r="G2" s="33">
        <f>B4</f>
        <v>4.7320162401509734E-2</v>
      </c>
      <c r="H2" s="35">
        <f>B5</f>
        <v>5.4715743338497824E-2</v>
      </c>
      <c r="V2" s="13" t="s">
        <v>9</v>
      </c>
      <c r="W2" s="30">
        <v>4.0623962357959148E-2</v>
      </c>
      <c r="X2" s="31">
        <v>4.261272177053517E-2</v>
      </c>
      <c r="Y2" s="33">
        <v>4.7320162401509734E-2</v>
      </c>
      <c r="Z2" s="35">
        <v>5.4715743338497824E-2</v>
      </c>
      <c r="AM2" s="13" t="s">
        <v>9</v>
      </c>
      <c r="AN2" s="30">
        <v>4.0623962357959148E-2</v>
      </c>
      <c r="AO2" s="31">
        <v>4.261272177053517E-2</v>
      </c>
      <c r="AP2" s="33">
        <v>4.7320162401509734E-2</v>
      </c>
      <c r="AQ2" s="35">
        <v>5.4715743338497824E-2</v>
      </c>
      <c r="BD2" s="13" t="s">
        <v>9</v>
      </c>
      <c r="BE2" s="30">
        <v>4.0623962357959148E-2</v>
      </c>
      <c r="BF2" s="31">
        <v>4.261272177053517E-2</v>
      </c>
      <c r="BG2" s="33">
        <v>4.7320162401509734E-2</v>
      </c>
      <c r="BH2" s="35">
        <v>5.4715743338497824E-2</v>
      </c>
      <c r="BU2" s="13" t="s">
        <v>9</v>
      </c>
      <c r="BV2" s="30">
        <v>4.0623962357959148E-2</v>
      </c>
      <c r="BW2" s="31">
        <v>4.261272177053517E-2</v>
      </c>
      <c r="BX2" s="33">
        <v>4.7320162401509734E-2</v>
      </c>
      <c r="BY2" s="35">
        <v>5.4715743338497824E-2</v>
      </c>
    </row>
    <row r="3" spans="1:77" x14ac:dyDescent="0.25">
      <c r="A3" s="15">
        <v>5000</v>
      </c>
      <c r="B3" s="16">
        <f>summary!D16</f>
        <v>4.261272177053517E-2</v>
      </c>
      <c r="D3" s="13">
        <v>0</v>
      </c>
      <c r="E3" s="37">
        <f>$B$8-($B$8-$B$7)*EXP(-$E$2*D3)</f>
        <v>0.04</v>
      </c>
      <c r="F3" s="38">
        <f>$B$8-($B$8-$B$7)*EXP(-$F$2*D3)</f>
        <v>0.04</v>
      </c>
      <c r="G3" s="39">
        <f>$B$8-($B$8-$B$7)*EXP(-$G$2*D3)</f>
        <v>0.04</v>
      </c>
      <c r="H3" s="40">
        <f>$B$8-($B$8-$B$7)*EXP(-$H$2*D3)</f>
        <v>0.04</v>
      </c>
      <c r="V3" s="13">
        <v>0</v>
      </c>
      <c r="W3" s="42">
        <f>$B$8-($B$8-$B$7)*EXP(-($W$2^2)*V3)</f>
        <v>0.04</v>
      </c>
      <c r="X3" s="32">
        <f>$B$8-($B$8-$B$7)*EXP(-($X$2^2)*V3)</f>
        <v>0.04</v>
      </c>
      <c r="Y3" s="34">
        <f>$B$8-($B$8-$B$7)*EXP(-($Y$2^2)*V3)</f>
        <v>0.04</v>
      </c>
      <c r="Z3" s="36">
        <f>$B$8-($B$8-$B$7)*EXP(-($Z$2^2)*V3)</f>
        <v>0.04</v>
      </c>
      <c r="AM3" s="13">
        <v>0</v>
      </c>
      <c r="AN3" s="42">
        <f>$B$8-($B$8-$B$7)*EXP(-(SQRT($AN$2)*AM3))</f>
        <v>0.04</v>
      </c>
      <c r="AO3" s="32">
        <f>$B$8-($B$8-$B$7)*EXP(-(SQRT($AO$2)*AM3))</f>
        <v>0.04</v>
      </c>
      <c r="AP3" s="34">
        <f>$B$8-($B$8-$B$7)*EXP(-(SQRT($AP$2)*AM3))</f>
        <v>0.04</v>
      </c>
      <c r="AQ3" s="36">
        <f>$B$8-($B$8-$B$7)*EXP(-(SQRT($AQ$2))*AM3)</f>
        <v>0.04</v>
      </c>
      <c r="BD3" s="13">
        <v>0</v>
      </c>
      <c r="BE3" s="42">
        <f>$B$8-($B$8-$B$7)*EXP(-($BE$2/2)*BD3)</f>
        <v>0.04</v>
      </c>
      <c r="BF3" s="32">
        <f>$B$8-($B$8-$B$7)*EXP(-($BF$2/2)*BD3)</f>
        <v>0.04</v>
      </c>
      <c r="BG3" s="34">
        <f>$B$8-($B$8-$B$7)*EXP(-($BG$2/2)*BD3)</f>
        <v>0.04</v>
      </c>
      <c r="BH3" s="36">
        <f>$B$8-($B$8-$B$7)*EXP(-($BH$2/2)*BD3)</f>
        <v>0.04</v>
      </c>
      <c r="BU3" s="13">
        <v>0</v>
      </c>
      <c r="BV3" s="42">
        <f>$B$8-($B$8-$B$7)*EXP(-($BV$2*2)*BU3)</f>
        <v>0.04</v>
      </c>
      <c r="BW3" s="32">
        <f>$B$8-($B$8-$B$7)*EXP(-($BW$2*2)*BU3)</f>
        <v>0.04</v>
      </c>
      <c r="BX3" s="34">
        <f>$B$8-($B$8-$B$7)*EXP(-($BX$2*2)*BU3)</f>
        <v>0.04</v>
      </c>
      <c r="BY3" s="36">
        <f>$B$8-($B$8-$B$7)*EXP(-($BY$2*2)*BU3)</f>
        <v>0.04</v>
      </c>
    </row>
    <row r="4" spans="1:77" x14ac:dyDescent="0.25">
      <c r="A4" s="15">
        <v>6000</v>
      </c>
      <c r="B4" s="16">
        <f>summary!E16</f>
        <v>4.7320162401509734E-2</v>
      </c>
      <c r="D4" s="13">
        <f>D3+1</f>
        <v>1</v>
      </c>
      <c r="E4" s="42">
        <f t="shared" ref="E4:E41" si="0">$B$8-($B$8-$B$7)*EXP(-$E$2*D4)</f>
        <v>4.063033540369311E-2</v>
      </c>
      <c r="F4" s="32">
        <f t="shared" ref="F4:F41" si="1">$B$8-($B$8-$B$7)*EXP(-$F$2*D4)</f>
        <v>4.0660541085374521E-2</v>
      </c>
      <c r="G4" s="34">
        <f t="shared" ref="G4:G41" si="2">$B$8-($B$8-$B$7)*EXP(-$G$2*D4)</f>
        <v>4.0731799722645824E-2</v>
      </c>
      <c r="H4" s="36">
        <f t="shared" ref="H4:H41" si="3">$B$8-($B$8-$B$7)*EXP(-$H$2*D4)</f>
        <v>4.0843074672333168E-2</v>
      </c>
      <c r="V4" s="13">
        <f>V3+1</f>
        <v>1</v>
      </c>
      <c r="W4" s="42">
        <f t="shared" ref="W4:W41" si="4">$B$8-($B$8-$B$7)*EXP(-($W$2^2)*V4)</f>
        <v>4.0026108816744781E-2</v>
      </c>
      <c r="X4" s="32">
        <f t="shared" ref="X4:X41" si="5">$B$8-($B$8-$B$7)*EXP(-($X$2^2)*V4)</f>
        <v>4.0028725344178659E-2</v>
      </c>
      <c r="Y4" s="34">
        <f>$B$8-($B$8-$B$7)*EXP(-($Y$2^2)*V4)</f>
        <v>4.0035414999984073E-2</v>
      </c>
      <c r="Z4" s="36">
        <f t="shared" ref="Z4:Z41" si="6">$B$8-($B$8-$B$7)*EXP(-($Z$2^2)*V4)</f>
        <v>4.0047332082122869E-2</v>
      </c>
      <c r="AM4" s="13">
        <f>AM3+1</f>
        <v>1</v>
      </c>
      <c r="AN4" s="42">
        <f t="shared" ref="AN4:AN41" si="7">$B$8-($B$8-$B$7)*EXP(-(SQRT($AN$2)*AM4))</f>
        <v>4.2890281068279475E-2</v>
      </c>
      <c r="AO4" s="32">
        <f t="shared" ref="AO4:AO41" si="8">$B$8-($B$8-$B$7)*EXP(-(SQRT($AO$2)*AM4))</f>
        <v>4.2953221538910374E-2</v>
      </c>
      <c r="AP4" s="34">
        <f t="shared" ref="AP4:AP41" si="9">$B$8-($B$8-$B$7)*EXP(-(SQRT($AP$2)*AM4))</f>
        <v>4.3095448132333666E-2</v>
      </c>
      <c r="AQ4" s="36">
        <f t="shared" ref="AQ4:AQ41" si="10">$B$8-($B$8-$B$7)*EXP(-(SQRT($AQ$2))*AM4)</f>
        <v>4.3302425133233402E-2</v>
      </c>
      <c r="BD4" s="13">
        <f>BD3+1</f>
        <v>1</v>
      </c>
      <c r="BE4" s="42">
        <f t="shared" ref="BE4:BE41" si="11">$B$8-($B$8-$B$7)*EXP(-($BE$2/2)*BD4)</f>
        <v>4.0318368432015847E-2</v>
      </c>
      <c r="BF4" s="32">
        <f t="shared" ref="BF4:BF41" si="12">$B$8-($B$8-$B$7)*EXP(-($BF$2/2)*BD4)</f>
        <v>4.0333788841276863E-2</v>
      </c>
      <c r="BG4" s="34">
        <f t="shared" ref="BG4:BG41" si="13">$B$8-($B$8-$B$7)*EXP(-($BG$2/2)*BD4)</f>
        <v>4.0370228269619876E-2</v>
      </c>
      <c r="BH4" s="36">
        <f t="shared" ref="BH4:BH41" si="14">$B$8-($B$8-$B$7)*EXP(-($BH$2/2)*BD4)</f>
        <v>4.0427303158723726E-2</v>
      </c>
      <c r="BU4" s="13">
        <f>BU3+1</f>
        <v>1</v>
      </c>
      <c r="BV4" s="42">
        <f t="shared" ref="BV4:BV41" si="15">$B$8-($B$8-$B$7)*EXP(-($BV$2*2)*BU4)</f>
        <v>4.1235577236720375E-2</v>
      </c>
      <c r="BW4" s="32">
        <f t="shared" ref="BW4:BW41" si="16">$B$8-($B$8-$B$7)*EXP(-($BW$2*2)*BU4)</f>
        <v>4.1293526008479492E-2</v>
      </c>
      <c r="BX4" s="34">
        <f t="shared" ref="BX4:BX41" si="17">$B$8-($B$8-$B$7)*EXP(-($BX$2*2)*BU4)</f>
        <v>4.1429777113688074E-2</v>
      </c>
      <c r="BY4" s="36">
        <f t="shared" ref="BY4:BY41" si="18">$B$8-($B$8-$B$7)*EXP(-($BY$2*2)*BU4)</f>
        <v>4.1641259185332853E-2</v>
      </c>
    </row>
    <row r="5" spans="1:77" x14ac:dyDescent="0.25">
      <c r="A5" s="15">
        <v>7000</v>
      </c>
      <c r="B5" s="16">
        <f>summary!F16</f>
        <v>5.4715743338497824E-2</v>
      </c>
      <c r="D5" s="13">
        <f t="shared" ref="D5:D23" si="19">D4+1</f>
        <v>2</v>
      </c>
      <c r="E5" s="42">
        <f t="shared" si="0"/>
        <v>4.1235577236720375E-2</v>
      </c>
      <c r="F5" s="32">
        <f t="shared" si="1"/>
        <v>4.1293526008479492E-2</v>
      </c>
      <c r="G5" s="34">
        <f t="shared" si="2"/>
        <v>4.1429777113688074E-2</v>
      </c>
      <c r="H5" s="36">
        <f t="shared" si="3"/>
        <v>4.1641259185332853E-2</v>
      </c>
      <c r="V5" s="13">
        <f t="shared" ref="V5:V23" si="20">V4+1</f>
        <v>2</v>
      </c>
      <c r="W5" s="42">
        <f t="shared" si="4"/>
        <v>4.0052174581478611E-2</v>
      </c>
      <c r="X5" s="32">
        <f t="shared" si="5"/>
        <v>4.0057398574941047E-2</v>
      </c>
      <c r="Y5" s="34">
        <f t="shared" ref="Y5:Y41" si="21">$B$8-($B$8-$B$7)*EXP(-($Y$2^2)*V5)</f>
        <v>4.0070750787498451E-2</v>
      </c>
      <c r="Z5" s="36">
        <f t="shared" si="6"/>
        <v>4.0094522672768515E-2</v>
      </c>
      <c r="AM5" s="13">
        <f t="shared" ref="AM5:AM23" si="22">AM4+1</f>
        <v>2</v>
      </c>
      <c r="AN5" s="42">
        <f t="shared" si="7"/>
        <v>4.5252968901233093E-2</v>
      </c>
      <c r="AO5" s="32">
        <f t="shared" si="8"/>
        <v>4.535562128235459E-2</v>
      </c>
      <c r="AP5" s="34">
        <f t="shared" si="9"/>
        <v>4.5585741963072468E-2</v>
      </c>
      <c r="AQ5" s="36">
        <f t="shared" si="10"/>
        <v>4.5916063136433052E-2</v>
      </c>
      <c r="BD5" s="13">
        <f t="shared" ref="BD5:BD23" si="23">BD4+1</f>
        <v>2</v>
      </c>
      <c r="BE5" s="42">
        <f t="shared" si="11"/>
        <v>4.063033540369311E-2</v>
      </c>
      <c r="BF5" s="32">
        <f t="shared" si="12"/>
        <v>4.0660541085374521E-2</v>
      </c>
      <c r="BG5" s="34">
        <f t="shared" si="13"/>
        <v>4.0731799722645824E-2</v>
      </c>
      <c r="BH5" s="36">
        <f t="shared" si="14"/>
        <v>4.0843074672333168E-2</v>
      </c>
      <c r="BU5" s="13">
        <f t="shared" ref="BU5:BU23" si="24">BU4+1</f>
        <v>2</v>
      </c>
      <c r="BV5" s="42">
        <f t="shared" si="15"/>
        <v>4.237473630901404E-2</v>
      </c>
      <c r="BW5" s="32">
        <f t="shared" si="16"/>
        <v>4.2481377713777552E-2</v>
      </c>
      <c r="BX5" s="34">
        <f t="shared" si="17"/>
        <v>4.273044545721958E-2</v>
      </c>
      <c r="BY5" s="36">
        <f t="shared" si="18"/>
        <v>4.3112391308939818E-2</v>
      </c>
    </row>
    <row r="6" spans="1:77" x14ac:dyDescent="0.25">
      <c r="D6" s="13">
        <f t="shared" si="19"/>
        <v>3</v>
      </c>
      <c r="E6" s="42">
        <f t="shared" si="0"/>
        <v>4.1816724470875352E-2</v>
      </c>
      <c r="F6" s="32">
        <f t="shared" si="1"/>
        <v>4.1900104345163933E-2</v>
      </c>
      <c r="G6" s="34">
        <f t="shared" si="2"/>
        <v>4.2095495374204456E-2</v>
      </c>
      <c r="H6" s="36">
        <f t="shared" si="3"/>
        <v>4.2396943750057592E-2</v>
      </c>
      <c r="V6" s="13">
        <f t="shared" si="20"/>
        <v>3</v>
      </c>
      <c r="W6" s="42">
        <f t="shared" si="4"/>
        <v>4.00781973651919E-2</v>
      </c>
      <c r="X6" s="32">
        <f>$B$8-($B$8-$B$7)*EXP(-($X$2^2)*V6)</f>
        <v>4.0086019786831156E-2</v>
      </c>
      <c r="Y6" s="34">
        <f t="shared" si="21"/>
        <v>4.010600753971709E-2</v>
      </c>
      <c r="Z6" s="36">
        <f t="shared" si="6"/>
        <v>4.0141572194902456E-2</v>
      </c>
      <c r="AM6" s="13">
        <f t="shared" si="22"/>
        <v>3</v>
      </c>
      <c r="AN6" s="42">
        <f t="shared" si="7"/>
        <v>4.7184370610655786E-2</v>
      </c>
      <c r="AO6" s="32">
        <f t="shared" si="8"/>
        <v>4.7309936070885579E-2</v>
      </c>
      <c r="AP6" s="34">
        <f t="shared" si="9"/>
        <v>4.7589188022671064E-2</v>
      </c>
      <c r="AQ6" s="36">
        <f t="shared" si="10"/>
        <v>4.7984574408051546E-2</v>
      </c>
      <c r="BD6" s="13">
        <f t="shared" si="23"/>
        <v>3</v>
      </c>
      <c r="BE6" s="42">
        <f t="shared" si="11"/>
        <v>4.093602962972314E-2</v>
      </c>
      <c r="BF6" s="32">
        <f t="shared" si="12"/>
        <v>4.0980405070684595E-2</v>
      </c>
      <c r="BG6" s="34">
        <f t="shared" si="13"/>
        <v>4.1084916776018131E-2</v>
      </c>
      <c r="BH6" s="36">
        <f t="shared" si="14"/>
        <v>4.1247625745733624E-2</v>
      </c>
      <c r="BU6" s="13">
        <f t="shared" si="24"/>
        <v>3</v>
      </c>
      <c r="BV6" s="42">
        <f t="shared" si="15"/>
        <v>4.342500120012957E-2</v>
      </c>
      <c r="BW6" s="32">
        <f t="shared" si="16"/>
        <v>4.3572188153250743E-2</v>
      </c>
      <c r="BX6" s="34">
        <f t="shared" si="17"/>
        <v>4.3913663543219843E-2</v>
      </c>
      <c r="BY6" s="36">
        <f t="shared" si="18"/>
        <v>4.4431031134050322E-2</v>
      </c>
    </row>
    <row r="7" spans="1:77" x14ac:dyDescent="0.25">
      <c r="A7" t="s">
        <v>6</v>
      </c>
      <c r="B7" s="8">
        <f>summary!C23</f>
        <v>0.04</v>
      </c>
      <c r="D7" s="13">
        <f t="shared" si="19"/>
        <v>4</v>
      </c>
      <c r="E7" s="42">
        <f t="shared" si="0"/>
        <v>4.237473630901404E-2</v>
      </c>
      <c r="F7" s="32">
        <f t="shared" si="1"/>
        <v>4.2481377713777552E-2</v>
      </c>
      <c r="G7" s="34">
        <f t="shared" si="2"/>
        <v>4.273044545721958E-2</v>
      </c>
      <c r="H7" s="36">
        <f t="shared" si="3"/>
        <v>4.3112391308939818E-2</v>
      </c>
      <c r="V7" s="13">
        <f t="shared" si="20"/>
        <v>4</v>
      </c>
      <c r="W7" s="42">
        <f t="shared" si="4"/>
        <v>4.0104177238758018E-2</v>
      </c>
      <c r="X7" s="32">
        <f t="shared" si="5"/>
        <v>4.0114589074221413E-2</v>
      </c>
      <c r="Y7" s="34">
        <f t="shared" si="21"/>
        <v>4.0141185433417659E-2</v>
      </c>
      <c r="Z7" s="36">
        <f t="shared" si="6"/>
        <v>4.0188481070225809E-2</v>
      </c>
      <c r="AM7" s="13">
        <f t="shared" si="22"/>
        <v>4</v>
      </c>
      <c r="AN7" s="42">
        <f t="shared" si="7"/>
        <v>4.8763213363867769E-2</v>
      </c>
      <c r="AO7" s="32">
        <f t="shared" si="8"/>
        <v>4.889974072479189E-2</v>
      </c>
      <c r="AP7" s="34">
        <f t="shared" si="9"/>
        <v>4.9200964136869751E-2</v>
      </c>
      <c r="AQ7" s="36">
        <f t="shared" si="10"/>
        <v>4.9621656083315924E-2</v>
      </c>
      <c r="BD7" s="13">
        <f t="shared" si="23"/>
        <v>4</v>
      </c>
      <c r="BE7" s="42">
        <f t="shared" si="11"/>
        <v>4.1235577236720375E-2</v>
      </c>
      <c r="BF7" s="32">
        <f t="shared" si="12"/>
        <v>4.1293526008479492E-2</v>
      </c>
      <c r="BG7" s="34">
        <f t="shared" si="13"/>
        <v>4.1429777113688074E-2</v>
      </c>
      <c r="BH7" s="36">
        <f t="shared" si="14"/>
        <v>4.1641259185332853E-2</v>
      </c>
      <c r="BU7" s="13">
        <f t="shared" si="24"/>
        <v>4</v>
      </c>
      <c r="BV7" s="42">
        <f t="shared" si="15"/>
        <v>4.439330875992361E-2</v>
      </c>
      <c r="BW7" s="32">
        <f t="shared" si="16"/>
        <v>4.4573885090298221E-2</v>
      </c>
      <c r="BX7" s="34">
        <f t="shared" si="17"/>
        <v>4.4990037121465709E-2</v>
      </c>
      <c r="BY7" s="36">
        <f t="shared" si="18"/>
        <v>4.5612985467359438E-2</v>
      </c>
    </row>
    <row r="8" spans="1:77" x14ac:dyDescent="0.25">
      <c r="A8" t="s">
        <v>7</v>
      </c>
      <c r="B8" s="8">
        <f>summary!C24</f>
        <v>5.5833646253055487E-2</v>
      </c>
      <c r="D8" s="13">
        <f t="shared" si="19"/>
        <v>5</v>
      </c>
      <c r="E8" s="42">
        <f t="shared" si="0"/>
        <v>4.2910533768251165E-2</v>
      </c>
      <c r="F8" s="32">
        <f t="shared" si="1"/>
        <v>4.3038401775840618E-2</v>
      </c>
      <c r="G8" s="34">
        <f t="shared" si="2"/>
        <v>4.3336049406866667E-2</v>
      </c>
      <c r="H8" s="36">
        <f t="shared" si="3"/>
        <v>4.3789744312301711E-2</v>
      </c>
      <c r="V8" s="13">
        <f t="shared" si="20"/>
        <v>5</v>
      </c>
      <c r="W8" s="42">
        <f t="shared" si="4"/>
        <v>4.0130114272933434E-2</v>
      </c>
      <c r="X8" s="32">
        <f t="shared" si="5"/>
        <v>4.0143106531313068E-2</v>
      </c>
      <c r="Y8" s="34">
        <f t="shared" si="21"/>
        <v>4.0176284644982407E-2</v>
      </c>
      <c r="Z8" s="36">
        <f t="shared" si="6"/>
        <v>4.0235249719179085E-2</v>
      </c>
      <c r="AM8" s="13">
        <f t="shared" si="22"/>
        <v>5</v>
      </c>
      <c r="AN8" s="42">
        <f t="shared" si="7"/>
        <v>5.0053853434863183E-2</v>
      </c>
      <c r="AO8" s="32">
        <f t="shared" si="8"/>
        <v>5.0193022059208857E-2</v>
      </c>
      <c r="AP8" s="34">
        <f t="shared" si="9"/>
        <v>5.0497641045067578E-2</v>
      </c>
      <c r="AQ8" s="36">
        <f t="shared" si="10"/>
        <v>5.0917291474942027E-2</v>
      </c>
      <c r="BD8" s="13">
        <f t="shared" si="23"/>
        <v>5</v>
      </c>
      <c r="BE8" s="42">
        <f t="shared" si="11"/>
        <v>4.1529101815261024E-2</v>
      </c>
      <c r="BF8" s="32">
        <f t="shared" si="12"/>
        <v>4.1600046048835118E-2</v>
      </c>
      <c r="BG8" s="34">
        <f t="shared" si="13"/>
        <v>4.176657379728646E-2</v>
      </c>
      <c r="BH8" s="36">
        <f t="shared" si="14"/>
        <v>4.2024269625691613E-2</v>
      </c>
      <c r="BU8" s="13">
        <f t="shared" si="24"/>
        <v>5</v>
      </c>
      <c r="BV8" s="42">
        <f t="shared" si="15"/>
        <v>4.5286054521765082E-2</v>
      </c>
      <c r="BW8" s="32">
        <f t="shared" si="16"/>
        <v>4.5493748631551909E-2</v>
      </c>
      <c r="BX8" s="34">
        <f t="shared" si="17"/>
        <v>4.5969214243294754E-2</v>
      </c>
      <c r="BY8" s="36">
        <f t="shared" si="18"/>
        <v>4.6672422638469518E-2</v>
      </c>
    </row>
    <row r="9" spans="1:77" x14ac:dyDescent="0.25">
      <c r="D9" s="13">
        <f t="shared" si="19"/>
        <v>6</v>
      </c>
      <c r="E9" s="42">
        <f t="shared" si="0"/>
        <v>4.342500120012957E-2</v>
      </c>
      <c r="F9" s="32">
        <f t="shared" si="1"/>
        <v>4.3572188153250743E-2</v>
      </c>
      <c r="G9" s="34">
        <f t="shared" si="2"/>
        <v>4.3913663543219843E-2</v>
      </c>
      <c r="H9" s="36">
        <f t="shared" si="3"/>
        <v>4.4431031134050322E-2</v>
      </c>
      <c r="V9" s="13">
        <f t="shared" si="20"/>
        <v>6</v>
      </c>
      <c r="W9" s="42">
        <f t="shared" si="4"/>
        <v>4.0156008538357962E-2</v>
      </c>
      <c r="X9" s="32">
        <f t="shared" si="5"/>
        <v>4.0171572252136467E-2</v>
      </c>
      <c r="Y9" s="34">
        <f t="shared" si="21"/>
        <v>4.0211305350399108E-2</v>
      </c>
      <c r="Z9" s="36">
        <f t="shared" si="6"/>
        <v>4.0281878560945963E-2</v>
      </c>
      <c r="AM9" s="13">
        <f t="shared" si="22"/>
        <v>6</v>
      </c>
      <c r="AN9" s="42">
        <f t="shared" si="7"/>
        <v>5.1108899473786482E-2</v>
      </c>
      <c r="AO9" s="32">
        <f t="shared" si="8"/>
        <v>5.1245086289768024E-2</v>
      </c>
      <c r="AP9" s="34">
        <f t="shared" si="9"/>
        <v>5.1540820050787847E-2</v>
      </c>
      <c r="AQ9" s="36">
        <f t="shared" si="10"/>
        <v>5.1942696067393428E-2</v>
      </c>
      <c r="BD9" s="13">
        <f t="shared" si="23"/>
        <v>6</v>
      </c>
      <c r="BE9" s="42">
        <f t="shared" si="11"/>
        <v>4.1816724470875352E-2</v>
      </c>
      <c r="BF9" s="32">
        <f t="shared" si="12"/>
        <v>4.1900104345163933E-2</v>
      </c>
      <c r="BG9" s="34">
        <f t="shared" si="13"/>
        <v>4.2095495374204456E-2</v>
      </c>
      <c r="BH9" s="36">
        <f t="shared" si="14"/>
        <v>4.2396943750057592E-2</v>
      </c>
      <c r="BU9" s="13">
        <f t="shared" si="24"/>
        <v>6</v>
      </c>
      <c r="BV9" s="42">
        <f t="shared" si="15"/>
        <v>4.6109134944121215E-2</v>
      </c>
      <c r="BW9" s="32">
        <f t="shared" si="16"/>
        <v>4.633846413704383E-2</v>
      </c>
      <c r="BX9" s="34">
        <f t="shared" si="17"/>
        <v>4.6859971741705218E-2</v>
      </c>
      <c r="BY9" s="36">
        <f t="shared" si="18"/>
        <v>4.7622042338570245E-2</v>
      </c>
    </row>
    <row r="10" spans="1:77" x14ac:dyDescent="0.25">
      <c r="D10" s="13">
        <f t="shared" si="19"/>
        <v>7</v>
      </c>
      <c r="E10" s="42">
        <f t="shared" si="0"/>
        <v>4.3918987750271879E-2</v>
      </c>
      <c r="F10" s="32">
        <f t="shared" si="1"/>
        <v>4.4083706265508449E-2</v>
      </c>
      <c r="G10" s="34">
        <f t="shared" si="2"/>
        <v>4.4464581499929746E-2</v>
      </c>
      <c r="H10" s="36">
        <f t="shared" si="3"/>
        <v>4.5038172145763999E-2</v>
      </c>
      <c r="V10" s="13">
        <f t="shared" si="20"/>
        <v>7</v>
      </c>
      <c r="W10" s="42">
        <f t="shared" si="4"/>
        <v>4.0181860105554947E-2</v>
      </c>
      <c r="X10" s="32">
        <f t="shared" si="5"/>
        <v>4.0199986330551364E-2</v>
      </c>
      <c r="Y10" s="34">
        <f t="shared" si="21"/>
        <v>4.024624772526187E-2</v>
      </c>
      <c r="Z10" s="36">
        <f t="shared" si="6"/>
        <v>4.0328368013457044E-2</v>
      </c>
      <c r="AM10" s="13">
        <f t="shared" si="22"/>
        <v>7</v>
      </c>
      <c r="AN10" s="42">
        <f t="shared" si="7"/>
        <v>5.1971356923592164E-2</v>
      </c>
      <c r="AO10" s="32">
        <f t="shared" si="8"/>
        <v>5.2100924161827808E-2</v>
      </c>
      <c r="AP10" s="34">
        <f t="shared" si="9"/>
        <v>5.2380059518303303E-2</v>
      </c>
      <c r="AQ10" s="36">
        <f t="shared" si="10"/>
        <v>5.2754231924638559E-2</v>
      </c>
      <c r="BD10" s="13">
        <f t="shared" si="23"/>
        <v>7</v>
      </c>
      <c r="BE10" s="42">
        <f t="shared" si="11"/>
        <v>4.2098563874014748E-2</v>
      </c>
      <c r="BF10" s="32">
        <f t="shared" si="12"/>
        <v>4.2193837117387528E-2</v>
      </c>
      <c r="BG10" s="34">
        <f t="shared" si="13"/>
        <v>4.2416725983147247E-2</v>
      </c>
      <c r="BH10" s="36">
        <f t="shared" si="14"/>
        <v>4.2759560504947766E-2</v>
      </c>
      <c r="BU10" s="13">
        <f t="shared" si="24"/>
        <v>7</v>
      </c>
      <c r="BV10" s="42">
        <f>$B$8-($B$8-$B$7)*EXP(-($BV$2*2)*BU10)</f>
        <v>4.6867986355824967E-2</v>
      </c>
      <c r="BW10" s="32">
        <f t="shared" si="16"/>
        <v>4.7114170807889801E-2</v>
      </c>
      <c r="BX10" s="34">
        <f t="shared" si="17"/>
        <v>4.7670293902309174E-2</v>
      </c>
      <c r="BY10" s="36">
        <f t="shared" si="18"/>
        <v>4.8473227854247868E-2</v>
      </c>
    </row>
    <row r="11" spans="1:77" x14ac:dyDescent="0.25">
      <c r="D11" s="13">
        <f t="shared" si="19"/>
        <v>8</v>
      </c>
      <c r="E11" s="42">
        <f t="shared" si="0"/>
        <v>4.439330875992361E-2</v>
      </c>
      <c r="F11" s="32">
        <f t="shared" si="1"/>
        <v>4.4573885090298221E-2</v>
      </c>
      <c r="G11" s="34">
        <f t="shared" si="2"/>
        <v>4.4990037121465709E-2</v>
      </c>
      <c r="H11" s="36">
        <f t="shared" si="3"/>
        <v>4.5612985467359438E-2</v>
      </c>
      <c r="V11" s="13">
        <f t="shared" si="20"/>
        <v>8</v>
      </c>
      <c r="W11" s="42">
        <f t="shared" si="4"/>
        <v>4.0207669044931414E-2</v>
      </c>
      <c r="X11" s="32">
        <f t="shared" si="5"/>
        <v>4.0228348860247225E-2</v>
      </c>
      <c r="Y11" s="34">
        <f t="shared" si="21"/>
        <v>4.0281111944772081E-2</v>
      </c>
      <c r="Z11" s="36">
        <f t="shared" si="6"/>
        <v>4.0374718493393594E-2</v>
      </c>
      <c r="AM11" s="13">
        <f t="shared" si="22"/>
        <v>8</v>
      </c>
      <c r="AN11" s="42">
        <f t="shared" si="7"/>
        <v>5.2676380993901394E-2</v>
      </c>
      <c r="AO11" s="32">
        <f t="shared" si="8"/>
        <v>5.2797134946280119E-2</v>
      </c>
      <c r="AP11" s="34">
        <f t="shared" si="9"/>
        <v>5.3055229244662321E-2</v>
      </c>
      <c r="AQ11" s="36">
        <f t="shared" si="10"/>
        <v>5.3396505669502645E-2</v>
      </c>
      <c r="BD11" s="13">
        <f t="shared" si="23"/>
        <v>8</v>
      </c>
      <c r="BE11" s="42">
        <f t="shared" si="11"/>
        <v>4.237473630901404E-2</v>
      </c>
      <c r="BF11" s="32">
        <f t="shared" si="12"/>
        <v>4.2481377713777552E-2</v>
      </c>
      <c r="BG11" s="34">
        <f t="shared" si="13"/>
        <v>4.273044545721958E-2</v>
      </c>
      <c r="BH11" s="36">
        <f t="shared" si="14"/>
        <v>4.3112391308939818E-2</v>
      </c>
      <c r="BU11" s="13">
        <f t="shared" si="24"/>
        <v>8</v>
      </c>
      <c r="BV11" s="42">
        <f t="shared" si="15"/>
        <v>4.7567620862251886E-2</v>
      </c>
      <c r="BW11" s="32">
        <f t="shared" si="16"/>
        <v>4.7826506304613658E-2</v>
      </c>
      <c r="BX11" s="34">
        <f t="shared" si="17"/>
        <v>4.840744403030426E-2</v>
      </c>
      <c r="BY11" s="36">
        <f t="shared" si="18"/>
        <v>4.9236182521281979E-2</v>
      </c>
    </row>
    <row r="12" spans="1:77" x14ac:dyDescent="0.25">
      <c r="D12" s="13">
        <f t="shared" si="19"/>
        <v>9</v>
      </c>
      <c r="E12" s="42">
        <f t="shared" si="0"/>
        <v>4.4848747111701052E-2</v>
      </c>
      <c r="F12" s="32">
        <f t="shared" si="1"/>
        <v>4.5043614850622395E-2</v>
      </c>
      <c r="G12" s="34">
        <f t="shared" si="2"/>
        <v>4.5491207226453105E-2</v>
      </c>
      <c r="H12" s="36">
        <f t="shared" si="3"/>
        <v>4.615719241156007E-2</v>
      </c>
      <c r="V12" s="13">
        <f t="shared" si="20"/>
        <v>9</v>
      </c>
      <c r="W12" s="42">
        <f t="shared" si="4"/>
        <v>4.0233435426778312E-2</v>
      </c>
      <c r="X12" s="32">
        <f t="shared" si="5"/>
        <v>4.0256659934743547E-2</v>
      </c>
      <c r="Y12" s="34">
        <f t="shared" si="21"/>
        <v>4.0315898183739228E-2</v>
      </c>
      <c r="Z12" s="36">
        <f t="shared" si="6"/>
        <v>4.0420930416191263E-2</v>
      </c>
      <c r="AM12" s="13">
        <f t="shared" si="22"/>
        <v>9</v>
      </c>
      <c r="AN12" s="42">
        <f t="shared" si="7"/>
        <v>5.3252709646204627E-2</v>
      </c>
      <c r="AO12" s="32">
        <f t="shared" si="8"/>
        <v>5.3363491580184545E-2</v>
      </c>
      <c r="AP12" s="34">
        <f t="shared" si="9"/>
        <v>5.3598404556401719E-2</v>
      </c>
      <c r="AQ12" s="36">
        <f t="shared" si="10"/>
        <v>5.3904820317165994E-2</v>
      </c>
      <c r="BD12" s="13">
        <f t="shared" si="23"/>
        <v>9</v>
      </c>
      <c r="BE12" s="42">
        <f t="shared" si="11"/>
        <v>4.2645355722069331E-2</v>
      </c>
      <c r="BF12" s="32">
        <f t="shared" si="12"/>
        <v>4.2762856671492877E-2</v>
      </c>
      <c r="BG12" s="34">
        <f t="shared" si="13"/>
        <v>4.3036829424600936E-2</v>
      </c>
      <c r="BH12" s="36">
        <f t="shared" si="14"/>
        <v>4.3455700255828872E-2</v>
      </c>
      <c r="BU12" s="13">
        <f t="shared" si="24"/>
        <v>9</v>
      </c>
      <c r="BV12" s="42">
        <f t="shared" si="15"/>
        <v>4.8212659449561407E-2</v>
      </c>
      <c r="BW12" s="32">
        <f t="shared" si="16"/>
        <v>4.848064772038805E-2</v>
      </c>
      <c r="BX12" s="34">
        <f t="shared" si="17"/>
        <v>4.9078029554953093E-2</v>
      </c>
      <c r="BY12" s="36">
        <f t="shared" si="18"/>
        <v>4.9920052034129289E-2</v>
      </c>
    </row>
    <row r="13" spans="1:77" x14ac:dyDescent="0.25">
      <c r="D13" s="13">
        <f t="shared" si="19"/>
        <v>10</v>
      </c>
      <c r="E13" s="56">
        <f>$B$8-($B$8-$B$7)*EXP(-$E$2*D13)</f>
        <v>4.5286054521765082E-2</v>
      </c>
      <c r="F13" s="38">
        <f t="shared" si="1"/>
        <v>4.5493748631551909E-2</v>
      </c>
      <c r="G13" s="39">
        <f t="shared" si="2"/>
        <v>4.5969214243294754E-2</v>
      </c>
      <c r="H13" s="40">
        <f t="shared" si="3"/>
        <v>4.6672422638469518E-2</v>
      </c>
      <c r="V13" s="13">
        <f t="shared" si="20"/>
        <v>10</v>
      </c>
      <c r="W13" s="42">
        <f t="shared" si="4"/>
        <v>4.0259159321270686E-2</v>
      </c>
      <c r="X13" s="32">
        <f t="shared" si="5"/>
        <v>4.0284919647390185E-2</v>
      </c>
      <c r="Y13" s="34">
        <f t="shared" si="21"/>
        <v>4.0350606616581824E-2</v>
      </c>
      <c r="Z13" s="36">
        <f t="shared" si="6"/>
        <v>4.0467004196043842E-2</v>
      </c>
      <c r="AM13" s="13">
        <f t="shared" si="22"/>
        <v>10</v>
      </c>
      <c r="AN13" s="42">
        <f t="shared" si="7"/>
        <v>5.3723835001286434E-2</v>
      </c>
      <c r="AO13" s="32">
        <f t="shared" si="8"/>
        <v>5.3824213884306679E-2</v>
      </c>
      <c r="AP13" s="34">
        <f t="shared" si="9"/>
        <v>5.4035390113906262E-2</v>
      </c>
      <c r="AQ13" s="36">
        <f t="shared" si="10"/>
        <v>5.4307115729512009E-2</v>
      </c>
      <c r="BD13" s="13">
        <f t="shared" si="23"/>
        <v>10</v>
      </c>
      <c r="BE13" s="42">
        <f t="shared" si="11"/>
        <v>4.2910533768251165E-2</v>
      </c>
      <c r="BF13" s="32">
        <f t="shared" si="12"/>
        <v>4.3038401775840618E-2</v>
      </c>
      <c r="BG13" s="34">
        <f t="shared" si="13"/>
        <v>4.3336049406866667E-2</v>
      </c>
      <c r="BH13" s="36">
        <f t="shared" si="14"/>
        <v>4.3789744312301711E-2</v>
      </c>
      <c r="BU13" s="13">
        <f t="shared" si="24"/>
        <v>10</v>
      </c>
      <c r="BV13" s="42">
        <f t="shared" si="15"/>
        <v>4.8807362505651632E-2</v>
      </c>
      <c r="BW13" s="32">
        <f t="shared" si="16"/>
        <v>4.9081349206975919E-2</v>
      </c>
      <c r="BX13" s="34">
        <f t="shared" si="17"/>
        <v>4.9688061255132823E-2</v>
      </c>
      <c r="BY13" s="36">
        <f t="shared" si="18"/>
        <v>5.053303407724339E-2</v>
      </c>
    </row>
    <row r="14" spans="1:77" x14ac:dyDescent="0.25">
      <c r="D14" s="13">
        <f t="shared" si="19"/>
        <v>11</v>
      </c>
      <c r="E14" s="42">
        <f t="shared" si="0"/>
        <v>4.5705952780553706E-2</v>
      </c>
      <c r="F14" s="32">
        <f t="shared" si="1"/>
        <v>4.5925103929530184E-2</v>
      </c>
      <c r="G14" s="34">
        <f t="shared" si="2"/>
        <v>4.6425128723979102E-2</v>
      </c>
      <c r="H14" s="36">
        <f t="shared" si="3"/>
        <v>4.7160219035685833E-2</v>
      </c>
      <c r="V14" s="13">
        <f t="shared" si="20"/>
        <v>11</v>
      </c>
      <c r="W14" s="42">
        <f t="shared" si="4"/>
        <v>4.0284840798467857E-2</v>
      </c>
      <c r="X14" s="32">
        <f t="shared" si="5"/>
        <v>4.0313128091367598E-2</v>
      </c>
      <c r="Y14" s="34">
        <f t="shared" si="21"/>
        <v>4.038523741732826E-2</v>
      </c>
      <c r="Z14" s="36">
        <f t="shared" si="6"/>
        <v>4.0512940245906945E-2</v>
      </c>
      <c r="AM14" s="13">
        <f t="shared" si="22"/>
        <v>11</v>
      </c>
      <c r="AN14" s="42">
        <f t="shared" si="7"/>
        <v>5.4108960917400313E-2</v>
      </c>
      <c r="AO14" s="32">
        <f t="shared" si="8"/>
        <v>5.4199004305762986E-2</v>
      </c>
      <c r="AP14" s="34">
        <f t="shared" si="9"/>
        <v>5.4386945814875194E-2</v>
      </c>
      <c r="AQ14" s="36">
        <f t="shared" si="10"/>
        <v>5.4625504348723777E-2</v>
      </c>
      <c r="BD14" s="13">
        <f t="shared" si="23"/>
        <v>11</v>
      </c>
      <c r="BE14" s="42">
        <f t="shared" si="11"/>
        <v>4.3170379857572355E-2</v>
      </c>
      <c r="BF14" s="32">
        <f t="shared" si="12"/>
        <v>4.3308138118287931E-2</v>
      </c>
      <c r="BG14" s="34">
        <f t="shared" si="13"/>
        <v>4.3628272915010181E-2</v>
      </c>
      <c r="BH14" s="36">
        <f t="shared" si="14"/>
        <v>4.4114773510276234E-2</v>
      </c>
      <c r="BU14" s="13">
        <f t="shared" si="24"/>
        <v>11</v>
      </c>
      <c r="BV14" s="42">
        <f t="shared" si="15"/>
        <v>4.9355657959413914E-2</v>
      </c>
      <c r="BW14" s="32">
        <f t="shared" si="16"/>
        <v>4.9632976526829527E-2</v>
      </c>
      <c r="BX14" s="34">
        <f t="shared" si="17"/>
        <v>5.0243007136821886E-2</v>
      </c>
      <c r="BY14" s="36">
        <f t="shared" si="18"/>
        <v>5.108247659240378E-2</v>
      </c>
    </row>
    <row r="15" spans="1:77" x14ac:dyDescent="0.25">
      <c r="D15" s="13">
        <f t="shared" si="19"/>
        <v>12</v>
      </c>
      <c r="E15" s="42">
        <f t="shared" si="0"/>
        <v>4.6109134944121215E-2</v>
      </c>
      <c r="F15" s="32">
        <f t="shared" si="1"/>
        <v>4.633846413704383E-2</v>
      </c>
      <c r="G15" s="34">
        <f t="shared" si="2"/>
        <v>4.6859971741705218E-2</v>
      </c>
      <c r="H15" s="36">
        <f t="shared" si="3"/>
        <v>4.7622042338570245E-2</v>
      </c>
      <c r="V15" s="13">
        <f t="shared" si="20"/>
        <v>12</v>
      </c>
      <c r="W15" s="42">
        <f t="shared" si="4"/>
        <v>4.0310479928313624E-2</v>
      </c>
      <c r="X15" s="32">
        <f t="shared" si="5"/>
        <v>4.0341285359687243E-2</v>
      </c>
      <c r="Y15" s="34">
        <f t="shared" si="21"/>
        <v>4.0419790759617658E-2</v>
      </c>
      <c r="Z15" s="36">
        <f t="shared" si="6"/>
        <v>4.0558738977501743E-2</v>
      </c>
      <c r="AM15" s="13">
        <f t="shared" si="22"/>
        <v>12</v>
      </c>
      <c r="AN15" s="42">
        <f t="shared" si="7"/>
        <v>5.4423785771683102E-2</v>
      </c>
      <c r="AO15" s="32">
        <f t="shared" si="8"/>
        <v>5.4503890478536932E-2</v>
      </c>
      <c r="AP15" s="34">
        <f t="shared" si="9"/>
        <v>5.466977303596126E-2</v>
      </c>
      <c r="AQ15" s="36">
        <f t="shared" si="10"/>
        <v>5.4877486622775626E-2</v>
      </c>
      <c r="BD15" s="13">
        <f t="shared" si="23"/>
        <v>12</v>
      </c>
      <c r="BE15" s="42">
        <f t="shared" si="11"/>
        <v>4.342500120012957E-2</v>
      </c>
      <c r="BF15" s="32">
        <f t="shared" si="12"/>
        <v>4.3572188153250743E-2</v>
      </c>
      <c r="BG15" s="34">
        <f t="shared" si="13"/>
        <v>4.3913663543219843E-2</v>
      </c>
      <c r="BH15" s="36">
        <f t="shared" si="14"/>
        <v>4.4431031134050322E-2</v>
      </c>
      <c r="BU15" s="13">
        <f t="shared" si="24"/>
        <v>12</v>
      </c>
      <c r="BV15" s="42">
        <f t="shared" si="15"/>
        <v>4.9861167224143133E-2</v>
      </c>
      <c r="BW15" s="32">
        <f t="shared" si="16"/>
        <v>5.013953878246391E-2</v>
      </c>
      <c r="BX15" s="34">
        <f t="shared" si="17"/>
        <v>5.0747841445453579E-2</v>
      </c>
      <c r="BY15" s="36">
        <f t="shared" si="18"/>
        <v>5.1574965860004707E-2</v>
      </c>
    </row>
    <row r="16" spans="1:77" x14ac:dyDescent="0.25">
      <c r="D16" s="13">
        <f t="shared" si="19"/>
        <v>13</v>
      </c>
      <c r="E16" s="42">
        <f t="shared" si="0"/>
        <v>4.649626647805026E-2</v>
      </c>
      <c r="F16" s="32">
        <f t="shared" si="1"/>
        <v>4.6734579965356515E-2</v>
      </c>
      <c r="G16" s="34">
        <f t="shared" si="2"/>
        <v>4.7274717177694277E-2</v>
      </c>
      <c r="H16" s="36">
        <f t="shared" si="3"/>
        <v>4.8059275504506255E-2</v>
      </c>
      <c r="V16" s="13">
        <f t="shared" si="20"/>
        <v>13</v>
      </c>
      <c r="W16" s="42">
        <f t="shared" si="4"/>
        <v>4.0336076780636457E-2</v>
      </c>
      <c r="X16" s="32">
        <f t="shared" si="5"/>
        <v>4.0369391545191806E-2</v>
      </c>
      <c r="Y16" s="34">
        <f t="shared" si="21"/>
        <v>4.04542668167008E-2</v>
      </c>
      <c r="Z16" s="36">
        <f t="shared" si="6"/>
        <v>4.0604400801318621E-2</v>
      </c>
      <c r="AM16" s="13">
        <f t="shared" si="22"/>
        <v>13</v>
      </c>
      <c r="AN16" s="42">
        <f t="shared" si="7"/>
        <v>5.4681142352290026E-2</v>
      </c>
      <c r="AO16" s="32">
        <f t="shared" si="8"/>
        <v>5.4751910633341186E-2</v>
      </c>
      <c r="AP16" s="34">
        <f t="shared" si="9"/>
        <v>5.4897308066019945E-2</v>
      </c>
      <c r="AQ16" s="36">
        <f t="shared" si="10"/>
        <v>5.5076912929512147E-2</v>
      </c>
      <c r="BD16" s="13">
        <f t="shared" si="23"/>
        <v>13</v>
      </c>
      <c r="BE16" s="42">
        <f t="shared" si="11"/>
        <v>4.3674502850337207E-2</v>
      </c>
      <c r="BF16" s="32">
        <f t="shared" si="12"/>
        <v>4.3830671753685407E-2</v>
      </c>
      <c r="BG16" s="34">
        <f t="shared" si="13"/>
        <v>4.41923810604632E-2</v>
      </c>
      <c r="BH16" s="36">
        <f t="shared" si="14"/>
        <v>4.4738753902400133E-2</v>
      </c>
      <c r="BU16" s="13">
        <f t="shared" si="24"/>
        <v>13</v>
      </c>
      <c r="BV16" s="42">
        <f t="shared" si="15"/>
        <v>5.0327229116456151E-2</v>
      </c>
      <c r="BW16" s="32">
        <f t="shared" si="16"/>
        <v>5.0604717553706588E-2</v>
      </c>
      <c r="BX16" s="34">
        <f t="shared" si="17"/>
        <v>5.1207089252457656E-2</v>
      </c>
      <c r="BY16" s="36">
        <f t="shared" si="18"/>
        <v>5.2016405450152341E-2</v>
      </c>
    </row>
    <row r="17" spans="4:82" x14ac:dyDescent="0.25">
      <c r="D17" s="13">
        <f t="shared" si="19"/>
        <v>14</v>
      </c>
      <c r="E17" s="42">
        <f t="shared" si="0"/>
        <v>4.6867986355824967E-2</v>
      </c>
      <c r="F17" s="32">
        <f t="shared" si="1"/>
        <v>4.7114170807889801E-2</v>
      </c>
      <c r="G17" s="34">
        <f t="shared" si="2"/>
        <v>4.7670293902309174E-2</v>
      </c>
      <c r="H17" s="36">
        <f t="shared" si="3"/>
        <v>4.8473227854247868E-2</v>
      </c>
      <c r="V17" s="13">
        <f t="shared" si="20"/>
        <v>14</v>
      </c>
      <c r="W17" s="42">
        <f t="shared" si="4"/>
        <v>4.0361631425149674E-2</v>
      </c>
      <c r="X17" s="32">
        <f t="shared" si="5"/>
        <v>4.0397446740555544E-2</v>
      </c>
      <c r="Y17" s="34">
        <f t="shared" si="21"/>
        <v>4.0488665761440917E-2</v>
      </c>
      <c r="Z17" s="36">
        <f t="shared" si="6"/>
        <v>4.0649926126620856E-2</v>
      </c>
      <c r="AM17" s="13">
        <f t="shared" si="22"/>
        <v>14</v>
      </c>
      <c r="AN17" s="42">
        <f t="shared" si="7"/>
        <v>5.4891520944325187E-2</v>
      </c>
      <c r="AO17" s="32">
        <f t="shared" si="8"/>
        <v>5.4953671167869381E-2</v>
      </c>
      <c r="AP17" s="34">
        <f t="shared" si="9"/>
        <v>5.5080360424647229E-2</v>
      </c>
      <c r="AQ17" s="36">
        <f t="shared" si="10"/>
        <v>5.5234744872128809E-2</v>
      </c>
      <c r="BD17" s="13">
        <f t="shared" si="23"/>
        <v>14</v>
      </c>
      <c r="BE17" s="42">
        <f t="shared" si="11"/>
        <v>4.3918987750271879E-2</v>
      </c>
      <c r="BF17" s="32">
        <f t="shared" si="12"/>
        <v>4.4083706265508449E-2</v>
      </c>
      <c r="BG17" s="34">
        <f t="shared" si="13"/>
        <v>4.4464581499929746E-2</v>
      </c>
      <c r="BH17" s="36">
        <f t="shared" si="14"/>
        <v>4.5038172145763999E-2</v>
      </c>
      <c r="BU17" s="13">
        <f t="shared" si="24"/>
        <v>14</v>
      </c>
      <c r="BV17" s="42">
        <f t="shared" si="15"/>
        <v>5.0756921908699515E-2</v>
      </c>
      <c r="BW17" s="32">
        <f t="shared" si="16"/>
        <v>5.103189365458654E-2</v>
      </c>
      <c r="BX17" s="34">
        <f t="shared" si="17"/>
        <v>5.1624867015640383E-2</v>
      </c>
      <c r="BY17" s="36">
        <f t="shared" si="18"/>
        <v>5.2412086989973475E-2</v>
      </c>
    </row>
    <row r="18" spans="4:82" x14ac:dyDescent="0.25">
      <c r="D18" s="13">
        <f t="shared" si="19"/>
        <v>15</v>
      </c>
      <c r="E18" s="42">
        <f t="shared" si="0"/>
        <v>4.7224908113477938E-2</v>
      </c>
      <c r="F18" s="32">
        <f t="shared" si="1"/>
        <v>4.747792604672714E-2</v>
      </c>
      <c r="G18" s="34">
        <f t="shared" si="2"/>
        <v>4.8047587855367106E-2</v>
      </c>
      <c r="H18" s="36">
        <f t="shared" si="3"/>
        <v>4.886513899275851E-2</v>
      </c>
      <c r="V18" s="13">
        <f t="shared" si="20"/>
        <v>15</v>
      </c>
      <c r="W18" s="42">
        <f t="shared" si="4"/>
        <v>4.0387143931451638E-2</v>
      </c>
      <c r="X18" s="32">
        <f t="shared" si="5"/>
        <v>4.0425451038284592E-2</v>
      </c>
      <c r="Y18" s="34">
        <f t="shared" si="21"/>
        <v>4.0522987766314633E-2</v>
      </c>
      <c r="Z18" s="36">
        <f t="shared" si="6"/>
        <v>4.0695315361448325E-2</v>
      </c>
      <c r="AM18" s="13">
        <f t="shared" si="22"/>
        <v>15</v>
      </c>
      <c r="AN18" s="42">
        <f t="shared" si="7"/>
        <v>5.5063496931425739E-2</v>
      </c>
      <c r="AO18" s="32">
        <f t="shared" si="8"/>
        <v>5.5117800221515169E-2</v>
      </c>
      <c r="AP18" s="34">
        <f t="shared" si="9"/>
        <v>5.5227626390640994E-2</v>
      </c>
      <c r="AQ18" s="36">
        <f t="shared" si="10"/>
        <v>5.5359657791180461E-2</v>
      </c>
      <c r="BD18" s="13">
        <f t="shared" si="23"/>
        <v>15</v>
      </c>
      <c r="BE18" s="42">
        <f t="shared" si="11"/>
        <v>4.4158556772145377E-2</v>
      </c>
      <c r="BF18" s="32">
        <f t="shared" si="12"/>
        <v>4.433140656086898E-2</v>
      </c>
      <c r="BG18" s="34">
        <f t="shared" si="13"/>
        <v>4.4730417246382256E-2</v>
      </c>
      <c r="BH18" s="36">
        <f t="shared" si="14"/>
        <v>4.5329509978644766E-2</v>
      </c>
      <c r="BU18" s="13">
        <f t="shared" si="24"/>
        <v>15</v>
      </c>
      <c r="BV18" s="42">
        <f t="shared" si="15"/>
        <v>5.1153083660499421E-2</v>
      </c>
      <c r="BW18" s="32">
        <f t="shared" si="16"/>
        <v>5.1424171704325394E-2</v>
      </c>
      <c r="BX18" s="34">
        <f t="shared" si="17"/>
        <v>5.200491947696529E-2</v>
      </c>
      <c r="BY18" s="36">
        <f t="shared" si="18"/>
        <v>5.2766753595437796E-2</v>
      </c>
    </row>
    <row r="19" spans="4:82" x14ac:dyDescent="0.25">
      <c r="D19" s="13">
        <f t="shared" si="19"/>
        <v>16</v>
      </c>
      <c r="E19" s="42">
        <f t="shared" si="0"/>
        <v>4.7567620862251886E-2</v>
      </c>
      <c r="F19" s="32">
        <f t="shared" si="1"/>
        <v>4.7826506304613658E-2</v>
      </c>
      <c r="G19" s="34">
        <f t="shared" si="2"/>
        <v>4.840744403030426E-2</v>
      </c>
      <c r="H19" s="36">
        <f t="shared" si="3"/>
        <v>4.9236182521281979E-2</v>
      </c>
      <c r="V19" s="13">
        <f t="shared" si="20"/>
        <v>16</v>
      </c>
      <c r="W19" s="42">
        <f t="shared" si="4"/>
        <v>4.0412614369025976E-2</v>
      </c>
      <c r="X19" s="32">
        <f t="shared" si="5"/>
        <v>4.0453404530717253E-2</v>
      </c>
      <c r="Y19" s="34">
        <f t="shared" si="21"/>
        <v>4.0557233003412782E-2</v>
      </c>
      <c r="Z19" s="36">
        <f t="shared" si="6"/>
        <v>4.0740568912621129E-2</v>
      </c>
      <c r="AM19" s="13">
        <f t="shared" si="22"/>
        <v>16</v>
      </c>
      <c r="AN19" s="42">
        <f t="shared" si="7"/>
        <v>5.5204080342756229E-2</v>
      </c>
      <c r="AO19" s="32">
        <f t="shared" si="8"/>
        <v>5.5251316651344487E-2</v>
      </c>
      <c r="AP19" s="34">
        <f t="shared" si="9"/>
        <v>5.5346102136611765E-2</v>
      </c>
      <c r="AQ19" s="36">
        <f t="shared" si="10"/>
        <v>5.5458517610601818E-2</v>
      </c>
      <c r="BD19" s="13">
        <f t="shared" si="23"/>
        <v>16</v>
      </c>
      <c r="BE19" s="42">
        <f t="shared" si="11"/>
        <v>4.439330875992361E-2</v>
      </c>
      <c r="BF19" s="32">
        <f t="shared" si="12"/>
        <v>4.4573885090298221E-2</v>
      </c>
      <c r="BG19" s="34">
        <f t="shared" si="13"/>
        <v>4.4990037121465709E-2</v>
      </c>
      <c r="BH19" s="36">
        <f t="shared" si="14"/>
        <v>4.5612985467359438E-2</v>
      </c>
      <c r="BU19" s="13">
        <f t="shared" si="24"/>
        <v>16</v>
      </c>
      <c r="BV19" s="42">
        <f t="shared" si="15"/>
        <v>5.1518330963740845E-2</v>
      </c>
      <c r="BW19" s="32">
        <f t="shared" si="16"/>
        <v>5.1784402691007321E-2</v>
      </c>
      <c r="BX19" s="34">
        <f t="shared" si="17"/>
        <v>5.2350653228466916E-2</v>
      </c>
      <c r="BY19" s="36">
        <f t="shared" si="18"/>
        <v>5.3084656728064221E-2</v>
      </c>
    </row>
    <row r="20" spans="4:82" x14ac:dyDescent="0.25">
      <c r="D20" s="13">
        <f>D19+1</f>
        <v>17</v>
      </c>
      <c r="E20" s="42">
        <f t="shared" si="0"/>
        <v>4.7896690260947346E-2</v>
      </c>
      <c r="F20" s="32">
        <f t="shared" si="1"/>
        <v>4.8160544644725543E-2</v>
      </c>
      <c r="G20" s="34">
        <f t="shared" si="2"/>
        <v>4.8750668366636295E-2</v>
      </c>
      <c r="H20" s="36">
        <f t="shared" si="3"/>
        <v>4.9587469551761243E-2</v>
      </c>
      <c r="J20" t="s">
        <v>25</v>
      </c>
      <c r="V20" s="13">
        <f>V19+1</f>
        <v>17</v>
      </c>
      <c r="W20" s="42">
        <f t="shared" si="4"/>
        <v>4.0438042807241704E-2</v>
      </c>
      <c r="X20" s="32">
        <f t="shared" si="5"/>
        <v>4.048130731002432E-2</v>
      </c>
      <c r="Y20" s="34">
        <f t="shared" si="21"/>
        <v>4.0591401644441263E-2</v>
      </c>
      <c r="Z20" s="36">
        <f t="shared" si="6"/>
        <v>4.0785687185743241E-2</v>
      </c>
      <c r="AB20" t="s">
        <v>25</v>
      </c>
      <c r="AM20" s="13">
        <f>AM19+1</f>
        <v>17</v>
      </c>
      <c r="AN20" s="42">
        <f t="shared" si="7"/>
        <v>5.5319001593533881E-2</v>
      </c>
      <c r="AO20" s="32">
        <f t="shared" si="8"/>
        <v>5.5359930188304499E-2</v>
      </c>
      <c r="AP20" s="34">
        <f t="shared" si="9"/>
        <v>5.5441416096552273E-2</v>
      </c>
      <c r="AQ20" s="36">
        <f t="shared" si="10"/>
        <v>5.553675822790724E-2</v>
      </c>
      <c r="AS20" t="s">
        <v>25</v>
      </c>
      <c r="BD20" s="13">
        <f>BD19+1</f>
        <v>17</v>
      </c>
      <c r="BE20" s="42">
        <f t="shared" si="11"/>
        <v>4.4623340570108687E-2</v>
      </c>
      <c r="BF20" s="32">
        <f t="shared" si="12"/>
        <v>4.4811251933759545E-2</v>
      </c>
      <c r="BG20" s="34">
        <f t="shared" si="13"/>
        <v>4.524358646702141E-2</v>
      </c>
      <c r="BH20" s="36">
        <f t="shared" si="14"/>
        <v>4.5888810793261792E-2</v>
      </c>
      <c r="BJ20" t="s">
        <v>25</v>
      </c>
      <c r="BU20" s="13">
        <f>BU19+1</f>
        <v>17</v>
      </c>
      <c r="BV20" s="42">
        <f t="shared" si="15"/>
        <v>5.18550762247839E-2</v>
      </c>
      <c r="BW20" s="32">
        <f t="shared" si="16"/>
        <v>5.2115204691915142E-2</v>
      </c>
      <c r="BX20" s="34">
        <f t="shared" si="17"/>
        <v>5.2665167247164975E-2</v>
      </c>
      <c r="BY20" s="36">
        <f t="shared" si="18"/>
        <v>5.33696071580642E-2</v>
      </c>
      <c r="CA20" t="s">
        <v>25</v>
      </c>
    </row>
    <row r="21" spans="4:82" x14ac:dyDescent="0.25">
      <c r="D21" s="13">
        <f t="shared" si="19"/>
        <v>18</v>
      </c>
      <c r="E21" s="42">
        <f t="shared" si="0"/>
        <v>4.8212659449561407E-2</v>
      </c>
      <c r="F21" s="32">
        <f t="shared" si="1"/>
        <v>4.848064772038805E-2</v>
      </c>
      <c r="G21" s="34">
        <f t="shared" si="2"/>
        <v>4.9078029554953093E-2</v>
      </c>
      <c r="H21" s="36">
        <f t="shared" si="3"/>
        <v>4.9920052034129289E-2</v>
      </c>
      <c r="J21" s="18" t="s">
        <v>9</v>
      </c>
      <c r="K21" s="18" t="s">
        <v>13</v>
      </c>
      <c r="L21" s="19" t="s">
        <v>14</v>
      </c>
      <c r="M21" s="19" t="s">
        <v>18</v>
      </c>
      <c r="V21" s="13">
        <f t="shared" si="20"/>
        <v>18</v>
      </c>
      <c r="W21" s="42">
        <f t="shared" si="4"/>
        <v>4.0463429315353468E-2</v>
      </c>
      <c r="X21" s="32">
        <f t="shared" si="5"/>
        <v>4.0509159468209356E-2</v>
      </c>
      <c r="Y21" s="34">
        <f t="shared" si="21"/>
        <v>4.0625493860721965E-2</v>
      </c>
      <c r="Z21" s="36">
        <f t="shared" si="6"/>
        <v>4.0830670585206147E-2</v>
      </c>
      <c r="AB21" s="18" t="s">
        <v>9</v>
      </c>
      <c r="AC21" s="18" t="s">
        <v>13</v>
      </c>
      <c r="AD21" s="19" t="s">
        <v>14</v>
      </c>
      <c r="AE21" s="19" t="s">
        <v>18</v>
      </c>
      <c r="AM21" s="13">
        <f t="shared" si="22"/>
        <v>18</v>
      </c>
      <c r="AN21" s="42">
        <f t="shared" si="7"/>
        <v>5.5412945066347002E-2</v>
      </c>
      <c r="AO21" s="32">
        <f t="shared" si="8"/>
        <v>5.5448285609626391E-2</v>
      </c>
      <c r="AP21" s="34">
        <f t="shared" si="9"/>
        <v>5.5518096356170839E-2</v>
      </c>
      <c r="AQ21" s="36">
        <f t="shared" si="10"/>
        <v>5.5598680192079981E-2</v>
      </c>
      <c r="AS21" s="18" t="s">
        <v>9</v>
      </c>
      <c r="AT21" s="18" t="s">
        <v>13</v>
      </c>
      <c r="AU21" s="19" t="s">
        <v>14</v>
      </c>
      <c r="AV21" s="19" t="s">
        <v>18</v>
      </c>
      <c r="BD21" s="13">
        <f t="shared" si="23"/>
        <v>18</v>
      </c>
      <c r="BE21" s="42">
        <f t="shared" si="11"/>
        <v>4.4848747111701052E-2</v>
      </c>
      <c r="BF21" s="32">
        <f t="shared" si="12"/>
        <v>4.5043614850622395E-2</v>
      </c>
      <c r="BG21" s="34">
        <f t="shared" si="13"/>
        <v>4.5491207226453105E-2</v>
      </c>
      <c r="BH21" s="36">
        <f t="shared" si="14"/>
        <v>4.615719241156007E-2</v>
      </c>
      <c r="BJ21" s="18" t="s">
        <v>9</v>
      </c>
      <c r="BK21" s="18" t="s">
        <v>13</v>
      </c>
      <c r="BL21" s="19" t="s">
        <v>14</v>
      </c>
      <c r="BM21" s="19" t="s">
        <v>18</v>
      </c>
      <c r="BU21" s="13">
        <f t="shared" si="24"/>
        <v>18</v>
      </c>
      <c r="BV21" s="42">
        <f t="shared" si="15"/>
        <v>5.2165543598063864E-2</v>
      </c>
      <c r="BW21" s="32">
        <f t="shared" si="16"/>
        <v>5.2418981901123533E-2</v>
      </c>
      <c r="BX21" s="34">
        <f t="shared" si="17"/>
        <v>5.2951280672678014E-2</v>
      </c>
      <c r="BY21" s="36">
        <f t="shared" si="18"/>
        <v>5.3625020644827756E-2</v>
      </c>
      <c r="CA21" s="18" t="s">
        <v>9</v>
      </c>
      <c r="CB21" s="18" t="s">
        <v>13</v>
      </c>
      <c r="CC21" s="19" t="s">
        <v>14</v>
      </c>
      <c r="CD21" s="19" t="s">
        <v>18</v>
      </c>
    </row>
    <row r="22" spans="4:82" x14ac:dyDescent="0.25">
      <c r="D22" s="13">
        <f t="shared" si="19"/>
        <v>19</v>
      </c>
      <c r="E22" s="42">
        <f t="shared" si="0"/>
        <v>4.8516049945758276E-2</v>
      </c>
      <c r="F22" s="32">
        <f t="shared" si="1"/>
        <v>4.8787396876830022E-2</v>
      </c>
      <c r="G22" s="34">
        <f t="shared" si="2"/>
        <v>4.9390260758490234E-2</v>
      </c>
      <c r="H22" s="36">
        <f t="shared" si="3"/>
        <v>5.0234925906435891E-2</v>
      </c>
      <c r="J22" s="20">
        <v>0</v>
      </c>
      <c r="K22" s="41">
        <f>H3</f>
        <v>0.04</v>
      </c>
      <c r="L22" s="46">
        <f>summary!J6</f>
        <v>0.04</v>
      </c>
      <c r="M22" s="17" cm="1">
        <f t="array" ref="M22">SQRT(SUMSQ(K22:K27-L22:L27)/COUNTA(K22:K27-L22:L27))</f>
        <v>3.9199091285719561E-3</v>
      </c>
      <c r="V22" s="13">
        <f t="shared" si="20"/>
        <v>19</v>
      </c>
      <c r="W22" s="42">
        <f t="shared" si="4"/>
        <v>4.0488773962501723E-2</v>
      </c>
      <c r="X22" s="32">
        <f t="shared" si="5"/>
        <v>4.0536961097109019E-2</v>
      </c>
      <c r="Y22" s="34">
        <f t="shared" si="21"/>
        <v>4.0659509823193545E-2</v>
      </c>
      <c r="Z22" s="36">
        <f t="shared" si="6"/>
        <v>4.0875519514192486E-2</v>
      </c>
      <c r="AB22" s="20">
        <v>0</v>
      </c>
      <c r="AC22" s="41">
        <f>Z3</f>
        <v>0.04</v>
      </c>
      <c r="AD22" s="46">
        <f>L22</f>
        <v>0.04</v>
      </c>
      <c r="AE22" s="17" cm="1">
        <f t="array" ref="AE22">SQRT(SUMSQ(AC22:AC27-AD22:AD27)/COUNTA(AC22:AC27-AD22:AD27))</f>
        <v>6.2922050354554298E-3</v>
      </c>
      <c r="AM22" s="13">
        <f t="shared" si="22"/>
        <v>19</v>
      </c>
      <c r="AN22" s="42">
        <f t="shared" si="7"/>
        <v>5.5489740054432045E-2</v>
      </c>
      <c r="AO22" s="32">
        <f t="shared" si="8"/>
        <v>5.5520161369273575E-2</v>
      </c>
      <c r="AP22" s="34">
        <f t="shared" si="9"/>
        <v>5.5579785768916257E-2</v>
      </c>
      <c r="AQ22" s="36">
        <f t="shared" si="10"/>
        <v>5.5647687086185164E-2</v>
      </c>
      <c r="AS22" s="20">
        <v>0</v>
      </c>
      <c r="AT22" s="41">
        <f>AQ3</f>
        <v>0.04</v>
      </c>
      <c r="AU22" s="48">
        <f>AD22</f>
        <v>0.04</v>
      </c>
      <c r="AV22" s="17" cm="1">
        <f t="array" ref="AV22">SQRT(SUMSQ(AT22:AT27-AU22:AU27)/COUNTA(AT22:AT27-AU22:AU27))</f>
        <v>4.8305940128414377E-3</v>
      </c>
      <c r="BD22" s="13">
        <f t="shared" si="23"/>
        <v>19</v>
      </c>
      <c r="BE22" s="42">
        <f t="shared" si="11"/>
        <v>4.5069621385358041E-2</v>
      </c>
      <c r="BF22" s="32">
        <f t="shared" si="12"/>
        <v>4.5271079328582681E-2</v>
      </c>
      <c r="BG22" s="34">
        <f t="shared" si="13"/>
        <v>4.5733038024190494E-2</v>
      </c>
      <c r="BH22" s="36">
        <f t="shared" si="14"/>
        <v>4.6418331205848679E-2</v>
      </c>
      <c r="BJ22" s="20">
        <v>0</v>
      </c>
      <c r="BK22" s="41">
        <f>BH3</f>
        <v>0.04</v>
      </c>
      <c r="BL22" s="36">
        <f>AU22</f>
        <v>0.04</v>
      </c>
      <c r="BM22" s="17" cm="1">
        <f t="array" ref="BM22">SQRT(SUMSQ(BK22:BK27-BL22:BL27)/COUNTA(BK22:BK27-BL22:BL27))</f>
        <v>3.8384298407547206E-3</v>
      </c>
      <c r="BU22" s="13">
        <f t="shared" si="24"/>
        <v>19</v>
      </c>
      <c r="BV22" s="42">
        <f t="shared" si="15"/>
        <v>5.2451783676314104E-2</v>
      </c>
      <c r="BW22" s="32">
        <f t="shared" si="16"/>
        <v>5.269794210263741E-2</v>
      </c>
      <c r="BX22" s="34">
        <f t="shared" si="17"/>
        <v>5.3211558076520525E-2</v>
      </c>
      <c r="BY22" s="36">
        <f t="shared" si="18"/>
        <v>5.3853958882333575E-2</v>
      </c>
      <c r="CA22" s="20">
        <v>0</v>
      </c>
      <c r="CB22" s="41">
        <f>BY3</f>
        <v>0.04</v>
      </c>
      <c r="CC22" s="36">
        <f>BL22</f>
        <v>0.04</v>
      </c>
      <c r="CD22" s="17" cm="1">
        <f t="array" ref="CD22">SQRT(SUMSQ(CB22:CB27-CC22:CC27)/COUNTA(CB22:CB27-CC22:CC27))</f>
        <v>4.2572656769767807E-3</v>
      </c>
    </row>
    <row r="23" spans="4:82" x14ac:dyDescent="0.25">
      <c r="D23" s="13">
        <f t="shared" si="19"/>
        <v>20</v>
      </c>
      <c r="E23" s="42">
        <f t="shared" si="0"/>
        <v>4.8807362505651632E-2</v>
      </c>
      <c r="F23" s="32">
        <f t="shared" si="1"/>
        <v>4.9081349206975919E-2</v>
      </c>
      <c r="G23" s="34">
        <f t="shared" si="2"/>
        <v>4.9688061255132823E-2</v>
      </c>
      <c r="H23" s="36">
        <f t="shared" si="3"/>
        <v>5.053303407724339E-2</v>
      </c>
      <c r="J23" s="18">
        <v>10</v>
      </c>
      <c r="K23" s="41">
        <f>H13</f>
        <v>4.6672422638469518E-2</v>
      </c>
      <c r="L23" s="46">
        <f>summary!J7</f>
        <v>4.8895149728212996E-2</v>
      </c>
      <c r="V23" s="13">
        <f t="shared" si="20"/>
        <v>20</v>
      </c>
      <c r="W23" s="42">
        <f t="shared" si="4"/>
        <v>4.05140768177129E-2</v>
      </c>
      <c r="X23" s="32">
        <f t="shared" si="5"/>
        <v>4.0564712288393361E-2</v>
      </c>
      <c r="Y23" s="34">
        <f t="shared" si="21"/>
        <v>4.0693449702412343E-2</v>
      </c>
      <c r="Z23" s="36">
        <f t="shared" si="6"/>
        <v>4.0920234374679627E-2</v>
      </c>
      <c r="AB23" s="18">
        <v>10</v>
      </c>
      <c r="AC23" s="41">
        <f>Z13</f>
        <v>4.0467004196043842E-2</v>
      </c>
      <c r="AD23" s="46">
        <f t="shared" ref="AD23:AD26" si="25">L23</f>
        <v>4.8895149728212996E-2</v>
      </c>
      <c r="AM23" s="13">
        <f t="shared" si="22"/>
        <v>20</v>
      </c>
      <c r="AN23" s="42">
        <f t="shared" si="7"/>
        <v>5.5552516850077172E-2</v>
      </c>
      <c r="AO23" s="32">
        <f t="shared" si="8"/>
        <v>5.5578631180718867E-2</v>
      </c>
      <c r="AP23" s="34">
        <f t="shared" si="9"/>
        <v>5.5629415017223509E-2</v>
      </c>
      <c r="AQ23" s="36">
        <f t="shared" si="10"/>
        <v>5.5686472607638204E-2</v>
      </c>
      <c r="AS23" s="18">
        <v>10</v>
      </c>
      <c r="AT23" s="41">
        <f>AQ13</f>
        <v>5.4307115729512009E-2</v>
      </c>
      <c r="AU23" s="48">
        <f t="shared" ref="AU23:AU26" si="26">AD23</f>
        <v>4.8895149728212996E-2</v>
      </c>
      <c r="BD23" s="13">
        <f t="shared" si="23"/>
        <v>20</v>
      </c>
      <c r="BE23" s="42">
        <f t="shared" si="11"/>
        <v>4.5286054521765082E-2</v>
      </c>
      <c r="BF23" s="32">
        <f t="shared" si="12"/>
        <v>4.5493748631551909E-2</v>
      </c>
      <c r="BG23" s="34">
        <f t="shared" si="13"/>
        <v>4.5969214243294754E-2</v>
      </c>
      <c r="BH23" s="36">
        <f t="shared" si="14"/>
        <v>4.6672422638469518E-2</v>
      </c>
      <c r="BJ23" s="18">
        <v>10</v>
      </c>
      <c r="BK23" s="41">
        <f>BH13</f>
        <v>4.3789744312301711E-2</v>
      </c>
      <c r="BL23" s="36">
        <f t="shared" ref="BL23:BL26" si="27">AU23</f>
        <v>4.8895149728212996E-2</v>
      </c>
      <c r="BU23" s="13">
        <f t="shared" si="24"/>
        <v>20</v>
      </c>
      <c r="BV23" s="42">
        <f t="shared" si="15"/>
        <v>5.2715687034438699E-2</v>
      </c>
      <c r="BW23" s="32">
        <f t="shared" si="16"/>
        <v>5.2954112716066398E-2</v>
      </c>
      <c r="BX23" s="34">
        <f t="shared" si="17"/>
        <v>5.3448332449584357E-2</v>
      </c>
      <c r="BY23" s="36">
        <f t="shared" si="18"/>
        <v>5.4059166200304175E-2</v>
      </c>
      <c r="CA23" s="18">
        <v>10</v>
      </c>
      <c r="CB23" s="41">
        <f>BY13</f>
        <v>5.053303407724339E-2</v>
      </c>
      <c r="CC23" s="36">
        <f t="shared" ref="CC23:CC27" si="28">BL23</f>
        <v>4.8895149728212996E-2</v>
      </c>
    </row>
    <row r="24" spans="4:82" x14ac:dyDescent="0.25">
      <c r="D24" s="13">
        <f>D23+5</f>
        <v>25</v>
      </c>
      <c r="E24" s="42">
        <f t="shared" si="0"/>
        <v>5.009893083964715E-2</v>
      </c>
      <c r="F24" s="32">
        <f t="shared" si="1"/>
        <v>5.0377083051721408E-2</v>
      </c>
      <c r="G24" s="34">
        <f t="shared" si="2"/>
        <v>5.0982897255603163E-2</v>
      </c>
      <c r="H24" s="36">
        <f t="shared" si="3"/>
        <v>5.1801722572865465E-2</v>
      </c>
      <c r="J24" s="18">
        <v>30</v>
      </c>
      <c r="K24" s="41">
        <f>H25</f>
        <v>5.2766753595437796E-2</v>
      </c>
      <c r="L24" s="46">
        <f>summary!J8</f>
        <v>5.1779269484048984E-2</v>
      </c>
      <c r="V24" s="13">
        <f>V23+5</f>
        <v>25</v>
      </c>
      <c r="W24" s="42">
        <f t="shared" si="4"/>
        <v>4.0639966622681115E-2</v>
      </c>
      <c r="X24" s="32">
        <f t="shared" si="5"/>
        <v>4.0702714877412262E-2</v>
      </c>
      <c r="Y24" s="34">
        <f t="shared" si="21"/>
        <v>4.0862013792530176E-2</v>
      </c>
      <c r="Z24" s="36">
        <f t="shared" si="6"/>
        <v>4.1141811634921428E-2</v>
      </c>
      <c r="AB24" s="18">
        <v>30</v>
      </c>
      <c r="AC24" s="41">
        <f>Z25</f>
        <v>4.1360096792547367E-2</v>
      </c>
      <c r="AD24" s="46">
        <f t="shared" si="25"/>
        <v>5.1779269484048984E-2</v>
      </c>
      <c r="AM24" s="13">
        <f>AM23+5</f>
        <v>25</v>
      </c>
      <c r="AN24" s="42">
        <f t="shared" si="7"/>
        <v>5.5731024931450351E-2</v>
      </c>
      <c r="AO24" s="32">
        <f t="shared" si="8"/>
        <v>5.5742798941966931E-2</v>
      </c>
      <c r="AP24" s="34">
        <f t="shared" si="9"/>
        <v>5.5764819469848625E-2</v>
      </c>
      <c r="AQ24" s="36">
        <f t="shared" si="10"/>
        <v>5.5787948765357732E-2</v>
      </c>
      <c r="AS24" s="18">
        <v>30</v>
      </c>
      <c r="AT24" s="41">
        <f>AQ25</f>
        <v>5.5819457161143241E-2</v>
      </c>
      <c r="AU24" s="48">
        <f t="shared" si="26"/>
        <v>5.1779269484048984E-2</v>
      </c>
      <c r="BD24" s="13">
        <f>BD23+5</f>
        <v>25</v>
      </c>
      <c r="BE24" s="42">
        <f t="shared" si="11"/>
        <v>4.6304666495607556E-2</v>
      </c>
      <c r="BF24" s="32">
        <f t="shared" si="12"/>
        <v>4.6538631918081934E-2</v>
      </c>
      <c r="BG24" s="34">
        <f t="shared" si="13"/>
        <v>4.706979757293648E-2</v>
      </c>
      <c r="BH24" s="36">
        <f t="shared" si="14"/>
        <v>4.7843649177245859E-2</v>
      </c>
      <c r="BJ24" s="18">
        <v>30</v>
      </c>
      <c r="BK24" s="41">
        <f>BH25</f>
        <v>4.886513899275851E-2</v>
      </c>
      <c r="BL24" s="36">
        <f t="shared" si="27"/>
        <v>5.1779269484048984E-2</v>
      </c>
      <c r="BU24" s="13">
        <f>BU23+5</f>
        <v>25</v>
      </c>
      <c r="BV24" s="42">
        <f t="shared" si="15"/>
        <v>5.3756616089113508E-2</v>
      </c>
      <c r="BW24" s="32">
        <f t="shared" si="16"/>
        <v>5.395321508171947E-2</v>
      </c>
      <c r="BX24" s="34">
        <f t="shared" si="17"/>
        <v>5.4347585148731899E-2</v>
      </c>
      <c r="BY24" s="36">
        <f t="shared" si="18"/>
        <v>5.4806946003279476E-2</v>
      </c>
      <c r="CA24" s="18">
        <v>30</v>
      </c>
      <c r="CB24" s="41">
        <f>BY25</f>
        <v>5.5239605536026443E-2</v>
      </c>
      <c r="CC24" s="36">
        <f t="shared" si="28"/>
        <v>5.1779269484048984E-2</v>
      </c>
    </row>
    <row r="25" spans="4:82" x14ac:dyDescent="0.25">
      <c r="D25" s="13">
        <f t="shared" ref="D25:D31" si="29">D24+5</f>
        <v>30</v>
      </c>
      <c r="E25" s="56">
        <f t="shared" si="0"/>
        <v>5.1153083660499421E-2</v>
      </c>
      <c r="F25" s="38">
        <f t="shared" si="1"/>
        <v>5.1424171704325394E-2</v>
      </c>
      <c r="G25" s="39">
        <f t="shared" si="2"/>
        <v>5.200491947696529E-2</v>
      </c>
      <c r="H25" s="40">
        <f t="shared" si="3"/>
        <v>5.2766753595437796E-2</v>
      </c>
      <c r="J25" s="18">
        <v>60</v>
      </c>
      <c r="K25" s="41">
        <f>H31</f>
        <v>5.5239605536026443E-2</v>
      </c>
      <c r="L25" s="46">
        <f>summary!J9</f>
        <v>4.8961843624642065E-2</v>
      </c>
      <c r="V25" s="13">
        <f t="shared" ref="V25:V31" si="30">V24+5</f>
        <v>30</v>
      </c>
      <c r="W25" s="42">
        <f t="shared" si="4"/>
        <v>4.076482191796145E-2</v>
      </c>
      <c r="X25" s="32">
        <f t="shared" si="5"/>
        <v>4.0839470181282117E-2</v>
      </c>
      <c r="Y25" s="34">
        <f t="shared" si="21"/>
        <v>4.1028701166425589E-2</v>
      </c>
      <c r="Z25" s="36">
        <f t="shared" si="6"/>
        <v>4.1360096792547367E-2</v>
      </c>
      <c r="AB25" s="18">
        <v>60</v>
      </c>
      <c r="AC25" s="41">
        <f>Z31</f>
        <v>4.2603362423432233E-2</v>
      </c>
      <c r="AD25" s="46">
        <f t="shared" si="25"/>
        <v>4.8961843624642065E-2</v>
      </c>
      <c r="AM25" s="13">
        <f t="shared" ref="AM25:AM31" si="31">AM24+5</f>
        <v>30</v>
      </c>
      <c r="AN25" s="42">
        <f t="shared" si="7"/>
        <v>5.5796186152701641E-2</v>
      </c>
      <c r="AO25" s="32">
        <f t="shared" si="8"/>
        <v>5.5801282542721035E-2</v>
      </c>
      <c r="AP25" s="34">
        <f t="shared" si="9"/>
        <v>5.5810451338392665E-2</v>
      </c>
      <c r="AQ25" s="36">
        <f t="shared" si="10"/>
        <v>5.5819457161143241E-2</v>
      </c>
      <c r="AS25" s="18">
        <v>60</v>
      </c>
      <c r="AT25" s="41">
        <f>AQ31</f>
        <v>5.5833633537707039E-2</v>
      </c>
      <c r="AU25" s="48">
        <f t="shared" si="26"/>
        <v>4.8961843624642065E-2</v>
      </c>
      <c r="BD25" s="13">
        <f t="shared" ref="BD25:BD31" si="32">BD24+5</f>
        <v>30</v>
      </c>
      <c r="BE25" s="42">
        <f t="shared" si="11"/>
        <v>4.7224908113477938E-2</v>
      </c>
      <c r="BF25" s="32">
        <f t="shared" si="12"/>
        <v>4.747792604672714E-2</v>
      </c>
      <c r="BG25" s="34">
        <f t="shared" si="13"/>
        <v>4.8047587855367106E-2</v>
      </c>
      <c r="BH25" s="36">
        <f t="shared" si="14"/>
        <v>4.886513899275851E-2</v>
      </c>
      <c r="BJ25" s="18">
        <v>60</v>
      </c>
      <c r="BK25" s="41">
        <f>BH31</f>
        <v>5.2766753595437796E-2</v>
      </c>
      <c r="BL25" s="36">
        <f t="shared" si="27"/>
        <v>4.8961843624642065E-2</v>
      </c>
      <c r="BU25" s="13">
        <f t="shared" ref="BU25:BU31" si="33">BU24+5</f>
        <v>30</v>
      </c>
      <c r="BV25" s="42">
        <f t="shared" si="15"/>
        <v>5.4450031523213482E-2</v>
      </c>
      <c r="BW25" s="32">
        <f t="shared" si="16"/>
        <v>5.4605662156079315E-2</v>
      </c>
      <c r="BX25" s="34">
        <f t="shared" si="17"/>
        <v>5.4907823578248589E-2</v>
      </c>
      <c r="BY25" s="36">
        <f t="shared" si="18"/>
        <v>5.5239605536026443E-2</v>
      </c>
      <c r="CA25" s="18">
        <v>60</v>
      </c>
      <c r="CB25" s="41">
        <f>BY31</f>
        <v>5.5811359259406106E-2</v>
      </c>
      <c r="CC25" s="36">
        <f t="shared" si="28"/>
        <v>4.8961843624642065E-2</v>
      </c>
    </row>
    <row r="26" spans="4:82" x14ac:dyDescent="0.25">
      <c r="D26" s="13">
        <f t="shared" si="29"/>
        <v>35</v>
      </c>
      <c r="E26" s="42">
        <f t="shared" si="0"/>
        <v>5.2013462581584562E-2</v>
      </c>
      <c r="F26" s="32">
        <f t="shared" si="1"/>
        <v>5.2270329000330421E-2</v>
      </c>
      <c r="G26" s="34">
        <f t="shared" si="2"/>
        <v>5.2811608061912388E-2</v>
      </c>
      <c r="H26" s="36">
        <f t="shared" si="3"/>
        <v>5.3500806814758876E-2</v>
      </c>
      <c r="J26" s="18">
        <v>120</v>
      </c>
      <c r="K26" s="41">
        <f>H41</f>
        <v>5.5811359259406106E-2</v>
      </c>
      <c r="L26" s="46">
        <f>summary!J10</f>
        <v>4.8965324622054551E-2</v>
      </c>
      <c r="V26" s="13">
        <f t="shared" si="30"/>
        <v>35</v>
      </c>
      <c r="W26" s="42">
        <f t="shared" si="4"/>
        <v>4.0888651204721224E-2</v>
      </c>
      <c r="X26" s="32">
        <f t="shared" si="5"/>
        <v>4.097498947312652E-2</v>
      </c>
      <c r="Y26" s="34">
        <f t="shared" si="21"/>
        <v>4.119353271860688E-2</v>
      </c>
      <c r="Z26" s="36">
        <f t="shared" si="6"/>
        <v>4.1575138760246509E-2</v>
      </c>
      <c r="AB26" s="18">
        <v>120</v>
      </c>
      <c r="AC26" s="41">
        <f>Z41</f>
        <v>4.4778680933326168E-2</v>
      </c>
      <c r="AD26" s="46">
        <f t="shared" si="25"/>
        <v>4.8965324622054551E-2</v>
      </c>
      <c r="AM26" s="13">
        <f t="shared" si="31"/>
        <v>35</v>
      </c>
      <c r="AN26" s="42">
        <f t="shared" si="7"/>
        <v>5.5819972105260747E-2</v>
      </c>
      <c r="AO26" s="32">
        <f t="shared" si="8"/>
        <v>5.5822116910755074E-2</v>
      </c>
      <c r="AP26" s="34">
        <f t="shared" si="9"/>
        <v>5.5825829469513553E-2</v>
      </c>
      <c r="AQ26" s="36">
        <f t="shared" si="10"/>
        <v>5.5829240533191285E-2</v>
      </c>
      <c r="AS26" s="18">
        <v>120</v>
      </c>
      <c r="AT26" s="41">
        <f>AQ41</f>
        <v>5.5833646253045273E-2</v>
      </c>
      <c r="AU26" s="48">
        <f t="shared" si="26"/>
        <v>4.8965324622054551E-2</v>
      </c>
      <c r="BD26" s="13">
        <f t="shared" si="32"/>
        <v>35</v>
      </c>
      <c r="BE26" s="42">
        <f t="shared" si="11"/>
        <v>4.8056279290145137E-2</v>
      </c>
      <c r="BF26" s="32">
        <f t="shared" si="12"/>
        <v>4.8322301175969876E-2</v>
      </c>
      <c r="BG26" s="34">
        <f t="shared" si="13"/>
        <v>4.891628521854359E-2</v>
      </c>
      <c r="BH26" s="36">
        <f t="shared" si="14"/>
        <v>4.9756035338299164E-2</v>
      </c>
      <c r="BJ26" s="18">
        <v>120</v>
      </c>
      <c r="BK26" s="41">
        <f>BH41</f>
        <v>5.5239605536026443E-2</v>
      </c>
      <c r="BL26" s="36">
        <f t="shared" si="27"/>
        <v>4.8965324622054551E-2</v>
      </c>
      <c r="BU26" s="13">
        <f t="shared" si="33"/>
        <v>35</v>
      </c>
      <c r="BV26" s="42">
        <f t="shared" si="15"/>
        <v>5.4911950577243802E-2</v>
      </c>
      <c r="BW26" s="32">
        <f t="shared" si="16"/>
        <v>5.503173179566271E-2</v>
      </c>
      <c r="BX26" s="34">
        <f t="shared" si="17"/>
        <v>5.5256854610576736E-2</v>
      </c>
      <c r="BY26" s="36">
        <f t="shared" si="18"/>
        <v>5.5489938950397902E-2</v>
      </c>
      <c r="CA26" s="18">
        <v>120</v>
      </c>
      <c r="CB26" s="41">
        <f>BY41</f>
        <v>5.583361488251215E-2</v>
      </c>
      <c r="CC26" s="36">
        <f t="shared" si="28"/>
        <v>4.8965324622054551E-2</v>
      </c>
    </row>
    <row r="27" spans="4:82" x14ac:dyDescent="0.25">
      <c r="D27" s="13">
        <f t="shared" si="29"/>
        <v>40</v>
      </c>
      <c r="E27" s="42">
        <f t="shared" si="0"/>
        <v>5.2715687034438699E-2</v>
      </c>
      <c r="F27" s="32">
        <f t="shared" si="1"/>
        <v>5.2954112716066398E-2</v>
      </c>
      <c r="G27" s="34">
        <f t="shared" si="2"/>
        <v>5.3448332449584357E-2</v>
      </c>
      <c r="H27" s="36">
        <f t="shared" si="3"/>
        <v>5.4059166200304175E-2</v>
      </c>
      <c r="J27" s="57"/>
      <c r="K27" s="58"/>
      <c r="L27" s="59"/>
      <c r="V27" s="13">
        <f t="shared" si="30"/>
        <v>40</v>
      </c>
      <c r="W27" s="42">
        <f t="shared" si="4"/>
        <v>4.1011462914268708E-2</v>
      </c>
      <c r="X27" s="32">
        <f t="shared" si="5"/>
        <v>4.1109283924181131E-2</v>
      </c>
      <c r="Y27" s="34">
        <f t="shared" si="21"/>
        <v>4.1356529110952348E-2</v>
      </c>
      <c r="Z27" s="36">
        <f t="shared" si="6"/>
        <v>4.1786985723983552E-2</v>
      </c>
      <c r="AB27" s="57"/>
      <c r="AC27" s="58"/>
      <c r="AD27" s="59"/>
      <c r="AM27" s="13">
        <f t="shared" si="31"/>
        <v>40</v>
      </c>
      <c r="AN27" s="42">
        <f t="shared" si="7"/>
        <v>5.5828654746995811E-2</v>
      </c>
      <c r="AO27" s="32">
        <f t="shared" si="8"/>
        <v>5.582953900662093E-2</v>
      </c>
      <c r="AP27" s="34">
        <f t="shared" si="9"/>
        <v>5.5831011964211162E-2</v>
      </c>
      <c r="AQ27" s="36">
        <f t="shared" si="10"/>
        <v>5.5832278274918344E-2</v>
      </c>
      <c r="AS27" s="57"/>
      <c r="AT27" s="58"/>
      <c r="AU27" s="60"/>
      <c r="BD27" s="13">
        <f t="shared" si="32"/>
        <v>40</v>
      </c>
      <c r="BE27" s="42">
        <f t="shared" si="11"/>
        <v>4.8807362505651632E-2</v>
      </c>
      <c r="BF27" s="32">
        <f t="shared" si="12"/>
        <v>4.9081349206975919E-2</v>
      </c>
      <c r="BG27" s="34">
        <f t="shared" si="13"/>
        <v>4.9688061255132823E-2</v>
      </c>
      <c r="BH27" s="36">
        <f t="shared" si="14"/>
        <v>5.053303407724339E-2</v>
      </c>
      <c r="BJ27" s="57"/>
      <c r="BK27" s="58"/>
      <c r="BL27" s="58"/>
      <c r="BU27" s="13">
        <f t="shared" si="33"/>
        <v>40</v>
      </c>
      <c r="BV27" s="42">
        <f t="shared" si="15"/>
        <v>5.5219658196635359E-2</v>
      </c>
      <c r="BW27" s="32">
        <f t="shared" si="16"/>
        <v>5.5309969441149652E-2</v>
      </c>
      <c r="BX27" s="34">
        <f t="shared" si="17"/>
        <v>5.5474302495458788E-2</v>
      </c>
      <c r="BY27" s="36">
        <f t="shared" si="18"/>
        <v>5.5634779901787557E-2</v>
      </c>
      <c r="CA27" s="57"/>
      <c r="CB27" s="58"/>
      <c r="CC27" s="58"/>
    </row>
    <row r="28" spans="4:82" x14ac:dyDescent="0.25">
      <c r="D28" s="13">
        <f t="shared" si="29"/>
        <v>45</v>
      </c>
      <c r="E28" s="42">
        <f t="shared" si="0"/>
        <v>5.3288828902633645E-2</v>
      </c>
      <c r="F28" s="32">
        <f t="shared" si="1"/>
        <v>5.3506681573078217E-2</v>
      </c>
      <c r="G28" s="34">
        <f t="shared" si="2"/>
        <v>5.3950903024427482E-2</v>
      </c>
      <c r="H28" s="36">
        <f t="shared" si="3"/>
        <v>5.4483883639340647E-2</v>
      </c>
      <c r="V28" s="13">
        <f t="shared" si="30"/>
        <v>45</v>
      </c>
      <c r="W28" s="42">
        <f t="shared" si="4"/>
        <v>4.1133265408627204E-2</v>
      </c>
      <c r="X28" s="32">
        <f t="shared" si="5"/>
        <v>4.1242364604714553E-2</v>
      </c>
      <c r="Y28" s="34">
        <f t="shared" si="21"/>
        <v>4.1517710775300316E-2</v>
      </c>
      <c r="Z28" s="36">
        <f t="shared" si="6"/>
        <v>4.1995685153796217E-2</v>
      </c>
      <c r="AM28" s="13">
        <f t="shared" si="31"/>
        <v>45</v>
      </c>
      <c r="AN28" s="42">
        <f t="shared" si="7"/>
        <v>5.5831824191957584E-2</v>
      </c>
      <c r="AO28" s="32">
        <f t="shared" si="8"/>
        <v>5.5832183075639585E-2</v>
      </c>
      <c r="AP28" s="34">
        <f t="shared" si="9"/>
        <v>5.5832758486664344E-2</v>
      </c>
      <c r="AQ28" s="36">
        <f t="shared" si="10"/>
        <v>5.583322149518586E-2</v>
      </c>
      <c r="BD28" s="13">
        <f t="shared" si="32"/>
        <v>45</v>
      </c>
      <c r="BE28" s="42">
        <f t="shared" si="11"/>
        <v>4.9485911404684974E-2</v>
      </c>
      <c r="BF28" s="32">
        <f t="shared" si="12"/>
        <v>4.9763692745316356E-2</v>
      </c>
      <c r="BG28" s="34">
        <f t="shared" si="13"/>
        <v>5.0373729562534338E-2</v>
      </c>
      <c r="BH28" s="36">
        <f t="shared" si="14"/>
        <v>5.1210696572260725E-2</v>
      </c>
      <c r="BU28" s="13">
        <f t="shared" si="33"/>
        <v>45</v>
      </c>
      <c r="BV28" s="42">
        <f t="shared" si="15"/>
        <v>5.5424637788201198E-2</v>
      </c>
      <c r="BW28" s="32">
        <f t="shared" si="16"/>
        <v>5.549166787768179E-2</v>
      </c>
      <c r="BX28" s="34">
        <f t="shared" si="17"/>
        <v>5.5609773494482234E-2</v>
      </c>
      <c r="BY28" s="36">
        <f t="shared" si="18"/>
        <v>5.5718583740967928E-2</v>
      </c>
    </row>
    <row r="29" spans="4:82" x14ac:dyDescent="0.25">
      <c r="D29" s="13">
        <f t="shared" si="29"/>
        <v>50</v>
      </c>
      <c r="E29" s="42">
        <f t="shared" si="0"/>
        <v>5.3756616089113508E-2</v>
      </c>
      <c r="F29" s="32">
        <f t="shared" si="1"/>
        <v>5.395321508171947E-2</v>
      </c>
      <c r="G29" s="34">
        <f t="shared" si="2"/>
        <v>5.4347585148731899E-2</v>
      </c>
      <c r="H29" s="36">
        <f t="shared" si="3"/>
        <v>5.4806946003279476E-2</v>
      </c>
      <c r="J29" t="s">
        <v>26</v>
      </c>
      <c r="V29" s="13">
        <f t="shared" si="30"/>
        <v>50</v>
      </c>
      <c r="W29" s="42">
        <f t="shared" si="4"/>
        <v>4.125406698110444E-2</v>
      </c>
      <c r="X29" s="32">
        <f t="shared" si="5"/>
        <v>4.1374242484940857E-2</v>
      </c>
      <c r="Y29" s="34">
        <f t="shared" si="21"/>
        <v>4.167709791601025E-2</v>
      </c>
      <c r="Z29" s="36">
        <f t="shared" si="6"/>
        <v>4.2201283814432181E-2</v>
      </c>
      <c r="AB29" t="s">
        <v>15</v>
      </c>
      <c r="AM29" s="13">
        <f t="shared" si="31"/>
        <v>50</v>
      </c>
      <c r="AN29" s="42">
        <f t="shared" si="7"/>
        <v>5.5832981141843596E-2</v>
      </c>
      <c r="AO29" s="32">
        <f t="shared" si="8"/>
        <v>5.5833125006477149E-2</v>
      </c>
      <c r="AP29" s="34">
        <f t="shared" si="9"/>
        <v>5.5833347072057574E-2</v>
      </c>
      <c r="AQ29" s="36">
        <f t="shared" si="10"/>
        <v>5.5833514365532647E-2</v>
      </c>
      <c r="AS29" t="s">
        <v>15</v>
      </c>
      <c r="BD29" s="13">
        <f t="shared" si="32"/>
        <v>50</v>
      </c>
      <c r="BE29" s="42">
        <f t="shared" si="11"/>
        <v>5.009893083964715E-2</v>
      </c>
      <c r="BF29" s="32">
        <f t="shared" si="12"/>
        <v>5.0377083051721408E-2</v>
      </c>
      <c r="BG29" s="34">
        <f t="shared" si="13"/>
        <v>5.0982897255603163E-2</v>
      </c>
      <c r="BH29" s="36">
        <f t="shared" si="14"/>
        <v>5.1801722572865465E-2</v>
      </c>
      <c r="BJ29" t="s">
        <v>15</v>
      </c>
      <c r="BU29" s="13">
        <f t="shared" si="33"/>
        <v>50</v>
      </c>
      <c r="BV29" s="42">
        <f t="shared" si="15"/>
        <v>5.5561185050311844E-2</v>
      </c>
      <c r="BW29" s="32">
        <f t="shared" si="16"/>
        <v>5.5610322999926111E-2</v>
      </c>
      <c r="BX29" s="34">
        <f t="shared" si="17"/>
        <v>5.5694172529158356E-2</v>
      </c>
      <c r="BY29" s="36">
        <f t="shared" si="18"/>
        <v>5.5767071985445671E-2</v>
      </c>
      <c r="CA29" t="s">
        <v>15</v>
      </c>
    </row>
    <row r="30" spans="4:82" x14ac:dyDescent="0.25">
      <c r="D30" s="13">
        <f t="shared" si="29"/>
        <v>55</v>
      </c>
      <c r="E30" s="42">
        <f t="shared" si="0"/>
        <v>5.4138414844322073E-2</v>
      </c>
      <c r="F30" s="32">
        <f t="shared" si="1"/>
        <v>5.4314060923480706E-2</v>
      </c>
      <c r="G30" s="34">
        <f t="shared" si="2"/>
        <v>5.4660688851215437E-2</v>
      </c>
      <c r="H30" s="36">
        <f t="shared" si="3"/>
        <v>5.5052684184481837E-2</v>
      </c>
      <c r="J30" s="21" t="s">
        <v>9</v>
      </c>
      <c r="K30" s="21" t="s">
        <v>13</v>
      </c>
      <c r="L30" s="22" t="s">
        <v>14</v>
      </c>
      <c r="M30" s="22" t="s">
        <v>18</v>
      </c>
      <c r="V30" s="13">
        <f t="shared" si="30"/>
        <v>55</v>
      </c>
      <c r="W30" s="42">
        <f t="shared" si="4"/>
        <v>4.1373875856857187E-2</v>
      </c>
      <c r="X30" s="32">
        <f t="shared" si="5"/>
        <v>4.1504928435923918E-2</v>
      </c>
      <c r="Y30" s="34">
        <f t="shared" si="21"/>
        <v>4.183471051249546E-2</v>
      </c>
      <c r="Z30" s="36">
        <f t="shared" si="6"/>
        <v>4.2403827775827976E-2</v>
      </c>
      <c r="AB30" s="21" t="s">
        <v>9</v>
      </c>
      <c r="AC30" s="21" t="s">
        <v>13</v>
      </c>
      <c r="AD30" s="22" t="s">
        <v>14</v>
      </c>
      <c r="AE30" s="22" t="s">
        <v>18</v>
      </c>
      <c r="AM30" s="13">
        <f t="shared" si="31"/>
        <v>55</v>
      </c>
      <c r="AN30" s="42">
        <f t="shared" si="7"/>
        <v>5.5833403465958671E-2</v>
      </c>
      <c r="AO30" s="32">
        <f t="shared" si="8"/>
        <v>5.5833460562658359E-2</v>
      </c>
      <c r="AP30" s="34">
        <f t="shared" si="9"/>
        <v>5.5833545427804152E-2</v>
      </c>
      <c r="AQ30" s="36">
        <f t="shared" si="10"/>
        <v>5.5833605301916202E-2</v>
      </c>
      <c r="AS30" s="21" t="s">
        <v>9</v>
      </c>
      <c r="AT30" s="21" t="s">
        <v>13</v>
      </c>
      <c r="AU30" s="22" t="s">
        <v>14</v>
      </c>
      <c r="AV30" s="22" t="s">
        <v>18</v>
      </c>
      <c r="BD30" s="13">
        <f t="shared" si="32"/>
        <v>55</v>
      </c>
      <c r="BE30" s="42">
        <f t="shared" si="11"/>
        <v>5.0652749183729195E-2</v>
      </c>
      <c r="BF30" s="32">
        <f t="shared" si="12"/>
        <v>5.0928488094563566E-2</v>
      </c>
      <c r="BG30" s="34">
        <f t="shared" si="13"/>
        <v>5.1524099574965274E-2</v>
      </c>
      <c r="BH30" s="36">
        <f t="shared" si="14"/>
        <v>5.2317188215363346E-2</v>
      </c>
      <c r="BJ30" s="21" t="s">
        <v>9</v>
      </c>
      <c r="BK30" s="21" t="s">
        <v>13</v>
      </c>
      <c r="BL30" s="22" t="s">
        <v>14</v>
      </c>
      <c r="BM30" s="22" t="s">
        <v>18</v>
      </c>
      <c r="BU30" s="13">
        <f t="shared" si="33"/>
        <v>55</v>
      </c>
      <c r="BV30" s="42">
        <f t="shared" si="15"/>
        <v>5.5652146080370897E-2</v>
      </c>
      <c r="BW30" s="32">
        <f t="shared" si="16"/>
        <v>5.5687808741154948E-2</v>
      </c>
      <c r="BX30" s="34">
        <f t="shared" si="17"/>
        <v>5.5746753502987523E-2</v>
      </c>
      <c r="BY30" s="36">
        <f t="shared" si="18"/>
        <v>5.5795126903639483E-2</v>
      </c>
      <c r="CA30" s="21" t="s">
        <v>9</v>
      </c>
      <c r="CB30" s="21" t="s">
        <v>13</v>
      </c>
      <c r="CC30" s="22" t="s">
        <v>14</v>
      </c>
      <c r="CD30" s="22" t="s">
        <v>18</v>
      </c>
    </row>
    <row r="31" spans="4:82" x14ac:dyDescent="0.25">
      <c r="D31" s="13">
        <f t="shared" si="29"/>
        <v>60</v>
      </c>
      <c r="E31" s="56">
        <f t="shared" si="0"/>
        <v>5.4450031523213482E-2</v>
      </c>
      <c r="F31" s="38">
        <f t="shared" si="1"/>
        <v>5.4605662156079315E-2</v>
      </c>
      <c r="G31" s="39">
        <f t="shared" si="2"/>
        <v>5.4907823578248589E-2</v>
      </c>
      <c r="H31" s="40">
        <f t="shared" si="3"/>
        <v>5.5239605536026443E-2</v>
      </c>
      <c r="J31" s="23">
        <v>0</v>
      </c>
      <c r="K31" s="43">
        <f>G3</f>
        <v>0.04</v>
      </c>
      <c r="L31" s="34">
        <f>summary!I6</f>
        <v>0.04</v>
      </c>
      <c r="M31" s="17" cm="1">
        <f t="array" ref="M31">SQRT(SUMSQ(K31:K36-L31:L36)/COUNTA(K31:K36-L31:L36))</f>
        <v>2.2822788943967194E-3</v>
      </c>
      <c r="V31" s="13">
        <f t="shared" si="30"/>
        <v>60</v>
      </c>
      <c r="W31" s="42">
        <f t="shared" si="4"/>
        <v>4.1492700193451332E-2</v>
      </c>
      <c r="X31" s="32">
        <f t="shared" si="5"/>
        <v>4.1634433230473548E-2</v>
      </c>
      <c r="Y31" s="34">
        <f t="shared" si="21"/>
        <v>4.1990568321727484E-2</v>
      </c>
      <c r="Z31" s="36">
        <f t="shared" si="6"/>
        <v>4.2603362423432233E-2</v>
      </c>
      <c r="AB31" s="23">
        <v>0</v>
      </c>
      <c r="AC31" s="43">
        <f>Y3</f>
        <v>0.04</v>
      </c>
      <c r="AD31" s="34">
        <f>L31</f>
        <v>0.04</v>
      </c>
      <c r="AE31" s="17" cm="1">
        <f t="array" ref="AE31">SQRT(SUMSQ(AC31:AC36-AD31:AD36)/COUNTA(AC31:AC36-AD31:AD36))</f>
        <v>7.4888559298205157E-3</v>
      </c>
      <c r="AM31" s="13">
        <f t="shared" si="31"/>
        <v>60</v>
      </c>
      <c r="AN31" s="42">
        <f t="shared" si="7"/>
        <v>5.5833557627915323E-2</v>
      </c>
      <c r="AO31" s="32">
        <f t="shared" si="8"/>
        <v>5.583358010216833E-2</v>
      </c>
      <c r="AP31" s="34">
        <f t="shared" si="9"/>
        <v>5.5833612274522833E-2</v>
      </c>
      <c r="AQ31" s="36">
        <f t="shared" si="10"/>
        <v>5.5833633537707039E-2</v>
      </c>
      <c r="AS31" s="23">
        <v>0</v>
      </c>
      <c r="AT31" s="43">
        <f>AP3</f>
        <v>0.04</v>
      </c>
      <c r="AU31" s="34">
        <f>AD31</f>
        <v>0.04</v>
      </c>
      <c r="AV31" s="17" cm="1">
        <f t="array" ref="AV31">SQRT(SUMSQ(AT31:AT36-AU31:AU36)/COUNTA(AT31:AT36-AU31:AU36))</f>
        <v>4.8617598689777095E-3</v>
      </c>
      <c r="BD31" s="13">
        <f t="shared" si="32"/>
        <v>60</v>
      </c>
      <c r="BE31" s="42">
        <f t="shared" si="11"/>
        <v>5.1153083660499421E-2</v>
      </c>
      <c r="BF31" s="32">
        <f t="shared" si="12"/>
        <v>5.1424171704325394E-2</v>
      </c>
      <c r="BG31" s="34">
        <f t="shared" si="13"/>
        <v>5.200491947696529E-2</v>
      </c>
      <c r="BH31" s="36">
        <f t="shared" si="14"/>
        <v>5.2766753595437796E-2</v>
      </c>
      <c r="BJ31" s="23">
        <v>0</v>
      </c>
      <c r="BK31" s="43">
        <f>BG3</f>
        <v>0.04</v>
      </c>
      <c r="BL31" s="34">
        <f>AU31</f>
        <v>0.04</v>
      </c>
      <c r="BM31" s="17" cm="1">
        <f t="array" ref="BM31">SQRT(SUMSQ(BK31:BK36-BL31:BL36)/COUNTA(BK31:BK36-BL31:BL36))</f>
        <v>2.3146363517642901E-3</v>
      </c>
      <c r="BU31" s="13">
        <f t="shared" si="33"/>
        <v>60</v>
      </c>
      <c r="BV31" s="42">
        <f t="shared" si="15"/>
        <v>5.5712739818110577E-2</v>
      </c>
      <c r="BW31" s="32">
        <f t="shared" si="16"/>
        <v>5.5738409507309988E-2</v>
      </c>
      <c r="BX31" s="34">
        <f t="shared" si="17"/>
        <v>5.5779511683450508E-2</v>
      </c>
      <c r="BY31" s="36">
        <f t="shared" si="18"/>
        <v>5.5811359259406106E-2</v>
      </c>
      <c r="CA31" s="23">
        <v>0</v>
      </c>
      <c r="CB31" s="43">
        <f>BX3</f>
        <v>0.04</v>
      </c>
      <c r="CC31" s="34">
        <f>BL31</f>
        <v>0.04</v>
      </c>
      <c r="CD31" s="17" cm="1">
        <f t="array" ref="CD31">SQRT(SUMSQ(CB31:CB36-CC31:CC36)/COUNTA(CB31:CB36-CC31:CC36))</f>
        <v>3.5453603159639755E-3</v>
      </c>
    </row>
    <row r="32" spans="4:82" x14ac:dyDescent="0.25">
      <c r="D32" s="13">
        <f>D31+5</f>
        <v>65</v>
      </c>
      <c r="E32" s="42">
        <f t="shared" si="0"/>
        <v>5.4704366963647978E-2</v>
      </c>
      <c r="F32" s="32">
        <f t="shared" si="1"/>
        <v>5.484130649228118E-2</v>
      </c>
      <c r="G32" s="34">
        <f t="shared" si="2"/>
        <v>5.5102888576909731E-2</v>
      </c>
      <c r="H32" s="36">
        <f t="shared" si="3"/>
        <v>5.538178772152285E-2</v>
      </c>
      <c r="J32" s="21">
        <v>10</v>
      </c>
      <c r="K32" s="43">
        <f>G13</f>
        <v>4.5969214243294754E-2</v>
      </c>
      <c r="L32" s="34">
        <f>summary!I7</f>
        <v>4.5627026419976936E-2</v>
      </c>
      <c r="V32" s="13">
        <f>V31+5</f>
        <v>65</v>
      </c>
      <c r="W32" s="42">
        <f t="shared" si="4"/>
        <v>4.1610548081417315E-2</v>
      </c>
      <c r="X32" s="32">
        <f t="shared" si="5"/>
        <v>4.1762767544033505E-2</v>
      </c>
      <c r="Y32" s="34">
        <f t="shared" si="21"/>
        <v>4.2144690880712724E-2</v>
      </c>
      <c r="Z32" s="36">
        <f t="shared" si="6"/>
        <v>4.2799932468375476E-2</v>
      </c>
      <c r="AB32" s="21">
        <v>10</v>
      </c>
      <c r="AC32" s="43">
        <f>Y13</f>
        <v>4.0350606616581824E-2</v>
      </c>
      <c r="AD32" s="34">
        <f t="shared" ref="AD32:AD35" si="34">L32</f>
        <v>4.5627026419976936E-2</v>
      </c>
      <c r="AM32" s="13">
        <f>AM31+5</f>
        <v>65</v>
      </c>
      <c r="AN32" s="42">
        <f t="shared" si="7"/>
        <v>5.5833613902013884E-2</v>
      </c>
      <c r="AO32" s="32">
        <f t="shared" si="8"/>
        <v>5.5833622687271045E-2</v>
      </c>
      <c r="AP32" s="34">
        <f t="shared" si="9"/>
        <v>5.5833634802147446E-2</v>
      </c>
      <c r="AQ32" s="36">
        <f t="shared" si="10"/>
        <v>5.5833642304933678E-2</v>
      </c>
      <c r="AS32" s="21">
        <v>10</v>
      </c>
      <c r="AT32" s="43">
        <f>AP13</f>
        <v>5.4035390113906262E-2</v>
      </c>
      <c r="AU32" s="34">
        <f t="shared" ref="AU32:AU35" si="35">AD32</f>
        <v>4.5627026419976936E-2</v>
      </c>
      <c r="BD32" s="13">
        <f>BD31+5</f>
        <v>65</v>
      </c>
      <c r="BE32" s="42">
        <f t="shared" si="11"/>
        <v>5.1605099364421009E-2</v>
      </c>
      <c r="BF32" s="32">
        <f t="shared" si="12"/>
        <v>5.1869764729227857E-2</v>
      </c>
      <c r="BG32" s="34">
        <f t="shared" si="13"/>
        <v>5.2432093880858822E-2</v>
      </c>
      <c r="BH32" s="36">
        <f t="shared" si="14"/>
        <v>5.3158843803394418E-2</v>
      </c>
      <c r="BJ32" s="21">
        <v>10</v>
      </c>
      <c r="BK32" s="43">
        <f>BG13</f>
        <v>4.3336049406866667E-2</v>
      </c>
      <c r="BL32" s="34">
        <f t="shared" ref="BL32:BL35" si="36">AU32</f>
        <v>4.5627026419976936E-2</v>
      </c>
      <c r="BU32" s="13">
        <f>BU31+5</f>
        <v>65</v>
      </c>
      <c r="BV32" s="42">
        <f t="shared" si="15"/>
        <v>5.5753104368191878E-2</v>
      </c>
      <c r="BW32" s="32">
        <f t="shared" si="16"/>
        <v>5.5771453490562541E-2</v>
      </c>
      <c r="BX32" s="34">
        <f t="shared" si="17"/>
        <v>5.5799920175517097E-2</v>
      </c>
      <c r="BY32" s="36">
        <f t="shared" si="18"/>
        <v>5.5820751173220072E-2</v>
      </c>
      <c r="CA32" s="21">
        <v>10</v>
      </c>
      <c r="CB32" s="43">
        <f>BX13</f>
        <v>4.9688061255132823E-2</v>
      </c>
      <c r="CC32" s="34">
        <f t="shared" ref="CC32:CC36" si="37">BL32</f>
        <v>4.5627026419976936E-2</v>
      </c>
    </row>
    <row r="33" spans="4:82" x14ac:dyDescent="0.25">
      <c r="D33" s="13">
        <f t="shared" ref="D33:D39" si="38">D32+5</f>
        <v>70</v>
      </c>
      <c r="E33" s="42">
        <f t="shared" si="0"/>
        <v>5.4911950577243802E-2</v>
      </c>
      <c r="F33" s="32">
        <f t="shared" si="1"/>
        <v>5.503173179566271E-2</v>
      </c>
      <c r="G33" s="34">
        <f t="shared" si="2"/>
        <v>5.5256854610576736E-2</v>
      </c>
      <c r="H33" s="36">
        <f t="shared" si="3"/>
        <v>5.5489938950397902E-2</v>
      </c>
      <c r="J33" s="21">
        <v>30</v>
      </c>
      <c r="K33" s="43">
        <f>G25</f>
        <v>5.200491947696529E-2</v>
      </c>
      <c r="L33" s="34">
        <f>summary!I8</f>
        <v>4.860357919174027E-2</v>
      </c>
      <c r="V33" s="13">
        <f t="shared" ref="V33:V39" si="39">V32+5</f>
        <v>70</v>
      </c>
      <c r="W33" s="42">
        <f t="shared" si="4"/>
        <v>4.1727427544800952E-2</v>
      </c>
      <c r="X33" s="32">
        <f t="shared" si="5"/>
        <v>4.1889941955561519E-2</v>
      </c>
      <c r="Y33" s="34">
        <f t="shared" si="21"/>
        <v>4.2297097508941381E-2</v>
      </c>
      <c r="Z33" s="36">
        <f t="shared" si="6"/>
        <v>4.2993581957488876E-2</v>
      </c>
      <c r="AB33" s="21">
        <v>30</v>
      </c>
      <c r="AC33" s="43">
        <f>Y25</f>
        <v>4.1028701166425589E-2</v>
      </c>
      <c r="AD33" s="34">
        <f t="shared" si="34"/>
        <v>4.860357919174027E-2</v>
      </c>
      <c r="AM33" s="13">
        <f t="shared" ref="AM33:AM39" si="40">AM32+5</f>
        <v>70</v>
      </c>
      <c r="AN33" s="42">
        <f t="shared" si="7"/>
        <v>5.5833634443879322E-2</v>
      </c>
      <c r="AO33" s="32">
        <f t="shared" si="8"/>
        <v>5.5833637857911893E-2</v>
      </c>
      <c r="AP33" s="34">
        <f t="shared" si="9"/>
        <v>5.583364239405144E-2</v>
      </c>
      <c r="AQ33" s="36">
        <f t="shared" si="10"/>
        <v>5.5833645027161767E-2</v>
      </c>
      <c r="AS33" s="21">
        <v>30</v>
      </c>
      <c r="AT33" s="43">
        <f>AP25</f>
        <v>5.5810451338392665E-2</v>
      </c>
      <c r="AU33" s="34">
        <f t="shared" si="35"/>
        <v>4.860357919174027E-2</v>
      </c>
      <c r="BD33" s="13">
        <f t="shared" ref="BD33:BD39" si="41">BD32+5</f>
        <v>70</v>
      </c>
      <c r="BE33" s="42">
        <f t="shared" si="11"/>
        <v>5.2013462581584562E-2</v>
      </c>
      <c r="BF33" s="32">
        <f t="shared" si="12"/>
        <v>5.2270329000330421E-2</v>
      </c>
      <c r="BG33" s="34">
        <f t="shared" si="13"/>
        <v>5.2811608061912388E-2</v>
      </c>
      <c r="BH33" s="36">
        <f t="shared" si="14"/>
        <v>5.3500806814758876E-2</v>
      </c>
      <c r="BJ33" s="21">
        <v>30</v>
      </c>
      <c r="BK33" s="43">
        <f>BG25</f>
        <v>4.8047587855367106E-2</v>
      </c>
      <c r="BL33" s="34">
        <f t="shared" si="36"/>
        <v>4.860357919174027E-2</v>
      </c>
      <c r="BU33" s="13">
        <f t="shared" ref="BU33:BU39" si="42">BU32+5</f>
        <v>70</v>
      </c>
      <c r="BV33" s="42">
        <f t="shared" si="15"/>
        <v>5.5779993234336189E-2</v>
      </c>
      <c r="BW33" s="32">
        <f t="shared" si="16"/>
        <v>5.5793032310650942E-2</v>
      </c>
      <c r="BX33" s="34">
        <f t="shared" si="17"/>
        <v>5.5812634756807797E-2</v>
      </c>
      <c r="BY33" s="36">
        <f t="shared" si="18"/>
        <v>5.582618526093705E-2</v>
      </c>
      <c r="CA33" s="21">
        <v>30</v>
      </c>
      <c r="CB33" s="43">
        <f>BX25</f>
        <v>5.4907823578248589E-2</v>
      </c>
      <c r="CC33" s="34">
        <f t="shared" si="37"/>
        <v>4.860357919174027E-2</v>
      </c>
    </row>
    <row r="34" spans="4:82" x14ac:dyDescent="0.25">
      <c r="D34" s="13">
        <f t="shared" si="38"/>
        <v>75</v>
      </c>
      <c r="E34" s="42">
        <f t="shared" si="0"/>
        <v>5.5081376263887732E-2</v>
      </c>
      <c r="F34" s="32">
        <f t="shared" si="1"/>
        <v>5.5185615384601948E-2</v>
      </c>
      <c r="G34" s="34">
        <f t="shared" si="2"/>
        <v>5.5378380971973472E-2</v>
      </c>
      <c r="H34" s="36">
        <f t="shared" si="3"/>
        <v>5.5572204448472412E-2</v>
      </c>
      <c r="J34" s="21">
        <v>60</v>
      </c>
      <c r="K34" s="43">
        <f>G31</f>
        <v>5.4907823578248589E-2</v>
      </c>
      <c r="L34" s="34">
        <f>summary!I9</f>
        <v>5.5833646253055487E-2</v>
      </c>
      <c r="V34" s="13">
        <f t="shared" si="39"/>
        <v>75</v>
      </c>
      <c r="W34" s="42">
        <f t="shared" si="4"/>
        <v>4.1843346541709854E-2</v>
      </c>
      <c r="X34" s="32">
        <f t="shared" si="5"/>
        <v>4.2015966948401332E-2</v>
      </c>
      <c r="Y34" s="34">
        <f t="shared" si="21"/>
        <v>4.2447807310809209E-2</v>
      </c>
      <c r="Z34" s="36">
        <f t="shared" si="6"/>
        <v>4.3184354283174159E-2</v>
      </c>
      <c r="AB34" s="21">
        <v>60</v>
      </c>
      <c r="AC34" s="43">
        <f>Y31</f>
        <v>4.1990568321727484E-2</v>
      </c>
      <c r="AD34" s="34">
        <f t="shared" si="34"/>
        <v>5.5833646253055487E-2</v>
      </c>
      <c r="AM34" s="13">
        <f t="shared" si="40"/>
        <v>75</v>
      </c>
      <c r="AN34" s="42">
        <f t="shared" si="7"/>
        <v>5.5833641942324375E-2</v>
      </c>
      <c r="AO34" s="32">
        <f t="shared" si="8"/>
        <v>5.5833643262345113E-2</v>
      </c>
      <c r="AP34" s="34">
        <f t="shared" si="9"/>
        <v>5.5833644952554932E-2</v>
      </c>
      <c r="AQ34" s="36">
        <f t="shared" si="10"/>
        <v>5.5833645872414898E-2</v>
      </c>
      <c r="AS34" s="21">
        <v>60</v>
      </c>
      <c r="AT34" s="43">
        <f>AP31</f>
        <v>5.5833612274522833E-2</v>
      </c>
      <c r="AU34" s="34">
        <f t="shared" si="35"/>
        <v>5.5833646253055487E-2</v>
      </c>
      <c r="BD34" s="13">
        <f t="shared" si="41"/>
        <v>75</v>
      </c>
      <c r="BE34" s="42">
        <f t="shared" si="11"/>
        <v>5.2382388961100548E-2</v>
      </c>
      <c r="BF34" s="32">
        <f t="shared" si="12"/>
        <v>5.2630414832731058E-2</v>
      </c>
      <c r="BG34" s="34">
        <f t="shared" si="13"/>
        <v>5.3148779512982428E-2</v>
      </c>
      <c r="BH34" s="36">
        <f t="shared" si="14"/>
        <v>5.3799051195180601E-2</v>
      </c>
      <c r="BJ34" s="21">
        <v>60</v>
      </c>
      <c r="BK34" s="43">
        <f>BG31</f>
        <v>5.200491947696529E-2</v>
      </c>
      <c r="BL34" s="34">
        <f t="shared" si="36"/>
        <v>5.5833646253055487E-2</v>
      </c>
      <c r="BU34" s="13">
        <f t="shared" si="42"/>
        <v>75</v>
      </c>
      <c r="BV34" s="42">
        <f t="shared" si="15"/>
        <v>5.5797905266579094E-2</v>
      </c>
      <c r="BW34" s="32">
        <f t="shared" si="16"/>
        <v>5.5807123997868205E-2</v>
      </c>
      <c r="BX34" s="34">
        <f t="shared" si="17"/>
        <v>5.5820555997479093E-2</v>
      </c>
      <c r="BY34" s="36">
        <f t="shared" si="18"/>
        <v>5.5829329381496574E-2</v>
      </c>
      <c r="CA34" s="21">
        <v>60</v>
      </c>
      <c r="CB34" s="43">
        <f>BX31</f>
        <v>5.5779511683450508E-2</v>
      </c>
      <c r="CC34" s="34">
        <f t="shared" si="37"/>
        <v>5.5833646253055487E-2</v>
      </c>
    </row>
    <row r="35" spans="4:82" x14ac:dyDescent="0.25">
      <c r="D35" s="13">
        <f t="shared" si="38"/>
        <v>80</v>
      </c>
      <c r="E35" s="42">
        <f t="shared" si="0"/>
        <v>5.5219658196635359E-2</v>
      </c>
      <c r="F35" s="32">
        <f t="shared" si="1"/>
        <v>5.5309969441149652E-2</v>
      </c>
      <c r="G35" s="34">
        <f t="shared" si="2"/>
        <v>5.5474302495458788E-2</v>
      </c>
      <c r="H35" s="36">
        <f t="shared" si="3"/>
        <v>5.5634779901787557E-2</v>
      </c>
      <c r="J35" s="21">
        <v>120</v>
      </c>
      <c r="K35" s="43">
        <f>G41</f>
        <v>5.5779511683450508E-2</v>
      </c>
      <c r="L35" s="34">
        <f>summary!I10</f>
        <v>5.145407230191433E-2</v>
      </c>
      <c r="V35" s="13">
        <f t="shared" si="39"/>
        <v>80</v>
      </c>
      <c r="W35" s="42">
        <f t="shared" si="4"/>
        <v>4.1958312964855207E-2</v>
      </c>
      <c r="X35" s="32">
        <f t="shared" si="5"/>
        <v>4.2140852911146894E-2</v>
      </c>
      <c r="Y35" s="34">
        <f t="shared" si="21"/>
        <v>4.2596839178012269E-2</v>
      </c>
      <c r="Z35" s="36">
        <f t="shared" si="6"/>
        <v>4.3372292193126806E-2</v>
      </c>
      <c r="AB35" s="21">
        <v>120</v>
      </c>
      <c r="AC35" s="43">
        <f>Y41</f>
        <v>4.3730887131741877E-2</v>
      </c>
      <c r="AD35" s="34">
        <f t="shared" si="34"/>
        <v>5.145407230191433E-2</v>
      </c>
      <c r="AM35" s="13">
        <f t="shared" si="40"/>
        <v>80</v>
      </c>
      <c r="AN35" s="42">
        <f t="shared" si="7"/>
        <v>5.5833644679499257E-2</v>
      </c>
      <c r="AO35" s="32">
        <f t="shared" si="8"/>
        <v>5.5833645187636123E-2</v>
      </c>
      <c r="AP35" s="34">
        <f t="shared" si="9"/>
        <v>5.5833645814781348E-2</v>
      </c>
      <c r="AQ35" s="36">
        <f t="shared" si="10"/>
        <v>5.5833646134866403E-2</v>
      </c>
      <c r="AS35" s="21">
        <v>120</v>
      </c>
      <c r="AT35" s="43">
        <f>AP41</f>
        <v>5.5833646252982573E-2</v>
      </c>
      <c r="AU35" s="34">
        <f t="shared" si="35"/>
        <v>5.145407230191433E-2</v>
      </c>
      <c r="BD35" s="13">
        <f t="shared" si="41"/>
        <v>80</v>
      </c>
      <c r="BE35" s="42">
        <f t="shared" si="11"/>
        <v>5.2715687034438699E-2</v>
      </c>
      <c r="BF35" s="32">
        <f t="shared" si="12"/>
        <v>5.2954112716066398E-2</v>
      </c>
      <c r="BG35" s="34">
        <f t="shared" si="13"/>
        <v>5.3448332449584357E-2</v>
      </c>
      <c r="BH35" s="36">
        <f t="shared" si="14"/>
        <v>5.4059166200304175E-2</v>
      </c>
      <c r="BJ35" s="21">
        <v>120</v>
      </c>
      <c r="BK35" s="43">
        <f>BG41</f>
        <v>5.4907823578248589E-2</v>
      </c>
      <c r="BL35" s="34">
        <f t="shared" si="36"/>
        <v>5.145407230191433E-2</v>
      </c>
      <c r="BU35" s="13">
        <f t="shared" si="42"/>
        <v>80</v>
      </c>
      <c r="BV35" s="42">
        <f t="shared" si="15"/>
        <v>5.5809837376224365E-2</v>
      </c>
      <c r="BW35" s="32">
        <f t="shared" si="16"/>
        <v>5.5816326338302753E-2</v>
      </c>
      <c r="BX35" s="34">
        <f t="shared" si="17"/>
        <v>5.5825490965634009E-2</v>
      </c>
      <c r="BY35" s="36">
        <f t="shared" si="18"/>
        <v>5.5831148545008043E-2</v>
      </c>
      <c r="CA35" s="21">
        <v>120</v>
      </c>
      <c r="CB35" s="43">
        <f>BX41</f>
        <v>5.5833461169242225E-2</v>
      </c>
      <c r="CC35" s="34">
        <f t="shared" si="37"/>
        <v>5.145407230191433E-2</v>
      </c>
    </row>
    <row r="36" spans="4:82" x14ac:dyDescent="0.25">
      <c r="D36" s="13">
        <f t="shared" si="38"/>
        <v>85</v>
      </c>
      <c r="E36" s="42">
        <f t="shared" si="0"/>
        <v>5.533252120639022E-2</v>
      </c>
      <c r="F36" s="32">
        <f t="shared" si="1"/>
        <v>5.5410460542809459E-2</v>
      </c>
      <c r="G36" s="34">
        <f t="shared" si="2"/>
        <v>5.5550013958897623E-2</v>
      </c>
      <c r="H36" s="36">
        <f t="shared" si="3"/>
        <v>5.5682378074159281E-2</v>
      </c>
      <c r="J36" s="21"/>
      <c r="K36" s="43"/>
      <c r="L36" s="34"/>
      <c r="V36" s="13">
        <f t="shared" si="39"/>
        <v>85</v>
      </c>
      <c r="W36" s="42">
        <f t="shared" si="4"/>
        <v>4.2072334642089204E-2</v>
      </c>
      <c r="X36" s="32">
        <f t="shared" si="5"/>
        <v>4.2264610138498686E-2</v>
      </c>
      <c r="Y36" s="34">
        <f t="shared" si="21"/>
        <v>4.2744211791915038E-2</v>
      </c>
      <c r="Z36" s="36">
        <f t="shared" si="6"/>
        <v>4.3557437799914861E-2</v>
      </c>
      <c r="AB36" s="57"/>
      <c r="AC36" s="58"/>
      <c r="AD36" s="58"/>
      <c r="AM36" s="13">
        <f t="shared" si="40"/>
        <v>85</v>
      </c>
      <c r="AN36" s="42">
        <f t="shared" si="7"/>
        <v>5.5833645678656584E-2</v>
      </c>
      <c r="AO36" s="32">
        <f t="shared" si="8"/>
        <v>5.5833645873507393E-2</v>
      </c>
      <c r="AP36" s="34">
        <f t="shared" si="9"/>
        <v>5.583364610535526E-2</v>
      </c>
      <c r="AQ36" s="36">
        <f t="shared" si="10"/>
        <v>5.5833646216357717E-2</v>
      </c>
      <c r="AS36" s="57"/>
      <c r="AT36" s="58"/>
      <c r="AU36" s="58"/>
      <c r="BD36" s="13">
        <f t="shared" si="41"/>
        <v>85</v>
      </c>
      <c r="BE36" s="42">
        <f t="shared" si="11"/>
        <v>5.3016797531976606E-2</v>
      </c>
      <c r="BF36" s="32">
        <f t="shared" si="12"/>
        <v>5.3245099781503616E-2</v>
      </c>
      <c r="BG36" s="34">
        <f t="shared" si="13"/>
        <v>5.3714464002365805E-2</v>
      </c>
      <c r="BH36" s="36">
        <f t="shared" si="14"/>
        <v>5.4286026521342796E-2</v>
      </c>
      <c r="BJ36" s="57"/>
      <c r="BK36" s="58"/>
      <c r="BL36" s="58"/>
      <c r="BU36" s="13">
        <f t="shared" si="42"/>
        <v>85</v>
      </c>
      <c r="BV36" s="42">
        <f t="shared" si="15"/>
        <v>5.5817785957304168E-2</v>
      </c>
      <c r="BW36" s="32">
        <f t="shared" si="16"/>
        <v>5.5822335772671233E-2</v>
      </c>
      <c r="BX36" s="34">
        <f t="shared" si="17"/>
        <v>5.5828565472734674E-2</v>
      </c>
      <c r="BY36" s="36">
        <f t="shared" si="18"/>
        <v>5.5832201098756792E-2</v>
      </c>
      <c r="CA36" s="57"/>
      <c r="CB36" s="58"/>
      <c r="CC36" s="58"/>
    </row>
    <row r="37" spans="4:82" x14ac:dyDescent="0.25">
      <c r="D37" s="13">
        <f t="shared" si="38"/>
        <v>90</v>
      </c>
      <c r="E37" s="42">
        <f t="shared" si="0"/>
        <v>5.5424637788201198E-2</v>
      </c>
      <c r="F37" s="32">
        <f t="shared" si="1"/>
        <v>5.549166787768179E-2</v>
      </c>
      <c r="G37" s="34">
        <f t="shared" si="2"/>
        <v>5.5609773494482234E-2</v>
      </c>
      <c r="H37" s="36">
        <f t="shared" si="3"/>
        <v>5.5718583740967928E-2</v>
      </c>
      <c r="V37" s="13">
        <f t="shared" si="39"/>
        <v>90</v>
      </c>
      <c r="W37" s="42">
        <f t="shared" si="4"/>
        <v>4.2185419336938049E-2</v>
      </c>
      <c r="X37" s="32">
        <f t="shared" si="5"/>
        <v>4.2387248832112367E-2</v>
      </c>
      <c r="Y37" s="34">
        <f t="shared" si="21"/>
        <v>4.288994362589215E-2</v>
      </c>
      <c r="Z37" s="36">
        <f t="shared" si="6"/>
        <v>4.3739832590415376E-2</v>
      </c>
      <c r="AM37" s="13">
        <f t="shared" si="40"/>
        <v>90</v>
      </c>
      <c r="AN37" s="42">
        <f t="shared" si="7"/>
        <v>5.5833646043381313E-2</v>
      </c>
      <c r="AO37" s="32">
        <f t="shared" si="8"/>
        <v>5.5833646117844173E-2</v>
      </c>
      <c r="AP37" s="34">
        <f t="shared" si="9"/>
        <v>5.5833646203279894E-2</v>
      </c>
      <c r="AQ37" s="36">
        <f t="shared" si="10"/>
        <v>5.583364624166081E-2</v>
      </c>
      <c r="BD37" s="13">
        <f t="shared" si="41"/>
        <v>90</v>
      </c>
      <c r="BE37" s="42">
        <f t="shared" si="11"/>
        <v>5.3288828902633645E-2</v>
      </c>
      <c r="BF37" s="32">
        <f t="shared" si="12"/>
        <v>5.3506681573078217E-2</v>
      </c>
      <c r="BG37" s="34">
        <f t="shared" si="13"/>
        <v>5.3950903024427482E-2</v>
      </c>
      <c r="BH37" s="36">
        <f t="shared" si="14"/>
        <v>5.4483883639340647E-2</v>
      </c>
      <c r="BU37" s="13">
        <f t="shared" si="42"/>
        <v>90</v>
      </c>
      <c r="BV37" s="42">
        <f t="shared" si="15"/>
        <v>5.5823080908746991E-2</v>
      </c>
      <c r="BW37" s="32">
        <f t="shared" si="16"/>
        <v>5.5826260133184286E-2</v>
      </c>
      <c r="BX37" s="34">
        <f t="shared" si="17"/>
        <v>5.5830480904327205E-2</v>
      </c>
      <c r="BY37" s="36">
        <f t="shared" si="18"/>
        <v>5.5832810098105687E-2</v>
      </c>
    </row>
    <row r="38" spans="4:82" x14ac:dyDescent="0.25">
      <c r="D38" s="13">
        <f t="shared" si="38"/>
        <v>95</v>
      </c>
      <c r="E38" s="42">
        <f t="shared" si="0"/>
        <v>5.5499821541168351E-2</v>
      </c>
      <c r="F38" s="32">
        <f t="shared" si="1"/>
        <v>5.5557291909343734E-2</v>
      </c>
      <c r="G38" s="34">
        <f t="shared" si="2"/>
        <v>5.5656942072806873E-2</v>
      </c>
      <c r="H38" s="36">
        <f t="shared" si="3"/>
        <v>5.5746123670417778E-2</v>
      </c>
      <c r="J38" t="s">
        <v>27</v>
      </c>
      <c r="V38" s="13">
        <f t="shared" si="39"/>
        <v>95</v>
      </c>
      <c r="W38" s="42">
        <f t="shared" si="4"/>
        <v>4.2297574749130512E-2</v>
      </c>
      <c r="X38" s="32">
        <f t="shared" si="5"/>
        <v>4.2508779101439742E-2</v>
      </c>
      <c r="Y38" s="34">
        <f t="shared" si="21"/>
        <v>4.303405294764405E-2</v>
      </c>
      <c r="Z38" s="36">
        <f t="shared" si="6"/>
        <v>4.3919517435110654E-2</v>
      </c>
      <c r="AB38" t="s">
        <v>16</v>
      </c>
      <c r="AM38" s="13">
        <f t="shared" si="40"/>
        <v>95</v>
      </c>
      <c r="AN38" s="42">
        <f t="shared" si="7"/>
        <v>5.5833646176517635E-2</v>
      </c>
      <c r="AO38" s="32">
        <f t="shared" si="8"/>
        <v>5.5833646204887413E-2</v>
      </c>
      <c r="AP38" s="34">
        <f t="shared" si="9"/>
        <v>5.5833646236280905E-2</v>
      </c>
      <c r="AQ38" s="36">
        <f t="shared" si="10"/>
        <v>5.5833646249517435E-2</v>
      </c>
      <c r="AS38" t="s">
        <v>16</v>
      </c>
      <c r="BD38" s="13">
        <f t="shared" si="41"/>
        <v>95</v>
      </c>
      <c r="BE38" s="42">
        <f t="shared" si="11"/>
        <v>5.3534589403269238E-2</v>
      </c>
      <c r="BF38" s="32">
        <f t="shared" si="12"/>
        <v>5.3741829597890124E-2</v>
      </c>
      <c r="BG38" s="34">
        <f t="shared" si="13"/>
        <v>5.4160962337459748E-2</v>
      </c>
      <c r="BH38" s="36">
        <f t="shared" si="14"/>
        <v>5.4656445500150808E-2</v>
      </c>
      <c r="BJ38" t="s">
        <v>16</v>
      </c>
      <c r="BU38" s="13">
        <f t="shared" si="42"/>
        <v>95</v>
      </c>
      <c r="BV38" s="42">
        <f t="shared" si="15"/>
        <v>5.5826608143419491E-2</v>
      </c>
      <c r="BW38" s="32">
        <f t="shared" si="16"/>
        <v>5.5828822871121363E-2</v>
      </c>
      <c r="BX38" s="34">
        <f t="shared" si="17"/>
        <v>5.5831674226725081E-2</v>
      </c>
      <c r="BY38" s="36">
        <f t="shared" si="18"/>
        <v>5.5833162460355489E-2</v>
      </c>
      <c r="CA38" t="s">
        <v>16</v>
      </c>
    </row>
    <row r="39" spans="4:82" x14ac:dyDescent="0.25">
      <c r="D39" s="13">
        <f t="shared" si="38"/>
        <v>100</v>
      </c>
      <c r="E39" s="42">
        <f t="shared" si="0"/>
        <v>5.5561185050311844E-2</v>
      </c>
      <c r="F39" s="32">
        <f t="shared" si="1"/>
        <v>5.5610322999926111E-2</v>
      </c>
      <c r="G39" s="34">
        <f t="shared" si="2"/>
        <v>5.5694172529158356E-2</v>
      </c>
      <c r="H39" s="36">
        <f t="shared" si="3"/>
        <v>5.5767071985445671E-2</v>
      </c>
      <c r="J39" s="24" t="s">
        <v>9</v>
      </c>
      <c r="K39" s="24" t="s">
        <v>13</v>
      </c>
      <c r="L39" s="25" t="s">
        <v>14</v>
      </c>
      <c r="M39" s="25" t="s">
        <v>18</v>
      </c>
      <c r="V39" s="13">
        <f t="shared" si="39"/>
        <v>100</v>
      </c>
      <c r="W39" s="42">
        <f t="shared" si="4"/>
        <v>4.2408808515122243E-2</v>
      </c>
      <c r="X39" s="32">
        <f t="shared" si="5"/>
        <v>4.2629210964562056E-2</v>
      </c>
      <c r="Y39" s="34">
        <f t="shared" si="21"/>
        <v>4.3176557821486883E-2</v>
      </c>
      <c r="Z39" s="36">
        <f t="shared" si="6"/>
        <v>4.409653259724642E-2</v>
      </c>
      <c r="AB39" s="24" t="s">
        <v>9</v>
      </c>
      <c r="AC39" s="24" t="s">
        <v>13</v>
      </c>
      <c r="AD39" s="25" t="s">
        <v>14</v>
      </c>
      <c r="AE39" s="25" t="s">
        <v>18</v>
      </c>
      <c r="AM39" s="13">
        <f t="shared" si="40"/>
        <v>100</v>
      </c>
      <c r="AN39" s="42">
        <f t="shared" si="7"/>
        <v>5.5833646225116697E-2</v>
      </c>
      <c r="AO39" s="32">
        <f t="shared" si="8"/>
        <v>5.5833646235895949E-2</v>
      </c>
      <c r="AP39" s="34">
        <f t="shared" si="9"/>
        <v>5.5833646247402384E-2</v>
      </c>
      <c r="AQ39" s="36">
        <f t="shared" si="10"/>
        <v>5.5833646251956921E-2</v>
      </c>
      <c r="AS39" s="24" t="s">
        <v>9</v>
      </c>
      <c r="AT39" s="24" t="s">
        <v>13</v>
      </c>
      <c r="AU39" s="25" t="s">
        <v>14</v>
      </c>
      <c r="AV39" s="25" t="s">
        <v>18</v>
      </c>
      <c r="BD39" s="13">
        <f t="shared" si="41"/>
        <v>100</v>
      </c>
      <c r="BE39" s="42">
        <f t="shared" si="11"/>
        <v>5.3756616089113508E-2</v>
      </c>
      <c r="BF39" s="32">
        <f t="shared" si="12"/>
        <v>5.395321508171947E-2</v>
      </c>
      <c r="BG39" s="34">
        <f t="shared" si="13"/>
        <v>5.4347585148731899E-2</v>
      </c>
      <c r="BH39" s="36">
        <f t="shared" si="14"/>
        <v>5.4806946003279476E-2</v>
      </c>
      <c r="BJ39" s="24" t="s">
        <v>9</v>
      </c>
      <c r="BK39" s="24" t="s">
        <v>13</v>
      </c>
      <c r="BL39" s="25" t="s">
        <v>14</v>
      </c>
      <c r="BM39" s="25" t="s">
        <v>18</v>
      </c>
      <c r="BU39" s="13">
        <f t="shared" si="42"/>
        <v>100</v>
      </c>
      <c r="BV39" s="42">
        <f t="shared" si="15"/>
        <v>5.5828957812641064E-2</v>
      </c>
      <c r="BW39" s="32">
        <f t="shared" si="16"/>
        <v>5.5830496424229506E-2</v>
      </c>
      <c r="BX39" s="34">
        <f t="shared" si="17"/>
        <v>5.58324176718843E-2</v>
      </c>
      <c r="BY39" s="36">
        <f t="shared" si="18"/>
        <v>5.5833366334391336E-2</v>
      </c>
      <c r="CA39" s="24" t="s">
        <v>9</v>
      </c>
      <c r="CB39" s="24" t="s">
        <v>13</v>
      </c>
      <c r="CC39" s="25" t="s">
        <v>14</v>
      </c>
      <c r="CD39" s="25" t="s">
        <v>18</v>
      </c>
    </row>
    <row r="40" spans="4:82" x14ac:dyDescent="0.25">
      <c r="D40" s="13">
        <f>D39+10</f>
        <v>110</v>
      </c>
      <c r="E40" s="42">
        <f t="shared" si="0"/>
        <v>5.5652146080370897E-2</v>
      </c>
      <c r="F40" s="32">
        <f t="shared" si="1"/>
        <v>5.5687808741154948E-2</v>
      </c>
      <c r="G40" s="34">
        <f t="shared" si="2"/>
        <v>5.5746753502987523E-2</v>
      </c>
      <c r="H40" s="36">
        <f t="shared" si="3"/>
        <v>5.5795126903639483E-2</v>
      </c>
      <c r="J40" s="26">
        <v>0</v>
      </c>
      <c r="K40" s="44">
        <f>F3</f>
        <v>0.04</v>
      </c>
      <c r="L40" s="32">
        <f>summary!H6</f>
        <v>0.04</v>
      </c>
      <c r="M40" s="17" cm="1">
        <f t="array" ref="M40">SQRT(SUMSQ(K40:K45-L40:L45)/COUNTA(K40:K45-L40:L45))</f>
        <v>3.3607588340044399E-3</v>
      </c>
      <c r="V40" s="13">
        <f>V39+10</f>
        <v>110</v>
      </c>
      <c r="W40" s="42">
        <f t="shared" si="4"/>
        <v>4.2628541341075743E-2</v>
      </c>
      <c r="X40" s="32">
        <f t="shared" si="5"/>
        <v>4.2866819092611405E-2</v>
      </c>
      <c r="Y40" s="34">
        <f t="shared" si="21"/>
        <v>4.3456825479349509E-2</v>
      </c>
      <c r="Z40" s="36">
        <f t="shared" si="6"/>
        <v>4.4442711944637642E-2</v>
      </c>
      <c r="AB40" s="26">
        <v>0</v>
      </c>
      <c r="AC40" s="44">
        <f>X3</f>
        <v>0.04</v>
      </c>
      <c r="AD40" s="32">
        <f>L40</f>
        <v>0.04</v>
      </c>
      <c r="AE40" s="17" cm="1">
        <f t="array" ref="AE40">SQRT(SUMSQ(AC40:AC45-AD40:AD45)/COUNTA(AC40:AC45-AD40:AD45))</f>
        <v>5.4400001732872894E-3</v>
      </c>
      <c r="AM40" s="13">
        <f>AM39+10</f>
        <v>110</v>
      </c>
      <c r="AN40" s="42">
        <f t="shared" si="7"/>
        <v>5.583364624933268E-2</v>
      </c>
      <c r="AO40" s="32">
        <f t="shared" si="8"/>
        <v>5.5833646250877784E-2</v>
      </c>
      <c r="AP40" s="34">
        <f t="shared" si="9"/>
        <v>5.5833646252413452E-2</v>
      </c>
      <c r="AQ40" s="36">
        <f t="shared" si="10"/>
        <v>5.5833646252949572E-2</v>
      </c>
      <c r="AS40" s="26">
        <v>0</v>
      </c>
      <c r="AT40" s="44">
        <f>AO3</f>
        <v>0.04</v>
      </c>
      <c r="AU40" s="32">
        <f>AD40</f>
        <v>0.04</v>
      </c>
      <c r="AV40" s="17" cm="1">
        <f t="array" ref="AV40">SQRT(SUMSQ(AT40:AT45-AU40:AU45)/COUNTA(AT40:AT45-AU40:AU45))</f>
        <v>4.6297178926764174E-3</v>
      </c>
      <c r="BD40" s="13">
        <f>BD39+10</f>
        <v>110</v>
      </c>
      <c r="BE40" s="42">
        <f t="shared" si="11"/>
        <v>5.4138414844322073E-2</v>
      </c>
      <c r="BF40" s="32">
        <f t="shared" si="12"/>
        <v>5.4314060923480706E-2</v>
      </c>
      <c r="BG40" s="34">
        <f t="shared" si="13"/>
        <v>5.4660688851215437E-2</v>
      </c>
      <c r="BH40" s="36">
        <f t="shared" si="14"/>
        <v>5.5052684184481837E-2</v>
      </c>
      <c r="BJ40" s="26">
        <v>0</v>
      </c>
      <c r="BK40" s="44">
        <f>BF3</f>
        <v>0.04</v>
      </c>
      <c r="BL40" s="32">
        <f>AU40</f>
        <v>0.04</v>
      </c>
      <c r="BM40" s="17" cm="1">
        <f t="array" ref="BM40">SQRT(SUMSQ(BK40:BK45-BL40:BL45)/COUNTA(BK40:BK45-BL40:BL45))</f>
        <v>1.9300850965689286E-3</v>
      </c>
      <c r="BU40" s="13">
        <f>BU39+10</f>
        <v>110</v>
      </c>
      <c r="BV40" s="42">
        <f t="shared" si="15"/>
        <v>5.5831565727056734E-2</v>
      </c>
      <c r="BW40" s="32">
        <f t="shared" si="16"/>
        <v>5.5832303000873558E-2</v>
      </c>
      <c r="BX40" s="34">
        <f t="shared" si="17"/>
        <v>5.5833169398268302E-2</v>
      </c>
      <c r="BY40" s="36">
        <f t="shared" si="18"/>
        <v>5.5833552544995085E-2</v>
      </c>
      <c r="CA40" s="26">
        <v>0</v>
      </c>
      <c r="CB40" s="44">
        <f>BW3</f>
        <v>0.04</v>
      </c>
      <c r="CC40" s="32">
        <f>BL40</f>
        <v>0.04</v>
      </c>
      <c r="CD40" s="17" cm="1">
        <f t="array" ref="CD40">SQRT(SUMSQ(CB40:CB45-CC40:CC45)/COUNTA(CB40:CB45-CC40:CC45))</f>
        <v>4.3166559213448459E-3</v>
      </c>
    </row>
    <row r="41" spans="4:82" x14ac:dyDescent="0.25">
      <c r="D41" s="13">
        <f t="shared" ref="D41" si="43">D40+10</f>
        <v>120</v>
      </c>
      <c r="E41" s="56">
        <f t="shared" si="0"/>
        <v>5.5712739818110577E-2</v>
      </c>
      <c r="F41" s="38">
        <f t="shared" si="1"/>
        <v>5.5738409507309988E-2</v>
      </c>
      <c r="G41" s="39">
        <f t="shared" si="2"/>
        <v>5.5779511683450508E-2</v>
      </c>
      <c r="H41" s="40">
        <f t="shared" si="3"/>
        <v>5.5811359259406106E-2</v>
      </c>
      <c r="J41" s="24">
        <v>10</v>
      </c>
      <c r="K41" s="44"/>
      <c r="L41" s="32"/>
      <c r="V41" s="13">
        <f t="shared" ref="V41" si="44">V40+10</f>
        <v>120</v>
      </c>
      <c r="W41" s="42">
        <f t="shared" si="4"/>
        <v>4.2844677660632359E-2</v>
      </c>
      <c r="X41" s="32">
        <f t="shared" si="5"/>
        <v>4.310015156469503E-2</v>
      </c>
      <c r="Y41" s="34">
        <f t="shared" si="21"/>
        <v>4.3730887131741877E-2</v>
      </c>
      <c r="Z41" s="36">
        <f t="shared" si="6"/>
        <v>4.4778680933326168E-2</v>
      </c>
      <c r="AB41" s="24">
        <v>10</v>
      </c>
      <c r="AC41" s="44"/>
      <c r="AD41" s="32"/>
      <c r="AM41" s="13">
        <f t="shared" ref="AM41" si="45">AM40+10</f>
        <v>120</v>
      </c>
      <c r="AN41" s="42">
        <f t="shared" si="7"/>
        <v>5.5833646252559425E-2</v>
      </c>
      <c r="AO41" s="32">
        <f t="shared" si="8"/>
        <v>5.5833646252779118E-2</v>
      </c>
      <c r="AP41" s="34">
        <f t="shared" si="9"/>
        <v>5.5833646252982573E-2</v>
      </c>
      <c r="AQ41" s="36">
        <f t="shared" si="10"/>
        <v>5.5833646253045273E-2</v>
      </c>
      <c r="AS41" s="24">
        <v>10</v>
      </c>
      <c r="AT41" s="44"/>
      <c r="AU41" s="32"/>
      <c r="BD41" s="13">
        <f t="shared" ref="BD41" si="46">BD40+10</f>
        <v>120</v>
      </c>
      <c r="BE41" s="42">
        <f t="shared" si="11"/>
        <v>5.4450031523213482E-2</v>
      </c>
      <c r="BF41" s="32">
        <f t="shared" si="12"/>
        <v>5.4605662156079315E-2</v>
      </c>
      <c r="BG41" s="34">
        <f t="shared" si="13"/>
        <v>5.4907823578248589E-2</v>
      </c>
      <c r="BH41" s="36">
        <f t="shared" si="14"/>
        <v>5.5239605536026443E-2</v>
      </c>
      <c r="BJ41" s="24">
        <v>10</v>
      </c>
      <c r="BK41" s="44"/>
      <c r="BL41" s="32"/>
      <c r="BU41" s="13">
        <f t="shared" ref="BU41" si="47">BU40+10</f>
        <v>120</v>
      </c>
      <c r="BV41" s="42">
        <f>$B$8-($B$8-$B$7)*EXP(-($BV$2*2)*BU41)</f>
        <v>5.5832723006080186E-2</v>
      </c>
      <c r="BW41" s="32">
        <f t="shared" si="16"/>
        <v>5.5833073419887733E-2</v>
      </c>
      <c r="BX41" s="34">
        <f t="shared" si="17"/>
        <v>5.5833461169242225E-2</v>
      </c>
      <c r="BY41" s="36">
        <f t="shared" si="18"/>
        <v>5.583361488251215E-2</v>
      </c>
      <c r="CA41" s="24">
        <v>10</v>
      </c>
      <c r="CB41" s="44"/>
      <c r="CC41" s="32"/>
    </row>
    <row r="42" spans="4:82" x14ac:dyDescent="0.25">
      <c r="J42" s="24">
        <v>30</v>
      </c>
      <c r="K42" s="44">
        <f>F25</f>
        <v>5.1424171704325394E-2</v>
      </c>
      <c r="L42" s="32">
        <f>summary!H8</f>
        <v>4.880607945181633E-2</v>
      </c>
      <c r="AB42" s="24">
        <v>30</v>
      </c>
      <c r="AC42" s="44">
        <f>X25</f>
        <v>4.0839470181282117E-2</v>
      </c>
      <c r="AD42" s="32">
        <f t="shared" ref="AD42:AD44" si="48">L42</f>
        <v>4.880607945181633E-2</v>
      </c>
      <c r="AM42" s="13"/>
      <c r="AS42" s="24">
        <v>30</v>
      </c>
      <c r="AT42" s="44">
        <f>AO25</f>
        <v>5.5801282542721035E-2</v>
      </c>
      <c r="AU42" s="32">
        <f t="shared" ref="AU42:AU44" si="49">AD42</f>
        <v>4.880607945181633E-2</v>
      </c>
      <c r="BJ42" s="24">
        <v>30</v>
      </c>
      <c r="BK42" s="44">
        <f>BF25</f>
        <v>4.747792604672714E-2</v>
      </c>
      <c r="BL42" s="32">
        <f t="shared" ref="BL42:BL43" si="50">AU42</f>
        <v>4.880607945181633E-2</v>
      </c>
      <c r="CA42" s="24">
        <v>30</v>
      </c>
      <c r="CB42" s="44">
        <f>BW25</f>
        <v>5.4605662156079315E-2</v>
      </c>
      <c r="CC42" s="32">
        <f t="shared" ref="CC41:CC45" si="51">BL42</f>
        <v>4.880607945181633E-2</v>
      </c>
    </row>
    <row r="43" spans="4:82" x14ac:dyDescent="0.25">
      <c r="J43" s="24">
        <v>60</v>
      </c>
      <c r="K43" s="44">
        <f>F31</f>
        <v>5.4605662156079315E-2</v>
      </c>
      <c r="L43" s="32">
        <f>summary!H9</f>
        <v>4.7893651283411866E-2</v>
      </c>
      <c r="AB43" s="24">
        <v>60</v>
      </c>
      <c r="AC43" s="44">
        <f>X31</f>
        <v>4.1634433230473548E-2</v>
      </c>
      <c r="AD43" s="32">
        <f t="shared" si="48"/>
        <v>4.7893651283411866E-2</v>
      </c>
      <c r="AM43" s="13"/>
      <c r="AS43" s="24">
        <v>60</v>
      </c>
      <c r="AT43" s="44">
        <f>AO31</f>
        <v>5.583358010216833E-2</v>
      </c>
      <c r="AU43" s="32">
        <f t="shared" si="49"/>
        <v>4.7893651283411866E-2</v>
      </c>
      <c r="BJ43" s="24">
        <v>60</v>
      </c>
      <c r="BK43" s="44">
        <f>BF31</f>
        <v>5.1424171704325394E-2</v>
      </c>
      <c r="BL43" s="32">
        <f t="shared" si="50"/>
        <v>4.7893651283411866E-2</v>
      </c>
      <c r="CA43" s="24">
        <v>60</v>
      </c>
      <c r="CB43" s="44">
        <f>BW31</f>
        <v>5.5738409507309988E-2</v>
      </c>
      <c r="CC43" s="32">
        <f t="shared" si="51"/>
        <v>4.7893651283411866E-2</v>
      </c>
    </row>
    <row r="44" spans="4:82" x14ac:dyDescent="0.25">
      <c r="J44" s="24">
        <v>120</v>
      </c>
      <c r="K44" s="44">
        <f>F41</f>
        <v>5.5738409507309988E-2</v>
      </c>
      <c r="L44" s="32">
        <f>summary!H10</f>
        <v>5.1755608653064417E-2</v>
      </c>
      <c r="AB44" s="24">
        <v>120</v>
      </c>
      <c r="AC44" s="44">
        <f>X41</f>
        <v>4.310015156469503E-2</v>
      </c>
      <c r="AD44" s="32">
        <f t="shared" si="48"/>
        <v>5.1755608653064417E-2</v>
      </c>
      <c r="AM44" s="13"/>
      <c r="AS44" s="24">
        <v>120</v>
      </c>
      <c r="AT44" s="44">
        <f>AO41</f>
        <v>5.5833646252779118E-2</v>
      </c>
      <c r="AU44" s="32">
        <f t="shared" si="49"/>
        <v>5.1755608653064417E-2</v>
      </c>
      <c r="BJ44" s="24">
        <v>120</v>
      </c>
      <c r="BK44" s="44">
        <f>BF41</f>
        <v>5.4605662156079315E-2</v>
      </c>
      <c r="BL44" s="32">
        <f>AU44</f>
        <v>5.1755608653064417E-2</v>
      </c>
      <c r="CA44" s="24">
        <v>120</v>
      </c>
      <c r="CB44" s="44">
        <f>BW41</f>
        <v>5.5833073419887733E-2</v>
      </c>
      <c r="CC44" s="32">
        <f t="shared" si="51"/>
        <v>5.1755608653064417E-2</v>
      </c>
    </row>
    <row r="45" spans="4:82" x14ac:dyDescent="0.25">
      <c r="J45" s="57"/>
      <c r="K45" s="58"/>
      <c r="L45" s="58"/>
      <c r="AB45" s="57"/>
      <c r="AC45" s="58"/>
      <c r="AD45" s="58"/>
      <c r="AM45" s="13"/>
      <c r="AS45" s="57"/>
      <c r="AT45" s="58"/>
      <c r="AU45" s="58"/>
      <c r="BJ45" s="57"/>
      <c r="BK45" s="58"/>
      <c r="BL45" s="58"/>
      <c r="BM45" s="61"/>
      <c r="CA45" s="57"/>
      <c r="CB45" s="58"/>
      <c r="CC45" s="58"/>
    </row>
    <row r="46" spans="4:82" x14ac:dyDescent="0.25">
      <c r="AM46" s="13"/>
      <c r="AS46" s="61"/>
      <c r="AT46" s="61"/>
      <c r="AU46" s="61"/>
      <c r="CA46" s="61"/>
      <c r="CB46" s="61"/>
      <c r="CC46" s="61"/>
    </row>
    <row r="47" spans="4:82" x14ac:dyDescent="0.25">
      <c r="J47" t="s">
        <v>28</v>
      </c>
      <c r="AB47" t="s">
        <v>17</v>
      </c>
      <c r="AM47" s="13"/>
      <c r="AS47" t="s">
        <v>17</v>
      </c>
      <c r="BJ47" t="s">
        <v>17</v>
      </c>
      <c r="CA47" t="s">
        <v>17</v>
      </c>
    </row>
    <row r="48" spans="4:82" x14ac:dyDescent="0.25">
      <c r="J48" s="27" t="s">
        <v>9</v>
      </c>
      <c r="K48" s="27" t="s">
        <v>13</v>
      </c>
      <c r="L48" s="28" t="s">
        <v>14</v>
      </c>
      <c r="M48" s="28" t="s">
        <v>18</v>
      </c>
      <c r="AB48" s="27" t="s">
        <v>9</v>
      </c>
      <c r="AC48" s="27" t="s">
        <v>13</v>
      </c>
      <c r="AD48" s="28" t="s">
        <v>14</v>
      </c>
      <c r="AE48" s="28" t="s">
        <v>18</v>
      </c>
      <c r="AM48" s="13"/>
      <c r="AS48" s="27" t="s">
        <v>9</v>
      </c>
      <c r="AT48" s="27" t="s">
        <v>13</v>
      </c>
      <c r="AU48" s="28" t="s">
        <v>14</v>
      </c>
      <c r="AV48" s="28" t="s">
        <v>18</v>
      </c>
      <c r="BJ48" s="27" t="s">
        <v>9</v>
      </c>
      <c r="BK48" s="27" t="s">
        <v>13</v>
      </c>
      <c r="BL48" s="28" t="s">
        <v>14</v>
      </c>
      <c r="BM48" s="28" t="s">
        <v>18</v>
      </c>
      <c r="CA48" s="27" t="s">
        <v>9</v>
      </c>
      <c r="CB48" s="27" t="s">
        <v>13</v>
      </c>
      <c r="CC48" s="28" t="s">
        <v>14</v>
      </c>
      <c r="CD48" s="28" t="s">
        <v>18</v>
      </c>
    </row>
    <row r="49" spans="10:82" x14ac:dyDescent="0.25">
      <c r="J49" s="29">
        <v>0</v>
      </c>
      <c r="K49" s="45">
        <f>E3</f>
        <v>0.04</v>
      </c>
      <c r="L49" s="47">
        <f>summary!G6</f>
        <v>0.04</v>
      </c>
      <c r="M49" s="17" cm="1">
        <f t="array" ref="M49">SQRT(SUMSQ(K49:K54-L49:L54)/COUNTA(K49:K54-L49:L54))</f>
        <v>3.8417308387994724E-3</v>
      </c>
      <c r="AB49" s="29">
        <v>0</v>
      </c>
      <c r="AC49" s="45">
        <f>W3</f>
        <v>0.04</v>
      </c>
      <c r="AD49" s="42">
        <f>L49</f>
        <v>0.04</v>
      </c>
      <c r="AE49" s="17" cm="1">
        <f t="array" ref="AE49">SQRT(SUMSQ(AC49:AC54-AD49:AD54)/COUNTA(AC49:AC54-AD49:AD54))</f>
        <v>5.3732901189632197E-3</v>
      </c>
      <c r="AM49" s="13"/>
      <c r="AS49" s="29">
        <v>0</v>
      </c>
      <c r="AT49" s="45">
        <f>AN3</f>
        <v>0.04</v>
      </c>
      <c r="AU49" s="42">
        <f>AD49</f>
        <v>0.04</v>
      </c>
      <c r="AV49" s="17" cm="1">
        <f t="array" ref="AV49">SQRT(SUMSQ(AT49:AT54-AU49:AU54)/COUNTA(AT49:AT54-AU49:AU54))</f>
        <v>7.2223966507084384E-3</v>
      </c>
      <c r="BJ49" s="29">
        <v>0</v>
      </c>
      <c r="BK49" s="45">
        <f>BE3</f>
        <v>0.04</v>
      </c>
      <c r="BL49" s="42">
        <f>AU49</f>
        <v>0.04</v>
      </c>
      <c r="BM49" s="17" cm="1">
        <f t="array" ref="BM49">SQRT(SUMSQ(BK49:BK54-BL49:BL54)/COUNTA(BK49:BK54-BL49:BL54))</f>
        <v>1.7711599856364221E-3</v>
      </c>
      <c r="CA49" s="29">
        <v>0</v>
      </c>
      <c r="CB49" s="45">
        <f>BV3</f>
        <v>0.04</v>
      </c>
      <c r="CC49" s="42">
        <f>BL49</f>
        <v>0.04</v>
      </c>
      <c r="CD49" s="17" cm="1">
        <f t="array" ref="CD49">SQRT(SUMSQ(CB49:CB54-CC49:CC54)/COUNTA(CB49:CB54-CC49:CC54))</f>
        <v>5.5926524987787492E-3</v>
      </c>
    </row>
    <row r="50" spans="10:82" x14ac:dyDescent="0.25">
      <c r="J50" s="27">
        <v>10</v>
      </c>
      <c r="K50" s="45">
        <f>E13</f>
        <v>4.5286054521765082E-2</v>
      </c>
      <c r="L50" s="47">
        <f>summary!G7</f>
        <v>4.0883015185033886E-2</v>
      </c>
      <c r="AB50" s="27">
        <v>10</v>
      </c>
      <c r="AC50" s="45">
        <f>W13</f>
        <v>4.0259159321270686E-2</v>
      </c>
      <c r="AD50" s="42">
        <f t="shared" ref="AD50:AD53" si="52">L50</f>
        <v>4.0883015185033886E-2</v>
      </c>
      <c r="AM50" s="13"/>
      <c r="AS50" s="27">
        <v>10</v>
      </c>
      <c r="AT50" s="45">
        <f>AN13</f>
        <v>5.3723835001286434E-2</v>
      </c>
      <c r="AU50" s="42">
        <f t="shared" ref="AU50:AU53" si="53">AD50</f>
        <v>4.0883015185033886E-2</v>
      </c>
      <c r="BJ50" s="27">
        <v>10</v>
      </c>
      <c r="BK50" s="45">
        <f>BE13</f>
        <v>4.2910533768251165E-2</v>
      </c>
      <c r="BL50" s="42">
        <f t="shared" ref="BL50:BL53" si="54">AU50</f>
        <v>4.0883015185033886E-2</v>
      </c>
      <c r="CA50" s="27">
        <v>10</v>
      </c>
      <c r="CB50" s="45">
        <f>BV13</f>
        <v>4.8807362505651632E-2</v>
      </c>
      <c r="CC50" s="42">
        <f t="shared" ref="CC50:CC54" si="55">BL50</f>
        <v>4.0883015185033886E-2</v>
      </c>
    </row>
    <row r="51" spans="10:82" x14ac:dyDescent="0.25">
      <c r="J51" s="27">
        <v>30</v>
      </c>
      <c r="K51" s="45">
        <f>E25</f>
        <v>5.1153083660499421E-2</v>
      </c>
      <c r="L51" s="47">
        <f>summary!G8</f>
        <v>4.7200498607488234E-2</v>
      </c>
      <c r="AB51" s="27">
        <v>30</v>
      </c>
      <c r="AC51" s="45">
        <f>W25</f>
        <v>4.076482191796145E-2</v>
      </c>
      <c r="AD51" s="42">
        <f t="shared" si="52"/>
        <v>4.7200498607488234E-2</v>
      </c>
      <c r="AM51" s="13"/>
      <c r="AS51" s="27">
        <v>30</v>
      </c>
      <c r="AT51" s="45">
        <f>AN25</f>
        <v>5.5796186152701641E-2</v>
      </c>
      <c r="AU51" s="42">
        <f t="shared" si="53"/>
        <v>4.7200498607488234E-2</v>
      </c>
      <c r="BJ51" s="27">
        <v>30</v>
      </c>
      <c r="BK51" s="45">
        <f>BE25</f>
        <v>4.7224908113477938E-2</v>
      </c>
      <c r="BL51" s="42">
        <f t="shared" si="54"/>
        <v>4.7200498607488234E-2</v>
      </c>
      <c r="CA51" s="27">
        <v>30</v>
      </c>
      <c r="CB51" s="45">
        <f>BV25</f>
        <v>5.4450031523213482E-2</v>
      </c>
      <c r="CC51" s="42">
        <f t="shared" si="55"/>
        <v>4.7200498607488234E-2</v>
      </c>
    </row>
    <row r="52" spans="10:82" x14ac:dyDescent="0.25">
      <c r="J52" s="27">
        <v>60</v>
      </c>
      <c r="K52" s="45">
        <f>E31</f>
        <v>5.4450031523213482E-2</v>
      </c>
      <c r="L52" s="47">
        <f>summary!G9</f>
        <v>4.7978393655140922E-2</v>
      </c>
      <c r="AB52" s="27">
        <v>60</v>
      </c>
      <c r="AC52" s="45">
        <f>W31</f>
        <v>4.1492700193451332E-2</v>
      </c>
      <c r="AD52" s="42">
        <f t="shared" si="52"/>
        <v>4.7978393655140922E-2</v>
      </c>
      <c r="AM52" s="13"/>
      <c r="AS52" s="27">
        <v>60</v>
      </c>
      <c r="AT52" s="45">
        <f>AN31</f>
        <v>5.5833557627915323E-2</v>
      </c>
      <c r="AU52" s="42">
        <f t="shared" si="53"/>
        <v>4.7978393655140922E-2</v>
      </c>
      <c r="BJ52" s="27">
        <v>60</v>
      </c>
      <c r="BK52" s="45">
        <f>BE31</f>
        <v>5.1153083660499421E-2</v>
      </c>
      <c r="BL52" s="42">
        <f t="shared" si="54"/>
        <v>4.7978393655140922E-2</v>
      </c>
      <c r="CA52" s="27">
        <v>60</v>
      </c>
      <c r="CB52" s="45">
        <f>BV31</f>
        <v>5.5712739818110577E-2</v>
      </c>
      <c r="CC52" s="42">
        <f>BL52</f>
        <v>4.7978393655140922E-2</v>
      </c>
    </row>
    <row r="53" spans="10:82" x14ac:dyDescent="0.25">
      <c r="J53" s="27">
        <v>120</v>
      </c>
      <c r="K53" s="45">
        <f>E41</f>
        <v>5.5712739818110577E-2</v>
      </c>
      <c r="L53" s="47">
        <f>summary!G10</f>
        <v>5.2297832157699113E-2</v>
      </c>
      <c r="AB53" s="27">
        <v>120</v>
      </c>
      <c r="AC53" s="45">
        <f>W41</f>
        <v>4.2844677660632359E-2</v>
      </c>
      <c r="AD53" s="42">
        <f t="shared" si="52"/>
        <v>5.2297832157699113E-2</v>
      </c>
      <c r="AM53" s="13"/>
      <c r="AS53" s="27">
        <v>120</v>
      </c>
      <c r="AT53" s="45">
        <f>AN41</f>
        <v>5.5833646252559425E-2</v>
      </c>
      <c r="AU53" s="42">
        <f t="shared" si="53"/>
        <v>5.2297832157699113E-2</v>
      </c>
      <c r="BJ53" s="27">
        <v>120</v>
      </c>
      <c r="BK53" s="45">
        <f>BE41</f>
        <v>5.4450031523213482E-2</v>
      </c>
      <c r="BL53" s="42">
        <f t="shared" si="54"/>
        <v>5.2297832157699113E-2</v>
      </c>
      <c r="CA53" s="27">
        <v>120</v>
      </c>
      <c r="CB53" s="45">
        <f>BV41</f>
        <v>5.5832723006080186E-2</v>
      </c>
      <c r="CC53" s="42">
        <f t="shared" si="55"/>
        <v>5.2297832157699113E-2</v>
      </c>
    </row>
    <row r="54" spans="10:82" x14ac:dyDescent="0.25">
      <c r="J54" s="57"/>
      <c r="K54" s="58"/>
      <c r="L54" s="59"/>
      <c r="AB54" s="57"/>
      <c r="AC54" s="58"/>
      <c r="AD54" s="58"/>
      <c r="AM54" s="13"/>
      <c r="AS54" s="57"/>
      <c r="AT54" s="58"/>
      <c r="AU54" s="58"/>
      <c r="BJ54" s="57"/>
      <c r="BK54" s="58"/>
      <c r="BL54" s="58"/>
      <c r="BM54" s="61"/>
      <c r="CA54" s="57"/>
      <c r="CB54" s="58"/>
      <c r="CC54" s="58"/>
    </row>
    <row r="55" spans="10:82" x14ac:dyDescent="0.25">
      <c r="L55" s="8"/>
      <c r="AD55" s="8"/>
      <c r="AM55" s="13"/>
      <c r="AU55" s="8"/>
      <c r="BL55" s="8"/>
      <c r="CA55" s="61"/>
      <c r="CB55" s="61"/>
      <c r="CC55" s="62"/>
    </row>
    <row r="56" spans="10:82" x14ac:dyDescent="0.25">
      <c r="J56" s="13">
        <v>0</v>
      </c>
      <c r="K56" s="13">
        <v>0</v>
      </c>
      <c r="AB56" s="13">
        <v>0</v>
      </c>
      <c r="AC56" s="13">
        <v>0</v>
      </c>
      <c r="AM56" s="13"/>
      <c r="AS56" s="13">
        <v>0</v>
      </c>
      <c r="AT56" s="13">
        <v>0</v>
      </c>
      <c r="BJ56" s="13">
        <v>0</v>
      </c>
      <c r="BK56" s="13">
        <v>0</v>
      </c>
      <c r="CA56" s="13">
        <v>0</v>
      </c>
      <c r="CB56" s="13">
        <v>0</v>
      </c>
    </row>
    <row r="57" spans="10:82" x14ac:dyDescent="0.25">
      <c r="J57" s="13">
        <v>0.2</v>
      </c>
      <c r="K57" s="13">
        <v>0.2</v>
      </c>
      <c r="AB57" s="13">
        <v>0.2</v>
      </c>
      <c r="AC57" s="13">
        <v>0.2</v>
      </c>
      <c r="AM57" s="13"/>
      <c r="AS57" s="13">
        <v>0.2</v>
      </c>
      <c r="AT57" s="13">
        <v>0.2</v>
      </c>
      <c r="BJ57" s="13">
        <v>0.2</v>
      </c>
      <c r="BK57" s="13">
        <v>0.2</v>
      </c>
      <c r="CA57" s="13">
        <v>0.2</v>
      </c>
      <c r="CB57" s="13">
        <v>0.2</v>
      </c>
    </row>
    <row r="58" spans="10:82" x14ac:dyDescent="0.25">
      <c r="AM58" s="13"/>
    </row>
    <row r="59" spans="10:82" x14ac:dyDescent="0.25">
      <c r="AM59" s="13"/>
    </row>
  </sheetData>
  <mergeCells count="5">
    <mergeCell ref="E1:H1"/>
    <mergeCell ref="W1:Z1"/>
    <mergeCell ref="AN1:AQ1"/>
    <mergeCell ref="BE1:BH1"/>
    <mergeCell ref="BV1:BY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3FA99-B87C-49A4-806A-5F4E01E29856}">
  <dimension ref="A1:CV59"/>
  <sheetViews>
    <sheetView zoomScale="130" zoomScaleNormal="130" workbookViewId="0">
      <selection activeCell="P2" sqref="P2"/>
    </sheetView>
  </sheetViews>
  <sheetFormatPr defaultRowHeight="15" x14ac:dyDescent="0.25"/>
  <cols>
    <col min="4" max="4" width="13.28515625" customWidth="1"/>
    <col min="10" max="10" width="12.7109375" customWidth="1"/>
    <col min="11" max="12" width="15" customWidth="1"/>
    <col min="22" max="22" width="12.5703125" customWidth="1"/>
    <col min="29" max="29" width="13.5703125" customWidth="1"/>
    <col min="30" max="30" width="13" customWidth="1"/>
    <col min="39" max="39" width="14.28515625" customWidth="1"/>
    <col min="40" max="40" width="9.7109375" customWidth="1"/>
    <col min="45" max="45" width="11.42578125" customWidth="1"/>
    <col min="46" max="46" width="13" customWidth="1"/>
    <col min="47" max="47" width="14.5703125" customWidth="1"/>
    <col min="56" max="56" width="14.28515625" customWidth="1"/>
    <col min="57" max="57" width="9.7109375" customWidth="1"/>
    <col min="62" max="62" width="12.85546875" customWidth="1"/>
    <col min="63" max="64" width="15.28515625" customWidth="1"/>
    <col min="73" max="73" width="15" customWidth="1"/>
    <col min="79" max="79" width="12.85546875" customWidth="1"/>
    <col min="80" max="81" width="14.7109375" customWidth="1"/>
    <col min="91" max="91" width="15" customWidth="1"/>
    <col min="97" max="97" width="12.85546875" customWidth="1"/>
    <col min="98" max="99" width="14.7109375" customWidth="1"/>
  </cols>
  <sheetData>
    <row r="1" spans="1:95" x14ac:dyDescent="0.25">
      <c r="A1" s="14" t="s">
        <v>8</v>
      </c>
      <c r="B1" s="15" t="s">
        <v>11</v>
      </c>
      <c r="D1" s="13" t="s">
        <v>12</v>
      </c>
      <c r="E1" s="49" t="s">
        <v>29</v>
      </c>
      <c r="F1" s="49"/>
      <c r="G1" s="49"/>
      <c r="H1" s="49"/>
      <c r="V1" s="13" t="s">
        <v>12</v>
      </c>
      <c r="W1" s="49" t="s">
        <v>30</v>
      </c>
      <c r="X1" s="49"/>
      <c r="Y1" s="49"/>
      <c r="Z1" s="49"/>
      <c r="AM1" s="13" t="s">
        <v>12</v>
      </c>
      <c r="AN1" s="49" t="s">
        <v>32</v>
      </c>
      <c r="AO1" s="49"/>
      <c r="AP1" s="49"/>
      <c r="AQ1" s="49"/>
      <c r="BD1" s="13" t="s">
        <v>12</v>
      </c>
      <c r="BE1" s="49" t="s">
        <v>33</v>
      </c>
      <c r="BF1" s="49"/>
      <c r="BG1" s="49"/>
      <c r="BH1" s="49"/>
      <c r="BU1" s="13" t="s">
        <v>12</v>
      </c>
      <c r="BV1" s="49" t="s">
        <v>31</v>
      </c>
      <c r="BW1" s="49"/>
      <c r="BX1" s="49"/>
      <c r="BY1" s="49"/>
      <c r="CM1" s="13" t="s">
        <v>12</v>
      </c>
      <c r="CN1" s="49" t="s">
        <v>34</v>
      </c>
      <c r="CO1" s="49"/>
      <c r="CP1" s="49"/>
      <c r="CQ1" s="49"/>
    </row>
    <row r="2" spans="1:95" x14ac:dyDescent="0.25">
      <c r="A2" s="15">
        <v>4000</v>
      </c>
      <c r="B2" s="16">
        <f>summary!C16</f>
        <v>4.0623962357959148E-2</v>
      </c>
      <c r="D2" s="13" t="s">
        <v>9</v>
      </c>
      <c r="E2" s="30">
        <f>B2*B7</f>
        <v>1.6249584943183659E-3</v>
      </c>
      <c r="F2" s="31">
        <f>B3*B7</f>
        <v>1.7045088708214067E-3</v>
      </c>
      <c r="G2" s="33">
        <f>B4*B7</f>
        <v>1.8928064960603895E-3</v>
      </c>
      <c r="H2" s="35">
        <f>B5*B7</f>
        <v>2.1886297335399129E-3</v>
      </c>
      <c r="V2" s="13" t="s">
        <v>9</v>
      </c>
      <c r="W2" s="30">
        <f>B2/B7</f>
        <v>1.0155990589489787</v>
      </c>
      <c r="X2" s="31">
        <f>B3/B7</f>
        <v>1.0653180442633792</v>
      </c>
      <c r="Y2" s="33">
        <f>B4/B7</f>
        <v>1.1830040600377434</v>
      </c>
      <c r="Z2" s="35">
        <f>B5/B7</f>
        <v>1.3678935834624455</v>
      </c>
      <c r="AM2" s="13" t="s">
        <v>9</v>
      </c>
      <c r="AN2" s="63">
        <f>B2*B7^2</f>
        <v>6.4998339772734637E-5</v>
      </c>
      <c r="AO2" s="64">
        <f>B3*B7^2</f>
        <v>6.8180354832856268E-5</v>
      </c>
      <c r="AP2" s="65">
        <f>B4*B7^2</f>
        <v>7.5712259842415579E-5</v>
      </c>
      <c r="AQ2" s="66">
        <f>B5*B7^2</f>
        <v>8.7545189341596522E-5</v>
      </c>
      <c r="BD2" s="13" t="s">
        <v>9</v>
      </c>
      <c r="BE2" s="63">
        <f>B2^2*B7</f>
        <v>6.6012252706435277E-5</v>
      </c>
      <c r="BF2" s="64">
        <f>B3^2*B7</f>
        <v>7.2633762267721689E-5</v>
      </c>
      <c r="BG2" s="65">
        <f>B4^2*B7</f>
        <v>8.956791078821021E-5</v>
      </c>
      <c r="BH2" s="66">
        <f>B5*B7^2</f>
        <v>8.7545189341596522E-5</v>
      </c>
      <c r="BU2" s="13" t="s">
        <v>9</v>
      </c>
      <c r="BV2" s="30">
        <f>B2/B7^2</f>
        <v>25.389976473724467</v>
      </c>
      <c r="BW2" s="31">
        <f>B3/B7^2</f>
        <v>26.632951106584478</v>
      </c>
      <c r="BX2" s="33">
        <f>B4/B7^2</f>
        <v>29.575101500943582</v>
      </c>
      <c r="BY2" s="35">
        <f>B5/B7^2</f>
        <v>34.197339586561135</v>
      </c>
      <c r="CM2" s="13" t="s">
        <v>9</v>
      </c>
      <c r="CN2" s="30">
        <f>(B2^2)/(2*B7)</f>
        <v>2.0628828970761022E-2</v>
      </c>
      <c r="CO2" s="31">
        <f>(B3^2)/(2*B7)</f>
        <v>2.2698050708663025E-2</v>
      </c>
      <c r="CP2" s="33">
        <f>(B4^2)/(2*B7)</f>
        <v>2.7989972121315692E-2</v>
      </c>
      <c r="CQ2" s="35">
        <f>(B5^2)/(2*B7)</f>
        <v>3.7422657113554608E-2</v>
      </c>
    </row>
    <row r="3" spans="1:95" x14ac:dyDescent="0.25">
      <c r="A3" s="15">
        <v>5000</v>
      </c>
      <c r="B3" s="16">
        <f>summary!D16</f>
        <v>4.261272177053517E-2</v>
      </c>
      <c r="D3" s="13">
        <v>0</v>
      </c>
      <c r="E3" s="37">
        <f>$B$8-($B$8-$B$7)*EXP(-$E$2*D3)</f>
        <v>0.04</v>
      </c>
      <c r="F3" s="38">
        <f>$B$8-($B$8-$B$7)*EXP(-$F$2*D3)</f>
        <v>0.04</v>
      </c>
      <c r="G3" s="39">
        <f>$B$8-($B$8-$B$7)*EXP(-$G$2*D3)</f>
        <v>0.04</v>
      </c>
      <c r="H3" s="40">
        <f>$B$8-($B$8-$B$7)*EXP(-$H$2*D3)</f>
        <v>0.04</v>
      </c>
      <c r="V3" s="13">
        <v>0</v>
      </c>
      <c r="W3" s="42">
        <f>$B$8-($B$8-$B$7)*EXP(-($W$2)*V3)</f>
        <v>0.04</v>
      </c>
      <c r="X3" s="32">
        <f>$B$8-($B$8-$B$7)*EXP(-($X$2)*V3)</f>
        <v>0.04</v>
      </c>
      <c r="Y3" s="34">
        <f>$B$8-($B$8-$B$7)*EXP(-($Y$2)*V3)</f>
        <v>0.04</v>
      </c>
      <c r="Z3" s="36">
        <f>$B$8-($B$8-$B$7)*EXP(-($Z$2)*V3)</f>
        <v>0.04</v>
      </c>
      <c r="AM3" s="13">
        <v>0</v>
      </c>
      <c r="AN3" s="42">
        <f>$B$8-($B$8-$B$7)*EXP(-($AN$2)*AM3)</f>
        <v>0.04</v>
      </c>
      <c r="AO3" s="32">
        <f>$B$8-($B$8-$B$7)*EXP(-($AO$2)*AM3)</f>
        <v>0.04</v>
      </c>
      <c r="AP3" s="34">
        <f>$B$8-($B$8-$B$7)*EXP(-($AP$2)*AM3)</f>
        <v>0.04</v>
      </c>
      <c r="AQ3" s="36">
        <f>$B$8-($B$8-$B$7)*EXP(-($AQ$2)*AM3)</f>
        <v>0.04</v>
      </c>
      <c r="BD3" s="13">
        <v>0</v>
      </c>
      <c r="BE3" s="42">
        <f>$B$8-($B$8-$B$7)*EXP(-($BE$2)*BD3)</f>
        <v>0.04</v>
      </c>
      <c r="BF3" s="32">
        <f>$B$8-($B$8-$B$7)*EXP(-($BF$2)*BD3)</f>
        <v>0.04</v>
      </c>
      <c r="BG3" s="34">
        <f>$B$8-($B$8-$B$7)*EXP(-($BG$2)*BD3)</f>
        <v>0.04</v>
      </c>
      <c r="BH3" s="36">
        <f>$B$8-($B$8-$B$7)*EXP(-($BH$2)*BD3)</f>
        <v>0.04</v>
      </c>
      <c r="BU3" s="13">
        <v>0</v>
      </c>
      <c r="BV3" s="42">
        <f>$B$8-($B$8-$B$7)*EXP(-($BV$2)*BU3)</f>
        <v>0.04</v>
      </c>
      <c r="BW3" s="32">
        <f>$B$8-($B$8-$B$7)*EXP(-($BW$2)*BU3)</f>
        <v>0.04</v>
      </c>
      <c r="BX3" s="34">
        <f>$B$8-($B$8-$B$7)*EXP(-($BX$2)*BU3)</f>
        <v>0.04</v>
      </c>
      <c r="BY3" s="36">
        <f>$B$8-($B$8-$B$7)*EXP(-($BY$2)*BU3)</f>
        <v>0.04</v>
      </c>
      <c r="CM3" s="13">
        <v>0</v>
      </c>
      <c r="CN3" s="42">
        <f>$B$8-($B$8-$B$7)*EXP(-($CN$2)*CM3)</f>
        <v>0.04</v>
      </c>
      <c r="CO3" s="32">
        <f>$B$8-($B$8-$B$7)*EXP(-($CO$2)*CM3)</f>
        <v>0.04</v>
      </c>
      <c r="CP3" s="34">
        <f>$B$8-($B$8-$B$7)*EXP(-($CP$2)*CM3)</f>
        <v>0.04</v>
      </c>
      <c r="CQ3" s="36">
        <f>$B$8-($B$8-$B$7)*EXP(-($CQ$2)*CM3)</f>
        <v>0.04</v>
      </c>
    </row>
    <row r="4" spans="1:95" x14ac:dyDescent="0.25">
      <c r="A4" s="15">
        <v>6000</v>
      </c>
      <c r="B4" s="16">
        <f>summary!E16</f>
        <v>4.7320162401509734E-2</v>
      </c>
      <c r="D4" s="13">
        <f>D3+1</f>
        <v>1</v>
      </c>
      <c r="E4" s="42">
        <f t="shared" ref="E4:E41" si="0">$B$8-($B$8-$B$7)*EXP(-$E$2*D4)</f>
        <v>4.0025708125000052E-2</v>
      </c>
      <c r="F4" s="32">
        <f t="shared" ref="F4:F41" si="1">$B$8-($B$8-$B$7)*EXP(-$F$2*D4)</f>
        <v>4.0026965602412812E-2</v>
      </c>
      <c r="G4" s="34">
        <f t="shared" ref="G4:G41" si="2">$B$8-($B$8-$B$7)*EXP(-$G$2*D4)</f>
        <v>4.0029941682639028E-2</v>
      </c>
      <c r="H4" s="36">
        <f t="shared" ref="H4:H41" si="3">$B$8-($B$8-$B$7)*EXP(-$H$2*D4)</f>
        <v>4.0034616094255335E-2</v>
      </c>
      <c r="V4" s="13">
        <f>V3+1</f>
        <v>1</v>
      </c>
      <c r="W4" s="42">
        <f t="shared" ref="W4:W41" si="4">$B$8-($B$8-$B$7)*EXP(-($W$2)*V4)</f>
        <v>5.009893083964715E-2</v>
      </c>
      <c r="X4" s="32">
        <f t="shared" ref="X4:X41" si="5">$B$8-($B$8-$B$7)*EXP(-($X$2)*V4)</f>
        <v>5.0377083051721408E-2</v>
      </c>
      <c r="Y4" s="34">
        <f t="shared" ref="Y4:Y41" si="6">$B$8-($B$8-$B$7)*EXP(-($Y$2)*V4)</f>
        <v>5.0982897255603163E-2</v>
      </c>
      <c r="Z4" s="36">
        <f t="shared" ref="Z4:Z41" si="7">$B$8-($B$8-$B$7)*EXP(-($Z$2)*V4)</f>
        <v>5.1801722572865465E-2</v>
      </c>
      <c r="AM4" s="13">
        <f>AM3+1</f>
        <v>1</v>
      </c>
      <c r="AN4" s="42">
        <f t="shared" ref="AN4:AN41" si="8">$B$8-($B$8-$B$7)*EXP(-($AN$2)*AM4)</f>
        <v>4.0001029127272852E-2</v>
      </c>
      <c r="AO4" s="32">
        <f t="shared" ref="AO4:AO41" si="9">$B$8-($B$8-$B$7)*EXP(-($AO$2)*AM4)</f>
        <v>4.0001079506818832E-2</v>
      </c>
      <c r="AP4" s="34">
        <f t="shared" ref="AP4:AP41" si="10">$B$8-($B$8-$B$7)*EXP(-($AP$2)*AM4)</f>
        <v>4.0001198755758541E-2</v>
      </c>
      <c r="AQ4" s="36">
        <f t="shared" ref="AQ4:AQ41" si="11">$B$8-($B$8-$B$7)*EXP(-($AQ$2)*AM4)</f>
        <v>4.0001386098885164E-2</v>
      </c>
      <c r="BD4" s="13">
        <f>BD3+1</f>
        <v>1</v>
      </c>
      <c r="BE4" s="42">
        <f t="shared" ref="BE4:BE41" si="12">$B$8-($B$8-$B$7)*EXP(-($BE$2)*BD4)</f>
        <v>4.0001045180159997E-2</v>
      </c>
      <c r="BF4" s="32">
        <f t="shared" ref="BF4:BF41" si="13">$B$8-($B$8-$B$7)*EXP(-($BF$2)*BD4)</f>
        <v>4.0001150015532297E-2</v>
      </c>
      <c r="BG4" s="34">
        <f t="shared" ref="BG4:BG41" si="14">$B$8-($B$8-$B$7)*EXP(-($BG$2)*BD4)</f>
        <v>4.000141812310494E-2</v>
      </c>
      <c r="BH4" s="36">
        <f t="shared" ref="BH4:BH41" si="15">$B$8-($B$8-$B$7)*EXP(-($BH$2)*BD4)</f>
        <v>4.0001386098885164E-2</v>
      </c>
      <c r="BU4" s="13">
        <f>BU3+1</f>
        <v>1</v>
      </c>
      <c r="BV4" s="42">
        <f t="shared" ref="BV4:BV41" si="16">$B$8-($B$8-$B$7)*EXP(-($BV$2)*BU4)</f>
        <v>5.5833646252906599E-2</v>
      </c>
      <c r="BW4" s="32">
        <f t="shared" ref="BW4:BW41" si="17">$B$8-($B$8-$B$7)*EXP(-($BW$2)*BU4)</f>
        <v>5.5833646253012528E-2</v>
      </c>
      <c r="BX4" s="34">
        <f t="shared" ref="BX4:BX41" si="18">$B$8-($B$8-$B$7)*EXP(-($BX$2)*BU4)</f>
        <v>5.5833646253053218E-2</v>
      </c>
      <c r="BY4" s="36">
        <f t="shared" ref="BY4:BY41" si="19">$B$8-($B$8-$B$7)*EXP(-($BY$2)*BU4)</f>
        <v>5.5833646253055466E-2</v>
      </c>
      <c r="CM4" s="13">
        <f>CM3+1</f>
        <v>1</v>
      </c>
      <c r="CN4" s="42">
        <f t="shared" ref="CN4:CN41" si="20">$B$8-($B$8-$B$7)*EXP(-($CN$2)*CM4)</f>
        <v>4.0323283634805626E-2</v>
      </c>
      <c r="CO4" s="32">
        <f t="shared" ref="CO4:CO41" si="21">$B$8-($B$8-$B$7)*EXP(-($CO$2)*CM4)</f>
        <v>4.0355344831995321E-2</v>
      </c>
      <c r="CP4" s="34">
        <f t="shared" ref="CP4:CP41" si="22">$B$8-($B$8-$B$7)*EXP(-($CP$2)*CM4)</f>
        <v>4.0437038437996987E-2</v>
      </c>
      <c r="CQ4" s="36">
        <f t="shared" ref="CQ4:CQ41" si="23">$B$8-($B$8-$B$7)*EXP(-($CQ$2)*CM4)</f>
        <v>4.058158697727475E-2</v>
      </c>
    </row>
    <row r="5" spans="1:95" x14ac:dyDescent="0.25">
      <c r="A5" s="15">
        <v>7000</v>
      </c>
      <c r="B5" s="16">
        <f>summary!F16</f>
        <v>5.4715743338497824E-2</v>
      </c>
      <c r="D5" s="13">
        <f t="shared" ref="D5:D23" si="24">D4+1</f>
        <v>2</v>
      </c>
      <c r="E5" s="42">
        <f t="shared" si="0"/>
        <v>4.0051374509286655E-2</v>
      </c>
      <c r="F5" s="32">
        <f t="shared" si="1"/>
        <v>4.0053885280867119E-2</v>
      </c>
      <c r="G5" s="34">
        <f t="shared" si="2"/>
        <v>4.0059826745069103E-2</v>
      </c>
      <c r="H5" s="36">
        <f t="shared" si="3"/>
        <v>4.006915650954436E-2</v>
      </c>
      <c r="V5" s="13">
        <f t="shared" ref="V5:V23" si="25">V4+1</f>
        <v>2</v>
      </c>
      <c r="W5" s="42">
        <f t="shared" si="4"/>
        <v>5.3756616089113508E-2</v>
      </c>
      <c r="X5" s="32">
        <f t="shared" si="5"/>
        <v>5.395321508171947E-2</v>
      </c>
      <c r="Y5" s="34">
        <f t="shared" si="6"/>
        <v>5.4347585148731899E-2</v>
      </c>
      <c r="Z5" s="36">
        <f t="shared" si="7"/>
        <v>5.4806946003279476E-2</v>
      </c>
      <c r="AM5" s="13">
        <f t="shared" ref="AM5:AM23" si="26">AM4+1</f>
        <v>2</v>
      </c>
      <c r="AN5" s="42">
        <f t="shared" si="8"/>
        <v>4.0002058187656314E-2</v>
      </c>
      <c r="AO5" s="32">
        <f t="shared" si="9"/>
        <v>4.0002158940039022E-2</v>
      </c>
      <c r="AP5" s="34">
        <f t="shared" si="10"/>
        <v>4.0002397420760005E-2</v>
      </c>
      <c r="AQ5" s="36">
        <f t="shared" si="11"/>
        <v>4.0002772076429348E-2</v>
      </c>
      <c r="BD5" s="13">
        <f t="shared" ref="BD5:BD23" si="27">BD4+1</f>
        <v>2</v>
      </c>
      <c r="BE5" s="42">
        <f t="shared" si="12"/>
        <v>4.0002090291327563E-2</v>
      </c>
      <c r="BF5" s="32">
        <f t="shared" si="13"/>
        <v>4.0002299947537664E-2</v>
      </c>
      <c r="BG5" s="34">
        <f t="shared" si="14"/>
        <v>4.0002836119197235E-2</v>
      </c>
      <c r="BH5" s="36">
        <f t="shared" si="15"/>
        <v>4.0002772076429348E-2</v>
      </c>
      <c r="BU5" s="13">
        <f t="shared" ref="BU5:BU23" si="28">BU4+1</f>
        <v>2</v>
      </c>
      <c r="BV5" s="42">
        <f t="shared" si="16"/>
        <v>5.5833646253055487E-2</v>
      </c>
      <c r="BW5" s="32">
        <f t="shared" si="17"/>
        <v>5.5833646253055487E-2</v>
      </c>
      <c r="BX5" s="34">
        <f t="shared" si="18"/>
        <v>5.5833646253055487E-2</v>
      </c>
      <c r="BY5" s="36">
        <f t="shared" si="19"/>
        <v>5.5833646253055487E-2</v>
      </c>
      <c r="CM5" s="13">
        <f t="shared" ref="CM5:CM23" si="29">CM4+1</f>
        <v>2</v>
      </c>
      <c r="CN5" s="42">
        <f t="shared" si="20"/>
        <v>4.0639966622681115E-2</v>
      </c>
      <c r="CO5" s="32">
        <f t="shared" si="21"/>
        <v>4.0702714877412262E-2</v>
      </c>
      <c r="CP5" s="34">
        <f t="shared" si="22"/>
        <v>4.0862013792530176E-2</v>
      </c>
      <c r="CQ5" s="36">
        <f t="shared" si="23"/>
        <v>4.1141811634921428E-2</v>
      </c>
    </row>
    <row r="6" spans="1:95" x14ac:dyDescent="0.25">
      <c r="D6" s="13">
        <f t="shared" si="24"/>
        <v>3</v>
      </c>
      <c r="E6" s="42">
        <f t="shared" si="0"/>
        <v>4.0076999220631668E-2</v>
      </c>
      <c r="F6" s="32">
        <f t="shared" si="1"/>
        <v>4.0080759113574047E-2</v>
      </c>
      <c r="G6" s="34">
        <f t="shared" si="2"/>
        <v>4.0089655294359969E-2</v>
      </c>
      <c r="H6" s="36">
        <f t="shared" si="3"/>
        <v>4.0103621411319172E-2</v>
      </c>
      <c r="V6" s="13">
        <f t="shared" si="25"/>
        <v>3</v>
      </c>
      <c r="W6" s="42">
        <f t="shared" si="4"/>
        <v>5.5081376263887732E-2</v>
      </c>
      <c r="X6" s="32">
        <f t="shared" si="5"/>
        <v>5.5185615384601948E-2</v>
      </c>
      <c r="Y6" s="34">
        <f t="shared" si="6"/>
        <v>5.5378380971973472E-2</v>
      </c>
      <c r="Z6" s="36">
        <f t="shared" si="7"/>
        <v>5.5572204448472412E-2</v>
      </c>
      <c r="AM6" s="13">
        <f t="shared" si="26"/>
        <v>3</v>
      </c>
      <c r="AN6" s="42">
        <f t="shared" si="8"/>
        <v>4.0003087181154737E-2</v>
      </c>
      <c r="AO6" s="32">
        <f t="shared" si="9"/>
        <v>4.0003238299665574E-2</v>
      </c>
      <c r="AP6" s="34">
        <f t="shared" si="10"/>
        <v>4.0003595995011271E-2</v>
      </c>
      <c r="AQ6" s="36">
        <f t="shared" si="11"/>
        <v>4.000415793264317E-2</v>
      </c>
      <c r="BD6" s="13">
        <f t="shared" si="27"/>
        <v>3</v>
      </c>
      <c r="BE6" s="42">
        <f t="shared" si="12"/>
        <v>4.0003135333507273E-2</v>
      </c>
      <c r="BF6" s="32">
        <f t="shared" si="13"/>
        <v>4.0003449796022182E-2</v>
      </c>
      <c r="BG6" s="34">
        <f t="shared" si="14"/>
        <v>4.0004253988288274E-2</v>
      </c>
      <c r="BH6" s="36">
        <f t="shared" si="15"/>
        <v>4.000415793264317E-2</v>
      </c>
      <c r="BU6" s="13">
        <f t="shared" si="28"/>
        <v>3</v>
      </c>
      <c r="BV6" s="42">
        <f t="shared" si="16"/>
        <v>5.5833646253055487E-2</v>
      </c>
      <c r="BW6" s="32">
        <f t="shared" si="17"/>
        <v>5.5833646253055487E-2</v>
      </c>
      <c r="BX6" s="34">
        <f t="shared" si="18"/>
        <v>5.5833646253055487E-2</v>
      </c>
      <c r="BY6" s="36">
        <f t="shared" si="19"/>
        <v>5.5833646253055487E-2</v>
      </c>
      <c r="CM6" s="13">
        <f t="shared" si="29"/>
        <v>3</v>
      </c>
      <c r="CN6" s="42">
        <f t="shared" si="20"/>
        <v>4.0950183732402876E-2</v>
      </c>
      <c r="CO6" s="32">
        <f t="shared" si="21"/>
        <v>4.1042289109505081E-2</v>
      </c>
      <c r="CP6" s="34">
        <f t="shared" si="22"/>
        <v>4.1275259027407793E-2</v>
      </c>
      <c r="CQ6" s="36">
        <f t="shared" si="23"/>
        <v>4.1681458634078822E-2</v>
      </c>
    </row>
    <row r="7" spans="1:95" x14ac:dyDescent="0.25">
      <c r="A7" t="s">
        <v>6</v>
      </c>
      <c r="B7" s="8">
        <f>summary!C23</f>
        <v>0.04</v>
      </c>
      <c r="D7" s="13">
        <f t="shared" si="24"/>
        <v>4</v>
      </c>
      <c r="E7" s="42">
        <f t="shared" si="0"/>
        <v>4.0102582326696903E-2</v>
      </c>
      <c r="F7" s="32">
        <f t="shared" si="1"/>
        <v>4.0107587178611501E-2</v>
      </c>
      <c r="G7" s="34">
        <f t="shared" si="2"/>
        <v>4.0119427437378889E-2</v>
      </c>
      <c r="H7" s="36">
        <f t="shared" si="3"/>
        <v>4.0138010964670179E-2</v>
      </c>
      <c r="V7" s="13">
        <f t="shared" si="25"/>
        <v>4</v>
      </c>
      <c r="W7" s="42">
        <f t="shared" si="4"/>
        <v>5.5561185050311844E-2</v>
      </c>
      <c r="X7" s="32">
        <f t="shared" si="5"/>
        <v>5.5610322999926111E-2</v>
      </c>
      <c r="Y7" s="34">
        <f t="shared" si="6"/>
        <v>5.5694172529158356E-2</v>
      </c>
      <c r="Z7" s="36">
        <f t="shared" si="7"/>
        <v>5.5767071985445671E-2</v>
      </c>
      <c r="AM7" s="13">
        <f t="shared" si="26"/>
        <v>4</v>
      </c>
      <c r="AN7" s="42">
        <f t="shared" si="8"/>
        <v>4.0004116107772464E-2</v>
      </c>
      <c r="AO7" s="32">
        <f t="shared" si="9"/>
        <v>4.0004317585703511E-2</v>
      </c>
      <c r="AP7" s="34">
        <f t="shared" si="10"/>
        <v>4.0004794478519207E-2</v>
      </c>
      <c r="AQ7" s="36">
        <f t="shared" si="11"/>
        <v>4.0005543667537266E-2</v>
      </c>
      <c r="BD7" s="13">
        <f t="shared" si="27"/>
        <v>4</v>
      </c>
      <c r="BE7" s="42">
        <f t="shared" si="12"/>
        <v>4.0004180306703677E-2</v>
      </c>
      <c r="BF7" s="32">
        <f t="shared" si="13"/>
        <v>4.0004599560991908E-2</v>
      </c>
      <c r="BG7" s="34">
        <f t="shared" si="14"/>
        <v>4.0005671730389436E-2</v>
      </c>
      <c r="BH7" s="36">
        <f t="shared" si="15"/>
        <v>4.0005543667537266E-2</v>
      </c>
      <c r="BU7" s="13">
        <f t="shared" si="28"/>
        <v>4</v>
      </c>
      <c r="BV7" s="42">
        <f t="shared" si="16"/>
        <v>5.5833646253055487E-2</v>
      </c>
      <c r="BW7" s="32">
        <f t="shared" si="17"/>
        <v>5.5833646253055487E-2</v>
      </c>
      <c r="BX7" s="34">
        <f t="shared" si="18"/>
        <v>5.5833646253055487E-2</v>
      </c>
      <c r="BY7" s="36">
        <f t="shared" si="19"/>
        <v>5.5833646253055487E-2</v>
      </c>
      <c r="CM7" s="13">
        <f t="shared" si="29"/>
        <v>4</v>
      </c>
      <c r="CN7" s="42">
        <f t="shared" si="20"/>
        <v>4.125406698110444E-2</v>
      </c>
      <c r="CO7" s="32">
        <f t="shared" si="21"/>
        <v>4.1374242484940857E-2</v>
      </c>
      <c r="CP7" s="34">
        <f t="shared" si="22"/>
        <v>4.167709791601025E-2</v>
      </c>
      <c r="CQ7" s="36">
        <f t="shared" si="23"/>
        <v>4.2201283814432181E-2</v>
      </c>
    </row>
    <row r="8" spans="1:95" x14ac:dyDescent="0.25">
      <c r="A8" t="s">
        <v>7</v>
      </c>
      <c r="B8" s="8">
        <f>summary!C24</f>
        <v>5.5833646253055487E-2</v>
      </c>
      <c r="D8" s="13">
        <f t="shared" si="24"/>
        <v>5</v>
      </c>
      <c r="E8" s="42">
        <f t="shared" si="0"/>
        <v>4.0128123895034298E-2</v>
      </c>
      <c r="F8" s="32">
        <f t="shared" si="1"/>
        <v>4.0134369553924458E-2</v>
      </c>
      <c r="G8" s="34">
        <f t="shared" si="2"/>
        <v>4.0149143280791041E-2</v>
      </c>
      <c r="H8" s="36">
        <f t="shared" si="3"/>
        <v>4.0172325334326839E-2</v>
      </c>
      <c r="V8" s="13">
        <f t="shared" si="25"/>
        <v>5</v>
      </c>
      <c r="W8" s="42">
        <f t="shared" si="4"/>
        <v>5.5734964784873248E-2</v>
      </c>
      <c r="X8" s="32">
        <f t="shared" si="5"/>
        <v>5.5756684988066206E-2</v>
      </c>
      <c r="Y8" s="34">
        <f t="shared" si="6"/>
        <v>5.5790917495853756E-2</v>
      </c>
      <c r="Z8" s="36">
        <f t="shared" si="7"/>
        <v>5.5816693596555687E-2</v>
      </c>
      <c r="AM8" s="13">
        <f t="shared" si="26"/>
        <v>5</v>
      </c>
      <c r="AN8" s="42">
        <f t="shared" si="8"/>
        <v>4.0005144967513839E-2</v>
      </c>
      <c r="AO8" s="32">
        <f t="shared" si="9"/>
        <v>4.0005396798157858E-2</v>
      </c>
      <c r="AP8" s="34">
        <f t="shared" si="10"/>
        <v>4.0005992871290683E-2</v>
      </c>
      <c r="AQ8" s="36">
        <f t="shared" si="11"/>
        <v>4.0006929281122247E-2</v>
      </c>
      <c r="BD8" s="13">
        <f t="shared" si="27"/>
        <v>5</v>
      </c>
      <c r="BE8" s="42">
        <f t="shared" si="12"/>
        <v>4.0005225210921314E-2</v>
      </c>
      <c r="BF8" s="32">
        <f t="shared" si="13"/>
        <v>4.0005749242452912E-2</v>
      </c>
      <c r="BG8" s="34">
        <f t="shared" si="14"/>
        <v>4.0007089345512073E-2</v>
      </c>
      <c r="BH8" s="36">
        <f t="shared" si="15"/>
        <v>4.0006929281122247E-2</v>
      </c>
      <c r="BU8" s="13">
        <f t="shared" si="28"/>
        <v>5</v>
      </c>
      <c r="BV8" s="42">
        <f t="shared" si="16"/>
        <v>5.5833646253055487E-2</v>
      </c>
      <c r="BW8" s="32">
        <f t="shared" si="17"/>
        <v>5.5833646253055487E-2</v>
      </c>
      <c r="BX8" s="34">
        <f t="shared" si="18"/>
        <v>5.5833646253055487E-2</v>
      </c>
      <c r="BY8" s="36">
        <f t="shared" si="19"/>
        <v>5.5833646253055487E-2</v>
      </c>
      <c r="CM8" s="13">
        <f t="shared" si="29"/>
        <v>5</v>
      </c>
      <c r="CN8" s="42">
        <f t="shared" si="20"/>
        <v>4.1551745690458171E-2</v>
      </c>
      <c r="CO8" s="32">
        <f t="shared" si="21"/>
        <v>4.1698746033941247E-2</v>
      </c>
      <c r="CP8" s="34">
        <f t="shared" si="22"/>
        <v>4.2067845294963296E-2</v>
      </c>
      <c r="CQ8" s="36">
        <f t="shared" si="23"/>
        <v>4.2702015252856398E-2</v>
      </c>
    </row>
    <row r="9" spans="1:95" x14ac:dyDescent="0.25">
      <c r="D9" s="13">
        <f t="shared" si="24"/>
        <v>6</v>
      </c>
      <c r="E9" s="42">
        <f t="shared" si="0"/>
        <v>4.015362399308614E-2</v>
      </c>
      <c r="F9" s="32">
        <f t="shared" si="1"/>
        <v>4.0161106317325106E-2</v>
      </c>
      <c r="G9" s="34">
        <f t="shared" si="2"/>
        <v>4.0178802931059895E-2</v>
      </c>
      <c r="H9" s="36">
        <f t="shared" si="3"/>
        <v>4.0206564684658483E-2</v>
      </c>
      <c r="V9" s="13">
        <f t="shared" si="25"/>
        <v>6</v>
      </c>
      <c r="W9" s="42">
        <f t="shared" si="4"/>
        <v>5.5797905266579094E-2</v>
      </c>
      <c r="X9" s="32">
        <f t="shared" si="5"/>
        <v>5.5807123997868205E-2</v>
      </c>
      <c r="Y9" s="34">
        <f t="shared" si="6"/>
        <v>5.5820555997479093E-2</v>
      </c>
      <c r="Z9" s="36">
        <f t="shared" si="7"/>
        <v>5.5829329381496574E-2</v>
      </c>
      <c r="AM9" s="13">
        <f t="shared" si="26"/>
        <v>6</v>
      </c>
      <c r="AN9" s="42">
        <f t="shared" si="8"/>
        <v>4.0006173760383207E-2</v>
      </c>
      <c r="AO9" s="32">
        <f t="shared" si="9"/>
        <v>4.0006475937033624E-2</v>
      </c>
      <c r="AP9" s="34">
        <f t="shared" si="10"/>
        <v>4.0007191173332568E-2</v>
      </c>
      <c r="AQ9" s="36">
        <f t="shared" si="11"/>
        <v>4.0008314773408736E-2</v>
      </c>
      <c r="BD9" s="13">
        <f t="shared" si="27"/>
        <v>6</v>
      </c>
      <c r="BE9" s="42">
        <f t="shared" si="12"/>
        <v>4.0006270046164742E-2</v>
      </c>
      <c r="BF9" s="32">
        <f t="shared" si="13"/>
        <v>4.0006898840411267E-2</v>
      </c>
      <c r="BG9" s="34">
        <f t="shared" si="14"/>
        <v>4.0008506833667579E-2</v>
      </c>
      <c r="BH9" s="36">
        <f t="shared" si="15"/>
        <v>4.0008314773408736E-2</v>
      </c>
      <c r="BU9" s="13">
        <f t="shared" si="28"/>
        <v>6</v>
      </c>
      <c r="BV9" s="42">
        <f t="shared" si="16"/>
        <v>5.5833646253055487E-2</v>
      </c>
      <c r="BW9" s="32">
        <f t="shared" si="17"/>
        <v>5.5833646253055487E-2</v>
      </c>
      <c r="BX9" s="34">
        <f t="shared" si="18"/>
        <v>5.5833646253055487E-2</v>
      </c>
      <c r="BY9" s="36">
        <f t="shared" si="19"/>
        <v>5.5833646253055487E-2</v>
      </c>
      <c r="CM9" s="13">
        <f t="shared" si="29"/>
        <v>6</v>
      </c>
      <c r="CN9" s="42">
        <f t="shared" si="20"/>
        <v>4.1843346541709854E-2</v>
      </c>
      <c r="CO9" s="32">
        <f t="shared" si="21"/>
        <v>4.2015966948401332E-2</v>
      </c>
      <c r="CP9" s="34">
        <f t="shared" si="22"/>
        <v>4.2447807310809209E-2</v>
      </c>
      <c r="CQ9" s="36">
        <f t="shared" si="23"/>
        <v>4.3184354283174159E-2</v>
      </c>
    </row>
    <row r="10" spans="1:95" x14ac:dyDescent="0.25">
      <c r="D10" s="13">
        <f t="shared" si="24"/>
        <v>7</v>
      </c>
      <c r="E10" s="42">
        <f t="shared" si="0"/>
        <v>4.0179082688185208E-2</v>
      </c>
      <c r="F10" s="32">
        <f t="shared" si="1"/>
        <v>4.0187797546493133E-2</v>
      </c>
      <c r="G10" s="34">
        <f t="shared" si="2"/>
        <v>4.0208406494447603E-2</v>
      </c>
      <c r="H10" s="36">
        <f t="shared" si="3"/>
        <v>4.0240729179675111E-2</v>
      </c>
      <c r="V10" s="13">
        <f t="shared" si="25"/>
        <v>7</v>
      </c>
      <c r="W10" s="42">
        <f t="shared" si="4"/>
        <v>5.5820701389771264E-2</v>
      </c>
      <c r="X10" s="32">
        <f t="shared" si="5"/>
        <v>5.5824506200324843E-2</v>
      </c>
      <c r="Y10" s="34">
        <f t="shared" si="6"/>
        <v>5.5829635961105122E-2</v>
      </c>
      <c r="Z10" s="36">
        <f t="shared" si="7"/>
        <v>5.5832546992886062E-2</v>
      </c>
      <c r="AM10" s="13">
        <f t="shared" si="26"/>
        <v>7</v>
      </c>
      <c r="AN10" s="42">
        <f t="shared" si="8"/>
        <v>4.0007202486384931E-2</v>
      </c>
      <c r="AO10" s="32">
        <f t="shared" si="9"/>
        <v>4.0007555002335826E-2</v>
      </c>
      <c r="AP10" s="34">
        <f t="shared" si="10"/>
        <v>4.0008389384651732E-2</v>
      </c>
      <c r="AQ10" s="36">
        <f t="shared" si="11"/>
        <v>4.0009700144407342E-2</v>
      </c>
      <c r="BD10" s="13">
        <f t="shared" si="27"/>
        <v>7</v>
      </c>
      <c r="BE10" s="42">
        <f t="shared" si="12"/>
        <v>4.0007314812438521E-2</v>
      </c>
      <c r="BF10" s="32">
        <f t="shared" si="13"/>
        <v>4.0008048354873017E-2</v>
      </c>
      <c r="BG10" s="34">
        <f t="shared" si="14"/>
        <v>4.0009924194867319E-2</v>
      </c>
      <c r="BH10" s="36">
        <f t="shared" si="15"/>
        <v>4.0009700144407342E-2</v>
      </c>
      <c r="BU10" s="13">
        <f t="shared" si="28"/>
        <v>7</v>
      </c>
      <c r="BV10" s="42">
        <f t="shared" si="16"/>
        <v>5.5833646253055487E-2</v>
      </c>
      <c r="BW10" s="32">
        <f t="shared" si="17"/>
        <v>5.5833646253055487E-2</v>
      </c>
      <c r="BX10" s="34">
        <f t="shared" si="18"/>
        <v>5.5833646253055487E-2</v>
      </c>
      <c r="BY10" s="36">
        <f t="shared" si="19"/>
        <v>5.5833646253055487E-2</v>
      </c>
      <c r="CM10" s="13">
        <f t="shared" si="29"/>
        <v>7</v>
      </c>
      <c r="CN10" s="42">
        <f t="shared" si="20"/>
        <v>4.2128993629589634E-2</v>
      </c>
      <c r="CO10" s="32">
        <f t="shared" si="21"/>
        <v>4.2326068668030827E-2</v>
      </c>
      <c r="CP10" s="34">
        <f t="shared" si="22"/>
        <v>4.2817281659869491E-2</v>
      </c>
      <c r="CQ10" s="36">
        <f t="shared" si="23"/>
        <v>4.3648976478457155E-2</v>
      </c>
    </row>
    <row r="11" spans="1:95" x14ac:dyDescent="0.25">
      <c r="D11" s="13">
        <f t="shared" si="24"/>
        <v>8</v>
      </c>
      <c r="E11" s="42">
        <f t="shared" si="0"/>
        <v>4.0204500047554922E-2</v>
      </c>
      <c r="F11" s="32">
        <f t="shared" si="1"/>
        <v>4.0214443318975938E-2</v>
      </c>
      <c r="G11" s="34">
        <f t="shared" si="2"/>
        <v>4.0237954077015366E-2</v>
      </c>
      <c r="H11" s="36">
        <f t="shared" si="3"/>
        <v>4.0274818983028121E-2</v>
      </c>
      <c r="V11" s="13">
        <f t="shared" si="25"/>
        <v>8</v>
      </c>
      <c r="W11" s="42">
        <f t="shared" si="4"/>
        <v>5.5828957812641064E-2</v>
      </c>
      <c r="X11" s="32">
        <f t="shared" si="5"/>
        <v>5.5830496424229506E-2</v>
      </c>
      <c r="Y11" s="34">
        <f t="shared" si="6"/>
        <v>5.58324176718843E-2</v>
      </c>
      <c r="Z11" s="36">
        <f t="shared" si="7"/>
        <v>5.5833366334391336E-2</v>
      </c>
      <c r="AM11" s="13">
        <f t="shared" si="26"/>
        <v>8</v>
      </c>
      <c r="AN11" s="42">
        <f t="shared" si="8"/>
        <v>4.0008231145523342E-2</v>
      </c>
      <c r="AO11" s="32">
        <f t="shared" si="9"/>
        <v>4.0008633994069481E-2</v>
      </c>
      <c r="AP11" s="34">
        <f t="shared" si="10"/>
        <v>4.0009587505255045E-2</v>
      </c>
      <c r="AQ11" s="36">
        <f t="shared" si="11"/>
        <v>4.0011085394128704E-2</v>
      </c>
      <c r="BD11" s="13">
        <f t="shared" si="27"/>
        <v>8</v>
      </c>
      <c r="BE11" s="42">
        <f t="shared" si="12"/>
        <v>4.000835950974721E-2</v>
      </c>
      <c r="BF11" s="32">
        <f t="shared" si="13"/>
        <v>4.0009197785844247E-2</v>
      </c>
      <c r="BG11" s="34">
        <f t="shared" si="14"/>
        <v>4.001134142912266E-2</v>
      </c>
      <c r="BH11" s="36">
        <f t="shared" si="15"/>
        <v>4.0011085394128704E-2</v>
      </c>
      <c r="BU11" s="13">
        <f t="shared" si="28"/>
        <v>8</v>
      </c>
      <c r="BV11" s="42">
        <f t="shared" si="16"/>
        <v>5.5833646253055487E-2</v>
      </c>
      <c r="BW11" s="32">
        <f t="shared" si="17"/>
        <v>5.5833646253055487E-2</v>
      </c>
      <c r="BX11" s="34">
        <f t="shared" si="18"/>
        <v>5.5833646253055487E-2</v>
      </c>
      <c r="BY11" s="36">
        <f t="shared" si="19"/>
        <v>5.5833646253055487E-2</v>
      </c>
      <c r="CM11" s="13">
        <f t="shared" si="29"/>
        <v>8</v>
      </c>
      <c r="CN11" s="42">
        <f t="shared" si="20"/>
        <v>4.2408808515122243E-2</v>
      </c>
      <c r="CO11" s="32">
        <f t="shared" si="21"/>
        <v>4.2629210964562056E-2</v>
      </c>
      <c r="CP11" s="34">
        <f t="shared" si="22"/>
        <v>4.3176557821486883E-2</v>
      </c>
      <c r="CQ11" s="36">
        <f t="shared" si="23"/>
        <v>4.409653259724642E-2</v>
      </c>
    </row>
    <row r="12" spans="1:95" x14ac:dyDescent="0.25">
      <c r="D12" s="13">
        <f t="shared" si="24"/>
        <v>9</v>
      </c>
      <c r="E12" s="42">
        <f t="shared" si="0"/>
        <v>4.0229876138309612E-2</v>
      </c>
      <c r="F12" s="32">
        <f t="shared" si="1"/>
        <v>4.0241043712188854E-2</v>
      </c>
      <c r="G12" s="34">
        <f t="shared" si="2"/>
        <v>4.0267445784623823E-2</v>
      </c>
      <c r="H12" s="36">
        <f t="shared" si="3"/>
        <v>4.0308834258011156E-2</v>
      </c>
      <c r="V12" s="13">
        <f t="shared" si="25"/>
        <v>9</v>
      </c>
      <c r="W12" s="42">
        <f t="shared" si="4"/>
        <v>5.5831948168414733E-2</v>
      </c>
      <c r="X12" s="32">
        <f t="shared" si="5"/>
        <v>5.5832560764609698E-2</v>
      </c>
      <c r="Y12" s="34">
        <f t="shared" si="6"/>
        <v>5.5833269868564565E-2</v>
      </c>
      <c r="Z12" s="36">
        <f t="shared" si="7"/>
        <v>5.5833574973789012E-2</v>
      </c>
      <c r="AM12" s="13">
        <f t="shared" si="26"/>
        <v>9</v>
      </c>
      <c r="AN12" s="42">
        <f t="shared" si="8"/>
        <v>4.0009259737802783E-2</v>
      </c>
      <c r="AO12" s="32">
        <f t="shared" si="9"/>
        <v>4.0009712912239599E-2</v>
      </c>
      <c r="AP12" s="34">
        <f t="shared" si="10"/>
        <v>4.0010785535149376E-2</v>
      </c>
      <c r="AQ12" s="36">
        <f t="shared" si="11"/>
        <v>4.0012470522583415E-2</v>
      </c>
      <c r="BD12" s="13">
        <f t="shared" si="27"/>
        <v>9</v>
      </c>
      <c r="BE12" s="42">
        <f t="shared" si="12"/>
        <v>4.0009404138095346E-2</v>
      </c>
      <c r="BF12" s="32">
        <f t="shared" si="13"/>
        <v>4.0010347133331015E-2</v>
      </c>
      <c r="BG12" s="34">
        <f t="shared" si="14"/>
        <v>4.0012758536444981E-2</v>
      </c>
      <c r="BH12" s="36">
        <f t="shared" si="15"/>
        <v>4.0012470522583415E-2</v>
      </c>
      <c r="BU12" s="13">
        <f t="shared" si="28"/>
        <v>9</v>
      </c>
      <c r="BV12" s="42">
        <f t="shared" si="16"/>
        <v>5.5833646253055487E-2</v>
      </c>
      <c r="BW12" s="32">
        <f t="shared" si="17"/>
        <v>5.5833646253055487E-2</v>
      </c>
      <c r="BX12" s="34">
        <f t="shared" si="18"/>
        <v>5.5833646253055487E-2</v>
      </c>
      <c r="BY12" s="36">
        <f t="shared" si="19"/>
        <v>5.5833646253055487E-2</v>
      </c>
      <c r="CM12" s="13">
        <f t="shared" si="29"/>
        <v>9</v>
      </c>
      <c r="CN12" s="42">
        <f t="shared" si="20"/>
        <v>4.2682910277358932E-2</v>
      </c>
      <c r="CO12" s="32">
        <f t="shared" si="21"/>
        <v>4.2925550024068164E-2</v>
      </c>
      <c r="CP12" s="34">
        <f t="shared" si="22"/>
        <v>4.352591728482938E-2</v>
      </c>
      <c r="CQ12" s="36">
        <f t="shared" si="23"/>
        <v>4.4527649495016877E-2</v>
      </c>
    </row>
    <row r="13" spans="1:95" x14ac:dyDescent="0.25">
      <c r="D13" s="13">
        <f t="shared" si="24"/>
        <v>10</v>
      </c>
      <c r="E13" s="56">
        <f>$B$8-($B$8-$B$7)*EXP(-$E$2*D13)</f>
        <v>4.0255211027454586E-2</v>
      </c>
      <c r="F13" s="38">
        <f t="shared" si="1"/>
        <v>4.026759880341535E-2</v>
      </c>
      <c r="G13" s="39">
        <f t="shared" si="2"/>
        <v>4.0296881722933442E-2</v>
      </c>
      <c r="H13" s="40">
        <f t="shared" si="3"/>
        <v>4.0342775167560858E-2</v>
      </c>
      <c r="V13" s="13">
        <f t="shared" si="25"/>
        <v>10</v>
      </c>
      <c r="W13" s="42">
        <f t="shared" si="4"/>
        <v>5.5833031231600105E-2</v>
      </c>
      <c r="X13" s="32">
        <f t="shared" si="5"/>
        <v>5.5833272173944834E-2</v>
      </c>
      <c r="Y13" s="34">
        <f t="shared" si="6"/>
        <v>5.5833530945016974E-2</v>
      </c>
      <c r="Z13" s="36">
        <f t="shared" si="7"/>
        <v>5.5833628102305001E-2</v>
      </c>
      <c r="AM13" s="13">
        <f t="shared" si="26"/>
        <v>10</v>
      </c>
      <c r="AN13" s="42">
        <f t="shared" si="8"/>
        <v>4.0010288263227611E-2</v>
      </c>
      <c r="AO13" s="32">
        <f t="shared" si="9"/>
        <v>4.0010791756851211E-2</v>
      </c>
      <c r="AP13" s="34">
        <f t="shared" si="10"/>
        <v>4.0011983474341581E-2</v>
      </c>
      <c r="AQ13" s="36">
        <f t="shared" si="11"/>
        <v>4.0013855529782101E-2</v>
      </c>
      <c r="BD13" s="13">
        <f t="shared" si="27"/>
        <v>10</v>
      </c>
      <c r="BE13" s="42">
        <f t="shared" si="12"/>
        <v>4.0010448697487488E-2</v>
      </c>
      <c r="BF13" s="32">
        <f t="shared" si="13"/>
        <v>4.0011496397339377E-2</v>
      </c>
      <c r="BG13" s="34">
        <f t="shared" si="14"/>
        <v>4.0014175516845635E-2</v>
      </c>
      <c r="BH13" s="36">
        <f t="shared" si="15"/>
        <v>4.0013855529782101E-2</v>
      </c>
      <c r="BU13" s="13">
        <f t="shared" si="28"/>
        <v>10</v>
      </c>
      <c r="BV13" s="42">
        <f t="shared" si="16"/>
        <v>5.5833646253055487E-2</v>
      </c>
      <c r="BW13" s="32">
        <f t="shared" si="17"/>
        <v>5.5833646253055487E-2</v>
      </c>
      <c r="BX13" s="34">
        <f t="shared" si="18"/>
        <v>5.5833646253055487E-2</v>
      </c>
      <c r="BY13" s="36">
        <f t="shared" si="19"/>
        <v>5.5833646253055487E-2</v>
      </c>
      <c r="CM13" s="13">
        <f t="shared" si="29"/>
        <v>10</v>
      </c>
      <c r="CN13" s="42">
        <f t="shared" si="20"/>
        <v>4.29514155640532E-2</v>
      </c>
      <c r="CO13" s="32">
        <f t="shared" si="21"/>
        <v>4.3215238527433822E-2</v>
      </c>
      <c r="CP13" s="34">
        <f t="shared" si="22"/>
        <v>4.386563376943417E-2</v>
      </c>
      <c r="CQ13" s="36">
        <f t="shared" si="23"/>
        <v>4.49429310021629E-2</v>
      </c>
    </row>
    <row r="14" spans="1:95" x14ac:dyDescent="0.25">
      <c r="D14" s="13">
        <f t="shared" si="24"/>
        <v>11</v>
      </c>
      <c r="E14" s="42">
        <f t="shared" si="0"/>
        <v>4.0280504781886398E-2</v>
      </c>
      <c r="F14" s="32">
        <f t="shared" si="1"/>
        <v>4.0294108669807302E-2</v>
      </c>
      <c r="G14" s="34">
        <f t="shared" si="2"/>
        <v>4.0326261997404869E-2</v>
      </c>
      <c r="H14" s="36">
        <f t="shared" si="3"/>
        <v>4.0376641874257636E-2</v>
      </c>
      <c r="V14" s="13">
        <f t="shared" si="25"/>
        <v>11</v>
      </c>
      <c r="W14" s="42">
        <f t="shared" si="4"/>
        <v>5.5833423501267083E-2</v>
      </c>
      <c r="X14" s="32">
        <f t="shared" si="5"/>
        <v>5.5833517338573189E-2</v>
      </c>
      <c r="Y14" s="34">
        <f t="shared" si="6"/>
        <v>5.5833610927626127E-2</v>
      </c>
      <c r="Z14" s="36">
        <f t="shared" si="7"/>
        <v>5.5833641631097948E-2</v>
      </c>
      <c r="AM14" s="13">
        <f t="shared" si="26"/>
        <v>11</v>
      </c>
      <c r="AN14" s="42">
        <f t="shared" si="8"/>
        <v>4.0011316721802172E-2</v>
      </c>
      <c r="AO14" s="32">
        <f t="shared" si="9"/>
        <v>4.0011870527909305E-2</v>
      </c>
      <c r="AP14" s="34">
        <f t="shared" si="10"/>
        <v>4.0013181322838542E-2</v>
      </c>
      <c r="AQ14" s="36">
        <f t="shared" si="11"/>
        <v>4.0015240415735377E-2</v>
      </c>
      <c r="BD14" s="13">
        <f t="shared" si="27"/>
        <v>11</v>
      </c>
      <c r="BE14" s="42">
        <f t="shared" si="12"/>
        <v>4.0011493187928182E-2</v>
      </c>
      <c r="BF14" s="32">
        <f t="shared" si="13"/>
        <v>4.00126455778754E-2</v>
      </c>
      <c r="BG14" s="34">
        <f t="shared" si="14"/>
        <v>4.0015592370336001E-2</v>
      </c>
      <c r="BH14" s="36">
        <f t="shared" si="15"/>
        <v>4.0015240415735377E-2</v>
      </c>
      <c r="BU14" s="13">
        <f t="shared" si="28"/>
        <v>11</v>
      </c>
      <c r="BV14" s="42">
        <f t="shared" si="16"/>
        <v>5.5833646253055487E-2</v>
      </c>
      <c r="BW14" s="32">
        <f t="shared" si="17"/>
        <v>5.5833646253055487E-2</v>
      </c>
      <c r="BX14" s="34">
        <f t="shared" si="18"/>
        <v>5.5833646253055487E-2</v>
      </c>
      <c r="BY14" s="36">
        <f t="shared" si="19"/>
        <v>5.5833646253055487E-2</v>
      </c>
      <c r="CM14" s="13">
        <f t="shared" si="29"/>
        <v>11</v>
      </c>
      <c r="CN14" s="42">
        <f t="shared" si="20"/>
        <v>4.3214438641301853E-2</v>
      </c>
      <c r="CO14" s="32">
        <f t="shared" si="21"/>
        <v>4.3498425729020088E-2</v>
      </c>
      <c r="CP14" s="34">
        <f t="shared" si="22"/>
        <v>4.4195973439664013E-2</v>
      </c>
      <c r="CQ14" s="36">
        <f t="shared" si="23"/>
        <v>4.5342958769734397E-2</v>
      </c>
    </row>
    <row r="15" spans="1:95" x14ac:dyDescent="0.25">
      <c r="D15" s="13">
        <f t="shared" si="24"/>
        <v>12</v>
      </c>
      <c r="E15" s="42">
        <f t="shared" si="0"/>
        <v>4.0305757468392961E-2</v>
      </c>
      <c r="F15" s="32">
        <f t="shared" si="1"/>
        <v>4.0320573388385184E-2</v>
      </c>
      <c r="G15" s="34">
        <f t="shared" si="2"/>
        <v>4.0355586713299314E-2</v>
      </c>
      <c r="H15" s="36">
        <f t="shared" si="3"/>
        <v>4.0410434540326473E-2</v>
      </c>
      <c r="V15" s="13">
        <f t="shared" si="25"/>
        <v>12</v>
      </c>
      <c r="W15" s="42">
        <f t="shared" si="4"/>
        <v>5.5833565575611144E-2</v>
      </c>
      <c r="X15" s="32">
        <f t="shared" si="5"/>
        <v>5.5833601826774326E-2</v>
      </c>
      <c r="Y15" s="34">
        <f t="shared" si="6"/>
        <v>5.5833635430861513E-2</v>
      </c>
      <c r="Z15" s="36">
        <f t="shared" si="7"/>
        <v>5.5833645076107379E-2</v>
      </c>
      <c r="AM15" s="13">
        <f t="shared" si="26"/>
        <v>12</v>
      </c>
      <c r="AN15" s="42">
        <f t="shared" si="8"/>
        <v>4.0012345113530801E-2</v>
      </c>
      <c r="AO15" s="32">
        <f t="shared" si="9"/>
        <v>4.0012949225418926E-2</v>
      </c>
      <c r="AP15" s="34">
        <f t="shared" si="10"/>
        <v>4.0014379080647117E-2</v>
      </c>
      <c r="AQ15" s="36">
        <f t="shared" si="11"/>
        <v>4.001662518045386E-2</v>
      </c>
      <c r="BD15" s="13">
        <f t="shared" si="27"/>
        <v>12</v>
      </c>
      <c r="BE15" s="42">
        <f t="shared" si="12"/>
        <v>4.0012537609422E-2</v>
      </c>
      <c r="BF15" s="32">
        <f t="shared" si="13"/>
        <v>4.0013794674945154E-2</v>
      </c>
      <c r="BG15" s="34">
        <f t="shared" si="14"/>
        <v>4.0017009096927444E-2</v>
      </c>
      <c r="BH15" s="36">
        <f t="shared" si="15"/>
        <v>4.001662518045386E-2</v>
      </c>
      <c r="BU15" s="13">
        <f t="shared" si="28"/>
        <v>12</v>
      </c>
      <c r="BV15" s="42">
        <f t="shared" si="16"/>
        <v>5.5833646253055487E-2</v>
      </c>
      <c r="BW15" s="32">
        <f t="shared" si="17"/>
        <v>5.5833646253055487E-2</v>
      </c>
      <c r="BX15" s="34">
        <f t="shared" si="18"/>
        <v>5.5833646253055487E-2</v>
      </c>
      <c r="BY15" s="36">
        <f t="shared" si="19"/>
        <v>5.5833646253055487E-2</v>
      </c>
      <c r="CM15" s="13">
        <f t="shared" si="29"/>
        <v>12</v>
      </c>
      <c r="CN15" s="42">
        <f t="shared" si="20"/>
        <v>4.3472091442172484E-2</v>
      </c>
      <c r="CO15" s="32">
        <f t="shared" si="21"/>
        <v>4.3775257533563705E-2</v>
      </c>
      <c r="CP15" s="34">
        <f t="shared" si="22"/>
        <v>4.4517195113244291E-2</v>
      </c>
      <c r="CQ15" s="36">
        <f t="shared" si="23"/>
        <v>4.5728293084108224E-2</v>
      </c>
    </row>
    <row r="16" spans="1:95" x14ac:dyDescent="0.25">
      <c r="D16" s="13">
        <f t="shared" si="24"/>
        <v>13</v>
      </c>
      <c r="E16" s="42">
        <f t="shared" si="0"/>
        <v>4.0330969153653771E-2</v>
      </c>
      <c r="F16" s="32">
        <f t="shared" si="1"/>
        <v>4.0346993036038288E-2</v>
      </c>
      <c r="G16" s="34">
        <f t="shared" si="2"/>
        <v>4.0384855975678972E-2</v>
      </c>
      <c r="H16" s="36">
        <f t="shared" si="3"/>
        <v>4.0444153327637691E-2</v>
      </c>
      <c r="V16" s="13">
        <f t="shared" si="25"/>
        <v>13</v>
      </c>
      <c r="W16" s="42">
        <f t="shared" si="4"/>
        <v>5.5833617032863485E-2</v>
      </c>
      <c r="X16" s="32">
        <f t="shared" si="5"/>
        <v>5.583363094294895E-2</v>
      </c>
      <c r="Y16" s="34">
        <f t="shared" si="6"/>
        <v>5.5833642937600174E-2</v>
      </c>
      <c r="Z16" s="36">
        <f t="shared" si="7"/>
        <v>5.5833645953354147E-2</v>
      </c>
      <c r="AM16" s="13">
        <f t="shared" si="26"/>
        <v>13</v>
      </c>
      <c r="AN16" s="42">
        <f t="shared" si="8"/>
        <v>4.0013373438417849E-2</v>
      </c>
      <c r="AO16" s="32">
        <f t="shared" si="9"/>
        <v>4.0014027849385077E-2</v>
      </c>
      <c r="AP16" s="34">
        <f t="shared" si="10"/>
        <v>4.001557674777418E-2</v>
      </c>
      <c r="AQ16" s="36">
        <f t="shared" si="11"/>
        <v>4.0018009823948153E-2</v>
      </c>
      <c r="BD16" s="13">
        <f t="shared" si="27"/>
        <v>13</v>
      </c>
      <c r="BE16" s="42">
        <f t="shared" si="12"/>
        <v>4.0013581961973466E-2</v>
      </c>
      <c r="BF16" s="32">
        <f t="shared" si="13"/>
        <v>4.0014943688554697E-2</v>
      </c>
      <c r="BG16" s="34">
        <f t="shared" si="14"/>
        <v>4.0018425696631332E-2</v>
      </c>
      <c r="BH16" s="36">
        <f t="shared" si="15"/>
        <v>4.0018009823948153E-2</v>
      </c>
      <c r="BU16" s="13">
        <f t="shared" si="28"/>
        <v>13</v>
      </c>
      <c r="BV16" s="42">
        <f t="shared" si="16"/>
        <v>5.5833646253055487E-2</v>
      </c>
      <c r="BW16" s="32">
        <f t="shared" si="17"/>
        <v>5.5833646253055487E-2</v>
      </c>
      <c r="BX16" s="34">
        <f t="shared" si="18"/>
        <v>5.5833646253055487E-2</v>
      </c>
      <c r="BY16" s="36">
        <f t="shared" si="19"/>
        <v>5.5833646253055487E-2</v>
      </c>
      <c r="CM16" s="13">
        <f t="shared" si="29"/>
        <v>13</v>
      </c>
      <c r="CN16" s="42">
        <f t="shared" si="20"/>
        <v>4.3724483614338137E-2</v>
      </c>
      <c r="CO16" s="32">
        <f t="shared" si="21"/>
        <v>4.4045876571350735E-2</v>
      </c>
      <c r="CP16" s="34">
        <f t="shared" si="22"/>
        <v>4.4829550464044042E-2</v>
      </c>
      <c r="CQ16" s="36">
        <f t="shared" si="23"/>
        <v>4.6099473651735702E-2</v>
      </c>
    </row>
    <row r="17" spans="4:100" x14ac:dyDescent="0.25">
      <c r="D17" s="13">
        <f t="shared" si="24"/>
        <v>14</v>
      </c>
      <c r="E17" s="42">
        <f t="shared" si="0"/>
        <v>4.0356139904240043E-2</v>
      </c>
      <c r="F17" s="32">
        <f t="shared" si="1"/>
        <v>4.0373367689524979E-2</v>
      </c>
      <c r="G17" s="34">
        <f t="shared" si="2"/>
        <v>4.0414069889407329E-2</v>
      </c>
      <c r="H17" s="36">
        <f t="shared" si="3"/>
        <v>4.0477798397707723E-2</v>
      </c>
      <c r="V17" s="13">
        <f t="shared" si="25"/>
        <v>14</v>
      </c>
      <c r="W17" s="42">
        <f t="shared" si="4"/>
        <v>5.5833635669928723E-2</v>
      </c>
      <c r="X17" s="32">
        <f t="shared" si="5"/>
        <v>5.5833640976913616E-2</v>
      </c>
      <c r="Y17" s="34">
        <f t="shared" si="6"/>
        <v>5.5833645237342411E-2</v>
      </c>
      <c r="Z17" s="36">
        <f t="shared" si="7"/>
        <v>5.5833646176738708E-2</v>
      </c>
      <c r="AM17" s="13">
        <f t="shared" si="26"/>
        <v>14</v>
      </c>
      <c r="AN17" s="42">
        <f t="shared" si="8"/>
        <v>4.0014401696467652E-2</v>
      </c>
      <c r="AO17" s="32">
        <f t="shared" si="9"/>
        <v>4.0015106399812761E-2</v>
      </c>
      <c r="AP17" s="34">
        <f t="shared" si="10"/>
        <v>4.0016774324226588E-2</v>
      </c>
      <c r="AQ17" s="36">
        <f t="shared" si="11"/>
        <v>4.0019394346228886E-2</v>
      </c>
      <c r="BD17" s="13">
        <f t="shared" si="27"/>
        <v>14</v>
      </c>
      <c r="BE17" s="42">
        <f t="shared" si="12"/>
        <v>4.0014626245587145E-2</v>
      </c>
      <c r="BF17" s="32">
        <f t="shared" si="13"/>
        <v>4.0016092618710079E-2</v>
      </c>
      <c r="BG17" s="34">
        <f t="shared" si="14"/>
        <v>4.0019842169459016E-2</v>
      </c>
      <c r="BH17" s="36">
        <f t="shared" si="15"/>
        <v>4.0019394346228886E-2</v>
      </c>
      <c r="BU17" s="13">
        <f t="shared" si="28"/>
        <v>14</v>
      </c>
      <c r="BV17" s="42">
        <f t="shared" si="16"/>
        <v>5.5833646253055487E-2</v>
      </c>
      <c r="BW17" s="32">
        <f t="shared" si="17"/>
        <v>5.5833646253055487E-2</v>
      </c>
      <c r="BX17" s="34">
        <f t="shared" si="18"/>
        <v>5.5833646253055487E-2</v>
      </c>
      <c r="BY17" s="36">
        <f t="shared" si="19"/>
        <v>5.5833646253055487E-2</v>
      </c>
      <c r="CM17" s="13">
        <f t="shared" si="29"/>
        <v>14</v>
      </c>
      <c r="CN17" s="42">
        <f t="shared" si="20"/>
        <v>4.3971722566739362E-2</v>
      </c>
      <c r="CO17" s="32">
        <f t="shared" si="21"/>
        <v>4.4310422271703023E-2</v>
      </c>
      <c r="CP17" s="34">
        <f t="shared" si="22"/>
        <v>4.5133284219259821E-2</v>
      </c>
      <c r="CQ17" s="36">
        <f t="shared" si="23"/>
        <v>4.6457020355065631E-2</v>
      </c>
    </row>
    <row r="18" spans="4:100" x14ac:dyDescent="0.25">
      <c r="D18" s="13">
        <f t="shared" si="24"/>
        <v>15</v>
      </c>
      <c r="E18" s="42">
        <f t="shared" si="0"/>
        <v>4.0381269786614896E-2</v>
      </c>
      <c r="F18" s="32">
        <f t="shared" si="1"/>
        <v>4.0399697425472884E-2</v>
      </c>
      <c r="G18" s="34">
        <f t="shared" si="2"/>
        <v>4.0443228559149585E-2</v>
      </c>
      <c r="H18" s="36">
        <f t="shared" si="3"/>
        <v>4.0511369911699881E-2</v>
      </c>
      <c r="V18" s="13">
        <f t="shared" si="25"/>
        <v>15</v>
      </c>
      <c r="W18" s="42">
        <f t="shared" si="4"/>
        <v>5.5833642420001543E-2</v>
      </c>
      <c r="X18" s="32">
        <f t="shared" si="5"/>
        <v>5.5833644434800794E-2</v>
      </c>
      <c r="Y18" s="34">
        <f t="shared" si="6"/>
        <v>5.5833645941884634E-2</v>
      </c>
      <c r="Z18" s="36">
        <f t="shared" si="7"/>
        <v>5.583364623362197E-2</v>
      </c>
      <c r="AM18" s="13">
        <f t="shared" si="26"/>
        <v>15</v>
      </c>
      <c r="AN18" s="42">
        <f t="shared" si="8"/>
        <v>4.001542988768457E-2</v>
      </c>
      <c r="AO18" s="32">
        <f t="shared" si="9"/>
        <v>4.0016184876707009E-2</v>
      </c>
      <c r="AP18" s="34">
        <f t="shared" si="10"/>
        <v>4.001797181001121E-2</v>
      </c>
      <c r="AQ18" s="36">
        <f t="shared" si="11"/>
        <v>4.0020778747306654E-2</v>
      </c>
      <c r="BD18" s="13">
        <f t="shared" si="27"/>
        <v>15</v>
      </c>
      <c r="BE18" s="42">
        <f t="shared" si="12"/>
        <v>4.0015670460267577E-2</v>
      </c>
      <c r="BF18" s="32">
        <f t="shared" si="13"/>
        <v>4.001724146541738E-2</v>
      </c>
      <c r="BG18" s="34">
        <f t="shared" si="14"/>
        <v>4.0021258515421883E-2</v>
      </c>
      <c r="BH18" s="36">
        <f t="shared" si="15"/>
        <v>4.0020778747306654E-2</v>
      </c>
      <c r="BU18" s="13">
        <f t="shared" si="28"/>
        <v>15</v>
      </c>
      <c r="BV18" s="42">
        <f t="shared" si="16"/>
        <v>5.5833646253055487E-2</v>
      </c>
      <c r="BW18" s="32">
        <f t="shared" si="17"/>
        <v>5.5833646253055487E-2</v>
      </c>
      <c r="BX18" s="34">
        <f t="shared" si="18"/>
        <v>5.5833646253055487E-2</v>
      </c>
      <c r="BY18" s="36">
        <f t="shared" si="19"/>
        <v>5.5833646253055487E-2</v>
      </c>
      <c r="CM18" s="13">
        <f t="shared" si="29"/>
        <v>15</v>
      </c>
      <c r="CN18" s="42">
        <f t="shared" si="20"/>
        <v>4.4213913515293565E-2</v>
      </c>
      <c r="CO18" s="32">
        <f t="shared" si="21"/>
        <v>4.4569030934815471E-2</v>
      </c>
      <c r="CP18" s="34">
        <f t="shared" si="22"/>
        <v>4.5428634351156946E-2</v>
      </c>
      <c r="CQ18" s="36">
        <f t="shared" si="23"/>
        <v>4.6801433980701336E-2</v>
      </c>
    </row>
    <row r="19" spans="4:100" x14ac:dyDescent="0.25">
      <c r="D19" s="13">
        <f t="shared" si="24"/>
        <v>16</v>
      </c>
      <c r="E19" s="42">
        <f t="shared" si="0"/>
        <v>4.0406358867133577E-2</v>
      </c>
      <c r="F19" s="32">
        <f t="shared" si="1"/>
        <v>4.0425982320379132E-2</v>
      </c>
      <c r="G19" s="34">
        <f t="shared" si="2"/>
        <v>4.0472332089373016E-2</v>
      </c>
      <c r="H19" s="36">
        <f t="shared" si="3"/>
        <v>4.0544868030425146E-2</v>
      </c>
      <c r="V19" s="13">
        <f t="shared" si="25"/>
        <v>16</v>
      </c>
      <c r="W19" s="42">
        <f t="shared" si="4"/>
        <v>5.5833644864779333E-2</v>
      </c>
      <c r="X19" s="32">
        <f t="shared" si="5"/>
        <v>5.5833645626451767E-2</v>
      </c>
      <c r="Y19" s="34">
        <f t="shared" si="6"/>
        <v>5.5833646157726104E-2</v>
      </c>
      <c r="Z19" s="36">
        <f t="shared" si="7"/>
        <v>5.5833646248106883E-2</v>
      </c>
      <c r="AM19" s="13">
        <f t="shared" si="26"/>
        <v>16</v>
      </c>
      <c r="AN19" s="42">
        <f t="shared" si="8"/>
        <v>4.0016458012072931E-2</v>
      </c>
      <c r="AO19" s="32">
        <f t="shared" si="9"/>
        <v>4.0017263280072823E-2</v>
      </c>
      <c r="AP19" s="34">
        <f t="shared" si="10"/>
        <v>4.0019169205134902E-2</v>
      </c>
      <c r="AQ19" s="36">
        <f t="shared" si="11"/>
        <v>4.0022163027192068E-2</v>
      </c>
      <c r="BD19" s="13">
        <f t="shared" si="27"/>
        <v>16</v>
      </c>
      <c r="BE19" s="42">
        <f t="shared" si="12"/>
        <v>4.0016714606019334E-2</v>
      </c>
      <c r="BF19" s="32">
        <f t="shared" si="13"/>
        <v>4.001839022868265E-2</v>
      </c>
      <c r="BG19" s="34">
        <f t="shared" si="14"/>
        <v>4.0022674734531277E-2</v>
      </c>
      <c r="BH19" s="36">
        <f t="shared" si="15"/>
        <v>4.0022163027192068E-2</v>
      </c>
      <c r="BU19" s="13">
        <f t="shared" si="28"/>
        <v>16</v>
      </c>
      <c r="BV19" s="42">
        <f t="shared" si="16"/>
        <v>5.5833646253055487E-2</v>
      </c>
      <c r="BW19" s="32">
        <f t="shared" si="17"/>
        <v>5.5833646253055487E-2</v>
      </c>
      <c r="BX19" s="34">
        <f t="shared" si="18"/>
        <v>5.5833646253055487E-2</v>
      </c>
      <c r="BY19" s="36">
        <f t="shared" si="19"/>
        <v>5.5833646253055487E-2</v>
      </c>
      <c r="CM19" s="13">
        <f t="shared" si="29"/>
        <v>16</v>
      </c>
      <c r="CN19" s="42">
        <f t="shared" si="20"/>
        <v>4.4451159527671077E-2</v>
      </c>
      <c r="CO19" s="32">
        <f t="shared" si="21"/>
        <v>4.4821835801981146E-2</v>
      </c>
      <c r="CP19" s="34">
        <f t="shared" si="22"/>
        <v>4.5715832263518302E-2</v>
      </c>
      <c r="CQ19" s="36">
        <f t="shared" si="23"/>
        <v>4.7133196920811776E-2</v>
      </c>
    </row>
    <row r="20" spans="4:100" x14ac:dyDescent="0.25">
      <c r="D20" s="13">
        <f>D19+1</f>
        <v>17</v>
      </c>
      <c r="E20" s="42">
        <f t="shared" si="0"/>
        <v>4.0431407212043545E-2</v>
      </c>
      <c r="F20" s="32">
        <f t="shared" si="1"/>
        <v>4.0452222450610573E-2</v>
      </c>
      <c r="G20" s="34">
        <f t="shared" si="2"/>
        <v>4.0501380584347359E-2</v>
      </c>
      <c r="H20" s="36">
        <f t="shared" si="3"/>
        <v>4.0578292914342923E-2</v>
      </c>
      <c r="J20" t="s">
        <v>25</v>
      </c>
      <c r="V20" s="13">
        <f>V19+1</f>
        <v>17</v>
      </c>
      <c r="W20" s="42">
        <f t="shared" si="4"/>
        <v>5.583364575024214E-2</v>
      </c>
      <c r="X20" s="32">
        <f t="shared" si="5"/>
        <v>5.5833646037116422E-2</v>
      </c>
      <c r="Y20" s="34">
        <f t="shared" si="6"/>
        <v>5.5833646223850661E-2</v>
      </c>
      <c r="Z20" s="36">
        <f t="shared" si="7"/>
        <v>5.5833646251795363E-2</v>
      </c>
      <c r="AB20" t="s">
        <v>25</v>
      </c>
      <c r="AM20" s="13">
        <f>AM19+1</f>
        <v>17</v>
      </c>
      <c r="AN20" s="42">
        <f t="shared" si="8"/>
        <v>4.0017486069637093E-2</v>
      </c>
      <c r="AO20" s="32">
        <f t="shared" si="9"/>
        <v>4.0018341609915221E-2</v>
      </c>
      <c r="AP20" s="34">
        <f t="shared" si="10"/>
        <v>4.0020366509604541E-2</v>
      </c>
      <c r="AQ20" s="36">
        <f t="shared" si="11"/>
        <v>4.002354718589575E-2</v>
      </c>
      <c r="AS20" t="s">
        <v>25</v>
      </c>
      <c r="BD20" s="13">
        <f>BD19+1</f>
        <v>17</v>
      </c>
      <c r="BE20" s="42">
        <f t="shared" si="12"/>
        <v>4.0017758682846946E-2</v>
      </c>
      <c r="BF20" s="32">
        <f t="shared" si="13"/>
        <v>4.0019538908511954E-2</v>
      </c>
      <c r="BG20" s="34">
        <f t="shared" si="14"/>
        <v>4.0024090826798558E-2</v>
      </c>
      <c r="BH20" s="36">
        <f t="shared" si="15"/>
        <v>4.002354718589575E-2</v>
      </c>
      <c r="BJ20" t="s">
        <v>25</v>
      </c>
      <c r="BU20" s="13">
        <f>BU19+1</f>
        <v>17</v>
      </c>
      <c r="BV20" s="42">
        <f t="shared" si="16"/>
        <v>5.5833646253055487E-2</v>
      </c>
      <c r="BW20" s="32">
        <f t="shared" si="17"/>
        <v>5.5833646253055487E-2</v>
      </c>
      <c r="BX20" s="34">
        <f t="shared" si="18"/>
        <v>5.5833646253055487E-2</v>
      </c>
      <c r="BY20" s="36">
        <f t="shared" si="19"/>
        <v>5.5833646253055487E-2</v>
      </c>
      <c r="CA20" t="s">
        <v>25</v>
      </c>
      <c r="CM20" s="13">
        <f>CM19+1</f>
        <v>17</v>
      </c>
      <c r="CN20" s="42">
        <f t="shared" si="20"/>
        <v>4.4683561567157026E-2</v>
      </c>
      <c r="CO20" s="32">
        <f t="shared" si="21"/>
        <v>4.50689671242403E-2</v>
      </c>
      <c r="CP20" s="34">
        <f t="shared" si="22"/>
        <v>4.5995102972946844E-2</v>
      </c>
      <c r="CQ20" s="36">
        <f t="shared" si="23"/>
        <v>4.745277384877903E-2</v>
      </c>
      <c r="CS20" t="s">
        <v>25</v>
      </c>
    </row>
    <row r="21" spans="4:100" x14ac:dyDescent="0.25">
      <c r="D21" s="13">
        <f t="shared" si="24"/>
        <v>18</v>
      </c>
      <c r="E21" s="42">
        <f t="shared" si="0"/>
        <v>4.0456414887484735E-2</v>
      </c>
      <c r="F21" s="32">
        <f t="shared" si="1"/>
        <v>4.0478417892404001E-2</v>
      </c>
      <c r="G21" s="34">
        <f t="shared" si="2"/>
        <v>4.0530374148145157E-2</v>
      </c>
      <c r="H21" s="36">
        <f t="shared" si="3"/>
        <v>4.0611644723561824E-2</v>
      </c>
      <c r="J21" s="18" t="s">
        <v>9</v>
      </c>
      <c r="K21" s="18" t="s">
        <v>13</v>
      </c>
      <c r="L21" s="19" t="s">
        <v>14</v>
      </c>
      <c r="M21" s="19" t="s">
        <v>18</v>
      </c>
      <c r="V21" s="13">
        <f t="shared" si="25"/>
        <v>18</v>
      </c>
      <c r="W21" s="42">
        <f t="shared" si="4"/>
        <v>5.5833646070943835E-2</v>
      </c>
      <c r="X21" s="32">
        <f t="shared" si="5"/>
        <v>5.5833646178638945E-2</v>
      </c>
      <c r="Y21" s="34">
        <f t="shared" si="6"/>
        <v>5.583364624410838E-2</v>
      </c>
      <c r="Z21" s="36">
        <f t="shared" si="7"/>
        <v>5.5833646252734605E-2</v>
      </c>
      <c r="AB21" s="18" t="s">
        <v>9</v>
      </c>
      <c r="AC21" s="18" t="s">
        <v>13</v>
      </c>
      <c r="AD21" s="19" t="s">
        <v>14</v>
      </c>
      <c r="AE21" s="19" t="s">
        <v>18</v>
      </c>
      <c r="AM21" s="13">
        <f t="shared" si="26"/>
        <v>18</v>
      </c>
      <c r="AN21" s="42">
        <f t="shared" si="8"/>
        <v>4.0018514060381385E-2</v>
      </c>
      <c r="AO21" s="32">
        <f t="shared" si="9"/>
        <v>4.0019419866239213E-2</v>
      </c>
      <c r="AP21" s="34">
        <f t="shared" si="10"/>
        <v>4.0021563723426981E-2</v>
      </c>
      <c r="AQ21" s="36">
        <f t="shared" si="11"/>
        <v>4.0024931223428289E-2</v>
      </c>
      <c r="AS21" s="18" t="s">
        <v>9</v>
      </c>
      <c r="AT21" s="18" t="s">
        <v>13</v>
      </c>
      <c r="AU21" s="19" t="s">
        <v>14</v>
      </c>
      <c r="AV21" s="19" t="s">
        <v>18</v>
      </c>
      <c r="BD21" s="13">
        <f t="shared" si="27"/>
        <v>18</v>
      </c>
      <c r="BE21" s="42">
        <f t="shared" si="12"/>
        <v>4.0018802690754973E-2</v>
      </c>
      <c r="BF21" s="32">
        <f t="shared" si="13"/>
        <v>4.0020687504911348E-2</v>
      </c>
      <c r="BG21" s="34">
        <f t="shared" si="14"/>
        <v>4.0025506792235099E-2</v>
      </c>
      <c r="BH21" s="36">
        <f t="shared" si="15"/>
        <v>4.0024931223428289E-2</v>
      </c>
      <c r="BJ21" s="18" t="s">
        <v>9</v>
      </c>
      <c r="BK21" s="18" t="s">
        <v>13</v>
      </c>
      <c r="BL21" s="19" t="s">
        <v>14</v>
      </c>
      <c r="BM21" s="19" t="s">
        <v>18</v>
      </c>
      <c r="BU21" s="13">
        <f t="shared" si="28"/>
        <v>18</v>
      </c>
      <c r="BV21" s="42">
        <f t="shared" si="16"/>
        <v>5.5833646253055487E-2</v>
      </c>
      <c r="BW21" s="32">
        <f t="shared" si="17"/>
        <v>5.5833646253055487E-2</v>
      </c>
      <c r="BX21" s="34">
        <f t="shared" si="18"/>
        <v>5.5833646253055487E-2</v>
      </c>
      <c r="BY21" s="36">
        <f t="shared" si="19"/>
        <v>5.5833646253055487E-2</v>
      </c>
      <c r="CA21" s="18" t="s">
        <v>9</v>
      </c>
      <c r="CB21" s="18" t="s">
        <v>13</v>
      </c>
      <c r="CC21" s="19" t="s">
        <v>14</v>
      </c>
      <c r="CD21" s="19" t="s">
        <v>18</v>
      </c>
      <c r="CM21" s="13">
        <f t="shared" si="29"/>
        <v>18</v>
      </c>
      <c r="CN21" s="42">
        <f t="shared" si="20"/>
        <v>4.4911218535617609E-2</v>
      </c>
      <c r="CO21" s="32">
        <f t="shared" si="21"/>
        <v>4.5310552229488835E-2</v>
      </c>
      <c r="CP21" s="34">
        <f t="shared" si="22"/>
        <v>4.6266665285163759E-2</v>
      </c>
      <c r="CQ21" s="36">
        <f t="shared" si="23"/>
        <v>4.7760612370028543E-2</v>
      </c>
      <c r="CS21" s="18" t="s">
        <v>9</v>
      </c>
      <c r="CT21" s="18" t="s">
        <v>13</v>
      </c>
      <c r="CU21" s="19" t="s">
        <v>14</v>
      </c>
      <c r="CV21" s="19" t="s">
        <v>18</v>
      </c>
    </row>
    <row r="22" spans="4:100" x14ac:dyDescent="0.25">
      <c r="D22" s="13">
        <f t="shared" si="24"/>
        <v>19</v>
      </c>
      <c r="E22" s="42">
        <f t="shared" si="0"/>
        <v>4.0481381959489679E-2</v>
      </c>
      <c r="F22" s="32">
        <f t="shared" si="1"/>
        <v>4.0504568721866377E-2</v>
      </c>
      <c r="G22" s="34">
        <f t="shared" si="2"/>
        <v>4.0559312884642151E-2</v>
      </c>
      <c r="H22" s="36">
        <f t="shared" si="3"/>
        <v>4.0644923617840403E-2</v>
      </c>
      <c r="J22" s="20">
        <v>0</v>
      </c>
      <c r="K22" s="41">
        <f>H3</f>
        <v>0.04</v>
      </c>
      <c r="L22" s="46">
        <f>summary!J6</f>
        <v>0.04</v>
      </c>
      <c r="M22" s="17" cm="1">
        <f t="array" ref="M22">SQRT(SUMSQ(K22:K27-L22:L27)/COUNTA(K22:K27-L22:L27))</f>
        <v>6.6653894664726486E-3</v>
      </c>
      <c r="V22" s="13">
        <f t="shared" si="25"/>
        <v>19</v>
      </c>
      <c r="W22" s="42">
        <f t="shared" si="4"/>
        <v>5.5833646187097311E-2</v>
      </c>
      <c r="X22" s="32">
        <f t="shared" si="5"/>
        <v>5.5833646227410189E-2</v>
      </c>
      <c r="Y22" s="34">
        <f t="shared" si="6"/>
        <v>5.5833646250314478E-2</v>
      </c>
      <c r="Z22" s="36">
        <f t="shared" si="7"/>
        <v>5.5833646252973775E-2</v>
      </c>
      <c r="AB22" s="20">
        <v>0</v>
      </c>
      <c r="AC22" s="41">
        <f>Z3</f>
        <v>0.04</v>
      </c>
      <c r="AD22" s="46">
        <f>L22</f>
        <v>0.04</v>
      </c>
      <c r="AE22" s="17" cm="1">
        <f t="array" ref="AE22">SQRT(SUMSQ(AC22:AC27-AD22:AD27)/COUNTA(AC22:AC27-AD22:AD27))</f>
        <v>5.1474259995255072E-3</v>
      </c>
      <c r="AM22" s="13">
        <f t="shared" si="26"/>
        <v>19</v>
      </c>
      <c r="AN22" s="42">
        <f t="shared" si="8"/>
        <v>4.001954198431016E-2</v>
      </c>
      <c r="AO22" s="32">
        <f t="shared" si="9"/>
        <v>4.0020498049049814E-2</v>
      </c>
      <c r="AP22" s="34">
        <f t="shared" si="10"/>
        <v>4.0022760846609093E-2</v>
      </c>
      <c r="AQ22" s="36">
        <f t="shared" si="11"/>
        <v>4.0026315139800317E-2</v>
      </c>
      <c r="AS22" s="20">
        <v>0</v>
      </c>
      <c r="AT22" s="41">
        <f>AQ3</f>
        <v>0.04</v>
      </c>
      <c r="AU22" s="48">
        <f>AD22</f>
        <v>0.04</v>
      </c>
      <c r="AV22" s="17" cm="1">
        <f t="array" ref="AV22">SQRT(SUMSQ(AT22:AT27-AU22:AU27)/COUNTA(AT22:AT27-AU22:AU27))</f>
        <v>7.8837819057729804E-3</v>
      </c>
      <c r="BD22" s="13">
        <f t="shared" si="27"/>
        <v>19</v>
      </c>
      <c r="BE22" s="42">
        <f t="shared" si="12"/>
        <v>4.001984662974796E-2</v>
      </c>
      <c r="BF22" s="32">
        <f t="shared" si="13"/>
        <v>4.0021836017886898E-2</v>
      </c>
      <c r="BG22" s="34">
        <f t="shared" si="14"/>
        <v>4.0026922630852252E-2</v>
      </c>
      <c r="BH22" s="36">
        <f t="shared" si="15"/>
        <v>4.0026315139800317E-2</v>
      </c>
      <c r="BJ22" s="20">
        <v>0</v>
      </c>
      <c r="BK22" s="41">
        <f>BH3</f>
        <v>0.04</v>
      </c>
      <c r="BL22" s="36">
        <f>AU22</f>
        <v>0.04</v>
      </c>
      <c r="BM22" s="17" cm="1">
        <f t="array" ref="BM22">SQRT(SUMSQ(BK22:BK27-BL22:BL27)/COUNTA(BK22:BK27-BL22:BL27))</f>
        <v>7.8837819057729804E-3</v>
      </c>
      <c r="BU22" s="13">
        <f t="shared" si="28"/>
        <v>19</v>
      </c>
      <c r="BV22" s="42">
        <f t="shared" si="16"/>
        <v>5.5833646253055487E-2</v>
      </c>
      <c r="BW22" s="32">
        <f t="shared" si="17"/>
        <v>5.5833646253055487E-2</v>
      </c>
      <c r="BX22" s="34">
        <f t="shared" si="18"/>
        <v>5.5833646253055487E-2</v>
      </c>
      <c r="BY22" s="36">
        <f t="shared" si="19"/>
        <v>5.5833646253055487E-2</v>
      </c>
      <c r="CA22" s="20">
        <v>0</v>
      </c>
      <c r="CB22" s="41">
        <f>BY3</f>
        <v>0.04</v>
      </c>
      <c r="CC22" s="36">
        <f>BL22</f>
        <v>0.04</v>
      </c>
      <c r="CD22" s="17" cm="1">
        <f t="array" ref="CD22">SQRT(SUMSQ(CB22:CB27-CC22:CC27)/COUNTA(CB22:CB27-CC22:CC27))</f>
        <v>5.1474300772498096E-3</v>
      </c>
      <c r="CM22" s="13">
        <f t="shared" si="29"/>
        <v>19</v>
      </c>
      <c r="CN22" s="42">
        <f t="shared" si="20"/>
        <v>4.5134227315589158E-2</v>
      </c>
      <c r="CO22" s="32">
        <f t="shared" si="21"/>
        <v>4.5546715588080586E-2</v>
      </c>
      <c r="CP22" s="34">
        <f t="shared" si="22"/>
        <v>4.6530731966440503E-2</v>
      </c>
      <c r="CQ22" s="36">
        <f t="shared" si="23"/>
        <v>4.8057143648953651E-2</v>
      </c>
      <c r="CS22" s="20">
        <v>0</v>
      </c>
      <c r="CT22" s="41">
        <f>CQ3</f>
        <v>0.04</v>
      </c>
      <c r="CU22" s="36">
        <f>CC22</f>
        <v>0.04</v>
      </c>
      <c r="CV22" s="17" cm="1">
        <f t="array" ref="CV22">SQRT(SUMSQ(CT22:CT27-CU22:CU27)/COUNTA(CT22:CT27-CU22:CU27))</f>
        <v>3.8423560615069886E-3</v>
      </c>
    </row>
    <row r="23" spans="4:100" x14ac:dyDescent="0.25">
      <c r="D23" s="13">
        <f t="shared" si="24"/>
        <v>20</v>
      </c>
      <c r="E23" s="42">
        <f t="shared" si="0"/>
        <v>4.0506308493983692E-2</v>
      </c>
      <c r="F23" s="32">
        <f t="shared" si="1"/>
        <v>4.0530675014975044E-2</v>
      </c>
      <c r="G23" s="34">
        <f t="shared" si="2"/>
        <v>4.0588196897517671E-2</v>
      </c>
      <c r="H23" s="36">
        <f t="shared" si="3"/>
        <v>4.0678129756587966E-2</v>
      </c>
      <c r="J23" s="18">
        <v>10</v>
      </c>
      <c r="K23" s="41">
        <f>H13</f>
        <v>4.0342775167560858E-2</v>
      </c>
      <c r="L23" s="46">
        <f>summary!J7</f>
        <v>4.8895149728212996E-2</v>
      </c>
      <c r="V23" s="13">
        <f t="shared" si="25"/>
        <v>20</v>
      </c>
      <c r="W23" s="42">
        <f t="shared" si="4"/>
        <v>5.5833646229166395E-2</v>
      </c>
      <c r="X23" s="32">
        <f t="shared" si="5"/>
        <v>5.5833646244217647E-2</v>
      </c>
      <c r="Y23" s="34">
        <f t="shared" si="6"/>
        <v>5.5833646252215763E-2</v>
      </c>
      <c r="Z23" s="36">
        <f t="shared" si="7"/>
        <v>5.5833646253034677E-2</v>
      </c>
      <c r="AB23" s="18">
        <v>10</v>
      </c>
      <c r="AC23" s="41">
        <f>Z13</f>
        <v>5.5833628102305001E-2</v>
      </c>
      <c r="AD23" s="46">
        <f>L23</f>
        <v>4.8895149728212996E-2</v>
      </c>
      <c r="AM23" s="13">
        <f t="shared" si="26"/>
        <v>20</v>
      </c>
      <c r="AN23" s="42">
        <f t="shared" si="8"/>
        <v>4.0020569841427753E-2</v>
      </c>
      <c r="AO23" s="32">
        <f t="shared" si="9"/>
        <v>4.0021576158352029E-2</v>
      </c>
      <c r="AP23" s="34">
        <f t="shared" si="10"/>
        <v>4.0023957879157732E-2</v>
      </c>
      <c r="AQ23" s="36">
        <f t="shared" si="11"/>
        <v>4.0027698935022421E-2</v>
      </c>
      <c r="AS23" s="18">
        <v>10</v>
      </c>
      <c r="AT23" s="41">
        <f>AQ13</f>
        <v>4.0013855529782101E-2</v>
      </c>
      <c r="AU23" s="48">
        <f t="shared" ref="AU23:AU26" si="30">AD23</f>
        <v>4.8895149728212996E-2</v>
      </c>
      <c r="BD23" s="13">
        <f t="shared" si="27"/>
        <v>20</v>
      </c>
      <c r="BE23" s="42">
        <f t="shared" si="12"/>
        <v>4.0020890499830458E-2</v>
      </c>
      <c r="BF23" s="32">
        <f t="shared" si="13"/>
        <v>4.0022984447444662E-2</v>
      </c>
      <c r="BG23" s="34">
        <f t="shared" si="14"/>
        <v>4.0028338342661382E-2</v>
      </c>
      <c r="BH23" s="36">
        <f t="shared" si="15"/>
        <v>4.0027698935022421E-2</v>
      </c>
      <c r="BJ23" s="18">
        <v>10</v>
      </c>
      <c r="BK23" s="41">
        <f>BH13</f>
        <v>4.0013855529782101E-2</v>
      </c>
      <c r="BL23" s="36">
        <f t="shared" ref="BL23:BL26" si="31">AU23</f>
        <v>4.8895149728212996E-2</v>
      </c>
      <c r="BU23" s="13">
        <f t="shared" si="28"/>
        <v>20</v>
      </c>
      <c r="BV23" s="42">
        <f t="shared" si="16"/>
        <v>5.5833646253055487E-2</v>
      </c>
      <c r="BW23" s="32">
        <f t="shared" si="17"/>
        <v>5.5833646253055487E-2</v>
      </c>
      <c r="BX23" s="34">
        <f t="shared" si="18"/>
        <v>5.5833646253055487E-2</v>
      </c>
      <c r="BY23" s="36">
        <f t="shared" si="19"/>
        <v>5.5833646253055487E-2</v>
      </c>
      <c r="CA23" s="18">
        <v>10</v>
      </c>
      <c r="CB23" s="41">
        <f>BY13</f>
        <v>5.5833646253055487E-2</v>
      </c>
      <c r="CC23" s="36">
        <f t="shared" ref="CC23:CC27" si="32">BL23</f>
        <v>4.8895149728212996E-2</v>
      </c>
      <c r="CM23" s="13">
        <f t="shared" si="29"/>
        <v>20</v>
      </c>
      <c r="CN23" s="42">
        <f t="shared" si="20"/>
        <v>4.5352682811507838E-2</v>
      </c>
      <c r="CO23" s="32">
        <f t="shared" si="21"/>
        <v>4.5777578876957437E-2</v>
      </c>
      <c r="CP23" s="34">
        <f t="shared" si="22"/>
        <v>4.678750991029898E-2</v>
      </c>
      <c r="CQ23" s="36">
        <f t="shared" si="23"/>
        <v>4.8342783012812501E-2</v>
      </c>
      <c r="CS23" s="18">
        <v>10</v>
      </c>
      <c r="CT23" s="41">
        <f>CQ13</f>
        <v>4.49429310021629E-2</v>
      </c>
      <c r="CU23" s="36">
        <f t="shared" ref="CU23:CU26" si="33">CC23</f>
        <v>4.8895149728212996E-2</v>
      </c>
    </row>
    <row r="24" spans="4:100" x14ac:dyDescent="0.25">
      <c r="D24" s="13">
        <f>D23+5</f>
        <v>25</v>
      </c>
      <c r="E24" s="42">
        <f t="shared" si="0"/>
        <v>4.063033540369311E-2</v>
      </c>
      <c r="F24" s="32">
        <f t="shared" si="1"/>
        <v>4.0660541085374521E-2</v>
      </c>
      <c r="G24" s="34">
        <f t="shared" si="2"/>
        <v>4.0731799722645824E-2</v>
      </c>
      <c r="H24" s="36">
        <f t="shared" si="3"/>
        <v>4.0843074672333168E-2</v>
      </c>
      <c r="J24" s="18">
        <v>30</v>
      </c>
      <c r="K24" s="41">
        <f>H25</f>
        <v>4.1006224411699099E-2</v>
      </c>
      <c r="L24" s="46">
        <f>summary!J8</f>
        <v>5.1779269484048984E-2</v>
      </c>
      <c r="V24" s="13">
        <f>V23+5</f>
        <v>25</v>
      </c>
      <c r="W24" s="42">
        <f t="shared" si="4"/>
        <v>5.5833646252906599E-2</v>
      </c>
      <c r="X24" s="32">
        <f t="shared" si="5"/>
        <v>5.5833646253012528E-2</v>
      </c>
      <c r="Y24" s="34">
        <f t="shared" si="6"/>
        <v>5.5833646253053218E-2</v>
      </c>
      <c r="Z24" s="36">
        <f t="shared" si="7"/>
        <v>5.5833646253055466E-2</v>
      </c>
      <c r="AB24" s="18">
        <v>30</v>
      </c>
      <c r="AC24" s="41">
        <f>Z25</f>
        <v>5.5833646253055487E-2</v>
      </c>
      <c r="AD24" s="46">
        <f t="shared" ref="AD23:AD26" si="34">L24</f>
        <v>5.1779269484048984E-2</v>
      </c>
      <c r="AM24" s="13">
        <f>AM23+5</f>
        <v>25</v>
      </c>
      <c r="AN24" s="42">
        <f t="shared" si="8"/>
        <v>4.0025708125000052E-2</v>
      </c>
      <c r="AO24" s="32">
        <f t="shared" si="9"/>
        <v>4.0026965602412812E-2</v>
      </c>
      <c r="AP24" s="34">
        <f t="shared" si="10"/>
        <v>4.0029941682639028E-2</v>
      </c>
      <c r="AQ24" s="36">
        <f t="shared" si="11"/>
        <v>4.0034616094255335E-2</v>
      </c>
      <c r="AS24" s="18">
        <v>30</v>
      </c>
      <c r="AT24" s="41">
        <f>AQ25</f>
        <v>4.0041530226330765E-2</v>
      </c>
      <c r="AU24" s="48">
        <f t="shared" si="30"/>
        <v>5.1779269484048984E-2</v>
      </c>
      <c r="BD24" s="13">
        <f>BD23+5</f>
        <v>25</v>
      </c>
      <c r="BE24" s="42">
        <f t="shared" si="12"/>
        <v>4.0026108816744781E-2</v>
      </c>
      <c r="BF24" s="32">
        <f t="shared" si="13"/>
        <v>4.0028725344178659E-2</v>
      </c>
      <c r="BG24" s="34">
        <f t="shared" si="14"/>
        <v>4.0035414999984073E-2</v>
      </c>
      <c r="BH24" s="36">
        <f t="shared" si="15"/>
        <v>4.0034616094255335E-2</v>
      </c>
      <c r="BJ24" s="18">
        <v>30</v>
      </c>
      <c r="BK24" s="41">
        <f>BH25</f>
        <v>4.0041530226330765E-2</v>
      </c>
      <c r="BL24" s="36">
        <f t="shared" si="31"/>
        <v>5.1779269484048984E-2</v>
      </c>
      <c r="BU24" s="13">
        <f>BU23+5</f>
        <v>25</v>
      </c>
      <c r="BV24" s="42">
        <f t="shared" si="16"/>
        <v>5.5833646253055487E-2</v>
      </c>
      <c r="BW24" s="32">
        <f t="shared" si="17"/>
        <v>5.5833646253055487E-2</v>
      </c>
      <c r="BX24" s="34">
        <f t="shared" si="18"/>
        <v>5.5833646253055487E-2</v>
      </c>
      <c r="BY24" s="36">
        <f t="shared" si="19"/>
        <v>5.5833646253055487E-2</v>
      </c>
      <c r="CA24" s="18">
        <v>30</v>
      </c>
      <c r="CB24" s="41">
        <f>BY25</f>
        <v>5.5833646253055487E-2</v>
      </c>
      <c r="CC24" s="36">
        <f t="shared" si="32"/>
        <v>5.1779269484048984E-2</v>
      </c>
      <c r="CM24" s="13">
        <f>CM23+5</f>
        <v>25</v>
      </c>
      <c r="CN24" s="42">
        <f t="shared" si="20"/>
        <v>4.63798492387692E-2</v>
      </c>
      <c r="CO24" s="32">
        <f t="shared" si="21"/>
        <v>4.6856465211739355E-2</v>
      </c>
      <c r="CP24" s="34">
        <f t="shared" si="22"/>
        <v>4.7968918802161503E-2</v>
      </c>
      <c r="CQ24" s="36">
        <f t="shared" si="23"/>
        <v>4.9621100489956591E-2</v>
      </c>
      <c r="CS24" s="18">
        <v>30</v>
      </c>
      <c r="CT24" s="41">
        <f>CQ25</f>
        <v>5.0681272805459865E-2</v>
      </c>
      <c r="CU24" s="36">
        <f t="shared" si="33"/>
        <v>5.1779269484048984E-2</v>
      </c>
    </row>
    <row r="25" spans="4:100" x14ac:dyDescent="0.25">
      <c r="D25" s="13">
        <f t="shared" ref="D25:D31" si="35">D24+5</f>
        <v>30</v>
      </c>
      <c r="E25" s="56">
        <f t="shared" si="0"/>
        <v>4.07533587030839E-2</v>
      </c>
      <c r="F25" s="38">
        <f t="shared" si="1"/>
        <v>4.0789305069389679E-2</v>
      </c>
      <c r="G25" s="39">
        <f t="shared" si="2"/>
        <v>4.0874049896835074E-2</v>
      </c>
      <c r="H25" s="40">
        <f t="shared" si="3"/>
        <v>4.1006224411699099E-2</v>
      </c>
      <c r="J25" s="18">
        <v>60</v>
      </c>
      <c r="K25" s="41">
        <f>H31</f>
        <v>4.1948503504012032E-2</v>
      </c>
      <c r="L25" s="46">
        <f>summary!J9</f>
        <v>4.8961843624642065E-2</v>
      </c>
      <c r="V25" s="13">
        <f t="shared" ref="V25:V31" si="36">V24+5</f>
        <v>30</v>
      </c>
      <c r="W25" s="42">
        <f t="shared" si="4"/>
        <v>5.5833646253054557E-2</v>
      </c>
      <c r="X25" s="32">
        <f t="shared" si="5"/>
        <v>5.5833646253055279E-2</v>
      </c>
      <c r="Y25" s="34">
        <f t="shared" si="6"/>
        <v>5.583364625305548E-2</v>
      </c>
      <c r="Z25" s="36">
        <f t="shared" si="7"/>
        <v>5.5833646253055487E-2</v>
      </c>
      <c r="AB25" s="18">
        <v>60</v>
      </c>
      <c r="AC25" s="41">
        <f>Z31</f>
        <v>5.5833646253055487E-2</v>
      </c>
      <c r="AD25" s="46">
        <f t="shared" si="34"/>
        <v>4.8961843624642065E-2</v>
      </c>
      <c r="AM25" s="13">
        <f t="shared" ref="AM25:AM31" si="37">AM24+5</f>
        <v>30</v>
      </c>
      <c r="AN25" s="42">
        <f t="shared" si="8"/>
        <v>4.0030844738944166E-2</v>
      </c>
      <c r="AO25" s="32">
        <f t="shared" si="9"/>
        <v>4.0032353209515675E-2</v>
      </c>
      <c r="AP25" s="34">
        <f t="shared" si="10"/>
        <v>4.0035923221312608E-2</v>
      </c>
      <c r="AQ25" s="36">
        <f t="shared" si="11"/>
        <v>4.0041530226330765E-2</v>
      </c>
      <c r="AS25" s="18">
        <v>60</v>
      </c>
      <c r="AT25" s="41">
        <f>AQ31</f>
        <v>4.0082951522622833E-2</v>
      </c>
      <c r="AU25" s="48">
        <f t="shared" si="30"/>
        <v>4.8961843624642065E-2</v>
      </c>
      <c r="BD25" s="13">
        <f t="shared" ref="BD25:BD31" si="38">BD24+5</f>
        <v>30</v>
      </c>
      <c r="BE25" s="42">
        <f t="shared" si="12"/>
        <v>4.0031325411579041E-2</v>
      </c>
      <c r="BF25" s="32">
        <f t="shared" si="13"/>
        <v>4.0034464156376556E-2</v>
      </c>
      <c r="BG25" s="34">
        <f t="shared" si="14"/>
        <v>4.0042488488809244E-2</v>
      </c>
      <c r="BH25" s="36">
        <f t="shared" si="15"/>
        <v>4.0041530226330765E-2</v>
      </c>
      <c r="BJ25" s="18">
        <v>60</v>
      </c>
      <c r="BK25" s="41">
        <f>BH31</f>
        <v>4.0082951522622833E-2</v>
      </c>
      <c r="BL25" s="36">
        <f t="shared" si="31"/>
        <v>4.8961843624642065E-2</v>
      </c>
      <c r="BU25" s="13">
        <f t="shared" ref="BU25:BU31" si="39">BU24+5</f>
        <v>30</v>
      </c>
      <c r="BV25" s="42">
        <f t="shared" si="16"/>
        <v>5.5833646253055487E-2</v>
      </c>
      <c r="BW25" s="32">
        <f t="shared" si="17"/>
        <v>5.5833646253055487E-2</v>
      </c>
      <c r="BX25" s="34">
        <f t="shared" si="18"/>
        <v>5.5833646253055487E-2</v>
      </c>
      <c r="BY25" s="36">
        <f t="shared" si="19"/>
        <v>5.5833646253055487E-2</v>
      </c>
      <c r="CA25" s="18">
        <v>60</v>
      </c>
      <c r="CB25" s="41">
        <f>BY31</f>
        <v>5.5833646253055487E-2</v>
      </c>
      <c r="CC25" s="36">
        <f t="shared" si="32"/>
        <v>4.8961843624642065E-2</v>
      </c>
      <c r="CM25" s="13">
        <f t="shared" ref="CM25:CM31" si="40">CM24+5</f>
        <v>30</v>
      </c>
      <c r="CN25" s="42">
        <f t="shared" si="20"/>
        <v>4.7306350219082194E-2</v>
      </c>
      <c r="CO25" s="32">
        <f t="shared" si="21"/>
        <v>4.7819600957364941E-2</v>
      </c>
      <c r="CP25" s="34">
        <f t="shared" si="22"/>
        <v>4.8996037849510524E-2</v>
      </c>
      <c r="CQ25" s="36">
        <f t="shared" si="23"/>
        <v>5.0681272805459865E-2</v>
      </c>
      <c r="CS25" s="18">
        <v>60</v>
      </c>
      <c r="CT25" s="41">
        <f>CQ31</f>
        <v>5.4157029779552709E-2</v>
      </c>
      <c r="CU25" s="36">
        <f t="shared" si="33"/>
        <v>4.8961843624642065E-2</v>
      </c>
    </row>
    <row r="26" spans="4:100" x14ac:dyDescent="0.25">
      <c r="D26" s="13">
        <f t="shared" si="35"/>
        <v>35</v>
      </c>
      <c r="E26" s="42">
        <f t="shared" si="0"/>
        <v>4.0875386513245876E-2</v>
      </c>
      <c r="F26" s="32">
        <f t="shared" si="1"/>
        <v>4.0916976319689741E-2</v>
      </c>
      <c r="G26" s="34">
        <f t="shared" si="2"/>
        <v>4.1014960161231427E-2</v>
      </c>
      <c r="H26" s="36">
        <f t="shared" si="3"/>
        <v>4.1167598512470337E-2</v>
      </c>
      <c r="J26" s="18">
        <v>120</v>
      </c>
      <c r="K26" s="41">
        <f>H41</f>
        <v>4.3657222321384713E-2</v>
      </c>
      <c r="L26" s="46">
        <f>summary!J10</f>
        <v>4.8965324622054551E-2</v>
      </c>
      <c r="V26" s="13">
        <f t="shared" si="36"/>
        <v>35</v>
      </c>
      <c r="W26" s="42">
        <f t="shared" si="4"/>
        <v>5.583364625305548E-2</v>
      </c>
      <c r="X26" s="32">
        <f t="shared" si="5"/>
        <v>5.5833646253055487E-2</v>
      </c>
      <c r="Y26" s="34">
        <f t="shared" si="6"/>
        <v>5.5833646253055487E-2</v>
      </c>
      <c r="Z26" s="36">
        <f t="shared" si="7"/>
        <v>5.5833646253055487E-2</v>
      </c>
      <c r="AB26" s="18">
        <v>120</v>
      </c>
      <c r="AC26" s="41">
        <f>Z41</f>
        <v>5.5833646253055487E-2</v>
      </c>
      <c r="AD26" s="46">
        <f t="shared" si="34"/>
        <v>4.8965324622054551E-2</v>
      </c>
      <c r="AM26" s="13">
        <f t="shared" si="37"/>
        <v>35</v>
      </c>
      <c r="AN26" s="42">
        <f t="shared" si="8"/>
        <v>4.0035979683802618E-2</v>
      </c>
      <c r="AO26" s="32">
        <f t="shared" si="9"/>
        <v>4.0037738980286744E-2</v>
      </c>
      <c r="AP26" s="34">
        <f t="shared" si="10"/>
        <v>4.0041902496035689E-2</v>
      </c>
      <c r="AQ26" s="36">
        <f t="shared" si="11"/>
        <v>4.0048441332573473E-2</v>
      </c>
      <c r="AS26" s="18">
        <v>120</v>
      </c>
      <c r="AT26" s="41">
        <f>AQ41</f>
        <v>4.0165468467196139E-2</v>
      </c>
      <c r="AU26" s="48">
        <f t="shared" si="30"/>
        <v>4.8965324622054551E-2</v>
      </c>
      <c r="BD26" s="13">
        <f t="shared" si="38"/>
        <v>35</v>
      </c>
      <c r="BE26" s="42">
        <f t="shared" si="12"/>
        <v>4.0036540284901542E-2</v>
      </c>
      <c r="BF26" s="32">
        <f t="shared" si="13"/>
        <v>4.0040200884795263E-2</v>
      </c>
      <c r="BG26" s="34">
        <f t="shared" si="14"/>
        <v>4.0049558810555552E-2</v>
      </c>
      <c r="BH26" s="36">
        <f t="shared" si="15"/>
        <v>4.0048441332573473E-2</v>
      </c>
      <c r="BJ26" s="18">
        <v>120</v>
      </c>
      <c r="BK26" s="41">
        <f>BH41</f>
        <v>4.0165468467196139E-2</v>
      </c>
      <c r="BL26" s="36">
        <f t="shared" si="31"/>
        <v>4.8965324622054551E-2</v>
      </c>
      <c r="BU26" s="13">
        <f t="shared" si="39"/>
        <v>35</v>
      </c>
      <c r="BV26" s="42">
        <f t="shared" si="16"/>
        <v>5.5833646253055487E-2</v>
      </c>
      <c r="BW26" s="32">
        <f t="shared" si="17"/>
        <v>5.5833646253055487E-2</v>
      </c>
      <c r="BX26" s="34">
        <f t="shared" si="18"/>
        <v>5.5833646253055487E-2</v>
      </c>
      <c r="BY26" s="36">
        <f t="shared" si="19"/>
        <v>5.5833646253055487E-2</v>
      </c>
      <c r="CA26" s="18">
        <v>120</v>
      </c>
      <c r="CB26" s="41">
        <f>BY41</f>
        <v>5.5833646253055487E-2</v>
      </c>
      <c r="CC26" s="36">
        <f t="shared" si="32"/>
        <v>4.8965324622054551E-2</v>
      </c>
      <c r="CM26" s="13">
        <f t="shared" si="40"/>
        <v>35</v>
      </c>
      <c r="CN26" s="42">
        <f t="shared" si="20"/>
        <v>4.8142051273690867E-2</v>
      </c>
      <c r="CO26" s="32">
        <f t="shared" si="21"/>
        <v>4.8679404659197213E-2</v>
      </c>
      <c r="CP26" s="34">
        <f t="shared" si="22"/>
        <v>4.9889017024370104E-2</v>
      </c>
      <c r="CQ26" s="36">
        <f t="shared" si="23"/>
        <v>5.1560526479649357E-2</v>
      </c>
      <c r="CS26" s="18">
        <v>120</v>
      </c>
      <c r="CT26" s="41">
        <f>CQ41</f>
        <v>5.5656110216548517E-2</v>
      </c>
      <c r="CU26" s="36">
        <f t="shared" si="33"/>
        <v>4.8965324622054551E-2</v>
      </c>
    </row>
    <row r="27" spans="4:100" x14ac:dyDescent="0.25">
      <c r="D27" s="13">
        <f t="shared" si="35"/>
        <v>40</v>
      </c>
      <c r="E27" s="42">
        <f t="shared" si="0"/>
        <v>4.0996426889553975E-2</v>
      </c>
      <c r="F27" s="32">
        <f t="shared" si="1"/>
        <v>4.1043564109574077E-2</v>
      </c>
      <c r="G27" s="34">
        <f t="shared" si="2"/>
        <v>4.1154543136967078E-2</v>
      </c>
      <c r="H27" s="36">
        <f t="shared" si="3"/>
        <v>4.1327216299792191E-2</v>
      </c>
      <c r="J27" s="57"/>
      <c r="K27" s="58"/>
      <c r="L27" s="59"/>
      <c r="V27" s="13">
        <f t="shared" si="36"/>
        <v>40</v>
      </c>
      <c r="W27" s="42">
        <f t="shared" si="4"/>
        <v>5.5833646253055487E-2</v>
      </c>
      <c r="X27" s="32">
        <f t="shared" si="5"/>
        <v>5.5833646253055487E-2</v>
      </c>
      <c r="Y27" s="34">
        <f t="shared" si="6"/>
        <v>5.5833646253055487E-2</v>
      </c>
      <c r="Z27" s="36">
        <f t="shared" si="7"/>
        <v>5.5833646253055487E-2</v>
      </c>
      <c r="AB27" s="57"/>
      <c r="AC27" s="58"/>
      <c r="AD27" s="59"/>
      <c r="AM27" s="13">
        <f t="shared" si="37"/>
        <v>40</v>
      </c>
      <c r="AN27" s="42">
        <f t="shared" si="8"/>
        <v>4.0041112960117767E-2</v>
      </c>
      <c r="AO27" s="32">
        <f t="shared" si="9"/>
        <v>4.004312291535192E-2</v>
      </c>
      <c r="AP27" s="34">
        <f t="shared" si="10"/>
        <v>4.0047879507665141E-2</v>
      </c>
      <c r="AQ27" s="36">
        <f t="shared" si="11"/>
        <v>4.0055349414307662E-2</v>
      </c>
      <c r="AS27" s="57"/>
      <c r="AT27" s="58"/>
      <c r="AU27" s="60"/>
      <c r="BD27" s="13">
        <f t="shared" si="38"/>
        <v>40</v>
      </c>
      <c r="BE27" s="42">
        <f t="shared" si="12"/>
        <v>4.0041753437280378E-2</v>
      </c>
      <c r="BF27" s="32">
        <f t="shared" si="13"/>
        <v>4.0045935530191382E-2</v>
      </c>
      <c r="BG27" s="34">
        <f t="shared" si="14"/>
        <v>4.0056625966641043E-2</v>
      </c>
      <c r="BH27" s="36">
        <f t="shared" si="15"/>
        <v>4.0055349414307662E-2</v>
      </c>
      <c r="BJ27" s="57"/>
      <c r="BK27" s="58"/>
      <c r="BL27" s="58"/>
      <c r="BU27" s="13">
        <f t="shared" si="39"/>
        <v>40</v>
      </c>
      <c r="BV27" s="42">
        <f t="shared" si="16"/>
        <v>5.5833646253055487E-2</v>
      </c>
      <c r="BW27" s="32">
        <f t="shared" si="17"/>
        <v>5.5833646253055487E-2</v>
      </c>
      <c r="BX27" s="34">
        <f t="shared" si="18"/>
        <v>5.5833646253055487E-2</v>
      </c>
      <c r="BY27" s="36">
        <f t="shared" si="19"/>
        <v>5.5833646253055487E-2</v>
      </c>
      <c r="CA27" s="57"/>
      <c r="CB27" s="58"/>
      <c r="CC27" s="58"/>
      <c r="CM27" s="13">
        <f t="shared" si="40"/>
        <v>40</v>
      </c>
      <c r="CN27" s="42">
        <f t="shared" si="20"/>
        <v>4.8895851072626978E-2</v>
      </c>
      <c r="CO27" s="32">
        <f t="shared" si="21"/>
        <v>4.9446962512845673E-2</v>
      </c>
      <c r="CP27" s="34">
        <f t="shared" si="22"/>
        <v>5.0665374749203462E-2</v>
      </c>
      <c r="CQ27" s="36">
        <f t="shared" si="23"/>
        <v>5.2289735318882931E-2</v>
      </c>
      <c r="CS27" s="57"/>
      <c r="CT27" s="58"/>
      <c r="CU27" s="58"/>
    </row>
    <row r="28" spans="4:100" x14ac:dyDescent="0.25">
      <c r="D28" s="13">
        <f t="shared" si="35"/>
        <v>45</v>
      </c>
      <c r="E28" s="42">
        <f t="shared" si="0"/>
        <v>4.1116487822200065E-2</v>
      </c>
      <c r="F28" s="32">
        <f t="shared" si="1"/>
        <v>4.116907763364578E-2</v>
      </c>
      <c r="G28" s="34">
        <f t="shared" si="2"/>
        <v>4.1292811326290868E-2</v>
      </c>
      <c r="H28" s="36">
        <f t="shared" si="3"/>
        <v>4.1485096888484924E-2</v>
      </c>
      <c r="V28" s="13">
        <f t="shared" si="36"/>
        <v>45</v>
      </c>
      <c r="W28" s="42">
        <f t="shared" si="4"/>
        <v>5.5833646253055487E-2</v>
      </c>
      <c r="X28" s="32">
        <f t="shared" si="5"/>
        <v>5.5833646253055487E-2</v>
      </c>
      <c r="Y28" s="34">
        <f t="shared" si="6"/>
        <v>5.5833646253055487E-2</v>
      </c>
      <c r="Z28" s="36">
        <f t="shared" si="7"/>
        <v>5.5833646253055487E-2</v>
      </c>
      <c r="AM28" s="13">
        <f t="shared" si="37"/>
        <v>45</v>
      </c>
      <c r="AN28" s="42">
        <f t="shared" si="8"/>
        <v>4.0046244568431782E-2</v>
      </c>
      <c r="AO28" s="32">
        <f t="shared" si="9"/>
        <v>4.0048505015336883E-2</v>
      </c>
      <c r="AP28" s="34">
        <f t="shared" si="10"/>
        <v>4.0053854257057542E-2</v>
      </c>
      <c r="AQ28" s="36">
        <f t="shared" si="11"/>
        <v>4.006225447285694E-2</v>
      </c>
      <c r="BD28" s="13">
        <f t="shared" si="38"/>
        <v>45</v>
      </c>
      <c r="BE28" s="42">
        <f t="shared" si="12"/>
        <v>4.0046964869283497E-2</v>
      </c>
      <c r="BF28" s="32">
        <f t="shared" si="13"/>
        <v>4.0051668093321294E-2</v>
      </c>
      <c r="BG28" s="34">
        <f t="shared" si="14"/>
        <v>4.0063689958483084E-2</v>
      </c>
      <c r="BH28" s="36">
        <f t="shared" si="15"/>
        <v>4.006225447285694E-2</v>
      </c>
      <c r="BU28" s="13">
        <f t="shared" si="39"/>
        <v>45</v>
      </c>
      <c r="BV28" s="42">
        <f t="shared" si="16"/>
        <v>5.5833646253055487E-2</v>
      </c>
      <c r="BW28" s="32">
        <f t="shared" si="17"/>
        <v>5.5833646253055487E-2</v>
      </c>
      <c r="BX28" s="34">
        <f t="shared" si="18"/>
        <v>5.5833646253055487E-2</v>
      </c>
      <c r="BY28" s="36">
        <f t="shared" si="19"/>
        <v>5.5833646253055487E-2</v>
      </c>
      <c r="CM28" s="13">
        <f t="shared" si="40"/>
        <v>45</v>
      </c>
      <c r="CN28" s="42">
        <f t="shared" si="20"/>
        <v>4.9575776189081683E-2</v>
      </c>
      <c r="CO28" s="32">
        <f t="shared" si="21"/>
        <v>5.013217130811131E-2</v>
      </c>
      <c r="CP28" s="34">
        <f t="shared" si="22"/>
        <v>5.1340341572481511E-2</v>
      </c>
      <c r="CQ28" s="36">
        <f t="shared" si="23"/>
        <v>5.2894504507600339E-2</v>
      </c>
    </row>
    <row r="29" spans="4:100" x14ac:dyDescent="0.25">
      <c r="D29" s="13">
        <f t="shared" si="35"/>
        <v>50</v>
      </c>
      <c r="E29" s="42">
        <f t="shared" si="0"/>
        <v>4.1235577236720375E-2</v>
      </c>
      <c r="F29" s="32">
        <f t="shared" si="1"/>
        <v>4.1293526008479492E-2</v>
      </c>
      <c r="G29" s="34">
        <f t="shared" si="2"/>
        <v>4.1429777113688074E-2</v>
      </c>
      <c r="H29" s="36">
        <f t="shared" si="3"/>
        <v>4.1641259185332853E-2</v>
      </c>
      <c r="J29" t="s">
        <v>26</v>
      </c>
      <c r="V29" s="13">
        <f t="shared" si="36"/>
        <v>50</v>
      </c>
      <c r="W29" s="42">
        <f t="shared" si="4"/>
        <v>5.5833646253055487E-2</v>
      </c>
      <c r="X29" s="32">
        <f t="shared" si="5"/>
        <v>5.5833646253055487E-2</v>
      </c>
      <c r="Y29" s="34">
        <f t="shared" si="6"/>
        <v>5.5833646253055487E-2</v>
      </c>
      <c r="Z29" s="36">
        <f t="shared" si="7"/>
        <v>5.5833646253055487E-2</v>
      </c>
      <c r="AB29" t="s">
        <v>15</v>
      </c>
      <c r="AM29" s="13">
        <f t="shared" si="37"/>
        <v>50</v>
      </c>
      <c r="AN29" s="42">
        <f t="shared" si="8"/>
        <v>4.0051374509286655E-2</v>
      </c>
      <c r="AO29" s="32">
        <f t="shared" si="9"/>
        <v>4.0053885280867119E-2</v>
      </c>
      <c r="AP29" s="34">
        <f t="shared" si="10"/>
        <v>4.0059826745069103E-2</v>
      </c>
      <c r="AQ29" s="36">
        <f t="shared" si="11"/>
        <v>4.006915650954436E-2</v>
      </c>
      <c r="AS29" t="s">
        <v>15</v>
      </c>
      <c r="BD29" s="13">
        <f t="shared" si="38"/>
        <v>50</v>
      </c>
      <c r="BE29" s="42">
        <f t="shared" si="12"/>
        <v>4.0052174581478611E-2</v>
      </c>
      <c r="BF29" s="32">
        <f t="shared" si="13"/>
        <v>4.0057398574941047E-2</v>
      </c>
      <c r="BG29" s="34">
        <f t="shared" si="14"/>
        <v>4.0070750787498451E-2</v>
      </c>
      <c r="BH29" s="36">
        <f t="shared" si="15"/>
        <v>4.006915650954436E-2</v>
      </c>
      <c r="BJ29" t="s">
        <v>15</v>
      </c>
      <c r="BU29" s="13">
        <f t="shared" si="39"/>
        <v>50</v>
      </c>
      <c r="BV29" s="42">
        <f t="shared" si="16"/>
        <v>5.5833646253055487E-2</v>
      </c>
      <c r="BW29" s="32">
        <f t="shared" si="17"/>
        <v>5.5833646253055487E-2</v>
      </c>
      <c r="BX29" s="34">
        <f t="shared" si="18"/>
        <v>5.5833646253055487E-2</v>
      </c>
      <c r="BY29" s="36">
        <f t="shared" si="19"/>
        <v>5.5833646253055487E-2</v>
      </c>
      <c r="CA29" t="s">
        <v>15</v>
      </c>
      <c r="CM29" s="13">
        <f t="shared" si="40"/>
        <v>50</v>
      </c>
      <c r="CN29" s="42">
        <f t="shared" si="20"/>
        <v>5.0189066567559393E-2</v>
      </c>
      <c r="CO29" s="32">
        <f t="shared" si="21"/>
        <v>5.0743866036889927E-2</v>
      </c>
      <c r="CP29" s="34">
        <f t="shared" si="22"/>
        <v>5.1927158960849554E-2</v>
      </c>
      <c r="CQ29" s="36">
        <f t="shared" si="23"/>
        <v>5.339606969982473E-2</v>
      </c>
      <c r="CS29" t="s">
        <v>15</v>
      </c>
    </row>
    <row r="30" spans="4:100" x14ac:dyDescent="0.25">
      <c r="D30" s="13">
        <f t="shared" si="35"/>
        <v>55</v>
      </c>
      <c r="E30" s="42">
        <f t="shared" si="0"/>
        <v>4.1353702994518682E-2</v>
      </c>
      <c r="F30" s="32">
        <f t="shared" si="1"/>
        <v>4.1416918273283601E-2</v>
      </c>
      <c r="G30" s="34">
        <f t="shared" si="2"/>
        <v>4.1565452766989697E-2</v>
      </c>
      <c r="H30" s="36">
        <f t="shared" si="3"/>
        <v>4.1795721891348482E-2</v>
      </c>
      <c r="J30" s="21" t="s">
        <v>9</v>
      </c>
      <c r="K30" s="21" t="s">
        <v>13</v>
      </c>
      <c r="L30" s="22" t="s">
        <v>14</v>
      </c>
      <c r="M30" s="22" t="s">
        <v>18</v>
      </c>
      <c r="V30" s="13">
        <f t="shared" si="36"/>
        <v>55</v>
      </c>
      <c r="W30" s="42">
        <f t="shared" si="4"/>
        <v>5.5833646253055487E-2</v>
      </c>
      <c r="X30" s="32">
        <f t="shared" si="5"/>
        <v>5.5833646253055487E-2</v>
      </c>
      <c r="Y30" s="34">
        <f t="shared" si="6"/>
        <v>5.5833646253055487E-2</v>
      </c>
      <c r="Z30" s="36">
        <f t="shared" si="7"/>
        <v>5.5833646253055487E-2</v>
      </c>
      <c r="AB30" s="21" t="s">
        <v>9</v>
      </c>
      <c r="AC30" s="21" t="s">
        <v>13</v>
      </c>
      <c r="AD30" s="22" t="s">
        <v>14</v>
      </c>
      <c r="AE30" s="22" t="s">
        <v>18</v>
      </c>
      <c r="AM30" s="13">
        <f t="shared" si="37"/>
        <v>55</v>
      </c>
      <c r="AN30" s="42">
        <f t="shared" si="8"/>
        <v>4.0056502783224229E-2</v>
      </c>
      <c r="AO30" s="32">
        <f t="shared" si="9"/>
        <v>4.0059263712567884E-2</v>
      </c>
      <c r="AP30" s="34">
        <f t="shared" si="10"/>
        <v>4.0065796972555745E-2</v>
      </c>
      <c r="AQ30" s="36">
        <f t="shared" si="11"/>
        <v>4.0076055525692364E-2</v>
      </c>
      <c r="AS30" s="21" t="s">
        <v>9</v>
      </c>
      <c r="AT30" s="21" t="s">
        <v>13</v>
      </c>
      <c r="AU30" s="22" t="s">
        <v>14</v>
      </c>
      <c r="AV30" s="22" t="s">
        <v>18</v>
      </c>
      <c r="BD30" s="13">
        <f t="shared" si="38"/>
        <v>55</v>
      </c>
      <c r="BE30" s="42">
        <f t="shared" si="12"/>
        <v>4.0057382574433281E-2</v>
      </c>
      <c r="BF30" s="32">
        <f t="shared" si="13"/>
        <v>4.0063126975806468E-2</v>
      </c>
      <c r="BG30" s="34">
        <f t="shared" si="14"/>
        <v>4.0077808455103253E-2</v>
      </c>
      <c r="BH30" s="36">
        <f t="shared" si="15"/>
        <v>4.0076055525692364E-2</v>
      </c>
      <c r="BJ30" s="21" t="s">
        <v>9</v>
      </c>
      <c r="BK30" s="21" t="s">
        <v>13</v>
      </c>
      <c r="BL30" s="22" t="s">
        <v>14</v>
      </c>
      <c r="BM30" s="22" t="s">
        <v>18</v>
      </c>
      <c r="BU30" s="13">
        <f t="shared" si="39"/>
        <v>55</v>
      </c>
      <c r="BV30" s="42">
        <f t="shared" si="16"/>
        <v>5.5833646253055487E-2</v>
      </c>
      <c r="BW30" s="32">
        <f t="shared" si="17"/>
        <v>5.5833646253055487E-2</v>
      </c>
      <c r="BX30" s="34">
        <f t="shared" si="18"/>
        <v>5.5833646253055487E-2</v>
      </c>
      <c r="BY30" s="36">
        <f t="shared" si="19"/>
        <v>5.5833646253055487E-2</v>
      </c>
      <c r="CA30" s="21" t="s">
        <v>9</v>
      </c>
      <c r="CB30" s="21" t="s">
        <v>13</v>
      </c>
      <c r="CC30" s="22" t="s">
        <v>14</v>
      </c>
      <c r="CD30" s="22" t="s">
        <v>18</v>
      </c>
      <c r="CM30" s="13">
        <f t="shared" si="40"/>
        <v>55</v>
      </c>
      <c r="CN30" s="42">
        <f t="shared" si="20"/>
        <v>5.0742252615891506E-2</v>
      </c>
      <c r="CO30" s="32">
        <f t="shared" si="21"/>
        <v>5.1289933810393165E-2</v>
      </c>
      <c r="CP30" s="34">
        <f t="shared" si="22"/>
        <v>5.2437339069582443E-2</v>
      </c>
      <c r="CQ30" s="36">
        <f t="shared" si="23"/>
        <v>5.3812042680499578E-2</v>
      </c>
      <c r="CS30" s="21" t="s">
        <v>9</v>
      </c>
      <c r="CT30" s="21" t="s">
        <v>13</v>
      </c>
      <c r="CU30" s="22" t="s">
        <v>14</v>
      </c>
      <c r="CV30" s="22" t="s">
        <v>18</v>
      </c>
    </row>
    <row r="31" spans="4:100" x14ac:dyDescent="0.25">
      <c r="D31" s="13">
        <f t="shared" si="35"/>
        <v>60</v>
      </c>
      <c r="E31" s="56">
        <f t="shared" si="0"/>
        <v>4.147087289338524E-2</v>
      </c>
      <c r="F31" s="38">
        <f t="shared" si="1"/>
        <v>4.1539263390556788E-2</v>
      </c>
      <c r="G31" s="39">
        <f t="shared" si="2"/>
        <v>4.1699850438471242E-2</v>
      </c>
      <c r="H31" s="40">
        <f t="shared" si="3"/>
        <v>4.1948503504012032E-2</v>
      </c>
      <c r="J31" s="23">
        <v>0</v>
      </c>
      <c r="K31" s="43">
        <f>G3</f>
        <v>0.04</v>
      </c>
      <c r="L31" s="34">
        <f>summary!I6</f>
        <v>0.04</v>
      </c>
      <c r="M31" s="17" cm="1">
        <f t="array" ref="M31">SQRT(SUMSQ(K31:K36-L31:L36)/COUNTA(K31:K36-L31:L36))</f>
        <v>7.7002829565278033E-3</v>
      </c>
      <c r="V31" s="13">
        <f t="shared" si="36"/>
        <v>60</v>
      </c>
      <c r="W31" s="42">
        <f t="shared" si="4"/>
        <v>5.5833646253055487E-2</v>
      </c>
      <c r="X31" s="32">
        <f t="shared" si="5"/>
        <v>5.5833646253055487E-2</v>
      </c>
      <c r="Y31" s="34">
        <f t="shared" si="6"/>
        <v>5.5833646253055487E-2</v>
      </c>
      <c r="Z31" s="36">
        <f t="shared" si="7"/>
        <v>5.5833646253055487E-2</v>
      </c>
      <c r="AB31" s="23">
        <v>0</v>
      </c>
      <c r="AC31" s="43">
        <f>Y3</f>
        <v>0.04</v>
      </c>
      <c r="AD31" s="34">
        <f>L31</f>
        <v>0.04</v>
      </c>
      <c r="AE31" s="17" cm="1">
        <f t="array" ref="AE31">SQRT(SUMSQ(AC31:AC36-AD31:AD36)/COUNTA(AC31:AC36-AD31:AD36))</f>
        <v>5.4102876128768497E-3</v>
      </c>
      <c r="AM31" s="13">
        <f t="shared" si="37"/>
        <v>60</v>
      </c>
      <c r="AN31" s="42">
        <f t="shared" si="8"/>
        <v>4.0061629390786127E-2</v>
      </c>
      <c r="AO31" s="32">
        <f t="shared" si="9"/>
        <v>4.0064640311064229E-2</v>
      </c>
      <c r="AP31" s="34">
        <f t="shared" si="10"/>
        <v>4.0071764940373053E-2</v>
      </c>
      <c r="AQ31" s="36">
        <f t="shared" si="11"/>
        <v>4.0082951522622833E-2</v>
      </c>
      <c r="AS31" s="23">
        <v>0</v>
      </c>
      <c r="AT31" s="43">
        <f>AP3</f>
        <v>0.04</v>
      </c>
      <c r="AU31" s="34">
        <f>AD31</f>
        <v>0.04</v>
      </c>
      <c r="AV31" s="17" cm="1">
        <f t="array" ref="AV31">SQRT(SUMSQ(AT31:AT36-AU31:AU36)/COUNTA(AT31:AT36-AU31:AU36))</f>
        <v>8.9564322002514477E-3</v>
      </c>
      <c r="BD31" s="13">
        <f t="shared" si="38"/>
        <v>60</v>
      </c>
      <c r="BE31" s="42">
        <f t="shared" si="12"/>
        <v>4.0062588848714865E-2</v>
      </c>
      <c r="BF31" s="32">
        <f t="shared" si="13"/>
        <v>4.006885329667307E-2</v>
      </c>
      <c r="BG31" s="34">
        <f t="shared" si="14"/>
        <v>4.0084862962712978E-2</v>
      </c>
      <c r="BH31" s="36">
        <f t="shared" si="15"/>
        <v>4.0082951522622833E-2</v>
      </c>
      <c r="BJ31" s="23">
        <v>0</v>
      </c>
      <c r="BK31" s="43">
        <f>BG3</f>
        <v>0.04</v>
      </c>
      <c r="BL31" s="34">
        <f>AU31</f>
        <v>0.04</v>
      </c>
      <c r="BM31" s="17" cm="1">
        <f t="array" ref="BM31">SQRT(SUMSQ(BK31:BK36-BL31:BL36)/COUNTA(BK31:BK36-BL31:BL36))</f>
        <v>8.9458303399829811E-3</v>
      </c>
      <c r="BU31" s="13">
        <f t="shared" si="39"/>
        <v>60</v>
      </c>
      <c r="BV31" s="42">
        <f t="shared" si="16"/>
        <v>5.5833646253055487E-2</v>
      </c>
      <c r="BW31" s="32">
        <f t="shared" si="17"/>
        <v>5.5833646253055487E-2</v>
      </c>
      <c r="BX31" s="34">
        <f t="shared" si="18"/>
        <v>5.5833646253055487E-2</v>
      </c>
      <c r="BY31" s="36">
        <f t="shared" si="19"/>
        <v>5.5833646253055487E-2</v>
      </c>
      <c r="CA31" s="23">
        <v>0</v>
      </c>
      <c r="CB31" s="43">
        <f>BX3</f>
        <v>0.04</v>
      </c>
      <c r="CC31" s="34">
        <f>BL31</f>
        <v>0.04</v>
      </c>
      <c r="CD31" s="17" cm="1">
        <f t="array" ref="CD31">SQRT(SUMSQ(CB31:CB36-CC31:CC36)/COUNTA(CB31:CB36-CC31:CC36))</f>
        <v>5.4103238677184239E-3</v>
      </c>
      <c r="CM31" s="13">
        <f t="shared" si="40"/>
        <v>60</v>
      </c>
      <c r="CN31" s="42">
        <f t="shared" si="20"/>
        <v>5.1241224741997375E-2</v>
      </c>
      <c r="CO31" s="32">
        <f t="shared" si="21"/>
        <v>5.1777415554520964E-2</v>
      </c>
      <c r="CP31" s="34">
        <f t="shared" si="22"/>
        <v>5.2880890587492568E-2</v>
      </c>
      <c r="CQ31" s="36">
        <f t="shared" si="23"/>
        <v>5.4157029779552709E-2</v>
      </c>
      <c r="CS31" s="23">
        <v>0</v>
      </c>
      <c r="CT31" s="43">
        <f>CP3</f>
        <v>0.04</v>
      </c>
      <c r="CU31" s="34">
        <f>CC31</f>
        <v>0.04</v>
      </c>
      <c r="CV31" s="17" cm="1">
        <f t="array" ref="CV31">SQRT(SUMSQ(CT31:CT36-CU31:CU36)/COUNTA(CT31:CT36-CU31:CU36))</f>
        <v>2.1069712719205889E-3</v>
      </c>
    </row>
    <row r="32" spans="4:100" x14ac:dyDescent="0.25">
      <c r="D32" s="13">
        <f>D31+5</f>
        <v>65</v>
      </c>
      <c r="E32" s="42">
        <f t="shared" si="0"/>
        <v>4.1587094668011582E-2</v>
      </c>
      <c r="F32" s="32">
        <f t="shared" si="1"/>
        <v>4.1660570246738991E-2</v>
      </c>
      <c r="G32" s="34">
        <f t="shared" si="2"/>
        <v>4.1832982165941217E-2</v>
      </c>
      <c r="H32" s="36">
        <f t="shared" si="3"/>
        <v>4.2099622319486579E-2</v>
      </c>
      <c r="J32" s="21">
        <v>10</v>
      </c>
      <c r="K32" s="43">
        <f>G13</f>
        <v>4.0296881722933442E-2</v>
      </c>
      <c r="L32" s="34">
        <f>summary!I7</f>
        <v>4.5627026419976936E-2</v>
      </c>
      <c r="V32" s="13">
        <f>V31+5</f>
        <v>65</v>
      </c>
      <c r="W32" s="42">
        <f t="shared" si="4"/>
        <v>5.5833646253055487E-2</v>
      </c>
      <c r="X32" s="32">
        <f t="shared" si="5"/>
        <v>5.5833646253055487E-2</v>
      </c>
      <c r="Y32" s="34">
        <f t="shared" si="6"/>
        <v>5.5833646253055487E-2</v>
      </c>
      <c r="Z32" s="36">
        <f t="shared" si="7"/>
        <v>5.5833646253055487E-2</v>
      </c>
      <c r="AB32" s="21">
        <v>10</v>
      </c>
      <c r="AC32" s="43">
        <f>Y13</f>
        <v>5.5833530945016974E-2</v>
      </c>
      <c r="AD32" s="34">
        <f t="shared" ref="AD32:AD35" si="41">L32</f>
        <v>4.5627026419976936E-2</v>
      </c>
      <c r="AM32" s="13">
        <f>AM31+5</f>
        <v>65</v>
      </c>
      <c r="AN32" s="42">
        <f t="shared" si="8"/>
        <v>4.0066754332513839E-2</v>
      </c>
      <c r="AO32" s="32">
        <f t="shared" si="9"/>
        <v>4.0070015076980992E-2</v>
      </c>
      <c r="AP32" s="34">
        <f t="shared" si="10"/>
        <v>4.0077730649376295E-2</v>
      </c>
      <c r="AQ32" s="36">
        <f t="shared" si="11"/>
        <v>4.0089844501657076E-2</v>
      </c>
      <c r="AS32" s="21">
        <v>10</v>
      </c>
      <c r="AT32" s="43">
        <f>AP13</f>
        <v>4.0011983474341581E-2</v>
      </c>
      <c r="AU32" s="34">
        <f t="shared" ref="AU32:AU35" si="42">AD32</f>
        <v>4.5627026419976936E-2</v>
      </c>
      <c r="BD32" s="13">
        <f>BD31+5</f>
        <v>65</v>
      </c>
      <c r="BE32" s="42">
        <f t="shared" si="12"/>
        <v>4.0067793404890542E-2</v>
      </c>
      <c r="BF32" s="32">
        <f t="shared" si="13"/>
        <v>4.0074577538296109E-2</v>
      </c>
      <c r="BG32" s="34">
        <f t="shared" si="14"/>
        <v>4.0091914311742485E-2</v>
      </c>
      <c r="BH32" s="36">
        <f t="shared" si="15"/>
        <v>4.0089844501657076E-2</v>
      </c>
      <c r="BJ32" s="21">
        <v>10</v>
      </c>
      <c r="BK32" s="43">
        <f>BG13</f>
        <v>4.0014175516845635E-2</v>
      </c>
      <c r="BL32" s="34">
        <f t="shared" ref="BL32:BL35" si="43">AU32</f>
        <v>4.5627026419976936E-2</v>
      </c>
      <c r="BU32" s="13">
        <f>BU31+5</f>
        <v>65</v>
      </c>
      <c r="BV32" s="42">
        <f t="shared" si="16"/>
        <v>5.5833646253055487E-2</v>
      </c>
      <c r="BW32" s="32">
        <f t="shared" si="17"/>
        <v>5.5833646253055487E-2</v>
      </c>
      <c r="BX32" s="34">
        <f t="shared" si="18"/>
        <v>5.5833646253055487E-2</v>
      </c>
      <c r="BY32" s="36">
        <f t="shared" si="19"/>
        <v>5.5833646253055487E-2</v>
      </c>
      <c r="CA32" s="21">
        <v>10</v>
      </c>
      <c r="CB32" s="43">
        <f>BX13</f>
        <v>5.5833646253055487E-2</v>
      </c>
      <c r="CC32" s="34">
        <f t="shared" ref="CC32:CC36" si="44">BL32</f>
        <v>4.5627026419976936E-2</v>
      </c>
      <c r="CM32" s="13">
        <f>CM31+5</f>
        <v>65</v>
      </c>
      <c r="CN32" s="42">
        <f t="shared" si="20"/>
        <v>5.1691296075830333E-2</v>
      </c>
      <c r="CO32" s="32">
        <f t="shared" si="21"/>
        <v>5.2212596794632131E-2</v>
      </c>
      <c r="CP32" s="34">
        <f t="shared" si="22"/>
        <v>5.3266515086905157E-2</v>
      </c>
      <c r="CQ32" s="36">
        <f t="shared" si="23"/>
        <v>5.4443144753462812E-2</v>
      </c>
      <c r="CS32" s="21">
        <v>10</v>
      </c>
      <c r="CT32" s="43">
        <f>CP13</f>
        <v>4.386563376943417E-2</v>
      </c>
      <c r="CU32" s="34">
        <f t="shared" ref="CU32:CU35" si="45">CC32</f>
        <v>4.5627026419976936E-2</v>
      </c>
    </row>
    <row r="33" spans="4:100" x14ac:dyDescent="0.25">
      <c r="D33" s="13">
        <f t="shared" ref="D33:D39" si="46">D32+5</f>
        <v>70</v>
      </c>
      <c r="E33" s="42">
        <f t="shared" si="0"/>
        <v>4.170237599050107E-2</v>
      </c>
      <c r="F33" s="32">
        <f t="shared" si="1"/>
        <v>4.178084765285691E-2</v>
      </c>
      <c r="G33" s="34">
        <f t="shared" si="2"/>
        <v>4.1964859873819309E-2</v>
      </c>
      <c r="H33" s="36">
        <f t="shared" si="3"/>
        <v>4.2249096434809084E-2</v>
      </c>
      <c r="J33" s="21">
        <v>30</v>
      </c>
      <c r="K33" s="43">
        <f>G25</f>
        <v>4.0874049896835074E-2</v>
      </c>
      <c r="L33" s="34">
        <f>summary!I8</f>
        <v>4.860357919174027E-2</v>
      </c>
      <c r="V33" s="13">
        <f t="shared" ref="V33:V39" si="47">V32+5</f>
        <v>70</v>
      </c>
      <c r="W33" s="42">
        <f t="shared" si="4"/>
        <v>5.5833646253055487E-2</v>
      </c>
      <c r="X33" s="32">
        <f t="shared" si="5"/>
        <v>5.5833646253055487E-2</v>
      </c>
      <c r="Y33" s="34">
        <f t="shared" si="6"/>
        <v>5.5833646253055487E-2</v>
      </c>
      <c r="Z33" s="36">
        <f t="shared" si="7"/>
        <v>5.5833646253055487E-2</v>
      </c>
      <c r="AB33" s="21">
        <v>30</v>
      </c>
      <c r="AC33" s="43">
        <f>Y25</f>
        <v>5.583364625305548E-2</v>
      </c>
      <c r="AD33" s="34">
        <f t="shared" si="41"/>
        <v>4.860357919174027E-2</v>
      </c>
      <c r="AM33" s="13">
        <f t="shared" ref="AM33:AM39" si="48">AM32+5</f>
        <v>70</v>
      </c>
      <c r="AN33" s="42">
        <f t="shared" si="8"/>
        <v>4.0071877608948647E-2</v>
      </c>
      <c r="AO33" s="32">
        <f t="shared" si="9"/>
        <v>4.0075388010942792E-2</v>
      </c>
      <c r="AP33" s="34">
        <f t="shared" si="10"/>
        <v>4.008369410042039E-2</v>
      </c>
      <c r="AQ33" s="36">
        <f t="shared" si="11"/>
        <v>4.0096734464115803E-2</v>
      </c>
      <c r="AS33" s="21">
        <v>30</v>
      </c>
      <c r="AT33" s="43">
        <f>AP25</f>
        <v>4.0035923221312608E-2</v>
      </c>
      <c r="AU33" s="34">
        <f t="shared" si="42"/>
        <v>4.860357919174027E-2</v>
      </c>
      <c r="BD33" s="13">
        <f t="shared" ref="BD33:BD39" si="49">BD32+5</f>
        <v>70</v>
      </c>
      <c r="BE33" s="42">
        <f t="shared" si="12"/>
        <v>4.0072996243527281E-2</v>
      </c>
      <c r="BF33" s="32">
        <f t="shared" si="13"/>
        <v>4.0080299701430566E-2</v>
      </c>
      <c r="BG33" s="34">
        <f t="shared" si="14"/>
        <v>4.0098962503605992E-2</v>
      </c>
      <c r="BH33" s="36">
        <f t="shared" si="15"/>
        <v>4.0096734464115803E-2</v>
      </c>
      <c r="BJ33" s="21">
        <v>30</v>
      </c>
      <c r="BK33" s="43">
        <f>BG25</f>
        <v>4.0042488488809244E-2</v>
      </c>
      <c r="BL33" s="34">
        <f t="shared" si="43"/>
        <v>4.860357919174027E-2</v>
      </c>
      <c r="BU33" s="13">
        <f t="shared" ref="BU33:BU39" si="50">BU32+5</f>
        <v>70</v>
      </c>
      <c r="BV33" s="42">
        <f t="shared" si="16"/>
        <v>5.5833646253055487E-2</v>
      </c>
      <c r="BW33" s="32">
        <f t="shared" si="17"/>
        <v>5.5833646253055487E-2</v>
      </c>
      <c r="BX33" s="34">
        <f t="shared" si="18"/>
        <v>5.5833646253055487E-2</v>
      </c>
      <c r="BY33" s="36">
        <f t="shared" si="19"/>
        <v>5.5833646253055487E-2</v>
      </c>
      <c r="CA33" s="21">
        <v>30</v>
      </c>
      <c r="CB33" s="43">
        <f>BX25</f>
        <v>5.5833646253055487E-2</v>
      </c>
      <c r="CC33" s="34">
        <f t="shared" si="44"/>
        <v>4.860357919174027E-2</v>
      </c>
      <c r="CM33" s="13">
        <f t="shared" ref="CM33:CM39" si="51">CM32+5</f>
        <v>70</v>
      </c>
      <c r="CN33" s="42">
        <f t="shared" si="20"/>
        <v>5.2097259044381394E-2</v>
      </c>
      <c r="CO33" s="32">
        <f t="shared" si="21"/>
        <v>5.2601088700279873E-2</v>
      </c>
      <c r="CP33" s="34">
        <f t="shared" si="22"/>
        <v>5.360177773068521E-2</v>
      </c>
      <c r="CQ33" s="36">
        <f t="shared" si="23"/>
        <v>5.468043414347265E-2</v>
      </c>
      <c r="CS33" s="21">
        <v>30</v>
      </c>
      <c r="CT33" s="43">
        <f>CP25</f>
        <v>4.8996037849510524E-2</v>
      </c>
      <c r="CU33" s="34">
        <f t="shared" si="45"/>
        <v>4.860357919174027E-2</v>
      </c>
    </row>
    <row r="34" spans="4:100" x14ac:dyDescent="0.25">
      <c r="D34" s="13">
        <f t="shared" si="46"/>
        <v>75</v>
      </c>
      <c r="E34" s="42">
        <f t="shared" si="0"/>
        <v>4.1816724470875352E-2</v>
      </c>
      <c r="F34" s="32">
        <f t="shared" si="1"/>
        <v>4.1900104345163933E-2</v>
      </c>
      <c r="G34" s="34">
        <f t="shared" si="2"/>
        <v>4.2095495374204456E-2</v>
      </c>
      <c r="H34" s="36">
        <f t="shared" si="3"/>
        <v>4.2396943750057592E-2</v>
      </c>
      <c r="J34" s="21">
        <v>60</v>
      </c>
      <c r="K34" s="43">
        <f>G31</f>
        <v>4.1699850438471242E-2</v>
      </c>
      <c r="L34" s="34">
        <f>summary!I9</f>
        <v>5.5833646253055487E-2</v>
      </c>
      <c r="V34" s="13">
        <f t="shared" si="47"/>
        <v>75</v>
      </c>
      <c r="W34" s="42">
        <f t="shared" si="4"/>
        <v>5.5833646253055487E-2</v>
      </c>
      <c r="X34" s="32">
        <f t="shared" si="5"/>
        <v>5.5833646253055487E-2</v>
      </c>
      <c r="Y34" s="34">
        <f t="shared" si="6"/>
        <v>5.5833646253055487E-2</v>
      </c>
      <c r="Z34" s="36">
        <f t="shared" si="7"/>
        <v>5.5833646253055487E-2</v>
      </c>
      <c r="AB34" s="21">
        <v>60</v>
      </c>
      <c r="AC34" s="43">
        <f>Y31</f>
        <v>5.5833646253055487E-2</v>
      </c>
      <c r="AD34" s="34">
        <f t="shared" si="41"/>
        <v>5.5833646253055487E-2</v>
      </c>
      <c r="AM34" s="13">
        <f t="shared" si="48"/>
        <v>75</v>
      </c>
      <c r="AN34" s="42">
        <f t="shared" si="8"/>
        <v>4.0076999220631668E-2</v>
      </c>
      <c r="AO34" s="32">
        <f t="shared" si="9"/>
        <v>4.0080759113574047E-2</v>
      </c>
      <c r="AP34" s="34">
        <f t="shared" si="10"/>
        <v>4.0089655294359969E-2</v>
      </c>
      <c r="AQ34" s="36">
        <f t="shared" si="11"/>
        <v>4.0103621411319172E-2</v>
      </c>
      <c r="AS34" s="21">
        <v>60</v>
      </c>
      <c r="AT34" s="43">
        <f>AP31</f>
        <v>4.0071764940373053E-2</v>
      </c>
      <c r="AU34" s="34">
        <f t="shared" si="42"/>
        <v>5.5833646253055487E-2</v>
      </c>
      <c r="BD34" s="13">
        <f t="shared" si="49"/>
        <v>75</v>
      </c>
      <c r="BE34" s="42">
        <f t="shared" si="12"/>
        <v>4.00781973651919E-2</v>
      </c>
      <c r="BF34" s="32">
        <f t="shared" si="13"/>
        <v>4.0086019786831156E-2</v>
      </c>
      <c r="BG34" s="34">
        <f t="shared" si="14"/>
        <v>4.010600753971709E-2</v>
      </c>
      <c r="BH34" s="36">
        <f t="shared" si="15"/>
        <v>4.0103621411319172E-2</v>
      </c>
      <c r="BJ34" s="21">
        <v>60</v>
      </c>
      <c r="BK34" s="43">
        <f>BG31</f>
        <v>4.0084862962712978E-2</v>
      </c>
      <c r="BL34" s="34">
        <f t="shared" si="43"/>
        <v>5.5833646253055487E-2</v>
      </c>
      <c r="BU34" s="13">
        <f t="shared" si="50"/>
        <v>75</v>
      </c>
      <c r="BV34" s="42">
        <f t="shared" si="16"/>
        <v>5.5833646253055487E-2</v>
      </c>
      <c r="BW34" s="32">
        <f t="shared" si="17"/>
        <v>5.5833646253055487E-2</v>
      </c>
      <c r="BX34" s="34">
        <f t="shared" si="18"/>
        <v>5.5833646253055487E-2</v>
      </c>
      <c r="BY34" s="36">
        <f t="shared" si="19"/>
        <v>5.5833646253055487E-2</v>
      </c>
      <c r="CA34" s="21">
        <v>60</v>
      </c>
      <c r="CB34" s="43">
        <f>BX31</f>
        <v>5.5833646253055487E-2</v>
      </c>
      <c r="CC34" s="34">
        <f t="shared" si="44"/>
        <v>5.5833646253055487E-2</v>
      </c>
      <c r="CM34" s="13">
        <f t="shared" si="51"/>
        <v>75</v>
      </c>
      <c r="CN34" s="42">
        <f t="shared" si="20"/>
        <v>5.2463436402159877E-2</v>
      </c>
      <c r="CO34" s="32">
        <f t="shared" si="21"/>
        <v>5.2947900434892468E-2</v>
      </c>
      <c r="CP34" s="34">
        <f t="shared" si="22"/>
        <v>5.3893255685238443E-2</v>
      </c>
      <c r="CQ34" s="36">
        <f t="shared" si="23"/>
        <v>5.4877230046328586E-2</v>
      </c>
      <c r="CS34" s="21">
        <v>60</v>
      </c>
      <c r="CT34" s="43">
        <f>CP31</f>
        <v>5.2880890587492568E-2</v>
      </c>
      <c r="CU34" s="34">
        <f t="shared" si="45"/>
        <v>5.5833646253055487E-2</v>
      </c>
    </row>
    <row r="35" spans="4:100" x14ac:dyDescent="0.25">
      <c r="D35" s="13">
        <f t="shared" si="46"/>
        <v>80</v>
      </c>
      <c r="E35" s="42">
        <f t="shared" si="0"/>
        <v>4.1930147657576744E-2</v>
      </c>
      <c r="F35" s="32">
        <f t="shared" si="1"/>
        <v>4.201834898577473E-2</v>
      </c>
      <c r="G35" s="34">
        <f t="shared" si="2"/>
        <v>4.2224900367932847E-2</v>
      </c>
      <c r="H35" s="36">
        <f t="shared" si="3"/>
        <v>4.2543181970494816E-2</v>
      </c>
      <c r="J35" s="21">
        <v>120</v>
      </c>
      <c r="K35" s="43">
        <f>G41</f>
        <v>4.3217210282736285E-2</v>
      </c>
      <c r="L35" s="34">
        <f>summary!I10</f>
        <v>5.145407230191433E-2</v>
      </c>
      <c r="V35" s="13">
        <f t="shared" si="47"/>
        <v>80</v>
      </c>
      <c r="W35" s="42">
        <f t="shared" si="4"/>
        <v>5.5833646253055487E-2</v>
      </c>
      <c r="X35" s="32">
        <f t="shared" si="5"/>
        <v>5.5833646253055487E-2</v>
      </c>
      <c r="Y35" s="34">
        <f t="shared" si="6"/>
        <v>5.5833646253055487E-2</v>
      </c>
      <c r="Z35" s="36">
        <f t="shared" si="7"/>
        <v>5.5833646253055487E-2</v>
      </c>
      <c r="AB35" s="21">
        <v>120</v>
      </c>
      <c r="AC35" s="43">
        <f>Y41</f>
        <v>5.5833646253055487E-2</v>
      </c>
      <c r="AD35" s="34">
        <f t="shared" si="41"/>
        <v>5.145407230191433E-2</v>
      </c>
      <c r="AM35" s="13">
        <f t="shared" si="48"/>
        <v>80</v>
      </c>
      <c r="AN35" s="42">
        <f t="shared" si="8"/>
        <v>4.0082119168103857E-2</v>
      </c>
      <c r="AO35" s="32">
        <f t="shared" si="9"/>
        <v>4.0086128385498937E-2</v>
      </c>
      <c r="AP35" s="34">
        <f t="shared" si="10"/>
        <v>4.0095614232049312E-2</v>
      </c>
      <c r="AQ35" s="36">
        <f t="shared" si="11"/>
        <v>4.0110505344586739E-2</v>
      </c>
      <c r="AS35" s="21">
        <v>120</v>
      </c>
      <c r="AT35" s="43">
        <f>AP41</f>
        <v>4.0143204610964003E-2</v>
      </c>
      <c r="AU35" s="34">
        <f t="shared" si="42"/>
        <v>5.145407230191433E-2</v>
      </c>
      <c r="BD35" s="13">
        <f t="shared" si="49"/>
        <v>80</v>
      </c>
      <c r="BE35" s="42">
        <f t="shared" si="12"/>
        <v>4.0083396770451016E-2</v>
      </c>
      <c r="BF35" s="32">
        <f t="shared" si="13"/>
        <v>4.009173779525229E-2</v>
      </c>
      <c r="BG35" s="34">
        <f t="shared" si="14"/>
        <v>4.0113049421488731E-2</v>
      </c>
      <c r="BH35" s="36">
        <f t="shared" si="15"/>
        <v>4.0110505344586739E-2</v>
      </c>
      <c r="BJ35" s="21">
        <v>120</v>
      </c>
      <c r="BK35" s="43">
        <f>BG41</f>
        <v>4.0169271088787234E-2</v>
      </c>
      <c r="BL35" s="34">
        <f t="shared" si="43"/>
        <v>5.145407230191433E-2</v>
      </c>
      <c r="BU35" s="13">
        <f t="shared" si="50"/>
        <v>80</v>
      </c>
      <c r="BV35" s="42">
        <f t="shared" si="16"/>
        <v>5.5833646253055487E-2</v>
      </c>
      <c r="BW35" s="32">
        <f t="shared" si="17"/>
        <v>5.5833646253055487E-2</v>
      </c>
      <c r="BX35" s="34">
        <f t="shared" si="18"/>
        <v>5.5833646253055487E-2</v>
      </c>
      <c r="BY35" s="36">
        <f t="shared" si="19"/>
        <v>5.5833646253055487E-2</v>
      </c>
      <c r="CA35" s="21">
        <v>120</v>
      </c>
      <c r="CB35" s="43">
        <f>BX41</f>
        <v>5.5833646253055487E-2</v>
      </c>
      <c r="CC35" s="34">
        <f t="shared" si="44"/>
        <v>5.145407230191433E-2</v>
      </c>
      <c r="CM35" s="13">
        <f t="shared" si="51"/>
        <v>80</v>
      </c>
      <c r="CN35" s="42">
        <f t="shared" si="20"/>
        <v>5.2793727260531033E-2</v>
      </c>
      <c r="CO35" s="32">
        <f t="shared" si="21"/>
        <v>5.3257503743266307E-2</v>
      </c>
      <c r="CP35" s="34">
        <f t="shared" si="22"/>
        <v>5.4146667151045151E-2</v>
      </c>
      <c r="CQ35" s="36">
        <f t="shared" si="23"/>
        <v>5.5040442684615012E-2</v>
      </c>
      <c r="CS35" s="21">
        <v>120</v>
      </c>
      <c r="CT35" s="43">
        <f>CP41</f>
        <v>5.5282998229146819E-2</v>
      </c>
      <c r="CU35" s="34">
        <f t="shared" si="45"/>
        <v>5.145407230191433E-2</v>
      </c>
    </row>
    <row r="36" spans="4:100" x14ac:dyDescent="0.25">
      <c r="D36" s="13">
        <f t="shared" si="46"/>
        <v>85</v>
      </c>
      <c r="E36" s="42">
        <f t="shared" si="0"/>
        <v>4.2042653037966483E-2</v>
      </c>
      <c r="F36" s="32">
        <f t="shared" si="1"/>
        <v>4.2135590163294413E-2</v>
      </c>
      <c r="G36" s="34">
        <f t="shared" si="2"/>
        <v>4.2353086445625909E-2</v>
      </c>
      <c r="H36" s="36">
        <f t="shared" si="3"/>
        <v>4.2687828608688416E-2</v>
      </c>
      <c r="J36" s="21"/>
      <c r="K36" s="43"/>
      <c r="L36" s="34"/>
      <c r="V36" s="13">
        <f t="shared" si="47"/>
        <v>85</v>
      </c>
      <c r="W36" s="42">
        <f t="shared" si="4"/>
        <v>5.5833646253055487E-2</v>
      </c>
      <c r="X36" s="32">
        <f t="shared" si="5"/>
        <v>5.5833646253055487E-2</v>
      </c>
      <c r="Y36" s="34">
        <f t="shared" si="6"/>
        <v>5.5833646253055487E-2</v>
      </c>
      <c r="Z36" s="36">
        <f t="shared" si="7"/>
        <v>5.5833646253055487E-2</v>
      </c>
      <c r="AB36" s="57"/>
      <c r="AC36" s="58"/>
      <c r="AD36" s="58"/>
      <c r="AM36" s="13">
        <f t="shared" si="48"/>
        <v>85</v>
      </c>
      <c r="AN36" s="42">
        <f t="shared" si="8"/>
        <v>4.0087237451905969E-2</v>
      </c>
      <c r="AO36" s="32">
        <f t="shared" si="9"/>
        <v>4.0091495827341471E-2</v>
      </c>
      <c r="AP36" s="34">
        <f t="shared" si="10"/>
        <v>4.0101570914342397E-2</v>
      </c>
      <c r="AQ36" s="36">
        <f t="shared" si="11"/>
        <v>4.0117386265237504E-2</v>
      </c>
      <c r="AS36" s="57"/>
      <c r="AT36" s="58"/>
      <c r="AU36" s="58"/>
      <c r="BD36" s="13">
        <f t="shared" si="49"/>
        <v>85</v>
      </c>
      <c r="BE36" s="42">
        <f t="shared" si="12"/>
        <v>4.0088594459871035E-2</v>
      </c>
      <c r="BF36" s="32">
        <f t="shared" si="13"/>
        <v>4.0097453727448135E-2</v>
      </c>
      <c r="BG36" s="34">
        <f t="shared" si="14"/>
        <v>4.012008815033323E-2</v>
      </c>
      <c r="BH36" s="36">
        <f t="shared" si="15"/>
        <v>4.0117386265237504E-2</v>
      </c>
      <c r="BJ36" s="57"/>
      <c r="BK36" s="58"/>
      <c r="BL36" s="58"/>
      <c r="BU36" s="13">
        <f t="shared" si="50"/>
        <v>85</v>
      </c>
      <c r="BV36" s="42">
        <f t="shared" si="16"/>
        <v>5.5833646253055487E-2</v>
      </c>
      <c r="BW36" s="32">
        <f t="shared" si="17"/>
        <v>5.5833646253055487E-2</v>
      </c>
      <c r="BX36" s="34">
        <f t="shared" si="18"/>
        <v>5.5833646253055487E-2</v>
      </c>
      <c r="BY36" s="36">
        <f t="shared" si="19"/>
        <v>5.5833646253055487E-2</v>
      </c>
      <c r="CA36" s="57"/>
      <c r="CB36" s="58"/>
      <c r="CC36" s="58"/>
      <c r="CM36" s="13">
        <f t="shared" si="51"/>
        <v>85</v>
      </c>
      <c r="CN36" s="42">
        <f t="shared" si="20"/>
        <v>5.309164860603801E-2</v>
      </c>
      <c r="CO36" s="32">
        <f t="shared" si="21"/>
        <v>5.3533890609653911E-2</v>
      </c>
      <c r="CP36" s="34">
        <f t="shared" si="22"/>
        <v>5.4366983542041968E-2</v>
      </c>
      <c r="CQ36" s="36">
        <f t="shared" si="23"/>
        <v>5.5175803049896173E-2</v>
      </c>
      <c r="CS36" s="57"/>
      <c r="CT36" s="58"/>
      <c r="CU36" s="58"/>
    </row>
    <row r="37" spans="4:100" x14ac:dyDescent="0.25">
      <c r="D37" s="13">
        <f t="shared" si="46"/>
        <v>90</v>
      </c>
      <c r="E37" s="42">
        <f t="shared" si="0"/>
        <v>4.2154248038819044E-2</v>
      </c>
      <c r="F37" s="32">
        <f t="shared" si="1"/>
        <v>4.2251836393442328E-2</v>
      </c>
      <c r="G37" s="34">
        <f t="shared" si="2"/>
        <v>4.2480065088728529E-2</v>
      </c>
      <c r="H37" s="36">
        <f t="shared" si="3"/>
        <v>4.2830900986608189E-2</v>
      </c>
      <c r="V37" s="13">
        <f t="shared" si="47"/>
        <v>90</v>
      </c>
      <c r="W37" s="42">
        <f t="shared" si="4"/>
        <v>5.5833646253055487E-2</v>
      </c>
      <c r="X37" s="32">
        <f t="shared" si="5"/>
        <v>5.5833646253055487E-2</v>
      </c>
      <c r="Y37" s="34">
        <f t="shared" si="6"/>
        <v>5.5833646253055487E-2</v>
      </c>
      <c r="Z37" s="36">
        <f t="shared" si="7"/>
        <v>5.5833646253055487E-2</v>
      </c>
      <c r="AM37" s="13">
        <f t="shared" si="48"/>
        <v>90</v>
      </c>
      <c r="AN37" s="42">
        <f t="shared" si="8"/>
        <v>4.00923540725786E-2</v>
      </c>
      <c r="AO37" s="32">
        <f t="shared" si="9"/>
        <v>4.0096861439725406E-2</v>
      </c>
      <c r="AP37" s="34">
        <f t="shared" si="10"/>
        <v>4.0107525342092859E-2</v>
      </c>
      <c r="AQ37" s="36">
        <f t="shared" si="11"/>
        <v>4.012426417458987E-2</v>
      </c>
      <c r="BD37" s="13">
        <f t="shared" si="49"/>
        <v>90</v>
      </c>
      <c r="BE37" s="42">
        <f t="shared" si="12"/>
        <v>4.0093790434018201E-2</v>
      </c>
      <c r="BF37" s="32">
        <f t="shared" si="13"/>
        <v>4.010316758417258E-2</v>
      </c>
      <c r="BG37" s="34">
        <f t="shared" si="14"/>
        <v>4.0127123727662285E-2</v>
      </c>
      <c r="BH37" s="36">
        <f t="shared" si="15"/>
        <v>4.012426417458987E-2</v>
      </c>
      <c r="BU37" s="13">
        <f t="shared" si="50"/>
        <v>90</v>
      </c>
      <c r="BV37" s="42">
        <f t="shared" si="16"/>
        <v>5.5833646253055487E-2</v>
      </c>
      <c r="BW37" s="32">
        <f t="shared" si="17"/>
        <v>5.5833646253055487E-2</v>
      </c>
      <c r="BX37" s="34">
        <f t="shared" si="18"/>
        <v>5.5833646253055487E-2</v>
      </c>
      <c r="BY37" s="36">
        <f t="shared" si="19"/>
        <v>5.5833646253055487E-2</v>
      </c>
      <c r="CM37" s="13">
        <f t="shared" si="51"/>
        <v>90</v>
      </c>
      <c r="CN37" s="42">
        <f t="shared" si="20"/>
        <v>5.3360372749801467E-2</v>
      </c>
      <c r="CO37" s="32">
        <f t="shared" si="21"/>
        <v>5.3780624729882757E-2</v>
      </c>
      <c r="CP37" s="34">
        <f t="shared" si="22"/>
        <v>5.4558527014581158E-2</v>
      </c>
      <c r="CQ37" s="36">
        <f t="shared" si="23"/>
        <v>5.5288064138751897E-2</v>
      </c>
    </row>
    <row r="38" spans="4:100" x14ac:dyDescent="0.25">
      <c r="D38" s="13">
        <f t="shared" si="46"/>
        <v>95</v>
      </c>
      <c r="E38" s="42">
        <f t="shared" si="0"/>
        <v>4.2264940026812331E-2</v>
      </c>
      <c r="F38" s="32">
        <f t="shared" si="1"/>
        <v>4.2367096119670634E-2</v>
      </c>
      <c r="G38" s="34">
        <f t="shared" si="2"/>
        <v>4.2605847670537364E-2</v>
      </c>
      <c r="H38" s="36">
        <f t="shared" si="3"/>
        <v>4.2972416237700449E-2</v>
      </c>
      <c r="J38" t="s">
        <v>27</v>
      </c>
      <c r="V38" s="13">
        <f t="shared" si="47"/>
        <v>95</v>
      </c>
      <c r="W38" s="42">
        <f t="shared" si="4"/>
        <v>5.5833646253055487E-2</v>
      </c>
      <c r="X38" s="32">
        <f t="shared" si="5"/>
        <v>5.5833646253055487E-2</v>
      </c>
      <c r="Y38" s="34">
        <f t="shared" si="6"/>
        <v>5.5833646253055487E-2</v>
      </c>
      <c r="Z38" s="36">
        <f t="shared" si="7"/>
        <v>5.5833646253055487E-2</v>
      </c>
      <c r="AB38" t="s">
        <v>16</v>
      </c>
      <c r="AM38" s="13">
        <f t="shared" si="48"/>
        <v>95</v>
      </c>
      <c r="AN38" s="42">
        <f t="shared" si="8"/>
        <v>4.0097469030662164E-2</v>
      </c>
      <c r="AO38" s="32">
        <f t="shared" si="9"/>
        <v>4.01022252232743E-2</v>
      </c>
      <c r="AP38" s="34">
        <f t="shared" si="10"/>
        <v>4.0113477516154024E-2</v>
      </c>
      <c r="AQ38" s="36">
        <f t="shared" si="11"/>
        <v>4.0131139073961673E-2</v>
      </c>
      <c r="AS38" t="s">
        <v>16</v>
      </c>
      <c r="BD38" s="13">
        <f t="shared" si="49"/>
        <v>95</v>
      </c>
      <c r="BE38" s="42">
        <f t="shared" si="12"/>
        <v>4.0098984693458573E-2</v>
      </c>
      <c r="BF38" s="32">
        <f t="shared" si="13"/>
        <v>4.0108879366179226E-2</v>
      </c>
      <c r="BG38" s="34">
        <f t="shared" si="14"/>
        <v>4.0134156154886955E-2</v>
      </c>
      <c r="BH38" s="36">
        <f t="shared" si="15"/>
        <v>4.0131139073961673E-2</v>
      </c>
      <c r="BJ38" t="s">
        <v>16</v>
      </c>
      <c r="BU38" s="13">
        <f t="shared" si="50"/>
        <v>95</v>
      </c>
      <c r="BV38" s="42">
        <f t="shared" si="16"/>
        <v>5.5833646253055487E-2</v>
      </c>
      <c r="BW38" s="32">
        <f t="shared" si="17"/>
        <v>5.5833646253055487E-2</v>
      </c>
      <c r="BX38" s="34">
        <f t="shared" si="18"/>
        <v>5.5833646253055487E-2</v>
      </c>
      <c r="BY38" s="36">
        <f t="shared" si="19"/>
        <v>5.5833646253055487E-2</v>
      </c>
      <c r="CA38" t="s">
        <v>16</v>
      </c>
      <c r="CM38" s="13">
        <f t="shared" si="51"/>
        <v>95</v>
      </c>
      <c r="CN38" s="42">
        <f t="shared" si="20"/>
        <v>5.3602761106763666E-2</v>
      </c>
      <c r="CO38" s="32">
        <f t="shared" si="21"/>
        <v>5.4000887461179578E-2</v>
      </c>
      <c r="CP38" s="34">
        <f t="shared" si="22"/>
        <v>5.4725055259285851E-2</v>
      </c>
      <c r="CQ38" s="36">
        <f t="shared" si="23"/>
        <v>5.5381167847839086E-2</v>
      </c>
      <c r="CS38" t="s">
        <v>16</v>
      </c>
    </row>
    <row r="39" spans="4:100" x14ac:dyDescent="0.25">
      <c r="D39" s="13">
        <f t="shared" si="46"/>
        <v>100</v>
      </c>
      <c r="E39" s="42">
        <f t="shared" si="0"/>
        <v>4.237473630901404E-2</v>
      </c>
      <c r="F39" s="32">
        <f t="shared" si="1"/>
        <v>4.2481377713777552E-2</v>
      </c>
      <c r="G39" s="34">
        <f t="shared" si="2"/>
        <v>4.273044545721958E-2</v>
      </c>
      <c r="H39" s="36">
        <f t="shared" si="3"/>
        <v>4.3112391308939818E-2</v>
      </c>
      <c r="J39" s="24" t="s">
        <v>9</v>
      </c>
      <c r="K39" s="24" t="s">
        <v>13</v>
      </c>
      <c r="L39" s="25" t="s">
        <v>14</v>
      </c>
      <c r="M39" s="25" t="s">
        <v>18</v>
      </c>
      <c r="V39" s="13">
        <f t="shared" si="47"/>
        <v>100</v>
      </c>
      <c r="W39" s="42">
        <f t="shared" si="4"/>
        <v>5.5833646253055487E-2</v>
      </c>
      <c r="X39" s="32">
        <f t="shared" si="5"/>
        <v>5.5833646253055487E-2</v>
      </c>
      <c r="Y39" s="34">
        <f t="shared" si="6"/>
        <v>5.5833646253055487E-2</v>
      </c>
      <c r="Z39" s="36">
        <f t="shared" si="7"/>
        <v>5.5833646253055487E-2</v>
      </c>
      <c r="AB39" s="24" t="s">
        <v>9</v>
      </c>
      <c r="AC39" s="24" t="s">
        <v>13</v>
      </c>
      <c r="AD39" s="25" t="s">
        <v>14</v>
      </c>
      <c r="AE39" s="25" t="s">
        <v>18</v>
      </c>
      <c r="AM39" s="13">
        <f t="shared" si="48"/>
        <v>100</v>
      </c>
      <c r="AN39" s="42">
        <f t="shared" si="8"/>
        <v>4.0102582326696903E-2</v>
      </c>
      <c r="AO39" s="32">
        <f t="shared" si="9"/>
        <v>4.0107587178611501E-2</v>
      </c>
      <c r="AP39" s="34">
        <f t="shared" si="10"/>
        <v>4.0119427437378889E-2</v>
      </c>
      <c r="AQ39" s="36">
        <f t="shared" si="11"/>
        <v>4.0138010964670179E-2</v>
      </c>
      <c r="AS39" s="24" t="s">
        <v>9</v>
      </c>
      <c r="AT39" s="24" t="s">
        <v>13</v>
      </c>
      <c r="AU39" s="25" t="s">
        <v>14</v>
      </c>
      <c r="AV39" s="25" t="s">
        <v>18</v>
      </c>
      <c r="BD39" s="13">
        <f t="shared" si="49"/>
        <v>100</v>
      </c>
      <c r="BE39" s="42">
        <f t="shared" si="12"/>
        <v>4.0104177238758018E-2</v>
      </c>
      <c r="BF39" s="32">
        <f t="shared" si="13"/>
        <v>4.0114589074221413E-2</v>
      </c>
      <c r="BG39" s="34">
        <f t="shared" si="14"/>
        <v>4.0141185433417659E-2</v>
      </c>
      <c r="BH39" s="36">
        <f t="shared" si="15"/>
        <v>4.0138010964670179E-2</v>
      </c>
      <c r="BJ39" s="24" t="s">
        <v>9</v>
      </c>
      <c r="BK39" s="24" t="s">
        <v>13</v>
      </c>
      <c r="BL39" s="25" t="s">
        <v>14</v>
      </c>
      <c r="BM39" s="25" t="s">
        <v>18</v>
      </c>
      <c r="BU39" s="13">
        <f t="shared" si="50"/>
        <v>100</v>
      </c>
      <c r="BV39" s="42">
        <f t="shared" si="16"/>
        <v>5.5833646253055487E-2</v>
      </c>
      <c r="BW39" s="32">
        <f t="shared" si="17"/>
        <v>5.5833646253055487E-2</v>
      </c>
      <c r="BX39" s="34">
        <f t="shared" si="18"/>
        <v>5.5833646253055487E-2</v>
      </c>
      <c r="BY39" s="36">
        <f t="shared" si="19"/>
        <v>5.5833646253055487E-2</v>
      </c>
      <c r="CA39" s="24" t="s">
        <v>9</v>
      </c>
      <c r="CB39" s="24" t="s">
        <v>13</v>
      </c>
      <c r="CC39" s="25" t="s">
        <v>14</v>
      </c>
      <c r="CD39" s="25" t="s">
        <v>18</v>
      </c>
      <c r="CM39" s="13">
        <f t="shared" si="51"/>
        <v>100</v>
      </c>
      <c r="CN39" s="42">
        <f t="shared" si="20"/>
        <v>5.3821394664463458E-2</v>
      </c>
      <c r="CO39" s="32">
        <f t="shared" si="21"/>
        <v>5.4197518842171138E-2</v>
      </c>
      <c r="CP39" s="34">
        <f t="shared" si="22"/>
        <v>5.4869835219243768E-2</v>
      </c>
      <c r="CQ39" s="36">
        <f t="shared" si="23"/>
        <v>5.5458383388273871E-2</v>
      </c>
      <c r="CS39" s="24" t="s">
        <v>9</v>
      </c>
      <c r="CT39" s="24" t="s">
        <v>13</v>
      </c>
      <c r="CU39" s="25" t="s">
        <v>14</v>
      </c>
      <c r="CV39" s="25" t="s">
        <v>18</v>
      </c>
    </row>
    <row r="40" spans="4:100" x14ac:dyDescent="0.25">
      <c r="D40" s="13">
        <f>D39+10</f>
        <v>110</v>
      </c>
      <c r="E40" s="42">
        <f t="shared" si="0"/>
        <v>4.2591670689152455E-2</v>
      </c>
      <c r="F40" s="32">
        <f t="shared" si="1"/>
        <v>4.2707039638193833E-2</v>
      </c>
      <c r="G40" s="34">
        <f t="shared" si="2"/>
        <v>4.2976131180270258E-2</v>
      </c>
      <c r="H40" s="36">
        <f t="shared" si="3"/>
        <v>4.3387787779554543E-2</v>
      </c>
      <c r="J40" s="26">
        <v>0</v>
      </c>
      <c r="K40" s="44">
        <f>F3</f>
        <v>0.04</v>
      </c>
      <c r="L40" s="32">
        <f>summary!H6</f>
        <v>0.04</v>
      </c>
      <c r="M40" s="17" cm="1">
        <f t="array" ref="M40">SQRT(SUMSQ(K40:K45-L40:L45)/COUNTA(K40:K45-L40:L45))</f>
        <v>5.5160057896394268E-3</v>
      </c>
      <c r="V40" s="13">
        <f>V39+10</f>
        <v>110</v>
      </c>
      <c r="W40" s="42">
        <f t="shared" si="4"/>
        <v>5.5833646253055487E-2</v>
      </c>
      <c r="X40" s="32">
        <f t="shared" si="5"/>
        <v>5.5833646253055487E-2</v>
      </c>
      <c r="Y40" s="34">
        <f t="shared" si="6"/>
        <v>5.5833646253055487E-2</v>
      </c>
      <c r="Z40" s="36">
        <f t="shared" si="7"/>
        <v>5.5833646253055487E-2</v>
      </c>
      <c r="AB40" s="26">
        <v>0</v>
      </c>
      <c r="AC40" s="44">
        <f>X3</f>
        <v>0.04</v>
      </c>
      <c r="AD40" s="32">
        <f>L40</f>
        <v>0.04</v>
      </c>
      <c r="AE40" s="17" cm="1">
        <f t="array" ref="AE40">SQRT(SUMSQ(AC40:AC45-AD40:AD45)/COUNTA(AC40:AC45-AD40:AD45))</f>
        <v>4.6378983374437818E-3</v>
      </c>
      <c r="AM40" s="13">
        <f>AM39+10</f>
        <v>110</v>
      </c>
      <c r="AN40" s="42">
        <f t="shared" si="8"/>
        <v>4.0112803934779978E-2</v>
      </c>
      <c r="AO40" s="32">
        <f t="shared" si="9"/>
        <v>4.0118305607143176E-2</v>
      </c>
      <c r="AP40" s="34">
        <f t="shared" si="10"/>
        <v>4.0131320524730091E-2</v>
      </c>
      <c r="AQ40" s="36">
        <f t="shared" si="11"/>
        <v>4.0151745725363418E-2</v>
      </c>
      <c r="AS40" s="26">
        <v>0</v>
      </c>
      <c r="AT40" s="44">
        <f>AO3</f>
        <v>0.04</v>
      </c>
      <c r="AU40" s="32">
        <f>AD40</f>
        <v>0.04</v>
      </c>
      <c r="AV40" s="17" cm="1">
        <f t="array" ref="AV40">SQRT(SUMSQ(AT40:AT45-AU40:AU45)/COUNTA(AT40:AT45-AU40:AU45))</f>
        <v>6.750917526756362E-3</v>
      </c>
      <c r="BD40" s="13">
        <f>BD39+10</f>
        <v>110</v>
      </c>
      <c r="BE40" s="42">
        <f t="shared" si="12"/>
        <v>4.0114557189196626E-2</v>
      </c>
      <c r="BF40" s="32">
        <f t="shared" si="13"/>
        <v>4.0126002271424384E-2</v>
      </c>
      <c r="BG40" s="34">
        <f t="shared" si="14"/>
        <v>4.0155234550035709E-2</v>
      </c>
      <c r="BH40" s="36">
        <f t="shared" si="15"/>
        <v>4.0151745725363418E-2</v>
      </c>
      <c r="BJ40" s="26">
        <v>0</v>
      </c>
      <c r="BK40" s="44">
        <f>BF3</f>
        <v>0.04</v>
      </c>
      <c r="BL40" s="32">
        <f>AU40</f>
        <v>0.04</v>
      </c>
      <c r="BM40" s="17" cm="1">
        <f t="array" ref="BM40">SQRT(SUMSQ(BK40:BK45-BL40:BL45)/COUNTA(BK40:BK45-BL40:BL45))</f>
        <v>6.7472377539663361E-3</v>
      </c>
      <c r="BU40" s="13">
        <f>BU39+10</f>
        <v>110</v>
      </c>
      <c r="BV40" s="42">
        <f t="shared" si="16"/>
        <v>5.5833646253055487E-2</v>
      </c>
      <c r="BW40" s="32">
        <f t="shared" si="17"/>
        <v>5.5833646253055487E-2</v>
      </c>
      <c r="BX40" s="34">
        <f t="shared" si="18"/>
        <v>5.5833646253055487E-2</v>
      </c>
      <c r="BY40" s="36">
        <f t="shared" si="19"/>
        <v>5.5833646253055487E-2</v>
      </c>
      <c r="CA40" s="26">
        <v>0</v>
      </c>
      <c r="CB40" s="44">
        <f>BW3</f>
        <v>0.04</v>
      </c>
      <c r="CC40" s="32">
        <f>BL40</f>
        <v>0.04</v>
      </c>
      <c r="CD40" s="17" cm="1">
        <f t="array" ref="CD40">SQRT(SUMSQ(CB40:CB45-CC40:CC45)/COUNTA(CB40:CB45-CC40:CC45))</f>
        <v>4.6378983374438347E-3</v>
      </c>
      <c r="CM40" s="13">
        <f>CM39+10</f>
        <v>110</v>
      </c>
      <c r="CN40" s="42">
        <f t="shared" si="20"/>
        <v>5.419648139827344E-2</v>
      </c>
      <c r="CO40" s="32">
        <f t="shared" si="21"/>
        <v>5.4529756900492721E-2</v>
      </c>
      <c r="CP40" s="34">
        <f t="shared" si="22"/>
        <v>5.5105140493853962E-2</v>
      </c>
      <c r="CQ40" s="36">
        <f t="shared" si="23"/>
        <v>5.5575532553958404E-2</v>
      </c>
      <c r="CS40" s="26">
        <v>0</v>
      </c>
      <c r="CT40" s="44">
        <f>CO3</f>
        <v>0.04</v>
      </c>
      <c r="CU40" s="32">
        <f>CC40</f>
        <v>0.04</v>
      </c>
      <c r="CV40" s="17" cm="1">
        <f t="array" ref="CV40">SQRT(SUMSQ(CT40:CT45-CU40:CU45)/COUNTA(CT40:CT45-CU40:CU45))</f>
        <v>2.0531197600807075E-3</v>
      </c>
    </row>
    <row r="41" spans="4:100" x14ac:dyDescent="0.25">
      <c r="D41" s="13">
        <f t="shared" ref="D41" si="52">D40+10</f>
        <v>120</v>
      </c>
      <c r="E41" s="56">
        <f t="shared" si="0"/>
        <v>4.2805108461803215E-2</v>
      </c>
      <c r="F41" s="38">
        <f t="shared" si="1"/>
        <v>4.2928887730976834E-2</v>
      </c>
      <c r="G41" s="39">
        <f t="shared" si="2"/>
        <v>4.3217210282736285E-2</v>
      </c>
      <c r="H41" s="40">
        <f t="shared" si="3"/>
        <v>4.3657222321384713E-2</v>
      </c>
      <c r="J41" s="24">
        <v>10</v>
      </c>
      <c r="K41" s="44"/>
      <c r="L41" s="32"/>
      <c r="V41" s="13">
        <f t="shared" ref="V41" si="53">V40+10</f>
        <v>120</v>
      </c>
      <c r="W41" s="42">
        <f t="shared" si="4"/>
        <v>5.5833646253055487E-2</v>
      </c>
      <c r="X41" s="32">
        <f t="shared" si="5"/>
        <v>5.5833646253055487E-2</v>
      </c>
      <c r="Y41" s="34">
        <f t="shared" si="6"/>
        <v>5.5833646253055487E-2</v>
      </c>
      <c r="Z41" s="36">
        <f t="shared" si="7"/>
        <v>5.5833646253055487E-2</v>
      </c>
      <c r="AB41" s="24">
        <v>10</v>
      </c>
      <c r="AC41" s="44"/>
      <c r="AD41" s="32"/>
      <c r="AM41" s="13">
        <f t="shared" ref="AM41" si="54">AM40+10</f>
        <v>120</v>
      </c>
      <c r="AN41" s="42">
        <f t="shared" si="8"/>
        <v>4.0123018901146237E-2</v>
      </c>
      <c r="AO41" s="32">
        <f t="shared" si="9"/>
        <v>4.0129016730302933E-2</v>
      </c>
      <c r="AP41" s="34">
        <f t="shared" si="10"/>
        <v>4.0143204610964003E-2</v>
      </c>
      <c r="AQ41" s="36">
        <f t="shared" si="11"/>
        <v>4.0165468467196139E-2</v>
      </c>
      <c r="AS41" s="24">
        <v>10</v>
      </c>
      <c r="AT41" s="44"/>
      <c r="AU41" s="32"/>
      <c r="BD41" s="13">
        <f t="shared" ref="BD41" si="55">BD40+10</f>
        <v>120</v>
      </c>
      <c r="BE41" s="42">
        <f t="shared" si="12"/>
        <v>4.0124930289857218E-2</v>
      </c>
      <c r="BF41" s="32">
        <f t="shared" si="13"/>
        <v>4.0137407181802712E-2</v>
      </c>
      <c r="BG41" s="34">
        <f t="shared" si="14"/>
        <v>4.0169271088787234E-2</v>
      </c>
      <c r="BH41" s="36">
        <f t="shared" si="15"/>
        <v>4.0165468467196139E-2</v>
      </c>
      <c r="BJ41" s="24">
        <v>10</v>
      </c>
      <c r="BK41" s="44"/>
      <c r="BL41" s="32"/>
      <c r="BU41" s="13">
        <f t="shared" ref="BU41" si="56">BU40+10</f>
        <v>120</v>
      </c>
      <c r="BV41" s="42">
        <f t="shared" si="16"/>
        <v>5.5833646253055487E-2</v>
      </c>
      <c r="BW41" s="32">
        <f t="shared" si="17"/>
        <v>5.5833646253055487E-2</v>
      </c>
      <c r="BX41" s="34">
        <f t="shared" si="18"/>
        <v>5.5833646253055487E-2</v>
      </c>
      <c r="BY41" s="36">
        <f t="shared" si="19"/>
        <v>5.5833646253055487E-2</v>
      </c>
      <c r="CA41" s="24">
        <v>10</v>
      </c>
      <c r="CB41" s="44"/>
      <c r="CC41" s="32"/>
      <c r="CM41" s="13">
        <f t="shared" ref="CM41" si="57">CM40+10</f>
        <v>120</v>
      </c>
      <c r="CN41" s="42">
        <f t="shared" si="20"/>
        <v>5.4501651398670047E-2</v>
      </c>
      <c r="CO41" s="32">
        <f t="shared" si="21"/>
        <v>5.4794529474975463E-2</v>
      </c>
      <c r="CP41" s="34">
        <f t="shared" si="22"/>
        <v>5.5282998229146819E-2</v>
      </c>
      <c r="CQ41" s="36">
        <f t="shared" si="23"/>
        <v>5.5656110216548517E-2</v>
      </c>
      <c r="CS41" s="24">
        <v>10</v>
      </c>
      <c r="CT41" s="44"/>
      <c r="CU41" s="32"/>
    </row>
    <row r="42" spans="4:100" x14ac:dyDescent="0.25">
      <c r="J42" s="24">
        <v>30</v>
      </c>
      <c r="K42" s="44">
        <f>F25</f>
        <v>4.0789305069389679E-2</v>
      </c>
      <c r="L42" s="32">
        <f>summary!H8</f>
        <v>4.880607945181633E-2</v>
      </c>
      <c r="AB42" s="24">
        <v>30</v>
      </c>
      <c r="AC42" s="44">
        <f>X25</f>
        <v>5.5833646253055279E-2</v>
      </c>
      <c r="AD42" s="32">
        <f t="shared" ref="AD42:AD44" si="58">L42</f>
        <v>4.880607945181633E-2</v>
      </c>
      <c r="AM42" s="13"/>
      <c r="AS42" s="24">
        <v>30</v>
      </c>
      <c r="AT42" s="44">
        <f>AO25</f>
        <v>4.0032353209515675E-2</v>
      </c>
      <c r="AU42" s="32">
        <f t="shared" ref="AU42:AU44" si="59">AD42</f>
        <v>4.880607945181633E-2</v>
      </c>
      <c r="BJ42" s="24">
        <v>30</v>
      </c>
      <c r="BK42" s="44">
        <f>BF25</f>
        <v>4.0034464156376556E-2</v>
      </c>
      <c r="BL42" s="32">
        <f t="shared" ref="BL42:BL43" si="60">AU42</f>
        <v>4.880607945181633E-2</v>
      </c>
      <c r="CA42" s="24">
        <v>30</v>
      </c>
      <c r="CB42" s="44">
        <f>BW25</f>
        <v>5.5833646253055487E-2</v>
      </c>
      <c r="CC42" s="32">
        <f t="shared" ref="CC42:CC46" si="61">BL42</f>
        <v>4.880607945181633E-2</v>
      </c>
      <c r="CS42" s="24">
        <v>30</v>
      </c>
      <c r="CT42" s="44">
        <f>CO25</f>
        <v>4.7819600957364941E-2</v>
      </c>
      <c r="CU42" s="32">
        <f t="shared" ref="CU41:CU44" si="62">CC42</f>
        <v>4.880607945181633E-2</v>
      </c>
    </row>
    <row r="43" spans="4:100" x14ac:dyDescent="0.25">
      <c r="J43" s="24">
        <v>60</v>
      </c>
      <c r="K43" s="44">
        <f>F31</f>
        <v>4.1539263390556788E-2</v>
      </c>
      <c r="L43" s="32">
        <f>summary!H9</f>
        <v>4.7893651283411866E-2</v>
      </c>
      <c r="AB43" s="24">
        <v>60</v>
      </c>
      <c r="AC43" s="44">
        <f>X31</f>
        <v>5.5833646253055487E-2</v>
      </c>
      <c r="AD43" s="32">
        <f t="shared" si="58"/>
        <v>4.7893651283411866E-2</v>
      </c>
      <c r="AM43" s="13"/>
      <c r="AS43" s="24">
        <v>60</v>
      </c>
      <c r="AT43" s="44">
        <f>AO31</f>
        <v>4.0064640311064229E-2</v>
      </c>
      <c r="AU43" s="32">
        <f t="shared" si="59"/>
        <v>4.7893651283411866E-2</v>
      </c>
      <c r="BJ43" s="24">
        <v>60</v>
      </c>
      <c r="BK43" s="44">
        <f>BF31</f>
        <v>4.006885329667307E-2</v>
      </c>
      <c r="BL43" s="32">
        <f t="shared" si="60"/>
        <v>4.7893651283411866E-2</v>
      </c>
      <c r="CA43" s="24">
        <v>60</v>
      </c>
      <c r="CB43" s="44">
        <f>BW31</f>
        <v>5.5833646253055487E-2</v>
      </c>
      <c r="CC43" s="32">
        <f t="shared" si="61"/>
        <v>4.7893651283411866E-2</v>
      </c>
      <c r="CS43" s="24">
        <v>60</v>
      </c>
      <c r="CT43" s="44">
        <f>CO31</f>
        <v>5.1777415554520964E-2</v>
      </c>
      <c r="CU43" s="32">
        <f t="shared" si="62"/>
        <v>4.7893651283411866E-2</v>
      </c>
    </row>
    <row r="44" spans="4:100" x14ac:dyDescent="0.25">
      <c r="J44" s="24">
        <v>120</v>
      </c>
      <c r="K44" s="44">
        <f>F41</f>
        <v>4.2928887730976834E-2</v>
      </c>
      <c r="L44" s="32">
        <f>summary!H10</f>
        <v>5.1755608653064417E-2</v>
      </c>
      <c r="AB44" s="24">
        <v>120</v>
      </c>
      <c r="AC44" s="44">
        <f>X41</f>
        <v>5.5833646253055487E-2</v>
      </c>
      <c r="AD44" s="32">
        <f t="shared" si="58"/>
        <v>5.1755608653064417E-2</v>
      </c>
      <c r="AM44" s="13"/>
      <c r="AS44" s="24">
        <v>120</v>
      </c>
      <c r="AT44" s="44">
        <f>AO41</f>
        <v>4.0129016730302933E-2</v>
      </c>
      <c r="AU44" s="32">
        <f t="shared" si="59"/>
        <v>5.1755608653064417E-2</v>
      </c>
      <c r="BJ44" s="24">
        <v>120</v>
      </c>
      <c r="BK44" s="44">
        <f>BF41</f>
        <v>4.0137407181802712E-2</v>
      </c>
      <c r="BL44" s="32">
        <f>AU44</f>
        <v>5.1755608653064417E-2</v>
      </c>
      <c r="CA44" s="24">
        <v>120</v>
      </c>
      <c r="CB44" s="44">
        <f>BW41</f>
        <v>5.5833646253055487E-2</v>
      </c>
      <c r="CC44" s="32">
        <f t="shared" si="61"/>
        <v>5.1755608653064417E-2</v>
      </c>
      <c r="CS44" s="24">
        <v>120</v>
      </c>
      <c r="CT44" s="44">
        <f>CO41</f>
        <v>5.4794529474975463E-2</v>
      </c>
      <c r="CU44" s="32">
        <f t="shared" si="62"/>
        <v>5.1755608653064417E-2</v>
      </c>
    </row>
    <row r="45" spans="4:100" x14ac:dyDescent="0.25">
      <c r="J45" s="57"/>
      <c r="K45" s="58"/>
      <c r="L45" s="58"/>
      <c r="AB45" s="57"/>
      <c r="AC45" s="58"/>
      <c r="AD45" s="58"/>
      <c r="AM45" s="13"/>
      <c r="AS45" s="57"/>
      <c r="AT45" s="58"/>
      <c r="AU45" s="58"/>
      <c r="BJ45" s="57"/>
      <c r="BK45" s="58"/>
      <c r="BL45" s="58"/>
      <c r="BM45" s="61"/>
      <c r="CA45" s="57"/>
      <c r="CB45" s="58"/>
      <c r="CC45" s="58"/>
      <c r="CS45" s="57"/>
      <c r="CT45" s="58"/>
      <c r="CU45" s="58"/>
    </row>
    <row r="46" spans="4:100" x14ac:dyDescent="0.25">
      <c r="AM46" s="13"/>
      <c r="AS46" s="61"/>
      <c r="AT46" s="61"/>
      <c r="AU46" s="61"/>
      <c r="CA46" s="61"/>
      <c r="CB46" s="61"/>
      <c r="CC46" s="61"/>
      <c r="CS46" s="61"/>
      <c r="CT46" s="61"/>
      <c r="CU46" s="61"/>
    </row>
    <row r="47" spans="4:100" x14ac:dyDescent="0.25">
      <c r="J47" t="s">
        <v>28</v>
      </c>
      <c r="AB47" t="s">
        <v>17</v>
      </c>
      <c r="AM47" s="13"/>
      <c r="AS47" t="s">
        <v>17</v>
      </c>
      <c r="BJ47" t="s">
        <v>17</v>
      </c>
      <c r="CA47" t="s">
        <v>17</v>
      </c>
      <c r="CS47" t="s">
        <v>17</v>
      </c>
    </row>
    <row r="48" spans="4:100" x14ac:dyDescent="0.25">
      <c r="J48" s="27" t="s">
        <v>9</v>
      </c>
      <c r="K48" s="27" t="s">
        <v>13</v>
      </c>
      <c r="L48" s="28" t="s">
        <v>14</v>
      </c>
      <c r="M48" s="28" t="s">
        <v>18</v>
      </c>
      <c r="AB48" s="27" t="s">
        <v>9</v>
      </c>
      <c r="AC48" s="27" t="s">
        <v>13</v>
      </c>
      <c r="AD48" s="28" t="s">
        <v>14</v>
      </c>
      <c r="AE48" s="28" t="s">
        <v>18</v>
      </c>
      <c r="AM48" s="13"/>
      <c r="AS48" s="27" t="s">
        <v>9</v>
      </c>
      <c r="AT48" s="27" t="s">
        <v>13</v>
      </c>
      <c r="AU48" s="28" t="s">
        <v>14</v>
      </c>
      <c r="AV48" s="28" t="s">
        <v>18</v>
      </c>
      <c r="BJ48" s="27" t="s">
        <v>9</v>
      </c>
      <c r="BK48" s="27" t="s">
        <v>13</v>
      </c>
      <c r="BL48" s="28" t="s">
        <v>14</v>
      </c>
      <c r="BM48" s="28" t="s">
        <v>18</v>
      </c>
      <c r="CA48" s="27" t="s">
        <v>9</v>
      </c>
      <c r="CB48" s="27" t="s">
        <v>13</v>
      </c>
      <c r="CC48" s="28" t="s">
        <v>14</v>
      </c>
      <c r="CD48" s="28" t="s">
        <v>18</v>
      </c>
      <c r="CS48" s="27" t="s">
        <v>9</v>
      </c>
      <c r="CT48" s="27" t="s">
        <v>13</v>
      </c>
      <c r="CU48" s="28" t="s">
        <v>14</v>
      </c>
      <c r="CV48" s="28" t="s">
        <v>18</v>
      </c>
    </row>
    <row r="49" spans="10:100" x14ac:dyDescent="0.25">
      <c r="J49" s="29">
        <v>0</v>
      </c>
      <c r="K49" s="45">
        <f>E3</f>
        <v>0.04</v>
      </c>
      <c r="L49" s="47">
        <f>summary!G6</f>
        <v>0.04</v>
      </c>
      <c r="M49" s="17" cm="1">
        <f t="array" ref="M49">SQRT(SUMSQ(K49:K54-L49:L54)/COUNTA(K49:K54-L49:L54))</f>
        <v>5.3916506538434234E-3</v>
      </c>
      <c r="AB49" s="29">
        <v>0</v>
      </c>
      <c r="AC49" s="45">
        <f>W3</f>
        <v>0.04</v>
      </c>
      <c r="AD49" s="42">
        <f>L49</f>
        <v>0.04</v>
      </c>
      <c r="AE49" s="17" cm="1">
        <f t="array" ref="AE49">SQRT(SUMSQ(AC49:AC54-AD49:AD54)/COUNTA(AC49:AC54-AD49:AD54))</f>
        <v>7.8765600862802532E-3</v>
      </c>
      <c r="AM49" s="13"/>
      <c r="AS49" s="29">
        <v>0</v>
      </c>
      <c r="AT49" s="45">
        <f>AN3</f>
        <v>0.04</v>
      </c>
      <c r="AU49" s="42">
        <f>AD49</f>
        <v>0.04</v>
      </c>
      <c r="AV49" s="17" cm="1">
        <f t="array" ref="AV49">SQRT(SUMSQ(AT49:AT54-AU49:AU54)/COUNTA(AT49:AT54-AU49:AU54))</f>
        <v>6.6215157268316735E-3</v>
      </c>
      <c r="BJ49" s="29">
        <v>0</v>
      </c>
      <c r="BK49" s="45">
        <f>BE3</f>
        <v>0.04</v>
      </c>
      <c r="BL49" s="42">
        <f>AU49</f>
        <v>0.04</v>
      </c>
      <c r="BM49" s="17" cm="1">
        <f t="array" ref="BM49">SQRT(SUMSQ(BK49:BK54-BL49:BL54)/COUNTA(BK49:BK54-BL49:BL54))</f>
        <v>6.6206485357765167E-3</v>
      </c>
      <c r="CA49" s="29">
        <v>0</v>
      </c>
      <c r="CB49" s="45">
        <f>BV3</f>
        <v>0.04</v>
      </c>
      <c r="CC49" s="42">
        <f>BL49</f>
        <v>0.04</v>
      </c>
      <c r="CD49" s="17" cm="1">
        <f t="array" ref="CD49">SQRT(SUMSQ(CB49:CB54-CC49:CC54)/COUNTA(CB49:CB54-CC49:CC54))</f>
        <v>7.8767546436357121E-3</v>
      </c>
      <c r="CS49" s="29">
        <v>0</v>
      </c>
      <c r="CT49" s="45">
        <f>CN3</f>
        <v>0.04</v>
      </c>
      <c r="CU49" s="42">
        <f>CC49</f>
        <v>0.04</v>
      </c>
      <c r="CV49" s="17" cm="1">
        <f t="array" ref="CV49">SQRT(SUMSQ(CT49:CT54-CU49:CU54)/COUNTA(CT49:CT54-CU49:CU54))</f>
        <v>1.8162401933589276E-3</v>
      </c>
    </row>
    <row r="50" spans="10:100" x14ac:dyDescent="0.25">
      <c r="J50" s="27">
        <v>10</v>
      </c>
      <c r="K50" s="45">
        <f>E13</f>
        <v>4.0255211027454586E-2</v>
      </c>
      <c r="L50" s="47">
        <f>summary!G7</f>
        <v>4.0883015185033886E-2</v>
      </c>
      <c r="AB50" s="27">
        <v>10</v>
      </c>
      <c r="AC50" s="45">
        <f>W13</f>
        <v>5.5833031231600105E-2</v>
      </c>
      <c r="AD50" s="42">
        <f t="shared" ref="AD50:AD53" si="63">L50</f>
        <v>4.0883015185033886E-2</v>
      </c>
      <c r="AM50" s="13"/>
      <c r="AS50" s="27">
        <v>10</v>
      </c>
      <c r="AT50" s="45">
        <f>AN13</f>
        <v>4.0010288263227611E-2</v>
      </c>
      <c r="AU50" s="42">
        <f t="shared" ref="AU50:AU53" si="64">AD50</f>
        <v>4.0883015185033886E-2</v>
      </c>
      <c r="BJ50" s="27">
        <v>10</v>
      </c>
      <c r="BK50" s="45">
        <f>BE13</f>
        <v>4.0010448697487488E-2</v>
      </c>
      <c r="BL50" s="42">
        <f t="shared" ref="BL50:BL53" si="65">AU50</f>
        <v>4.0883015185033886E-2</v>
      </c>
      <c r="CA50" s="27">
        <v>10</v>
      </c>
      <c r="CB50" s="45">
        <f>BV13</f>
        <v>5.5833646253055487E-2</v>
      </c>
      <c r="CC50" s="42">
        <f t="shared" ref="CC50:CC54" si="66">BL50</f>
        <v>4.0883015185033886E-2</v>
      </c>
      <c r="CS50" s="27">
        <v>10</v>
      </c>
      <c r="CT50" s="45">
        <f>CN13</f>
        <v>4.29514155640532E-2</v>
      </c>
      <c r="CU50" s="42">
        <f t="shared" ref="CU50:CU53" si="67">CC50</f>
        <v>4.0883015185033886E-2</v>
      </c>
    </row>
    <row r="51" spans="10:100" x14ac:dyDescent="0.25">
      <c r="J51" s="27">
        <v>30</v>
      </c>
      <c r="K51" s="45">
        <f>E25</f>
        <v>4.07533587030839E-2</v>
      </c>
      <c r="L51" s="47">
        <f>summary!G8</f>
        <v>4.7200498607488234E-2</v>
      </c>
      <c r="AB51" s="27">
        <v>30</v>
      </c>
      <c r="AC51" s="45">
        <f>W25</f>
        <v>5.5833646253054557E-2</v>
      </c>
      <c r="AD51" s="42">
        <f t="shared" si="63"/>
        <v>4.7200498607488234E-2</v>
      </c>
      <c r="AM51" s="13"/>
      <c r="AS51" s="27">
        <v>30</v>
      </c>
      <c r="AT51" s="45">
        <f>AN25</f>
        <v>4.0030844738944166E-2</v>
      </c>
      <c r="AU51" s="42">
        <f t="shared" si="64"/>
        <v>4.7200498607488234E-2</v>
      </c>
      <c r="BJ51" s="27">
        <v>30</v>
      </c>
      <c r="BK51" s="45">
        <f>BE25</f>
        <v>4.0031325411579041E-2</v>
      </c>
      <c r="BL51" s="42">
        <f t="shared" si="65"/>
        <v>4.7200498607488234E-2</v>
      </c>
      <c r="CA51" s="27">
        <v>30</v>
      </c>
      <c r="CB51" s="45">
        <f>BV25</f>
        <v>5.5833646253055487E-2</v>
      </c>
      <c r="CC51" s="42">
        <f t="shared" si="66"/>
        <v>4.7200498607488234E-2</v>
      </c>
      <c r="CS51" s="27">
        <v>30</v>
      </c>
      <c r="CT51" s="45">
        <f>CN25</f>
        <v>4.7306350219082194E-2</v>
      </c>
      <c r="CU51" s="42">
        <f t="shared" si="67"/>
        <v>4.7200498607488234E-2</v>
      </c>
    </row>
    <row r="52" spans="10:100" x14ac:dyDescent="0.25">
      <c r="J52" s="27">
        <v>60</v>
      </c>
      <c r="K52" s="45">
        <f>E31</f>
        <v>4.147087289338524E-2</v>
      </c>
      <c r="L52" s="47">
        <f>summary!G9</f>
        <v>4.7978393655140922E-2</v>
      </c>
      <c r="AB52" s="27">
        <v>60</v>
      </c>
      <c r="AC52" s="45">
        <f>W31</f>
        <v>5.5833646253055487E-2</v>
      </c>
      <c r="AD52" s="42">
        <f t="shared" si="63"/>
        <v>4.7978393655140922E-2</v>
      </c>
      <c r="AM52" s="13"/>
      <c r="AS52" s="27">
        <v>60</v>
      </c>
      <c r="AT52" s="45">
        <f>AN31</f>
        <v>4.0061629390786127E-2</v>
      </c>
      <c r="AU52" s="42">
        <f t="shared" si="64"/>
        <v>4.7978393655140922E-2</v>
      </c>
      <c r="BJ52" s="27">
        <v>60</v>
      </c>
      <c r="BK52" s="45">
        <f>BE31</f>
        <v>4.0062588848714865E-2</v>
      </c>
      <c r="BL52" s="42">
        <f t="shared" si="65"/>
        <v>4.7978393655140922E-2</v>
      </c>
      <c r="CA52" s="27">
        <v>60</v>
      </c>
      <c r="CB52" s="45">
        <f>BV31</f>
        <v>5.5833646253055487E-2</v>
      </c>
      <c r="CC52" s="42">
        <f>BL52</f>
        <v>4.7978393655140922E-2</v>
      </c>
      <c r="CS52" s="27">
        <v>60</v>
      </c>
      <c r="CT52" s="45">
        <f>CN31</f>
        <v>5.1241224741997375E-2</v>
      </c>
      <c r="CU52" s="42">
        <f t="shared" si="67"/>
        <v>4.7978393655140922E-2</v>
      </c>
    </row>
    <row r="53" spans="10:100" x14ac:dyDescent="0.25">
      <c r="J53" s="27">
        <v>120</v>
      </c>
      <c r="K53" s="45">
        <f>E41</f>
        <v>4.2805108461803215E-2</v>
      </c>
      <c r="L53" s="47">
        <f>summary!G10</f>
        <v>5.2297832157699113E-2</v>
      </c>
      <c r="AB53" s="27">
        <v>120</v>
      </c>
      <c r="AC53" s="45">
        <f>W41</f>
        <v>5.5833646253055487E-2</v>
      </c>
      <c r="AD53" s="42">
        <f t="shared" si="63"/>
        <v>5.2297832157699113E-2</v>
      </c>
      <c r="AM53" s="13"/>
      <c r="AS53" s="27">
        <v>120</v>
      </c>
      <c r="AT53" s="45">
        <f>AN41</f>
        <v>4.0123018901146237E-2</v>
      </c>
      <c r="AU53" s="42">
        <f t="shared" si="64"/>
        <v>5.2297832157699113E-2</v>
      </c>
      <c r="BJ53" s="27">
        <v>120</v>
      </c>
      <c r="BK53" s="45">
        <f>BE41</f>
        <v>4.0124930289857218E-2</v>
      </c>
      <c r="BL53" s="42">
        <f t="shared" si="65"/>
        <v>5.2297832157699113E-2</v>
      </c>
      <c r="CA53" s="27">
        <v>120</v>
      </c>
      <c r="CB53" s="45">
        <f>BV41</f>
        <v>5.5833646253055487E-2</v>
      </c>
      <c r="CC53" s="42">
        <f t="shared" si="66"/>
        <v>5.2297832157699113E-2</v>
      </c>
      <c r="CS53" s="27">
        <v>120</v>
      </c>
      <c r="CT53" s="45">
        <f>CN41</f>
        <v>5.4501651398670047E-2</v>
      </c>
      <c r="CU53" s="42">
        <f t="shared" si="67"/>
        <v>5.2297832157699113E-2</v>
      </c>
    </row>
    <row r="54" spans="10:100" x14ac:dyDescent="0.25">
      <c r="J54" s="57"/>
      <c r="K54" s="58"/>
      <c r="L54" s="59"/>
      <c r="AB54" s="57"/>
      <c r="AC54" s="58"/>
      <c r="AD54" s="58"/>
      <c r="AM54" s="13"/>
      <c r="AS54" s="57"/>
      <c r="AT54" s="58"/>
      <c r="AU54" s="58"/>
      <c r="BJ54" s="57"/>
      <c r="BK54" s="58"/>
      <c r="BL54" s="58"/>
      <c r="BM54" s="61"/>
      <c r="CA54" s="57"/>
      <c r="CB54" s="58"/>
      <c r="CC54" s="58"/>
      <c r="CS54" s="57"/>
      <c r="CT54" s="58"/>
      <c r="CU54" s="58"/>
    </row>
    <row r="55" spans="10:100" x14ac:dyDescent="0.25">
      <c r="L55" s="8"/>
      <c r="AD55" s="8"/>
      <c r="AM55" s="13"/>
      <c r="AU55" s="8"/>
      <c r="BL55" s="8"/>
      <c r="CA55" s="61"/>
      <c r="CB55" s="61"/>
      <c r="CC55" s="62"/>
      <c r="CS55" s="61"/>
      <c r="CT55" s="61"/>
      <c r="CU55" s="62"/>
    </row>
    <row r="56" spans="10:100" x14ac:dyDescent="0.25">
      <c r="J56" s="13">
        <v>0</v>
      </c>
      <c r="K56" s="13">
        <v>0</v>
      </c>
      <c r="AB56" s="13">
        <v>0</v>
      </c>
      <c r="AC56" s="13">
        <v>0</v>
      </c>
      <c r="AM56" s="13"/>
      <c r="AS56" s="13">
        <v>0</v>
      </c>
      <c r="AT56" s="13">
        <v>0</v>
      </c>
      <c r="BJ56" s="13">
        <v>0</v>
      </c>
      <c r="BK56" s="13">
        <v>0</v>
      </c>
      <c r="CA56" s="13">
        <v>0</v>
      </c>
      <c r="CB56" s="13">
        <v>0</v>
      </c>
      <c r="CS56" s="13">
        <v>0</v>
      </c>
      <c r="CT56" s="13">
        <v>0</v>
      </c>
    </row>
    <row r="57" spans="10:100" x14ac:dyDescent="0.25">
      <c r="J57" s="13">
        <v>0.2</v>
      </c>
      <c r="K57" s="13">
        <v>0.2</v>
      </c>
      <c r="AB57" s="13">
        <v>0.2</v>
      </c>
      <c r="AC57" s="13">
        <v>0.2</v>
      </c>
      <c r="AM57" s="13"/>
      <c r="AS57" s="13">
        <v>0.2</v>
      </c>
      <c r="AT57" s="13">
        <v>0.2</v>
      </c>
      <c r="BJ57" s="13">
        <v>0.2</v>
      </c>
      <c r="BK57" s="13">
        <v>0.2</v>
      </c>
      <c r="CA57" s="13">
        <v>0.2</v>
      </c>
      <c r="CB57" s="13">
        <v>0.2</v>
      </c>
      <c r="CS57" s="13">
        <v>0.2</v>
      </c>
      <c r="CT57" s="13">
        <v>0.2</v>
      </c>
    </row>
    <row r="58" spans="10:100" x14ac:dyDescent="0.25">
      <c r="AM58" s="13"/>
    </row>
    <row r="59" spans="10:100" x14ac:dyDescent="0.25">
      <c r="AM59" s="13"/>
    </row>
  </sheetData>
  <mergeCells count="6">
    <mergeCell ref="E1:H1"/>
    <mergeCell ref="W1:Z1"/>
    <mergeCell ref="AN1:AQ1"/>
    <mergeCell ref="BE1:BH1"/>
    <mergeCell ref="BV1:BY1"/>
    <mergeCell ref="CN1:CQ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1. k as func of τ  </vt:lpstr>
      <vt:lpstr>2. k as func of τ &amp; τmin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Bernal Vallejos, Sebastian (bern9483@vandals.uidaho.edu)</dc:creator>
  <cp:lastModifiedBy>Hucke Nunez, Nicole (huck4481@vandals.uidaho.edu)</cp:lastModifiedBy>
  <dcterms:created xsi:type="dcterms:W3CDTF">2025-12-10T22:56:15Z</dcterms:created>
  <dcterms:modified xsi:type="dcterms:W3CDTF">2026-03-12T00:18:57Z</dcterms:modified>
</cp:coreProperties>
</file>