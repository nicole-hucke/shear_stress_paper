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Calibration\ManualRockMovements-1\"/>
    </mc:Choice>
  </mc:AlternateContent>
  <xr:revisionPtr revIDLastSave="0" documentId="13_ncr:1_{0CDBD82F-253B-40E3-BCE1-F7DECD73DDA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mpact Pipe" sheetId="1" r:id="rId1"/>
    <sheet name="Microphone" sheetId="4" r:id="rId2"/>
    <sheet name="csv for code (pipe)" sheetId="2" r:id="rId3"/>
    <sheet name="csv for code (mic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" i="4"/>
  <c r="Q26" i="4" s="1"/>
  <c r="R26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" i="4"/>
  <c r="R27" i="4" s="1"/>
  <c r="R24" i="4" l="1"/>
  <c r="R25" i="4"/>
  <c r="Q27" i="4"/>
  <c r="Q25" i="4"/>
  <c r="Q24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G8" i="1"/>
  <c r="H2" i="1"/>
  <c r="K2" i="1" s="1"/>
  <c r="H3" i="1"/>
  <c r="H4" i="1"/>
  <c r="H5" i="1"/>
  <c r="H6" i="1"/>
  <c r="H7" i="1"/>
  <c r="G3" i="1"/>
  <c r="G4" i="1"/>
  <c r="G5" i="1"/>
  <c r="G6" i="1"/>
  <c r="G7" i="1"/>
  <c r="G2" i="1"/>
  <c r="L2" i="4" l="1"/>
</calcChain>
</file>

<file path=xl/sharedStrings.xml><?xml version="1.0" encoding="utf-8"?>
<sst xmlns="http://schemas.openxmlformats.org/spreadsheetml/2006/main" count="32" uniqueCount="17">
  <si>
    <t>Particle #</t>
  </si>
  <si>
    <t>Size (mm)</t>
  </si>
  <si>
    <t>Aprox Time Start</t>
  </si>
  <si>
    <t>Aprox Time End</t>
  </si>
  <si>
    <t>interspace</t>
  </si>
  <si>
    <t>duration (s)</t>
  </si>
  <si>
    <t>avg</t>
  </si>
  <si>
    <t>id</t>
  </si>
  <si>
    <t>start_time</t>
  </si>
  <si>
    <t>end_time</t>
  </si>
  <si>
    <t xml:space="preserve">Env Max A </t>
  </si>
  <si>
    <t xml:space="preserve">Raw Max A </t>
  </si>
  <si>
    <t>Env Max A</t>
  </si>
  <si>
    <t>Raw Max A</t>
  </si>
  <si>
    <t>B-axis (mm)</t>
  </si>
  <si>
    <t>Sieve Size (mm)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</si>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</sst>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</a:t>
            </a:r>
            <a:r>
              <a:rPr lang="en-US" baseline="0"/>
              <a:t> vs Particle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Envelope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824709704714141"/>
                  <c:y val="-9.123410169691888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'Impact Pipe'!$B$2:$B$25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'Impact Pipe'!$F$2:$F$25</c:f>
              <c:numCache>
                <c:formatCode>General</c:formatCode>
                <c:ptCount val="24"/>
                <c:pt idx="0">
                  <c:v>8.3199999999999996E-2</c:v>
                </c:pt>
                <c:pt idx="1">
                  <c:v>3.7100000000000001E-2</c:v>
                </c:pt>
                <c:pt idx="2">
                  <c:v>0.10489999999999999</c:v>
                </c:pt>
                <c:pt idx="3">
                  <c:v>4.0300000000000002E-2</c:v>
                </c:pt>
                <c:pt idx="4">
                  <c:v>2.86E-2</c:v>
                </c:pt>
                <c:pt idx="5">
                  <c:v>2.86E-2</c:v>
                </c:pt>
                <c:pt idx="6">
                  <c:v>3.0099999999999998E-2</c:v>
                </c:pt>
                <c:pt idx="7">
                  <c:v>4.6800000000000001E-2</c:v>
                </c:pt>
                <c:pt idx="8">
                  <c:v>2.9499999999999998E-2</c:v>
                </c:pt>
                <c:pt idx="9">
                  <c:v>2.5000000000000001E-2</c:v>
                </c:pt>
                <c:pt idx="10">
                  <c:v>1.4800000000000001E-2</c:v>
                </c:pt>
                <c:pt idx="11">
                  <c:v>4.5900000000000003E-2</c:v>
                </c:pt>
                <c:pt idx="12">
                  <c:v>1.9800000000000002E-2</c:v>
                </c:pt>
                <c:pt idx="13">
                  <c:v>1.54E-2</c:v>
                </c:pt>
                <c:pt idx="14">
                  <c:v>1.6999999999999999E-3</c:v>
                </c:pt>
                <c:pt idx="15">
                  <c:v>1.03E-2</c:v>
                </c:pt>
                <c:pt idx="16">
                  <c:v>4.7000000000000002E-3</c:v>
                </c:pt>
                <c:pt idx="17">
                  <c:v>5.8999999999999999E-3</c:v>
                </c:pt>
                <c:pt idx="18">
                  <c:v>1.06E-2</c:v>
                </c:pt>
                <c:pt idx="19">
                  <c:v>6.3E-3</c:v>
                </c:pt>
                <c:pt idx="20">
                  <c:v>5.1000000000000004E-3</c:v>
                </c:pt>
                <c:pt idx="21">
                  <c:v>1.8E-3</c:v>
                </c:pt>
                <c:pt idx="22">
                  <c:v>2.3E-3</c:v>
                </c:pt>
                <c:pt idx="23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C-43D6-9D7E-2BF6B7887A94}"/>
            </c:ext>
          </c:extLst>
        </c:ser>
        <c:ser>
          <c:idx val="1"/>
          <c:order val="1"/>
          <c:tx>
            <c:v>Raw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7899331441159839"/>
                  <c:y val="-0.2497751204450592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'Impact Pipe'!$B$2:$B$25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'Impact Pipe'!$E$2:$E$25</c:f>
              <c:numCache>
                <c:formatCode>General</c:formatCode>
                <c:ptCount val="24"/>
                <c:pt idx="0">
                  <c:v>7.0800000000000002E-2</c:v>
                </c:pt>
                <c:pt idx="1">
                  <c:v>2.5700000000000001E-2</c:v>
                </c:pt>
                <c:pt idx="2">
                  <c:v>7.0800000000000002E-2</c:v>
                </c:pt>
                <c:pt idx="3">
                  <c:v>3.7100000000000001E-2</c:v>
                </c:pt>
                <c:pt idx="4">
                  <c:v>2.6100000000000002E-2</c:v>
                </c:pt>
                <c:pt idx="5">
                  <c:v>2.8400000000000002E-2</c:v>
                </c:pt>
                <c:pt idx="6">
                  <c:v>2.7799999999999998E-2</c:v>
                </c:pt>
                <c:pt idx="7">
                  <c:v>4.4900000000000002E-2</c:v>
                </c:pt>
                <c:pt idx="8">
                  <c:v>2.8799999999999999E-2</c:v>
                </c:pt>
                <c:pt idx="9">
                  <c:v>2.3199999999999998E-2</c:v>
                </c:pt>
                <c:pt idx="10">
                  <c:v>1.4800000000000001E-2</c:v>
                </c:pt>
                <c:pt idx="11">
                  <c:v>4.07E-2</c:v>
                </c:pt>
                <c:pt idx="12">
                  <c:v>1.8100000000000002E-2</c:v>
                </c:pt>
                <c:pt idx="13">
                  <c:v>1.4800000000000001E-2</c:v>
                </c:pt>
                <c:pt idx="14">
                  <c:v>1.6999999999999999E-3</c:v>
                </c:pt>
                <c:pt idx="15">
                  <c:v>9.9000000000000008E-3</c:v>
                </c:pt>
                <c:pt idx="16">
                  <c:v>4.5999999999999999E-3</c:v>
                </c:pt>
                <c:pt idx="17">
                  <c:v>5.4000000000000003E-3</c:v>
                </c:pt>
                <c:pt idx="18">
                  <c:v>1.06E-2</c:v>
                </c:pt>
                <c:pt idx="19">
                  <c:v>5.4000000000000003E-3</c:v>
                </c:pt>
                <c:pt idx="20">
                  <c:v>5.1000000000000004E-3</c:v>
                </c:pt>
                <c:pt idx="21">
                  <c:v>1.8E-3</c:v>
                </c:pt>
                <c:pt idx="22">
                  <c:v>2.2000000000000001E-3</c:v>
                </c:pt>
                <c:pt idx="23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9E-491E-AB92-2397FAE5B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</a:t>
            </a:r>
            <a:r>
              <a:rPr lang="en-US" baseline="0"/>
              <a:t> vs Particle Size - Microphone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Envelope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40462062742939603"/>
                  <c:y val="-0.1767838794857911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Microphone!$B$2:$B$25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Microphone!$G$2:$G$25</c:f>
              <c:numCache>
                <c:formatCode>General</c:formatCode>
                <c:ptCount val="24"/>
                <c:pt idx="0">
                  <c:v>0.42620000000000002</c:v>
                </c:pt>
                <c:pt idx="1">
                  <c:v>0.53100000000000003</c:v>
                </c:pt>
                <c:pt idx="2">
                  <c:v>1.7165999999999999</c:v>
                </c:pt>
                <c:pt idx="3">
                  <c:v>2.181</c:v>
                </c:pt>
                <c:pt idx="4">
                  <c:v>0.21290000000000001</c:v>
                </c:pt>
                <c:pt idx="5">
                  <c:v>0.43819999999999998</c:v>
                </c:pt>
                <c:pt idx="6">
                  <c:v>0.6008</c:v>
                </c:pt>
                <c:pt idx="7">
                  <c:v>1.6635</c:v>
                </c:pt>
                <c:pt idx="8">
                  <c:v>0.25240000000000001</c:v>
                </c:pt>
                <c:pt idx="9">
                  <c:v>0.48759999999999998</c:v>
                </c:pt>
                <c:pt idx="10">
                  <c:v>0.12859999999999999</c:v>
                </c:pt>
                <c:pt idx="11">
                  <c:v>1.5174000000000001</c:v>
                </c:pt>
                <c:pt idx="12">
                  <c:v>0.1636</c:v>
                </c:pt>
                <c:pt idx="13">
                  <c:v>0.31130000000000002</c:v>
                </c:pt>
                <c:pt idx="14">
                  <c:v>7.6899999999999996E-2</c:v>
                </c:pt>
                <c:pt idx="15">
                  <c:v>0.42749999999999999</c:v>
                </c:pt>
                <c:pt idx="16">
                  <c:v>0.34499999999999997</c:v>
                </c:pt>
                <c:pt idx="17">
                  <c:v>6.4899999999999999E-2</c:v>
                </c:pt>
                <c:pt idx="18">
                  <c:v>0.1132</c:v>
                </c:pt>
                <c:pt idx="19">
                  <c:v>6.0400000000000002E-2</c:v>
                </c:pt>
                <c:pt idx="20">
                  <c:v>8.1600000000000006E-2</c:v>
                </c:pt>
                <c:pt idx="21">
                  <c:v>4.4699999999999997E-2</c:v>
                </c:pt>
                <c:pt idx="22">
                  <c:v>5.4300000000000001E-2</c:v>
                </c:pt>
                <c:pt idx="23">
                  <c:v>9.2799999999999994E-2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FF-4FF2-B816-C9155A354E68}"/>
            </c:ext>
          </c:extLst>
        </c:ser>
        <c:ser>
          <c:idx val="1"/>
          <c:order val="1"/>
          <c:tx>
            <c:v>Raw Signal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40475973367178869"/>
                  <c:y val="-0.3924688375039703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Microphone!$B$2:$B$25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Microphone!$F$2:$F$25</c:f>
              <c:numCache>
                <c:formatCode>General</c:formatCode>
                <c:ptCount val="24"/>
                <c:pt idx="0">
                  <c:v>0.41399999999999998</c:v>
                </c:pt>
                <c:pt idx="1">
                  <c:v>0.49199999999999999</c:v>
                </c:pt>
                <c:pt idx="2">
                  <c:v>0.63100000000000001</c:v>
                </c:pt>
                <c:pt idx="3">
                  <c:v>0.63100000000000001</c:v>
                </c:pt>
                <c:pt idx="4">
                  <c:v>0.19889999999999999</c:v>
                </c:pt>
                <c:pt idx="5">
                  <c:v>0.43659999999999999</c:v>
                </c:pt>
                <c:pt idx="6">
                  <c:v>0.45229999999999998</c:v>
                </c:pt>
                <c:pt idx="7">
                  <c:v>0.63100000000000001</c:v>
                </c:pt>
                <c:pt idx="8">
                  <c:v>0.2351</c:v>
                </c:pt>
                <c:pt idx="9">
                  <c:v>0.39989999999999998</c:v>
                </c:pt>
                <c:pt idx="10">
                  <c:v>0.1285</c:v>
                </c:pt>
                <c:pt idx="11">
                  <c:v>0.63100000000000001</c:v>
                </c:pt>
                <c:pt idx="12">
                  <c:v>0.16109999999999999</c:v>
                </c:pt>
                <c:pt idx="13">
                  <c:v>0.29780000000000001</c:v>
                </c:pt>
                <c:pt idx="14">
                  <c:v>7.6100000000000001E-2</c:v>
                </c:pt>
                <c:pt idx="15">
                  <c:v>0.41970000000000002</c:v>
                </c:pt>
                <c:pt idx="16">
                  <c:v>0.34360000000000002</c:v>
                </c:pt>
                <c:pt idx="17">
                  <c:v>5.1900000000000002E-2</c:v>
                </c:pt>
                <c:pt idx="18">
                  <c:v>0.1132</c:v>
                </c:pt>
                <c:pt idx="19">
                  <c:v>5.8500000000000003E-2</c:v>
                </c:pt>
                <c:pt idx="20">
                  <c:v>7.4499999999999997E-2</c:v>
                </c:pt>
                <c:pt idx="21">
                  <c:v>4.4299999999999999E-2</c:v>
                </c:pt>
                <c:pt idx="22">
                  <c:v>5.0999999999999997E-2</c:v>
                </c:pt>
                <c:pt idx="23">
                  <c:v>9.2200000000000004E-2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34-4DF1-8D75-78E5E871D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487680</xdr:colOff>
      <xdr:row>3</xdr:row>
      <xdr:rowOff>99060</xdr:rowOff>
    </xdr:from>
    <xdr:to>
      <xdr:col>14</xdr:col>
      <xdr:colOff>480060</xdr:colOff>
      <xdr:row>21</xdr:row>
      <xdr:rowOff>160974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8EE4C1-EB4A-4103-8986-D8712A8C1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487680</xdr:colOff>
      <xdr:row>3</xdr:row>
      <xdr:rowOff>99060</xdr:rowOff>
    </xdr:from>
    <xdr:to>
      <xdr:col>15</xdr:col>
      <xdr:colOff>480060</xdr:colOff>
      <xdr:row>21</xdr:row>
      <xdr:rowOff>160974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C5F572-54DF-4884-8642-BB59FE6AF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E2" sqref="E2:F25"/>
    </sheetView>
  </sheetViews>
  <sheetFormatPr defaultRowHeight="15" x14ac:dyDescent="0.25"/>
  <cols>
    <col min="1" max="1" width="15.85546875" style="1" customWidth="1"/>
    <col min="2" max="2" width="13" style="1" customWidth="1"/>
    <col min="3" max="3" width="24.42578125" style="1" customWidth="1"/>
    <col min="4" max="4" width="17.85546875" style="1" customWidth="1"/>
    <col min="5" max="5" width="13.85546875" customWidth="1"/>
    <col min="6" max="6" width="13.28515625" customWidth="1"/>
    <col min="7" max="7" width="14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5</v>
      </c>
      <c r="H1" s="1" t="s">
        <v>4</v>
      </c>
    </row>
    <row r="2" spans="1:11" x14ac:dyDescent="0.25">
      <c r="A2" s="1">
        <v>167</v>
      </c>
      <c r="B2" s="2">
        <v>128</v>
      </c>
      <c r="C2" s="1">
        <v>41</v>
      </c>
      <c r="D2" s="1">
        <v>48</v>
      </c>
      <c r="E2" s="1">
        <v>7.0800000000000002E-2</v>
      </c>
      <c r="F2" s="1">
        <v>8.3199999999999996E-2</v>
      </c>
      <c r="G2" s="1">
        <f>D2-C2</f>
        <v>7</v>
      </c>
      <c r="H2" s="1">
        <f t="shared" ref="H2:H24" si="0">C3-D2</f>
        <v>32</v>
      </c>
      <c r="J2" t="s">
        <v>6</v>
      </c>
      <c r="K2">
        <f>AVERAGE(H2:H24)</f>
        <v>34.347826086956523</v>
      </c>
    </row>
    <row r="3" spans="1:11" x14ac:dyDescent="0.25">
      <c r="A3" s="1">
        <v>6</v>
      </c>
      <c r="B3" s="2">
        <v>128</v>
      </c>
      <c r="C3" s="1">
        <v>80</v>
      </c>
      <c r="D3" s="1">
        <v>90</v>
      </c>
      <c r="E3" s="1">
        <v>2.5700000000000001E-2</v>
      </c>
      <c r="F3" s="1">
        <v>3.7100000000000001E-2</v>
      </c>
      <c r="G3" s="1">
        <f t="shared" ref="G3:G25" si="1">D3-C3</f>
        <v>10</v>
      </c>
      <c r="H3" s="1">
        <f t="shared" si="0"/>
        <v>25</v>
      </c>
    </row>
    <row r="4" spans="1:11" x14ac:dyDescent="0.25">
      <c r="A4" s="1">
        <v>8</v>
      </c>
      <c r="B4" s="2">
        <v>128</v>
      </c>
      <c r="C4" s="1">
        <v>115</v>
      </c>
      <c r="D4" s="1">
        <v>125</v>
      </c>
      <c r="E4" s="1">
        <v>7.0800000000000002E-2</v>
      </c>
      <c r="F4" s="1">
        <v>0.10489999999999999</v>
      </c>
      <c r="G4" s="1">
        <f t="shared" si="1"/>
        <v>10</v>
      </c>
      <c r="H4" s="1">
        <f t="shared" si="0"/>
        <v>25</v>
      </c>
    </row>
    <row r="5" spans="1:11" x14ac:dyDescent="0.25">
      <c r="A5" s="1">
        <v>168</v>
      </c>
      <c r="B5" s="2">
        <v>128</v>
      </c>
      <c r="C5" s="1">
        <v>150</v>
      </c>
      <c r="D5" s="1">
        <v>160</v>
      </c>
      <c r="E5" s="1">
        <v>3.7100000000000001E-2</v>
      </c>
      <c r="F5" s="1">
        <v>4.0300000000000002E-2</v>
      </c>
      <c r="G5" s="1">
        <f t="shared" si="1"/>
        <v>10</v>
      </c>
      <c r="H5" s="1">
        <f t="shared" si="0"/>
        <v>34</v>
      </c>
    </row>
    <row r="6" spans="1:11" x14ac:dyDescent="0.25">
      <c r="A6" s="1">
        <v>150</v>
      </c>
      <c r="B6" s="3">
        <v>90</v>
      </c>
      <c r="C6" s="1">
        <v>194</v>
      </c>
      <c r="D6" s="1">
        <v>199</v>
      </c>
      <c r="E6" s="1">
        <v>2.6100000000000002E-2</v>
      </c>
      <c r="F6" s="1">
        <v>2.86E-2</v>
      </c>
      <c r="G6" s="1">
        <f t="shared" si="1"/>
        <v>5</v>
      </c>
      <c r="H6" s="1">
        <f t="shared" si="0"/>
        <v>27</v>
      </c>
    </row>
    <row r="7" spans="1:11" x14ac:dyDescent="0.25">
      <c r="A7" s="1">
        <v>11</v>
      </c>
      <c r="B7" s="3">
        <v>90</v>
      </c>
      <c r="C7" s="1">
        <v>226</v>
      </c>
      <c r="D7" s="1">
        <v>234</v>
      </c>
      <c r="E7" s="1">
        <v>2.8400000000000002E-2</v>
      </c>
      <c r="F7" s="1">
        <v>2.86E-2</v>
      </c>
      <c r="G7" s="1">
        <f t="shared" si="1"/>
        <v>8</v>
      </c>
      <c r="H7" s="1">
        <f t="shared" si="0"/>
        <v>31</v>
      </c>
    </row>
    <row r="8" spans="1:11" x14ac:dyDescent="0.25">
      <c r="A8" s="1">
        <v>22</v>
      </c>
      <c r="B8" s="3">
        <v>90</v>
      </c>
      <c r="C8" s="1">
        <v>265</v>
      </c>
      <c r="D8" s="1">
        <v>275</v>
      </c>
      <c r="E8" s="1">
        <v>2.7799999999999998E-2</v>
      </c>
      <c r="F8" s="1">
        <v>3.0099999999999998E-2</v>
      </c>
      <c r="G8" s="1">
        <f t="shared" si="1"/>
        <v>10</v>
      </c>
      <c r="H8" s="1">
        <f t="shared" si="0"/>
        <v>35</v>
      </c>
    </row>
    <row r="9" spans="1:11" x14ac:dyDescent="0.25">
      <c r="A9" s="1">
        <v>152</v>
      </c>
      <c r="B9" s="3">
        <v>90</v>
      </c>
      <c r="C9" s="1">
        <v>310</v>
      </c>
      <c r="D9" s="1">
        <v>320</v>
      </c>
      <c r="E9" s="1">
        <v>4.4900000000000002E-2</v>
      </c>
      <c r="F9" s="1">
        <v>4.6800000000000001E-2</v>
      </c>
      <c r="G9" s="1">
        <f t="shared" si="1"/>
        <v>10</v>
      </c>
      <c r="H9" s="1">
        <f t="shared" si="0"/>
        <v>37</v>
      </c>
    </row>
    <row r="10" spans="1:11" x14ac:dyDescent="0.25">
      <c r="A10" s="1">
        <v>12</v>
      </c>
      <c r="B10" s="4">
        <v>64</v>
      </c>
      <c r="C10" s="1">
        <v>357</v>
      </c>
      <c r="D10" s="1">
        <v>360</v>
      </c>
      <c r="E10" s="1">
        <v>2.8799999999999999E-2</v>
      </c>
      <c r="F10" s="1">
        <v>2.9499999999999998E-2</v>
      </c>
      <c r="G10" s="1">
        <f t="shared" si="1"/>
        <v>3</v>
      </c>
      <c r="H10" s="1">
        <f t="shared" si="0"/>
        <v>32</v>
      </c>
    </row>
    <row r="11" spans="1:11" x14ac:dyDescent="0.25">
      <c r="A11" s="1">
        <v>96</v>
      </c>
      <c r="B11" s="4">
        <v>64</v>
      </c>
      <c r="C11" s="1">
        <v>392</v>
      </c>
      <c r="D11" s="1">
        <v>400</v>
      </c>
      <c r="E11" s="1">
        <v>2.3199999999999998E-2</v>
      </c>
      <c r="F11" s="1">
        <v>2.5000000000000001E-2</v>
      </c>
      <c r="G11" s="1">
        <f t="shared" si="1"/>
        <v>8</v>
      </c>
      <c r="H11" s="1">
        <f t="shared" si="0"/>
        <v>32</v>
      </c>
    </row>
    <row r="12" spans="1:11" x14ac:dyDescent="0.25">
      <c r="A12" s="1">
        <v>101</v>
      </c>
      <c r="B12" s="4">
        <v>64</v>
      </c>
      <c r="C12" s="1">
        <v>432</v>
      </c>
      <c r="D12" s="1">
        <v>438</v>
      </c>
      <c r="E12" s="1">
        <v>1.4800000000000001E-2</v>
      </c>
      <c r="F12" s="1">
        <v>1.4800000000000001E-2</v>
      </c>
      <c r="G12" s="1">
        <f t="shared" si="1"/>
        <v>6</v>
      </c>
      <c r="H12" s="1">
        <f t="shared" si="0"/>
        <v>30</v>
      </c>
    </row>
    <row r="13" spans="1:11" x14ac:dyDescent="0.25">
      <c r="A13" s="1">
        <v>24</v>
      </c>
      <c r="B13" s="4">
        <v>64</v>
      </c>
      <c r="C13" s="1">
        <v>468</v>
      </c>
      <c r="D13" s="1">
        <v>478</v>
      </c>
      <c r="E13" s="1">
        <v>4.07E-2</v>
      </c>
      <c r="F13" s="1">
        <v>4.5900000000000003E-2</v>
      </c>
      <c r="G13" s="1">
        <f t="shared" si="1"/>
        <v>10</v>
      </c>
      <c r="H13" s="1">
        <f t="shared" si="0"/>
        <v>37</v>
      </c>
    </row>
    <row r="14" spans="1:11" x14ac:dyDescent="0.25">
      <c r="A14" s="1">
        <v>107</v>
      </c>
      <c r="B14" s="5">
        <v>45</v>
      </c>
      <c r="C14" s="1">
        <v>515</v>
      </c>
      <c r="D14" s="1">
        <v>520</v>
      </c>
      <c r="E14" s="1">
        <v>1.8100000000000002E-2</v>
      </c>
      <c r="F14" s="1">
        <v>1.9800000000000002E-2</v>
      </c>
      <c r="G14" s="1">
        <f t="shared" si="1"/>
        <v>5</v>
      </c>
      <c r="H14" s="1">
        <f t="shared" si="0"/>
        <v>30</v>
      </c>
    </row>
    <row r="15" spans="1:11" x14ac:dyDescent="0.25">
      <c r="A15" s="1">
        <v>162</v>
      </c>
      <c r="B15" s="5">
        <v>45</v>
      </c>
      <c r="C15" s="1">
        <v>550</v>
      </c>
      <c r="D15" s="1">
        <v>560</v>
      </c>
      <c r="E15" s="1">
        <v>1.4800000000000001E-2</v>
      </c>
      <c r="F15" s="1">
        <v>1.54E-2</v>
      </c>
      <c r="G15" s="1">
        <f t="shared" si="1"/>
        <v>10</v>
      </c>
      <c r="H15" s="1">
        <f t="shared" si="0"/>
        <v>35</v>
      </c>
    </row>
    <row r="16" spans="1:11" x14ac:dyDescent="0.25">
      <c r="A16" s="1">
        <v>159</v>
      </c>
      <c r="B16" s="5">
        <v>45</v>
      </c>
      <c r="C16" s="1">
        <v>595</v>
      </c>
      <c r="D16" s="1">
        <v>610</v>
      </c>
      <c r="E16" s="1">
        <v>1.6999999999999999E-3</v>
      </c>
      <c r="F16" s="1">
        <v>1.6999999999999999E-3</v>
      </c>
      <c r="G16" s="1">
        <f t="shared" si="1"/>
        <v>15</v>
      </c>
      <c r="H16" s="1">
        <f t="shared" si="0"/>
        <v>32</v>
      </c>
    </row>
    <row r="17" spans="1:8" x14ac:dyDescent="0.25">
      <c r="A17" s="1">
        <v>35</v>
      </c>
      <c r="B17" s="5">
        <v>45</v>
      </c>
      <c r="C17" s="1">
        <v>642</v>
      </c>
      <c r="D17" s="1">
        <v>648</v>
      </c>
      <c r="E17" s="1">
        <v>9.9000000000000008E-3</v>
      </c>
      <c r="F17" s="1">
        <v>1.03E-2</v>
      </c>
      <c r="G17" s="1">
        <f t="shared" si="1"/>
        <v>6</v>
      </c>
      <c r="H17" s="1">
        <f t="shared" si="0"/>
        <v>37</v>
      </c>
    </row>
    <row r="18" spans="1:8" x14ac:dyDescent="0.25">
      <c r="A18" s="1">
        <v>69</v>
      </c>
      <c r="B18" s="6">
        <v>32</v>
      </c>
      <c r="C18" s="1">
        <v>685</v>
      </c>
      <c r="D18" s="1">
        <v>689</v>
      </c>
      <c r="E18" s="1">
        <v>4.5999999999999999E-3</v>
      </c>
      <c r="F18" s="1">
        <v>4.7000000000000002E-3</v>
      </c>
      <c r="G18" s="1">
        <f t="shared" si="1"/>
        <v>4</v>
      </c>
      <c r="H18" s="1">
        <f t="shared" si="0"/>
        <v>41</v>
      </c>
    </row>
    <row r="19" spans="1:8" x14ac:dyDescent="0.25">
      <c r="A19" s="1">
        <v>85</v>
      </c>
      <c r="B19" s="6">
        <v>32</v>
      </c>
      <c r="C19" s="1">
        <v>730</v>
      </c>
      <c r="D19" s="1">
        <v>736</v>
      </c>
      <c r="E19" s="1">
        <v>5.4000000000000003E-3</v>
      </c>
      <c r="F19" s="1">
        <v>5.8999999999999999E-3</v>
      </c>
      <c r="G19" s="1">
        <f t="shared" si="1"/>
        <v>6</v>
      </c>
      <c r="H19" s="1">
        <f t="shared" si="0"/>
        <v>46</v>
      </c>
    </row>
    <row r="20" spans="1:8" x14ac:dyDescent="0.25">
      <c r="A20" s="1">
        <v>61</v>
      </c>
      <c r="B20" s="6">
        <v>32</v>
      </c>
      <c r="C20" s="1">
        <v>782</v>
      </c>
      <c r="D20" s="1">
        <v>788</v>
      </c>
      <c r="E20" s="1">
        <v>1.06E-2</v>
      </c>
      <c r="F20" s="1">
        <v>1.06E-2</v>
      </c>
      <c r="G20" s="1">
        <f t="shared" si="1"/>
        <v>6</v>
      </c>
      <c r="H20" s="1">
        <f t="shared" si="0"/>
        <v>32</v>
      </c>
    </row>
    <row r="21" spans="1:8" x14ac:dyDescent="0.25">
      <c r="A21" s="1">
        <v>52</v>
      </c>
      <c r="B21" s="6">
        <v>32</v>
      </c>
      <c r="C21" s="1">
        <v>820</v>
      </c>
      <c r="D21" s="1">
        <v>825</v>
      </c>
      <c r="E21" s="1">
        <v>5.4000000000000003E-3</v>
      </c>
      <c r="F21" s="1">
        <v>6.3E-3</v>
      </c>
      <c r="G21" s="1">
        <f t="shared" si="1"/>
        <v>5</v>
      </c>
      <c r="H21" s="1">
        <f t="shared" si="0"/>
        <v>40</v>
      </c>
    </row>
    <row r="22" spans="1:8" x14ac:dyDescent="0.25">
      <c r="A22" s="1">
        <v>165</v>
      </c>
      <c r="B22" s="7">
        <v>16</v>
      </c>
      <c r="C22" s="1">
        <v>865</v>
      </c>
      <c r="D22" s="1">
        <v>875</v>
      </c>
      <c r="E22" s="1">
        <v>5.1000000000000004E-3</v>
      </c>
      <c r="F22" s="1">
        <v>5.1000000000000004E-3</v>
      </c>
      <c r="G22" s="1">
        <f t="shared" si="1"/>
        <v>10</v>
      </c>
      <c r="H22" s="1">
        <f t="shared" si="0"/>
        <v>45</v>
      </c>
    </row>
    <row r="23" spans="1:8" x14ac:dyDescent="0.25">
      <c r="A23" s="1">
        <v>166</v>
      </c>
      <c r="B23" s="7">
        <v>16</v>
      </c>
      <c r="C23" s="1">
        <v>920</v>
      </c>
      <c r="D23" s="1">
        <v>930</v>
      </c>
      <c r="E23" s="1">
        <v>1.8E-3</v>
      </c>
      <c r="F23" s="1">
        <v>1.8E-3</v>
      </c>
      <c r="G23" s="1">
        <f t="shared" si="1"/>
        <v>10</v>
      </c>
      <c r="H23" s="1">
        <f t="shared" si="0"/>
        <v>40</v>
      </c>
    </row>
    <row r="24" spans="1:8" x14ac:dyDescent="0.25">
      <c r="A24" s="1">
        <v>53</v>
      </c>
      <c r="B24" s="8">
        <v>22.6</v>
      </c>
      <c r="C24" s="1">
        <v>970</v>
      </c>
      <c r="D24" s="1">
        <v>985</v>
      </c>
      <c r="E24" s="1">
        <v>2.2000000000000001E-3</v>
      </c>
      <c r="F24" s="1">
        <v>2.3E-3</v>
      </c>
      <c r="G24" s="1">
        <f t="shared" si="1"/>
        <v>15</v>
      </c>
      <c r="H24" s="1">
        <f t="shared" si="0"/>
        <v>35</v>
      </c>
    </row>
    <row r="25" spans="1:8" x14ac:dyDescent="0.25">
      <c r="A25" s="1">
        <v>45</v>
      </c>
      <c r="B25" s="8">
        <v>22.6</v>
      </c>
      <c r="C25" s="1">
        <v>1020</v>
      </c>
      <c r="D25" s="1">
        <v>1030</v>
      </c>
      <c r="E25" s="1">
        <v>4.0000000000000001E-3</v>
      </c>
      <c r="F25" s="1">
        <v>4.0000000000000001E-3</v>
      </c>
      <c r="G25" s="1">
        <f t="shared" si="1"/>
        <v>10</v>
      </c>
      <c r="H2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E506-11C9-432A-9FE1-D04D59569C0D}">
  <dimension ref="A1:R27"/>
  <sheetViews>
    <sheetView tabSelected="1" workbookViewId="0">
      <selection activeCell="D12" sqref="D12"/>
    </sheetView>
  </sheetViews>
  <sheetFormatPr defaultRowHeight="15" x14ac:dyDescent="0.25"/>
  <cols>
    <col min="1" max="1" width="15.85546875" style="1" customWidth="1"/>
    <col min="2" max="2" width="15" style="1" customWidth="1"/>
    <col min="3" max="3" width="13" style="1" customWidth="1"/>
    <col min="4" max="4" width="24.42578125" style="1" customWidth="1"/>
    <col min="5" max="5" width="17.85546875" style="1" customWidth="1"/>
    <col min="6" max="6" width="13.85546875" customWidth="1"/>
    <col min="7" max="7" width="13.28515625" customWidth="1"/>
    <col min="8" max="8" width="14.5703125" customWidth="1"/>
  </cols>
  <sheetData>
    <row r="1" spans="1:18" x14ac:dyDescent="0.25">
      <c r="A1" s="1" t="s">
        <v>0</v>
      </c>
      <c r="B1" s="1" t="s">
        <v>15</v>
      </c>
      <c r="C1" s="1" t="s">
        <v>14</v>
      </c>
      <c r="D1" s="1" t="s">
        <v>2</v>
      </c>
      <c r="E1" s="1" t="s">
        <v>3</v>
      </c>
      <c r="F1" s="1" t="s">
        <v>13</v>
      </c>
      <c r="G1" s="1" t="s">
        <v>10</v>
      </c>
      <c r="H1" s="1" t="s">
        <v>5</v>
      </c>
      <c r="I1" s="1" t="s">
        <v>4</v>
      </c>
    </row>
    <row r="2" spans="1:18" x14ac:dyDescent="0.25">
      <c r="A2" s="1">
        <v>167</v>
      </c>
      <c r="B2" s="2">
        <v>128</v>
      </c>
      <c r="C2" s="2">
        <v>220</v>
      </c>
      <c r="D2" s="1">
        <v>50</v>
      </c>
      <c r="E2" s="1">
        <v>75</v>
      </c>
      <c r="F2" s="1">
        <v>0.41399999999999998</v>
      </c>
      <c r="G2" s="1">
        <v>0.42620000000000002</v>
      </c>
      <c r="H2" s="1">
        <f>E2-D2</f>
        <v>25</v>
      </c>
      <c r="I2" s="1">
        <f t="shared" ref="I2:I24" si="0">D3-E2</f>
        <v>15</v>
      </c>
      <c r="K2" t="s">
        <v>6</v>
      </c>
      <c r="L2">
        <f>AVERAGE(I2:I24)</f>
        <v>26.913043478260871</v>
      </c>
      <c r="Q2">
        <f>D2-'Impact Pipe'!C2</f>
        <v>9</v>
      </c>
      <c r="R2">
        <f>E2-'Impact Pipe'!D2</f>
        <v>27</v>
      </c>
    </row>
    <row r="3" spans="1:18" x14ac:dyDescent="0.25">
      <c r="A3" s="1">
        <v>6</v>
      </c>
      <c r="B3" s="2">
        <v>128</v>
      </c>
      <c r="C3" s="2" t="s">
        <v>16</v>
      </c>
      <c r="D3" s="1">
        <v>90</v>
      </c>
      <c r="E3" s="1">
        <v>110</v>
      </c>
      <c r="F3" s="1">
        <v>0.49199999999999999</v>
      </c>
      <c r="G3" s="1">
        <v>0.53100000000000003</v>
      </c>
      <c r="H3" s="1">
        <f t="shared" ref="H3:H25" si="1">E3-D3</f>
        <v>20</v>
      </c>
      <c r="I3" s="1">
        <f t="shared" si="0"/>
        <v>20</v>
      </c>
      <c r="Q3">
        <f>D3-'Impact Pipe'!C3</f>
        <v>10</v>
      </c>
      <c r="R3">
        <f>E3-'Impact Pipe'!D3</f>
        <v>20</v>
      </c>
    </row>
    <row r="4" spans="1:18" x14ac:dyDescent="0.25">
      <c r="A4" s="1">
        <v>8</v>
      </c>
      <c r="B4" s="2">
        <v>128</v>
      </c>
      <c r="C4" s="2">
        <v>160</v>
      </c>
      <c r="D4" s="1">
        <v>130</v>
      </c>
      <c r="E4" s="1">
        <v>140</v>
      </c>
      <c r="F4" s="1">
        <v>0.63100000000000001</v>
      </c>
      <c r="G4" s="1">
        <v>1.7165999999999999</v>
      </c>
      <c r="H4" s="1">
        <f t="shared" si="1"/>
        <v>10</v>
      </c>
      <c r="I4" s="1">
        <f t="shared" si="0"/>
        <v>25</v>
      </c>
      <c r="Q4">
        <f>D4-'Impact Pipe'!C4</f>
        <v>15</v>
      </c>
      <c r="R4">
        <f>E4-'Impact Pipe'!D4</f>
        <v>15</v>
      </c>
    </row>
    <row r="5" spans="1:18" x14ac:dyDescent="0.25">
      <c r="A5" s="1">
        <v>168</v>
      </c>
      <c r="B5" s="2">
        <v>128</v>
      </c>
      <c r="C5" s="2">
        <v>196</v>
      </c>
      <c r="D5" s="1">
        <v>165</v>
      </c>
      <c r="E5" s="1">
        <v>180</v>
      </c>
      <c r="F5" s="1">
        <v>0.63100000000000001</v>
      </c>
      <c r="G5" s="1">
        <v>2.181</v>
      </c>
      <c r="H5" s="1">
        <f t="shared" si="1"/>
        <v>15</v>
      </c>
      <c r="I5" s="1">
        <f t="shared" si="0"/>
        <v>20</v>
      </c>
      <c r="Q5">
        <f>D5-'Impact Pipe'!C5</f>
        <v>15</v>
      </c>
      <c r="R5">
        <f>E5-'Impact Pipe'!D5</f>
        <v>20</v>
      </c>
    </row>
    <row r="6" spans="1:18" x14ac:dyDescent="0.25">
      <c r="A6" s="1">
        <v>150</v>
      </c>
      <c r="B6" s="3">
        <v>90</v>
      </c>
      <c r="C6" s="3">
        <v>108.42</v>
      </c>
      <c r="D6" s="1">
        <v>200</v>
      </c>
      <c r="E6" s="1">
        <v>215</v>
      </c>
      <c r="F6" s="1">
        <v>0.19889999999999999</v>
      </c>
      <c r="G6" s="1">
        <v>0.21290000000000001</v>
      </c>
      <c r="H6" s="1">
        <f t="shared" si="1"/>
        <v>15</v>
      </c>
      <c r="I6" s="1">
        <f t="shared" si="0"/>
        <v>25</v>
      </c>
      <c r="Q6">
        <f>D6-'Impact Pipe'!C6</f>
        <v>6</v>
      </c>
      <c r="R6">
        <f>E6-'Impact Pipe'!D6</f>
        <v>16</v>
      </c>
    </row>
    <row r="7" spans="1:18" x14ac:dyDescent="0.25">
      <c r="A7" s="1">
        <v>11</v>
      </c>
      <c r="B7" s="3">
        <v>90</v>
      </c>
      <c r="C7" s="3">
        <v>127.22</v>
      </c>
      <c r="D7" s="1">
        <v>240</v>
      </c>
      <c r="E7" s="1">
        <v>250</v>
      </c>
      <c r="F7" s="1">
        <v>0.43659999999999999</v>
      </c>
      <c r="G7" s="1">
        <v>0.43819999999999998</v>
      </c>
      <c r="H7" s="1">
        <f t="shared" si="1"/>
        <v>10</v>
      </c>
      <c r="I7" s="1">
        <f t="shared" si="0"/>
        <v>30</v>
      </c>
      <c r="Q7">
        <f>D7-'Impact Pipe'!C7</f>
        <v>14</v>
      </c>
      <c r="R7">
        <f>E7-'Impact Pipe'!D7</f>
        <v>16</v>
      </c>
    </row>
    <row r="8" spans="1:18" x14ac:dyDescent="0.25">
      <c r="A8" s="1">
        <v>22</v>
      </c>
      <c r="B8" s="3">
        <v>90</v>
      </c>
      <c r="C8" s="3" t="s">
        <v>16</v>
      </c>
      <c r="D8" s="1">
        <v>280</v>
      </c>
      <c r="E8" s="1">
        <v>286</v>
      </c>
      <c r="F8" s="1">
        <v>0.45229999999999998</v>
      </c>
      <c r="G8" s="1">
        <v>0.6008</v>
      </c>
      <c r="H8" s="1">
        <f t="shared" si="1"/>
        <v>6</v>
      </c>
      <c r="I8" s="1">
        <f t="shared" si="0"/>
        <v>39</v>
      </c>
      <c r="Q8">
        <f>D8-'Impact Pipe'!C8</f>
        <v>15</v>
      </c>
      <c r="R8">
        <f>E8-'Impact Pipe'!D8</f>
        <v>11</v>
      </c>
    </row>
    <row r="9" spans="1:18" x14ac:dyDescent="0.25">
      <c r="A9" s="1">
        <v>152</v>
      </c>
      <c r="B9" s="3">
        <v>90</v>
      </c>
      <c r="C9" s="3">
        <v>91.54</v>
      </c>
      <c r="D9" s="1">
        <v>325</v>
      </c>
      <c r="E9" s="1">
        <v>335</v>
      </c>
      <c r="F9" s="1">
        <v>0.63100000000000001</v>
      </c>
      <c r="G9" s="1">
        <v>1.6635</v>
      </c>
      <c r="H9" s="1">
        <f t="shared" si="1"/>
        <v>10</v>
      </c>
      <c r="I9" s="1">
        <f t="shared" si="0"/>
        <v>30</v>
      </c>
      <c r="Q9">
        <f>D9-'Impact Pipe'!C9</f>
        <v>15</v>
      </c>
      <c r="R9">
        <f>E9-'Impact Pipe'!D9</f>
        <v>15</v>
      </c>
    </row>
    <row r="10" spans="1:18" x14ac:dyDescent="0.25">
      <c r="A10" s="1">
        <v>12</v>
      </c>
      <c r="B10" s="4">
        <v>64</v>
      </c>
      <c r="C10" s="4">
        <v>84.2</v>
      </c>
      <c r="D10" s="1">
        <v>365</v>
      </c>
      <c r="E10" s="1">
        <v>375</v>
      </c>
      <c r="F10" s="1">
        <v>0.2351</v>
      </c>
      <c r="G10" s="1">
        <v>0.25240000000000001</v>
      </c>
      <c r="H10" s="1">
        <f t="shared" si="1"/>
        <v>10</v>
      </c>
      <c r="I10" s="1">
        <f t="shared" si="0"/>
        <v>25</v>
      </c>
      <c r="Q10">
        <f>D10-'Impact Pipe'!C10</f>
        <v>8</v>
      </c>
      <c r="R10">
        <f>E10-'Impact Pipe'!D10</f>
        <v>15</v>
      </c>
    </row>
    <row r="11" spans="1:18" x14ac:dyDescent="0.25">
      <c r="A11" s="1">
        <v>96</v>
      </c>
      <c r="B11" s="4">
        <v>64</v>
      </c>
      <c r="C11" s="4">
        <v>86.98</v>
      </c>
      <c r="D11" s="1">
        <v>400</v>
      </c>
      <c r="E11" s="1">
        <v>415</v>
      </c>
      <c r="F11" s="1">
        <v>0.39989999999999998</v>
      </c>
      <c r="G11" s="1">
        <v>0.48759999999999998</v>
      </c>
      <c r="H11" s="1">
        <f t="shared" si="1"/>
        <v>15</v>
      </c>
      <c r="I11" s="1">
        <f t="shared" si="0"/>
        <v>30</v>
      </c>
      <c r="Q11">
        <f>D11-'Impact Pipe'!C11</f>
        <v>8</v>
      </c>
      <c r="R11">
        <f>E11-'Impact Pipe'!D11</f>
        <v>15</v>
      </c>
    </row>
    <row r="12" spans="1:18" x14ac:dyDescent="0.25">
      <c r="A12" s="1">
        <v>101</v>
      </c>
      <c r="B12" s="4">
        <v>64</v>
      </c>
      <c r="C12" s="4">
        <v>108.92</v>
      </c>
      <c r="D12" s="1">
        <v>445</v>
      </c>
      <c r="E12" s="1">
        <v>450</v>
      </c>
      <c r="F12" s="1">
        <v>0.1285</v>
      </c>
      <c r="G12" s="1">
        <v>0.12859999999999999</v>
      </c>
      <c r="H12" s="1">
        <f t="shared" si="1"/>
        <v>5</v>
      </c>
      <c r="I12" s="1">
        <f t="shared" si="0"/>
        <v>35</v>
      </c>
      <c r="Q12">
        <f>D12-'Impact Pipe'!C12</f>
        <v>13</v>
      </c>
      <c r="R12">
        <f>E12-'Impact Pipe'!D12</f>
        <v>12</v>
      </c>
    </row>
    <row r="13" spans="1:18" x14ac:dyDescent="0.25">
      <c r="A13" s="1">
        <v>24</v>
      </c>
      <c r="B13" s="4">
        <v>64</v>
      </c>
      <c r="C13" s="4">
        <v>87.98</v>
      </c>
      <c r="D13" s="1">
        <v>485</v>
      </c>
      <c r="E13" s="1">
        <v>490</v>
      </c>
      <c r="F13" s="1">
        <v>0.63100000000000001</v>
      </c>
      <c r="G13" s="1">
        <v>1.5174000000000001</v>
      </c>
      <c r="H13" s="1">
        <f t="shared" si="1"/>
        <v>5</v>
      </c>
      <c r="I13" s="1">
        <f t="shared" si="0"/>
        <v>30</v>
      </c>
      <c r="Q13">
        <f>D13-'Impact Pipe'!C13</f>
        <v>17</v>
      </c>
      <c r="R13">
        <f>E13-'Impact Pipe'!D13</f>
        <v>12</v>
      </c>
    </row>
    <row r="14" spans="1:18" x14ac:dyDescent="0.25">
      <c r="A14" s="1">
        <v>107</v>
      </c>
      <c r="B14" s="5">
        <v>45</v>
      </c>
      <c r="C14" s="5">
        <v>52.94</v>
      </c>
      <c r="D14" s="1">
        <v>520</v>
      </c>
      <c r="E14" s="1">
        <v>540</v>
      </c>
      <c r="F14" s="1">
        <v>0.16109999999999999</v>
      </c>
      <c r="G14" s="1">
        <v>0.1636</v>
      </c>
      <c r="H14" s="1">
        <f t="shared" si="1"/>
        <v>20</v>
      </c>
      <c r="I14" s="1">
        <f t="shared" si="0"/>
        <v>30</v>
      </c>
      <c r="Q14">
        <f>D14-'Impact Pipe'!C14</f>
        <v>5</v>
      </c>
      <c r="R14">
        <f>E14-'Impact Pipe'!D14</f>
        <v>20</v>
      </c>
    </row>
    <row r="15" spans="1:18" x14ac:dyDescent="0.25">
      <c r="A15" s="1">
        <v>162</v>
      </c>
      <c r="B15" s="5">
        <v>45</v>
      </c>
      <c r="C15" s="5">
        <v>54.05</v>
      </c>
      <c r="D15" s="1">
        <v>570</v>
      </c>
      <c r="E15" s="1">
        <v>575</v>
      </c>
      <c r="F15" s="1">
        <v>0.29780000000000001</v>
      </c>
      <c r="G15" s="1">
        <v>0.31130000000000002</v>
      </c>
      <c r="H15" s="1">
        <f t="shared" si="1"/>
        <v>5</v>
      </c>
      <c r="I15" s="1">
        <f t="shared" si="0"/>
        <v>35</v>
      </c>
      <c r="Q15">
        <f>D15-'Impact Pipe'!C15</f>
        <v>20</v>
      </c>
      <c r="R15">
        <f>E15-'Impact Pipe'!D15</f>
        <v>15</v>
      </c>
    </row>
    <row r="16" spans="1:18" x14ac:dyDescent="0.25">
      <c r="A16" s="1">
        <v>159</v>
      </c>
      <c r="B16" s="5">
        <v>45</v>
      </c>
      <c r="C16" s="5">
        <v>54.11</v>
      </c>
      <c r="D16" s="1">
        <v>610</v>
      </c>
      <c r="E16" s="1">
        <v>625</v>
      </c>
      <c r="F16" s="1">
        <v>7.6100000000000001E-2</v>
      </c>
      <c r="G16" s="1">
        <v>7.6899999999999996E-2</v>
      </c>
      <c r="H16" s="1">
        <f t="shared" si="1"/>
        <v>15</v>
      </c>
      <c r="I16" s="1">
        <f t="shared" si="0"/>
        <v>30</v>
      </c>
      <c r="Q16">
        <f>D16-'Impact Pipe'!C16</f>
        <v>15</v>
      </c>
      <c r="R16">
        <f>E16-'Impact Pipe'!D16</f>
        <v>15</v>
      </c>
    </row>
    <row r="17" spans="1:18" x14ac:dyDescent="0.25">
      <c r="A17" s="1">
        <v>35</v>
      </c>
      <c r="B17" s="5">
        <v>45</v>
      </c>
      <c r="C17" s="5">
        <v>64.849999999999994</v>
      </c>
      <c r="D17" s="1">
        <v>655</v>
      </c>
      <c r="E17" s="1">
        <v>665</v>
      </c>
      <c r="F17" s="1">
        <v>0.41970000000000002</v>
      </c>
      <c r="G17" s="1">
        <v>0.42749999999999999</v>
      </c>
      <c r="H17" s="1">
        <f t="shared" si="1"/>
        <v>10</v>
      </c>
      <c r="I17" s="1">
        <f t="shared" si="0"/>
        <v>30</v>
      </c>
      <c r="Q17">
        <f>D17-'Impact Pipe'!C17</f>
        <v>13</v>
      </c>
      <c r="R17">
        <f>E17-'Impact Pipe'!D17</f>
        <v>17</v>
      </c>
    </row>
    <row r="18" spans="1:18" x14ac:dyDescent="0.25">
      <c r="A18" s="1">
        <v>69</v>
      </c>
      <c r="B18" s="6">
        <v>32</v>
      </c>
      <c r="C18" s="6" t="s">
        <v>16</v>
      </c>
      <c r="D18" s="1">
        <v>695</v>
      </c>
      <c r="E18" s="1">
        <v>710</v>
      </c>
      <c r="F18" s="1">
        <v>0.34360000000000002</v>
      </c>
      <c r="G18" s="1">
        <v>0.34499999999999997</v>
      </c>
      <c r="H18" s="1">
        <f t="shared" si="1"/>
        <v>15</v>
      </c>
      <c r="I18" s="1">
        <f t="shared" si="0"/>
        <v>30</v>
      </c>
      <c r="Q18">
        <f>D18-'Impact Pipe'!C18</f>
        <v>10</v>
      </c>
      <c r="R18">
        <f>E18-'Impact Pipe'!D18</f>
        <v>21</v>
      </c>
    </row>
    <row r="19" spans="1:18" x14ac:dyDescent="0.25">
      <c r="A19" s="1">
        <v>85</v>
      </c>
      <c r="B19" s="6">
        <v>32</v>
      </c>
      <c r="C19" s="6">
        <v>43.74</v>
      </c>
      <c r="D19" s="1">
        <v>740</v>
      </c>
      <c r="E19" s="1">
        <v>760</v>
      </c>
      <c r="F19" s="1">
        <v>5.1900000000000002E-2</v>
      </c>
      <c r="G19" s="1">
        <v>6.4899999999999999E-2</v>
      </c>
      <c r="H19" s="1">
        <f t="shared" si="1"/>
        <v>20</v>
      </c>
      <c r="I19" s="1">
        <f t="shared" si="0"/>
        <v>35</v>
      </c>
      <c r="Q19">
        <f>D19-'Impact Pipe'!C19</f>
        <v>10</v>
      </c>
      <c r="R19">
        <f>E19-'Impact Pipe'!D19</f>
        <v>24</v>
      </c>
    </row>
    <row r="20" spans="1:18" x14ac:dyDescent="0.25">
      <c r="A20" s="1">
        <v>61</v>
      </c>
      <c r="B20" s="6">
        <v>32</v>
      </c>
      <c r="C20" s="6" t="s">
        <v>16</v>
      </c>
      <c r="D20" s="1">
        <v>795</v>
      </c>
      <c r="E20" s="1">
        <v>805</v>
      </c>
      <c r="F20" s="1">
        <v>0.1132</v>
      </c>
      <c r="G20" s="1">
        <v>0.1132</v>
      </c>
      <c r="H20" s="1">
        <f t="shared" si="1"/>
        <v>10</v>
      </c>
      <c r="I20" s="1">
        <f t="shared" si="0"/>
        <v>25</v>
      </c>
      <c r="Q20">
        <f>D20-'Impact Pipe'!C20</f>
        <v>13</v>
      </c>
      <c r="R20">
        <f>E20-'Impact Pipe'!D20</f>
        <v>17</v>
      </c>
    </row>
    <row r="21" spans="1:18" x14ac:dyDescent="0.25">
      <c r="A21" s="1">
        <v>52</v>
      </c>
      <c r="B21" s="6">
        <v>32</v>
      </c>
      <c r="C21" s="6">
        <v>45.6</v>
      </c>
      <c r="D21" s="1">
        <v>830</v>
      </c>
      <c r="E21" s="1">
        <v>850</v>
      </c>
      <c r="F21" s="1">
        <v>5.8500000000000003E-2</v>
      </c>
      <c r="G21" s="1">
        <v>6.0400000000000002E-2</v>
      </c>
      <c r="H21" s="1">
        <f t="shared" si="1"/>
        <v>20</v>
      </c>
      <c r="I21" s="1">
        <f>D22-E21</f>
        <v>20</v>
      </c>
      <c r="Q21">
        <f>D21-'Impact Pipe'!C21</f>
        <v>10</v>
      </c>
      <c r="R21">
        <f>E21-'Impact Pipe'!D21</f>
        <v>25</v>
      </c>
    </row>
    <row r="22" spans="1:18" x14ac:dyDescent="0.25">
      <c r="A22" s="1">
        <v>165</v>
      </c>
      <c r="B22" s="7">
        <v>16</v>
      </c>
      <c r="C22" s="7" t="s">
        <v>16</v>
      </c>
      <c r="D22" s="1">
        <v>870</v>
      </c>
      <c r="E22" s="1">
        <v>900</v>
      </c>
      <c r="F22" s="1">
        <v>7.4499999999999997E-2</v>
      </c>
      <c r="G22" s="1">
        <v>8.1600000000000006E-2</v>
      </c>
      <c r="H22" s="1">
        <f>E22-D22</f>
        <v>30</v>
      </c>
      <c r="I22" s="1">
        <f>D23-E22</f>
        <v>20</v>
      </c>
    </row>
    <row r="23" spans="1:18" x14ac:dyDescent="0.25">
      <c r="A23" s="1">
        <v>166</v>
      </c>
      <c r="B23" s="7">
        <v>16</v>
      </c>
      <c r="C23" s="7" t="s">
        <v>16</v>
      </c>
      <c r="D23" s="1">
        <v>920</v>
      </c>
      <c r="E23" s="1">
        <v>950</v>
      </c>
      <c r="F23" s="1">
        <v>4.4299999999999999E-2</v>
      </c>
      <c r="G23" s="1">
        <v>4.4699999999999997E-2</v>
      </c>
      <c r="H23" s="1">
        <f>E23-D23</f>
        <v>30</v>
      </c>
      <c r="I23" s="1">
        <f>D24-E23</f>
        <v>20</v>
      </c>
    </row>
    <row r="24" spans="1:18" x14ac:dyDescent="0.25">
      <c r="A24" s="1">
        <v>53</v>
      </c>
      <c r="B24" s="8">
        <v>22.6</v>
      </c>
      <c r="C24" s="8" t="s">
        <v>16</v>
      </c>
      <c r="D24" s="1">
        <v>970</v>
      </c>
      <c r="E24" s="1">
        <v>1000</v>
      </c>
      <c r="F24" s="1">
        <v>5.0999999999999997E-2</v>
      </c>
      <c r="G24" s="1">
        <v>5.4300000000000001E-2</v>
      </c>
      <c r="H24" s="1">
        <f t="shared" si="1"/>
        <v>30</v>
      </c>
      <c r="I24" s="1">
        <f t="shared" si="0"/>
        <v>20</v>
      </c>
      <c r="Q24">
        <f>MIN(Q2:Q22)</f>
        <v>5</v>
      </c>
      <c r="R24">
        <f>MIN(R2:R22)</f>
        <v>11</v>
      </c>
    </row>
    <row r="25" spans="1:18" x14ac:dyDescent="0.25">
      <c r="A25" s="1">
        <v>45</v>
      </c>
      <c r="B25" s="8">
        <v>22.6</v>
      </c>
      <c r="C25" s="8">
        <v>29.55</v>
      </c>
      <c r="D25" s="1">
        <v>1020</v>
      </c>
      <c r="E25" s="1">
        <v>1050</v>
      </c>
      <c r="F25" s="1">
        <v>9.2200000000000004E-2</v>
      </c>
      <c r="G25" s="1">
        <v>9.2799999999999994E-2</v>
      </c>
      <c r="H25" s="1">
        <f t="shared" si="1"/>
        <v>30</v>
      </c>
      <c r="I25" s="1"/>
      <c r="Q25">
        <f>AVERAGE(Q2:Q22)</f>
        <v>12.05</v>
      </c>
      <c r="R25">
        <f>AVERAGE(R2:R22)</f>
        <v>17.399999999999999</v>
      </c>
    </row>
    <row r="26" spans="1:18" x14ac:dyDescent="0.25">
      <c r="Q26">
        <f>MEDIAN(Q2:Q21)</f>
        <v>13</v>
      </c>
      <c r="R26">
        <f>MEDIAN(R2:R21)</f>
        <v>16</v>
      </c>
    </row>
    <row r="27" spans="1:18" x14ac:dyDescent="0.25">
      <c r="Q27">
        <f>MAX(Q2:Q21)</f>
        <v>20</v>
      </c>
      <c r="R27">
        <f>MAX(R2:R21)</f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A414-1109-4572-9B8B-8712D66EE434}">
  <dimension ref="A1:C25"/>
  <sheetViews>
    <sheetView workbookViewId="0">
      <selection sqref="A1:C25"/>
    </sheetView>
  </sheetViews>
  <sheetFormatPr defaultRowHeight="15" x14ac:dyDescent="0.25"/>
  <cols>
    <col min="2" max="2" width="16.5703125" customWidth="1"/>
    <col min="3" max="3" width="14.5703125" customWidth="1"/>
  </cols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 s="1">
        <v>167</v>
      </c>
      <c r="B2" s="1">
        <v>41</v>
      </c>
      <c r="C2" s="1">
        <v>48</v>
      </c>
    </row>
    <row r="3" spans="1:3" x14ac:dyDescent="0.25">
      <c r="A3" s="1">
        <v>6</v>
      </c>
      <c r="B3" s="1">
        <v>80</v>
      </c>
      <c r="C3" s="1">
        <v>90</v>
      </c>
    </row>
    <row r="4" spans="1:3" x14ac:dyDescent="0.25">
      <c r="A4" s="1">
        <v>8</v>
      </c>
      <c r="B4" s="1">
        <v>115</v>
      </c>
      <c r="C4" s="1">
        <v>125</v>
      </c>
    </row>
    <row r="5" spans="1:3" x14ac:dyDescent="0.25">
      <c r="A5" s="1">
        <v>168</v>
      </c>
      <c r="B5" s="1">
        <v>150</v>
      </c>
      <c r="C5" s="1">
        <v>160</v>
      </c>
    </row>
    <row r="6" spans="1:3" x14ac:dyDescent="0.25">
      <c r="A6" s="1">
        <v>150</v>
      </c>
      <c r="B6" s="1">
        <v>194</v>
      </c>
      <c r="C6" s="1">
        <v>199</v>
      </c>
    </row>
    <row r="7" spans="1:3" x14ac:dyDescent="0.25">
      <c r="A7" s="1">
        <v>11</v>
      </c>
      <c r="B7" s="1">
        <v>226</v>
      </c>
      <c r="C7" s="1">
        <v>234</v>
      </c>
    </row>
    <row r="8" spans="1:3" x14ac:dyDescent="0.25">
      <c r="A8" s="1">
        <v>22</v>
      </c>
      <c r="B8" s="1">
        <v>265</v>
      </c>
      <c r="C8" s="1">
        <v>275</v>
      </c>
    </row>
    <row r="9" spans="1:3" x14ac:dyDescent="0.25">
      <c r="A9" s="1">
        <v>152</v>
      </c>
      <c r="B9" s="1">
        <v>310</v>
      </c>
      <c r="C9" s="1">
        <v>320</v>
      </c>
    </row>
    <row r="10" spans="1:3" x14ac:dyDescent="0.25">
      <c r="A10" s="1">
        <v>12</v>
      </c>
      <c r="B10" s="1">
        <v>357</v>
      </c>
      <c r="C10" s="1">
        <v>360</v>
      </c>
    </row>
    <row r="11" spans="1:3" x14ac:dyDescent="0.25">
      <c r="A11" s="1">
        <v>96</v>
      </c>
      <c r="B11" s="1">
        <v>392</v>
      </c>
      <c r="C11" s="1">
        <v>400</v>
      </c>
    </row>
    <row r="12" spans="1:3" x14ac:dyDescent="0.25">
      <c r="A12" s="1">
        <v>101</v>
      </c>
      <c r="B12" s="1">
        <v>432</v>
      </c>
      <c r="C12" s="1">
        <v>438</v>
      </c>
    </row>
    <row r="13" spans="1:3" x14ac:dyDescent="0.25">
      <c r="A13" s="1">
        <v>24</v>
      </c>
      <c r="B13" s="1">
        <v>468</v>
      </c>
      <c r="C13" s="1">
        <v>478</v>
      </c>
    </row>
    <row r="14" spans="1:3" x14ac:dyDescent="0.25">
      <c r="A14" s="1">
        <v>107</v>
      </c>
      <c r="B14" s="1">
        <v>515</v>
      </c>
      <c r="C14" s="1">
        <v>520</v>
      </c>
    </row>
    <row r="15" spans="1:3" x14ac:dyDescent="0.25">
      <c r="A15" s="1">
        <v>162</v>
      </c>
      <c r="B15" s="1">
        <v>550</v>
      </c>
      <c r="C15" s="1">
        <v>560</v>
      </c>
    </row>
    <row r="16" spans="1:3" x14ac:dyDescent="0.25">
      <c r="A16" s="1">
        <v>159</v>
      </c>
      <c r="B16" s="1">
        <v>595</v>
      </c>
      <c r="C16" s="1">
        <v>610</v>
      </c>
    </row>
    <row r="17" spans="1:3" x14ac:dyDescent="0.25">
      <c r="A17" s="1">
        <v>35</v>
      </c>
      <c r="B17" s="1">
        <v>642</v>
      </c>
      <c r="C17" s="1">
        <v>648</v>
      </c>
    </row>
    <row r="18" spans="1:3" x14ac:dyDescent="0.25">
      <c r="A18" s="1">
        <v>69</v>
      </c>
      <c r="B18" s="1">
        <v>685</v>
      </c>
      <c r="C18" s="1">
        <v>689</v>
      </c>
    </row>
    <row r="19" spans="1:3" x14ac:dyDescent="0.25">
      <c r="A19" s="1">
        <v>85</v>
      </c>
      <c r="B19" s="1">
        <v>730</v>
      </c>
      <c r="C19" s="1">
        <v>736</v>
      </c>
    </row>
    <row r="20" spans="1:3" x14ac:dyDescent="0.25">
      <c r="A20" s="1">
        <v>61</v>
      </c>
      <c r="B20" s="1">
        <v>782</v>
      </c>
      <c r="C20" s="1">
        <v>788</v>
      </c>
    </row>
    <row r="21" spans="1:3" x14ac:dyDescent="0.25">
      <c r="A21" s="1">
        <v>52</v>
      </c>
      <c r="B21" s="1">
        <v>820</v>
      </c>
      <c r="C21" s="1">
        <v>825</v>
      </c>
    </row>
    <row r="22" spans="1:3" x14ac:dyDescent="0.25">
      <c r="A22" s="1">
        <v>165</v>
      </c>
      <c r="B22" s="1">
        <v>865</v>
      </c>
      <c r="C22" s="1">
        <v>875</v>
      </c>
    </row>
    <row r="23" spans="1:3" x14ac:dyDescent="0.25">
      <c r="A23" s="1">
        <v>166</v>
      </c>
      <c r="B23" s="1">
        <v>920</v>
      </c>
      <c r="C23" s="1">
        <v>930</v>
      </c>
    </row>
    <row r="24" spans="1:3" x14ac:dyDescent="0.25">
      <c r="A24" s="1">
        <v>53</v>
      </c>
      <c r="B24" s="1">
        <v>970</v>
      </c>
      <c r="C24" s="1">
        <v>985</v>
      </c>
    </row>
    <row r="25" spans="1:3" x14ac:dyDescent="0.25">
      <c r="A25" s="1">
        <v>45</v>
      </c>
      <c r="B25" s="1">
        <v>1020</v>
      </c>
      <c r="C25" s="1">
        <v>1030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00DA-7B79-4076-942B-FE916BF2844A}">
  <dimension ref="A1:C25"/>
  <sheetViews>
    <sheetView workbookViewId="0">
      <selection activeCell="H14" sqref="H14"/>
    </sheetView>
  </sheetViews>
  <sheetFormatPr defaultRowHeight="15" x14ac:dyDescent="0.25"/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 s="1">
        <v>167</v>
      </c>
      <c r="B2" s="1">
        <v>50</v>
      </c>
      <c r="C2" s="1">
        <v>75</v>
      </c>
    </row>
    <row r="3" spans="1:3" x14ac:dyDescent="0.25">
      <c r="A3" s="1">
        <v>6</v>
      </c>
      <c r="B3" s="1">
        <v>90</v>
      </c>
      <c r="C3" s="1">
        <v>110</v>
      </c>
    </row>
    <row r="4" spans="1:3" x14ac:dyDescent="0.25">
      <c r="A4" s="1">
        <v>8</v>
      </c>
      <c r="B4" s="1">
        <v>130</v>
      </c>
      <c r="C4" s="1">
        <v>140</v>
      </c>
    </row>
    <row r="5" spans="1:3" x14ac:dyDescent="0.25">
      <c r="A5" s="1">
        <v>168</v>
      </c>
      <c r="B5" s="1">
        <v>165</v>
      </c>
      <c r="C5" s="1">
        <v>180</v>
      </c>
    </row>
    <row r="6" spans="1:3" x14ac:dyDescent="0.25">
      <c r="A6" s="1">
        <v>150</v>
      </c>
      <c r="B6" s="1">
        <v>200</v>
      </c>
      <c r="C6" s="1">
        <v>215</v>
      </c>
    </row>
    <row r="7" spans="1:3" x14ac:dyDescent="0.25">
      <c r="A7" s="1">
        <v>11</v>
      </c>
      <c r="B7" s="1">
        <v>240</v>
      </c>
      <c r="C7" s="1">
        <v>250</v>
      </c>
    </row>
    <row r="8" spans="1:3" x14ac:dyDescent="0.25">
      <c r="A8" s="1">
        <v>22</v>
      </c>
      <c r="B8" s="1">
        <v>280</v>
      </c>
      <c r="C8" s="1">
        <v>286</v>
      </c>
    </row>
    <row r="9" spans="1:3" x14ac:dyDescent="0.25">
      <c r="A9" s="1">
        <v>152</v>
      </c>
      <c r="B9" s="1">
        <v>325</v>
      </c>
      <c r="C9" s="1">
        <v>335</v>
      </c>
    </row>
    <row r="10" spans="1:3" x14ac:dyDescent="0.25">
      <c r="A10" s="1">
        <v>12</v>
      </c>
      <c r="B10" s="1">
        <v>365</v>
      </c>
      <c r="C10" s="1">
        <v>375</v>
      </c>
    </row>
    <row r="11" spans="1:3" x14ac:dyDescent="0.25">
      <c r="A11" s="1">
        <v>96</v>
      </c>
      <c r="B11" s="1">
        <v>400</v>
      </c>
      <c r="C11" s="1">
        <v>415</v>
      </c>
    </row>
    <row r="12" spans="1:3" x14ac:dyDescent="0.25">
      <c r="A12" s="1">
        <v>101</v>
      </c>
      <c r="B12" s="1">
        <v>445</v>
      </c>
      <c r="C12" s="1">
        <v>450</v>
      </c>
    </row>
    <row r="13" spans="1:3" x14ac:dyDescent="0.25">
      <c r="A13" s="1">
        <v>24</v>
      </c>
      <c r="B13" s="1">
        <v>485</v>
      </c>
      <c r="C13" s="1">
        <v>490</v>
      </c>
    </row>
    <row r="14" spans="1:3" x14ac:dyDescent="0.25">
      <c r="A14" s="1">
        <v>107</v>
      </c>
      <c r="B14" s="1">
        <v>520</v>
      </c>
      <c r="C14" s="1">
        <v>540</v>
      </c>
    </row>
    <row r="15" spans="1:3" x14ac:dyDescent="0.25">
      <c r="A15" s="1">
        <v>162</v>
      </c>
      <c r="B15" s="1">
        <v>570</v>
      </c>
      <c r="C15" s="1">
        <v>575</v>
      </c>
    </row>
    <row r="16" spans="1:3" x14ac:dyDescent="0.25">
      <c r="A16" s="1">
        <v>159</v>
      </c>
      <c r="B16" s="1">
        <v>610</v>
      </c>
      <c r="C16" s="1">
        <v>625</v>
      </c>
    </row>
    <row r="17" spans="1:3" x14ac:dyDescent="0.25">
      <c r="A17" s="1">
        <v>35</v>
      </c>
      <c r="B17" s="1">
        <v>655</v>
      </c>
      <c r="C17" s="1">
        <v>665</v>
      </c>
    </row>
    <row r="18" spans="1:3" x14ac:dyDescent="0.25">
      <c r="A18" s="1">
        <v>69</v>
      </c>
      <c r="B18" s="1">
        <v>695</v>
      </c>
      <c r="C18" s="1">
        <v>710</v>
      </c>
    </row>
    <row r="19" spans="1:3" x14ac:dyDescent="0.25">
      <c r="A19" s="1">
        <v>85</v>
      </c>
      <c r="B19" s="1">
        <v>740</v>
      </c>
      <c r="C19" s="1">
        <v>760</v>
      </c>
    </row>
    <row r="20" spans="1:3" x14ac:dyDescent="0.25">
      <c r="A20" s="1">
        <v>61</v>
      </c>
      <c r="B20" s="1">
        <v>795</v>
      </c>
      <c r="C20" s="1">
        <v>805</v>
      </c>
    </row>
    <row r="21" spans="1:3" x14ac:dyDescent="0.25">
      <c r="A21" s="1">
        <v>52</v>
      </c>
      <c r="B21" s="1">
        <v>830</v>
      </c>
      <c r="C21" s="1">
        <v>850</v>
      </c>
    </row>
    <row r="22" spans="1:3" x14ac:dyDescent="0.25">
      <c r="A22" s="1">
        <v>165</v>
      </c>
      <c r="B22" s="1">
        <v>870</v>
      </c>
      <c r="C22" s="1">
        <v>900</v>
      </c>
    </row>
    <row r="23" spans="1:3" x14ac:dyDescent="0.25">
      <c r="A23" s="1">
        <v>166</v>
      </c>
      <c r="B23" s="1">
        <v>920</v>
      </c>
      <c r="C23" s="1">
        <v>950</v>
      </c>
    </row>
    <row r="24" spans="1:3" x14ac:dyDescent="0.25">
      <c r="A24" s="1">
        <v>53</v>
      </c>
      <c r="B24" s="1">
        <v>970</v>
      </c>
      <c r="C24" s="1">
        <v>1000</v>
      </c>
    </row>
    <row r="25" spans="1:3" x14ac:dyDescent="0.25">
      <c r="A25" s="1">
        <v>45</v>
      </c>
      <c r="B25" s="1">
        <v>1020</v>
      </c>
      <c r="C25" s="1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Impact Pipe</vt:lpstr>
      <vt:lpstr>Microphone</vt:lpstr>
      <vt:lpstr>csv for code (pipe)</vt:lpstr>
      <vt:lpstr>csv for code (mic)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2025-11-17T21:43:07Z</dcterms:modified>
</cp:coreProperties>
</file>