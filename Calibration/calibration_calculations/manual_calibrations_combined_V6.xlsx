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3.xml" ContentType="application/vnd.openxmlformats-officedocument.drawing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Calibration\calibration_calculations\"/>
    </mc:Choice>
  </mc:AlternateContent>
  <xr:revisionPtr revIDLastSave="0" documentId="13_ncr:1_{51B0A972-878D-4254-BD42-A14C9861A5E2}" xr6:coauthVersionLast="47" xr6:coauthVersionMax="47" xr10:uidLastSave="{00000000-0000-0000-0000-000000000000}"/>
  <bookViews>
    <workbookView xWindow="-25905" yWindow="1245" windowWidth="21600" windowHeight="11295" activeTab="1" xr2:uid="{C9237C1A-BCF7-492A-9C93-D42B1F2451E9}"/>
  </bookViews>
  <sheets>
    <sheet name="all_samples" sheetId="7" r:id="rId1"/>
    <sheet name="storm_amplification" sheetId="10" r:id="rId2"/>
    <sheet name="calibration" sheetId="8" r:id="rId3"/>
    <sheet name="validation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3" i="10" l="1"/>
  <c r="D103" i="10"/>
  <c r="E103" i="10"/>
  <c r="F103" i="10"/>
  <c r="G103" i="10"/>
  <c r="S103" i="10" s="1"/>
  <c r="H103" i="10"/>
  <c r="I103" i="10"/>
  <c r="J103" i="10"/>
  <c r="K103" i="10"/>
  <c r="L103" i="10"/>
  <c r="M103" i="10"/>
  <c r="N103" i="10"/>
  <c r="O103" i="10"/>
  <c r="P103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S96" i="10" s="1"/>
  <c r="O96" i="10"/>
  <c r="P96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22" i="10"/>
  <c r="C21" i="10"/>
  <c r="C25" i="10"/>
  <c r="D25" i="10"/>
  <c r="E25" i="10"/>
  <c r="F25" i="10"/>
  <c r="G25" i="10"/>
  <c r="S25" i="10" s="1"/>
  <c r="H25" i="10"/>
  <c r="I25" i="10"/>
  <c r="J25" i="10"/>
  <c r="K25" i="10"/>
  <c r="L25" i="10"/>
  <c r="M25" i="10"/>
  <c r="N25" i="10"/>
  <c r="O25" i="10"/>
  <c r="P25" i="10"/>
  <c r="C52" i="9"/>
  <c r="D52" i="9"/>
  <c r="E52" i="9"/>
  <c r="F52" i="9"/>
  <c r="G52" i="9"/>
  <c r="H52" i="9"/>
  <c r="I52" i="9"/>
  <c r="J52" i="9"/>
  <c r="K52" i="9"/>
  <c r="L52" i="9"/>
  <c r="M52" i="9"/>
  <c r="N52" i="9"/>
  <c r="AK26" i="9"/>
  <c r="AF26" i="9"/>
  <c r="AG26" i="9"/>
  <c r="Z26" i="9"/>
  <c r="AC26" i="9"/>
  <c r="AE26" i="9"/>
  <c r="Y26" i="9"/>
  <c r="AM26" i="9" s="1"/>
  <c r="V26" i="9"/>
  <c r="AJ26" i="9" s="1"/>
  <c r="N26" i="9"/>
  <c r="T26" i="9" s="1"/>
  <c r="AH26" i="9" s="1"/>
  <c r="O26" i="9"/>
  <c r="AA26" i="9" s="1"/>
  <c r="P26" i="9"/>
  <c r="AB26" i="9" s="1"/>
  <c r="Q26" i="9"/>
  <c r="R26" i="9"/>
  <c r="AD26" i="9" s="1"/>
  <c r="S26" i="9"/>
  <c r="C87" i="10"/>
  <c r="G66" i="10"/>
  <c r="H24" i="10"/>
  <c r="H65" i="10"/>
  <c r="D49" i="9"/>
  <c r="D51" i="9"/>
  <c r="C48" i="9"/>
  <c r="C49" i="9"/>
  <c r="C50" i="9"/>
  <c r="C51" i="9"/>
  <c r="C47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55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9" i="9"/>
  <c r="AD3" i="8"/>
  <c r="AE3" i="8"/>
  <c r="AF3" i="8"/>
  <c r="AG3" i="8"/>
  <c r="AH3" i="8"/>
  <c r="AD4" i="8"/>
  <c r="AE4" i="8"/>
  <c r="AF4" i="8"/>
  <c r="AG4" i="8"/>
  <c r="AH4" i="8"/>
  <c r="AD5" i="8"/>
  <c r="AE5" i="8"/>
  <c r="AF5" i="8"/>
  <c r="AG5" i="8"/>
  <c r="AH5" i="8"/>
  <c r="AD6" i="8"/>
  <c r="AE6" i="8"/>
  <c r="AF6" i="8"/>
  <c r="AG6" i="8"/>
  <c r="AH6" i="8"/>
  <c r="AD7" i="8"/>
  <c r="AE7" i="8"/>
  <c r="AF7" i="8"/>
  <c r="AG7" i="8"/>
  <c r="AH7" i="8"/>
  <c r="AD8" i="8"/>
  <c r="AE8" i="8"/>
  <c r="AF8" i="8"/>
  <c r="AG8" i="8"/>
  <c r="AH8" i="8"/>
  <c r="AD9" i="8"/>
  <c r="AE9" i="8"/>
  <c r="AF9" i="8"/>
  <c r="AG9" i="8"/>
  <c r="AH9" i="8"/>
  <c r="AD10" i="8"/>
  <c r="AE10" i="8"/>
  <c r="AF10" i="8"/>
  <c r="AG10" i="8"/>
  <c r="AH10" i="8"/>
  <c r="AD11" i="8"/>
  <c r="AE11" i="8"/>
  <c r="AF11" i="8"/>
  <c r="AG11" i="8"/>
  <c r="AH11" i="8"/>
  <c r="AD12" i="8"/>
  <c r="AE12" i="8"/>
  <c r="AF12" i="8"/>
  <c r="AG12" i="8"/>
  <c r="AH12" i="8"/>
  <c r="AD13" i="8"/>
  <c r="AE13" i="8"/>
  <c r="AF13" i="8"/>
  <c r="AG13" i="8"/>
  <c r="AH13" i="8"/>
  <c r="AE14" i="8"/>
  <c r="AF14" i="8"/>
  <c r="AG14" i="8"/>
  <c r="AH14" i="8"/>
  <c r="AD15" i="8"/>
  <c r="AE15" i="8"/>
  <c r="AF15" i="8"/>
  <c r="AG15" i="8"/>
  <c r="AH15" i="8"/>
  <c r="AD16" i="8"/>
  <c r="AE16" i="8"/>
  <c r="AF16" i="8"/>
  <c r="AG16" i="8"/>
  <c r="AH16" i="8"/>
  <c r="AD17" i="8"/>
  <c r="AE17" i="8"/>
  <c r="AF17" i="8"/>
  <c r="AG17" i="8"/>
  <c r="AH17" i="8"/>
  <c r="AD18" i="8"/>
  <c r="AE18" i="8"/>
  <c r="AF18" i="8"/>
  <c r="AG18" i="8"/>
  <c r="AH18" i="8"/>
  <c r="AD19" i="8"/>
  <c r="AE19" i="8"/>
  <c r="AF19" i="8"/>
  <c r="AG19" i="8"/>
  <c r="AH19" i="8"/>
  <c r="AD20" i="8"/>
  <c r="AE20" i="8"/>
  <c r="AF20" i="8"/>
  <c r="AG20" i="8"/>
  <c r="AH20" i="8"/>
  <c r="AD21" i="8"/>
  <c r="AE21" i="8"/>
  <c r="AF21" i="8"/>
  <c r="AG21" i="8"/>
  <c r="AH21" i="8"/>
  <c r="AD22" i="8"/>
  <c r="AE22" i="8"/>
  <c r="AF22" i="8"/>
  <c r="AG22" i="8"/>
  <c r="AH22" i="8"/>
  <c r="AE23" i="8"/>
  <c r="AF23" i="8"/>
  <c r="AG23" i="8"/>
  <c r="AH23" i="8"/>
  <c r="AC17" i="8"/>
  <c r="AC18" i="8"/>
  <c r="AC19" i="8"/>
  <c r="AC20" i="8"/>
  <c r="AC21" i="8"/>
  <c r="AC4" i="8"/>
  <c r="AC5" i="8"/>
  <c r="AC6" i="8"/>
  <c r="AC7" i="8"/>
  <c r="AC8" i="8"/>
  <c r="AC9" i="8"/>
  <c r="AC3" i="8"/>
  <c r="T3" i="8"/>
  <c r="AL3" i="8"/>
  <c r="AM3" i="8"/>
  <c r="AN3" i="8"/>
  <c r="AO3" i="8"/>
  <c r="AP3" i="8"/>
  <c r="AQ3" i="8"/>
  <c r="AM4" i="8"/>
  <c r="AN4" i="8"/>
  <c r="AO4" i="8"/>
  <c r="AP4" i="8"/>
  <c r="AQ4" i="8"/>
  <c r="AM5" i="8"/>
  <c r="AN5" i="8"/>
  <c r="AO5" i="8"/>
  <c r="AP5" i="8"/>
  <c r="AQ5" i="8"/>
  <c r="AM6" i="8"/>
  <c r="AN6" i="8"/>
  <c r="AO6" i="8"/>
  <c r="AP6" i="8"/>
  <c r="AQ6" i="8"/>
  <c r="AM7" i="8"/>
  <c r="AN7" i="8"/>
  <c r="AO7" i="8"/>
  <c r="AP7" i="8"/>
  <c r="AQ7" i="8"/>
  <c r="AM8" i="8"/>
  <c r="AN8" i="8"/>
  <c r="AO8" i="8"/>
  <c r="AP8" i="8"/>
  <c r="AQ8" i="8"/>
  <c r="AM9" i="8"/>
  <c r="AN9" i="8"/>
  <c r="AO9" i="8"/>
  <c r="AP9" i="8"/>
  <c r="AQ9" i="8"/>
  <c r="AM10" i="8"/>
  <c r="AN10" i="8"/>
  <c r="AO10" i="8"/>
  <c r="AP10" i="8"/>
  <c r="AQ10" i="8"/>
  <c r="AM11" i="8"/>
  <c r="AN11" i="8"/>
  <c r="AO11" i="8"/>
  <c r="AP11" i="8"/>
  <c r="AQ11" i="8"/>
  <c r="AM12" i="8"/>
  <c r="AN12" i="8"/>
  <c r="AO12" i="8"/>
  <c r="AP12" i="8"/>
  <c r="AQ12" i="8"/>
  <c r="AM13" i="8"/>
  <c r="AN13" i="8"/>
  <c r="AO13" i="8"/>
  <c r="AP13" i="8"/>
  <c r="AQ13" i="8"/>
  <c r="AN14" i="8"/>
  <c r="AO14" i="8"/>
  <c r="AP14" i="8"/>
  <c r="AQ14" i="8"/>
  <c r="AM15" i="8"/>
  <c r="AN15" i="8"/>
  <c r="AO15" i="8"/>
  <c r="AP15" i="8"/>
  <c r="AQ15" i="8"/>
  <c r="AM16" i="8"/>
  <c r="AN16" i="8"/>
  <c r="AO16" i="8"/>
  <c r="AP16" i="8"/>
  <c r="AQ16" i="8"/>
  <c r="AM17" i="8"/>
  <c r="AN17" i="8"/>
  <c r="AO17" i="8"/>
  <c r="AP17" i="8"/>
  <c r="AQ17" i="8"/>
  <c r="AM18" i="8"/>
  <c r="AN18" i="8"/>
  <c r="AO18" i="8"/>
  <c r="AP18" i="8"/>
  <c r="AQ18" i="8"/>
  <c r="AM19" i="8"/>
  <c r="AN19" i="8"/>
  <c r="AO19" i="8"/>
  <c r="AP19" i="8"/>
  <c r="AQ19" i="8"/>
  <c r="AM20" i="8"/>
  <c r="AN20" i="8"/>
  <c r="AO20" i="8"/>
  <c r="AP20" i="8"/>
  <c r="AQ20" i="8"/>
  <c r="AM21" i="8"/>
  <c r="AN21" i="8"/>
  <c r="AO21" i="8"/>
  <c r="AP21" i="8"/>
  <c r="AQ21" i="8"/>
  <c r="AM22" i="8"/>
  <c r="AN22" i="8"/>
  <c r="AO22" i="8"/>
  <c r="AP22" i="8"/>
  <c r="AQ22" i="8"/>
  <c r="AN23" i="8"/>
  <c r="AO23" i="8"/>
  <c r="AP23" i="8"/>
  <c r="AQ23" i="8"/>
  <c r="AL5" i="8"/>
  <c r="AL6" i="8"/>
  <c r="AL7" i="8"/>
  <c r="AL8" i="8"/>
  <c r="AL9" i="8"/>
  <c r="AL17" i="8"/>
  <c r="AL18" i="8"/>
  <c r="AL19" i="8"/>
  <c r="AL20" i="8"/>
  <c r="AL21" i="8"/>
  <c r="AL4" i="8"/>
  <c r="BA3" i="8"/>
  <c r="F24" i="10"/>
  <c r="G24" i="10"/>
  <c r="L24" i="10"/>
  <c r="M24" i="10"/>
  <c r="C23" i="10"/>
  <c r="C24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C102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C9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C73" i="10"/>
  <c r="C80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F65" i="10"/>
  <c r="G65" i="10"/>
  <c r="L65" i="10"/>
  <c r="M65" i="10"/>
  <c r="E66" i="10"/>
  <c r="F66" i="10"/>
  <c r="K66" i="10"/>
  <c r="L66" i="10"/>
  <c r="C66" i="10"/>
  <c r="C59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C52" i="10"/>
  <c r="P44" i="10"/>
  <c r="P45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C45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C38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AF25" i="9"/>
  <c r="N51" i="9" s="1"/>
  <c r="AG25" i="9"/>
  <c r="M51" i="9" s="1"/>
  <c r="N25" i="9"/>
  <c r="T25" i="9" s="1"/>
  <c r="AH25" i="9" s="1"/>
  <c r="O25" i="9"/>
  <c r="U25" i="9" s="1"/>
  <c r="AI25" i="9" s="1"/>
  <c r="P25" i="9"/>
  <c r="V25" i="9" s="1"/>
  <c r="AJ25" i="9" s="1"/>
  <c r="Q25" i="9"/>
  <c r="AK25" i="9" s="1"/>
  <c r="J51" i="9" s="1"/>
  <c r="R25" i="9"/>
  <c r="S25" i="9"/>
  <c r="AE25" i="9" s="1"/>
  <c r="I51" i="9" s="1"/>
  <c r="T96" i="10" l="1"/>
  <c r="S46" i="10"/>
  <c r="W16" i="10" s="1"/>
  <c r="S67" i="10"/>
  <c r="T16" i="10" s="1"/>
  <c r="S88" i="10"/>
  <c r="T60" i="10"/>
  <c r="U16" i="10"/>
  <c r="S60" i="10"/>
  <c r="T88" i="10"/>
  <c r="T46" i="10"/>
  <c r="T103" i="10"/>
  <c r="T67" i="10"/>
  <c r="T25" i="10"/>
  <c r="U26" i="9"/>
  <c r="AI26" i="9" s="1"/>
  <c r="X26" i="9"/>
  <c r="AL26" i="9" s="1"/>
  <c r="S66" i="9" a="1"/>
  <c r="S66" i="9" s="1"/>
  <c r="Z25" i="9"/>
  <c r="X25" i="9"/>
  <c r="E51" i="9" s="1"/>
  <c r="AB25" i="9"/>
  <c r="S65" i="9" a="1"/>
  <c r="S65" i="9" s="1"/>
  <c r="T87" i="10"/>
  <c r="T102" i="10"/>
  <c r="T59" i="10"/>
  <c r="T95" i="10"/>
  <c r="S87" i="10"/>
  <c r="T45" i="10"/>
  <c r="S95" i="10"/>
  <c r="S59" i="10"/>
  <c r="S45" i="10"/>
  <c r="S102" i="10"/>
  <c r="P66" i="10"/>
  <c r="J66" i="10"/>
  <c r="D66" i="10"/>
  <c r="K65" i="10"/>
  <c r="E65" i="10"/>
  <c r="K24" i="10"/>
  <c r="E24" i="10"/>
  <c r="O66" i="10"/>
  <c r="I66" i="10"/>
  <c r="P65" i="10"/>
  <c r="J65" i="10"/>
  <c r="D65" i="10"/>
  <c r="P24" i="10"/>
  <c r="J24" i="10"/>
  <c r="D24" i="10"/>
  <c r="N66" i="10"/>
  <c r="H66" i="10"/>
  <c r="O65" i="10"/>
  <c r="I65" i="10"/>
  <c r="O24" i="10"/>
  <c r="I24" i="10"/>
  <c r="M66" i="10"/>
  <c r="N65" i="10"/>
  <c r="N24" i="10"/>
  <c r="AA25" i="9"/>
  <c r="Y25" i="9"/>
  <c r="AD25" i="9"/>
  <c r="H51" i="9" s="1"/>
  <c r="AC25" i="9"/>
  <c r="G51" i="9" s="1"/>
  <c r="V16" i="10" l="1"/>
  <c r="S16" i="10"/>
  <c r="Z16" i="10" s="1"/>
  <c r="AC13" i="10" s="1"/>
  <c r="S66" i="10"/>
  <c r="AM25" i="9"/>
  <c r="L51" i="9" s="1"/>
  <c r="F51" i="9"/>
  <c r="AL25" i="9"/>
  <c r="K51" i="9" s="1"/>
  <c r="S24" i="10"/>
  <c r="T66" i="10"/>
  <c r="T24" i="10"/>
  <c r="N21" i="8"/>
  <c r="O21" i="8"/>
  <c r="P21" i="8"/>
  <c r="Q21" i="8"/>
  <c r="R21" i="8"/>
  <c r="S21" i="8"/>
  <c r="T21" i="8"/>
  <c r="U21" i="8"/>
  <c r="V21" i="8"/>
  <c r="W21" i="8"/>
  <c r="X21" i="8"/>
  <c r="Y21" i="8"/>
  <c r="O22" i="8"/>
  <c r="P22" i="8"/>
  <c r="Q22" i="8"/>
  <c r="W22" i="8" s="1"/>
  <c r="R22" i="8"/>
  <c r="S22" i="8"/>
  <c r="X22" i="8"/>
  <c r="Y22" i="8"/>
  <c r="P23" i="8"/>
  <c r="V23" i="8" s="1"/>
  <c r="Q23" i="8"/>
  <c r="W23" i="8" s="1"/>
  <c r="R23" i="8"/>
  <c r="X23" i="8" s="1"/>
  <c r="S23" i="8"/>
  <c r="Y23" i="8" s="1"/>
  <c r="P99" i="10"/>
  <c r="P100" i="10"/>
  <c r="P101" i="10"/>
  <c r="D99" i="10"/>
  <c r="E99" i="10"/>
  <c r="F99" i="10"/>
  <c r="G99" i="10"/>
  <c r="H99" i="10"/>
  <c r="I99" i="10"/>
  <c r="J99" i="10"/>
  <c r="K99" i="10"/>
  <c r="L99" i="10"/>
  <c r="M99" i="10"/>
  <c r="N99" i="10"/>
  <c r="O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D101" i="10"/>
  <c r="E101" i="10"/>
  <c r="F101" i="10"/>
  <c r="G101" i="10"/>
  <c r="H101" i="10"/>
  <c r="I101" i="10"/>
  <c r="J101" i="10"/>
  <c r="K101" i="10"/>
  <c r="L101" i="10"/>
  <c r="M101" i="10"/>
  <c r="N101" i="10"/>
  <c r="O101" i="10"/>
  <c r="C100" i="10"/>
  <c r="C101" i="10"/>
  <c r="C99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C93" i="10"/>
  <c r="C94" i="10"/>
  <c r="C92" i="10"/>
  <c r="C84" i="10"/>
  <c r="C85" i="10"/>
  <c r="C86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C78" i="10"/>
  <c r="C79" i="10"/>
  <c r="C77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C71" i="10"/>
  <c r="C72" i="10"/>
  <c r="C70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C64" i="10"/>
  <c r="C65" i="10"/>
  <c r="C63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C57" i="10"/>
  <c r="C58" i="10"/>
  <c r="C56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C50" i="10"/>
  <c r="C51" i="10"/>
  <c r="C49" i="10"/>
  <c r="D42" i="10"/>
  <c r="D35" i="10"/>
  <c r="D28" i="10"/>
  <c r="D21" i="10"/>
  <c r="C28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C43" i="10"/>
  <c r="C44" i="10"/>
  <c r="C42" i="10"/>
  <c r="G37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D37" i="10"/>
  <c r="E37" i="10"/>
  <c r="F37" i="10"/>
  <c r="H37" i="10"/>
  <c r="I37" i="10"/>
  <c r="J37" i="10"/>
  <c r="K37" i="10"/>
  <c r="L37" i="10"/>
  <c r="M37" i="10"/>
  <c r="N37" i="10"/>
  <c r="O37" i="10"/>
  <c r="P37" i="10"/>
  <c r="C29" i="10"/>
  <c r="C36" i="10"/>
  <c r="C37" i="10"/>
  <c r="C35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C30" i="10"/>
  <c r="P21" i="10"/>
  <c r="P22" i="10"/>
  <c r="P23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F21" i="10"/>
  <c r="G21" i="10"/>
  <c r="H21" i="10"/>
  <c r="I21" i="10"/>
  <c r="J21" i="10"/>
  <c r="K21" i="10"/>
  <c r="L21" i="10"/>
  <c r="M21" i="10"/>
  <c r="N21" i="10"/>
  <c r="O21" i="10"/>
  <c r="E21" i="10"/>
  <c r="AG24" i="9"/>
  <c r="M50" i="9" s="1"/>
  <c r="AF3" i="9"/>
  <c r="N29" i="9" s="1"/>
  <c r="S24" i="9"/>
  <c r="Y24" i="9" s="1"/>
  <c r="AF24" i="9"/>
  <c r="N50" i="9" s="1"/>
  <c r="O24" i="9"/>
  <c r="U24" i="9" s="1"/>
  <c r="AI24" i="9" s="1"/>
  <c r="P24" i="9"/>
  <c r="Q24" i="9"/>
  <c r="AC24" i="9" s="1"/>
  <c r="G50" i="9" s="1"/>
  <c r="R24" i="9"/>
  <c r="X24" i="9" s="1"/>
  <c r="E50" i="9" s="1"/>
  <c r="N24" i="9"/>
  <c r="T24" i="9" s="1"/>
  <c r="AH24" i="9" s="1"/>
  <c r="W12" i="10" l="1"/>
  <c r="T12" i="10"/>
  <c r="AM24" i="9"/>
  <c r="L50" i="9" s="1"/>
  <c r="F50" i="9"/>
  <c r="S12" i="10"/>
  <c r="Z12" i="10" s="1"/>
  <c r="V12" i="10"/>
  <c r="U12" i="10"/>
  <c r="T23" i="10"/>
  <c r="S23" i="10"/>
  <c r="S22" i="10"/>
  <c r="T22" i="10"/>
  <c r="S21" i="10"/>
  <c r="T21" i="10"/>
  <c r="T57" i="10"/>
  <c r="S57" i="10"/>
  <c r="T64" i="10"/>
  <c r="S64" i="10"/>
  <c r="T92" i="10"/>
  <c r="S92" i="10"/>
  <c r="T101" i="10"/>
  <c r="S101" i="10"/>
  <c r="S84" i="10"/>
  <c r="T84" i="10"/>
  <c r="T99" i="10"/>
  <c r="S99" i="10"/>
  <c r="T42" i="10"/>
  <c r="S42" i="10"/>
  <c r="T44" i="10"/>
  <c r="S44" i="10"/>
  <c r="T94" i="10"/>
  <c r="S94" i="10"/>
  <c r="T100" i="10"/>
  <c r="S100" i="10"/>
  <c r="T43" i="10"/>
  <c r="S43" i="10"/>
  <c r="S93" i="10"/>
  <c r="T93" i="10"/>
  <c r="T56" i="10"/>
  <c r="S56" i="10"/>
  <c r="T63" i="10"/>
  <c r="S63" i="10"/>
  <c r="T86" i="10"/>
  <c r="S86" i="10"/>
  <c r="T58" i="10"/>
  <c r="S58" i="10"/>
  <c r="T65" i="10"/>
  <c r="S65" i="10"/>
  <c r="S85" i="10"/>
  <c r="T85" i="10"/>
  <c r="AD24" i="9"/>
  <c r="H50" i="9" s="1"/>
  <c r="AE24" i="9"/>
  <c r="I50" i="9" s="1"/>
  <c r="AL24" i="9"/>
  <c r="K50" i="9" s="1"/>
  <c r="AA24" i="9"/>
  <c r="Z24" i="9"/>
  <c r="AB24" i="9"/>
  <c r="V24" i="9"/>
  <c r="AJ24" i="9" s="1"/>
  <c r="W24" i="9"/>
  <c r="D50" i="9" s="1"/>
  <c r="U13" i="10" l="1"/>
  <c r="V13" i="10"/>
  <c r="S13" i="10"/>
  <c r="Z13" i="10" s="1"/>
  <c r="W13" i="10"/>
  <c r="T13" i="10"/>
  <c r="W14" i="10"/>
  <c r="T14" i="10"/>
  <c r="U14" i="10"/>
  <c r="V14" i="10"/>
  <c r="S14" i="10"/>
  <c r="Z14" i="10" s="1"/>
  <c r="V11" i="10"/>
  <c r="S11" i="10"/>
  <c r="Z11" i="10" s="1"/>
  <c r="AC11" i="10" s="1"/>
  <c r="T11" i="10"/>
  <c r="W11" i="10"/>
  <c r="U11" i="10"/>
  <c r="AK24" i="9"/>
  <c r="J50" i="9" s="1"/>
  <c r="O23" i="9"/>
  <c r="O14" i="9"/>
  <c r="AG23" i="9"/>
  <c r="M49" i="9" s="1"/>
  <c r="AF23" i="9"/>
  <c r="N49" i="9" s="1"/>
  <c r="AG22" i="9"/>
  <c r="M48" i="9" s="1"/>
  <c r="AF22" i="9"/>
  <c r="N48" i="9" s="1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M29" i="9" s="1"/>
  <c r="N22" i="9"/>
  <c r="N23" i="9"/>
  <c r="N10" i="9"/>
  <c r="N11" i="9"/>
  <c r="N12" i="9"/>
  <c r="N13" i="9"/>
  <c r="N14" i="9"/>
  <c r="N15" i="9"/>
  <c r="N16" i="9"/>
  <c r="N3" i="9"/>
  <c r="S23" i="9"/>
  <c r="R23" i="9"/>
  <c r="X23" i="9" s="1"/>
  <c r="E49" i="9" s="1"/>
  <c r="Q23" i="9"/>
  <c r="P23" i="9"/>
  <c r="S22" i="9"/>
  <c r="R22" i="9"/>
  <c r="Q22" i="9"/>
  <c r="P22" i="9"/>
  <c r="O22" i="9"/>
  <c r="S21" i="9"/>
  <c r="R21" i="9"/>
  <c r="X21" i="9" s="1"/>
  <c r="Q21" i="9"/>
  <c r="P21" i="9"/>
  <c r="O21" i="9"/>
  <c r="N21" i="9"/>
  <c r="S20" i="9"/>
  <c r="R20" i="9"/>
  <c r="X20" i="9" s="1"/>
  <c r="Q20" i="9"/>
  <c r="P20" i="9"/>
  <c r="O20" i="9"/>
  <c r="N20" i="9"/>
  <c r="S19" i="9"/>
  <c r="R19" i="9"/>
  <c r="X19" i="9" s="1"/>
  <c r="Q19" i="9"/>
  <c r="P19" i="9"/>
  <c r="O19" i="9"/>
  <c r="N19" i="9"/>
  <c r="S18" i="9"/>
  <c r="R18" i="9"/>
  <c r="X18" i="9" s="1"/>
  <c r="Q18" i="9"/>
  <c r="P18" i="9"/>
  <c r="O18" i="9"/>
  <c r="N18" i="9"/>
  <c r="S17" i="9"/>
  <c r="R17" i="9"/>
  <c r="X17" i="9" s="1"/>
  <c r="Q17" i="9"/>
  <c r="P17" i="9"/>
  <c r="O17" i="9"/>
  <c r="N17" i="9"/>
  <c r="S16" i="9"/>
  <c r="R16" i="9"/>
  <c r="X16" i="9" s="1"/>
  <c r="Q16" i="9"/>
  <c r="P16" i="9"/>
  <c r="O16" i="9"/>
  <c r="S15" i="9"/>
  <c r="R15" i="9"/>
  <c r="X15" i="9" s="1"/>
  <c r="Q15" i="9"/>
  <c r="P15" i="9"/>
  <c r="O15" i="9"/>
  <c r="S14" i="9"/>
  <c r="R14" i="9"/>
  <c r="X14" i="9" s="1"/>
  <c r="Q14" i="9"/>
  <c r="P14" i="9"/>
  <c r="S13" i="9"/>
  <c r="R13" i="9"/>
  <c r="X13" i="9" s="1"/>
  <c r="Q13" i="9"/>
  <c r="P13" i="9"/>
  <c r="O13" i="9"/>
  <c r="S12" i="9"/>
  <c r="R12" i="9"/>
  <c r="X12" i="9" s="1"/>
  <c r="Q12" i="9"/>
  <c r="P12" i="9"/>
  <c r="O12" i="9"/>
  <c r="S11" i="9"/>
  <c r="R11" i="9"/>
  <c r="X11" i="9" s="1"/>
  <c r="Q11" i="9"/>
  <c r="P11" i="9"/>
  <c r="O11" i="9"/>
  <c r="S10" i="9"/>
  <c r="R10" i="9"/>
  <c r="X10" i="9" s="1"/>
  <c r="Q10" i="9"/>
  <c r="P10" i="9"/>
  <c r="O10" i="9"/>
  <c r="S9" i="9"/>
  <c r="R9" i="9"/>
  <c r="X9" i="9" s="1"/>
  <c r="Q9" i="9"/>
  <c r="P9" i="9"/>
  <c r="O9" i="9"/>
  <c r="N9" i="9"/>
  <c r="S8" i="9"/>
  <c r="R8" i="9"/>
  <c r="X8" i="9" s="1"/>
  <c r="Q8" i="9"/>
  <c r="P8" i="9"/>
  <c r="O8" i="9"/>
  <c r="N8" i="9"/>
  <c r="S7" i="9"/>
  <c r="R7" i="9"/>
  <c r="X7" i="9" s="1"/>
  <c r="Q7" i="9"/>
  <c r="P7" i="9"/>
  <c r="O7" i="9"/>
  <c r="N7" i="9"/>
  <c r="S6" i="9"/>
  <c r="R6" i="9"/>
  <c r="X6" i="9" s="1"/>
  <c r="Q6" i="9"/>
  <c r="P6" i="9"/>
  <c r="O6" i="9"/>
  <c r="N6" i="9"/>
  <c r="S5" i="9"/>
  <c r="R5" i="9"/>
  <c r="X5" i="9" s="1"/>
  <c r="Q5" i="9"/>
  <c r="P5" i="9"/>
  <c r="O5" i="9"/>
  <c r="N5" i="9"/>
  <c r="S4" i="9"/>
  <c r="R4" i="9"/>
  <c r="X4" i="9" s="1"/>
  <c r="Q4" i="9"/>
  <c r="P4" i="9"/>
  <c r="O4" i="9"/>
  <c r="N4" i="9"/>
  <c r="S3" i="9"/>
  <c r="R3" i="9"/>
  <c r="Q3" i="9"/>
  <c r="P3" i="9"/>
  <c r="O3" i="9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B3" i="8"/>
  <c r="BC3" i="8"/>
  <c r="BD3" i="8"/>
  <c r="BE3" i="8"/>
  <c r="BF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23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N3" i="8"/>
  <c r="O3" i="8"/>
  <c r="U3" i="8" s="1"/>
  <c r="P3" i="8"/>
  <c r="V3" i="8" s="1"/>
  <c r="Q3" i="8"/>
  <c r="W3" i="8" s="1"/>
  <c r="R3" i="8"/>
  <c r="X3" i="8" s="1"/>
  <c r="S3" i="8"/>
  <c r="Y3" i="8" s="1"/>
  <c r="O4" i="8"/>
  <c r="U4" i="8" s="1"/>
  <c r="P4" i="8"/>
  <c r="V4" i="8" s="1"/>
  <c r="Q4" i="8"/>
  <c r="W4" i="8" s="1"/>
  <c r="R4" i="8"/>
  <c r="X4" i="8" s="1"/>
  <c r="S4" i="8"/>
  <c r="Y4" i="8" s="1"/>
  <c r="O5" i="8"/>
  <c r="U5" i="8" s="1"/>
  <c r="P5" i="8"/>
  <c r="V5" i="8" s="1"/>
  <c r="Q5" i="8"/>
  <c r="W5" i="8" s="1"/>
  <c r="R5" i="8"/>
  <c r="X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Q7" i="8"/>
  <c r="W7" i="8" s="1"/>
  <c r="R7" i="8"/>
  <c r="X7" i="8" s="1"/>
  <c r="S7" i="8"/>
  <c r="Y7" i="8" s="1"/>
  <c r="O8" i="8"/>
  <c r="U8" i="8" s="1"/>
  <c r="P8" i="8"/>
  <c r="V8" i="8" s="1"/>
  <c r="Q8" i="8"/>
  <c r="W8" i="8" s="1"/>
  <c r="R8" i="8"/>
  <c r="X8" i="8" s="1"/>
  <c r="S8" i="8"/>
  <c r="Y8" i="8" s="1"/>
  <c r="O9" i="8"/>
  <c r="U9" i="8" s="1"/>
  <c r="P9" i="8"/>
  <c r="V9" i="8" s="1"/>
  <c r="Q9" i="8"/>
  <c r="W9" i="8" s="1"/>
  <c r="R9" i="8"/>
  <c r="X9" i="8" s="1"/>
  <c r="S9" i="8"/>
  <c r="Y9" i="8" s="1"/>
  <c r="O10" i="8"/>
  <c r="U10" i="8" s="1"/>
  <c r="P10" i="8"/>
  <c r="V10" i="8" s="1"/>
  <c r="Q10" i="8"/>
  <c r="W10" i="8" s="1"/>
  <c r="R10" i="8"/>
  <c r="X10" i="8" s="1"/>
  <c r="S10" i="8"/>
  <c r="Y10" i="8" s="1"/>
  <c r="O11" i="8"/>
  <c r="P11" i="8"/>
  <c r="V11" i="8" s="1"/>
  <c r="Q11" i="8"/>
  <c r="W11" i="8" s="1"/>
  <c r="R11" i="8"/>
  <c r="X11" i="8" s="1"/>
  <c r="S11" i="8"/>
  <c r="Y11" i="8" s="1"/>
  <c r="O12" i="8"/>
  <c r="P12" i="8"/>
  <c r="V12" i="8" s="1"/>
  <c r="Q12" i="8"/>
  <c r="W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R14" i="8"/>
  <c r="X14" i="8" s="1"/>
  <c r="S14" i="8"/>
  <c r="Y14" i="8" s="1"/>
  <c r="O15" i="8"/>
  <c r="P15" i="8"/>
  <c r="V15" i="8" s="1"/>
  <c r="Q15" i="8"/>
  <c r="W15" i="8" s="1"/>
  <c r="R15" i="8"/>
  <c r="X15" i="8" s="1"/>
  <c r="S15" i="8"/>
  <c r="Y15" i="8" s="1"/>
  <c r="O16" i="8"/>
  <c r="P16" i="8"/>
  <c r="V16" i="8" s="1"/>
  <c r="Q16" i="8"/>
  <c r="W16" i="8" s="1"/>
  <c r="R16" i="8"/>
  <c r="X16" i="8" s="1"/>
  <c r="S16" i="8"/>
  <c r="Y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R18" i="8"/>
  <c r="X18" i="8" s="1"/>
  <c r="S18" i="8"/>
  <c r="Y18" i="8" s="1"/>
  <c r="O19" i="8"/>
  <c r="U19" i="8" s="1"/>
  <c r="P19" i="8"/>
  <c r="V19" i="8" s="1"/>
  <c r="Q19" i="8"/>
  <c r="W19" i="8" s="1"/>
  <c r="R19" i="8"/>
  <c r="X19" i="8" s="1"/>
  <c r="S19" i="8"/>
  <c r="Y19" i="8" s="1"/>
  <c r="O20" i="8"/>
  <c r="U20" i="8" s="1"/>
  <c r="P20" i="8"/>
  <c r="V20" i="8" s="1"/>
  <c r="Q20" i="8"/>
  <c r="W20" i="8" s="1"/>
  <c r="R20" i="8"/>
  <c r="X20" i="8" s="1"/>
  <c r="S20" i="8"/>
  <c r="Y20" i="8" s="1"/>
  <c r="BC23" i="8"/>
  <c r="BD23" i="8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N17" i="8"/>
  <c r="N18" i="8"/>
  <c r="T18" i="8" s="1"/>
  <c r="N19" i="8"/>
  <c r="T19" i="8" s="1"/>
  <c r="N20" i="8"/>
  <c r="T20" i="8" s="1"/>
  <c r="BA21" i="8"/>
  <c r="AC12" i="10" l="1"/>
  <c r="AC22" i="9"/>
  <c r="G48" i="9" s="1"/>
  <c r="W22" i="9"/>
  <c r="D48" i="9" s="1"/>
  <c r="AD22" i="9"/>
  <c r="H48" i="9" s="1"/>
  <c r="X22" i="9"/>
  <c r="E48" i="9" s="1"/>
  <c r="T3" i="9"/>
  <c r="Z3" i="9"/>
  <c r="T4" i="9"/>
  <c r="AH4" i="9"/>
  <c r="Z4" i="9"/>
  <c r="T5" i="9"/>
  <c r="AH5" i="9"/>
  <c r="Z5" i="9"/>
  <c r="Z6" i="9"/>
  <c r="T6" i="9"/>
  <c r="AH6" i="9"/>
  <c r="T7" i="9"/>
  <c r="AH7" i="9"/>
  <c r="Z7" i="9"/>
  <c r="T8" i="9"/>
  <c r="AH8" i="9"/>
  <c r="Z8" i="9"/>
  <c r="AH9" i="9"/>
  <c r="Z9" i="9"/>
  <c r="U10" i="9"/>
  <c r="AI10" i="9"/>
  <c r="AA10" i="9"/>
  <c r="V11" i="9"/>
  <c r="AJ11" i="9"/>
  <c r="AB11" i="9"/>
  <c r="W12" i="9"/>
  <c r="D62" i="9" s="1"/>
  <c r="AK12" i="9"/>
  <c r="AC12" i="9"/>
  <c r="E39" i="9"/>
  <c r="AL13" i="9"/>
  <c r="AD13" i="9"/>
  <c r="U15" i="9"/>
  <c r="AI15" i="9"/>
  <c r="AA15" i="9"/>
  <c r="V16" i="9"/>
  <c r="AJ16" i="9"/>
  <c r="AB16" i="9"/>
  <c r="V17" i="9"/>
  <c r="AJ17" i="9"/>
  <c r="AB17" i="9"/>
  <c r="V18" i="9"/>
  <c r="AB18" i="9"/>
  <c r="AJ18" i="9"/>
  <c r="V19" i="9"/>
  <c r="AJ19" i="9"/>
  <c r="AB19" i="9"/>
  <c r="V20" i="9"/>
  <c r="AB20" i="9"/>
  <c r="AJ20" i="9"/>
  <c r="V21" i="9"/>
  <c r="AJ21" i="9"/>
  <c r="AB21" i="9"/>
  <c r="AK22" i="9"/>
  <c r="J48" i="9" s="1"/>
  <c r="Y23" i="9"/>
  <c r="F49" i="9" s="1"/>
  <c r="AM23" i="9"/>
  <c r="L49" i="9" s="1"/>
  <c r="AE23" i="9"/>
  <c r="I49" i="9" s="1"/>
  <c r="Z12" i="9"/>
  <c r="AH12" i="9"/>
  <c r="Y5" i="9"/>
  <c r="F31" i="9" s="1"/>
  <c r="AE5" i="9"/>
  <c r="I31" i="9" s="1"/>
  <c r="AM5" i="9"/>
  <c r="L31" i="9" s="1"/>
  <c r="Y8" i="9"/>
  <c r="F34" i="9" s="1"/>
  <c r="AM8" i="9"/>
  <c r="AE8" i="9"/>
  <c r="U11" i="9"/>
  <c r="AA11" i="9"/>
  <c r="AI11" i="9"/>
  <c r="W13" i="9"/>
  <c r="D39" i="9" s="1"/>
  <c r="AC13" i="9"/>
  <c r="AK13" i="9"/>
  <c r="U16" i="9"/>
  <c r="AI16" i="9"/>
  <c r="AA16" i="9"/>
  <c r="U19" i="9"/>
  <c r="AI19" i="9"/>
  <c r="AA19" i="9"/>
  <c r="AL23" i="9"/>
  <c r="K49" i="9" s="1"/>
  <c r="AD23" i="9"/>
  <c r="H49" i="9" s="1"/>
  <c r="U5" i="9"/>
  <c r="AI5" i="9"/>
  <c r="AA5" i="9"/>
  <c r="AI9" i="9"/>
  <c r="AA9" i="9"/>
  <c r="W11" i="9"/>
  <c r="D37" i="9" s="1"/>
  <c r="AC11" i="9"/>
  <c r="G37" i="9" s="1"/>
  <c r="AK11" i="9"/>
  <c r="J37" i="9" s="1"/>
  <c r="V15" i="9"/>
  <c r="AJ15" i="9"/>
  <c r="AB15" i="9"/>
  <c r="W17" i="9"/>
  <c r="D43" i="9" s="1"/>
  <c r="AC17" i="9"/>
  <c r="AK17" i="9"/>
  <c r="W19" i="9"/>
  <c r="D45" i="9" s="1"/>
  <c r="AC19" i="9"/>
  <c r="AK19" i="9"/>
  <c r="W21" i="9"/>
  <c r="D47" i="9" s="1"/>
  <c r="AC21" i="9"/>
  <c r="AK21" i="9"/>
  <c r="Z11" i="9"/>
  <c r="AH11" i="9"/>
  <c r="V3" i="9"/>
  <c r="AJ3" i="9"/>
  <c r="AB3" i="9"/>
  <c r="V4" i="9"/>
  <c r="AJ4" i="9"/>
  <c r="AB4" i="9"/>
  <c r="V5" i="9"/>
  <c r="AJ5" i="9"/>
  <c r="AB5" i="9"/>
  <c r="V6" i="9"/>
  <c r="AB6" i="9"/>
  <c r="AJ6" i="9"/>
  <c r="V7" i="9"/>
  <c r="AJ7" i="9"/>
  <c r="AB7" i="9"/>
  <c r="V8" i="9"/>
  <c r="AB8" i="9"/>
  <c r="AJ8" i="9"/>
  <c r="V9" i="9"/>
  <c r="AJ9" i="9"/>
  <c r="AB9" i="9"/>
  <c r="W10" i="9"/>
  <c r="D36" i="9" s="1"/>
  <c r="AC10" i="9"/>
  <c r="AK10" i="9"/>
  <c r="E37" i="9"/>
  <c r="AL11" i="9"/>
  <c r="K37" i="9" s="1"/>
  <c r="AD11" i="9"/>
  <c r="H37" i="9" s="1"/>
  <c r="Y12" i="9"/>
  <c r="F62" i="9" s="1"/>
  <c r="AM12" i="9"/>
  <c r="AE12" i="9"/>
  <c r="AJ14" i="9"/>
  <c r="AB14" i="9"/>
  <c r="W15" i="9"/>
  <c r="D65" i="9" s="1"/>
  <c r="AC15" i="9"/>
  <c r="AK15" i="9"/>
  <c r="E42" i="9"/>
  <c r="AD16" i="9"/>
  <c r="AL16" i="9"/>
  <c r="E67" i="9"/>
  <c r="AL17" i="9"/>
  <c r="AD17" i="9"/>
  <c r="E44" i="9"/>
  <c r="AL18" i="9"/>
  <c r="AD18" i="9"/>
  <c r="E69" i="9"/>
  <c r="AL19" i="9"/>
  <c r="AD19" i="9"/>
  <c r="E46" i="9"/>
  <c r="AD20" i="9"/>
  <c r="H46" i="9" s="1"/>
  <c r="AL20" i="9"/>
  <c r="E47" i="9"/>
  <c r="AD21" i="9"/>
  <c r="AL21" i="9"/>
  <c r="Y22" i="9"/>
  <c r="F48" i="9" s="1"/>
  <c r="AM22" i="9"/>
  <c r="L48" i="9" s="1"/>
  <c r="AE22" i="9"/>
  <c r="I48" i="9" s="1"/>
  <c r="AH16" i="9"/>
  <c r="Z16" i="9"/>
  <c r="Z10" i="9"/>
  <c r="AH10" i="9"/>
  <c r="Y3" i="9"/>
  <c r="F55" i="9" s="1"/>
  <c r="AE3" i="9"/>
  <c r="AM3" i="9"/>
  <c r="Y7" i="9"/>
  <c r="F58" i="9" s="1"/>
  <c r="AE7" i="9"/>
  <c r="AM7" i="9"/>
  <c r="V12" i="9"/>
  <c r="AJ12" i="9"/>
  <c r="AB12" i="9"/>
  <c r="U17" i="9"/>
  <c r="AA17" i="9"/>
  <c r="AI17" i="9"/>
  <c r="AI21" i="9"/>
  <c r="AA21" i="9"/>
  <c r="AH13" i="9"/>
  <c r="Z13" i="9"/>
  <c r="AI23" i="9"/>
  <c r="AA23" i="9"/>
  <c r="U3" i="9"/>
  <c r="AI3" i="9"/>
  <c r="AA3" i="9"/>
  <c r="U7" i="9"/>
  <c r="AI7" i="9"/>
  <c r="AA7" i="9"/>
  <c r="E62" i="9"/>
  <c r="AL12" i="9"/>
  <c r="AD12" i="9"/>
  <c r="W16" i="9"/>
  <c r="D66" i="9" s="1"/>
  <c r="AC16" i="9"/>
  <c r="AK16" i="9"/>
  <c r="W20" i="9"/>
  <c r="D70" i="9" s="1"/>
  <c r="AC20" i="9"/>
  <c r="AK20" i="9"/>
  <c r="AH3" i="9"/>
  <c r="W3" i="9"/>
  <c r="AC3" i="9"/>
  <c r="AK3" i="9"/>
  <c r="W4" i="9"/>
  <c r="D30" i="9" s="1"/>
  <c r="AC4" i="9"/>
  <c r="AK4" i="9"/>
  <c r="W5" i="9"/>
  <c r="AC5" i="9"/>
  <c r="G31" i="9" s="1"/>
  <c r="AK5" i="9"/>
  <c r="J31" i="9" s="1"/>
  <c r="W6" i="9"/>
  <c r="D32" i="9" s="1"/>
  <c r="AK6" i="9"/>
  <c r="AC6" i="9"/>
  <c r="W7" i="9"/>
  <c r="D58" i="9" s="1"/>
  <c r="AC7" i="9"/>
  <c r="AK7" i="9"/>
  <c r="W8" i="9"/>
  <c r="D34" i="9" s="1"/>
  <c r="AC8" i="9"/>
  <c r="AK8" i="9"/>
  <c r="W9" i="9"/>
  <c r="D60" i="9" s="1"/>
  <c r="AC9" i="9"/>
  <c r="AK9" i="9"/>
  <c r="E36" i="9"/>
  <c r="AD10" i="9"/>
  <c r="AL10" i="9"/>
  <c r="Y11" i="9"/>
  <c r="F37" i="9" s="1"/>
  <c r="AE11" i="9"/>
  <c r="I37" i="9" s="1"/>
  <c r="AM11" i="9"/>
  <c r="L37" i="9" s="1"/>
  <c r="AI13" i="9"/>
  <c r="AA13" i="9"/>
  <c r="W14" i="9"/>
  <c r="D40" i="9" s="1"/>
  <c r="AC14" i="9"/>
  <c r="AK14" i="9"/>
  <c r="E41" i="9"/>
  <c r="AD15" i="9"/>
  <c r="AL15" i="9"/>
  <c r="Y16" i="9"/>
  <c r="F66" i="9" s="1"/>
  <c r="AM16" i="9"/>
  <c r="AE16" i="9"/>
  <c r="Y17" i="9"/>
  <c r="F67" i="9" s="1"/>
  <c r="AM17" i="9"/>
  <c r="AE17" i="9"/>
  <c r="Y18" i="9"/>
  <c r="F44" i="9" s="1"/>
  <c r="AM18" i="9"/>
  <c r="AE18" i="9"/>
  <c r="Y19" i="9"/>
  <c r="F45" i="9" s="1"/>
  <c r="AM19" i="9"/>
  <c r="AE19" i="9"/>
  <c r="Y20" i="9"/>
  <c r="F70" i="9" s="1"/>
  <c r="AM20" i="9"/>
  <c r="AE20" i="9"/>
  <c r="Y21" i="9"/>
  <c r="F47" i="9" s="1"/>
  <c r="AE21" i="9"/>
  <c r="AM21" i="9"/>
  <c r="AB23" i="9"/>
  <c r="AJ23" i="9"/>
  <c r="AH15" i="9"/>
  <c r="Z15" i="9"/>
  <c r="Z23" i="9"/>
  <c r="AH23" i="9"/>
  <c r="Y4" i="9"/>
  <c r="F30" i="9" s="1"/>
  <c r="AE4" i="9"/>
  <c r="AM4" i="9"/>
  <c r="Y6" i="9"/>
  <c r="F57" i="9" s="1"/>
  <c r="AM6" i="9"/>
  <c r="AE6" i="9"/>
  <c r="Y9" i="9"/>
  <c r="F60" i="9" s="1"/>
  <c r="AE9" i="9"/>
  <c r="AM9" i="9"/>
  <c r="Y14" i="9"/>
  <c r="F64" i="9" s="1"/>
  <c r="AM14" i="9"/>
  <c r="AE14" i="9"/>
  <c r="U18" i="9"/>
  <c r="AI18" i="9"/>
  <c r="AA18" i="9"/>
  <c r="U20" i="9"/>
  <c r="AI20" i="9"/>
  <c r="AA20" i="9"/>
  <c r="AJ22" i="9"/>
  <c r="AB22" i="9"/>
  <c r="U4" i="9"/>
  <c r="AI4" i="9"/>
  <c r="AA4" i="9"/>
  <c r="U6" i="9"/>
  <c r="AA6" i="9"/>
  <c r="AI6" i="9"/>
  <c r="U8" i="9"/>
  <c r="AI8" i="9"/>
  <c r="AA8" i="9"/>
  <c r="V10" i="9"/>
  <c r="AJ10" i="9"/>
  <c r="AB10" i="9"/>
  <c r="Y13" i="9"/>
  <c r="F39" i="9" s="1"/>
  <c r="AE13" i="9"/>
  <c r="AM13" i="9"/>
  <c r="W18" i="9"/>
  <c r="D68" i="9" s="1"/>
  <c r="AK18" i="9"/>
  <c r="AC18" i="9"/>
  <c r="AL22" i="9"/>
  <c r="K48" i="9" s="1"/>
  <c r="X3" i="9"/>
  <c r="E55" i="9" s="1"/>
  <c r="AD3" i="9"/>
  <c r="H29" i="9" s="1"/>
  <c r="AL3" i="9"/>
  <c r="E56" i="9"/>
  <c r="AD4" i="9"/>
  <c r="AL4" i="9"/>
  <c r="E31" i="9"/>
  <c r="AL5" i="9"/>
  <c r="K31" i="9" s="1"/>
  <c r="AD5" i="9"/>
  <c r="H31" i="9" s="1"/>
  <c r="E57" i="9"/>
  <c r="AL6" i="9"/>
  <c r="AD6" i="9"/>
  <c r="E58" i="9"/>
  <c r="AL7" i="9"/>
  <c r="AD7" i="9"/>
  <c r="E34" i="9"/>
  <c r="AD8" i="9"/>
  <c r="AL8" i="9"/>
  <c r="E60" i="9"/>
  <c r="AD9" i="9"/>
  <c r="AL9" i="9"/>
  <c r="Y10" i="9"/>
  <c r="F36" i="9" s="1"/>
  <c r="AE10" i="9"/>
  <c r="AM10" i="9"/>
  <c r="U12" i="9"/>
  <c r="AI12" i="9"/>
  <c r="AA12" i="9"/>
  <c r="AJ13" i="9"/>
  <c r="AB13" i="9"/>
  <c r="E64" i="9"/>
  <c r="AD14" i="9"/>
  <c r="AL14" i="9"/>
  <c r="Y15" i="9"/>
  <c r="F65" i="9" s="1"/>
  <c r="AE15" i="9"/>
  <c r="AM15" i="9"/>
  <c r="Z17" i="9"/>
  <c r="AH17" i="9"/>
  <c r="T18" i="9"/>
  <c r="AH18" i="9"/>
  <c r="Z18" i="9"/>
  <c r="T19" i="9"/>
  <c r="AH19" i="9"/>
  <c r="Z19" i="9"/>
  <c r="T20" i="9"/>
  <c r="AH20" i="9"/>
  <c r="Z20" i="9"/>
  <c r="AH21" i="9"/>
  <c r="Z21" i="9"/>
  <c r="AI22" i="9"/>
  <c r="AA22" i="9"/>
  <c r="AK23" i="9"/>
  <c r="J49" i="9" s="1"/>
  <c r="AC23" i="9"/>
  <c r="G49" i="9" s="1"/>
  <c r="AH14" i="9"/>
  <c r="Z14" i="9"/>
  <c r="Z22" i="9"/>
  <c r="AH22" i="9"/>
  <c r="AI14" i="9"/>
  <c r="AA14" i="9"/>
  <c r="M55" i="9"/>
  <c r="M60" i="9"/>
  <c r="M35" i="9"/>
  <c r="M62" i="9"/>
  <c r="M38" i="9"/>
  <c r="M65" i="9"/>
  <c r="M41" i="9"/>
  <c r="M68" i="9"/>
  <c r="M44" i="9"/>
  <c r="M47" i="9"/>
  <c r="M71" i="9"/>
  <c r="E65" i="9"/>
  <c r="N31" i="9"/>
  <c r="N59" i="9"/>
  <c r="N34" i="9"/>
  <c r="N37" i="9"/>
  <c r="N64" i="9"/>
  <c r="N40" i="9"/>
  <c r="N67" i="9"/>
  <c r="N43" i="9"/>
  <c r="N70" i="9"/>
  <c r="N46" i="9"/>
  <c r="M31" i="9"/>
  <c r="M59" i="9"/>
  <c r="M34" i="9"/>
  <c r="M37" i="9"/>
  <c r="M64" i="9"/>
  <c r="M40" i="9"/>
  <c r="M67" i="9"/>
  <c r="M43" i="9"/>
  <c r="M70" i="9"/>
  <c r="M46" i="9"/>
  <c r="N57" i="9"/>
  <c r="N32" i="9"/>
  <c r="N60" i="9"/>
  <c r="N35" i="9"/>
  <c r="N62" i="9"/>
  <c r="N38" i="9"/>
  <c r="N65" i="9"/>
  <c r="N41" i="9"/>
  <c r="N68" i="9"/>
  <c r="N44" i="9"/>
  <c r="N47" i="9"/>
  <c r="N71" i="9"/>
  <c r="N55" i="9"/>
  <c r="E68" i="9"/>
  <c r="M57" i="9"/>
  <c r="M32" i="9"/>
  <c r="E43" i="9"/>
  <c r="E71" i="9"/>
  <c r="N56" i="9"/>
  <c r="N30" i="9"/>
  <c r="N58" i="9"/>
  <c r="N33" i="9"/>
  <c r="N61" i="9"/>
  <c r="N36" i="9"/>
  <c r="N39" i="9"/>
  <c r="N63" i="9"/>
  <c r="N66" i="9"/>
  <c r="N42" i="9"/>
  <c r="N45" i="9"/>
  <c r="N69" i="9"/>
  <c r="M56" i="9"/>
  <c r="M30" i="9"/>
  <c r="M58" i="9"/>
  <c r="M33" i="9"/>
  <c r="M61" i="9"/>
  <c r="M36" i="9"/>
  <c r="M39" i="9"/>
  <c r="M63" i="9"/>
  <c r="M66" i="9"/>
  <c r="M42" i="9"/>
  <c r="M45" i="9"/>
  <c r="M69" i="9"/>
  <c r="BD21" i="8"/>
  <c r="BF22" i="8"/>
  <c r="BE23" i="8"/>
  <c r="BE21" i="8"/>
  <c r="BC21" i="8"/>
  <c r="BF23" i="8"/>
  <c r="BD22" i="8"/>
  <c r="BB21" i="8"/>
  <c r="BF21" i="8"/>
  <c r="BE22" i="8"/>
  <c r="F68" i="9" l="1"/>
  <c r="D41" i="9"/>
  <c r="F63" i="9"/>
  <c r="AC65" i="9" a="1"/>
  <c r="AC65" i="9" s="1"/>
  <c r="F71" i="9"/>
  <c r="D55" i="9"/>
  <c r="D29" i="9"/>
  <c r="E59" i="9"/>
  <c r="E66" i="9"/>
  <c r="F46" i="9"/>
  <c r="E30" i="9"/>
  <c r="D61" i="9"/>
  <c r="D67" i="9"/>
  <c r="F35" i="9"/>
  <c r="L56" i="9"/>
  <c r="L30" i="9"/>
  <c r="I44" i="9"/>
  <c r="I68" i="9"/>
  <c r="I66" i="9"/>
  <c r="I42" i="9"/>
  <c r="G60" i="9"/>
  <c r="G35" i="9"/>
  <c r="G58" i="9"/>
  <c r="G33" i="9"/>
  <c r="G29" i="9"/>
  <c r="G55" i="9"/>
  <c r="G70" i="9"/>
  <c r="G46" i="9"/>
  <c r="K38" i="9"/>
  <c r="K62" i="9"/>
  <c r="I55" i="9"/>
  <c r="I29" i="9"/>
  <c r="K70" i="9"/>
  <c r="K46" i="9"/>
  <c r="H44" i="9"/>
  <c r="H68" i="9"/>
  <c r="K42" i="9"/>
  <c r="K66" i="9"/>
  <c r="H39" i="9"/>
  <c r="H63" i="9"/>
  <c r="F61" i="9"/>
  <c r="H33" i="9"/>
  <c r="H58" i="9"/>
  <c r="H70" i="9"/>
  <c r="K44" i="9"/>
  <c r="K68" i="9"/>
  <c r="H66" i="9"/>
  <c r="H42" i="9"/>
  <c r="J45" i="9"/>
  <c r="J69" i="9"/>
  <c r="K63" i="9"/>
  <c r="K39" i="9"/>
  <c r="AD65" i="9" a="1"/>
  <c r="AD65" i="9" s="1"/>
  <c r="I65" i="9"/>
  <c r="I41" i="9"/>
  <c r="L35" i="9"/>
  <c r="L60" i="9"/>
  <c r="I46" i="9"/>
  <c r="I70" i="9"/>
  <c r="J40" i="9"/>
  <c r="J64" i="9"/>
  <c r="K35" i="9"/>
  <c r="K60" i="9"/>
  <c r="K29" i="9"/>
  <c r="K55" i="9"/>
  <c r="G68" i="9"/>
  <c r="G44" i="9"/>
  <c r="I60" i="9"/>
  <c r="I35" i="9"/>
  <c r="I56" i="9"/>
  <c r="I30" i="9"/>
  <c r="L70" i="9"/>
  <c r="L46" i="9"/>
  <c r="L68" i="9"/>
  <c r="L44" i="9"/>
  <c r="L42" i="9"/>
  <c r="L66" i="9"/>
  <c r="G64" i="9"/>
  <c r="G40" i="9"/>
  <c r="E35" i="9"/>
  <c r="D71" i="9"/>
  <c r="AD66" i="9" a="1"/>
  <c r="AD66" i="9" s="1"/>
  <c r="K64" i="9"/>
  <c r="K40" i="9"/>
  <c r="H60" i="9"/>
  <c r="H35" i="9"/>
  <c r="K58" i="9"/>
  <c r="K33" i="9"/>
  <c r="H55" i="9"/>
  <c r="J68" i="9"/>
  <c r="J44" i="9"/>
  <c r="K36" i="9"/>
  <c r="K61" i="9"/>
  <c r="J59" i="9"/>
  <c r="J34" i="9"/>
  <c r="G57" i="9"/>
  <c r="G32" i="9"/>
  <c r="J30" i="9"/>
  <c r="J56" i="9"/>
  <c r="J66" i="9"/>
  <c r="J42" i="9"/>
  <c r="L58" i="9"/>
  <c r="L33" i="9"/>
  <c r="I62" i="9"/>
  <c r="I38" i="9"/>
  <c r="J61" i="9"/>
  <c r="J36" i="9"/>
  <c r="G69" i="9"/>
  <c r="G45" i="9"/>
  <c r="J39" i="9"/>
  <c r="J63" i="9"/>
  <c r="I34" i="9"/>
  <c r="I59" i="9"/>
  <c r="AC66" i="9" a="1"/>
  <c r="AC66" i="9" s="1"/>
  <c r="H40" i="9"/>
  <c r="H64" i="9"/>
  <c r="I40" i="9"/>
  <c r="I64" i="9"/>
  <c r="I32" i="9"/>
  <c r="I57" i="9"/>
  <c r="L47" i="9"/>
  <c r="L71" i="9"/>
  <c r="I45" i="9"/>
  <c r="I69" i="9"/>
  <c r="I67" i="9"/>
  <c r="I43" i="9"/>
  <c r="K41" i="9"/>
  <c r="K65" i="9"/>
  <c r="H61" i="9"/>
  <c r="H36" i="9"/>
  <c r="G59" i="9"/>
  <c r="G34" i="9"/>
  <c r="J57" i="9"/>
  <c r="J32" i="9"/>
  <c r="G56" i="9"/>
  <c r="G30" i="9"/>
  <c r="G66" i="9"/>
  <c r="G42" i="9"/>
  <c r="I33" i="9"/>
  <c r="I58" i="9"/>
  <c r="K47" i="9"/>
  <c r="K71" i="9"/>
  <c r="H45" i="9"/>
  <c r="H69" i="9"/>
  <c r="H67" i="9"/>
  <c r="H43" i="9"/>
  <c r="J65" i="9"/>
  <c r="J41" i="9"/>
  <c r="L62" i="9"/>
  <c r="L38" i="9"/>
  <c r="G61" i="9"/>
  <c r="G36" i="9"/>
  <c r="G63" i="9"/>
  <c r="G39" i="9"/>
  <c r="L59" i="9"/>
  <c r="L34" i="9"/>
  <c r="G62" i="9"/>
  <c r="G38" i="9"/>
  <c r="L36" i="9"/>
  <c r="L61" i="9"/>
  <c r="K34" i="9"/>
  <c r="K59" i="9"/>
  <c r="H32" i="9"/>
  <c r="H57" i="9"/>
  <c r="K30" i="9"/>
  <c r="K56" i="9"/>
  <c r="L63" i="9"/>
  <c r="L39" i="9"/>
  <c r="L64" i="9"/>
  <c r="L40" i="9"/>
  <c r="L57" i="9"/>
  <c r="L32" i="9"/>
  <c r="I47" i="9"/>
  <c r="I71" i="9"/>
  <c r="L69" i="9"/>
  <c r="L45" i="9"/>
  <c r="L43" i="9"/>
  <c r="L67" i="9"/>
  <c r="H41" i="9"/>
  <c r="H65" i="9"/>
  <c r="H47" i="9"/>
  <c r="H71" i="9"/>
  <c r="K69" i="9"/>
  <c r="K45" i="9"/>
  <c r="K43" i="9"/>
  <c r="K67" i="9"/>
  <c r="G65" i="9"/>
  <c r="G41" i="9"/>
  <c r="J71" i="9"/>
  <c r="J47" i="9"/>
  <c r="J67" i="9"/>
  <c r="J43" i="9"/>
  <c r="J62" i="9"/>
  <c r="J38" i="9"/>
  <c r="E32" i="9"/>
  <c r="L65" i="9"/>
  <c r="L41" i="9"/>
  <c r="I61" i="9"/>
  <c r="I36" i="9"/>
  <c r="H34" i="9"/>
  <c r="H59" i="9"/>
  <c r="K57" i="9"/>
  <c r="K32" i="9"/>
  <c r="H56" i="9"/>
  <c r="H30" i="9"/>
  <c r="I39" i="9"/>
  <c r="I63" i="9"/>
  <c r="J60" i="9"/>
  <c r="J35" i="9"/>
  <c r="J58" i="9"/>
  <c r="J33" i="9"/>
  <c r="J55" i="9"/>
  <c r="J29" i="9"/>
  <c r="J46" i="9"/>
  <c r="J70" i="9"/>
  <c r="H38" i="9"/>
  <c r="H62" i="9"/>
  <c r="L29" i="9"/>
  <c r="L55" i="9"/>
  <c r="G71" i="9"/>
  <c r="G47" i="9"/>
  <c r="G43" i="9"/>
  <c r="G67" i="9"/>
  <c r="F42" i="9"/>
  <c r="E70" i="9"/>
  <c r="F56" i="9"/>
  <c r="D69" i="9"/>
  <c r="F32" i="9"/>
  <c r="D42" i="9"/>
  <c r="D56" i="9"/>
  <c r="F33" i="9"/>
  <c r="D63" i="9"/>
  <c r="F59" i="9"/>
  <c r="D59" i="9"/>
  <c r="E61" i="9"/>
  <c r="F43" i="9"/>
  <c r="E45" i="9"/>
  <c r="E63" i="9"/>
  <c r="F69" i="9"/>
  <c r="F40" i="9"/>
  <c r="E40" i="9"/>
  <c r="E33" i="9"/>
  <c r="E29" i="9"/>
  <c r="D64" i="9"/>
  <c r="D57" i="9"/>
  <c r="F38" i="9"/>
  <c r="D38" i="9"/>
  <c r="D35" i="9"/>
  <c r="F41" i="9"/>
  <c r="D33" i="9"/>
  <c r="E38" i="9"/>
  <c r="F29" i="9"/>
  <c r="D31" i="9"/>
  <c r="D46" i="9"/>
  <c r="D44" i="9"/>
  <c r="AA66" i="9" l="1" a="1"/>
  <c r="AA66" i="9" s="1"/>
  <c r="U66" i="9" a="1"/>
  <c r="U66" i="9" s="1"/>
  <c r="U65" i="9" a="1"/>
  <c r="U65" i="9" s="1"/>
  <c r="V66" i="9" a="1"/>
  <c r="V66" i="9" s="1"/>
  <c r="T66" i="9" a="1"/>
  <c r="T66" i="9" s="1"/>
  <c r="Y65" i="9" a="1"/>
  <c r="Y65" i="9" s="1"/>
  <c r="W66" i="9" a="1"/>
  <c r="W66" i="9" s="1"/>
  <c r="AB66" i="9" a="1"/>
  <c r="AB66" i="9" s="1"/>
  <c r="Y66" i="9" a="1"/>
  <c r="Y66" i="9" s="1"/>
  <c r="X65" i="9" a="1"/>
  <c r="X65" i="9" s="1"/>
  <c r="W65" i="9" a="1"/>
  <c r="W65" i="9" s="1"/>
  <c r="T65" i="9" a="1"/>
  <c r="T65" i="9" s="1"/>
  <c r="AB65" i="9" a="1"/>
  <c r="AB65" i="9" s="1"/>
  <c r="V65" i="9" a="1"/>
  <c r="V65" i="9" s="1"/>
  <c r="Z65" i="9" a="1"/>
  <c r="Z65" i="9" s="1"/>
  <c r="Z66" i="9" a="1"/>
  <c r="Z66" i="9" s="1"/>
  <c r="AA65" i="9" a="1"/>
  <c r="AA65" i="9" s="1"/>
  <c r="X66" i="9" a="1"/>
  <c r="X66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<sst xmlns="http://schemas.openxmlformats.org/spreadsheetml/2006/main" count="660" uniqueCount="102">
  <si>
    <t>Particle #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</si>
  <si>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</si>
  <si>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</si>
  <si>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</si>
  <si>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</si>
  <si>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</si>
  <si>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</si>
  <si>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</si>
  <si>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</si>
  <si>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</si>
  <si>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</si>
  <si>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</si>
  <si>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</si>
  <si>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</si>
  <si>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</si>
  <si>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</si>
  <si>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ch1</t>
  </si>
  <si>
    <t>ch2</t>
  </si>
  <si>
    <t>ch3</t>
  </si>
  <si>
    <t>ch4</t>
  </si>
  <si>
    <t>ch5</t>
  </si>
  <si>
    <t>ch6</t>
  </si>
  <si>
    <t>flood2</t>
  </si>
  <si>
    <t>flood3</t>
  </si>
  <si>
    <t>flood5</t>
  </si>
  <si>
    <t xml:space="preserve">RMSE </t>
  </si>
  <si>
    <t>Max Amp</t>
  </si>
  <si>
    <t>ch6_max</t>
  </si>
  <si>
    <t>ch5_max</t>
  </si>
  <si>
    <t>ch4_max</t>
  </si>
  <si>
    <t>ch3_max</t>
  </si>
  <si>
    <t>ch2_max</t>
  </si>
  <si>
    <t>ch1_max</t>
  </si>
  <si>
    <t>ch6_imp/s</t>
  </si>
  <si>
    <t>ch5_imp/s</t>
  </si>
  <si>
    <t>ch4_imp/s</t>
  </si>
  <si>
    <t>ch3_imp/s</t>
  </si>
  <si>
    <t>ch2_imp/s</t>
  </si>
  <si>
    <t>ch1_imp/s</t>
  </si>
  <si>
    <t>Ch1</t>
  </si>
  <si>
    <t>Ch2</t>
  </si>
  <si>
    <t>Ch3</t>
  </si>
  <si>
    <t>ST2</t>
  </si>
  <si>
    <t>ST4</t>
  </si>
  <si>
    <t>ST7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</si>
  <si>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</si>
  <si>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</si>
  <si>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</si>
  <si>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</si>
  <si>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</si>
  <si>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</si>
  <si>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</si>
  <si>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</si>
  <si>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</si>
  <si>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</si>
  <si>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</si>
  <si>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</si>
  <si>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</si>
  <si>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</si>
  <si>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</si>
  <si>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</si>
  <si>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</si>
  <si>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</si>
  <si>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</si>
  <si>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</si>
  <si>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</si>
  <si>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</si>
  <si>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</si>
  <si>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</si>
  <si>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B-axis</t>
  </si>
  <si>
    <t>Storms with tracer data</t>
  </si>
  <si>
    <t>Original Max Size</t>
  </si>
  <si>
    <t>ST3</t>
  </si>
  <si>
    <t>Using Radius, all measurements</t>
  </si>
  <si>
    <t xml:space="preserve">MinD </t>
  </si>
  <si>
    <t>D</t>
  </si>
  <si>
    <t>Dmax</t>
  </si>
  <si>
    <t>Max Size</t>
  </si>
  <si>
    <t>Largest % Moved</t>
  </si>
  <si>
    <t>D (def)</t>
  </si>
  <si>
    <t>&lt;50% moved</t>
  </si>
  <si>
    <t>Size ratio</t>
  </si>
  <si>
    <t>Imp/s * Amax: Ch1</t>
  </si>
  <si>
    <t>Imp/s * Amax: Ch2</t>
  </si>
  <si>
    <t>Imp/s * Amax: Ch3</t>
  </si>
  <si>
    <t>Imp/s * Amedian: Ch3</t>
  </si>
  <si>
    <t>Imp/s * Amedian: Ch2</t>
  </si>
  <si>
    <t>Imp/s * Amedian: Ch1</t>
  </si>
  <si>
    <t>Imp/s * Amean: Ch3</t>
  </si>
  <si>
    <t>Imp/s * Amean: Ch2</t>
  </si>
  <si>
    <t>Imp/s * Amean: Ch1</t>
  </si>
  <si>
    <t>std</t>
  </si>
  <si>
    <t>avg</t>
  </si>
  <si>
    <t xml:space="preserve">Amplification </t>
  </si>
  <si>
    <t>min</t>
  </si>
  <si>
    <t>max</t>
  </si>
  <si>
    <t>tau</t>
  </si>
  <si>
    <t>amp</t>
  </si>
  <si>
    <t xml:space="preserve">amp factor for all storms </t>
  </si>
  <si>
    <t xml:space="preserve">SPRING </t>
  </si>
  <si>
    <t>SPRING</t>
  </si>
  <si>
    <t>spring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</si>
</sst>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7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5" borderId="0" xfId="0" applyNumberFormat="1" applyFill="1" applyAlignment="1">
      <alignment horizontal="center"/>
    </xf>
    <xf numFmtId="165" fontId="0" fillId="5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7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7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7" fontId="0" fillId="0" borderId="2" xfId="0" applyNumberFormat="1" applyBorder="1" applyAlignment="1">
      <alignment horizontal="center"/>
    </xf>
    <xf numFmtId="167" fontId="0" fillId="0" borderId="6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167" fontId="0" fillId="0" borderId="8" xfId="0" applyNumberFormat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" xfId="0" applyFill="1" applyBorder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0" fillId="4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0" fillId="0" borderId="0" xfId="0" applyBorder="1" applyAlignment="1">
      <alignment horizontal="center"/>
    </xf>
    <xf numFmtId="2" fontId="0" fillId="7" borderId="0" xfId="0" applyNumberFormat="1" applyFill="1" applyBorder="1" applyAlignment="1">
      <alignment horizontal="center"/>
    </xf>
    <xf numFmtId="2" fontId="2" fillId="7" borderId="0" xfId="0" applyNumberFormat="1" applyFont="1" applyFill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0" fontId="0" fillId="0" borderId="0" xfId="0" applyBorder="1"/>
    <xf numFmtId="164" fontId="0" fillId="7" borderId="0" xfId="0" applyNumberFormat="1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167" fontId="0" fillId="7" borderId="0" xfId="0" applyNumberFormat="1" applyFill="1" applyAlignment="1">
      <alignment horizontal="center"/>
    </xf>
    <xf numFmtId="0" fontId="0" fillId="7" borderId="2" xfId="0" applyFill="1" applyBorder="1"/>
    <xf numFmtId="0" fontId="1" fillId="0" borderId="9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2022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storm_amplification!$Y$11:$Y$14</c:f>
              <c:numCache>
                <c:formatCode>General</c:formatCode>
                <c:ptCount val="4"/>
                <c:pt idx="0">
                  <c:v>27</c:v>
                </c:pt>
                <c:pt idx="1">
                  <c:v>38</c:v>
                </c:pt>
                <c:pt idx="2">
                  <c:v>24</c:v>
                </c:pt>
                <c:pt idx="3">
                  <c:v>7.5</c:v>
                </c:pt>
              </c:numCache>
            </c:numRef>
          </c:xVal>
          <c:yVal>
            <c:numRef>
              <c:f>storm_amplification!$Z$11:$Z$14</c:f>
              <c:numCache>
                <c:formatCode>0.00</c:formatCode>
                <c:ptCount val="4"/>
                <c:pt idx="0">
                  <c:v>4.2582264965200256</c:v>
                </c:pt>
                <c:pt idx="1">
                  <c:v>18.708710619626686</c:v>
                </c:pt>
                <c:pt idx="2">
                  <c:v>13.275072710829402</c:v>
                </c:pt>
                <c:pt idx="3">
                  <c:v>1.2174626027909965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8-4F8B-94D3-EB045BBAC2CE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6078813260003025"/>
                  <c:y val="4.1245457865579527E-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storm_amplification!$Y$11:$Y$14</c:f>
              <c:numCache>
                <c:formatCode>General</c:formatCode>
                <c:ptCount val="4"/>
                <c:pt idx="0">
                  <c:v>27</c:v>
                </c:pt>
                <c:pt idx="1">
                  <c:v>38</c:v>
                </c:pt>
                <c:pt idx="2">
                  <c:v>24</c:v>
                </c:pt>
                <c:pt idx="3">
                  <c:v>7.5</c:v>
                </c:pt>
              </c:numCache>
            </c:numRef>
          </c:xVal>
          <c:yVal>
            <c:numRef>
              <c:f>storm_amplification!$Z$11:$Z$14</c:f>
              <c:numCache>
                <c:formatCode>0.00</c:formatCode>
                <c:ptCount val="4"/>
                <c:pt idx="0">
                  <c:v>4.2582264965200256</c:v>
                </c:pt>
                <c:pt idx="1">
                  <c:v>18.708710619626686</c:v>
                </c:pt>
                <c:pt idx="2">
                  <c:v>13.275072710829402</c:v>
                </c:pt>
                <c:pt idx="3">
                  <c:v>1.2174626027909965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85-4B34-8A03-1EFF00539E23}"/>
            </c:ext>
          </c:extLst>
        </c:ser>
        <c:ser>
          <c:idx val="1"/>
          <c:order val="2"/>
          <c:tx>
            <c:v>2023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storm_amplification!$Y$13:$Y$14</c:f>
              <c:numCache>
                <c:formatCode>General</c:formatCode>
                <c:ptCount val="2"/>
                <c:pt idx="0">
                  <c:v>24</c:v>
                </c:pt>
                <c:pt idx="1">
                  <c:v>7.5</c:v>
                </c:pt>
              </c:numCache>
            </c:numRef>
          </c:xVal>
          <c:yVal>
            <c:numRef>
              <c:f>storm_amplification!$Z$13:$Z$14</c:f>
              <c:numCache>
                <c:formatCode>0.00</c:formatCode>
                <c:ptCount val="2"/>
                <c:pt idx="0">
                  <c:v>13.275072710829402</c:v>
                </c:pt>
                <c:pt idx="1">
                  <c:v>1.2174626027909965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385-4B34-8A03-1EFF00539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backward val="12"/>
            <c:dispRSqr val="1"/>
            <c:dispEq val="1"/>
            <c:trendlineLbl>
              <c:layout>
                <c:manualLayout>
                  <c:x val="-0.18638424771461262"/>
                  <c:y val="2.1732889020770474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storm_amplification!$Y$11:$Y$12</c:f>
              <c:numCache>
                <c:formatCode>General</c:formatCode>
                <c:ptCount val="2"/>
                <c:pt idx="0">
                  <c:v>27</c:v>
                </c:pt>
                <c:pt idx="1">
                  <c:v>38</c:v>
                </c:pt>
              </c:numCache>
            </c:numRef>
          </c:xVal>
          <c:yVal>
            <c:numRef>
              <c:f>storm_amplification!$Z$11:$Z$12</c:f>
              <c:numCache>
                <c:formatCode>0.00</c:formatCode>
                <c:ptCount val="2"/>
                <c:pt idx="0">
                  <c:v>4.2582264965200256</c:v>
                </c:pt>
                <c:pt idx="1">
                  <c:v>18.708710619626686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D-4440-89B2-14BE777E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8594278217871741E-2"/>
                  <c:y val="3.295273293389828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storm_amplification!$Y$13:$Y$14</c:f>
              <c:numCache>
                <c:formatCode>General</c:formatCode>
                <c:ptCount val="2"/>
                <c:pt idx="0">
                  <c:v>24</c:v>
                </c:pt>
                <c:pt idx="1">
                  <c:v>7.5</c:v>
                </c:pt>
              </c:numCache>
            </c:numRef>
          </c:xVal>
          <c:yVal>
            <c:numRef>
              <c:f>storm_amplification!$Z$13:$Z$14</c:f>
              <c:numCache>
                <c:formatCode>0.00</c:formatCode>
                <c:ptCount val="2"/>
                <c:pt idx="0">
                  <c:v>13.275072710829402</c:v>
                </c:pt>
                <c:pt idx="1">
                  <c:v>1.2174626027909965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E-4E2D-8AC9-6B4E10FB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  <c:pt idx="20" formatCode="0.000">
                  <c:v>3.4734349552416499E-2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  <c:pt idx="20" formatCode="0.000">
                  <c:v>1.59772775618169E-2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  <c:pt idx="20" formatCode="0.000">
                  <c:v>1.59772775618169E-2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  <c:pt idx="20" formatCode="0.000">
                  <c:v>1.5617522696591399E-2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  <c:pt idx="20" formatCode="0.000">
                  <c:v>1.5617522696591399E-2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  <c:pt idx="20">
                  <c:v>1.1520000000000001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  <c:pt idx="20">
                  <c:v>1.1520000000000001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  <c:pt idx="20">
                  <c:v>203.26400000000001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  <c:pt idx="20">
                  <c:v>302.75200000000001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  <c:pt idx="20">
                  <c:v>4.0013970684383809E-2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  <c:pt idx="20">
                  <c:v>4.0013970684383809E-2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  <c:pt idx="20">
                  <c:v>0.93921681189733641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  <c:pt idx="20">
                  <c:v>7.0602428274223881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  <c:pt idx="20">
                  <c:v>10.5158937956932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  <c:pt idx="20">
                  <c:v>0.97748334384042646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  <c:pt idx="20">
                  <c:v>0.97748334384042646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  <c:pt idx="20">
                  <c:v>1.7991386146473293E-2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  <c:pt idx="20">
                  <c:v>1.7991386146473293E-2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  <c:pt idx="20">
                  <c:v>0.42229781371582886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  <c:pt idx="20">
                  <c:v>0.42229781371582886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  <c:pt idx="20">
                  <c:v>3.1744801333999542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  <c:pt idx="20">
                  <c:v>3.1744801333999542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  <c:pt idx="20">
                  <c:v>4.7282362314384399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  <c:pt idx="20">
                  <c:v>4.7282362314384399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  <c:pt idx="20">
                  <c:v>2.2240626908131493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  <c:pt idx="20">
                  <c:v>2.1739842359267736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  <c:pt idx="20">
                  <c:v>2.4952549495141591E-4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  <c:pt idx="20">
                  <c:v>2.4952549495141591E-4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  <c:pt idx="20">
                  <c:v>5.4246449248620393E-4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  <c:pt idx="20">
                  <c:v>5.5496034372812903E-4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  <c:pt idx="20">
                  <c:v>1.8405823751213073E-2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  <c:pt idx="20">
                  <c:v>1.8405823751213073E-2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  <c:pt idx="20">
                  <c:v>0.43202558527152635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  <c:pt idx="20">
                  <c:v>0.43202558527152635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  <c:pt idx="20">
                  <c:v>3.2476053463251504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  <c:pt idx="20">
                  <c:v>3.2476053463251504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  <c:pt idx="20">
                  <c:v>4.8371527363951907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  <c:pt idx="20">
                  <c:v>4.8371527363951907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  <c:pt idx="20">
                  <c:v>1.0230353348744625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  <c:pt idx="20">
                  <c:v>1.0230353348744625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  <c:pt idx="20">
                  <c:v>0.4496276135248623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  <c:pt idx="20">
                  <c:v>0.4496276135248623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  <c:pt idx="20">
                  <c:v>0.45998493617121289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  <c:pt idx="20">
                  <c:v>0.45998493617121289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  <c:pt idx="20">
                  <c:v>6.0102405859548029E-3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  <c:pt idx="20">
                  <c:v>6.0102405859548029E-3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  <c:pt idx="20">
                  <c:v>0.44478517387975663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  <c:pt idx="20">
                  <c:v>0.44478517387975663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  <c:pt idx="20">
                  <c:v>13.283300359546233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  <c:pt idx="20">
                  <c:v>13.283300359546233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  <c:pt idx="20">
                  <c:v>79.139360643366985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  <c:pt idx="20">
                  <c:v>79.139360643366985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  <c:pt idx="20">
                  <c:v>27.039999999999836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8470862473751931"/>
                  <c:y val="-0.125085865524486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validation!$C$29:$C$49</c:f>
              <c:numCache>
                <c:formatCode>0.00</c:formatCode>
                <c:ptCount val="21"/>
                <c:pt idx="0">
                  <c:v>142.60831146005137</c:v>
                </c:pt>
                <c:pt idx="1">
                  <c:v>99.702281630840119</c:v>
                </c:pt>
                <c:pt idx="2">
                  <c:v>80.494299517891292</c:v>
                </c:pt>
                <c:pt idx="3">
                  <c:v>108.52826698393112</c:v>
                </c:pt>
                <c:pt idx="4">
                  <c:v>51.711320397363707</c:v>
                </c:pt>
                <c:pt idx="5">
                  <c:v>110.07828843908854</c:v>
                </c:pt>
                <c:pt idx="6">
                  <c:v>28.138895212995983</c:v>
                </c:pt>
                <c:pt idx="7">
                  <c:v>43.154717980702401</c:v>
                </c:pt>
                <c:pt idx="8">
                  <c:v>45.758265516180927</c:v>
                </c:pt>
                <c:pt idx="9">
                  <c:v>35.608707540523334</c:v>
                </c:pt>
                <c:pt idx="10">
                  <c:v>18.385700320150519</c:v>
                </c:pt>
                <c:pt idx="11">
                  <c:v>21.41250921689856</c:v>
                </c:pt>
                <c:pt idx="12">
                  <c:v>44.21810982361545</c:v>
                </c:pt>
                <c:pt idx="13">
                  <c:v>56.991450556743601</c:v>
                </c:pt>
                <c:pt idx="14">
                  <c:v>39.729031757563774</c:v>
                </c:pt>
                <c:pt idx="15">
                  <c:v>122.90534144639936</c:v>
                </c:pt>
                <c:pt idx="16">
                  <c:v>62.934080327892111</c:v>
                </c:pt>
                <c:pt idx="17">
                  <c:v>82.301765378972704</c:v>
                </c:pt>
                <c:pt idx="18">
                  <c:v>103.79561762782475</c:v>
                </c:pt>
                <c:pt idx="19">
                  <c:v>20.326828970179818</c:v>
                </c:pt>
                <c:pt idx="20">
                  <c:v>11.253514007053486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00177003250678"/>
                  <c:y val="8.892637788912236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validation!$M$29:$M$49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21.449588919372982</c:v>
                </c:pt>
                <c:pt idx="20">
                  <c:v>10.419702497860031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2400165112892049"/>
                  <c:y val="-3.7576990348426424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validation!$N$29:$N$47</c:f>
              <c:numCache>
                <c:formatCode>0.00</c:formatCode>
                <c:ptCount val="19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validation!$AF$63:$AF$64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validation!$AG$63:$AG$64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ED-4A9A-BB65-0196B2942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logBase val="10"/>
          <c:orientation val="minMax"/>
          <c:max val="150"/>
          <c:min val="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logBase val="10"/>
          <c:orientation val="minMax"/>
          <c:max val="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56077634212639"/>
                  <c:y val="-0.1611959263663441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validation!$D$29:$D$49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10.413880038878078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2256127479614"/>
                  <c:y val="-6.233764921840725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validation!$E$29:$E$47</c:f>
              <c:numCache>
                <c:formatCode>0.000</c:formatCode>
                <c:ptCount val="19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51725507605318"/>
                  <c:y val="-0.1860648190907201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validation!$F$29:$F$49</c:f>
              <c:numCache>
                <c:formatCode>0.000</c:formatCode>
                <c:ptCount val="21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16.191244363932022</c:v>
                </c:pt>
                <c:pt idx="20">
                  <c:v>1.8208565296873807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validation!$G$28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77405235324813"/>
                  <c:y val="-8.49430112678657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validation!$G$29:$G$49</c:f>
              <c:numCache>
                <c:formatCode>0.00</c:formatCode>
                <c:ptCount val="21"/>
                <c:pt idx="0">
                  <c:v>65.384578047646713</c:v>
                </c:pt>
                <c:pt idx="1">
                  <c:v>71.795875306103753</c:v>
                </c:pt>
                <c:pt idx="2">
                  <c:v>57.107285520757799</c:v>
                </c:pt>
                <c:pt idx="3">
                  <c:v>67.228863069123221</c:v>
                </c:pt>
                <c:pt idx="4">
                  <c:v>67.790158190567425</c:v>
                </c:pt>
                <c:pt idx="5">
                  <c:v>52.229548635315865</c:v>
                </c:pt>
                <c:pt idx="6">
                  <c:v>35.266075271003764</c:v>
                </c:pt>
                <c:pt idx="7">
                  <c:v>56.481737181745252</c:v>
                </c:pt>
                <c:pt idx="8">
                  <c:v>43.736421375108904</c:v>
                </c:pt>
                <c:pt idx="9">
                  <c:v>56.805792312904344</c:v>
                </c:pt>
                <c:pt idx="10">
                  <c:v>25.250107129129805</c:v>
                </c:pt>
                <c:pt idx="11">
                  <c:v>35.860619902777074</c:v>
                </c:pt>
                <c:pt idx="12">
                  <c:v>55.070994541852556</c:v>
                </c:pt>
                <c:pt idx="13">
                  <c:v>42.327678645468538</c:v>
                </c:pt>
                <c:pt idx="14">
                  <c:v>51.321814032058477</c:v>
                </c:pt>
                <c:pt idx="15">
                  <c:v>49.641114279051997</c:v>
                </c:pt>
                <c:pt idx="16">
                  <c:v>56.762094883418058</c:v>
                </c:pt>
                <c:pt idx="17">
                  <c:v>67.001302816277274</c:v>
                </c:pt>
                <c:pt idx="18">
                  <c:v>24.654925635784203</c:v>
                </c:pt>
                <c:pt idx="19">
                  <c:v>18.016654794070547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7730756017913423"/>
                  <c:y val="0.281630261608441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validation!$H$29:$H$49</c:f>
              <c:numCache>
                <c:formatCode>0.00</c:formatCode>
                <c:ptCount val="21"/>
                <c:pt idx="0">
                  <c:v>51.628818352445393</c:v>
                </c:pt>
                <c:pt idx="1">
                  <c:v>54.586371705837585</c:v>
                </c:pt>
                <c:pt idx="2">
                  <c:v>49.706959685477116</c:v>
                </c:pt>
                <c:pt idx="3">
                  <c:v>58.649038570468207</c:v>
                </c:pt>
                <c:pt idx="4">
                  <c:v>65.448134471991892</c:v>
                </c:pt>
                <c:pt idx="5">
                  <c:v>49.69916480382139</c:v>
                </c:pt>
                <c:pt idx="6">
                  <c:v>43.811709923510548</c:v>
                </c:pt>
                <c:pt idx="7">
                  <c:v>53.444660669019079</c:v>
                </c:pt>
                <c:pt idx="8">
                  <c:v>45.109768952226155</c:v>
                </c:pt>
                <c:pt idx="9">
                  <c:v>58.682124784073622</c:v>
                </c:pt>
                <c:pt idx="10">
                  <c:v>37.151370987424627</c:v>
                </c:pt>
                <c:pt idx="11">
                  <c:v>43.103065572380601</c:v>
                </c:pt>
                <c:pt idx="12">
                  <c:v>54.980619547343714</c:v>
                </c:pt>
                <c:pt idx="13">
                  <c:v>44.18193950713075</c:v>
                </c:pt>
                <c:pt idx="14">
                  <c:v>50.693032441828286</c:v>
                </c:pt>
                <c:pt idx="15">
                  <c:v>45.826527086844514</c:v>
                </c:pt>
                <c:pt idx="16">
                  <c:v>53.267136543491972</c:v>
                </c:pt>
                <c:pt idx="17">
                  <c:v>62.193390742230939</c:v>
                </c:pt>
                <c:pt idx="18">
                  <c:v>32.715728904805879</c:v>
                </c:pt>
                <c:pt idx="19">
                  <c:v>24.846415036386741</c:v>
                </c:pt>
                <c:pt idx="20">
                  <c:v>6.4399714308752509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3888792721285175"/>
                  <c:y val="-7.0891009951742134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validation!$I$29:$I$49</c:f>
              <c:numCache>
                <c:formatCode>0.00</c:formatCode>
                <c:ptCount val="21"/>
                <c:pt idx="0">
                  <c:v>52.643434084458356</c:v>
                </c:pt>
                <c:pt idx="1">
                  <c:v>54.712432439892552</c:v>
                </c:pt>
                <c:pt idx="2">
                  <c:v>47.264726179696602</c:v>
                </c:pt>
                <c:pt idx="3">
                  <c:v>55.822006645722404</c:v>
                </c:pt>
                <c:pt idx="4">
                  <c:v>58.554474525039957</c:v>
                </c:pt>
                <c:pt idx="5">
                  <c:v>50.684987955350557</c:v>
                </c:pt>
                <c:pt idx="6">
                  <c:v>47.568351400075024</c:v>
                </c:pt>
                <c:pt idx="7">
                  <c:v>53.261989913258184</c:v>
                </c:pt>
                <c:pt idx="8">
                  <c:v>47.5106298842461</c:v>
                </c:pt>
                <c:pt idx="9">
                  <c:v>57.143620920571067</c:v>
                </c:pt>
                <c:pt idx="10">
                  <c:v>44.514321903194059</c:v>
                </c:pt>
                <c:pt idx="11">
                  <c:v>47.936496620170558</c:v>
                </c:pt>
                <c:pt idx="12">
                  <c:v>51.228547124253282</c:v>
                </c:pt>
                <c:pt idx="13">
                  <c:v>44.090548863460931</c:v>
                </c:pt>
                <c:pt idx="14">
                  <c:v>49.75878646363784</c:v>
                </c:pt>
                <c:pt idx="15">
                  <c:v>45.321140149968969</c:v>
                </c:pt>
                <c:pt idx="16">
                  <c:v>50.913070065770825</c:v>
                </c:pt>
                <c:pt idx="17">
                  <c:v>57.670539519757106</c:v>
                </c:pt>
                <c:pt idx="18">
                  <c:v>37.493598149762107</c:v>
                </c:pt>
                <c:pt idx="19">
                  <c:v>42.234620416192008</c:v>
                </c:pt>
                <c:pt idx="20">
                  <c:v>14.35058288194206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validation!$J$28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859649035506979"/>
                  <c:y val="-0.118533387979403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validation!$J$29:$J$49</c:f>
              <c:numCache>
                <c:formatCode>0.00</c:formatCode>
                <c:ptCount val="21"/>
                <c:pt idx="0">
                  <c:v>92.842677817177901</c:v>
                </c:pt>
                <c:pt idx="1">
                  <c:v>83.292592946891432</c:v>
                </c:pt>
                <c:pt idx="2">
                  <c:v>74.954810960620108</c:v>
                </c:pt>
                <c:pt idx="3">
                  <c:v>84.252068948159007</c:v>
                </c:pt>
                <c:pt idx="4">
                  <c:v>71.06874423077123</c:v>
                </c:pt>
                <c:pt idx="5">
                  <c:v>62.949579087623313</c:v>
                </c:pt>
                <c:pt idx="6">
                  <c:v>30.079911506948299</c:v>
                </c:pt>
                <c:pt idx="7">
                  <c:v>56.269015182775313</c:v>
                </c:pt>
                <c:pt idx="8">
                  <c:v>46.106882454418574</c:v>
                </c:pt>
                <c:pt idx="9">
                  <c:v>52.340891171179685</c:v>
                </c:pt>
                <c:pt idx="10">
                  <c:v>20.606898398021112</c:v>
                </c:pt>
                <c:pt idx="11">
                  <c:v>30.150375188185901</c:v>
                </c:pt>
                <c:pt idx="12">
                  <c:v>54.735478167433257</c:v>
                </c:pt>
                <c:pt idx="13">
                  <c:v>44.660696204200569</c:v>
                </c:pt>
                <c:pt idx="14">
                  <c:v>49.758189863230243</c:v>
                </c:pt>
                <c:pt idx="15">
                  <c:v>63.758286007908318</c:v>
                </c:pt>
                <c:pt idx="16">
                  <c:v>57.802109090072939</c:v>
                </c:pt>
                <c:pt idx="17">
                  <c:v>70.67174735147897</c:v>
                </c:pt>
                <c:pt idx="18">
                  <c:v>21.865693822315428</c:v>
                </c:pt>
                <c:pt idx="19">
                  <c:v>13.787326381005839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565348100033489"/>
                  <c:y val="9.1060749497794916E-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validation!$K$29:$K$49</c:f>
              <c:numCache>
                <c:formatCode>0.00</c:formatCode>
                <c:ptCount val="21"/>
                <c:pt idx="0">
                  <c:v>81.072571300785981</c:v>
                </c:pt>
                <c:pt idx="1">
                  <c:v>64.795355664056643</c:v>
                </c:pt>
                <c:pt idx="2">
                  <c:v>69.961722164412535</c:v>
                </c:pt>
                <c:pt idx="3">
                  <c:v>81.425656805169879</c:v>
                </c:pt>
                <c:pt idx="4">
                  <c:v>73.967491919762509</c:v>
                </c:pt>
                <c:pt idx="5">
                  <c:v>62.769226707154601</c:v>
                </c:pt>
                <c:pt idx="6">
                  <c:v>33.739575287705421</c:v>
                </c:pt>
                <c:pt idx="7">
                  <c:v>52.444532611877179</c:v>
                </c:pt>
                <c:pt idx="8">
                  <c:v>46.153491480304773</c:v>
                </c:pt>
                <c:pt idx="9">
                  <c:v>53.775932795362614</c:v>
                </c:pt>
                <c:pt idx="10">
                  <c:v>26.193008149886403</c:v>
                </c:pt>
                <c:pt idx="11">
                  <c:v>32.169770578692088</c:v>
                </c:pt>
                <c:pt idx="12">
                  <c:v>54.736965281607354</c:v>
                </c:pt>
                <c:pt idx="13">
                  <c:v>45.05127682505821</c:v>
                </c:pt>
                <c:pt idx="14">
                  <c:v>47.369550102291711</c:v>
                </c:pt>
                <c:pt idx="15">
                  <c:v>61.512353564056511</c:v>
                </c:pt>
                <c:pt idx="16">
                  <c:v>53.818834117110711</c:v>
                </c:pt>
                <c:pt idx="17">
                  <c:v>69.320260916444269</c:v>
                </c:pt>
                <c:pt idx="18">
                  <c:v>24.552341859803199</c:v>
                </c:pt>
                <c:pt idx="19">
                  <c:v>13.899998366222087</c:v>
                </c:pt>
                <c:pt idx="20">
                  <c:v>1.8975963591862426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752291720211533"/>
                  <c:y val="-6.1057242720912515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validation!$L$29:$L$49</c:f>
              <c:numCache>
                <c:formatCode>0.00</c:formatCode>
                <c:ptCount val="21"/>
                <c:pt idx="0">
                  <c:v>100.44423476914439</c:v>
                </c:pt>
                <c:pt idx="1">
                  <c:v>70.157847245573649</c:v>
                </c:pt>
                <c:pt idx="2">
                  <c:v>71.098076504051448</c:v>
                </c:pt>
                <c:pt idx="3">
                  <c:v>86.878941050514186</c:v>
                </c:pt>
                <c:pt idx="4">
                  <c:v>66.185835174744469</c:v>
                </c:pt>
                <c:pt idx="5">
                  <c:v>70.11199502976369</c:v>
                </c:pt>
                <c:pt idx="6">
                  <c:v>33.314079141418567</c:v>
                </c:pt>
                <c:pt idx="7">
                  <c:v>51.457953253671036</c:v>
                </c:pt>
                <c:pt idx="8">
                  <c:v>48.788996478358897</c:v>
                </c:pt>
                <c:pt idx="9">
                  <c:v>50.415003086487374</c:v>
                </c:pt>
                <c:pt idx="10">
                  <c:v>28.806524264497664</c:v>
                </c:pt>
                <c:pt idx="11">
                  <c:v>32.721980499652865</c:v>
                </c:pt>
                <c:pt idx="12">
                  <c:v>47.65088313560797</c:v>
                </c:pt>
                <c:pt idx="13">
                  <c:v>42.405450139647805</c:v>
                </c:pt>
                <c:pt idx="14">
                  <c:v>43.4303454246649</c:v>
                </c:pt>
                <c:pt idx="15">
                  <c:v>64.601613003966577</c:v>
                </c:pt>
                <c:pt idx="16">
                  <c:v>49.116994051864594</c:v>
                </c:pt>
                <c:pt idx="17">
                  <c:v>65.18559131526824</c:v>
                </c:pt>
                <c:pt idx="18">
                  <c:v>24.355555477494292</c:v>
                </c:pt>
                <c:pt idx="19">
                  <c:v>24.587449440053295</c:v>
                </c:pt>
                <c:pt idx="20">
                  <c:v>2.8692708932470516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B-axis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193781786178804"/>
                  <c:y val="-9.3537140086356191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validation!$B$55:$B$73</c:f>
              <c:numCache>
                <c:formatCode>General</c:formatCode>
                <c:ptCount val="19"/>
                <c:pt idx="0">
                  <c:v>160</c:v>
                </c:pt>
                <c:pt idx="1">
                  <c:v>196</c:v>
                </c:pt>
                <c:pt idx="2">
                  <c:v>91.54</c:v>
                </c:pt>
                <c:pt idx="3">
                  <c:v>108.92</c:v>
                </c:pt>
                <c:pt idx="4">
                  <c:v>87.08</c:v>
                </c:pt>
                <c:pt idx="5">
                  <c:v>54.11</c:v>
                </c:pt>
                <c:pt idx="6">
                  <c:v>64.849999999999994</c:v>
                </c:pt>
                <c:pt idx="7">
                  <c:v>45.6</c:v>
                </c:pt>
                <c:pt idx="8">
                  <c:v>29.55</c:v>
                </c:pt>
                <c:pt idx="9">
                  <c:v>22.6</c:v>
                </c:pt>
                <c:pt idx="10">
                  <c:v>42.84</c:v>
                </c:pt>
                <c:pt idx="11">
                  <c:v>52.94</c:v>
                </c:pt>
                <c:pt idx="12">
                  <c:v>54.11</c:v>
                </c:pt>
                <c:pt idx="13">
                  <c:v>84.98</c:v>
                </c:pt>
                <c:pt idx="14">
                  <c:v>127.22</c:v>
                </c:pt>
                <c:pt idx="15">
                  <c:v>91.54</c:v>
                </c:pt>
                <c:pt idx="16">
                  <c:v>108.42</c:v>
                </c:pt>
              </c:numCache>
            </c:numRef>
          </c:xVal>
          <c:yVal>
            <c:numRef>
              <c:f>validation!$C$55:$C$73</c:f>
              <c:numCache>
                <c:formatCode>0.00</c:formatCode>
                <c:ptCount val="19"/>
                <c:pt idx="0">
                  <c:v>170.13788672321408</c:v>
                </c:pt>
                <c:pt idx="1">
                  <c:v>124.91547576103727</c:v>
                </c:pt>
                <c:pt idx="2">
                  <c:v>134.40542286030117</c:v>
                </c:pt>
                <c:pt idx="3">
                  <c:v>70.873558375263997</c:v>
                </c:pt>
                <c:pt idx="4">
                  <c:v>136.06092919482055</c:v>
                </c:pt>
                <c:pt idx="5">
                  <c:v>41.912475789452458</c:v>
                </c:pt>
                <c:pt idx="6">
                  <c:v>60.627392053336564</c:v>
                </c:pt>
                <c:pt idx="7">
                  <c:v>51.358325096727022</c:v>
                </c:pt>
                <c:pt idx="8">
                  <c:v>29.026175842484054</c:v>
                </c:pt>
                <c:pt idx="9">
                  <c:v>33.107523226039675</c:v>
                </c:pt>
                <c:pt idx="10">
                  <c:v>61.914899095045953</c:v>
                </c:pt>
                <c:pt idx="11">
                  <c:v>77.078732996643524</c:v>
                </c:pt>
                <c:pt idx="12">
                  <c:v>56.449533285085387</c:v>
                </c:pt>
                <c:pt idx="13">
                  <c:v>149.64315802006493</c:v>
                </c:pt>
                <c:pt idx="14">
                  <c:v>83.969288966265395</c:v>
                </c:pt>
                <c:pt idx="15">
                  <c:v>105.85472635571982</c:v>
                </c:pt>
                <c:pt idx="16">
                  <c:v>129.33044418860459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85-4C2D-9B39-5122095266EE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96331689992757"/>
                  <c:y val="3.771047876884712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validation!$B$55:$B$73</c:f>
              <c:numCache>
                <c:formatCode>General</c:formatCode>
                <c:ptCount val="19"/>
                <c:pt idx="0">
                  <c:v>160</c:v>
                </c:pt>
                <c:pt idx="1">
                  <c:v>196</c:v>
                </c:pt>
                <c:pt idx="2">
                  <c:v>91.54</c:v>
                </c:pt>
                <c:pt idx="3">
                  <c:v>108.92</c:v>
                </c:pt>
                <c:pt idx="4">
                  <c:v>87.08</c:v>
                </c:pt>
                <c:pt idx="5">
                  <c:v>54.11</c:v>
                </c:pt>
                <c:pt idx="6">
                  <c:v>64.849999999999994</c:v>
                </c:pt>
                <c:pt idx="7">
                  <c:v>45.6</c:v>
                </c:pt>
                <c:pt idx="8">
                  <c:v>29.55</c:v>
                </c:pt>
                <c:pt idx="9">
                  <c:v>22.6</c:v>
                </c:pt>
                <c:pt idx="10">
                  <c:v>42.84</c:v>
                </c:pt>
                <c:pt idx="11">
                  <c:v>52.94</c:v>
                </c:pt>
                <c:pt idx="12">
                  <c:v>54.11</c:v>
                </c:pt>
                <c:pt idx="13">
                  <c:v>84.98</c:v>
                </c:pt>
                <c:pt idx="14">
                  <c:v>127.22</c:v>
                </c:pt>
                <c:pt idx="15">
                  <c:v>91.54</c:v>
                </c:pt>
                <c:pt idx="16">
                  <c:v>108.42</c:v>
                </c:pt>
              </c:numCache>
            </c:numRef>
          </c:xVal>
          <c:yVal>
            <c:numRef>
              <c:f>validation!$M$55:$M$73</c:f>
              <c:numCache>
                <c:formatCode>0.00</c:formatCode>
                <c:ptCount val="19"/>
                <c:pt idx="0">
                  <c:v>169.89765804922703</c:v>
                </c:pt>
                <c:pt idx="1">
                  <c:v>124.9174203555213</c:v>
                </c:pt>
                <c:pt idx="2">
                  <c:v>135.25667523440853</c:v>
                </c:pt>
                <c:pt idx="3">
                  <c:v>81.544222883901099</c:v>
                </c:pt>
                <c:pt idx="4">
                  <c:v>121.82064225228177</c:v>
                </c:pt>
                <c:pt idx="5">
                  <c:v>43.355909359021467</c:v>
                </c:pt>
                <c:pt idx="6">
                  <c:v>64.869902463333261</c:v>
                </c:pt>
                <c:pt idx="7">
                  <c:v>57.702606314755457</c:v>
                </c:pt>
                <c:pt idx="8">
                  <c:v>32.288976071603592</c:v>
                </c:pt>
                <c:pt idx="9">
                  <c:v>37.259478034019736</c:v>
                </c:pt>
                <c:pt idx="10">
                  <c:v>65.021916199938758</c:v>
                </c:pt>
                <c:pt idx="11">
                  <c:v>70.46297922844164</c:v>
                </c:pt>
                <c:pt idx="12">
                  <c:v>58.291618217022908</c:v>
                </c:pt>
                <c:pt idx="13">
                  <c:v>125.76252797840286</c:v>
                </c:pt>
                <c:pt idx="14">
                  <c:v>79.505927700595379</c:v>
                </c:pt>
                <c:pt idx="15">
                  <c:v>103.6725776856201</c:v>
                </c:pt>
                <c:pt idx="16">
                  <c:v>78.550772858507528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485-4C2D-9B39-5122095266EE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776373279749527"/>
                  <c:y val="-8.2282983906347404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validation!$B$55:$B$73</c:f>
              <c:numCache>
                <c:formatCode>General</c:formatCode>
                <c:ptCount val="19"/>
                <c:pt idx="0">
                  <c:v>160</c:v>
                </c:pt>
                <c:pt idx="1">
                  <c:v>196</c:v>
                </c:pt>
                <c:pt idx="2">
                  <c:v>91.54</c:v>
                </c:pt>
                <c:pt idx="3">
                  <c:v>108.92</c:v>
                </c:pt>
                <c:pt idx="4">
                  <c:v>87.08</c:v>
                </c:pt>
                <c:pt idx="5">
                  <c:v>54.11</c:v>
                </c:pt>
                <c:pt idx="6">
                  <c:v>64.849999999999994</c:v>
                </c:pt>
                <c:pt idx="7">
                  <c:v>45.6</c:v>
                </c:pt>
                <c:pt idx="8">
                  <c:v>29.55</c:v>
                </c:pt>
                <c:pt idx="9">
                  <c:v>22.6</c:v>
                </c:pt>
                <c:pt idx="10">
                  <c:v>42.84</c:v>
                </c:pt>
                <c:pt idx="11">
                  <c:v>52.94</c:v>
                </c:pt>
                <c:pt idx="12">
                  <c:v>54.11</c:v>
                </c:pt>
                <c:pt idx="13">
                  <c:v>84.98</c:v>
                </c:pt>
                <c:pt idx="14">
                  <c:v>127.22</c:v>
                </c:pt>
                <c:pt idx="15">
                  <c:v>91.54</c:v>
                </c:pt>
                <c:pt idx="16">
                  <c:v>108.42</c:v>
                </c:pt>
              </c:numCache>
            </c:numRef>
          </c:xVal>
          <c:yVal>
            <c:numRef>
              <c:f>validation!$N$55:$N$73</c:f>
              <c:numCache>
                <c:formatCode>0.000</c:formatCode>
                <c:ptCount val="19"/>
                <c:pt idx="0">
                  <c:v>133.15514653210047</c:v>
                </c:pt>
                <c:pt idx="1">
                  <c:v>117.7606062622298</c:v>
                </c:pt>
                <c:pt idx="2">
                  <c:v>118.04472733890924</c:v>
                </c:pt>
                <c:pt idx="3">
                  <c:v>81.451316313498111</c:v>
                </c:pt>
                <c:pt idx="4">
                  <c:v>106.46078133472454</c:v>
                </c:pt>
                <c:pt idx="5">
                  <c:v>46.785145713770142</c:v>
                </c:pt>
                <c:pt idx="6">
                  <c:v>65.488072515951472</c:v>
                </c:pt>
                <c:pt idx="7">
                  <c:v>62.35628112113158</c:v>
                </c:pt>
                <c:pt idx="8">
                  <c:v>34.192994824386126</c:v>
                </c:pt>
                <c:pt idx="9">
                  <c:v>40.341343181762078</c:v>
                </c:pt>
                <c:pt idx="10">
                  <c:v>65.619111872906714</c:v>
                </c:pt>
                <c:pt idx="11">
                  <c:v>65.506894728831824</c:v>
                </c:pt>
                <c:pt idx="12">
                  <c:v>59.264969028968196</c:v>
                </c:pt>
                <c:pt idx="13">
                  <c:v>102.88579655946292</c:v>
                </c:pt>
                <c:pt idx="14">
                  <c:v>79.942871392242267</c:v>
                </c:pt>
                <c:pt idx="15">
                  <c:v>104.89615375820517</c:v>
                </c:pt>
                <c:pt idx="16">
                  <c:v>82.349136083326442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485-4C2D-9B39-512209526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B-axis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2528821912709619"/>
          <c:y val="2.78824121980121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456077634212639"/>
                  <c:y val="-0.1611959263663441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validation!$D$55:$D$73</c:f>
              <c:numCache>
                <c:formatCode>0.00</c:formatCode>
                <c:ptCount val="19"/>
                <c:pt idx="0">
                  <c:v>140.20478212125607</c:v>
                </c:pt>
                <c:pt idx="1">
                  <c:v>121.98210161107866</c:v>
                </c:pt>
                <c:pt idx="2">
                  <c:v>123.7435326874806</c:v>
                </c:pt>
                <c:pt idx="3">
                  <c:v>85.876366520169782</c:v>
                </c:pt>
                <c:pt idx="4">
                  <c:v>107.59112676666983</c:v>
                </c:pt>
                <c:pt idx="5">
                  <c:v>41.867392792153687</c:v>
                </c:pt>
                <c:pt idx="6">
                  <c:v>73.506287928936942</c:v>
                </c:pt>
                <c:pt idx="7">
                  <c:v>64.379743608880574</c:v>
                </c:pt>
                <c:pt idx="8">
                  <c:v>26.729741016254618</c:v>
                </c:pt>
                <c:pt idx="9">
                  <c:v>37.453358984566414</c:v>
                </c:pt>
                <c:pt idx="10">
                  <c:v>73.268766251721431</c:v>
                </c:pt>
                <c:pt idx="11">
                  <c:v>72.284807330425366</c:v>
                </c:pt>
                <c:pt idx="12">
                  <c:v>67.655167475049296</c:v>
                </c:pt>
                <c:pt idx="13">
                  <c:v>117.0924919367006</c:v>
                </c:pt>
                <c:pt idx="14">
                  <c:v>88.488861347019409</c:v>
                </c:pt>
                <c:pt idx="15">
                  <c:v>105.40601713155144</c:v>
                </c:pt>
                <c:pt idx="16">
                  <c:v>61.766288223667409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34-42E4-86F0-EB14C235C500}"/>
            </c:ext>
          </c:extLst>
        </c:ser>
        <c:ser>
          <c:idx val="1"/>
          <c:order val="1"/>
          <c:tx>
            <c:strRef>
              <c:f>validation!$E$54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2256127479614"/>
                  <c:y val="-6.233764921840725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validation!$E$55:$E$73</c:f>
              <c:numCache>
                <c:formatCode>0.00</c:formatCode>
                <c:ptCount val="19"/>
                <c:pt idx="0">
                  <c:v>136.67736893781731</c:v>
                </c:pt>
                <c:pt idx="1">
                  <c:v>104.51180930955813</c:v>
                </c:pt>
                <c:pt idx="2">
                  <c:v>129.11186329273659</c:v>
                </c:pt>
                <c:pt idx="3">
                  <c:v>85.586472711589053</c:v>
                </c:pt>
                <c:pt idx="4">
                  <c:v>120.95398839044022</c:v>
                </c:pt>
                <c:pt idx="5">
                  <c:v>44.047109053209546</c:v>
                </c:pt>
                <c:pt idx="6">
                  <c:v>67.423521659794304</c:v>
                </c:pt>
                <c:pt idx="7">
                  <c:v>62.129436788269096</c:v>
                </c:pt>
                <c:pt idx="8">
                  <c:v>29.302780893158321</c:v>
                </c:pt>
                <c:pt idx="9">
                  <c:v>35.635181170070645</c:v>
                </c:pt>
                <c:pt idx="10">
                  <c:v>72.256624432250675</c:v>
                </c:pt>
                <c:pt idx="11">
                  <c:v>77.350588901142373</c:v>
                </c:pt>
                <c:pt idx="12">
                  <c:v>63.747368025548859</c:v>
                </c:pt>
                <c:pt idx="13">
                  <c:v>132.55811613778886</c:v>
                </c:pt>
                <c:pt idx="14">
                  <c:v>87.897176136653073</c:v>
                </c:pt>
                <c:pt idx="15">
                  <c:v>110.4174078246312</c:v>
                </c:pt>
                <c:pt idx="16">
                  <c:v>89.345535764373693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34-42E4-86F0-EB14C235C500}"/>
            </c:ext>
          </c:extLst>
        </c:ser>
        <c:ser>
          <c:idx val="2"/>
          <c:order val="2"/>
          <c:tx>
            <c:strRef>
              <c:f>validation!$F$54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51725507605318"/>
                  <c:y val="-0.1860648190907201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validation!$F$55:$F$73</c:f>
              <c:numCache>
                <c:formatCode>0.00</c:formatCode>
                <c:ptCount val="19"/>
                <c:pt idx="0">
                  <c:v>173.09730121961513</c:v>
                </c:pt>
                <c:pt idx="1">
                  <c:v>116.30139937718259</c:v>
                </c:pt>
                <c:pt idx="2">
                  <c:v>140.83673665076495</c:v>
                </c:pt>
                <c:pt idx="3">
                  <c:v>71.893116655880291</c:v>
                </c:pt>
                <c:pt idx="4">
                  <c:v>147.23880222177817</c:v>
                </c:pt>
                <c:pt idx="5">
                  <c:v>42.201092312198526</c:v>
                </c:pt>
                <c:pt idx="6">
                  <c:v>63.733598177371995</c:v>
                </c:pt>
                <c:pt idx="7">
                  <c:v>54.383387730375702</c:v>
                </c:pt>
                <c:pt idx="8">
                  <c:v>29.187314399682784</c:v>
                </c:pt>
                <c:pt idx="9">
                  <c:v>33.048679436080896</c:v>
                </c:pt>
                <c:pt idx="10">
                  <c:v>62.234379279742342</c:v>
                </c:pt>
                <c:pt idx="11">
                  <c:v>78.256930294095511</c:v>
                </c:pt>
                <c:pt idx="12">
                  <c:v>57.831937577403586</c:v>
                </c:pt>
                <c:pt idx="13">
                  <c:v>159.30004816175179</c:v>
                </c:pt>
                <c:pt idx="14">
                  <c:v>85.000856849137662</c:v>
                </c:pt>
                <c:pt idx="15">
                  <c:v>108.41016746365213</c:v>
                </c:pt>
                <c:pt idx="16">
                  <c:v>123.80114333174559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34-42E4-86F0-EB14C235C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B-axis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validation!$G$54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654071056131391"/>
                  <c:y val="-1.9702169295065689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validation!$G$55:$G$73</c:f>
              <c:numCache>
                <c:formatCode>0.00</c:formatCode>
                <c:ptCount val="19"/>
                <c:pt idx="0">
                  <c:v>90.558089161382156</c:v>
                </c:pt>
                <c:pt idx="1">
                  <c:v>96.895537258451341</c:v>
                </c:pt>
                <c:pt idx="2">
                  <c:v>92.398085053033697</c:v>
                </c:pt>
                <c:pt idx="3">
                  <c:v>92.955288674846088</c:v>
                </c:pt>
                <c:pt idx="4">
                  <c:v>76.980272702208609</c:v>
                </c:pt>
                <c:pt idx="5">
                  <c:v>57.948625611358082</c:v>
                </c:pt>
                <c:pt idx="6">
                  <c:v>81.462904517616565</c:v>
                </c:pt>
                <c:pt idx="7">
                  <c:v>81.80061336729932</c:v>
                </c:pt>
                <c:pt idx="8">
                  <c:v>45.511536004395893</c:v>
                </c:pt>
                <c:pt idx="9">
                  <c:v>58.653446645596325</c:v>
                </c:pt>
                <c:pt idx="10">
                  <c:v>79.986413618078387</c:v>
                </c:pt>
                <c:pt idx="11">
                  <c:v>66.124691484964004</c:v>
                </c:pt>
                <c:pt idx="12">
                  <c:v>76.010456523730184</c:v>
                </c:pt>
                <c:pt idx="13">
                  <c:v>74.202159869010288</c:v>
                </c:pt>
                <c:pt idx="14">
                  <c:v>81.755105967722884</c:v>
                </c:pt>
                <c:pt idx="15">
                  <c:v>92.171816973530767</c:v>
                </c:pt>
                <c:pt idx="16">
                  <c:v>44.733225611822647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E3-46D5-80F1-E6F85CE3711F}"/>
            </c:ext>
          </c:extLst>
        </c:ser>
        <c:ser>
          <c:idx val="1"/>
          <c:order val="1"/>
          <c:tx>
            <c:strRef>
              <c:f>validation!$H$54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74343656104649"/>
                  <c:y val="6.483965515250866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validation!$H$55:$H$73</c:f>
              <c:numCache>
                <c:formatCode>0.00</c:formatCode>
                <c:ptCount val="19"/>
                <c:pt idx="0">
                  <c:v>77.999664550375968</c:v>
                </c:pt>
                <c:pt idx="1">
                  <c:v>81.204079417039338</c:v>
                </c:pt>
                <c:pt idx="2">
                  <c:v>85.52856559883972</c:v>
                </c:pt>
                <c:pt idx="3">
                  <c:v>92.58507770149545</c:v>
                </c:pt>
                <c:pt idx="4">
                  <c:v>75.881516004892859</c:v>
                </c:pt>
                <c:pt idx="5">
                  <c:v>69.272092120439751</c:v>
                </c:pt>
                <c:pt idx="6">
                  <c:v>79.972919849723922</c:v>
                </c:pt>
                <c:pt idx="7">
                  <c:v>85.563436188246186</c:v>
                </c:pt>
                <c:pt idx="8">
                  <c:v>61.488992377664545</c:v>
                </c:pt>
                <c:pt idx="9">
                  <c:v>68.460436655574654</c:v>
                </c:pt>
                <c:pt idx="10">
                  <c:v>81.627551845893223</c:v>
                </c:pt>
                <c:pt idx="11">
                  <c:v>69.69469056896915</c:v>
                </c:pt>
                <c:pt idx="12">
                  <c:v>76.975260666647742</c:v>
                </c:pt>
                <c:pt idx="13">
                  <c:v>71.560194144637038</c:v>
                </c:pt>
                <c:pt idx="14">
                  <c:v>79.780835448751716</c:v>
                </c:pt>
                <c:pt idx="15">
                  <c:v>89.23384381157345</c:v>
                </c:pt>
                <c:pt idx="16">
                  <c:v>56.090288670208452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E3-46D5-80F1-E6F85CE3711F}"/>
            </c:ext>
          </c:extLst>
        </c:ser>
        <c:ser>
          <c:idx val="2"/>
          <c:order val="2"/>
          <c:tx>
            <c:strRef>
              <c:f>validation!$I$54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391263035740711"/>
                  <c:y val="-0.122000839894710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validation!$I$55:$I$73</c:f>
              <c:numCache>
                <c:formatCode>0.00</c:formatCode>
                <c:ptCount val="19"/>
                <c:pt idx="0">
                  <c:v>79.63007585891566</c:v>
                </c:pt>
                <c:pt idx="1">
                  <c:v>81.876187704922387</c:v>
                </c:pt>
                <c:pt idx="2">
                  <c:v>83.070980141291898</c:v>
                </c:pt>
                <c:pt idx="3">
                  <c:v>85.985531528468286</c:v>
                </c:pt>
                <c:pt idx="4">
                  <c:v>77.481226064024639</c:v>
                </c:pt>
                <c:pt idx="5">
                  <c:v>74.013162125296461</c:v>
                </c:pt>
                <c:pt idx="6">
                  <c:v>80.304116772503491</c:v>
                </c:pt>
                <c:pt idx="7">
                  <c:v>84.48550639804607</c:v>
                </c:pt>
                <c:pt idx="8">
                  <c:v>70.552815308484398</c:v>
                </c:pt>
                <c:pt idx="9">
                  <c:v>74.426043478554789</c:v>
                </c:pt>
                <c:pt idx="10">
                  <c:v>78.079913187331982</c:v>
                </c:pt>
                <c:pt idx="11">
                  <c:v>70.067518642076749</c:v>
                </c:pt>
                <c:pt idx="12">
                  <c:v>76.456951092625658</c:v>
                </c:pt>
                <c:pt idx="13">
                  <c:v>71.473229623766159</c:v>
                </c:pt>
                <c:pt idx="14">
                  <c:v>77.732656934099808</c:v>
                </c:pt>
                <c:pt idx="15">
                  <c:v>85.046921623305352</c:v>
                </c:pt>
                <c:pt idx="16">
                  <c:v>62.334171751547679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E3-46D5-80F1-E6F85CE37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validation!$J$54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77405235324813"/>
                  <c:y val="-8.494301126786579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validation!$J$55:$J$73</c:f>
              <c:numCache>
                <c:formatCode>0.00</c:formatCode>
                <c:ptCount val="19"/>
                <c:pt idx="0">
                  <c:v>115.69055578308982</c:v>
                </c:pt>
                <c:pt idx="1">
                  <c:v>106.70281022512167</c:v>
                </c:pt>
                <c:pt idx="2">
                  <c:v>107.61723280836335</c:v>
                </c:pt>
                <c:pt idx="3">
                  <c:v>94.80299551010917</c:v>
                </c:pt>
                <c:pt idx="4">
                  <c:v>86.610215637846522</c:v>
                </c:pt>
                <c:pt idx="5">
                  <c:v>49.960094706927862</c:v>
                </c:pt>
                <c:pt idx="6">
                  <c:v>79.665124750219221</c:v>
                </c:pt>
                <c:pt idx="7">
                  <c:v>75.483674105901798</c:v>
                </c:pt>
                <c:pt idx="8">
                  <c:v>37.691234286028845</c:v>
                </c:pt>
                <c:pt idx="9">
                  <c:v>50.04726348600424</c:v>
                </c:pt>
                <c:pt idx="10">
                  <c:v>78.041837468409682</c:v>
                </c:pt>
                <c:pt idx="11">
                  <c:v>67.066904345316743</c:v>
                </c:pt>
                <c:pt idx="12">
                  <c:v>72.690837058612487</c:v>
                </c:pt>
                <c:pt idx="13">
                  <c:v>87.437848887495022</c:v>
                </c:pt>
                <c:pt idx="14">
                  <c:v>81.276705714295304</c:v>
                </c:pt>
                <c:pt idx="15">
                  <c:v>94.408157533348827</c:v>
                </c:pt>
                <c:pt idx="16">
                  <c:v>39.393590301333894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AD-45BA-96E0-894B08976D18}"/>
            </c:ext>
          </c:extLst>
        </c:ser>
        <c:ser>
          <c:idx val="1"/>
          <c:order val="1"/>
          <c:tx>
            <c:strRef>
              <c:f>validation!$K$54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565348100033489"/>
                  <c:y val="9.1060749497794916E-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validation!$K$55:$K$73</c:f>
              <c:numCache>
                <c:formatCode>0.00</c:formatCode>
                <c:ptCount val="19"/>
                <c:pt idx="0">
                  <c:v>104.80808060467875</c:v>
                </c:pt>
                <c:pt idx="1">
                  <c:v>89.296616178066657</c:v>
                </c:pt>
                <c:pt idx="2">
                  <c:v>105.13409920076676</c:v>
                </c:pt>
                <c:pt idx="3">
                  <c:v>98.158274727852799</c:v>
                </c:pt>
                <c:pt idx="4">
                  <c:v>87.292011909895805</c:v>
                </c:pt>
                <c:pt idx="5">
                  <c:v>56.013395171549455</c:v>
                </c:pt>
                <c:pt idx="6">
                  <c:v>76.770834106609485</c:v>
                </c:pt>
                <c:pt idx="7">
                  <c:v>78.15873008445007</c:v>
                </c:pt>
                <c:pt idx="8">
                  <c:v>46.742281417232363</c:v>
                </c:pt>
                <c:pt idx="9">
                  <c:v>54.138224612073145</c:v>
                </c:pt>
                <c:pt idx="10">
                  <c:v>79.154452898066978</c:v>
                </c:pt>
                <c:pt idx="11">
                  <c:v>68.870360997997892</c:v>
                </c:pt>
                <c:pt idx="12">
                  <c:v>71.384966106981921</c:v>
                </c:pt>
                <c:pt idx="13">
                  <c:v>86.039217466619931</c:v>
                </c:pt>
                <c:pt idx="14">
                  <c:v>78.203287693511015</c:v>
                </c:pt>
                <c:pt idx="15">
                  <c:v>93.710176589200842</c:v>
                </c:pt>
                <c:pt idx="16">
                  <c:v>44.630609217650075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AD-45BA-96E0-894B08976D18}"/>
            </c:ext>
          </c:extLst>
        </c:ser>
        <c:ser>
          <c:idx val="2"/>
          <c:order val="2"/>
          <c:tx>
            <c:strRef>
              <c:f>validation!$L$54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5391263035740711"/>
                  <c:y val="-0.1220008398947101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validation!$L$55:$L$73</c:f>
              <c:numCache>
                <c:formatCode>0.00</c:formatCode>
                <c:ptCount val="19"/>
                <c:pt idx="0">
                  <c:v>120.96917712180247</c:v>
                </c:pt>
                <c:pt idx="1">
                  <c:v>93.997996446094717</c:v>
                </c:pt>
                <c:pt idx="2">
                  <c:v>109.23972326455869</c:v>
                </c:pt>
                <c:pt idx="3">
                  <c:v>90.224757524069048</c:v>
                </c:pt>
                <c:pt idx="4">
                  <c:v>93.95480694722643</c:v>
                </c:pt>
                <c:pt idx="5">
                  <c:v>55.685978848210318</c:v>
                </c:pt>
                <c:pt idx="6">
                  <c:v>75.593228859414651</c:v>
                </c:pt>
                <c:pt idx="7">
                  <c:v>74.512929386860364</c:v>
                </c:pt>
                <c:pt idx="8">
                  <c:v>50.276244331853107</c:v>
                </c:pt>
                <c:pt idx="9">
                  <c:v>54.988390549281554</c:v>
                </c:pt>
                <c:pt idx="10">
                  <c:v>71.617119934147027</c:v>
                </c:pt>
                <c:pt idx="11">
                  <c:v>65.979985221891639</c:v>
                </c:pt>
                <c:pt idx="12">
                  <c:v>67.096997052975084</c:v>
                </c:pt>
                <c:pt idx="13">
                  <c:v>88.701170121906443</c:v>
                </c:pt>
                <c:pt idx="14">
                  <c:v>73.159115172823348</c:v>
                </c:pt>
                <c:pt idx="15">
                  <c:v>89.264074789187134</c:v>
                </c:pt>
                <c:pt idx="16">
                  <c:v>44.680885331831441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EAD-45BA-96E0-894B08976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26" Type="http://schemas.openxmlformats.org/officeDocument/2006/relationships/chart" Target="../charts/chart29.xml"/><Relationship Id="rId39" Type="http://schemas.openxmlformats.org/officeDocument/2006/relationships/chart" Target="../charts/chart42.xml"/><Relationship Id="rId21" Type="http://schemas.openxmlformats.org/officeDocument/2006/relationships/chart" Target="../charts/chart24.xml"/><Relationship Id="rId34" Type="http://schemas.openxmlformats.org/officeDocument/2006/relationships/chart" Target="../charts/chart37.xml"/><Relationship Id="rId42" Type="http://schemas.openxmlformats.org/officeDocument/2006/relationships/chart" Target="../charts/chart45.xml"/><Relationship Id="rId47" Type="http://schemas.openxmlformats.org/officeDocument/2006/relationships/chart" Target="../charts/chart50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29" Type="http://schemas.openxmlformats.org/officeDocument/2006/relationships/chart" Target="../charts/chart32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24" Type="http://schemas.openxmlformats.org/officeDocument/2006/relationships/chart" Target="../charts/chart27.xml"/><Relationship Id="rId32" Type="http://schemas.openxmlformats.org/officeDocument/2006/relationships/chart" Target="../charts/chart35.xml"/><Relationship Id="rId37" Type="http://schemas.openxmlformats.org/officeDocument/2006/relationships/chart" Target="../charts/chart40.xml"/><Relationship Id="rId40" Type="http://schemas.openxmlformats.org/officeDocument/2006/relationships/chart" Target="../charts/chart43.xml"/><Relationship Id="rId45" Type="http://schemas.openxmlformats.org/officeDocument/2006/relationships/chart" Target="../charts/chart48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23" Type="http://schemas.openxmlformats.org/officeDocument/2006/relationships/chart" Target="../charts/chart26.xml"/><Relationship Id="rId28" Type="http://schemas.openxmlformats.org/officeDocument/2006/relationships/chart" Target="../charts/chart31.xml"/><Relationship Id="rId36" Type="http://schemas.openxmlformats.org/officeDocument/2006/relationships/chart" Target="../charts/chart39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31" Type="http://schemas.openxmlformats.org/officeDocument/2006/relationships/chart" Target="../charts/chart34.xml"/><Relationship Id="rId44" Type="http://schemas.openxmlformats.org/officeDocument/2006/relationships/chart" Target="../charts/chart47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Relationship Id="rId22" Type="http://schemas.openxmlformats.org/officeDocument/2006/relationships/chart" Target="../charts/chart25.xml"/><Relationship Id="rId27" Type="http://schemas.openxmlformats.org/officeDocument/2006/relationships/chart" Target="../charts/chart30.xml"/><Relationship Id="rId30" Type="http://schemas.openxmlformats.org/officeDocument/2006/relationships/chart" Target="../charts/chart33.xml"/><Relationship Id="rId35" Type="http://schemas.openxmlformats.org/officeDocument/2006/relationships/chart" Target="../charts/chart38.xml"/><Relationship Id="rId43" Type="http://schemas.openxmlformats.org/officeDocument/2006/relationships/chart" Target="../charts/chart46.xml"/><Relationship Id="rId8" Type="http://schemas.openxmlformats.org/officeDocument/2006/relationships/chart" Target="../charts/chart11.xml"/><Relationship Id="rId3" Type="http://schemas.openxmlformats.org/officeDocument/2006/relationships/chart" Target="../charts/chart6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5" Type="http://schemas.openxmlformats.org/officeDocument/2006/relationships/chart" Target="../charts/chart28.xml"/><Relationship Id="rId33" Type="http://schemas.openxmlformats.org/officeDocument/2006/relationships/chart" Target="../charts/chart36.xml"/><Relationship Id="rId38" Type="http://schemas.openxmlformats.org/officeDocument/2006/relationships/chart" Target="../charts/chart41.xml"/><Relationship Id="rId46" Type="http://schemas.openxmlformats.org/officeDocument/2006/relationships/chart" Target="../charts/chart49.xml"/><Relationship Id="rId20" Type="http://schemas.openxmlformats.org/officeDocument/2006/relationships/chart" Target="../charts/chart23.xml"/><Relationship Id="rId41" Type="http://schemas.openxmlformats.org/officeDocument/2006/relationships/chart" Target="../charts/chart4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8.xml"/><Relationship Id="rId3" Type="http://schemas.openxmlformats.org/officeDocument/2006/relationships/chart" Target="../charts/chart53.xml"/><Relationship Id="rId7" Type="http://schemas.openxmlformats.org/officeDocument/2006/relationships/chart" Target="../charts/chart57.xml"/><Relationship Id="rId2" Type="http://schemas.openxmlformats.org/officeDocument/2006/relationships/chart" Target="../charts/chart52.xml"/><Relationship Id="rId1" Type="http://schemas.openxmlformats.org/officeDocument/2006/relationships/chart" Target="../charts/chart51.xml"/><Relationship Id="rId6" Type="http://schemas.openxmlformats.org/officeDocument/2006/relationships/chart" Target="../charts/chart56.xml"/><Relationship Id="rId5" Type="http://schemas.openxmlformats.org/officeDocument/2006/relationships/chart" Target="../charts/chart55.xml"/><Relationship Id="rId4" Type="http://schemas.openxmlformats.org/officeDocument/2006/relationships/chart" Target="../charts/chart5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82827</xdr:colOff>
      <xdr:row>18</xdr:row>
      <xdr:rowOff>149087</xdr:rowOff>
    </xdr:from>
    <xdr:to>
      <xdr:col>33</xdr:col>
      <xdr:colOff>121802</xdr:colOff>
      <xdr:row>32</xdr:row>
      <xdr:rowOff>140804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6BB611F-E2FA-48C6-A183-9A3538871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403970</xdr:colOff>
      <xdr:row>18</xdr:row>
      <xdr:rowOff>168089</xdr:rowOff>
    </xdr:from>
    <xdr:to>
      <xdr:col>24</xdr:col>
      <xdr:colOff>560853</xdr:colOff>
      <xdr:row>32</xdr:row>
      <xdr:rowOff>166967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5F0CB-6CAA-E330-9D2B-050CAC505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30184</xdr:colOff>
      <xdr:row>18</xdr:row>
      <xdr:rowOff>165653</xdr:rowOff>
    </xdr:from>
    <xdr:to>
      <xdr:col>29</xdr:col>
      <xdr:colOff>69159</xdr:colOff>
      <xdr:row>32</xdr:row>
      <xdr:rowOff>157370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1273B3-E416-AF2A-E3EF-AEE0794FB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26</xdr:row>
      <xdr:rowOff>95250</xdr:rowOff>
    </xdr:from>
    <xdr:to>
      <xdr:col>19</xdr:col>
      <xdr:colOff>219075</xdr:colOff>
      <xdr:row>41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26</xdr:row>
      <xdr:rowOff>123826</xdr:rowOff>
    </xdr:from>
    <xdr:to>
      <xdr:col>24</xdr:col>
      <xdr:colOff>476250</xdr:colOff>
      <xdr:row>41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26</xdr:row>
      <xdr:rowOff>142875</xdr:rowOff>
    </xdr:from>
    <xdr:to>
      <xdr:col>30</xdr:col>
      <xdr:colOff>104775</xdr:colOff>
      <xdr:row>41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26</xdr:row>
      <xdr:rowOff>123825</xdr:rowOff>
    </xdr:from>
    <xdr:to>
      <xdr:col>34</xdr:col>
      <xdr:colOff>171450</xdr:colOff>
      <xdr:row>41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247650</xdr:colOff>
      <xdr:row>42</xdr:row>
      <xdr:rowOff>9525</xdr:rowOff>
    </xdr:from>
    <xdr:to>
      <xdr:col>19</xdr:col>
      <xdr:colOff>285750</xdr:colOff>
      <xdr:row>59</xdr:row>
      <xdr:rowOff>114301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ADDAC1B-E4AB-40CA-A02A-E0CDC179EF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381000</xdr:colOff>
      <xdr:row>42</xdr:row>
      <xdr:rowOff>38101</xdr:rowOff>
    </xdr:from>
    <xdr:to>
      <xdr:col>24</xdr:col>
      <xdr:colOff>542925</xdr:colOff>
      <xdr:row>59</xdr:row>
      <xdr:rowOff>142877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EB17C26-35E6-42F3-B5C9-4705400694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9525</xdr:colOff>
      <xdr:row>42</xdr:row>
      <xdr:rowOff>57150</xdr:rowOff>
    </xdr:from>
    <xdr:to>
      <xdr:col>30</xdr:col>
      <xdr:colOff>171450</xdr:colOff>
      <xdr:row>59</xdr:row>
      <xdr:rowOff>161926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DBC6944-7821-413A-A180-0C8678F0B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30</xdr:col>
      <xdr:colOff>247650</xdr:colOff>
      <xdr:row>42</xdr:row>
      <xdr:rowOff>38100</xdr:rowOff>
    </xdr:from>
    <xdr:to>
      <xdr:col>34</xdr:col>
      <xdr:colOff>238125</xdr:colOff>
      <xdr:row>59</xdr:row>
      <xdr:rowOff>142876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6867BB3-99A3-4514-A3D0-B6B79F3CFB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BF44"/>
  <sheetViews>
    <sheetView workbookViewId="0">
      <selection activeCell="I19" sqref="I19"/>
    </sheetView>
  </sheetViews>
  <sheetFormatPr defaultRowHeight="15" x14ac:dyDescent="0.25"/>
  <cols>
    <col min="2" max="2" width="13.7109375" customWidth="1"/>
    <col min="3" max="3" width="12.5703125" customWidth="1"/>
    <col min="4" max="4" width="13" customWidth="1"/>
    <col min="5" max="6" width="12.28515625" customWidth="1"/>
    <col min="7" max="7" width="13.7109375" customWidth="1"/>
    <col min="10" max="11" width="9" bestFit="1" customWidth="1"/>
    <col min="12" max="13" width="9.5703125" bestFit="1" customWidth="1"/>
  </cols>
  <sheetData>
    <row r="1" spans="1:58" x14ac:dyDescent="0.25">
      <c r="E1" s="72" t="s">
        <v>48</v>
      </c>
      <c r="F1" s="72"/>
      <c r="G1" s="72"/>
      <c r="O1" t="s">
        <v>49</v>
      </c>
      <c r="AC1" t="s">
        <v>50</v>
      </c>
    </row>
    <row r="2" spans="1:58" x14ac:dyDescent="0.25">
      <c r="A2" s="1" t="s">
        <v>0</v>
      </c>
      <c r="B2" s="1" t="s">
        <v>46</v>
      </c>
      <c r="C2" s="1" t="s">
        <v>45</v>
      </c>
      <c r="D2" s="1" t="s">
        <v>47</v>
      </c>
      <c r="E2" s="1" t="s">
        <v>1</v>
      </c>
      <c r="F2" s="1" t="s">
        <v>2</v>
      </c>
      <c r="G2" s="1" t="s">
        <v>3</v>
      </c>
      <c r="H2" s="5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6" t="s">
        <v>9</v>
      </c>
      <c r="O2" s="31" t="s">
        <v>0</v>
      </c>
      <c r="P2" s="32" t="s">
        <v>46</v>
      </c>
      <c r="Q2" s="32" t="s">
        <v>45</v>
      </c>
      <c r="R2" s="32" t="s">
        <v>47</v>
      </c>
      <c r="S2" s="32" t="s">
        <v>1</v>
      </c>
      <c r="T2" s="32" t="s">
        <v>2</v>
      </c>
      <c r="U2" s="32" t="s">
        <v>3</v>
      </c>
      <c r="V2" s="31" t="s">
        <v>4</v>
      </c>
      <c r="W2" s="32" t="s">
        <v>5</v>
      </c>
      <c r="X2" s="32" t="s">
        <v>6</v>
      </c>
      <c r="Y2" s="32" t="s">
        <v>7</v>
      </c>
      <c r="Z2" s="32" t="s">
        <v>8</v>
      </c>
      <c r="AA2" s="33" t="s">
        <v>9</v>
      </c>
      <c r="AC2" s="31" t="s">
        <v>0</v>
      </c>
      <c r="AD2" s="32" t="s">
        <v>46</v>
      </c>
      <c r="AE2" s="32" t="s">
        <v>45</v>
      </c>
      <c r="AF2" s="32" t="s">
        <v>47</v>
      </c>
      <c r="AG2" s="32" t="s">
        <v>1</v>
      </c>
      <c r="AH2" s="32" t="s">
        <v>2</v>
      </c>
      <c r="AI2" s="32" t="s">
        <v>3</v>
      </c>
      <c r="AJ2" s="31" t="s">
        <v>4</v>
      </c>
      <c r="AK2" s="32" t="s">
        <v>5</v>
      </c>
      <c r="AL2" s="32" t="s">
        <v>6</v>
      </c>
      <c r="AM2" s="32" t="s">
        <v>7</v>
      </c>
      <c r="AN2" s="32" t="s">
        <v>8</v>
      </c>
      <c r="AO2" s="33" t="s">
        <v>9</v>
      </c>
      <c r="AS2" s="1" t="s">
        <v>0</v>
      </c>
      <c r="AT2" t="s">
        <v>10</v>
      </c>
      <c r="AU2" t="s">
        <v>11</v>
      </c>
      <c r="AV2" t="s">
        <v>12</v>
      </c>
      <c r="AW2" t="s">
        <v>13</v>
      </c>
      <c r="AX2" t="s">
        <v>14</v>
      </c>
      <c r="AY2" t="s">
        <v>15</v>
      </c>
      <c r="BA2" t="s">
        <v>27</v>
      </c>
      <c r="BB2" t="s">
        <v>28</v>
      </c>
      <c r="BC2" t="s">
        <v>29</v>
      </c>
      <c r="BD2" t="s">
        <v>30</v>
      </c>
      <c r="BE2" t="s">
        <v>31</v>
      </c>
      <c r="BF2" t="s">
        <v>32</v>
      </c>
    </row>
    <row r="3" spans="1:58" x14ac:dyDescent="0.25">
      <c r="A3" s="2">
        <v>167</v>
      </c>
      <c r="B3" s="2">
        <v>128</v>
      </c>
      <c r="C3" s="2">
        <v>220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29">
        <v>978</v>
      </c>
      <c r="O3" s="34">
        <v>167</v>
      </c>
      <c r="P3" s="2">
        <v>128</v>
      </c>
      <c r="Q3" s="2">
        <v>220</v>
      </c>
      <c r="R3" s="2">
        <v>7</v>
      </c>
      <c r="S3" s="27">
        <v>0.104819100180613</v>
      </c>
      <c r="T3" s="27">
        <v>3.3154403752457901E-2</v>
      </c>
      <c r="U3" s="27">
        <v>2.2914216154744201E-2</v>
      </c>
      <c r="V3" s="30">
        <v>6</v>
      </c>
      <c r="W3" s="8">
        <v>16</v>
      </c>
      <c r="X3" s="8">
        <v>96</v>
      </c>
      <c r="Y3" s="8">
        <v>264</v>
      </c>
      <c r="Z3" s="8">
        <v>604</v>
      </c>
      <c r="AA3" s="29">
        <v>978</v>
      </c>
      <c r="AC3" s="34">
        <v>8</v>
      </c>
      <c r="AD3" s="2">
        <v>128</v>
      </c>
      <c r="AE3" s="2">
        <v>160</v>
      </c>
      <c r="AF3" s="2">
        <v>10</v>
      </c>
      <c r="AG3" s="27">
        <v>0.161944718485239</v>
      </c>
      <c r="AH3" s="27">
        <v>3.2526116479269097E-2</v>
      </c>
      <c r="AI3" s="27">
        <v>7.7989329746457701E-3</v>
      </c>
      <c r="AJ3" s="30">
        <v>10</v>
      </c>
      <c r="AK3" s="8">
        <v>31</v>
      </c>
      <c r="AL3" s="8">
        <v>89</v>
      </c>
      <c r="AM3" s="8">
        <v>230</v>
      </c>
      <c r="AN3" s="8">
        <v>509</v>
      </c>
      <c r="AO3" s="29">
        <v>1493</v>
      </c>
      <c r="AS3" s="2">
        <v>167</v>
      </c>
      <c r="AT3">
        <v>6.4069250048013796E-2</v>
      </c>
      <c r="AU3">
        <v>0.17940701762775299</v>
      </c>
      <c r="AV3">
        <v>0.59727911911144405</v>
      </c>
      <c r="AW3">
        <v>2.1218818406845701</v>
      </c>
      <c r="AX3">
        <v>8.4875273627382803</v>
      </c>
      <c r="AY3">
        <v>33.9501094509531</v>
      </c>
      <c r="BA3">
        <v>0.104819100180613</v>
      </c>
      <c r="BB3">
        <v>0.41927640072245398</v>
      </c>
      <c r="BC3">
        <v>1.6771056028898099</v>
      </c>
      <c r="BD3">
        <v>6.7084224115592699</v>
      </c>
      <c r="BE3">
        <v>26.833689646237001</v>
      </c>
      <c r="BF3">
        <v>107.33475858494801</v>
      </c>
    </row>
    <row r="4" spans="1:58" x14ac:dyDescent="0.25">
      <c r="A4" s="2">
        <v>6</v>
      </c>
      <c r="B4" s="2">
        <v>128</v>
      </c>
      <c r="C4" s="2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29">
        <v>1690</v>
      </c>
      <c r="O4" s="34">
        <v>6</v>
      </c>
      <c r="P4" s="2">
        <v>128</v>
      </c>
      <c r="Q4" s="2">
        <v>150</v>
      </c>
      <c r="R4" s="2">
        <v>10</v>
      </c>
      <c r="S4" s="27">
        <v>5.1422303101187901E-2</v>
      </c>
      <c r="T4" s="27">
        <v>1.43345982575964E-2</v>
      </c>
      <c r="U4" s="27">
        <v>7.2966466530169603E-3</v>
      </c>
      <c r="V4" s="30">
        <v>2</v>
      </c>
      <c r="W4" s="8">
        <v>8</v>
      </c>
      <c r="X4" s="8">
        <v>65</v>
      </c>
      <c r="Y4" s="8">
        <v>195</v>
      </c>
      <c r="Z4" s="8">
        <v>628</v>
      </c>
      <c r="AA4" s="29">
        <v>1690</v>
      </c>
      <c r="AC4" s="34">
        <v>168</v>
      </c>
      <c r="AD4" s="2">
        <v>128</v>
      </c>
      <c r="AE4" s="2">
        <v>196</v>
      </c>
      <c r="AF4" s="2">
        <v>10</v>
      </c>
      <c r="AG4" s="27">
        <v>8.9416636847151898E-2</v>
      </c>
      <c r="AH4" s="27">
        <v>2.1060905578879598E-2</v>
      </c>
      <c r="AI4" s="27">
        <v>9.6694169987568603E-3</v>
      </c>
      <c r="AJ4" s="30">
        <v>4</v>
      </c>
      <c r="AK4" s="8">
        <v>16</v>
      </c>
      <c r="AL4" s="8">
        <v>110</v>
      </c>
      <c r="AM4" s="8">
        <v>255</v>
      </c>
      <c r="AN4" s="8">
        <v>489</v>
      </c>
      <c r="AO4" s="29">
        <v>1351</v>
      </c>
      <c r="AS4" s="2">
        <v>6</v>
      </c>
      <c r="AT4">
        <v>5.1422303616638097E-2</v>
      </c>
      <c r="AU4">
        <v>0.136504884052633</v>
      </c>
      <c r="AV4">
        <v>0.26754282688021702</v>
      </c>
      <c r="AW4">
        <v>0.98750358289623297</v>
      </c>
      <c r="AX4">
        <v>3.6696571758817198</v>
      </c>
      <c r="AY4">
        <v>14.678628703526799</v>
      </c>
      <c r="BA4">
        <v>5.1422303101187901E-2</v>
      </c>
      <c r="BB4">
        <v>0.20568921240475099</v>
      </c>
      <c r="BC4">
        <v>0.82275684961900697</v>
      </c>
      <c r="BD4">
        <v>3.2910273984760301</v>
      </c>
      <c r="BE4">
        <v>13.164109593904101</v>
      </c>
      <c r="BF4">
        <v>52.656438375616403</v>
      </c>
    </row>
    <row r="5" spans="1:58" x14ac:dyDescent="0.25">
      <c r="A5" s="2">
        <v>8</v>
      </c>
      <c r="B5" s="2">
        <v>128</v>
      </c>
      <c r="C5" s="2">
        <v>160</v>
      </c>
      <c r="D5" s="2">
        <v>10</v>
      </c>
      <c r="E5" s="27">
        <v>0.161944718485239</v>
      </c>
      <c r="F5" s="27">
        <v>3.2526116479269097E-2</v>
      </c>
      <c r="G5" s="27">
        <v>7.7989329746457701E-3</v>
      </c>
      <c r="H5" s="30">
        <v>10</v>
      </c>
      <c r="I5" s="8">
        <v>31</v>
      </c>
      <c r="J5" s="8">
        <v>89</v>
      </c>
      <c r="K5" s="8">
        <v>230</v>
      </c>
      <c r="L5" s="8">
        <v>509</v>
      </c>
      <c r="M5" s="29">
        <v>1493</v>
      </c>
      <c r="O5" s="34">
        <v>150</v>
      </c>
      <c r="P5" s="2">
        <v>90</v>
      </c>
      <c r="Q5" s="2">
        <v>108.42</v>
      </c>
      <c r="R5" s="2">
        <v>5</v>
      </c>
      <c r="S5" s="27">
        <v>4.68499378365069E-2</v>
      </c>
      <c r="T5" s="27">
        <v>1.9737041545963101E-2</v>
      </c>
      <c r="U5" s="27">
        <v>1.1301251811562101E-2</v>
      </c>
      <c r="V5" s="30">
        <v>2</v>
      </c>
      <c r="W5" s="8">
        <v>16</v>
      </c>
      <c r="X5" s="8">
        <v>41</v>
      </c>
      <c r="Y5" s="8">
        <v>139</v>
      </c>
      <c r="Z5" s="8">
        <v>414</v>
      </c>
      <c r="AA5" s="29">
        <v>882</v>
      </c>
      <c r="AC5" s="34">
        <v>22</v>
      </c>
      <c r="AD5" s="2">
        <v>90</v>
      </c>
      <c r="AE5" s="2"/>
      <c r="AF5" s="2">
        <v>10</v>
      </c>
      <c r="AG5" s="27">
        <v>6.2688332148029005E-2</v>
      </c>
      <c r="AH5" s="27">
        <v>1.8357479777712401E-2</v>
      </c>
      <c r="AI5" s="27">
        <v>5.3392743586913897E-3</v>
      </c>
      <c r="AJ5" s="30">
        <v>3</v>
      </c>
      <c r="AK5" s="8">
        <v>21</v>
      </c>
      <c r="AL5" s="8">
        <v>91</v>
      </c>
      <c r="AM5" s="8">
        <v>212</v>
      </c>
      <c r="AN5" s="8">
        <v>660</v>
      </c>
      <c r="AO5" s="29">
        <v>1581</v>
      </c>
      <c r="AS5" s="2">
        <v>8</v>
      </c>
      <c r="AT5">
        <v>9.4968206718967205E-2</v>
      </c>
      <c r="AU5">
        <v>0.31788484763340902</v>
      </c>
      <c r="AV5">
        <v>0.78149567271952003</v>
      </c>
      <c r="AW5">
        <v>2.2740324054836099</v>
      </c>
      <c r="AX5">
        <v>8.3266858207082599</v>
      </c>
      <c r="AY5">
        <v>33.306743282832997</v>
      </c>
      <c r="BA5">
        <v>0.161944718485239</v>
      </c>
      <c r="BB5">
        <v>0.64777887394095901</v>
      </c>
      <c r="BC5">
        <v>2.5911154957638298</v>
      </c>
      <c r="BD5">
        <v>10.3644619830553</v>
      </c>
      <c r="BE5">
        <v>41.457847932221398</v>
      </c>
      <c r="BF5">
        <v>165.831391728885</v>
      </c>
    </row>
    <row r="6" spans="1:58" x14ac:dyDescent="0.25">
      <c r="A6" s="2">
        <v>168</v>
      </c>
      <c r="B6" s="2">
        <v>128</v>
      </c>
      <c r="C6" s="2">
        <v>196</v>
      </c>
      <c r="D6" s="2">
        <v>10</v>
      </c>
      <c r="E6" s="27">
        <v>8.9416636847151898E-2</v>
      </c>
      <c r="F6" s="27">
        <v>2.1060905578879598E-2</v>
      </c>
      <c r="G6" s="27">
        <v>9.6694169987568603E-3</v>
      </c>
      <c r="H6" s="30">
        <v>4</v>
      </c>
      <c r="I6" s="8">
        <v>16</v>
      </c>
      <c r="J6" s="8">
        <v>110</v>
      </c>
      <c r="K6" s="8">
        <v>255</v>
      </c>
      <c r="L6" s="8">
        <v>489</v>
      </c>
      <c r="M6" s="29">
        <v>1351</v>
      </c>
      <c r="O6" s="34">
        <v>11</v>
      </c>
      <c r="P6" s="2">
        <v>90</v>
      </c>
      <c r="Q6" s="2">
        <v>127.22</v>
      </c>
      <c r="R6" s="2">
        <v>8</v>
      </c>
      <c r="S6" s="27">
        <v>5.1754391722476999E-2</v>
      </c>
      <c r="T6" s="27">
        <v>2.3629413923689099E-2</v>
      </c>
      <c r="U6" s="27">
        <v>3.0143536797057099E-2</v>
      </c>
      <c r="V6" s="30">
        <v>6</v>
      </c>
      <c r="W6" s="8">
        <v>29</v>
      </c>
      <c r="X6" s="8">
        <v>102</v>
      </c>
      <c r="Y6" s="8">
        <v>246</v>
      </c>
      <c r="Z6" s="8">
        <v>493</v>
      </c>
      <c r="AA6" s="29">
        <v>1329</v>
      </c>
      <c r="AC6" s="34">
        <v>152</v>
      </c>
      <c r="AD6" s="2">
        <v>90</v>
      </c>
      <c r="AE6" s="2">
        <v>91.54</v>
      </c>
      <c r="AF6" s="2">
        <v>10</v>
      </c>
      <c r="AG6" s="27">
        <v>0.10293183462706799</v>
      </c>
      <c r="AH6" s="27">
        <v>2.3869849132825499E-2</v>
      </c>
      <c r="AI6" s="27">
        <v>8.4624680045280194E-3</v>
      </c>
      <c r="AJ6" s="30">
        <v>9</v>
      </c>
      <c r="AK6" s="8">
        <v>32</v>
      </c>
      <c r="AL6" s="8">
        <v>75</v>
      </c>
      <c r="AM6" s="8">
        <v>233</v>
      </c>
      <c r="AN6" s="8">
        <v>700</v>
      </c>
      <c r="AO6" s="29">
        <v>1639</v>
      </c>
      <c r="AS6" s="2">
        <v>168</v>
      </c>
      <c r="AT6">
        <v>5.6005964760614799E-2</v>
      </c>
      <c r="AU6">
        <v>0.16309275016740199</v>
      </c>
      <c r="AV6">
        <v>0.449858505678978</v>
      </c>
      <c r="AW6">
        <v>1.61414237742101</v>
      </c>
      <c r="AX6">
        <v>5.3915917727487104</v>
      </c>
      <c r="AY6">
        <v>21.566367090994799</v>
      </c>
      <c r="BA6">
        <v>8.9416636847151898E-2</v>
      </c>
      <c r="BB6">
        <v>0.35766654738860698</v>
      </c>
      <c r="BC6">
        <v>1.4306661895544299</v>
      </c>
      <c r="BD6">
        <v>5.7226647582177197</v>
      </c>
      <c r="BE6">
        <v>22.890659032870801</v>
      </c>
      <c r="BF6">
        <v>91.562636131483501</v>
      </c>
    </row>
    <row r="7" spans="1:58" x14ac:dyDescent="0.25">
      <c r="A7" s="2">
        <v>150</v>
      </c>
      <c r="B7" s="2">
        <v>90</v>
      </c>
      <c r="C7" s="2">
        <v>108.42</v>
      </c>
      <c r="D7" s="2">
        <v>5</v>
      </c>
      <c r="E7" s="27">
        <v>4.68499378365069E-2</v>
      </c>
      <c r="F7" s="27">
        <v>1.9737041545963101E-2</v>
      </c>
      <c r="G7" s="27">
        <v>1.1301251811562101E-2</v>
      </c>
      <c r="H7" s="30">
        <v>2</v>
      </c>
      <c r="I7" s="8">
        <v>16</v>
      </c>
      <c r="J7" s="8">
        <v>41</v>
      </c>
      <c r="K7" s="8">
        <v>139</v>
      </c>
      <c r="L7" s="8">
        <v>414</v>
      </c>
      <c r="M7" s="29">
        <v>882</v>
      </c>
      <c r="O7" s="34">
        <v>12</v>
      </c>
      <c r="P7" s="2">
        <v>64</v>
      </c>
      <c r="Q7" s="2">
        <v>84.2</v>
      </c>
      <c r="R7" s="2">
        <v>3</v>
      </c>
      <c r="S7" s="27">
        <v>4.4543546788178297E-2</v>
      </c>
      <c r="T7" s="27">
        <v>2.3352349155409499E-2</v>
      </c>
      <c r="U7" s="27">
        <v>2.1759151907210301E-2</v>
      </c>
      <c r="V7" s="30">
        <v>3</v>
      </c>
      <c r="W7" s="8">
        <v>14</v>
      </c>
      <c r="X7" s="8">
        <v>41</v>
      </c>
      <c r="Y7" s="8">
        <v>103</v>
      </c>
      <c r="Z7" s="8">
        <v>323</v>
      </c>
      <c r="AA7" s="29">
        <v>559</v>
      </c>
      <c r="AC7" s="34">
        <v>101</v>
      </c>
      <c r="AD7" s="2">
        <v>64</v>
      </c>
      <c r="AE7" s="2">
        <v>108.92</v>
      </c>
      <c r="AF7" s="2">
        <v>6</v>
      </c>
      <c r="AG7" s="27">
        <v>3.00794247374499E-2</v>
      </c>
      <c r="AH7" s="27">
        <v>1.50358559887077E-2</v>
      </c>
      <c r="AI7" s="27">
        <v>9.2196022769056602E-3</v>
      </c>
      <c r="AJ7" s="30">
        <v>2</v>
      </c>
      <c r="AK7" s="8">
        <v>9</v>
      </c>
      <c r="AL7" s="8">
        <v>49</v>
      </c>
      <c r="AM7" s="8">
        <v>132</v>
      </c>
      <c r="AN7" s="8">
        <v>544</v>
      </c>
      <c r="AO7" s="29">
        <v>1041</v>
      </c>
      <c r="AS7" s="2">
        <v>150</v>
      </c>
      <c r="AT7">
        <v>4.6849938207403699E-2</v>
      </c>
      <c r="AU7">
        <v>0.12535462962986799</v>
      </c>
      <c r="AV7">
        <v>0.44063655773576799</v>
      </c>
      <c r="AW7">
        <v>1.4715502319528799</v>
      </c>
      <c r="AX7">
        <v>5.0526826474058097</v>
      </c>
      <c r="AY7">
        <v>20.2107305896232</v>
      </c>
      <c r="BA7">
        <v>4.68499378365069E-2</v>
      </c>
      <c r="BB7">
        <v>0.18739975134602699</v>
      </c>
      <c r="BC7">
        <v>0.74959900538411095</v>
      </c>
      <c r="BD7">
        <v>2.9983960215364398</v>
      </c>
      <c r="BE7">
        <v>11.993584086145701</v>
      </c>
      <c r="BF7">
        <v>47.974336344583101</v>
      </c>
    </row>
    <row r="8" spans="1:58" x14ac:dyDescent="0.25">
      <c r="A8" s="2">
        <v>11</v>
      </c>
      <c r="B8" s="2">
        <v>90</v>
      </c>
      <c r="C8" s="2">
        <v>127.22</v>
      </c>
      <c r="D8" s="2">
        <v>8</v>
      </c>
      <c r="E8" s="27">
        <v>5.1754391722476999E-2</v>
      </c>
      <c r="F8" s="27">
        <v>2.3629413923689099E-2</v>
      </c>
      <c r="G8" s="27">
        <v>3.0143536797057099E-2</v>
      </c>
      <c r="H8" s="30">
        <v>6</v>
      </c>
      <c r="I8" s="8">
        <v>29</v>
      </c>
      <c r="J8" s="8">
        <v>102</v>
      </c>
      <c r="K8" s="8">
        <v>246</v>
      </c>
      <c r="L8" s="8">
        <v>493</v>
      </c>
      <c r="M8" s="29">
        <v>1329</v>
      </c>
      <c r="O8" s="34">
        <v>96</v>
      </c>
      <c r="P8" s="2">
        <v>64</v>
      </c>
      <c r="Q8" s="2">
        <v>86.98</v>
      </c>
      <c r="R8" s="2">
        <v>8</v>
      </c>
      <c r="S8" s="27">
        <v>9.5639162401153693E-2</v>
      </c>
      <c r="T8" s="27">
        <v>1.9277468694701001E-2</v>
      </c>
      <c r="U8" s="27">
        <v>5.1627678565697001E-3</v>
      </c>
      <c r="V8" s="30">
        <v>3</v>
      </c>
      <c r="W8" s="8">
        <v>22</v>
      </c>
      <c r="X8" s="8">
        <v>58</v>
      </c>
      <c r="Y8" s="8">
        <v>165</v>
      </c>
      <c r="Z8" s="8">
        <v>559</v>
      </c>
      <c r="AA8" s="29">
        <v>1384</v>
      </c>
      <c r="AC8" s="34">
        <v>24</v>
      </c>
      <c r="AD8" s="2">
        <v>64</v>
      </c>
      <c r="AE8" s="2">
        <v>87.08</v>
      </c>
      <c r="AF8" s="2">
        <v>10</v>
      </c>
      <c r="AG8" s="27">
        <v>0.10538288704710901</v>
      </c>
      <c r="AH8" s="27">
        <v>1.6430974908246999E-2</v>
      </c>
      <c r="AI8" s="27">
        <v>6.0105568763227698E-3</v>
      </c>
      <c r="AJ8" s="30">
        <v>5</v>
      </c>
      <c r="AK8" s="8">
        <v>18</v>
      </c>
      <c r="AL8" s="8">
        <v>43</v>
      </c>
      <c r="AM8" s="8">
        <v>139</v>
      </c>
      <c r="AN8" s="8">
        <v>586</v>
      </c>
      <c r="AO8" s="29">
        <v>1730</v>
      </c>
      <c r="AS8" s="2">
        <v>11</v>
      </c>
      <c r="AT8">
        <v>3.9406083818281298E-2</v>
      </c>
      <c r="AU8">
        <v>0.15393753693111001</v>
      </c>
      <c r="AV8">
        <v>0.46926879178815301</v>
      </c>
      <c r="AW8">
        <v>1.6679355265670801</v>
      </c>
      <c r="AX8">
        <v>6.0491299651584196</v>
      </c>
      <c r="AY8">
        <v>24.1965198606337</v>
      </c>
      <c r="BA8">
        <v>5.1754391722476999E-2</v>
      </c>
      <c r="BB8">
        <v>0.20701756688990799</v>
      </c>
      <c r="BC8">
        <v>0.82807026755963298</v>
      </c>
      <c r="BD8">
        <v>3.3122810702385301</v>
      </c>
      <c r="BE8">
        <v>13.249124280954099</v>
      </c>
      <c r="BF8">
        <v>52.996497123816503</v>
      </c>
    </row>
    <row r="9" spans="1:58" x14ac:dyDescent="0.25">
      <c r="A9" s="2">
        <v>22</v>
      </c>
      <c r="B9" s="2">
        <v>90</v>
      </c>
      <c r="C9" s="2"/>
      <c r="D9" s="2">
        <v>10</v>
      </c>
      <c r="E9" s="27">
        <v>6.2688332148029005E-2</v>
      </c>
      <c r="F9" s="27">
        <v>1.8357479777712401E-2</v>
      </c>
      <c r="G9" s="27">
        <v>5.3392743586913897E-3</v>
      </c>
      <c r="H9" s="30">
        <v>3</v>
      </c>
      <c r="I9" s="8">
        <v>21</v>
      </c>
      <c r="J9" s="8">
        <v>91</v>
      </c>
      <c r="K9" s="8">
        <v>212</v>
      </c>
      <c r="L9" s="8">
        <v>660</v>
      </c>
      <c r="M9" s="29">
        <v>1581</v>
      </c>
      <c r="O9" s="34">
        <v>107</v>
      </c>
      <c r="P9" s="2">
        <v>45</v>
      </c>
      <c r="Q9" s="2">
        <v>52.94</v>
      </c>
      <c r="R9" s="2">
        <v>5</v>
      </c>
      <c r="S9" s="27">
        <v>2.7724885205644801E-2</v>
      </c>
      <c r="T9" s="27">
        <v>1.4478880481023E-2</v>
      </c>
      <c r="U9" s="27">
        <v>1.4642800293065399E-2</v>
      </c>
      <c r="V9" s="30">
        <v>1</v>
      </c>
      <c r="W9" s="8">
        <v>13</v>
      </c>
      <c r="X9" s="8">
        <v>39</v>
      </c>
      <c r="Y9" s="8">
        <v>78</v>
      </c>
      <c r="Z9" s="8">
        <v>345</v>
      </c>
      <c r="AA9" s="29">
        <v>943</v>
      </c>
      <c r="AC9" s="34">
        <v>159</v>
      </c>
      <c r="AD9" s="2">
        <v>45</v>
      </c>
      <c r="AE9" s="2">
        <v>54.11</v>
      </c>
      <c r="AF9" s="2">
        <v>15</v>
      </c>
      <c r="AG9" s="27">
        <v>1.09573532088619E-2</v>
      </c>
      <c r="AH9" s="27">
        <v>4.9905746416529098E-3</v>
      </c>
      <c r="AI9" s="27">
        <v>4.5767283517164602E-3</v>
      </c>
      <c r="AJ9" s="30">
        <v>0</v>
      </c>
      <c r="AK9" s="8">
        <v>0</v>
      </c>
      <c r="AL9" s="8">
        <v>11</v>
      </c>
      <c r="AM9" s="8">
        <v>72</v>
      </c>
      <c r="AN9" s="8">
        <v>777</v>
      </c>
      <c r="AO9" s="29">
        <v>2820</v>
      </c>
      <c r="AS9" s="2">
        <v>22</v>
      </c>
      <c r="AT9">
        <v>4.5463397559226001E-2</v>
      </c>
      <c r="AU9">
        <v>0.16338445100562901</v>
      </c>
      <c r="AV9">
        <v>0.426009200925964</v>
      </c>
      <c r="AW9">
        <v>1.2687679005852299</v>
      </c>
      <c r="AX9">
        <v>4.6995148199797203</v>
      </c>
      <c r="AY9">
        <v>18.7980592799188</v>
      </c>
      <c r="BA9">
        <v>4.5463397884194803E-2</v>
      </c>
      <c r="BB9">
        <v>0.25075332859211602</v>
      </c>
      <c r="BC9">
        <v>1.0030133143684601</v>
      </c>
      <c r="BD9">
        <v>4.0120532574738599</v>
      </c>
      <c r="BE9">
        <v>16.0482130298954</v>
      </c>
      <c r="BF9">
        <v>64.192852119581701</v>
      </c>
    </row>
    <row r="10" spans="1:58" x14ac:dyDescent="0.25">
      <c r="A10" s="2">
        <v>152</v>
      </c>
      <c r="B10" s="2">
        <v>90</v>
      </c>
      <c r="C10" s="2">
        <v>91.54</v>
      </c>
      <c r="D10" s="2">
        <v>10</v>
      </c>
      <c r="E10" s="27">
        <v>0.10293183462706799</v>
      </c>
      <c r="F10" s="27">
        <v>2.3869849132825499E-2</v>
      </c>
      <c r="G10" s="27">
        <v>8.4624680045280194E-3</v>
      </c>
      <c r="H10" s="30">
        <v>9</v>
      </c>
      <c r="I10" s="8">
        <v>32</v>
      </c>
      <c r="J10" s="8">
        <v>75</v>
      </c>
      <c r="K10" s="8">
        <v>233</v>
      </c>
      <c r="L10" s="8">
        <v>700</v>
      </c>
      <c r="M10" s="29">
        <v>1639</v>
      </c>
      <c r="O10" s="34">
        <v>162</v>
      </c>
      <c r="P10" s="2">
        <v>45</v>
      </c>
      <c r="Q10" s="2">
        <v>54.05</v>
      </c>
      <c r="R10" s="2">
        <v>10</v>
      </c>
      <c r="S10" s="27">
        <v>2.2481115003792299E-2</v>
      </c>
      <c r="T10" s="27">
        <v>9.1860908476934702E-3</v>
      </c>
      <c r="U10" s="27">
        <v>5.26397191560033E-3</v>
      </c>
      <c r="V10" s="30">
        <v>0</v>
      </c>
      <c r="W10" s="8">
        <v>8</v>
      </c>
      <c r="X10" s="8">
        <v>40</v>
      </c>
      <c r="Y10" s="8">
        <v>121</v>
      </c>
      <c r="Z10" s="8">
        <v>631</v>
      </c>
      <c r="AA10" s="29">
        <v>1881</v>
      </c>
      <c r="AC10" s="34">
        <v>35</v>
      </c>
      <c r="AD10" s="2">
        <v>45</v>
      </c>
      <c r="AE10" s="2">
        <v>64.849999999999994</v>
      </c>
      <c r="AF10" s="2">
        <v>6</v>
      </c>
      <c r="AG10" s="27">
        <v>2.2279504588702301E-2</v>
      </c>
      <c r="AH10" s="27">
        <v>9.4453501582737708E-3</v>
      </c>
      <c r="AI10" s="27">
        <v>6.3512880877902899E-3</v>
      </c>
      <c r="AJ10" s="30">
        <v>0</v>
      </c>
      <c r="AK10" s="8">
        <v>6</v>
      </c>
      <c r="AL10" s="8">
        <v>24</v>
      </c>
      <c r="AM10" s="8">
        <v>103</v>
      </c>
      <c r="AN10" s="8">
        <v>418</v>
      </c>
      <c r="AO10" s="29">
        <v>1139</v>
      </c>
      <c r="AS10" s="2">
        <v>152</v>
      </c>
      <c r="AT10">
        <v>9.5743592288179996E-2</v>
      </c>
      <c r="AU10">
        <v>0.18723147718286101</v>
      </c>
      <c r="AV10">
        <v>0.64667150537108198</v>
      </c>
      <c r="AW10">
        <v>1.81287477386409</v>
      </c>
      <c r="AX10">
        <v>6.1106814199081896</v>
      </c>
      <c r="AY10">
        <v>24.442725679632701</v>
      </c>
      <c r="BA10">
        <v>0.10293183462706799</v>
      </c>
      <c r="BB10">
        <v>0.41172733850827198</v>
      </c>
      <c r="BC10">
        <v>1.6469093540330899</v>
      </c>
      <c r="BD10">
        <v>6.5876374161323596</v>
      </c>
      <c r="BE10">
        <v>26.3505496645294</v>
      </c>
      <c r="BF10">
        <v>105.402198658117</v>
      </c>
    </row>
    <row r="11" spans="1:58" x14ac:dyDescent="0.25">
      <c r="A11" s="2">
        <v>12</v>
      </c>
      <c r="B11" s="2">
        <v>64</v>
      </c>
      <c r="C11" s="2">
        <v>84.2</v>
      </c>
      <c r="D11" s="2">
        <v>3</v>
      </c>
      <c r="E11" s="27">
        <v>4.4543546788178297E-2</v>
      </c>
      <c r="F11" s="27">
        <v>2.3352349155409499E-2</v>
      </c>
      <c r="G11" s="27">
        <v>2.1759151907210301E-2</v>
      </c>
      <c r="H11" s="30">
        <v>3</v>
      </c>
      <c r="I11" s="8">
        <v>14</v>
      </c>
      <c r="J11" s="8">
        <v>41</v>
      </c>
      <c r="K11" s="8">
        <v>103</v>
      </c>
      <c r="L11" s="8">
        <v>323</v>
      </c>
      <c r="M11" s="29">
        <v>559</v>
      </c>
      <c r="O11" s="34">
        <v>69</v>
      </c>
      <c r="P11" s="2">
        <v>32</v>
      </c>
      <c r="Q11" s="2"/>
      <c r="R11" s="2">
        <v>4</v>
      </c>
      <c r="S11" s="27">
        <v>1.0897008883362201E-2</v>
      </c>
      <c r="T11" s="27">
        <v>7.27047978157239E-3</v>
      </c>
      <c r="U11" s="27">
        <v>6.8585843273274603E-3</v>
      </c>
      <c r="V11" s="30">
        <v>0</v>
      </c>
      <c r="W11" s="8">
        <v>1</v>
      </c>
      <c r="X11" s="8">
        <v>12</v>
      </c>
      <c r="Y11" s="8">
        <v>57</v>
      </c>
      <c r="Z11" s="8">
        <v>275</v>
      </c>
      <c r="AA11" s="29">
        <v>830</v>
      </c>
      <c r="AC11" s="34">
        <v>61</v>
      </c>
      <c r="AD11" s="2">
        <v>32</v>
      </c>
      <c r="AE11" s="2"/>
      <c r="AF11" s="2">
        <v>6</v>
      </c>
      <c r="AG11" s="27">
        <v>2.4554138346802101E-2</v>
      </c>
      <c r="AH11" s="27">
        <v>8.2745106205033593E-3</v>
      </c>
      <c r="AI11" s="27">
        <v>4.2829956428710502E-3</v>
      </c>
      <c r="AJ11" s="30">
        <v>0</v>
      </c>
      <c r="AK11" s="8">
        <v>6</v>
      </c>
      <c r="AL11" s="8">
        <v>27</v>
      </c>
      <c r="AM11" s="8">
        <v>64</v>
      </c>
      <c r="AN11" s="8">
        <v>364</v>
      </c>
      <c r="AO11" s="29">
        <v>1201</v>
      </c>
      <c r="AS11" s="2">
        <v>12</v>
      </c>
      <c r="AT11">
        <v>3.8585276164057498E-2</v>
      </c>
      <c r="AU11">
        <v>0.117415800187244</v>
      </c>
      <c r="AV11">
        <v>0.46966320074897699</v>
      </c>
      <c r="AW11">
        <v>1.4945503386105301</v>
      </c>
      <c r="AX11">
        <v>5.97820135444214</v>
      </c>
      <c r="AY11">
        <v>23.912805417768499</v>
      </c>
      <c r="BA11">
        <v>4.4543546788178297E-2</v>
      </c>
      <c r="BB11">
        <v>0.17817418715271299</v>
      </c>
      <c r="BC11">
        <v>0.71269674861085297</v>
      </c>
      <c r="BD11">
        <v>2.8507869944434101</v>
      </c>
      <c r="BE11">
        <v>11.4031479777736</v>
      </c>
      <c r="BF11">
        <v>45.612591911094597</v>
      </c>
    </row>
    <row r="12" spans="1:58" x14ac:dyDescent="0.25">
      <c r="A12" s="2">
        <v>96</v>
      </c>
      <c r="B12" s="2">
        <v>64</v>
      </c>
      <c r="C12" s="2">
        <v>86.98</v>
      </c>
      <c r="D12" s="2">
        <v>8</v>
      </c>
      <c r="E12" s="27">
        <v>9.5639162401153693E-2</v>
      </c>
      <c r="F12" s="27">
        <v>1.9277468694701001E-2</v>
      </c>
      <c r="G12" s="27">
        <v>5.1627678565697001E-3</v>
      </c>
      <c r="H12" s="30">
        <v>3</v>
      </c>
      <c r="I12" s="8">
        <v>22</v>
      </c>
      <c r="J12" s="8">
        <v>58</v>
      </c>
      <c r="K12" s="8">
        <v>165</v>
      </c>
      <c r="L12" s="8">
        <v>559</v>
      </c>
      <c r="M12" s="29">
        <v>1384</v>
      </c>
      <c r="O12" s="34">
        <v>85</v>
      </c>
      <c r="P12" s="2">
        <v>32</v>
      </c>
      <c r="Q12" s="2">
        <v>43.73</v>
      </c>
      <c r="R12" s="2">
        <v>6</v>
      </c>
      <c r="S12" s="27">
        <v>1.13162316396569E-2</v>
      </c>
      <c r="T12" s="27">
        <v>6.77105129691932E-3</v>
      </c>
      <c r="U12" s="27">
        <v>5.0494700428746703E-3</v>
      </c>
      <c r="V12" s="30">
        <v>0</v>
      </c>
      <c r="W12" s="8">
        <v>1</v>
      </c>
      <c r="X12" s="8">
        <v>17</v>
      </c>
      <c r="Y12" s="8">
        <v>76</v>
      </c>
      <c r="Z12" s="8">
        <v>328</v>
      </c>
      <c r="AA12" s="29">
        <v>1228</v>
      </c>
      <c r="AC12" s="34">
        <v>52</v>
      </c>
      <c r="AD12" s="2">
        <v>32</v>
      </c>
      <c r="AE12" s="2">
        <v>45.6</v>
      </c>
      <c r="AF12" s="2">
        <v>5</v>
      </c>
      <c r="AG12" s="27">
        <v>1.6195175632876601E-2</v>
      </c>
      <c r="AH12" s="27">
        <v>8.7837172608482301E-3</v>
      </c>
      <c r="AI12" s="27">
        <v>7.5116788153303899E-3</v>
      </c>
      <c r="AJ12" s="30">
        <v>0</v>
      </c>
      <c r="AK12" s="8">
        <v>3</v>
      </c>
      <c r="AL12" s="8">
        <v>21</v>
      </c>
      <c r="AM12" s="8">
        <v>74</v>
      </c>
      <c r="AN12" s="8">
        <v>395</v>
      </c>
      <c r="AO12" s="29">
        <v>990</v>
      </c>
      <c r="AS12" s="2">
        <v>96</v>
      </c>
      <c r="AT12">
        <v>9.5639162709086803E-2</v>
      </c>
      <c r="AU12">
        <v>0.18581760283662399</v>
      </c>
      <c r="AV12">
        <v>0.60536126077852104</v>
      </c>
      <c r="AW12">
        <v>1.2337579982911999</v>
      </c>
      <c r="AX12">
        <v>4.9350319931648103</v>
      </c>
      <c r="AY12">
        <v>19.740127972659199</v>
      </c>
      <c r="BA12">
        <v>9.5639162401153693E-2</v>
      </c>
      <c r="BB12">
        <v>0.382556649604614</v>
      </c>
      <c r="BC12">
        <v>1.53022659841845</v>
      </c>
      <c r="BD12">
        <v>6.1209063936738302</v>
      </c>
      <c r="BE12">
        <v>24.483625574695299</v>
      </c>
      <c r="BF12">
        <v>97.934502298781396</v>
      </c>
    </row>
    <row r="13" spans="1:58" x14ac:dyDescent="0.25">
      <c r="A13" s="2">
        <v>101</v>
      </c>
      <c r="B13" s="2">
        <v>64</v>
      </c>
      <c r="C13" s="2">
        <v>108.92</v>
      </c>
      <c r="D13" s="2">
        <v>6</v>
      </c>
      <c r="E13" s="27">
        <v>3.00794247374499E-2</v>
      </c>
      <c r="F13" s="27">
        <v>1.50358559887077E-2</v>
      </c>
      <c r="G13" s="27">
        <v>9.2196022769056602E-3</v>
      </c>
      <c r="H13" s="30">
        <v>2</v>
      </c>
      <c r="I13" s="8">
        <v>9</v>
      </c>
      <c r="J13" s="8">
        <v>49</v>
      </c>
      <c r="K13" s="8">
        <v>132</v>
      </c>
      <c r="L13" s="8">
        <v>544</v>
      </c>
      <c r="M13" s="29">
        <v>1041</v>
      </c>
      <c r="O13" s="34">
        <v>165</v>
      </c>
      <c r="P13" s="2">
        <v>16</v>
      </c>
      <c r="Q13" s="2"/>
      <c r="R13" s="2">
        <v>10</v>
      </c>
      <c r="S13" s="27">
        <v>1.06254875376059E-2</v>
      </c>
      <c r="T13" s="27">
        <v>5.3979442955963304E-3</v>
      </c>
      <c r="U13" s="27">
        <v>5.0606462291010196E-3</v>
      </c>
      <c r="V13" s="30">
        <v>0</v>
      </c>
      <c r="W13" s="8">
        <v>1</v>
      </c>
      <c r="X13" s="8">
        <v>11</v>
      </c>
      <c r="Y13" s="8">
        <v>62</v>
      </c>
      <c r="Z13" s="8">
        <v>607</v>
      </c>
      <c r="AA13" s="29">
        <v>1911</v>
      </c>
      <c r="AC13" s="34">
        <v>53</v>
      </c>
      <c r="AD13" s="2">
        <v>22.6</v>
      </c>
      <c r="AE13" s="2">
        <v>29.55</v>
      </c>
      <c r="AF13" s="2">
        <v>15</v>
      </c>
      <c r="AG13" s="27">
        <v>5.4074185586351197E-3</v>
      </c>
      <c r="AH13" s="27">
        <v>3.7739188928974099E-3</v>
      </c>
      <c r="AI13" s="27">
        <v>3.5257352179030601E-3</v>
      </c>
      <c r="AJ13" s="30">
        <v>0</v>
      </c>
      <c r="AK13" s="8">
        <v>0</v>
      </c>
      <c r="AL13" s="8">
        <v>2</v>
      </c>
      <c r="AM13" s="8">
        <v>30</v>
      </c>
      <c r="AN13" s="8">
        <v>601</v>
      </c>
      <c r="AO13" s="29">
        <v>3003</v>
      </c>
      <c r="AS13" s="2">
        <v>101</v>
      </c>
      <c r="AT13">
        <v>2.85197693561322E-2</v>
      </c>
      <c r="AU13">
        <v>0.101347429024516</v>
      </c>
      <c r="AV13">
        <v>0.24057369702033901</v>
      </c>
      <c r="AW13">
        <v>0.96229478808135804</v>
      </c>
      <c r="AX13">
        <v>3.84917915232543</v>
      </c>
      <c r="AY13">
        <v>15.3967166093017</v>
      </c>
      <c r="BA13">
        <v>3.00794247374499E-2</v>
      </c>
      <c r="BB13">
        <v>0.120317698949799</v>
      </c>
      <c r="BC13">
        <v>0.48127079579919901</v>
      </c>
      <c r="BD13">
        <v>1.9250831831967901</v>
      </c>
      <c r="BE13">
        <v>7.7003327327871904</v>
      </c>
      <c r="BF13">
        <v>30.801330931148701</v>
      </c>
    </row>
    <row r="14" spans="1:58" x14ac:dyDescent="0.25">
      <c r="A14" s="2">
        <v>24</v>
      </c>
      <c r="B14" s="2">
        <v>64</v>
      </c>
      <c r="C14" s="2">
        <v>87.08</v>
      </c>
      <c r="D14" s="2">
        <v>10</v>
      </c>
      <c r="E14" s="27">
        <v>0.10538288704710901</v>
      </c>
      <c r="F14" s="27">
        <v>1.6430974908246999E-2</v>
      </c>
      <c r="G14" s="27">
        <v>6.0105568763227698E-3</v>
      </c>
      <c r="H14" s="30">
        <v>5</v>
      </c>
      <c r="I14" s="8">
        <v>18</v>
      </c>
      <c r="J14" s="8">
        <v>43</v>
      </c>
      <c r="K14" s="8">
        <v>139</v>
      </c>
      <c r="L14" s="8">
        <v>586</v>
      </c>
      <c r="M14" s="29">
        <v>1730</v>
      </c>
      <c r="O14" s="34">
        <v>166</v>
      </c>
      <c r="P14" s="2">
        <v>16</v>
      </c>
      <c r="Q14" s="2"/>
      <c r="R14" s="2">
        <v>10</v>
      </c>
      <c r="S14" s="27">
        <v>5.4104257016193398E-3</v>
      </c>
      <c r="T14" s="27">
        <v>4.2237913969842902E-3</v>
      </c>
      <c r="U14" s="27">
        <v>4.0412722569313003E-3</v>
      </c>
      <c r="V14" s="30">
        <v>0</v>
      </c>
      <c r="W14" s="8">
        <v>0</v>
      </c>
      <c r="X14" s="8">
        <v>2</v>
      </c>
      <c r="Y14" s="8">
        <v>32</v>
      </c>
      <c r="Z14" s="8">
        <v>536</v>
      </c>
      <c r="AA14" s="29">
        <v>2020</v>
      </c>
      <c r="AC14" s="34">
        <v>45</v>
      </c>
      <c r="AD14" s="2">
        <v>22.6</v>
      </c>
      <c r="AE14" s="2">
        <v>22.6</v>
      </c>
      <c r="AF14" s="2">
        <v>10</v>
      </c>
      <c r="AG14" s="27">
        <v>6.9634801117522301E-3</v>
      </c>
      <c r="AH14" s="27">
        <v>4.7306891897243297E-3</v>
      </c>
      <c r="AI14" s="27">
        <v>4.5595536316889104E-3</v>
      </c>
      <c r="AJ14" s="30">
        <v>0</v>
      </c>
      <c r="AK14" s="8">
        <v>1</v>
      </c>
      <c r="AL14" s="8">
        <v>4</v>
      </c>
      <c r="AM14" s="8">
        <v>51</v>
      </c>
      <c r="AN14" s="8">
        <v>494</v>
      </c>
      <c r="AO14" s="29">
        <v>1931</v>
      </c>
      <c r="AS14" s="2">
        <v>24</v>
      </c>
      <c r="AT14">
        <v>0.10538288717717199</v>
      </c>
      <c r="AU14">
        <v>0.15056990486005101</v>
      </c>
      <c r="AV14">
        <v>0.50129083006757003</v>
      </c>
      <c r="AW14">
        <v>1.0515823951961401</v>
      </c>
      <c r="AX14">
        <v>4.2063295807845602</v>
      </c>
      <c r="AY14">
        <v>16.825318323138202</v>
      </c>
      <c r="BA14">
        <v>0.10538288704710901</v>
      </c>
      <c r="BB14">
        <v>0.42153154818843802</v>
      </c>
      <c r="BC14">
        <v>1.6861261927537501</v>
      </c>
      <c r="BD14">
        <v>6.7445047710150003</v>
      </c>
      <c r="BE14">
        <v>26.978019084060001</v>
      </c>
      <c r="BF14">
        <v>107.91207633624001</v>
      </c>
    </row>
    <row r="15" spans="1:58" x14ac:dyDescent="0.25">
      <c r="A15" s="2">
        <v>107</v>
      </c>
      <c r="B15" s="2">
        <v>45</v>
      </c>
      <c r="C15" s="2">
        <v>52.94</v>
      </c>
      <c r="D15" s="2">
        <v>5</v>
      </c>
      <c r="E15" s="27">
        <v>2.7724885205644801E-2</v>
      </c>
      <c r="F15" s="27">
        <v>1.4478880481023E-2</v>
      </c>
      <c r="G15" s="27">
        <v>1.4642800293065399E-2</v>
      </c>
      <c r="H15" s="30">
        <v>1</v>
      </c>
      <c r="I15" s="8">
        <v>13</v>
      </c>
      <c r="J15" s="8">
        <v>39</v>
      </c>
      <c r="K15" s="8">
        <v>78</v>
      </c>
      <c r="L15" s="8">
        <v>345</v>
      </c>
      <c r="M15" s="29">
        <v>943</v>
      </c>
      <c r="O15" s="7">
        <v>1.1000000000000001</v>
      </c>
      <c r="P15" s="3">
        <v>32</v>
      </c>
      <c r="Q15" s="3">
        <v>45.6</v>
      </c>
      <c r="R15" s="3">
        <v>20</v>
      </c>
      <c r="S15" s="26">
        <v>1.40031756933689E-2</v>
      </c>
      <c r="T15" s="26">
        <v>5.6784984243662398E-3</v>
      </c>
      <c r="U15" s="26">
        <v>4.6667095589632999E-3</v>
      </c>
      <c r="V15" s="30">
        <v>0</v>
      </c>
      <c r="W15" s="8">
        <v>1</v>
      </c>
      <c r="X15" s="8">
        <v>18</v>
      </c>
      <c r="Y15" s="8">
        <v>151</v>
      </c>
      <c r="Z15" s="8">
        <v>1196</v>
      </c>
      <c r="AA15" s="29">
        <v>3617</v>
      </c>
      <c r="AC15" s="7">
        <v>1.3</v>
      </c>
      <c r="AD15" s="3">
        <v>32</v>
      </c>
      <c r="AE15" s="3">
        <v>42.84</v>
      </c>
      <c r="AF15" s="3">
        <v>10</v>
      </c>
      <c r="AG15" s="26">
        <v>2.3197934886697399E-2</v>
      </c>
      <c r="AH15" s="26">
        <v>9.1426900455134907E-3</v>
      </c>
      <c r="AI15" s="26">
        <v>6.1375608082080103E-3</v>
      </c>
      <c r="AJ15" s="30">
        <v>0</v>
      </c>
      <c r="AK15" s="8">
        <v>4</v>
      </c>
      <c r="AL15" s="8">
        <v>35</v>
      </c>
      <c r="AM15" s="8">
        <v>163</v>
      </c>
      <c r="AN15" s="8">
        <v>788</v>
      </c>
      <c r="AO15" s="29">
        <v>1749</v>
      </c>
      <c r="AS15" s="2">
        <v>107</v>
      </c>
      <c r="AT15">
        <v>2.77248857374158E-2</v>
      </c>
      <c r="AU15">
        <v>7.8677957752448305E-2</v>
      </c>
      <c r="AV15">
        <v>0.26510584610390098</v>
      </c>
      <c r="AW15">
        <v>0.92664835919294097</v>
      </c>
      <c r="AX15">
        <v>3.7065934367717599</v>
      </c>
      <c r="AY15">
        <v>14.826373747087001</v>
      </c>
      <c r="BA15">
        <v>2.7724885205644801E-2</v>
      </c>
      <c r="BB15">
        <v>0.110899540822579</v>
      </c>
      <c r="BC15">
        <v>0.44359816329031698</v>
      </c>
      <c r="BD15">
        <v>1.7743926531612599</v>
      </c>
      <c r="BE15">
        <v>7.0975706126450699</v>
      </c>
      <c r="BF15">
        <v>28.390282450580202</v>
      </c>
    </row>
    <row r="16" spans="1:58" x14ac:dyDescent="0.25">
      <c r="A16" s="2">
        <v>162</v>
      </c>
      <c r="B16" s="2">
        <v>45</v>
      </c>
      <c r="C16" s="2">
        <v>54.05</v>
      </c>
      <c r="D16" s="2">
        <v>10</v>
      </c>
      <c r="E16" s="27">
        <v>2.2481115003792299E-2</v>
      </c>
      <c r="F16" s="27">
        <v>9.1860908476934702E-3</v>
      </c>
      <c r="G16" s="27">
        <v>5.26397191560033E-3</v>
      </c>
      <c r="H16" s="30">
        <v>0</v>
      </c>
      <c r="I16" s="8">
        <v>8</v>
      </c>
      <c r="J16" s="8">
        <v>40</v>
      </c>
      <c r="K16" s="8">
        <v>121</v>
      </c>
      <c r="L16" s="8">
        <v>631</v>
      </c>
      <c r="M16" s="29">
        <v>1881</v>
      </c>
      <c r="O16" s="7">
        <v>1.2</v>
      </c>
      <c r="P16" s="3">
        <v>32</v>
      </c>
      <c r="Q16" s="3">
        <v>44.2</v>
      </c>
      <c r="R16" s="3">
        <v>20</v>
      </c>
      <c r="S16" s="26">
        <v>1.0890800850407899E-2</v>
      </c>
      <c r="T16" s="26">
        <v>4.8212415579803897E-3</v>
      </c>
      <c r="U16" s="26">
        <v>4.1135640493545804E-3</v>
      </c>
      <c r="V16" s="30">
        <v>0</v>
      </c>
      <c r="W16" s="8">
        <v>1</v>
      </c>
      <c r="X16" s="8">
        <v>11</v>
      </c>
      <c r="Y16" s="8">
        <v>103</v>
      </c>
      <c r="Z16" s="8">
        <v>972</v>
      </c>
      <c r="AA16" s="29">
        <v>3501</v>
      </c>
      <c r="AC16" s="7">
        <v>2.1</v>
      </c>
      <c r="AD16" s="3">
        <v>45</v>
      </c>
      <c r="AE16" s="3">
        <v>52.94</v>
      </c>
      <c r="AF16" s="3">
        <v>20</v>
      </c>
      <c r="AG16" s="26">
        <v>3.5345925929864103E-2</v>
      </c>
      <c r="AH16" s="26">
        <v>7.8507383881498607E-3</v>
      </c>
      <c r="AI16" s="26">
        <v>4.0069409325786598E-3</v>
      </c>
      <c r="AJ16" s="30">
        <v>0</v>
      </c>
      <c r="AK16" s="8">
        <v>11</v>
      </c>
      <c r="AL16" s="8">
        <v>56</v>
      </c>
      <c r="AM16" s="8">
        <v>204</v>
      </c>
      <c r="AN16" s="8">
        <v>1215</v>
      </c>
      <c r="AO16" s="29">
        <v>3424</v>
      </c>
      <c r="AS16" s="2">
        <v>162</v>
      </c>
      <c r="AU16">
        <v>7.7959153032395798E-2</v>
      </c>
      <c r="AV16">
        <v>0.24135454645261201</v>
      </c>
      <c r="AW16">
        <v>0.62231226944989104</v>
      </c>
      <c r="AX16">
        <v>2.3516392566763402</v>
      </c>
      <c r="AY16">
        <v>9.4065570267053804</v>
      </c>
      <c r="BB16">
        <v>8.9924460015169197E-2</v>
      </c>
      <c r="BC16">
        <v>0.35969784006067601</v>
      </c>
      <c r="BD16">
        <v>1.4387913602427</v>
      </c>
      <c r="BE16">
        <v>5.7551654409708304</v>
      </c>
      <c r="BF16">
        <v>23.0206617638833</v>
      </c>
    </row>
    <row r="17" spans="1:58" x14ac:dyDescent="0.25">
      <c r="A17" s="2">
        <v>159</v>
      </c>
      <c r="B17" s="2">
        <v>45</v>
      </c>
      <c r="C17" s="2">
        <v>54.11</v>
      </c>
      <c r="D17" s="2">
        <v>15</v>
      </c>
      <c r="E17" s="27">
        <v>1.09573532088619E-2</v>
      </c>
      <c r="F17" s="27">
        <v>4.9905746416529098E-3</v>
      </c>
      <c r="G17" s="27">
        <v>4.5767283517164602E-3</v>
      </c>
      <c r="H17" s="30">
        <v>0</v>
      </c>
      <c r="I17" s="8">
        <v>0</v>
      </c>
      <c r="J17" s="8">
        <v>11</v>
      </c>
      <c r="K17" s="8">
        <v>72</v>
      </c>
      <c r="L17" s="8">
        <v>777</v>
      </c>
      <c r="M17" s="29">
        <v>2820</v>
      </c>
      <c r="O17" s="7">
        <v>2.2000000000000002</v>
      </c>
      <c r="P17" s="3">
        <v>45</v>
      </c>
      <c r="Q17" s="3">
        <v>54.05</v>
      </c>
      <c r="R17" s="3">
        <v>15</v>
      </c>
      <c r="S17" s="26">
        <v>2.4016207968108199E-2</v>
      </c>
      <c r="T17" s="26">
        <v>6.5149661727545603E-3</v>
      </c>
      <c r="U17" s="26">
        <v>4.26435563054003E-3</v>
      </c>
      <c r="V17" s="30">
        <v>1</v>
      </c>
      <c r="W17" s="8">
        <v>5</v>
      </c>
      <c r="X17" s="8">
        <v>26</v>
      </c>
      <c r="Y17" s="8">
        <v>112</v>
      </c>
      <c r="Z17" s="8">
        <v>811</v>
      </c>
      <c r="AA17" s="29">
        <v>2808</v>
      </c>
      <c r="AC17" s="7">
        <v>2.2999999999999998</v>
      </c>
      <c r="AD17" s="3">
        <v>45</v>
      </c>
      <c r="AE17" s="3">
        <v>54.11</v>
      </c>
      <c r="AF17" s="3">
        <v>10</v>
      </c>
      <c r="AG17" s="26">
        <v>1.9422121419342901E-2</v>
      </c>
      <c r="AH17" s="26">
        <v>7.5773751595888898E-3</v>
      </c>
      <c r="AI17" s="26">
        <v>5.3544304928017398E-3</v>
      </c>
      <c r="AJ17" s="30">
        <v>0</v>
      </c>
      <c r="AK17" s="8">
        <v>3</v>
      </c>
      <c r="AL17" s="8">
        <v>28</v>
      </c>
      <c r="AM17" s="8">
        <v>147</v>
      </c>
      <c r="AN17" s="8">
        <v>700</v>
      </c>
      <c r="AO17" s="29">
        <v>1838</v>
      </c>
      <c r="AS17" s="2">
        <v>159</v>
      </c>
      <c r="AV17">
        <v>0.12254395097085501</v>
      </c>
      <c r="AW17">
        <v>0.35900970208783201</v>
      </c>
      <c r="AX17">
        <v>1.2775871078584</v>
      </c>
      <c r="AY17">
        <v>5.1103484314336303</v>
      </c>
      <c r="BC17">
        <v>0.175317651341791</v>
      </c>
      <c r="BD17">
        <v>0.70127060536716501</v>
      </c>
      <c r="BE17">
        <v>2.80508242146866</v>
      </c>
      <c r="BF17">
        <v>11.220329685874599</v>
      </c>
    </row>
    <row r="18" spans="1:58" x14ac:dyDescent="0.25">
      <c r="A18" s="2">
        <v>35</v>
      </c>
      <c r="B18" s="2">
        <v>45</v>
      </c>
      <c r="C18" s="2">
        <v>64.849999999999994</v>
      </c>
      <c r="D18" s="2">
        <v>6</v>
      </c>
      <c r="E18" s="27">
        <v>2.2279504588702301E-2</v>
      </c>
      <c r="F18" s="27">
        <v>9.4453501582737708E-3</v>
      </c>
      <c r="G18" s="27">
        <v>6.3512880877902899E-3</v>
      </c>
      <c r="H18" s="30">
        <v>0</v>
      </c>
      <c r="I18" s="8">
        <v>6</v>
      </c>
      <c r="J18" s="8">
        <v>24</v>
      </c>
      <c r="K18" s="8">
        <v>103</v>
      </c>
      <c r="L18" s="8">
        <v>418</v>
      </c>
      <c r="M18" s="29">
        <v>1139</v>
      </c>
      <c r="O18" s="7">
        <v>3.2</v>
      </c>
      <c r="P18" s="3">
        <v>64</v>
      </c>
      <c r="Q18" s="3">
        <v>86.98</v>
      </c>
      <c r="R18" s="3">
        <v>15</v>
      </c>
      <c r="S18" s="26">
        <v>5.1502950973667999E-2</v>
      </c>
      <c r="T18" s="26">
        <v>1.37528556522491E-2</v>
      </c>
      <c r="U18" s="26">
        <v>4.5700514622563203E-3</v>
      </c>
      <c r="V18" s="30">
        <v>2</v>
      </c>
      <c r="W18" s="8">
        <v>30</v>
      </c>
      <c r="X18" s="8">
        <v>110</v>
      </c>
      <c r="Y18" s="8">
        <v>279</v>
      </c>
      <c r="Z18" s="8">
        <v>1032</v>
      </c>
      <c r="AA18" s="29">
        <v>2570</v>
      </c>
      <c r="AC18" s="7">
        <v>3.1</v>
      </c>
      <c r="AD18" s="3">
        <v>64</v>
      </c>
      <c r="AE18" s="3">
        <v>84.98</v>
      </c>
      <c r="AF18" s="3">
        <v>20</v>
      </c>
      <c r="AG18" s="26">
        <v>0.12653412852816501</v>
      </c>
      <c r="AH18" s="26">
        <v>1.5222331559222001E-2</v>
      </c>
      <c r="AI18" s="26">
        <v>4.5052689799184196E-3</v>
      </c>
      <c r="AJ18" s="30">
        <v>10</v>
      </c>
      <c r="AK18" s="8">
        <v>38</v>
      </c>
      <c r="AL18" s="8">
        <v>113</v>
      </c>
      <c r="AM18" s="8">
        <v>312</v>
      </c>
      <c r="AN18" s="8">
        <v>1212</v>
      </c>
      <c r="AO18" s="29">
        <v>3306</v>
      </c>
      <c r="AS18" s="2">
        <v>35</v>
      </c>
      <c r="AU18">
        <v>7.2703926665255297E-2</v>
      </c>
      <c r="AV18">
        <v>0.21382124817687001</v>
      </c>
      <c r="AW18">
        <v>0.60450240905165797</v>
      </c>
      <c r="AX18">
        <v>2.4180096362066301</v>
      </c>
      <c r="AY18">
        <v>9.6720385448265294</v>
      </c>
      <c r="BB18">
        <v>8.9118018354809397E-2</v>
      </c>
      <c r="BC18">
        <v>0.35647207341923698</v>
      </c>
      <c r="BD18">
        <v>1.4258882936769499</v>
      </c>
      <c r="BE18">
        <v>5.7035531747077997</v>
      </c>
      <c r="BF18">
        <v>22.814212698831199</v>
      </c>
    </row>
    <row r="19" spans="1:58" x14ac:dyDescent="0.25">
      <c r="A19" s="2">
        <v>69</v>
      </c>
      <c r="B19" s="2">
        <v>32</v>
      </c>
      <c r="C19" s="2"/>
      <c r="D19" s="2">
        <v>4</v>
      </c>
      <c r="E19" s="27">
        <v>1.0897008883362201E-2</v>
      </c>
      <c r="F19" s="27">
        <v>7.27047978157239E-3</v>
      </c>
      <c r="G19" s="27">
        <v>6.8585843273274603E-3</v>
      </c>
      <c r="H19" s="30">
        <v>0</v>
      </c>
      <c r="I19" s="8">
        <v>1</v>
      </c>
      <c r="J19" s="8">
        <v>12</v>
      </c>
      <c r="K19" s="8">
        <v>57</v>
      </c>
      <c r="L19" s="8">
        <v>275</v>
      </c>
      <c r="M19" s="29">
        <v>830</v>
      </c>
      <c r="O19" s="7">
        <v>3.3</v>
      </c>
      <c r="P19" s="3">
        <v>64</v>
      </c>
      <c r="Q19" s="3">
        <v>87.98</v>
      </c>
      <c r="R19" s="3">
        <v>20</v>
      </c>
      <c r="S19" s="26">
        <v>5.04335454776157E-2</v>
      </c>
      <c r="T19" s="26">
        <v>9.8602655911611495E-3</v>
      </c>
      <c r="U19" s="26">
        <v>4.3864038070395503E-3</v>
      </c>
      <c r="V19" s="30">
        <v>4</v>
      </c>
      <c r="W19" s="8">
        <v>20</v>
      </c>
      <c r="X19" s="8">
        <v>68</v>
      </c>
      <c r="Y19" s="8">
        <v>245</v>
      </c>
      <c r="Z19" s="8">
        <v>1155</v>
      </c>
      <c r="AA19" s="29">
        <v>3356</v>
      </c>
      <c r="AC19" s="7">
        <v>4.2</v>
      </c>
      <c r="AD19" s="3">
        <v>90</v>
      </c>
      <c r="AE19" s="3">
        <v>127.22</v>
      </c>
      <c r="AF19" s="3">
        <v>20</v>
      </c>
      <c r="AG19" s="26">
        <v>4.1669974213015902E-2</v>
      </c>
      <c r="AH19" s="26">
        <v>9.9725509064199202E-3</v>
      </c>
      <c r="AI19" s="26">
        <v>6.2822795747625101E-3</v>
      </c>
      <c r="AJ19" s="30">
        <v>0</v>
      </c>
      <c r="AK19" s="8">
        <v>15</v>
      </c>
      <c r="AL19" s="8">
        <v>82</v>
      </c>
      <c r="AM19" s="8">
        <v>353</v>
      </c>
      <c r="AN19" s="8">
        <v>1394</v>
      </c>
      <c r="AO19" s="29">
        <v>3355</v>
      </c>
      <c r="AS19" s="2">
        <v>69</v>
      </c>
      <c r="AU19">
        <v>4.3588035701968897E-2</v>
      </c>
      <c r="AV19">
        <v>0.13106034882425699</v>
      </c>
      <c r="AW19">
        <v>0.52424139529702896</v>
      </c>
      <c r="AX19">
        <v>1.86124282879616</v>
      </c>
      <c r="AY19">
        <v>7.4449713151846701</v>
      </c>
      <c r="BB19">
        <v>4.3588035533449102E-2</v>
      </c>
      <c r="BC19">
        <v>0.17435214213379599</v>
      </c>
      <c r="BD19">
        <v>0.69740856853518496</v>
      </c>
      <c r="BE19">
        <v>2.7896342741407398</v>
      </c>
      <c r="BF19">
        <v>11.158537096562901</v>
      </c>
    </row>
    <row r="20" spans="1:58" x14ac:dyDescent="0.25">
      <c r="A20" s="2">
        <v>85</v>
      </c>
      <c r="B20" s="2">
        <v>32</v>
      </c>
      <c r="C20" s="2">
        <v>43.73</v>
      </c>
      <c r="D20" s="2">
        <v>6</v>
      </c>
      <c r="E20" s="27">
        <v>1.13162316396569E-2</v>
      </c>
      <c r="F20" s="27">
        <v>6.77105129691932E-3</v>
      </c>
      <c r="G20" s="27">
        <v>5.0494700428746703E-3</v>
      </c>
      <c r="H20" s="30">
        <v>0</v>
      </c>
      <c r="I20" s="8">
        <v>1</v>
      </c>
      <c r="J20" s="8">
        <v>17</v>
      </c>
      <c r="K20" s="8">
        <v>76</v>
      </c>
      <c r="L20" s="8">
        <v>328</v>
      </c>
      <c r="M20" s="29">
        <v>1228</v>
      </c>
      <c r="O20" s="7">
        <v>4.0999999999999996</v>
      </c>
      <c r="P20" s="3">
        <v>90</v>
      </c>
      <c r="Q20" s="3">
        <v>108.42</v>
      </c>
      <c r="R20" s="3">
        <v>15</v>
      </c>
      <c r="S20" s="26">
        <v>9.6840712231762202E-2</v>
      </c>
      <c r="T20" s="26">
        <v>2.94139388502281E-2</v>
      </c>
      <c r="U20" s="26">
        <v>9.5407724532447606E-3</v>
      </c>
      <c r="V20" s="30">
        <v>12</v>
      </c>
      <c r="W20" s="8">
        <v>61</v>
      </c>
      <c r="X20" s="8">
        <v>187</v>
      </c>
      <c r="Y20" s="8">
        <v>490</v>
      </c>
      <c r="Z20" s="8">
        <v>1019</v>
      </c>
      <c r="AA20" s="29">
        <v>2258</v>
      </c>
      <c r="AC20" s="7">
        <v>4.3</v>
      </c>
      <c r="AD20" s="3">
        <v>90</v>
      </c>
      <c r="AE20" s="3">
        <v>91.54</v>
      </c>
      <c r="AF20" s="3">
        <v>20</v>
      </c>
      <c r="AG20" s="26">
        <v>6.5041528765672305E-2</v>
      </c>
      <c r="AH20" s="26">
        <v>1.5521667521925899E-2</v>
      </c>
      <c r="AI20" s="26">
        <v>9.3037999635866304E-3</v>
      </c>
      <c r="AJ20" s="30">
        <v>6</v>
      </c>
      <c r="AK20" s="8">
        <v>32</v>
      </c>
      <c r="AL20" s="8">
        <v>142</v>
      </c>
      <c r="AM20" s="8">
        <v>419</v>
      </c>
      <c r="AN20" s="8">
        <v>1531</v>
      </c>
      <c r="AO20" s="29">
        <v>3286</v>
      </c>
      <c r="AS20" s="2">
        <v>85</v>
      </c>
      <c r="AU20">
        <v>4.5264926352280903E-2</v>
      </c>
      <c r="AV20">
        <v>0.12707267062271299</v>
      </c>
      <c r="AW20">
        <v>0.43334728234498898</v>
      </c>
      <c r="AX20">
        <v>1.7333891293799499</v>
      </c>
      <c r="AY20">
        <v>6.9335565175198299</v>
      </c>
      <c r="BB20">
        <v>4.5264926558627801E-2</v>
      </c>
      <c r="BC20">
        <v>0.18105970623451101</v>
      </c>
      <c r="BD20">
        <v>0.72423882493804503</v>
      </c>
      <c r="BE20">
        <v>2.8969552997521801</v>
      </c>
      <c r="BF20">
        <v>11.587821199008699</v>
      </c>
    </row>
    <row r="21" spans="1:58" x14ac:dyDescent="0.25">
      <c r="A21" s="2">
        <v>61</v>
      </c>
      <c r="B21" s="2">
        <v>32</v>
      </c>
      <c r="C21" s="2"/>
      <c r="D21" s="2">
        <v>6</v>
      </c>
      <c r="E21" s="27">
        <v>2.4554138346802101E-2</v>
      </c>
      <c r="F21" s="27">
        <v>8.2745106205033593E-3</v>
      </c>
      <c r="G21" s="27">
        <v>4.2829956428710502E-3</v>
      </c>
      <c r="H21" s="30">
        <v>0</v>
      </c>
      <c r="I21" s="8">
        <v>6</v>
      </c>
      <c r="J21" s="8">
        <v>27</v>
      </c>
      <c r="K21" s="8">
        <v>64</v>
      </c>
      <c r="L21" s="8">
        <v>364</v>
      </c>
      <c r="M21" s="29">
        <v>1201</v>
      </c>
      <c r="O21" s="35" t="s">
        <v>22</v>
      </c>
      <c r="P21" s="14">
        <v>90</v>
      </c>
      <c r="Q21" s="14">
        <v>113.98</v>
      </c>
      <c r="R21" s="25">
        <v>49.999977324263</v>
      </c>
      <c r="S21" s="15">
        <v>0.103785400341108</v>
      </c>
      <c r="T21" s="15">
        <v>9.3097685505032102E-3</v>
      </c>
      <c r="U21" s="15">
        <v>2.6623638531804101E-3</v>
      </c>
      <c r="V21" s="30">
        <v>7</v>
      </c>
      <c r="W21" s="8">
        <v>32</v>
      </c>
      <c r="X21" s="8">
        <v>148</v>
      </c>
      <c r="Y21" s="8">
        <v>475</v>
      </c>
      <c r="Z21" s="8">
        <v>1883</v>
      </c>
      <c r="AA21" s="29">
        <v>5866</v>
      </c>
      <c r="AC21" s="35" t="s">
        <v>24</v>
      </c>
      <c r="AD21" s="14">
        <v>90</v>
      </c>
      <c r="AE21" s="14">
        <v>108.42</v>
      </c>
      <c r="AF21" s="25">
        <v>149.999977324263</v>
      </c>
      <c r="AG21" s="15">
        <v>9.5590751489404505E-2</v>
      </c>
      <c r="AH21" s="15">
        <v>4.1750172724988703E-3</v>
      </c>
      <c r="AI21" s="15">
        <v>3.0008966016067001E-3</v>
      </c>
      <c r="AJ21" s="30">
        <v>4</v>
      </c>
      <c r="AK21" s="8">
        <v>7</v>
      </c>
      <c r="AL21" s="8">
        <v>43</v>
      </c>
      <c r="AM21" s="8">
        <v>325</v>
      </c>
      <c r="AN21" s="8">
        <v>4737</v>
      </c>
      <c r="AO21" s="29">
        <v>21140</v>
      </c>
      <c r="AS21" s="2">
        <v>61</v>
      </c>
      <c r="AU21">
        <v>6.4224427234734496E-2</v>
      </c>
      <c r="AV21">
        <v>0.22893530246709601</v>
      </c>
      <c r="AW21">
        <v>0.58198300914003198</v>
      </c>
      <c r="AX21">
        <v>2.1182747223488398</v>
      </c>
      <c r="AY21">
        <v>8.4730988893953594</v>
      </c>
      <c r="BB21">
        <v>9.8216553387208499E-2</v>
      </c>
      <c r="BC21">
        <v>0.392866213548834</v>
      </c>
      <c r="BD21">
        <v>1.57146485419533</v>
      </c>
      <c r="BE21">
        <v>6.2858594167813404</v>
      </c>
      <c r="BF21">
        <v>25.143437667125301</v>
      </c>
    </row>
    <row r="22" spans="1:58" x14ac:dyDescent="0.25">
      <c r="A22" s="2">
        <v>52</v>
      </c>
      <c r="B22" s="2">
        <v>32</v>
      </c>
      <c r="C22" s="2">
        <v>45.6</v>
      </c>
      <c r="D22" s="2">
        <v>5</v>
      </c>
      <c r="E22" s="27">
        <v>1.6195175632876601E-2</v>
      </c>
      <c r="F22" s="27">
        <v>8.7837172608482301E-3</v>
      </c>
      <c r="G22" s="27">
        <v>7.5116788153303899E-3</v>
      </c>
      <c r="H22" s="30">
        <v>0</v>
      </c>
      <c r="I22" s="8">
        <v>3</v>
      </c>
      <c r="J22" s="8">
        <v>21</v>
      </c>
      <c r="K22" s="8">
        <v>74</v>
      </c>
      <c r="L22" s="8">
        <v>395</v>
      </c>
      <c r="M22" s="29">
        <v>990</v>
      </c>
      <c r="O22" s="35" t="s">
        <v>23</v>
      </c>
      <c r="P22" s="14">
        <v>45</v>
      </c>
      <c r="Q22" s="14">
        <v>56.56</v>
      </c>
      <c r="R22" s="25">
        <v>99.999977324263</v>
      </c>
      <c r="S22" s="15">
        <v>1.7343593585544201E-2</v>
      </c>
      <c r="T22" s="15">
        <v>3.7541223526986601E-3</v>
      </c>
      <c r="U22" s="15">
        <v>3.5652204100954199E-3</v>
      </c>
      <c r="V22" s="30">
        <v>0</v>
      </c>
      <c r="W22" s="8">
        <v>3</v>
      </c>
      <c r="X22" s="8">
        <v>17</v>
      </c>
      <c r="Y22" s="8">
        <v>221</v>
      </c>
      <c r="Z22" s="8">
        <v>2965</v>
      </c>
      <c r="AA22" s="29">
        <v>14897</v>
      </c>
      <c r="AC22" s="28" t="s">
        <v>42</v>
      </c>
      <c r="AD22" s="11">
        <v>128</v>
      </c>
      <c r="AE22" s="11">
        <v>128</v>
      </c>
      <c r="AF22" s="23">
        <v>60</v>
      </c>
      <c r="AG22" s="24">
        <v>6.3874222410114402E-3</v>
      </c>
      <c r="AH22" s="24">
        <v>4.0872753866210698E-3</v>
      </c>
      <c r="AI22" s="24">
        <v>4.1324979636846596E-3</v>
      </c>
      <c r="AJ22" s="30">
        <v>0</v>
      </c>
      <c r="AK22" s="8">
        <v>0</v>
      </c>
      <c r="AL22" s="8">
        <v>0</v>
      </c>
      <c r="AM22" s="8">
        <v>32.479999999999997</v>
      </c>
      <c r="AN22" s="8">
        <v>580</v>
      </c>
      <c r="AO22" s="29">
        <v>8760.32</v>
      </c>
      <c r="AS22" s="2">
        <v>52</v>
      </c>
      <c r="AU22">
        <v>5.66060042990124E-2</v>
      </c>
      <c r="AV22">
        <v>0.173305439270318</v>
      </c>
      <c r="AW22">
        <v>0.56215790367475604</v>
      </c>
      <c r="AX22">
        <v>2.2486316146990202</v>
      </c>
      <c r="AY22">
        <v>8.9945264587960896</v>
      </c>
      <c r="BB22">
        <v>6.4780702531506598E-2</v>
      </c>
      <c r="BC22">
        <v>0.259122810126026</v>
      </c>
      <c r="BD22">
        <v>1.0364912405041</v>
      </c>
      <c r="BE22">
        <v>4.1459649620164196</v>
      </c>
      <c r="BF22">
        <v>16.5838598480656</v>
      </c>
    </row>
    <row r="23" spans="1:58" x14ac:dyDescent="0.25">
      <c r="A23" s="2">
        <v>165</v>
      </c>
      <c r="B23" s="2">
        <v>16</v>
      </c>
      <c r="C23" s="2"/>
      <c r="D23" s="2">
        <v>10</v>
      </c>
      <c r="E23" s="27">
        <v>1.06254875376059E-2</v>
      </c>
      <c r="F23" s="27">
        <v>5.3979442955963304E-3</v>
      </c>
      <c r="G23" s="27">
        <v>5.0606462291010196E-3</v>
      </c>
      <c r="H23" s="30">
        <v>0</v>
      </c>
      <c r="I23" s="8">
        <v>1</v>
      </c>
      <c r="J23" s="8">
        <v>11</v>
      </c>
      <c r="K23" s="8">
        <v>62</v>
      </c>
      <c r="L23" s="8">
        <v>607</v>
      </c>
      <c r="M23" s="29">
        <v>1911</v>
      </c>
      <c r="O23" s="36" t="s">
        <v>44</v>
      </c>
      <c r="P23" s="37">
        <v>128</v>
      </c>
      <c r="Q23" s="37">
        <v>128</v>
      </c>
      <c r="R23" s="38">
        <v>60</v>
      </c>
      <c r="S23" s="39">
        <v>3.4734349552416499E-2</v>
      </c>
      <c r="T23" s="39">
        <v>1.59772775618169E-2</v>
      </c>
      <c r="U23" s="39">
        <v>1.5617522696591399E-2</v>
      </c>
      <c r="V23" s="40">
        <v>0</v>
      </c>
      <c r="W23" s="41">
        <v>0</v>
      </c>
      <c r="X23" s="41">
        <v>69.12</v>
      </c>
      <c r="Y23" s="41">
        <v>1622.3999999999901</v>
      </c>
      <c r="Z23" s="41">
        <v>12195.84</v>
      </c>
      <c r="AA23" s="42">
        <v>18165.12</v>
      </c>
      <c r="AC23" s="36" t="s">
        <v>43</v>
      </c>
      <c r="AD23" s="37">
        <v>64</v>
      </c>
      <c r="AE23" s="37">
        <v>64</v>
      </c>
      <c r="AF23" s="38">
        <v>60</v>
      </c>
      <c r="AG23" s="39">
        <v>2.3944348715607398E-3</v>
      </c>
      <c r="AH23" s="39">
        <v>1.5049965491053801E-3</v>
      </c>
      <c r="AI23" s="39">
        <v>1.48965533935772E-3</v>
      </c>
      <c r="AJ23" s="40">
        <v>0</v>
      </c>
      <c r="AK23" s="41">
        <v>0</v>
      </c>
      <c r="AL23" s="41">
        <v>0</v>
      </c>
      <c r="AM23" s="41">
        <v>0</v>
      </c>
      <c r="AN23" s="41">
        <v>23.2</v>
      </c>
      <c r="AO23" s="42">
        <v>969.75999999999897</v>
      </c>
      <c r="AS23" s="2">
        <v>165</v>
      </c>
      <c r="AU23">
        <v>4.2501949944915698E-2</v>
      </c>
      <c r="AV23">
        <v>0.116374533955678</v>
      </c>
      <c r="AW23">
        <v>0.36853445483851999</v>
      </c>
      <c r="AX23">
        <v>1.38187374013061</v>
      </c>
      <c r="AY23">
        <v>5.5274949605224499</v>
      </c>
      <c r="BB23">
        <v>4.2501950150423698E-2</v>
      </c>
      <c r="BC23">
        <v>0.17000780060169399</v>
      </c>
      <c r="BD23">
        <v>0.68003120240677895</v>
      </c>
      <c r="BE23">
        <v>2.72012480962711</v>
      </c>
      <c r="BF23">
        <v>10.880499238508399</v>
      </c>
    </row>
    <row r="24" spans="1:58" x14ac:dyDescent="0.25">
      <c r="A24" s="2">
        <v>166</v>
      </c>
      <c r="B24" s="2">
        <v>16</v>
      </c>
      <c r="C24" s="2"/>
      <c r="D24" s="2">
        <v>10</v>
      </c>
      <c r="E24" s="27">
        <v>5.4104257016193398E-3</v>
      </c>
      <c r="F24" s="27">
        <v>4.2237913969842902E-3</v>
      </c>
      <c r="G24" s="27">
        <v>4.0412722569313003E-3</v>
      </c>
      <c r="H24" s="30">
        <v>0</v>
      </c>
      <c r="I24" s="8">
        <v>0</v>
      </c>
      <c r="J24" s="8">
        <v>2</v>
      </c>
      <c r="K24" s="8">
        <v>32</v>
      </c>
      <c r="L24" s="8">
        <v>536</v>
      </c>
      <c r="M24" s="29">
        <v>2020</v>
      </c>
      <c r="AS24" s="2">
        <v>166</v>
      </c>
      <c r="AV24">
        <v>7.8663658425102104E-2</v>
      </c>
      <c r="AW24">
        <v>0.286033381784213</v>
      </c>
      <c r="AX24">
        <v>1.08129059920596</v>
      </c>
      <c r="AY24">
        <v>4.3251623968238597</v>
      </c>
      <c r="BC24">
        <v>8.56390953438151E-2</v>
      </c>
      <c r="BD24">
        <v>0.34626724490363803</v>
      </c>
      <c r="BE24">
        <v>1.3850689796145501</v>
      </c>
      <c r="BF24">
        <v>5.5402759184582102</v>
      </c>
    </row>
    <row r="25" spans="1:58" x14ac:dyDescent="0.25">
      <c r="A25" s="2">
        <v>53</v>
      </c>
      <c r="B25" s="2">
        <v>22.6</v>
      </c>
      <c r="C25" s="2">
        <v>29.55</v>
      </c>
      <c r="D25" s="2">
        <v>15</v>
      </c>
      <c r="E25" s="27">
        <v>5.4074185586351197E-3</v>
      </c>
      <c r="F25" s="27">
        <v>3.7739188928974099E-3</v>
      </c>
      <c r="G25" s="27">
        <v>3.5257352179030601E-3</v>
      </c>
      <c r="H25" s="30">
        <v>0</v>
      </c>
      <c r="I25" s="8">
        <v>0</v>
      </c>
      <c r="J25" s="8">
        <v>2</v>
      </c>
      <c r="K25" s="8">
        <v>30</v>
      </c>
      <c r="L25" s="8">
        <v>601</v>
      </c>
      <c r="M25" s="29">
        <v>3003</v>
      </c>
      <c r="AS25" s="2">
        <v>53</v>
      </c>
      <c r="AV25">
        <v>8.5713068849887802E-2</v>
      </c>
      <c r="AW25">
        <v>0.28274257889141102</v>
      </c>
      <c r="AX25">
        <v>0.96612323561066804</v>
      </c>
      <c r="AY25">
        <v>3.8644929424426699</v>
      </c>
      <c r="BC25">
        <v>8.5713069200916994E-2</v>
      </c>
      <c r="BD25">
        <v>0.346074787752647</v>
      </c>
      <c r="BE25">
        <v>1.38429915101059</v>
      </c>
      <c r="BF25">
        <v>5.5371966040423599</v>
      </c>
    </row>
    <row r="26" spans="1:58" x14ac:dyDescent="0.25">
      <c r="A26" s="2">
        <v>45</v>
      </c>
      <c r="B26" s="2">
        <v>22.6</v>
      </c>
      <c r="C26" s="2">
        <v>22.6</v>
      </c>
      <c r="D26" s="2">
        <v>10</v>
      </c>
      <c r="E26" s="27">
        <v>6.9634801117522301E-3</v>
      </c>
      <c r="F26" s="27">
        <v>4.7306891897243297E-3</v>
      </c>
      <c r="G26" s="27">
        <v>4.5595536316889104E-3</v>
      </c>
      <c r="H26" s="30">
        <v>0</v>
      </c>
      <c r="I26" s="8">
        <v>1</v>
      </c>
      <c r="J26" s="8">
        <v>4</v>
      </c>
      <c r="K26" s="8">
        <v>51</v>
      </c>
      <c r="L26" s="8">
        <v>494</v>
      </c>
      <c r="M26" s="29">
        <v>1931</v>
      </c>
      <c r="AS26" s="2">
        <v>45</v>
      </c>
      <c r="AU26">
        <v>2.7853920384742901E-2</v>
      </c>
      <c r="AV26">
        <v>0.102227488893629</v>
      </c>
      <c r="AW26">
        <v>0.312084224737535</v>
      </c>
      <c r="AX26">
        <v>1.21105643309446</v>
      </c>
      <c r="AY26">
        <v>4.8442257323778604</v>
      </c>
      <c r="BB26">
        <v>2.7853920447008899E-2</v>
      </c>
      <c r="BC26">
        <v>0.111415681788035</v>
      </c>
      <c r="BD26">
        <v>0.445662727152142</v>
      </c>
      <c r="BE26">
        <v>1.78265090860857</v>
      </c>
      <c r="BF26">
        <v>7.13060363443428</v>
      </c>
    </row>
    <row r="27" spans="1:58" x14ac:dyDescent="0.25">
      <c r="A27" s="3">
        <v>1.1000000000000001</v>
      </c>
      <c r="B27" s="3">
        <v>32</v>
      </c>
      <c r="C27" s="3">
        <v>45.6</v>
      </c>
      <c r="D27" s="3">
        <v>20</v>
      </c>
      <c r="E27" s="26">
        <v>1.40031756933689E-2</v>
      </c>
      <c r="F27" s="26">
        <v>5.6784984243662398E-3</v>
      </c>
      <c r="G27" s="26">
        <v>4.6667095589632999E-3</v>
      </c>
      <c r="H27" s="30">
        <v>0</v>
      </c>
      <c r="I27" s="8">
        <v>1</v>
      </c>
      <c r="J27" s="8">
        <v>18</v>
      </c>
      <c r="K27" s="8">
        <v>151</v>
      </c>
      <c r="L27" s="8">
        <v>1196</v>
      </c>
      <c r="M27" s="29">
        <v>3617</v>
      </c>
      <c r="AS27" s="3">
        <v>1.1000000000000001</v>
      </c>
      <c r="AU27">
        <v>5.6012702773475899E-2</v>
      </c>
      <c r="AV27">
        <v>0.17662425401843199</v>
      </c>
      <c r="AW27">
        <v>0.371998081424883</v>
      </c>
      <c r="AX27">
        <v>1.4536955966377501</v>
      </c>
      <c r="AY27">
        <v>5.8147823865510198</v>
      </c>
      <c r="BB27">
        <v>5.6012702773475899E-2</v>
      </c>
      <c r="BC27">
        <v>0.22405081109390301</v>
      </c>
      <c r="BD27">
        <v>0.89620324437561405</v>
      </c>
      <c r="BE27">
        <v>3.58481297750245</v>
      </c>
      <c r="BF27">
        <v>14.3392519100098</v>
      </c>
    </row>
    <row r="28" spans="1:58" x14ac:dyDescent="0.25">
      <c r="A28" s="3">
        <v>1.2</v>
      </c>
      <c r="B28" s="3">
        <v>32</v>
      </c>
      <c r="C28" s="3">
        <v>44.2</v>
      </c>
      <c r="D28" s="3">
        <v>20</v>
      </c>
      <c r="E28" s="26">
        <v>1.0890800850407899E-2</v>
      </c>
      <c r="F28" s="26">
        <v>4.8212415579803897E-3</v>
      </c>
      <c r="G28" s="26">
        <v>4.1135640493545804E-3</v>
      </c>
      <c r="H28" s="30">
        <v>0</v>
      </c>
      <c r="I28" s="8">
        <v>1</v>
      </c>
      <c r="J28" s="8">
        <v>11</v>
      </c>
      <c r="K28" s="8">
        <v>103</v>
      </c>
      <c r="L28" s="8">
        <v>972</v>
      </c>
      <c r="M28" s="29">
        <v>3501</v>
      </c>
      <c r="AS28" s="3">
        <v>1.2</v>
      </c>
      <c r="AU28">
        <v>4.3563203401631702E-2</v>
      </c>
      <c r="AV28">
        <v>0.14678489544762599</v>
      </c>
      <c r="AW28">
        <v>0.32808884276820199</v>
      </c>
      <c r="AX28">
        <v>1.23423783884298</v>
      </c>
      <c r="AY28">
        <v>4.93695135537192</v>
      </c>
      <c r="BB28">
        <v>4.3563203401631702E-2</v>
      </c>
      <c r="BC28">
        <v>0.174252813606527</v>
      </c>
      <c r="BD28">
        <v>0.69701125442610801</v>
      </c>
      <c r="BE28">
        <v>2.7880450177044298</v>
      </c>
      <c r="BF28">
        <v>11.1521800708177</v>
      </c>
    </row>
    <row r="29" spans="1:58" x14ac:dyDescent="0.25">
      <c r="A29" s="3">
        <v>1.3</v>
      </c>
      <c r="B29" s="3">
        <v>32</v>
      </c>
      <c r="C29" s="3">
        <v>42.84</v>
      </c>
      <c r="D29" s="3">
        <v>10</v>
      </c>
      <c r="E29" s="26">
        <v>2.3197934886697399E-2</v>
      </c>
      <c r="F29" s="26">
        <v>9.1426900455134907E-3</v>
      </c>
      <c r="G29" s="26">
        <v>6.1375608082080103E-3</v>
      </c>
      <c r="H29" s="30">
        <v>0</v>
      </c>
      <c r="I29" s="8">
        <v>4</v>
      </c>
      <c r="J29" s="8">
        <v>35</v>
      </c>
      <c r="K29" s="8">
        <v>163</v>
      </c>
      <c r="L29" s="8">
        <v>788</v>
      </c>
      <c r="M29" s="29">
        <v>1749</v>
      </c>
      <c r="AS29" s="3">
        <v>1.3</v>
      </c>
      <c r="AU29">
        <v>9.2791739546789598E-2</v>
      </c>
      <c r="AV29">
        <v>0.222368887754927</v>
      </c>
      <c r="AW29">
        <v>0.58513216291286296</v>
      </c>
      <c r="AX29">
        <v>2.3405286516514501</v>
      </c>
      <c r="AY29">
        <v>9.3621146066058198</v>
      </c>
      <c r="BB29">
        <v>9.2791739546789598E-2</v>
      </c>
      <c r="BC29">
        <v>0.371166958187158</v>
      </c>
      <c r="BD29">
        <v>1.48466783274863</v>
      </c>
      <c r="BE29">
        <v>5.9386713309945298</v>
      </c>
      <c r="BF29">
        <v>23.754685323978102</v>
      </c>
    </row>
    <row r="30" spans="1:58" x14ac:dyDescent="0.25">
      <c r="A30" s="3">
        <v>2.1</v>
      </c>
      <c r="B30" s="3">
        <v>45</v>
      </c>
      <c r="C30" s="3">
        <v>52.94</v>
      </c>
      <c r="D30" s="3">
        <v>20</v>
      </c>
      <c r="E30" s="26">
        <v>3.5345925929864103E-2</v>
      </c>
      <c r="F30" s="26">
        <v>7.8507383881498607E-3</v>
      </c>
      <c r="G30" s="26">
        <v>4.0069409325786598E-3</v>
      </c>
      <c r="H30" s="30">
        <v>0</v>
      </c>
      <c r="I30" s="8">
        <v>11</v>
      </c>
      <c r="J30" s="8">
        <v>56</v>
      </c>
      <c r="K30" s="8">
        <v>204</v>
      </c>
      <c r="L30" s="8">
        <v>1215</v>
      </c>
      <c r="M30" s="29">
        <v>3424</v>
      </c>
      <c r="AS30" s="3">
        <v>2.1</v>
      </c>
      <c r="AU30">
        <v>8.2766257918429495E-2</v>
      </c>
      <c r="AV30">
        <v>0.28137760228112102</v>
      </c>
      <c r="AW30">
        <v>0.60837215584300797</v>
      </c>
      <c r="AX30">
        <v>2.0097890273663599</v>
      </c>
      <c r="AY30">
        <v>8.0391561094654609</v>
      </c>
      <c r="BB30">
        <v>0.14138370371945599</v>
      </c>
      <c r="BC30">
        <v>0.56553481487782498</v>
      </c>
      <c r="BD30">
        <v>2.2621392595112999</v>
      </c>
      <c r="BE30">
        <v>9.0485570380452103</v>
      </c>
      <c r="BF30">
        <v>36.194228152180798</v>
      </c>
    </row>
    <row r="31" spans="1:58" x14ac:dyDescent="0.25">
      <c r="A31" s="3">
        <v>2.2000000000000002</v>
      </c>
      <c r="B31" s="3">
        <v>45</v>
      </c>
      <c r="C31" s="3">
        <v>54.05</v>
      </c>
      <c r="D31" s="3">
        <v>15</v>
      </c>
      <c r="E31" s="26">
        <v>2.4016207968108199E-2</v>
      </c>
      <c r="F31" s="26">
        <v>6.5149661727545603E-3</v>
      </c>
      <c r="G31" s="26">
        <v>4.26435563054003E-3</v>
      </c>
      <c r="H31" s="30">
        <v>1</v>
      </c>
      <c r="I31" s="8">
        <v>5</v>
      </c>
      <c r="J31" s="8">
        <v>26</v>
      </c>
      <c r="K31" s="8">
        <v>112</v>
      </c>
      <c r="L31" s="8">
        <v>811</v>
      </c>
      <c r="M31" s="29">
        <v>2808</v>
      </c>
      <c r="AS31" s="3">
        <v>2.2000000000000002</v>
      </c>
      <c r="AT31">
        <v>2.4016207968108199E-2</v>
      </c>
      <c r="AU31">
        <v>6.1687066952672398E-2</v>
      </c>
      <c r="AV31">
        <v>0.19687478181427201</v>
      </c>
      <c r="AW31">
        <v>0.46344710039377801</v>
      </c>
      <c r="AX31">
        <v>1.6678313402251601</v>
      </c>
      <c r="AY31">
        <v>6.6713253609006697</v>
      </c>
      <c r="BA31">
        <v>2.4016207968108199E-2</v>
      </c>
      <c r="BB31">
        <v>9.6064831872432796E-2</v>
      </c>
      <c r="BC31">
        <v>0.38425932748973102</v>
      </c>
      <c r="BD31">
        <v>1.5370373099589201</v>
      </c>
      <c r="BE31">
        <v>6.1481492398356998</v>
      </c>
      <c r="BF31">
        <v>24.592596959342799</v>
      </c>
    </row>
    <row r="32" spans="1:58" x14ac:dyDescent="0.25">
      <c r="A32" s="3">
        <v>2.2999999999999998</v>
      </c>
      <c r="B32" s="3">
        <v>45</v>
      </c>
      <c r="C32" s="3">
        <v>54.11</v>
      </c>
      <c r="D32" s="3">
        <v>10</v>
      </c>
      <c r="E32" s="26">
        <v>1.9422121419342901E-2</v>
      </c>
      <c r="F32" s="26">
        <v>7.5773751595888898E-3</v>
      </c>
      <c r="G32" s="26">
        <v>5.3544304928017398E-3</v>
      </c>
      <c r="H32" s="30">
        <v>0</v>
      </c>
      <c r="I32" s="8">
        <v>3</v>
      </c>
      <c r="J32" s="8">
        <v>28</v>
      </c>
      <c r="K32" s="8">
        <v>147</v>
      </c>
      <c r="L32" s="8">
        <v>700</v>
      </c>
      <c r="M32" s="29">
        <v>1838</v>
      </c>
      <c r="AS32" s="3">
        <v>2.2999999999999998</v>
      </c>
      <c r="AU32">
        <v>6.6744949341475304E-2</v>
      </c>
      <c r="AV32">
        <v>0.16107374150092801</v>
      </c>
      <c r="AW32">
        <v>0.484952010213689</v>
      </c>
      <c r="AX32">
        <v>1.93980804085475</v>
      </c>
      <c r="AY32">
        <v>7.7592321634190196</v>
      </c>
      <c r="BB32">
        <v>7.7688485677371896E-2</v>
      </c>
      <c r="BC32">
        <v>0.31075394270948697</v>
      </c>
      <c r="BD32">
        <v>1.2430157708379499</v>
      </c>
      <c r="BE32">
        <v>4.9720630833517996</v>
      </c>
      <c r="BF32">
        <v>19.888252333407198</v>
      </c>
    </row>
    <row r="33" spans="1:58" x14ac:dyDescent="0.25">
      <c r="A33" s="3">
        <v>3.1</v>
      </c>
      <c r="B33" s="3">
        <v>64</v>
      </c>
      <c r="C33" s="3">
        <v>84.98</v>
      </c>
      <c r="D33" s="3">
        <v>20</v>
      </c>
      <c r="E33" s="26">
        <v>0.12653412852816501</v>
      </c>
      <c r="F33" s="26">
        <v>1.5222331559222001E-2</v>
      </c>
      <c r="G33" s="26">
        <v>4.5052689799184196E-3</v>
      </c>
      <c r="H33" s="30">
        <v>10</v>
      </c>
      <c r="I33" s="8">
        <v>38</v>
      </c>
      <c r="J33" s="8">
        <v>113</v>
      </c>
      <c r="K33" s="8">
        <v>312</v>
      </c>
      <c r="L33" s="8">
        <v>1212</v>
      </c>
      <c r="M33" s="29">
        <v>3306</v>
      </c>
      <c r="AS33" s="3">
        <v>3.1</v>
      </c>
      <c r="AT33">
        <v>9.5477972807156197E-2</v>
      </c>
      <c r="AU33">
        <v>0.192484405703403</v>
      </c>
      <c r="AV33">
        <v>0.54260603351381897</v>
      </c>
      <c r="AW33">
        <v>1.4445985101020999</v>
      </c>
      <c r="AX33">
        <v>3.8969168791608402</v>
      </c>
      <c r="AY33">
        <v>15.5876675166433</v>
      </c>
      <c r="BA33">
        <v>0.12653412852816501</v>
      </c>
      <c r="BB33">
        <v>0.50613651411266203</v>
      </c>
      <c r="BC33">
        <v>2.0245460564506401</v>
      </c>
      <c r="BD33">
        <v>8.0981842258025907</v>
      </c>
      <c r="BE33">
        <v>32.392736903210299</v>
      </c>
      <c r="BF33">
        <v>129.570947612841</v>
      </c>
    </row>
    <row r="34" spans="1:58" x14ac:dyDescent="0.25">
      <c r="A34" s="3">
        <v>3.2</v>
      </c>
      <c r="B34" s="3">
        <v>64</v>
      </c>
      <c r="C34" s="3">
        <v>86.98</v>
      </c>
      <c r="D34" s="3">
        <v>15</v>
      </c>
      <c r="E34" s="26">
        <v>5.1502950973667999E-2</v>
      </c>
      <c r="F34" s="26">
        <v>1.37528556522491E-2</v>
      </c>
      <c r="G34" s="26">
        <v>4.5700514622563203E-3</v>
      </c>
      <c r="H34" s="30">
        <v>2</v>
      </c>
      <c r="I34" s="8">
        <v>30</v>
      </c>
      <c r="J34" s="8">
        <v>110</v>
      </c>
      <c r="K34" s="8">
        <v>279</v>
      </c>
      <c r="L34" s="8">
        <v>1032</v>
      </c>
      <c r="M34" s="29">
        <v>2570</v>
      </c>
      <c r="AS34" s="3">
        <v>3.2</v>
      </c>
      <c r="AT34">
        <v>2.8717702047744001E-2</v>
      </c>
      <c r="AU34">
        <v>0.11587567427319601</v>
      </c>
      <c r="AV34">
        <v>0.424330918118209</v>
      </c>
      <c r="AW34">
        <v>1.0317760232201201</v>
      </c>
      <c r="AX34">
        <v>3.52073104697577</v>
      </c>
      <c r="AY34">
        <v>14.082924187903</v>
      </c>
      <c r="BA34">
        <v>3.4786896818932399E-2</v>
      </c>
      <c r="BB34">
        <v>0.206011803894672</v>
      </c>
      <c r="BC34">
        <v>0.82404721557868799</v>
      </c>
      <c r="BD34">
        <v>3.2961888623147502</v>
      </c>
      <c r="BE34">
        <v>13.184755449259001</v>
      </c>
      <c r="BF34">
        <v>52.739021797036003</v>
      </c>
    </row>
    <row r="35" spans="1:58" x14ac:dyDescent="0.25">
      <c r="A35" s="3">
        <v>3.3</v>
      </c>
      <c r="B35" s="3">
        <v>64</v>
      </c>
      <c r="C35" s="3">
        <v>87.98</v>
      </c>
      <c r="D35" s="3">
        <v>20</v>
      </c>
      <c r="E35" s="26">
        <v>5.04335454776157E-2</v>
      </c>
      <c r="F35" s="26">
        <v>9.8602655911611495E-3</v>
      </c>
      <c r="G35" s="26">
        <v>4.3864038070395503E-3</v>
      </c>
      <c r="H35" s="30">
        <v>4</v>
      </c>
      <c r="I35" s="8">
        <v>20</v>
      </c>
      <c r="J35" s="8">
        <v>68</v>
      </c>
      <c r="K35" s="8">
        <v>245</v>
      </c>
      <c r="L35" s="8">
        <v>1155</v>
      </c>
      <c r="M35" s="29">
        <v>3356</v>
      </c>
      <c r="AS35" s="3">
        <v>3.3</v>
      </c>
      <c r="AT35">
        <v>4.2099641834455401E-2</v>
      </c>
      <c r="AU35">
        <v>0.10745936765490099</v>
      </c>
      <c r="AV35">
        <v>0.342981303210388</v>
      </c>
      <c r="AW35">
        <v>0.759859641009906</v>
      </c>
      <c r="AX35">
        <v>2.5242279913372498</v>
      </c>
      <c r="AY35">
        <v>10.096911965348999</v>
      </c>
      <c r="BA35">
        <v>5.04335454776157E-2</v>
      </c>
      <c r="BB35">
        <v>0.201734181910463</v>
      </c>
      <c r="BC35">
        <v>0.80693672764185198</v>
      </c>
      <c r="BD35">
        <v>3.2277469105674101</v>
      </c>
      <c r="BE35">
        <v>12.9109876422696</v>
      </c>
      <c r="BF35">
        <v>51.643950569078498</v>
      </c>
    </row>
    <row r="36" spans="1:58" x14ac:dyDescent="0.25">
      <c r="A36" s="3">
        <v>4.0999999999999996</v>
      </c>
      <c r="B36" s="3">
        <v>90</v>
      </c>
      <c r="C36" s="3">
        <v>108.42</v>
      </c>
      <c r="D36" s="3">
        <v>15</v>
      </c>
      <c r="E36" s="26">
        <v>9.6840712231762202E-2</v>
      </c>
      <c r="F36" s="26">
        <v>2.94139388502281E-2</v>
      </c>
      <c r="G36" s="26">
        <v>9.5407724532447606E-3</v>
      </c>
      <c r="H36" s="30">
        <v>12</v>
      </c>
      <c r="I36" s="8">
        <v>61</v>
      </c>
      <c r="J36" s="8">
        <v>187</v>
      </c>
      <c r="K36" s="8">
        <v>490</v>
      </c>
      <c r="L36" s="8">
        <v>1019</v>
      </c>
      <c r="M36" s="29">
        <v>2258</v>
      </c>
      <c r="AS36" s="3">
        <v>4.0999999999999996</v>
      </c>
      <c r="AT36">
        <v>6.9669475601588704E-2</v>
      </c>
      <c r="AU36">
        <v>0.21182245741774999</v>
      </c>
      <c r="AV36">
        <v>0.71876689058186105</v>
      </c>
      <c r="AW36">
        <v>2.4352261038974299</v>
      </c>
      <c r="AX36">
        <v>7.5299683456584097</v>
      </c>
      <c r="AY36">
        <v>30.1198733826336</v>
      </c>
      <c r="BA36">
        <v>9.6840712231762202E-2</v>
      </c>
      <c r="BB36">
        <v>0.38736284892704798</v>
      </c>
      <c r="BC36">
        <v>1.5494513957081899</v>
      </c>
      <c r="BD36">
        <v>6.19780558283278</v>
      </c>
      <c r="BE36">
        <v>24.791222331331099</v>
      </c>
      <c r="BF36">
        <v>99.164889325324495</v>
      </c>
    </row>
    <row r="37" spans="1:58" x14ac:dyDescent="0.25">
      <c r="A37" s="3">
        <v>4.2</v>
      </c>
      <c r="B37" s="3">
        <v>90</v>
      </c>
      <c r="C37" s="3">
        <v>127.22</v>
      </c>
      <c r="D37" s="3">
        <v>20</v>
      </c>
      <c r="E37" s="26">
        <v>4.1669974213015902E-2</v>
      </c>
      <c r="F37" s="26">
        <v>9.9725509064199202E-3</v>
      </c>
      <c r="G37" s="26">
        <v>6.2822795747625101E-3</v>
      </c>
      <c r="H37" s="30">
        <v>0</v>
      </c>
      <c r="I37" s="8">
        <v>15</v>
      </c>
      <c r="J37" s="8">
        <v>82</v>
      </c>
      <c r="K37" s="8">
        <v>353</v>
      </c>
      <c r="L37" s="8">
        <v>1394</v>
      </c>
      <c r="M37" s="29">
        <v>3355</v>
      </c>
      <c r="AS37" s="3">
        <v>4.2</v>
      </c>
      <c r="AU37">
        <v>7.9120500982877304E-2</v>
      </c>
      <c r="AV37">
        <v>0.25286216921415</v>
      </c>
      <c r="AW37">
        <v>0.66084681493743003</v>
      </c>
      <c r="AX37">
        <v>2.5529730320435</v>
      </c>
      <c r="AY37">
        <v>10.211892128174</v>
      </c>
      <c r="BB37">
        <v>0.166679896852063</v>
      </c>
      <c r="BC37">
        <v>0.66671958740825399</v>
      </c>
      <c r="BD37">
        <v>2.6668783496330102</v>
      </c>
      <c r="BE37">
        <v>10.667513398532</v>
      </c>
      <c r="BF37">
        <v>42.670053594128298</v>
      </c>
    </row>
    <row r="38" spans="1:58" x14ac:dyDescent="0.25">
      <c r="A38" s="3">
        <v>4.3</v>
      </c>
      <c r="B38" s="3">
        <v>90</v>
      </c>
      <c r="C38" s="3">
        <v>91.54</v>
      </c>
      <c r="D38" s="3">
        <v>20</v>
      </c>
      <c r="E38" s="26">
        <v>6.5041528765672305E-2</v>
      </c>
      <c r="F38" s="26">
        <v>1.5521667521925899E-2</v>
      </c>
      <c r="G38" s="26">
        <v>9.3037999635866304E-3</v>
      </c>
      <c r="H38" s="30">
        <v>6</v>
      </c>
      <c r="I38" s="8">
        <v>32</v>
      </c>
      <c r="J38" s="8">
        <v>142</v>
      </c>
      <c r="K38" s="8">
        <v>419</v>
      </c>
      <c r="L38" s="8">
        <v>1531</v>
      </c>
      <c r="M38" s="29">
        <v>3286</v>
      </c>
      <c r="AS38" s="3">
        <v>4.3</v>
      </c>
      <c r="AT38">
        <v>6.2038722824561902E-2</v>
      </c>
      <c r="AU38">
        <v>0.13350547172294899</v>
      </c>
      <c r="AV38">
        <v>0.41039439745539202</v>
      </c>
      <c r="AW38">
        <v>1.17781242915115</v>
      </c>
      <c r="AX38">
        <v>3.97354688561304</v>
      </c>
      <c r="AY38">
        <v>15.8941875424521</v>
      </c>
      <c r="BA38">
        <v>6.5041528765672305E-2</v>
      </c>
      <c r="BB38">
        <v>0.260166115062689</v>
      </c>
      <c r="BC38">
        <v>1.04066446025075</v>
      </c>
      <c r="BD38">
        <v>4.1626578410030204</v>
      </c>
      <c r="BE38">
        <v>16.650631364012099</v>
      </c>
      <c r="BF38">
        <v>66.602525456048397</v>
      </c>
    </row>
    <row r="39" spans="1:58" x14ac:dyDescent="0.25">
      <c r="A39" s="14" t="s">
        <v>22</v>
      </c>
      <c r="B39" s="14">
        <v>90</v>
      </c>
      <c r="C39" s="14">
        <v>113.98</v>
      </c>
      <c r="D39" s="25">
        <v>49.999977324263</v>
      </c>
      <c r="E39" s="15">
        <v>0.103785400341108</v>
      </c>
      <c r="F39" s="15">
        <v>9.3097685505032102E-3</v>
      </c>
      <c r="G39" s="15">
        <v>2.6623638531804101E-3</v>
      </c>
      <c r="H39" s="30">
        <v>7</v>
      </c>
      <c r="I39" s="8">
        <v>32</v>
      </c>
      <c r="J39" s="8">
        <v>148</v>
      </c>
      <c r="K39" s="8">
        <v>475</v>
      </c>
      <c r="L39" s="8">
        <v>1883</v>
      </c>
      <c r="M39" s="29">
        <v>5866</v>
      </c>
      <c r="AS39" s="14" t="s">
        <v>22</v>
      </c>
    </row>
    <row r="40" spans="1:58" x14ac:dyDescent="0.25">
      <c r="A40" s="14" t="s">
        <v>23</v>
      </c>
      <c r="B40" s="14">
        <v>45</v>
      </c>
      <c r="C40" s="14">
        <v>56.56</v>
      </c>
      <c r="D40" s="25">
        <v>99.999977324263</v>
      </c>
      <c r="E40" s="15">
        <v>1.7343593585544201E-2</v>
      </c>
      <c r="F40" s="15">
        <v>3.7541223526986601E-3</v>
      </c>
      <c r="G40" s="15">
        <v>3.5652204100954199E-3</v>
      </c>
      <c r="H40" s="30">
        <v>0</v>
      </c>
      <c r="I40" s="8">
        <v>3</v>
      </c>
      <c r="J40" s="8">
        <v>17</v>
      </c>
      <c r="K40" s="8">
        <v>221</v>
      </c>
      <c r="L40" s="8">
        <v>2965</v>
      </c>
      <c r="M40" s="29">
        <v>14897</v>
      </c>
      <c r="AS40" s="14" t="s">
        <v>23</v>
      </c>
    </row>
    <row r="41" spans="1:58" x14ac:dyDescent="0.25">
      <c r="A41" s="14" t="s">
        <v>24</v>
      </c>
      <c r="B41" s="14">
        <v>90</v>
      </c>
      <c r="C41" s="14">
        <v>108.42</v>
      </c>
      <c r="D41" s="25">
        <v>149.999977324263</v>
      </c>
      <c r="E41" s="15">
        <v>9.5590751489404505E-2</v>
      </c>
      <c r="F41" s="15">
        <v>4.1750172724988703E-3</v>
      </c>
      <c r="G41" s="15">
        <v>3.0008966016067001E-3</v>
      </c>
      <c r="H41" s="30">
        <v>4</v>
      </c>
      <c r="I41" s="8">
        <v>7</v>
      </c>
      <c r="J41" s="8">
        <v>43</v>
      </c>
      <c r="K41" s="8">
        <v>325</v>
      </c>
      <c r="L41" s="8">
        <v>4737</v>
      </c>
      <c r="M41" s="29">
        <v>21140</v>
      </c>
      <c r="AS41" s="14" t="s">
        <v>24</v>
      </c>
    </row>
    <row r="42" spans="1:58" x14ac:dyDescent="0.25">
      <c r="A42" s="11" t="s">
        <v>42</v>
      </c>
      <c r="B42" s="11">
        <v>128</v>
      </c>
      <c r="C42" s="11">
        <v>128</v>
      </c>
      <c r="D42" s="23">
        <v>60</v>
      </c>
      <c r="E42" s="24">
        <v>6.3874222410114402E-3</v>
      </c>
      <c r="F42" s="24">
        <v>4.0872753866210698E-3</v>
      </c>
      <c r="G42" s="24">
        <v>4.1324979636846596E-3</v>
      </c>
      <c r="H42" s="30">
        <v>0</v>
      </c>
      <c r="I42" s="8">
        <v>0</v>
      </c>
      <c r="J42" s="8">
        <v>0</v>
      </c>
      <c r="K42" s="8">
        <v>32.479999999999997</v>
      </c>
      <c r="L42" s="8">
        <v>580</v>
      </c>
      <c r="M42" s="29">
        <v>8760.32</v>
      </c>
      <c r="AS42" s="11" t="s">
        <v>42</v>
      </c>
    </row>
    <row r="43" spans="1:58" x14ac:dyDescent="0.25">
      <c r="A43" s="11" t="s">
        <v>43</v>
      </c>
      <c r="B43" s="11">
        <v>64</v>
      </c>
      <c r="C43" s="11">
        <v>64</v>
      </c>
      <c r="D43" s="23">
        <v>60</v>
      </c>
      <c r="E43" s="24">
        <v>2.3944348715607398E-3</v>
      </c>
      <c r="F43" s="24">
        <v>1.5049965491053801E-3</v>
      </c>
      <c r="G43" s="24">
        <v>1.48965533935772E-3</v>
      </c>
      <c r="H43" s="30">
        <v>0</v>
      </c>
      <c r="I43" s="8">
        <v>0</v>
      </c>
      <c r="J43" s="8">
        <v>0</v>
      </c>
      <c r="K43" s="8">
        <v>0</v>
      </c>
      <c r="L43" s="8">
        <v>23.2</v>
      </c>
      <c r="M43" s="29">
        <v>969.75999999999897</v>
      </c>
      <c r="AS43" s="11" t="s">
        <v>43</v>
      </c>
    </row>
    <row r="44" spans="1:58" x14ac:dyDescent="0.25">
      <c r="A44" s="11" t="s">
        <v>44</v>
      </c>
      <c r="B44" s="11">
        <v>128</v>
      </c>
      <c r="C44" s="11">
        <v>128</v>
      </c>
      <c r="D44" s="23">
        <v>60</v>
      </c>
      <c r="E44" s="24">
        <v>3.4734349552416499E-2</v>
      </c>
      <c r="F44" s="24">
        <v>1.59772775618169E-2</v>
      </c>
      <c r="G44" s="24">
        <v>1.5617522696591399E-2</v>
      </c>
      <c r="H44" s="30">
        <v>0</v>
      </c>
      <c r="I44" s="8">
        <v>0</v>
      </c>
      <c r="J44" s="8">
        <v>69.12</v>
      </c>
      <c r="K44" s="8">
        <v>1622.3999999999901</v>
      </c>
      <c r="L44" s="8">
        <v>12195.84</v>
      </c>
      <c r="M44" s="29">
        <v>18165.12</v>
      </c>
      <c r="AS44" s="11" t="s">
        <v>44</v>
      </c>
    </row>
  </sheetData>
  <mergeCells count="1"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0307-38BE-4A59-A990-DF65022A51E1}">
  <dimension ref="B1:AC103"/>
  <sheetViews>
    <sheetView tabSelected="1" topLeftCell="F1" workbookViewId="0">
      <selection activeCell="N14" sqref="N14"/>
    </sheetView>
  </sheetViews>
  <sheetFormatPr defaultRowHeight="15" x14ac:dyDescent="0.25"/>
  <cols>
    <col min="3" max="3" width="17.42578125" customWidth="1"/>
    <col min="4" max="4" width="15.5703125" customWidth="1"/>
    <col min="5" max="5" width="13.28515625" customWidth="1"/>
    <col min="6" max="6" width="10.7109375" customWidth="1"/>
    <col min="7" max="7" width="10.42578125" customWidth="1"/>
    <col min="8" max="8" width="11.5703125" customWidth="1"/>
    <col min="9" max="10" width="10.7109375" customWidth="1"/>
    <col min="11" max="11" width="12.140625" customWidth="1"/>
    <col min="12" max="12" width="11.7109375" bestFit="1" customWidth="1"/>
    <col min="13" max="13" width="13.28515625" customWidth="1"/>
    <col min="14" max="14" width="13.140625" customWidth="1"/>
  </cols>
  <sheetData>
    <row r="1" spans="2:29" x14ac:dyDescent="0.25">
      <c r="B1" t="s">
        <v>70</v>
      </c>
      <c r="D1" s="75" t="s">
        <v>73</v>
      </c>
      <c r="E1" s="76"/>
      <c r="F1" s="76"/>
      <c r="G1" s="76"/>
      <c r="H1" s="76"/>
      <c r="I1" s="78"/>
      <c r="J1" s="75" t="s">
        <v>73</v>
      </c>
      <c r="K1" s="76"/>
      <c r="L1" s="76"/>
      <c r="M1" s="76"/>
      <c r="N1" s="76"/>
      <c r="O1" s="78"/>
      <c r="P1" s="68"/>
    </row>
    <row r="2" spans="2:29" x14ac:dyDescent="0.25">
      <c r="D2" s="75" t="s">
        <v>77</v>
      </c>
      <c r="E2" s="76"/>
      <c r="F2" s="76"/>
      <c r="G2" s="76" t="s">
        <v>78</v>
      </c>
      <c r="H2" s="76"/>
      <c r="I2" s="78"/>
      <c r="J2" s="75" t="s">
        <v>77</v>
      </c>
      <c r="K2" s="76"/>
      <c r="L2" s="76"/>
      <c r="M2" s="76" t="s">
        <v>78</v>
      </c>
      <c r="N2" s="76"/>
      <c r="O2" s="78"/>
      <c r="P2" s="68" t="s">
        <v>80</v>
      </c>
    </row>
    <row r="3" spans="2:29" x14ac:dyDescent="0.25">
      <c r="C3" s="1" t="s">
        <v>71</v>
      </c>
      <c r="D3" s="5" t="s">
        <v>74</v>
      </c>
      <c r="E3" s="1" t="s">
        <v>75</v>
      </c>
      <c r="F3" s="1" t="s">
        <v>76</v>
      </c>
      <c r="G3" s="1" t="s">
        <v>74</v>
      </c>
      <c r="H3" s="1" t="s">
        <v>75</v>
      </c>
      <c r="I3" s="6" t="s">
        <v>76</v>
      </c>
      <c r="J3" s="5" t="s">
        <v>74</v>
      </c>
      <c r="K3" s="1" t="s">
        <v>75</v>
      </c>
      <c r="L3" s="1" t="s">
        <v>76</v>
      </c>
      <c r="M3" s="1" t="s">
        <v>74</v>
      </c>
      <c r="N3" s="1" t="s">
        <v>75</v>
      </c>
      <c r="O3" s="6" t="s">
        <v>76</v>
      </c>
      <c r="P3" s="1" t="s">
        <v>79</v>
      </c>
    </row>
    <row r="4" spans="2:29" x14ac:dyDescent="0.25">
      <c r="B4" s="12" t="s">
        <v>42</v>
      </c>
      <c r="C4" s="12">
        <v>128</v>
      </c>
      <c r="D4" s="5">
        <v>128</v>
      </c>
      <c r="E4" s="1">
        <v>128</v>
      </c>
      <c r="F4" s="1">
        <v>128</v>
      </c>
      <c r="G4" s="1">
        <v>64</v>
      </c>
      <c r="H4" s="1">
        <v>128</v>
      </c>
      <c r="I4" s="6">
        <v>128</v>
      </c>
      <c r="J4" s="5">
        <v>45</v>
      </c>
      <c r="K4" s="1">
        <v>90</v>
      </c>
      <c r="L4" s="1">
        <v>90</v>
      </c>
      <c r="M4" s="1">
        <v>45</v>
      </c>
      <c r="N4" s="1">
        <v>45</v>
      </c>
      <c r="O4" s="6">
        <v>90</v>
      </c>
      <c r="P4" s="1">
        <v>90</v>
      </c>
    </row>
    <row r="5" spans="2:29" x14ac:dyDescent="0.25">
      <c r="B5" s="12" t="s">
        <v>43</v>
      </c>
      <c r="C5" s="12">
        <v>64</v>
      </c>
      <c r="D5" s="5">
        <v>64</v>
      </c>
      <c r="E5" s="1">
        <v>128</v>
      </c>
      <c r="F5" s="1">
        <v>128</v>
      </c>
      <c r="G5" s="1">
        <v>32</v>
      </c>
      <c r="H5" s="1">
        <v>45</v>
      </c>
      <c r="I5" s="6">
        <v>128</v>
      </c>
      <c r="J5" s="5">
        <v>64</v>
      </c>
      <c r="K5" s="1">
        <v>64</v>
      </c>
      <c r="L5" s="1">
        <v>128</v>
      </c>
      <c r="M5" s="1">
        <v>32</v>
      </c>
      <c r="N5" s="1">
        <v>45</v>
      </c>
      <c r="O5" s="6">
        <v>64</v>
      </c>
      <c r="P5" s="1">
        <v>45</v>
      </c>
    </row>
    <row r="6" spans="2:29" x14ac:dyDescent="0.25">
      <c r="B6" s="12" t="s">
        <v>44</v>
      </c>
      <c r="C6" s="12">
        <v>128</v>
      </c>
      <c r="D6" s="5">
        <v>128</v>
      </c>
      <c r="E6" s="1">
        <v>128</v>
      </c>
      <c r="F6" s="1">
        <v>128</v>
      </c>
      <c r="G6" s="1">
        <v>45</v>
      </c>
      <c r="H6" s="1">
        <v>32</v>
      </c>
      <c r="I6" s="6">
        <v>128</v>
      </c>
      <c r="J6" s="5">
        <v>64</v>
      </c>
      <c r="K6" s="1">
        <v>128</v>
      </c>
      <c r="L6" s="1">
        <v>128</v>
      </c>
      <c r="M6" s="1">
        <v>64</v>
      </c>
      <c r="N6" s="1">
        <v>32</v>
      </c>
      <c r="O6" s="6">
        <v>32</v>
      </c>
      <c r="P6" s="1">
        <v>64</v>
      </c>
    </row>
    <row r="7" spans="2:29" x14ac:dyDescent="0.25">
      <c r="B7" s="85" t="s">
        <v>72</v>
      </c>
      <c r="C7" s="85">
        <v>128</v>
      </c>
      <c r="D7" s="5">
        <v>128</v>
      </c>
      <c r="E7" s="85">
        <v>128</v>
      </c>
      <c r="F7" s="85">
        <v>128</v>
      </c>
      <c r="G7" s="85">
        <v>32</v>
      </c>
      <c r="H7" s="85">
        <v>45</v>
      </c>
      <c r="I7" s="6">
        <v>128</v>
      </c>
      <c r="J7" s="5">
        <v>128</v>
      </c>
      <c r="K7" s="85">
        <v>128</v>
      </c>
      <c r="L7" s="85">
        <v>128</v>
      </c>
      <c r="M7" s="85">
        <v>128</v>
      </c>
      <c r="N7" s="85">
        <v>64</v>
      </c>
      <c r="O7" s="6">
        <v>32</v>
      </c>
      <c r="P7" s="85">
        <v>128</v>
      </c>
    </row>
    <row r="8" spans="2:29" x14ac:dyDescent="0.25">
      <c r="B8" s="85" t="s">
        <v>100</v>
      </c>
      <c r="C8" s="85">
        <v>128</v>
      </c>
      <c r="D8" s="85">
        <v>128</v>
      </c>
      <c r="E8" s="85">
        <v>128</v>
      </c>
      <c r="F8" s="85">
        <v>128</v>
      </c>
      <c r="G8" s="85">
        <v>90</v>
      </c>
      <c r="H8" s="85">
        <v>128</v>
      </c>
      <c r="I8" s="85">
        <v>128</v>
      </c>
      <c r="J8" s="85">
        <v>128</v>
      </c>
      <c r="K8" s="85">
        <v>128</v>
      </c>
      <c r="L8" s="85">
        <v>128</v>
      </c>
      <c r="M8" s="85">
        <v>64</v>
      </c>
      <c r="N8" s="85">
        <v>45</v>
      </c>
      <c r="O8" s="85">
        <v>128</v>
      </c>
      <c r="P8" s="85">
        <v>128</v>
      </c>
    </row>
    <row r="10" spans="2:29" x14ac:dyDescent="0.25">
      <c r="B10" s="59"/>
      <c r="C10" s="69"/>
      <c r="D10" s="74" t="s">
        <v>64</v>
      </c>
      <c r="E10" s="74"/>
      <c r="F10" s="74"/>
      <c r="G10" s="74" t="s">
        <v>65</v>
      </c>
      <c r="H10" s="74"/>
      <c r="I10" s="74"/>
      <c r="J10" s="74" t="s">
        <v>66</v>
      </c>
      <c r="K10" s="74"/>
      <c r="L10" s="74"/>
      <c r="M10" s="69"/>
      <c r="N10" s="70"/>
      <c r="R10" s="1" t="s">
        <v>93</v>
      </c>
      <c r="S10" s="1"/>
      <c r="T10" s="1" t="s">
        <v>91</v>
      </c>
      <c r="U10" s="1"/>
      <c r="V10" s="1" t="s">
        <v>94</v>
      </c>
      <c r="W10" s="1" t="s">
        <v>95</v>
      </c>
      <c r="Y10" s="1" t="s">
        <v>96</v>
      </c>
      <c r="Z10" s="1" t="s">
        <v>97</v>
      </c>
      <c r="AB10" s="1" t="s">
        <v>98</v>
      </c>
    </row>
    <row r="11" spans="2:29" x14ac:dyDescent="0.25">
      <c r="B11" s="53"/>
      <c r="C11" s="80" t="s">
        <v>26</v>
      </c>
      <c r="D11" s="81" t="s">
        <v>41</v>
      </c>
      <c r="E11" s="81" t="s">
        <v>40</v>
      </c>
      <c r="F11" s="21" t="s">
        <v>39</v>
      </c>
      <c r="G11" s="21" t="s">
        <v>41</v>
      </c>
      <c r="H11" s="21" t="s">
        <v>40</v>
      </c>
      <c r="I11" s="21" t="s">
        <v>39</v>
      </c>
      <c r="J11" s="79" t="s">
        <v>41</v>
      </c>
      <c r="K11" s="21" t="s">
        <v>40</v>
      </c>
      <c r="L11" s="21" t="s">
        <v>39</v>
      </c>
      <c r="M11" s="80" t="s">
        <v>68</v>
      </c>
      <c r="N11" s="83" t="s">
        <v>67</v>
      </c>
      <c r="R11" s="12" t="s">
        <v>42</v>
      </c>
      <c r="S11" s="10">
        <f>AVERAGE(S21,S42,S63,S92,S99)</f>
        <v>4.2582264965200256</v>
      </c>
      <c r="T11" s="10">
        <f>_xlfn.STDEV.P(S21,S42,S63,S92,S99)</f>
        <v>1.1674326558619781</v>
      </c>
      <c r="U11" s="10">
        <f>_xlfn.STDEV.S(S21,S42,S63,S92,S99)</f>
        <v>1.3052293888302506</v>
      </c>
      <c r="V11" s="10">
        <f>MIN(S21,S42,S63,S92,S99)</f>
        <v>2.2442658025967512</v>
      </c>
      <c r="W11" s="10">
        <f>MAX(S21,S42,S63,S92,S99)</f>
        <v>5.854134009419381</v>
      </c>
      <c r="Y11" s="1">
        <v>27</v>
      </c>
      <c r="Z11" s="10">
        <f>S11</f>
        <v>4.2582264965200256</v>
      </c>
      <c r="AB11">
        <v>2022</v>
      </c>
      <c r="AC11" s="16">
        <f>AVERAGE(Z11:Z12)</f>
        <v>11.483468558073355</v>
      </c>
    </row>
    <row r="12" spans="2:29" x14ac:dyDescent="0.25">
      <c r="B12" s="71" t="s">
        <v>42</v>
      </c>
      <c r="C12" s="18">
        <v>20.326828970179818</v>
      </c>
      <c r="D12" s="82">
        <v>0</v>
      </c>
      <c r="E12" s="82">
        <v>8.7235770181385206</v>
      </c>
      <c r="F12" s="10">
        <v>16.191244363932022</v>
      </c>
      <c r="G12" s="10">
        <v>18.016654794070547</v>
      </c>
      <c r="H12" s="10">
        <v>24.846415036386741</v>
      </c>
      <c r="I12" s="10">
        <v>42.234620416192008</v>
      </c>
      <c r="J12" s="19">
        <v>13.787326381005839</v>
      </c>
      <c r="K12" s="10">
        <v>13.899998366222087</v>
      </c>
      <c r="L12" s="10">
        <v>24.587449440053295</v>
      </c>
      <c r="M12" s="18">
        <v>21.449588919372982</v>
      </c>
      <c r="N12" s="84">
        <v>23.058574227506274</v>
      </c>
      <c r="R12" s="1" t="s">
        <v>72</v>
      </c>
      <c r="S12" s="10">
        <f>AVERAGE(S24,S45,S66,S95,S102)</f>
        <v>18.708710619626686</v>
      </c>
      <c r="T12" s="10">
        <f>_xlfn.STDEV.P(S24,S45,S66,S95,S102)</f>
        <v>19.172455495135889</v>
      </c>
      <c r="U12" s="10">
        <f>_xlfn.STDEV.S(S24,S45,S66,S95,S102)</f>
        <v>21.435456891356619</v>
      </c>
      <c r="V12" s="10">
        <f>MIN(S24,S45,S66,S95,S102)</f>
        <v>7.2321601944344858</v>
      </c>
      <c r="W12" s="10">
        <f>MAX(S24,S45,S66,S95,S102)</f>
        <v>56.99829316235752</v>
      </c>
      <c r="Y12" s="1">
        <v>38</v>
      </c>
      <c r="Z12" s="10">
        <f>S12</f>
        <v>18.708710619626686</v>
      </c>
      <c r="AB12">
        <v>2023</v>
      </c>
      <c r="AC12" s="16">
        <f>AVERAGE(Z13:Z14)</f>
        <v>7.2462676568101996</v>
      </c>
    </row>
    <row r="13" spans="2:29" x14ac:dyDescent="0.25">
      <c r="B13" s="71" t="s">
        <v>43</v>
      </c>
      <c r="C13" s="18">
        <v>11.253514007053486</v>
      </c>
      <c r="D13" s="82">
        <v>0</v>
      </c>
      <c r="E13" s="82">
        <v>0</v>
      </c>
      <c r="F13" s="10">
        <v>1.8208565296873807</v>
      </c>
      <c r="G13" s="10">
        <v>0</v>
      </c>
      <c r="H13" s="10">
        <v>6.4399714308752509</v>
      </c>
      <c r="I13" s="10">
        <v>14.35058288194206</v>
      </c>
      <c r="J13" s="19">
        <v>0</v>
      </c>
      <c r="K13" s="10">
        <v>1.8975963591862426</v>
      </c>
      <c r="L13" s="10">
        <v>2.8692708932470516</v>
      </c>
      <c r="M13" s="18">
        <v>10.419702497860031</v>
      </c>
      <c r="N13" s="84">
        <v>10.245322861770958</v>
      </c>
      <c r="R13" s="12" t="s">
        <v>43</v>
      </c>
      <c r="S13" s="10">
        <f>AVERAGE(S22,S43,S64,S93,S100)</f>
        <v>13.275072710829402</v>
      </c>
      <c r="T13" s="10">
        <f>_xlfn.STDEV.P(S22,S43,S64,S93,S100)</f>
        <v>13.604130499301515</v>
      </c>
      <c r="U13" s="10">
        <f>_xlfn.STDEV.S(S22,S43,S64,S93,S100)</f>
        <v>15.209880285608172</v>
      </c>
      <c r="V13" s="10">
        <f>MIN(S22,S43,S64,S93,S100)</f>
        <v>5.1316979769180682</v>
      </c>
      <c r="W13" s="10">
        <f>MAX(S22,S43,S64,S93,S100)</f>
        <v>40.444074501301181</v>
      </c>
      <c r="Y13" s="1">
        <v>24</v>
      </c>
      <c r="Z13" s="10">
        <f>S13</f>
        <v>13.275072710829402</v>
      </c>
      <c r="AB13" s="13" t="s">
        <v>101</v>
      </c>
      <c r="AC13" s="16">
        <f>Z16</f>
        <v>2.578988708780801</v>
      </c>
    </row>
    <row r="14" spans="2:29" x14ac:dyDescent="0.25">
      <c r="B14" s="71" t="s">
        <v>44</v>
      </c>
      <c r="C14" s="18">
        <v>56.395166976142171</v>
      </c>
      <c r="D14" s="82">
        <v>72.567417928355312</v>
      </c>
      <c r="E14" s="82">
        <v>106.16773828747354</v>
      </c>
      <c r="F14" s="10">
        <v>85.465905708754335</v>
      </c>
      <c r="G14" s="10">
        <v>84.100956134956419</v>
      </c>
      <c r="H14" s="10">
        <v>100.10876222717894</v>
      </c>
      <c r="I14" s="10">
        <v>84.195226477305326</v>
      </c>
      <c r="J14" s="19">
        <v>25.807962616030665</v>
      </c>
      <c r="K14" s="10">
        <v>22.809148264113979</v>
      </c>
      <c r="L14" s="10">
        <v>10.500112336113647</v>
      </c>
      <c r="M14" s="18">
        <v>65.377206136405107</v>
      </c>
      <c r="N14" s="84">
        <v>78.509765847126801</v>
      </c>
      <c r="R14" s="12" t="s">
        <v>44</v>
      </c>
      <c r="S14" s="10">
        <f>AVERAGE(S23,S44,S65,S94,S101)</f>
        <v>1.2174626027909965</v>
      </c>
      <c r="T14" s="10">
        <f>_xlfn.STDEV.P(S23,S44,S65,S94,S101)</f>
        <v>0.2036519751847167</v>
      </c>
      <c r="U14" s="10">
        <f>_xlfn.STDEV.S(S23,S44,S65,S94,S101)</f>
        <v>0.22768983013256303</v>
      </c>
      <c r="V14" s="10">
        <f>MIN(S23,S44,S65,S94,S101)</f>
        <v>1.0271430877344851</v>
      </c>
      <c r="W14" s="10">
        <f>MAX(S23,S44,S65,S94,S101)</f>
        <v>1.5566176853922928</v>
      </c>
      <c r="Y14" s="1">
        <v>7.5</v>
      </c>
      <c r="Z14" s="10">
        <f>S14</f>
        <v>1.2174626027909965</v>
      </c>
    </row>
    <row r="15" spans="2:29" x14ac:dyDescent="0.25">
      <c r="B15" s="5" t="s">
        <v>72</v>
      </c>
      <c r="C15" s="86">
        <v>11.2535140070535</v>
      </c>
      <c r="D15" s="87">
        <v>0</v>
      </c>
      <c r="E15" s="87">
        <v>0.9525030774247405</v>
      </c>
      <c r="F15" s="88">
        <v>1.8208565296873807</v>
      </c>
      <c r="G15" s="88">
        <v>0</v>
      </c>
      <c r="H15" s="88">
        <v>6.4399714308752509</v>
      </c>
      <c r="I15" s="88">
        <v>14.35058288194206</v>
      </c>
      <c r="J15" s="89">
        <v>0</v>
      </c>
      <c r="K15" s="88">
        <v>0.10988175527225597</v>
      </c>
      <c r="L15" s="88">
        <v>4.9937931115182868E-2</v>
      </c>
      <c r="M15" s="86">
        <v>10.419702497860031</v>
      </c>
      <c r="N15" s="84">
        <v>10.245322861770958</v>
      </c>
    </row>
    <row r="16" spans="2:29" x14ac:dyDescent="0.25">
      <c r="B16" s="85" t="s">
        <v>99</v>
      </c>
      <c r="C16" s="86">
        <v>38.090877401267164</v>
      </c>
      <c r="D16" s="87">
        <v>0</v>
      </c>
      <c r="E16" s="87">
        <v>67.213719960455052</v>
      </c>
      <c r="F16" s="88">
        <v>89.81692214953847</v>
      </c>
      <c r="G16" s="88">
        <v>20.018414469847663</v>
      </c>
      <c r="H16" s="88">
        <v>60.571592306793953</v>
      </c>
      <c r="I16" s="88">
        <v>67.983638265854324</v>
      </c>
      <c r="J16" s="89">
        <v>0</v>
      </c>
      <c r="K16" s="88">
        <v>8.1030197496243286</v>
      </c>
      <c r="L16" s="88">
        <v>4.5281170916063544</v>
      </c>
      <c r="M16" s="86">
        <v>31.803382016457103</v>
      </c>
      <c r="N16" s="86">
        <v>34.722356383183225</v>
      </c>
      <c r="R16" s="99" t="s">
        <v>100</v>
      </c>
      <c r="S16" s="10">
        <f>AVERAGE(S25,S46,S67,S96,S103)</f>
        <v>2.578988708780801</v>
      </c>
      <c r="T16" s="10">
        <f>_xlfn.STDEV.P(S25,S46,S67,S96,S103)</f>
        <v>0.92348482848987423</v>
      </c>
      <c r="U16" s="10">
        <f>_xlfn.STDEV.S(S25,S46,S67,S96,S103)</f>
        <v>1.0324874263465469</v>
      </c>
      <c r="V16" s="10">
        <f>MIN(S25,S46,S67,S96,S103)</f>
        <v>1.2779965238021027</v>
      </c>
      <c r="W16" s="10">
        <f>MAX(S25,S46,S67,S96,S103)</f>
        <v>3.6092298053809748</v>
      </c>
      <c r="Y16" s="1">
        <v>120</v>
      </c>
      <c r="Z16" s="10">
        <f>S16</f>
        <v>2.578988708780801</v>
      </c>
    </row>
    <row r="18" spans="2:20" x14ac:dyDescent="0.25">
      <c r="D18" s="96" t="s">
        <v>73</v>
      </c>
      <c r="E18" s="96"/>
      <c r="F18" s="96"/>
      <c r="G18" s="96"/>
      <c r="H18" s="96"/>
      <c r="I18" s="96"/>
      <c r="J18" s="96" t="s">
        <v>73</v>
      </c>
      <c r="K18" s="96"/>
      <c r="L18" s="96"/>
      <c r="M18" s="96"/>
      <c r="N18" s="96"/>
      <c r="O18" s="96"/>
    </row>
    <row r="19" spans="2:20" x14ac:dyDescent="0.25">
      <c r="B19" s="97" t="s">
        <v>26</v>
      </c>
      <c r="C19" s="97"/>
      <c r="D19" s="98" t="s">
        <v>77</v>
      </c>
      <c r="E19" s="98"/>
      <c r="F19" s="98"/>
      <c r="G19" s="98" t="s">
        <v>78</v>
      </c>
      <c r="H19" s="98"/>
      <c r="I19" s="98"/>
      <c r="J19" s="98" t="s">
        <v>77</v>
      </c>
      <c r="K19" s="98"/>
      <c r="L19" s="98"/>
      <c r="M19" s="98" t="s">
        <v>78</v>
      </c>
      <c r="N19" s="98"/>
      <c r="O19" s="98"/>
      <c r="P19" s="90"/>
    </row>
    <row r="20" spans="2:20" x14ac:dyDescent="0.25">
      <c r="B20" s="90" t="s">
        <v>81</v>
      </c>
      <c r="C20" s="85" t="s">
        <v>71</v>
      </c>
      <c r="D20" s="85" t="s">
        <v>74</v>
      </c>
      <c r="E20" s="85" t="s">
        <v>75</v>
      </c>
      <c r="F20" s="85" t="s">
        <v>76</v>
      </c>
      <c r="G20" s="85" t="s">
        <v>74</v>
      </c>
      <c r="H20" s="85" t="s">
        <v>75</v>
      </c>
      <c r="I20" s="85" t="s">
        <v>76</v>
      </c>
      <c r="J20" s="85" t="s">
        <v>74</v>
      </c>
      <c r="K20" s="85" t="s">
        <v>75</v>
      </c>
      <c r="L20" s="85" t="s">
        <v>76</v>
      </c>
      <c r="M20" s="85" t="s">
        <v>74</v>
      </c>
      <c r="N20" s="85" t="s">
        <v>75</v>
      </c>
      <c r="O20" s="85" t="s">
        <v>76</v>
      </c>
      <c r="P20" s="85" t="s">
        <v>79</v>
      </c>
      <c r="R20" s="1"/>
      <c r="S20" s="1" t="s">
        <v>92</v>
      </c>
      <c r="T20" s="1" t="s">
        <v>91</v>
      </c>
    </row>
    <row r="21" spans="2:20" x14ac:dyDescent="0.25">
      <c r="B21" s="99" t="s">
        <v>42</v>
      </c>
      <c r="C21" s="88">
        <f>C4/$C12</f>
        <v>6.2970963246545022</v>
      </c>
      <c r="D21" s="88">
        <f>D4/$C12</f>
        <v>6.2970963246545022</v>
      </c>
      <c r="E21" s="88">
        <f>E4/$C12</f>
        <v>6.2970963246545022</v>
      </c>
      <c r="F21" s="88">
        <f t="shared" ref="F21:O21" si="0">F4/$C12</f>
        <v>6.2970963246545022</v>
      </c>
      <c r="G21" s="88">
        <f t="shared" si="0"/>
        <v>3.1485481623272511</v>
      </c>
      <c r="H21" s="88">
        <f t="shared" si="0"/>
        <v>6.2970963246545022</v>
      </c>
      <c r="I21" s="88">
        <f t="shared" si="0"/>
        <v>6.2970963246545022</v>
      </c>
      <c r="J21" s="88">
        <f t="shared" si="0"/>
        <v>2.2138229266363485</v>
      </c>
      <c r="K21" s="88">
        <f t="shared" si="0"/>
        <v>4.427645853272697</v>
      </c>
      <c r="L21" s="88">
        <f t="shared" si="0"/>
        <v>4.427645853272697</v>
      </c>
      <c r="M21" s="88">
        <f t="shared" si="0"/>
        <v>2.2138229266363485</v>
      </c>
      <c r="N21" s="88">
        <f t="shared" si="0"/>
        <v>2.2138229266363485</v>
      </c>
      <c r="O21" s="88">
        <f t="shared" si="0"/>
        <v>4.427645853272697</v>
      </c>
      <c r="P21" s="88">
        <f t="shared" ref="P21" si="1">P4/$C12</f>
        <v>4.427645853272697</v>
      </c>
      <c r="R21" s="12" t="s">
        <v>42</v>
      </c>
      <c r="S21" s="10">
        <f>AVERAGE(C21:P21)</f>
        <v>4.6630841645181489</v>
      </c>
      <c r="T21" s="10">
        <f>_xlfn.STDEV.P(C21:P21)</f>
        <v>1.6153761252978607</v>
      </c>
    </row>
    <row r="22" spans="2:20" x14ac:dyDescent="0.25">
      <c r="B22" s="99" t="s">
        <v>43</v>
      </c>
      <c r="C22" s="88">
        <f>C5/$C13</f>
        <v>5.6871124841437108</v>
      </c>
      <c r="D22" s="88">
        <f t="shared" ref="D22:O22" si="2">D5/$C13</f>
        <v>5.6871124841437108</v>
      </c>
      <c r="E22" s="88">
        <f t="shared" si="2"/>
        <v>11.374224968287422</v>
      </c>
      <c r="F22" s="88">
        <f t="shared" si="2"/>
        <v>11.374224968287422</v>
      </c>
      <c r="G22" s="88">
        <f t="shared" si="2"/>
        <v>2.8435562420718554</v>
      </c>
      <c r="H22" s="88">
        <f t="shared" si="2"/>
        <v>3.9987509654135471</v>
      </c>
      <c r="I22" s="88">
        <f t="shared" si="2"/>
        <v>11.374224968287422</v>
      </c>
      <c r="J22" s="88">
        <f t="shared" si="2"/>
        <v>5.6871124841437108</v>
      </c>
      <c r="K22" s="88">
        <f t="shared" si="2"/>
        <v>5.6871124841437108</v>
      </c>
      <c r="L22" s="88">
        <f t="shared" si="2"/>
        <v>11.374224968287422</v>
      </c>
      <c r="M22" s="88">
        <f t="shared" si="2"/>
        <v>2.8435562420718554</v>
      </c>
      <c r="N22" s="88">
        <f t="shared" si="2"/>
        <v>3.9987509654135471</v>
      </c>
      <c r="O22" s="88">
        <f t="shared" si="2"/>
        <v>5.6871124841437108</v>
      </c>
      <c r="P22" s="88">
        <f t="shared" ref="P22" si="3">P5/$C13</f>
        <v>3.9987509654135471</v>
      </c>
      <c r="R22" s="12" t="s">
        <v>43</v>
      </c>
      <c r="S22" s="10">
        <f>AVERAGE(C22:P22)</f>
        <v>6.5439876910180432</v>
      </c>
      <c r="T22" s="10">
        <f>_xlfn.STDEV.P(C22:P22)</f>
        <v>3.2050966110296013</v>
      </c>
    </row>
    <row r="23" spans="2:20" x14ac:dyDescent="0.25">
      <c r="B23" s="99" t="s">
        <v>44</v>
      </c>
      <c r="C23" s="88">
        <f>C6/$C14</f>
        <v>2.2696980408649212</v>
      </c>
      <c r="D23" s="88">
        <f t="shared" ref="D23:O23" si="4">D6/$C14</f>
        <v>2.2696980408649212</v>
      </c>
      <c r="E23" s="88">
        <f t="shared" si="4"/>
        <v>2.2696980408649212</v>
      </c>
      <c r="F23" s="88">
        <f t="shared" si="4"/>
        <v>2.2696980408649212</v>
      </c>
      <c r="G23" s="88">
        <f t="shared" si="4"/>
        <v>0.79794071749157391</v>
      </c>
      <c r="H23" s="88">
        <f t="shared" si="4"/>
        <v>0.5674245102162303</v>
      </c>
      <c r="I23" s="88">
        <f t="shared" si="4"/>
        <v>2.2696980408649212</v>
      </c>
      <c r="J23" s="88">
        <f t="shared" si="4"/>
        <v>1.1348490204324606</v>
      </c>
      <c r="K23" s="88">
        <f t="shared" si="4"/>
        <v>2.2696980408649212</v>
      </c>
      <c r="L23" s="88">
        <f t="shared" si="4"/>
        <v>2.2696980408649212</v>
      </c>
      <c r="M23" s="88">
        <f t="shared" si="4"/>
        <v>1.1348490204324606</v>
      </c>
      <c r="N23" s="88">
        <f t="shared" si="4"/>
        <v>0.5674245102162303</v>
      </c>
      <c r="O23" s="88">
        <f t="shared" si="4"/>
        <v>0.5674245102162303</v>
      </c>
      <c r="P23" s="88">
        <f t="shared" ref="P23" si="5">P6/$C14</f>
        <v>1.1348490204324606</v>
      </c>
      <c r="R23" s="12" t="s">
        <v>44</v>
      </c>
      <c r="S23" s="10">
        <f>AVERAGE(C23:P23)</f>
        <v>1.5566176853922928</v>
      </c>
      <c r="T23" s="10">
        <f>_xlfn.STDEV.P(C23:P23)</f>
        <v>0.73698961655897854</v>
      </c>
    </row>
    <row r="24" spans="2:20" x14ac:dyDescent="0.25">
      <c r="B24" s="99" t="s">
        <v>72</v>
      </c>
      <c r="C24" s="88">
        <f>C7/$C15</f>
        <v>11.374224968287407</v>
      </c>
      <c r="D24" s="88">
        <f>D7/$C15</f>
        <v>11.374224968287407</v>
      </c>
      <c r="E24" s="88">
        <f>E7/$C15</f>
        <v>11.374224968287407</v>
      </c>
      <c r="F24" s="88">
        <f>F7/$C15</f>
        <v>11.374224968287407</v>
      </c>
      <c r="G24" s="88">
        <f>G7/$C15</f>
        <v>2.8435562420718519</v>
      </c>
      <c r="H24" s="88">
        <f>H7/$C15</f>
        <v>3.9987509654135418</v>
      </c>
      <c r="I24" s="88">
        <f>I7/$C15</f>
        <v>11.374224968287407</v>
      </c>
      <c r="J24" s="88">
        <f>J7/$C15</f>
        <v>11.374224968287407</v>
      </c>
      <c r="K24" s="88">
        <f>K7/$C15</f>
        <v>11.374224968287407</v>
      </c>
      <c r="L24" s="88">
        <f>L7/$C15</f>
        <v>11.374224968287407</v>
      </c>
      <c r="M24" s="88">
        <f>M7/$C15</f>
        <v>11.374224968287407</v>
      </c>
      <c r="N24" s="88">
        <f>N7/$C15</f>
        <v>5.6871124841437037</v>
      </c>
      <c r="O24" s="88">
        <f>O7/$C15</f>
        <v>2.8435562420718519</v>
      </c>
      <c r="P24" s="88">
        <f>P7/$C15</f>
        <v>11.374224968287407</v>
      </c>
      <c r="R24" s="12" t="s">
        <v>72</v>
      </c>
      <c r="S24" s="10">
        <f>AVERAGE(C24:P24)</f>
        <v>9.2225161154696433</v>
      </c>
      <c r="T24" s="10">
        <f>AVERAGE(C24:P24)</f>
        <v>9.2225161154696433</v>
      </c>
    </row>
    <row r="25" spans="2:20" x14ac:dyDescent="0.25">
      <c r="B25" s="99" t="s">
        <v>100</v>
      </c>
      <c r="C25" s="88">
        <f>C8/$C16</f>
        <v>3.3603846572392642</v>
      </c>
      <c r="D25" s="88">
        <f>D8/$C16</f>
        <v>3.3603846572392642</v>
      </c>
      <c r="E25" s="88">
        <f>E8/$C16</f>
        <v>3.3603846572392642</v>
      </c>
      <c r="F25" s="88">
        <f>F8/$C16</f>
        <v>3.3603846572392642</v>
      </c>
      <c r="G25" s="88">
        <f>G8/$C16</f>
        <v>2.3627704621213579</v>
      </c>
      <c r="H25" s="88">
        <f>H8/$C16</f>
        <v>3.3603846572392642</v>
      </c>
      <c r="I25" s="88">
        <f>I8/$C16</f>
        <v>3.3603846572392642</v>
      </c>
      <c r="J25" s="88">
        <f>J8/$C16</f>
        <v>3.3603846572392642</v>
      </c>
      <c r="K25" s="88">
        <f>K8/$C16</f>
        <v>3.3603846572392642</v>
      </c>
      <c r="L25" s="88">
        <f>L8/$C16</f>
        <v>3.3603846572392642</v>
      </c>
      <c r="M25" s="88">
        <f>M8/$C16</f>
        <v>1.6801923286196321</v>
      </c>
      <c r="N25" s="88">
        <f>N8/$C16</f>
        <v>1.1813852310606789</v>
      </c>
      <c r="O25" s="88">
        <f>O8/$C16</f>
        <v>3.3603846572392642</v>
      </c>
      <c r="P25" s="88">
        <f>P8/$C16</f>
        <v>3.3603846572392642</v>
      </c>
      <c r="R25" s="99" t="s">
        <v>100</v>
      </c>
      <c r="S25" s="10">
        <f>AVERAGE(C25:P25)</f>
        <v>3.0134699465309702</v>
      </c>
      <c r="T25" s="10">
        <f>AVERAGE(C25:P25)</f>
        <v>3.0134699465309702</v>
      </c>
    </row>
    <row r="26" spans="2:20" x14ac:dyDescent="0.25">
      <c r="B26" s="97" t="s">
        <v>84</v>
      </c>
      <c r="C26" s="97"/>
      <c r="D26" s="98" t="s">
        <v>77</v>
      </c>
      <c r="E26" s="98"/>
      <c r="F26" s="98"/>
      <c r="G26" s="98" t="s">
        <v>78</v>
      </c>
      <c r="H26" s="98"/>
      <c r="I26" s="98"/>
      <c r="J26" s="98" t="s">
        <v>77</v>
      </c>
      <c r="K26" s="98"/>
      <c r="L26" s="98"/>
      <c r="M26" s="98" t="s">
        <v>78</v>
      </c>
      <c r="N26" s="98"/>
      <c r="O26" s="98"/>
      <c r="P26" s="90"/>
    </row>
    <row r="27" spans="2:20" x14ac:dyDescent="0.25">
      <c r="B27" s="90" t="s">
        <v>81</v>
      </c>
      <c r="C27" s="85" t="s">
        <v>71</v>
      </c>
      <c r="D27" s="85" t="s">
        <v>74</v>
      </c>
      <c r="E27" s="85" t="s">
        <v>75</v>
      </c>
      <c r="F27" s="85" t="s">
        <v>76</v>
      </c>
      <c r="G27" s="85" t="s">
        <v>74</v>
      </c>
      <c r="H27" s="85" t="s">
        <v>75</v>
      </c>
      <c r="I27" s="85" t="s">
        <v>76</v>
      </c>
      <c r="J27" s="85" t="s">
        <v>74</v>
      </c>
      <c r="K27" s="85" t="s">
        <v>75</v>
      </c>
      <c r="L27" s="85" t="s">
        <v>76</v>
      </c>
      <c r="M27" s="85" t="s">
        <v>74</v>
      </c>
      <c r="N27" s="85" t="s">
        <v>75</v>
      </c>
      <c r="O27" s="85" t="s">
        <v>76</v>
      </c>
      <c r="P27" s="85" t="s">
        <v>79</v>
      </c>
      <c r="R27" s="1"/>
      <c r="S27" s="1"/>
      <c r="T27" s="1"/>
    </row>
    <row r="28" spans="2:20" x14ac:dyDescent="0.25">
      <c r="B28" s="99" t="s">
        <v>42</v>
      </c>
      <c r="C28" s="88" t="e">
        <f>C4/$D12</f>
        <v>#DIV/0!</v>
      </c>
      <c r="D28" s="88" t="e">
        <f>D4/$D12</f>
        <v>#DIV/0!</v>
      </c>
      <c r="E28" s="88" t="e">
        <f t="shared" ref="E28:P28" si="6">E4/$D12</f>
        <v>#DIV/0!</v>
      </c>
      <c r="F28" s="88" t="e">
        <f t="shared" si="6"/>
        <v>#DIV/0!</v>
      </c>
      <c r="G28" s="88" t="e">
        <f t="shared" si="6"/>
        <v>#DIV/0!</v>
      </c>
      <c r="H28" s="88" t="e">
        <f t="shared" si="6"/>
        <v>#DIV/0!</v>
      </c>
      <c r="I28" s="88" t="e">
        <f t="shared" si="6"/>
        <v>#DIV/0!</v>
      </c>
      <c r="J28" s="88" t="e">
        <f t="shared" si="6"/>
        <v>#DIV/0!</v>
      </c>
      <c r="K28" s="88" t="e">
        <f t="shared" si="6"/>
        <v>#DIV/0!</v>
      </c>
      <c r="L28" s="88" t="e">
        <f t="shared" si="6"/>
        <v>#DIV/0!</v>
      </c>
      <c r="M28" s="88" t="e">
        <f t="shared" si="6"/>
        <v>#DIV/0!</v>
      </c>
      <c r="N28" s="88" t="e">
        <f t="shared" si="6"/>
        <v>#DIV/0!</v>
      </c>
      <c r="O28" s="88" t="e">
        <f t="shared" si="6"/>
        <v>#DIV/0!</v>
      </c>
      <c r="P28" s="88" t="e">
        <f t="shared" si="6"/>
        <v>#DIV/0!</v>
      </c>
      <c r="R28" s="100"/>
      <c r="S28" s="10"/>
      <c r="T28" s="10"/>
    </row>
    <row r="29" spans="2:20" x14ac:dyDescent="0.25">
      <c r="B29" s="99" t="s">
        <v>43</v>
      </c>
      <c r="C29" s="88" t="e">
        <f>C5/$D13</f>
        <v>#DIV/0!</v>
      </c>
      <c r="D29" s="88" t="e">
        <f t="shared" ref="D29:P29" si="7">D5/$D13</f>
        <v>#DIV/0!</v>
      </c>
      <c r="E29" s="88" t="e">
        <f t="shared" si="7"/>
        <v>#DIV/0!</v>
      </c>
      <c r="F29" s="88" t="e">
        <f t="shared" si="7"/>
        <v>#DIV/0!</v>
      </c>
      <c r="G29" s="88" t="e">
        <f t="shared" si="7"/>
        <v>#DIV/0!</v>
      </c>
      <c r="H29" s="88" t="e">
        <f t="shared" si="7"/>
        <v>#DIV/0!</v>
      </c>
      <c r="I29" s="88" t="e">
        <f t="shared" si="7"/>
        <v>#DIV/0!</v>
      </c>
      <c r="J29" s="88" t="e">
        <f t="shared" si="7"/>
        <v>#DIV/0!</v>
      </c>
      <c r="K29" s="88" t="e">
        <f t="shared" si="7"/>
        <v>#DIV/0!</v>
      </c>
      <c r="L29" s="88" t="e">
        <f t="shared" si="7"/>
        <v>#DIV/0!</v>
      </c>
      <c r="M29" s="88" t="e">
        <f t="shared" si="7"/>
        <v>#DIV/0!</v>
      </c>
      <c r="N29" s="88" t="e">
        <f t="shared" si="7"/>
        <v>#DIV/0!</v>
      </c>
      <c r="O29" s="88" t="e">
        <f t="shared" si="7"/>
        <v>#DIV/0!</v>
      </c>
      <c r="P29" s="88" t="e">
        <f t="shared" si="7"/>
        <v>#DIV/0!</v>
      </c>
      <c r="R29" s="100"/>
      <c r="S29" s="10"/>
      <c r="T29" s="10"/>
    </row>
    <row r="30" spans="2:20" x14ac:dyDescent="0.25">
      <c r="B30" s="99" t="s">
        <v>44</v>
      </c>
      <c r="C30" s="88">
        <f>C6/$D14</f>
        <v>1.7638770078104806</v>
      </c>
      <c r="D30" s="88">
        <f t="shared" ref="D30:P30" si="8">D6/$D14</f>
        <v>1.7638770078104806</v>
      </c>
      <c r="E30" s="88">
        <f t="shared" si="8"/>
        <v>1.7638770078104806</v>
      </c>
      <c r="F30" s="88">
        <f t="shared" si="8"/>
        <v>1.7638770078104806</v>
      </c>
      <c r="G30" s="88">
        <f t="shared" si="8"/>
        <v>0.62011301055837209</v>
      </c>
      <c r="H30" s="88">
        <f t="shared" si="8"/>
        <v>0.44096925195262016</v>
      </c>
      <c r="I30" s="88">
        <f t="shared" si="8"/>
        <v>1.7638770078104806</v>
      </c>
      <c r="J30" s="88">
        <f t="shared" si="8"/>
        <v>0.88193850390524031</v>
      </c>
      <c r="K30" s="88">
        <f t="shared" si="8"/>
        <v>1.7638770078104806</v>
      </c>
      <c r="L30" s="88">
        <f t="shared" si="8"/>
        <v>1.7638770078104806</v>
      </c>
      <c r="M30" s="88">
        <f t="shared" si="8"/>
        <v>0.88193850390524031</v>
      </c>
      <c r="N30" s="88">
        <f t="shared" si="8"/>
        <v>0.44096925195262016</v>
      </c>
      <c r="O30" s="88">
        <f t="shared" si="8"/>
        <v>0.44096925195262016</v>
      </c>
      <c r="P30" s="88">
        <f t="shared" si="8"/>
        <v>0.88193850390524031</v>
      </c>
      <c r="R30" s="100"/>
      <c r="S30" s="10"/>
      <c r="T30" s="10"/>
    </row>
    <row r="31" spans="2:20" x14ac:dyDescent="0.25">
      <c r="B31" s="99" t="s">
        <v>72</v>
      </c>
      <c r="C31" s="88" t="e">
        <f>C7/$D15</f>
        <v>#DIV/0!</v>
      </c>
      <c r="D31" s="88" t="e">
        <f t="shared" ref="D31:P32" si="9">D7/$D15</f>
        <v>#DIV/0!</v>
      </c>
      <c r="E31" s="88" t="e">
        <f t="shared" si="9"/>
        <v>#DIV/0!</v>
      </c>
      <c r="F31" s="88" t="e">
        <f t="shared" si="9"/>
        <v>#DIV/0!</v>
      </c>
      <c r="G31" s="88" t="e">
        <f t="shared" si="9"/>
        <v>#DIV/0!</v>
      </c>
      <c r="H31" s="88" t="e">
        <f t="shared" si="9"/>
        <v>#DIV/0!</v>
      </c>
      <c r="I31" s="88" t="e">
        <f t="shared" si="9"/>
        <v>#DIV/0!</v>
      </c>
      <c r="J31" s="88" t="e">
        <f t="shared" si="9"/>
        <v>#DIV/0!</v>
      </c>
      <c r="K31" s="88" t="e">
        <f t="shared" si="9"/>
        <v>#DIV/0!</v>
      </c>
      <c r="L31" s="88" t="e">
        <f t="shared" si="9"/>
        <v>#DIV/0!</v>
      </c>
      <c r="M31" s="88" t="e">
        <f t="shared" si="9"/>
        <v>#DIV/0!</v>
      </c>
      <c r="N31" s="88" t="e">
        <f t="shared" si="9"/>
        <v>#DIV/0!</v>
      </c>
      <c r="O31" s="88" t="e">
        <f t="shared" si="9"/>
        <v>#DIV/0!</v>
      </c>
      <c r="P31" s="88" t="e">
        <f t="shared" si="9"/>
        <v>#DIV/0!</v>
      </c>
      <c r="R31" s="100"/>
      <c r="S31" s="10"/>
      <c r="T31" s="10"/>
    </row>
    <row r="32" spans="2:20" x14ac:dyDescent="0.25">
      <c r="B32" s="99" t="s">
        <v>100</v>
      </c>
      <c r="C32" s="88" t="e">
        <f>C8/$D16</f>
        <v>#DIV/0!</v>
      </c>
      <c r="D32" s="88" t="e">
        <f t="shared" si="9"/>
        <v>#DIV/0!</v>
      </c>
      <c r="E32" s="88" t="e">
        <f t="shared" si="9"/>
        <v>#DIV/0!</v>
      </c>
      <c r="F32" s="88" t="e">
        <f t="shared" si="9"/>
        <v>#DIV/0!</v>
      </c>
      <c r="G32" s="88" t="e">
        <f t="shared" si="9"/>
        <v>#DIV/0!</v>
      </c>
      <c r="H32" s="88" t="e">
        <f t="shared" si="9"/>
        <v>#DIV/0!</v>
      </c>
      <c r="I32" s="88" t="e">
        <f t="shared" si="9"/>
        <v>#DIV/0!</v>
      </c>
      <c r="J32" s="88" t="e">
        <f t="shared" si="9"/>
        <v>#DIV/0!</v>
      </c>
      <c r="K32" s="88" t="e">
        <f t="shared" si="9"/>
        <v>#DIV/0!</v>
      </c>
      <c r="L32" s="88" t="e">
        <f t="shared" si="9"/>
        <v>#DIV/0!</v>
      </c>
      <c r="M32" s="88" t="e">
        <f t="shared" si="9"/>
        <v>#DIV/0!</v>
      </c>
      <c r="N32" s="88" t="e">
        <f t="shared" si="9"/>
        <v>#DIV/0!</v>
      </c>
      <c r="O32" s="88" t="e">
        <f t="shared" si="9"/>
        <v>#DIV/0!</v>
      </c>
      <c r="P32" s="88" t="e">
        <f t="shared" si="9"/>
        <v>#DIV/0!</v>
      </c>
      <c r="R32" s="100"/>
      <c r="S32" s="10"/>
      <c r="T32" s="10"/>
    </row>
    <row r="33" spans="2:20" x14ac:dyDescent="0.25">
      <c r="B33" s="97" t="s">
        <v>83</v>
      </c>
      <c r="C33" s="97"/>
      <c r="D33" s="98" t="s">
        <v>77</v>
      </c>
      <c r="E33" s="98"/>
      <c r="F33" s="98"/>
      <c r="G33" s="98" t="s">
        <v>78</v>
      </c>
      <c r="H33" s="98"/>
      <c r="I33" s="98"/>
      <c r="J33" s="98" t="s">
        <v>77</v>
      </c>
      <c r="K33" s="98"/>
      <c r="L33" s="98"/>
      <c r="M33" s="98" t="s">
        <v>78</v>
      </c>
      <c r="N33" s="98"/>
      <c r="O33" s="98"/>
      <c r="P33" s="90"/>
      <c r="R33" s="101"/>
    </row>
    <row r="34" spans="2:20" x14ac:dyDescent="0.25">
      <c r="B34" s="90" t="s">
        <v>81</v>
      </c>
      <c r="C34" s="85" t="s">
        <v>71</v>
      </c>
      <c r="D34" s="85" t="s">
        <v>74</v>
      </c>
      <c r="E34" s="85" t="s">
        <v>75</v>
      </c>
      <c r="F34" s="85" t="s">
        <v>76</v>
      </c>
      <c r="G34" s="85" t="s">
        <v>74</v>
      </c>
      <c r="H34" s="85" t="s">
        <v>75</v>
      </c>
      <c r="I34" s="85" t="s">
        <v>76</v>
      </c>
      <c r="J34" s="85" t="s">
        <v>74</v>
      </c>
      <c r="K34" s="85" t="s">
        <v>75</v>
      </c>
      <c r="L34" s="85" t="s">
        <v>76</v>
      </c>
      <c r="M34" s="85" t="s">
        <v>74</v>
      </c>
      <c r="N34" s="85" t="s">
        <v>75</v>
      </c>
      <c r="O34" s="85" t="s">
        <v>76</v>
      </c>
      <c r="P34" s="85" t="s">
        <v>79</v>
      </c>
      <c r="R34" s="100"/>
      <c r="S34" s="1"/>
      <c r="T34" s="1"/>
    </row>
    <row r="35" spans="2:20" x14ac:dyDescent="0.25">
      <c r="B35" s="99" t="s">
        <v>42</v>
      </c>
      <c r="C35" s="88">
        <f>C4/$E12</f>
        <v>14.672880142383756</v>
      </c>
      <c r="D35" s="88">
        <f>D4/$E12</f>
        <v>14.672880142383756</v>
      </c>
      <c r="E35" s="88">
        <f t="shared" ref="E35:P35" si="10">E4/$E12</f>
        <v>14.672880142383756</v>
      </c>
      <c r="F35" s="88">
        <f t="shared" si="10"/>
        <v>14.672880142383756</v>
      </c>
      <c r="G35" s="88">
        <f t="shared" si="10"/>
        <v>7.3364400711918778</v>
      </c>
      <c r="H35" s="88">
        <f t="shared" si="10"/>
        <v>14.672880142383756</v>
      </c>
      <c r="I35" s="88">
        <f t="shared" si="10"/>
        <v>14.672880142383756</v>
      </c>
      <c r="J35" s="88">
        <f t="shared" si="10"/>
        <v>5.1584344250567895</v>
      </c>
      <c r="K35" s="88">
        <f t="shared" si="10"/>
        <v>10.316868850113579</v>
      </c>
      <c r="L35" s="88">
        <f t="shared" si="10"/>
        <v>10.316868850113579</v>
      </c>
      <c r="M35" s="88">
        <f t="shared" si="10"/>
        <v>5.1584344250567895</v>
      </c>
      <c r="N35" s="88">
        <f t="shared" si="10"/>
        <v>5.1584344250567895</v>
      </c>
      <c r="O35" s="88">
        <f t="shared" si="10"/>
        <v>10.316868850113579</v>
      </c>
      <c r="P35" s="88">
        <f t="shared" si="10"/>
        <v>10.316868850113579</v>
      </c>
      <c r="R35" s="100"/>
      <c r="S35" s="10"/>
      <c r="T35" s="10"/>
    </row>
    <row r="36" spans="2:20" x14ac:dyDescent="0.25">
      <c r="B36" s="99" t="s">
        <v>43</v>
      </c>
      <c r="C36" s="88" t="e">
        <f>C5/$E13</f>
        <v>#DIV/0!</v>
      </c>
      <c r="D36" s="88" t="e">
        <f t="shared" ref="D36:P36" si="11">D5/$E13</f>
        <v>#DIV/0!</v>
      </c>
      <c r="E36" s="88" t="e">
        <f t="shared" si="11"/>
        <v>#DIV/0!</v>
      </c>
      <c r="F36" s="88" t="e">
        <f t="shared" si="11"/>
        <v>#DIV/0!</v>
      </c>
      <c r="G36" s="88" t="e">
        <f t="shared" si="11"/>
        <v>#DIV/0!</v>
      </c>
      <c r="H36" s="88" t="e">
        <f t="shared" si="11"/>
        <v>#DIV/0!</v>
      </c>
      <c r="I36" s="88" t="e">
        <f t="shared" si="11"/>
        <v>#DIV/0!</v>
      </c>
      <c r="J36" s="88" t="e">
        <f t="shared" si="11"/>
        <v>#DIV/0!</v>
      </c>
      <c r="K36" s="88" t="e">
        <f t="shared" si="11"/>
        <v>#DIV/0!</v>
      </c>
      <c r="L36" s="88" t="e">
        <f t="shared" si="11"/>
        <v>#DIV/0!</v>
      </c>
      <c r="M36" s="88" t="e">
        <f t="shared" si="11"/>
        <v>#DIV/0!</v>
      </c>
      <c r="N36" s="88" t="e">
        <f t="shared" si="11"/>
        <v>#DIV/0!</v>
      </c>
      <c r="O36" s="88" t="e">
        <f t="shared" si="11"/>
        <v>#DIV/0!</v>
      </c>
      <c r="P36" s="88" t="e">
        <f t="shared" si="11"/>
        <v>#DIV/0!</v>
      </c>
      <c r="R36" s="100"/>
      <c r="S36" s="10"/>
      <c r="T36" s="10"/>
    </row>
    <row r="37" spans="2:20" x14ac:dyDescent="0.25">
      <c r="B37" s="99" t="s">
        <v>44</v>
      </c>
      <c r="C37" s="88">
        <f>C6/$E14</f>
        <v>1.2056393219323425</v>
      </c>
      <c r="D37" s="88">
        <f t="shared" ref="D37:P37" si="12">D6/$E14</f>
        <v>1.2056393219323425</v>
      </c>
      <c r="E37" s="88">
        <f t="shared" si="12"/>
        <v>1.2056393219323425</v>
      </c>
      <c r="F37" s="88">
        <f t="shared" si="12"/>
        <v>1.2056393219323425</v>
      </c>
      <c r="G37" s="88">
        <f>G6/$E14</f>
        <v>0.42385757411683916</v>
      </c>
      <c r="H37" s="88">
        <f t="shared" si="12"/>
        <v>0.30140983048308562</v>
      </c>
      <c r="I37" s="88">
        <f t="shared" si="12"/>
        <v>1.2056393219323425</v>
      </c>
      <c r="J37" s="88">
        <f t="shared" si="12"/>
        <v>0.60281966096617123</v>
      </c>
      <c r="K37" s="88">
        <f t="shared" si="12"/>
        <v>1.2056393219323425</v>
      </c>
      <c r="L37" s="88">
        <f t="shared" si="12"/>
        <v>1.2056393219323425</v>
      </c>
      <c r="M37" s="88">
        <f t="shared" si="12"/>
        <v>0.60281966096617123</v>
      </c>
      <c r="N37" s="88">
        <f t="shared" si="12"/>
        <v>0.30140983048308562</v>
      </c>
      <c r="O37" s="88">
        <f t="shared" si="12"/>
        <v>0.30140983048308562</v>
      </c>
      <c r="P37" s="88">
        <f t="shared" si="12"/>
        <v>0.60281966096617123</v>
      </c>
      <c r="R37" s="100"/>
      <c r="S37" s="10"/>
      <c r="T37" s="10"/>
    </row>
    <row r="38" spans="2:20" x14ac:dyDescent="0.25">
      <c r="B38" s="99" t="s">
        <v>72</v>
      </c>
      <c r="C38" s="88">
        <f>C7/$E15</f>
        <v>134.38276792351212</v>
      </c>
      <c r="D38" s="88">
        <f t="shared" ref="D38:P39" si="13">D7/$E15</f>
        <v>134.38276792351212</v>
      </c>
      <c r="E38" s="88">
        <f t="shared" si="13"/>
        <v>134.38276792351212</v>
      </c>
      <c r="F38" s="88">
        <f t="shared" si="13"/>
        <v>134.38276792351212</v>
      </c>
      <c r="G38" s="88">
        <f t="shared" si="13"/>
        <v>33.59569198087803</v>
      </c>
      <c r="H38" s="88">
        <f t="shared" si="13"/>
        <v>47.243941848109728</v>
      </c>
      <c r="I38" s="88">
        <f t="shared" si="13"/>
        <v>134.38276792351212</v>
      </c>
      <c r="J38" s="88">
        <f t="shared" si="13"/>
        <v>134.38276792351212</v>
      </c>
      <c r="K38" s="88">
        <f t="shared" si="13"/>
        <v>134.38276792351212</v>
      </c>
      <c r="L38" s="88">
        <f t="shared" si="13"/>
        <v>134.38276792351212</v>
      </c>
      <c r="M38" s="88">
        <f t="shared" si="13"/>
        <v>134.38276792351212</v>
      </c>
      <c r="N38" s="88">
        <f t="shared" si="13"/>
        <v>67.19138396175606</v>
      </c>
      <c r="O38" s="88">
        <f t="shared" si="13"/>
        <v>33.59569198087803</v>
      </c>
      <c r="P38" s="88">
        <f t="shared" si="13"/>
        <v>134.38276792351212</v>
      </c>
      <c r="R38" s="100"/>
      <c r="S38" s="10"/>
      <c r="T38" s="10"/>
    </row>
    <row r="39" spans="2:20" x14ac:dyDescent="0.25">
      <c r="B39" s="99" t="s">
        <v>100</v>
      </c>
      <c r="C39" s="88">
        <f>C8/$E16</f>
        <v>1.904373096375388</v>
      </c>
      <c r="D39" s="88">
        <f t="shared" si="13"/>
        <v>1.904373096375388</v>
      </c>
      <c r="E39" s="88">
        <f t="shared" si="13"/>
        <v>1.904373096375388</v>
      </c>
      <c r="F39" s="88">
        <f t="shared" si="13"/>
        <v>1.904373096375388</v>
      </c>
      <c r="G39" s="88">
        <f t="shared" si="13"/>
        <v>1.3390123333889445</v>
      </c>
      <c r="H39" s="88">
        <f t="shared" si="13"/>
        <v>1.904373096375388</v>
      </c>
      <c r="I39" s="88">
        <f t="shared" si="13"/>
        <v>1.904373096375388</v>
      </c>
      <c r="J39" s="88">
        <f t="shared" si="13"/>
        <v>1.904373096375388</v>
      </c>
      <c r="K39" s="88">
        <f t="shared" si="13"/>
        <v>1.904373096375388</v>
      </c>
      <c r="L39" s="88">
        <f t="shared" si="13"/>
        <v>1.904373096375388</v>
      </c>
      <c r="M39" s="88">
        <f t="shared" si="13"/>
        <v>0.95218654818769399</v>
      </c>
      <c r="N39" s="88">
        <f t="shared" si="13"/>
        <v>0.66950616669447227</v>
      </c>
      <c r="O39" s="88">
        <f t="shared" si="13"/>
        <v>1.904373096375388</v>
      </c>
      <c r="P39" s="88">
        <f t="shared" si="13"/>
        <v>1.904373096375388</v>
      </c>
      <c r="R39" s="100"/>
      <c r="S39" s="10"/>
      <c r="T39" s="10"/>
    </row>
    <row r="40" spans="2:20" x14ac:dyDescent="0.25">
      <c r="B40" s="97" t="s">
        <v>82</v>
      </c>
      <c r="C40" s="97"/>
      <c r="D40" s="98" t="s">
        <v>77</v>
      </c>
      <c r="E40" s="98"/>
      <c r="F40" s="98"/>
      <c r="G40" s="98" t="s">
        <v>78</v>
      </c>
      <c r="H40" s="98"/>
      <c r="I40" s="98"/>
      <c r="J40" s="98" t="s">
        <v>77</v>
      </c>
      <c r="K40" s="98"/>
      <c r="L40" s="98"/>
      <c r="M40" s="98" t="s">
        <v>78</v>
      </c>
      <c r="N40" s="98"/>
      <c r="O40" s="98"/>
      <c r="P40" s="90"/>
    </row>
    <row r="41" spans="2:20" x14ac:dyDescent="0.25">
      <c r="B41" s="90" t="s">
        <v>81</v>
      </c>
      <c r="C41" s="85" t="s">
        <v>71</v>
      </c>
      <c r="D41" s="85" t="s">
        <v>74</v>
      </c>
      <c r="E41" s="85" t="s">
        <v>75</v>
      </c>
      <c r="F41" s="85" t="s">
        <v>76</v>
      </c>
      <c r="G41" s="85" t="s">
        <v>74</v>
      </c>
      <c r="H41" s="85" t="s">
        <v>75</v>
      </c>
      <c r="I41" s="85" t="s">
        <v>76</v>
      </c>
      <c r="J41" s="85" t="s">
        <v>74</v>
      </c>
      <c r="K41" s="85" t="s">
        <v>75</v>
      </c>
      <c r="L41" s="85" t="s">
        <v>76</v>
      </c>
      <c r="M41" s="85" t="s">
        <v>74</v>
      </c>
      <c r="N41" s="85" t="s">
        <v>75</v>
      </c>
      <c r="O41" s="85" t="s">
        <v>76</v>
      </c>
      <c r="P41" s="85" t="s">
        <v>79</v>
      </c>
      <c r="R41" s="1"/>
      <c r="S41" s="1" t="s">
        <v>92</v>
      </c>
      <c r="T41" s="1" t="s">
        <v>91</v>
      </c>
    </row>
    <row r="42" spans="2:20" x14ac:dyDescent="0.25">
      <c r="B42" s="99" t="s">
        <v>42</v>
      </c>
      <c r="C42" s="88">
        <f>C4/$F12</f>
        <v>7.9055072681835172</v>
      </c>
      <c r="D42" s="88">
        <f>D4/$F12</f>
        <v>7.9055072681835172</v>
      </c>
      <c r="E42" s="88">
        <f t="shared" ref="E42:P42" si="14">E4/$F12</f>
        <v>7.9055072681835172</v>
      </c>
      <c r="F42" s="88">
        <f t="shared" si="14"/>
        <v>7.9055072681835172</v>
      </c>
      <c r="G42" s="88">
        <f t="shared" si="14"/>
        <v>3.9527536340917586</v>
      </c>
      <c r="H42" s="88">
        <f t="shared" si="14"/>
        <v>7.9055072681835172</v>
      </c>
      <c r="I42" s="88">
        <f t="shared" si="14"/>
        <v>7.9055072681835172</v>
      </c>
      <c r="J42" s="88">
        <f t="shared" si="14"/>
        <v>2.7792798989707674</v>
      </c>
      <c r="K42" s="88">
        <f t="shared" si="14"/>
        <v>5.5585597979415349</v>
      </c>
      <c r="L42" s="88">
        <f t="shared" si="14"/>
        <v>5.5585597979415349</v>
      </c>
      <c r="M42" s="88">
        <f t="shared" si="14"/>
        <v>2.7792798989707674</v>
      </c>
      <c r="N42" s="88">
        <f t="shared" si="14"/>
        <v>2.7792798989707674</v>
      </c>
      <c r="O42" s="88">
        <f t="shared" si="14"/>
        <v>5.5585597979415349</v>
      </c>
      <c r="P42" s="88">
        <f t="shared" si="14"/>
        <v>5.5585597979415349</v>
      </c>
      <c r="R42" s="12" t="s">
        <v>42</v>
      </c>
      <c r="S42" s="10">
        <f>AVERAGE(C42:P42)</f>
        <v>5.854134009419381</v>
      </c>
      <c r="T42" s="10">
        <f>_xlfn.STDEV.P(C42:P42)</f>
        <v>2.0279771883738782</v>
      </c>
    </row>
    <row r="43" spans="2:20" x14ac:dyDescent="0.25">
      <c r="B43" s="99" t="s">
        <v>43</v>
      </c>
      <c r="C43" s="88">
        <f>C5/$F13</f>
        <v>35.148293650015376</v>
      </c>
      <c r="D43" s="88">
        <f>D5/$F13</f>
        <v>35.148293650015376</v>
      </c>
      <c r="E43" s="88">
        <f>E5/$F13</f>
        <v>70.296587300030751</v>
      </c>
      <c r="F43" s="88">
        <f>F5/$F13</f>
        <v>70.296587300030751</v>
      </c>
      <c r="G43" s="88">
        <f>G5/$F13</f>
        <v>17.574146825007688</v>
      </c>
      <c r="H43" s="88">
        <f>H5/$F13</f>
        <v>24.713643972667064</v>
      </c>
      <c r="I43" s="88">
        <f>I5/$F13</f>
        <v>70.296587300030751</v>
      </c>
      <c r="J43" s="88">
        <f>J5/$F13</f>
        <v>35.148293650015376</v>
      </c>
      <c r="K43" s="88">
        <f>K5/$F13</f>
        <v>35.148293650015376</v>
      </c>
      <c r="L43" s="88">
        <f>L5/$F13</f>
        <v>70.296587300030751</v>
      </c>
      <c r="M43" s="88">
        <f>M5/$F13</f>
        <v>17.574146825007688</v>
      </c>
      <c r="N43" s="88">
        <f>N5/$F13</f>
        <v>24.713643972667064</v>
      </c>
      <c r="O43" s="88">
        <f>O5/$F13</f>
        <v>35.148293650015376</v>
      </c>
      <c r="P43" s="88">
        <f>P5/$F13</f>
        <v>24.713643972667064</v>
      </c>
      <c r="R43" s="12" t="s">
        <v>43</v>
      </c>
      <c r="S43" s="10">
        <f>AVERAGE(C43:P43)</f>
        <v>40.444074501301181</v>
      </c>
      <c r="T43" s="10">
        <f>_xlfn.STDEV.P(C43:P43)</f>
        <v>19.808589539107622</v>
      </c>
    </row>
    <row r="44" spans="2:20" x14ac:dyDescent="0.25">
      <c r="B44" s="99" t="s">
        <v>44</v>
      </c>
      <c r="C44" s="88">
        <f>C6/$F14</f>
        <v>1.4976732410253843</v>
      </c>
      <c r="D44" s="88">
        <f t="shared" ref="D44:P44" si="15">D6/$F14</f>
        <v>1.4976732410253843</v>
      </c>
      <c r="E44" s="88">
        <f t="shared" si="15"/>
        <v>1.4976732410253843</v>
      </c>
      <c r="F44" s="88">
        <f t="shared" si="15"/>
        <v>1.4976732410253843</v>
      </c>
      <c r="G44" s="88">
        <f t="shared" si="15"/>
        <v>0.52652574879798664</v>
      </c>
      <c r="H44" s="88">
        <f t="shared" si="15"/>
        <v>0.37441831025634609</v>
      </c>
      <c r="I44" s="88">
        <f t="shared" si="15"/>
        <v>1.4976732410253843</v>
      </c>
      <c r="J44" s="88">
        <f t="shared" si="15"/>
        <v>0.74883662051269217</v>
      </c>
      <c r="K44" s="88">
        <f t="shared" si="15"/>
        <v>1.4976732410253843</v>
      </c>
      <c r="L44" s="88">
        <f t="shared" si="15"/>
        <v>1.4976732410253843</v>
      </c>
      <c r="M44" s="88">
        <f t="shared" si="15"/>
        <v>0.74883662051269217</v>
      </c>
      <c r="N44" s="88">
        <f t="shared" si="15"/>
        <v>0.37441831025634609</v>
      </c>
      <c r="O44" s="88">
        <f t="shared" si="15"/>
        <v>0.37441831025634609</v>
      </c>
      <c r="P44" s="88">
        <f t="shared" si="15"/>
        <v>0.74883662051269217</v>
      </c>
      <c r="R44" s="12" t="s">
        <v>44</v>
      </c>
      <c r="S44" s="10">
        <f>AVERAGE(C44:P44)</f>
        <v>1.0271430877344851</v>
      </c>
      <c r="T44" s="10">
        <f>_xlfn.STDEV.P(C44:P44)</f>
        <v>0.48630681604383136</v>
      </c>
    </row>
    <row r="45" spans="2:20" x14ac:dyDescent="0.25">
      <c r="B45" s="99" t="s">
        <v>72</v>
      </c>
      <c r="C45" s="88">
        <f>C7/$F15</f>
        <v>70.296587300030751</v>
      </c>
      <c r="D45" s="88">
        <f t="shared" ref="D45:P46" si="16">D7/$F15</f>
        <v>70.296587300030751</v>
      </c>
      <c r="E45" s="88">
        <f t="shared" si="16"/>
        <v>70.296587300030751</v>
      </c>
      <c r="F45" s="88">
        <f t="shared" si="16"/>
        <v>70.296587300030751</v>
      </c>
      <c r="G45" s="88">
        <f t="shared" si="16"/>
        <v>17.574146825007688</v>
      </c>
      <c r="H45" s="88">
        <f t="shared" si="16"/>
        <v>24.713643972667064</v>
      </c>
      <c r="I45" s="88">
        <f t="shared" si="16"/>
        <v>70.296587300030751</v>
      </c>
      <c r="J45" s="88">
        <f t="shared" si="16"/>
        <v>70.296587300030751</v>
      </c>
      <c r="K45" s="88">
        <f t="shared" si="16"/>
        <v>70.296587300030751</v>
      </c>
      <c r="L45" s="88">
        <f t="shared" si="16"/>
        <v>70.296587300030751</v>
      </c>
      <c r="M45" s="88">
        <f t="shared" si="16"/>
        <v>70.296587300030751</v>
      </c>
      <c r="N45" s="88">
        <f t="shared" si="16"/>
        <v>35.148293650015376</v>
      </c>
      <c r="O45" s="88">
        <f t="shared" si="16"/>
        <v>17.574146825007688</v>
      </c>
      <c r="P45" s="88">
        <f t="shared" si="16"/>
        <v>70.296587300030751</v>
      </c>
      <c r="R45" s="12" t="s">
        <v>72</v>
      </c>
      <c r="S45" s="10">
        <f>AVERAGE(C45:P45)</f>
        <v>56.99829316235752</v>
      </c>
      <c r="T45" s="10">
        <f>AVERAGE(C45:P45)</f>
        <v>56.99829316235752</v>
      </c>
    </row>
    <row r="46" spans="2:20" x14ac:dyDescent="0.25">
      <c r="B46" s="99" t="s">
        <v>100</v>
      </c>
      <c r="C46" s="88">
        <f>C8/$F16</f>
        <v>1.4251212014022208</v>
      </c>
      <c r="D46" s="88">
        <f t="shared" si="16"/>
        <v>1.4251212014022208</v>
      </c>
      <c r="E46" s="88">
        <f t="shared" si="16"/>
        <v>1.4251212014022208</v>
      </c>
      <c r="F46" s="88">
        <f t="shared" si="16"/>
        <v>1.4251212014022208</v>
      </c>
      <c r="G46" s="88">
        <f t="shared" si="16"/>
        <v>1.0020383447359364</v>
      </c>
      <c r="H46" s="88">
        <f t="shared" si="16"/>
        <v>1.4251212014022208</v>
      </c>
      <c r="I46" s="88">
        <f t="shared" si="16"/>
        <v>1.4251212014022208</v>
      </c>
      <c r="J46" s="88">
        <f t="shared" si="16"/>
        <v>1.4251212014022208</v>
      </c>
      <c r="K46" s="88">
        <f t="shared" si="16"/>
        <v>1.4251212014022208</v>
      </c>
      <c r="L46" s="88">
        <f t="shared" si="16"/>
        <v>1.4251212014022208</v>
      </c>
      <c r="M46" s="88">
        <f t="shared" si="16"/>
        <v>0.71256060070111038</v>
      </c>
      <c r="N46" s="88">
        <f t="shared" si="16"/>
        <v>0.50101917236796822</v>
      </c>
      <c r="O46" s="88">
        <f t="shared" si="16"/>
        <v>1.4251212014022208</v>
      </c>
      <c r="P46" s="88">
        <f t="shared" si="16"/>
        <v>1.4251212014022208</v>
      </c>
      <c r="R46" s="99" t="s">
        <v>100</v>
      </c>
      <c r="S46" s="10">
        <f>AVERAGE(C46:P46)</f>
        <v>1.2779965238021027</v>
      </c>
      <c r="T46" s="10">
        <f>AVERAGE(C46:P46)</f>
        <v>1.2779965238021027</v>
      </c>
    </row>
    <row r="47" spans="2:20" x14ac:dyDescent="0.25">
      <c r="B47" s="97" t="s">
        <v>85</v>
      </c>
      <c r="C47" s="97"/>
      <c r="D47" s="98" t="s">
        <v>77</v>
      </c>
      <c r="E47" s="98"/>
      <c r="F47" s="98"/>
      <c r="G47" s="98" t="s">
        <v>78</v>
      </c>
      <c r="H47" s="98"/>
      <c r="I47" s="98"/>
      <c r="J47" s="98" t="s">
        <v>77</v>
      </c>
      <c r="K47" s="98"/>
      <c r="L47" s="98"/>
      <c r="M47" s="98" t="s">
        <v>78</v>
      </c>
      <c r="N47" s="98"/>
      <c r="O47" s="98"/>
      <c r="P47" s="90"/>
    </row>
    <row r="48" spans="2:20" x14ac:dyDescent="0.25">
      <c r="B48" s="90" t="s">
        <v>81</v>
      </c>
      <c r="C48" s="85" t="s">
        <v>71</v>
      </c>
      <c r="D48" s="85" t="s">
        <v>74</v>
      </c>
      <c r="E48" s="85" t="s">
        <v>75</v>
      </c>
      <c r="F48" s="85" t="s">
        <v>76</v>
      </c>
      <c r="G48" s="85" t="s">
        <v>74</v>
      </c>
      <c r="H48" s="85" t="s">
        <v>75</v>
      </c>
      <c r="I48" s="85" t="s">
        <v>76</v>
      </c>
      <c r="J48" s="85" t="s">
        <v>74</v>
      </c>
      <c r="K48" s="85" t="s">
        <v>75</v>
      </c>
      <c r="L48" s="85" t="s">
        <v>76</v>
      </c>
      <c r="M48" s="85" t="s">
        <v>74</v>
      </c>
      <c r="N48" s="85" t="s">
        <v>75</v>
      </c>
      <c r="O48" s="85" t="s">
        <v>76</v>
      </c>
      <c r="P48" s="85" t="s">
        <v>79</v>
      </c>
      <c r="R48" s="100"/>
      <c r="S48" s="1"/>
      <c r="T48" s="1"/>
    </row>
    <row r="49" spans="2:20" x14ac:dyDescent="0.25">
      <c r="B49" s="99" t="s">
        <v>42</v>
      </c>
      <c r="C49" s="88">
        <f>C4/$G12</f>
        <v>7.1045375217005331</v>
      </c>
      <c r="D49" s="88">
        <f t="shared" ref="D49:P49" si="17">D4/$G12</f>
        <v>7.1045375217005331</v>
      </c>
      <c r="E49" s="88">
        <f t="shared" si="17"/>
        <v>7.1045375217005331</v>
      </c>
      <c r="F49" s="88">
        <f t="shared" si="17"/>
        <v>7.1045375217005331</v>
      </c>
      <c r="G49" s="88">
        <f t="shared" si="17"/>
        <v>3.5522687608502665</v>
      </c>
      <c r="H49" s="88">
        <f t="shared" si="17"/>
        <v>7.1045375217005331</v>
      </c>
      <c r="I49" s="88">
        <f t="shared" si="17"/>
        <v>7.1045375217005331</v>
      </c>
      <c r="J49" s="88">
        <f t="shared" si="17"/>
        <v>2.4976889724728437</v>
      </c>
      <c r="K49" s="88">
        <f t="shared" si="17"/>
        <v>4.9953779449456874</v>
      </c>
      <c r="L49" s="88">
        <f t="shared" si="17"/>
        <v>4.9953779449456874</v>
      </c>
      <c r="M49" s="88">
        <f t="shared" si="17"/>
        <v>2.4976889724728437</v>
      </c>
      <c r="N49" s="88">
        <f t="shared" si="17"/>
        <v>2.4976889724728437</v>
      </c>
      <c r="O49" s="88">
        <f t="shared" si="17"/>
        <v>4.9953779449456874</v>
      </c>
      <c r="P49" s="88">
        <f t="shared" si="17"/>
        <v>4.9953779449456874</v>
      </c>
      <c r="R49" s="100"/>
      <c r="S49" s="10"/>
      <c r="T49" s="10"/>
    </row>
    <row r="50" spans="2:20" x14ac:dyDescent="0.25">
      <c r="B50" s="99" t="s">
        <v>43</v>
      </c>
      <c r="C50" s="88" t="e">
        <f>C5/$G13</f>
        <v>#DIV/0!</v>
      </c>
      <c r="D50" s="88" t="e">
        <f>D5/$G13</f>
        <v>#DIV/0!</v>
      </c>
      <c r="E50" s="88" t="e">
        <f>E5/$G13</f>
        <v>#DIV/0!</v>
      </c>
      <c r="F50" s="88" t="e">
        <f>F5/$G13</f>
        <v>#DIV/0!</v>
      </c>
      <c r="G50" s="88" t="e">
        <f>G5/$G13</f>
        <v>#DIV/0!</v>
      </c>
      <c r="H50" s="88" t="e">
        <f>H5/$G13</f>
        <v>#DIV/0!</v>
      </c>
      <c r="I50" s="88" t="e">
        <f>I5/$G13</f>
        <v>#DIV/0!</v>
      </c>
      <c r="J50" s="88" t="e">
        <f>J5/$G13</f>
        <v>#DIV/0!</v>
      </c>
      <c r="K50" s="88" t="e">
        <f>K5/$G13</f>
        <v>#DIV/0!</v>
      </c>
      <c r="L50" s="88" t="e">
        <f>L5/$G13</f>
        <v>#DIV/0!</v>
      </c>
      <c r="M50" s="88" t="e">
        <f>M5/$G13</f>
        <v>#DIV/0!</v>
      </c>
      <c r="N50" s="88" t="e">
        <f>N5/$G13</f>
        <v>#DIV/0!</v>
      </c>
      <c r="O50" s="88" t="e">
        <f>O5/$G13</f>
        <v>#DIV/0!</v>
      </c>
      <c r="P50" s="88" t="e">
        <f>P5/$G13</f>
        <v>#DIV/0!</v>
      </c>
      <c r="R50" s="100"/>
      <c r="S50" s="10"/>
      <c r="T50" s="10"/>
    </row>
    <row r="51" spans="2:20" x14ac:dyDescent="0.25">
      <c r="B51" s="99" t="s">
        <v>44</v>
      </c>
      <c r="C51" s="88">
        <f>C6/$G14</f>
        <v>1.5219803184472598</v>
      </c>
      <c r="D51" s="88">
        <f>D6/$G14</f>
        <v>1.5219803184472598</v>
      </c>
      <c r="E51" s="88">
        <f>E6/$G14</f>
        <v>1.5219803184472598</v>
      </c>
      <c r="F51" s="88">
        <f>F6/$G14</f>
        <v>1.5219803184472598</v>
      </c>
      <c r="G51" s="88">
        <f>G6/$G14</f>
        <v>0.53507120570411482</v>
      </c>
      <c r="H51" s="88">
        <f>H6/$G14</f>
        <v>0.38049507961181495</v>
      </c>
      <c r="I51" s="88">
        <f>I6/$G14</f>
        <v>1.5219803184472598</v>
      </c>
      <c r="J51" s="88">
        <f>J6/$G14</f>
        <v>0.76099015922362989</v>
      </c>
      <c r="K51" s="88">
        <f>K6/$G14</f>
        <v>1.5219803184472598</v>
      </c>
      <c r="L51" s="88">
        <f>L6/$G14</f>
        <v>1.5219803184472598</v>
      </c>
      <c r="M51" s="88">
        <f>M6/$G14</f>
        <v>0.76099015922362989</v>
      </c>
      <c r="N51" s="88">
        <f>N6/$G14</f>
        <v>0.38049507961181495</v>
      </c>
      <c r="O51" s="88">
        <f>O6/$G14</f>
        <v>0.38049507961181495</v>
      </c>
      <c r="P51" s="88">
        <f>P6/$G14</f>
        <v>0.76099015922362989</v>
      </c>
      <c r="R51" s="100"/>
      <c r="S51" s="10"/>
      <c r="T51" s="10"/>
    </row>
    <row r="52" spans="2:20" x14ac:dyDescent="0.25">
      <c r="B52" s="99" t="s">
        <v>72</v>
      </c>
      <c r="C52" s="88" t="e">
        <f>C7/$G15</f>
        <v>#DIV/0!</v>
      </c>
      <c r="D52" s="88" t="e">
        <f t="shared" ref="D52:P53" si="18">D7/$G15</f>
        <v>#DIV/0!</v>
      </c>
      <c r="E52" s="88" t="e">
        <f t="shared" si="18"/>
        <v>#DIV/0!</v>
      </c>
      <c r="F52" s="88" t="e">
        <f t="shared" si="18"/>
        <v>#DIV/0!</v>
      </c>
      <c r="G52" s="88" t="e">
        <f t="shared" si="18"/>
        <v>#DIV/0!</v>
      </c>
      <c r="H52" s="88" t="e">
        <f t="shared" si="18"/>
        <v>#DIV/0!</v>
      </c>
      <c r="I52" s="88" t="e">
        <f t="shared" si="18"/>
        <v>#DIV/0!</v>
      </c>
      <c r="J52" s="88" t="e">
        <f t="shared" si="18"/>
        <v>#DIV/0!</v>
      </c>
      <c r="K52" s="88" t="e">
        <f t="shared" si="18"/>
        <v>#DIV/0!</v>
      </c>
      <c r="L52" s="88" t="e">
        <f t="shared" si="18"/>
        <v>#DIV/0!</v>
      </c>
      <c r="M52" s="88" t="e">
        <f t="shared" si="18"/>
        <v>#DIV/0!</v>
      </c>
      <c r="N52" s="88" t="e">
        <f t="shared" si="18"/>
        <v>#DIV/0!</v>
      </c>
      <c r="O52" s="88" t="e">
        <f t="shared" si="18"/>
        <v>#DIV/0!</v>
      </c>
      <c r="P52" s="88" t="e">
        <f t="shared" si="18"/>
        <v>#DIV/0!</v>
      </c>
      <c r="R52" s="100"/>
      <c r="S52" s="10"/>
      <c r="T52" s="10"/>
    </row>
    <row r="53" spans="2:20" x14ac:dyDescent="0.25">
      <c r="B53" s="99" t="s">
        <v>100</v>
      </c>
      <c r="C53" s="88">
        <f>C8/$G16</f>
        <v>6.3941127901411692</v>
      </c>
      <c r="D53" s="88">
        <f t="shared" si="18"/>
        <v>6.3941127901411692</v>
      </c>
      <c r="E53" s="88">
        <f t="shared" si="18"/>
        <v>6.3941127901411692</v>
      </c>
      <c r="F53" s="88">
        <f t="shared" si="18"/>
        <v>6.3941127901411692</v>
      </c>
      <c r="G53" s="88">
        <f t="shared" si="18"/>
        <v>4.4958605555680098</v>
      </c>
      <c r="H53" s="88">
        <f t="shared" si="18"/>
        <v>6.3941127901411692</v>
      </c>
      <c r="I53" s="88">
        <f t="shared" si="18"/>
        <v>6.3941127901411692</v>
      </c>
      <c r="J53" s="88">
        <f t="shared" si="18"/>
        <v>6.3941127901411692</v>
      </c>
      <c r="K53" s="88">
        <f t="shared" si="18"/>
        <v>6.3941127901411692</v>
      </c>
      <c r="L53" s="88">
        <f t="shared" si="18"/>
        <v>6.3941127901411692</v>
      </c>
      <c r="M53" s="88">
        <f t="shared" si="18"/>
        <v>3.1970563950705846</v>
      </c>
      <c r="N53" s="88">
        <f t="shared" si="18"/>
        <v>2.2479302777840049</v>
      </c>
      <c r="O53" s="88">
        <f t="shared" si="18"/>
        <v>6.3941127901411692</v>
      </c>
      <c r="P53" s="88">
        <f t="shared" si="18"/>
        <v>6.3941127901411692</v>
      </c>
      <c r="R53" s="100"/>
      <c r="S53" s="10"/>
      <c r="T53" s="10"/>
    </row>
    <row r="54" spans="2:20" x14ac:dyDescent="0.25">
      <c r="B54" s="97" t="s">
        <v>86</v>
      </c>
      <c r="C54" s="97"/>
      <c r="D54" s="98" t="s">
        <v>77</v>
      </c>
      <c r="E54" s="98"/>
      <c r="F54" s="98"/>
      <c r="G54" s="98" t="s">
        <v>78</v>
      </c>
      <c r="H54" s="98"/>
      <c r="I54" s="98"/>
      <c r="J54" s="98" t="s">
        <v>77</v>
      </c>
      <c r="K54" s="98"/>
      <c r="L54" s="98"/>
      <c r="M54" s="98" t="s">
        <v>78</v>
      </c>
      <c r="N54" s="98"/>
      <c r="O54" s="98"/>
      <c r="P54" s="90"/>
    </row>
    <row r="55" spans="2:20" x14ac:dyDescent="0.25">
      <c r="B55" s="90" t="s">
        <v>81</v>
      </c>
      <c r="C55" s="85" t="s">
        <v>71</v>
      </c>
      <c r="D55" s="85" t="s">
        <v>74</v>
      </c>
      <c r="E55" s="85" t="s">
        <v>75</v>
      </c>
      <c r="F55" s="85" t="s">
        <v>76</v>
      </c>
      <c r="G55" s="85" t="s">
        <v>74</v>
      </c>
      <c r="H55" s="85" t="s">
        <v>75</v>
      </c>
      <c r="I55" s="85" t="s">
        <v>76</v>
      </c>
      <c r="J55" s="85" t="s">
        <v>74</v>
      </c>
      <c r="K55" s="85" t="s">
        <v>75</v>
      </c>
      <c r="L55" s="85" t="s">
        <v>76</v>
      </c>
      <c r="M55" s="85" t="s">
        <v>74</v>
      </c>
      <c r="N55" s="85" t="s">
        <v>75</v>
      </c>
      <c r="O55" s="85" t="s">
        <v>76</v>
      </c>
      <c r="P55" s="85" t="s">
        <v>79</v>
      </c>
      <c r="R55" s="1"/>
      <c r="S55" s="1" t="s">
        <v>92</v>
      </c>
      <c r="T55" s="1" t="s">
        <v>91</v>
      </c>
    </row>
    <row r="56" spans="2:20" x14ac:dyDescent="0.25">
      <c r="B56" s="99" t="s">
        <v>42</v>
      </c>
      <c r="C56" s="88">
        <f>C4/$H12</f>
        <v>5.1516486306997731</v>
      </c>
      <c r="D56" s="88">
        <f t="shared" ref="D56:P56" si="19">D4/$H12</f>
        <v>5.1516486306997731</v>
      </c>
      <c r="E56" s="88">
        <f t="shared" si="19"/>
        <v>5.1516486306997731</v>
      </c>
      <c r="F56" s="88">
        <f t="shared" si="19"/>
        <v>5.1516486306997731</v>
      </c>
      <c r="G56" s="88">
        <f t="shared" si="19"/>
        <v>2.5758243153498865</v>
      </c>
      <c r="H56" s="88">
        <f t="shared" si="19"/>
        <v>5.1516486306997731</v>
      </c>
      <c r="I56" s="88">
        <f t="shared" si="19"/>
        <v>5.1516486306997731</v>
      </c>
      <c r="J56" s="88">
        <f t="shared" si="19"/>
        <v>1.8111264717303888</v>
      </c>
      <c r="K56" s="88">
        <f t="shared" si="19"/>
        <v>3.6222529434607775</v>
      </c>
      <c r="L56" s="88">
        <f t="shared" si="19"/>
        <v>3.6222529434607775</v>
      </c>
      <c r="M56" s="88">
        <f t="shared" si="19"/>
        <v>1.8111264717303888</v>
      </c>
      <c r="N56" s="88">
        <f t="shared" si="19"/>
        <v>1.8111264717303888</v>
      </c>
      <c r="O56" s="88">
        <f t="shared" si="19"/>
        <v>3.6222529434607775</v>
      </c>
      <c r="P56" s="88">
        <f t="shared" si="19"/>
        <v>3.6222529434607775</v>
      </c>
      <c r="R56" s="12" t="s">
        <v>42</v>
      </c>
      <c r="S56" s="10">
        <f>AVERAGE(C56:P56)</f>
        <v>3.8148648063273436</v>
      </c>
      <c r="T56" s="10">
        <f>_xlfn.STDEV.P(C56:P56)</f>
        <v>1.3215377016505148</v>
      </c>
    </row>
    <row r="57" spans="2:20" x14ac:dyDescent="0.25">
      <c r="B57" s="99" t="s">
        <v>43</v>
      </c>
      <c r="C57" s="88">
        <f>C5/$H13</f>
        <v>9.9379322854079515</v>
      </c>
      <c r="D57" s="88">
        <f>D5/$H13</f>
        <v>9.9379322854079515</v>
      </c>
      <c r="E57" s="88">
        <f>E5/$H13</f>
        <v>19.875864570815903</v>
      </c>
      <c r="F57" s="88">
        <f>F5/$H13</f>
        <v>19.875864570815903</v>
      </c>
      <c r="G57" s="88">
        <f>G5/$H13</f>
        <v>4.9689661427039757</v>
      </c>
      <c r="H57" s="88">
        <f>H5/$H13</f>
        <v>6.9876086381774662</v>
      </c>
      <c r="I57" s="88">
        <f>I5/$H13</f>
        <v>19.875864570815903</v>
      </c>
      <c r="J57" s="88">
        <f>J5/$H13</f>
        <v>9.9379322854079515</v>
      </c>
      <c r="K57" s="88">
        <f>K5/$H13</f>
        <v>9.9379322854079515</v>
      </c>
      <c r="L57" s="88">
        <f>L5/$H13</f>
        <v>19.875864570815903</v>
      </c>
      <c r="M57" s="88">
        <f>M5/$H13</f>
        <v>4.9689661427039757</v>
      </c>
      <c r="N57" s="88">
        <f>N5/$H13</f>
        <v>6.9876086381774662</v>
      </c>
      <c r="O57" s="88">
        <f>O5/$H13</f>
        <v>9.9379322854079515</v>
      </c>
      <c r="P57" s="88">
        <f>P5/$H13</f>
        <v>6.9876086381774662</v>
      </c>
      <c r="R57" s="12" t="s">
        <v>43</v>
      </c>
      <c r="S57" s="10">
        <f>AVERAGE(C57:P57)</f>
        <v>11.43527699358884</v>
      </c>
      <c r="T57" s="10">
        <f>_xlfn.STDEV.P(C57:P57)</f>
        <v>5.6007390705581441</v>
      </c>
    </row>
    <row r="58" spans="2:20" x14ac:dyDescent="0.25">
      <c r="B58" s="99" t="s">
        <v>44</v>
      </c>
      <c r="C58" s="88">
        <f>C6/$H14</f>
        <v>1.2786093559875096</v>
      </c>
      <c r="D58" s="88">
        <f>D6/$H14</f>
        <v>1.2786093559875096</v>
      </c>
      <c r="E58" s="88">
        <f>E6/$H14</f>
        <v>1.2786093559875096</v>
      </c>
      <c r="F58" s="88">
        <f>F6/$H14</f>
        <v>1.2786093559875096</v>
      </c>
      <c r="G58" s="88">
        <f>G6/$H14</f>
        <v>0.44951110171435887</v>
      </c>
      <c r="H58" s="88">
        <f>H6/$H14</f>
        <v>0.31965233899687739</v>
      </c>
      <c r="I58" s="88">
        <f>I6/$H14</f>
        <v>1.2786093559875096</v>
      </c>
      <c r="J58" s="88">
        <f>J6/$H14</f>
        <v>0.63930467799375479</v>
      </c>
      <c r="K58" s="88">
        <f>K6/$H14</f>
        <v>1.2786093559875096</v>
      </c>
      <c r="L58" s="88">
        <f>L6/$H14</f>
        <v>1.2786093559875096</v>
      </c>
      <c r="M58" s="88">
        <f>M6/$H14</f>
        <v>0.63930467799375479</v>
      </c>
      <c r="N58" s="88">
        <f>N6/$H14</f>
        <v>0.31965233899687739</v>
      </c>
      <c r="O58" s="88">
        <f>O6/$H14</f>
        <v>0.31965233899687739</v>
      </c>
      <c r="P58" s="88">
        <f>P6/$H14</f>
        <v>0.63930467799375479</v>
      </c>
      <c r="R58" s="12" t="s">
        <v>44</v>
      </c>
      <c r="S58" s="10">
        <f>AVERAGE(C58:P58)</f>
        <v>0.8769034031856302</v>
      </c>
      <c r="T58" s="10">
        <f>_xlfn.STDEV.P(C58:P58)</f>
        <v>0.41517497130978004</v>
      </c>
    </row>
    <row r="59" spans="2:20" x14ac:dyDescent="0.25">
      <c r="B59" s="99" t="s">
        <v>72</v>
      </c>
      <c r="C59" s="88">
        <f>C7/$H15</f>
        <v>19.875864570815903</v>
      </c>
      <c r="D59" s="88">
        <f>D7/$H15</f>
        <v>19.875864570815903</v>
      </c>
      <c r="E59" s="88">
        <f>E7/$H15</f>
        <v>19.875864570815903</v>
      </c>
      <c r="F59" s="88">
        <f>F7/$H15</f>
        <v>19.875864570815903</v>
      </c>
      <c r="G59" s="88">
        <f>G7/$H15</f>
        <v>4.9689661427039757</v>
      </c>
      <c r="H59" s="88">
        <f>H7/$H15</f>
        <v>6.9876086381774662</v>
      </c>
      <c r="I59" s="88">
        <f>I7/$H15</f>
        <v>19.875864570815903</v>
      </c>
      <c r="J59" s="88">
        <f>J7/$H15</f>
        <v>19.875864570815903</v>
      </c>
      <c r="K59" s="88">
        <f>K7/$H15</f>
        <v>19.875864570815903</v>
      </c>
      <c r="L59" s="88">
        <f>L7/$H15</f>
        <v>19.875864570815903</v>
      </c>
      <c r="M59" s="88">
        <f>M7/$H15</f>
        <v>19.875864570815903</v>
      </c>
      <c r="N59" s="88">
        <f>N7/$H15</f>
        <v>9.9379322854079515</v>
      </c>
      <c r="O59" s="88">
        <f>O7/$H15</f>
        <v>4.9689661427039757</v>
      </c>
      <c r="P59" s="88">
        <f>P7/$H15</f>
        <v>19.875864570815903</v>
      </c>
      <c r="R59" s="12" t="s">
        <v>72</v>
      </c>
      <c r="S59" s="10">
        <f>AVERAGE(C59:P59)</f>
        <v>16.115865636939457</v>
      </c>
      <c r="T59" s="10">
        <f>AVERAGE(C59:P59)</f>
        <v>16.115865636939457</v>
      </c>
    </row>
    <row r="60" spans="2:20" x14ac:dyDescent="0.25">
      <c r="B60" s="99" t="s">
        <v>100</v>
      </c>
      <c r="C60" s="88">
        <f>C8/$H16</f>
        <v>2.1132018348086747</v>
      </c>
      <c r="D60" s="88">
        <f>D8/$H16</f>
        <v>2.1132018348086747</v>
      </c>
      <c r="E60" s="88">
        <f>E8/$H16</f>
        <v>2.1132018348086747</v>
      </c>
      <c r="F60" s="88">
        <f>F8/$H16</f>
        <v>2.1132018348086747</v>
      </c>
      <c r="G60" s="88">
        <f>G8/$H16</f>
        <v>1.4858450400998495</v>
      </c>
      <c r="H60" s="88">
        <f>H8/$H16</f>
        <v>2.1132018348086747</v>
      </c>
      <c r="I60" s="88">
        <f>I8/$H16</f>
        <v>2.1132018348086747</v>
      </c>
      <c r="J60" s="88">
        <f>J8/$H16</f>
        <v>2.1132018348086747</v>
      </c>
      <c r="K60" s="88">
        <f>K8/$H16</f>
        <v>2.1132018348086747</v>
      </c>
      <c r="L60" s="88">
        <f>L8/$H16</f>
        <v>2.1132018348086747</v>
      </c>
      <c r="M60" s="88">
        <f>M8/$H16</f>
        <v>1.0566009174043374</v>
      </c>
      <c r="N60" s="88">
        <f>N8/$H16</f>
        <v>0.74292252004992476</v>
      </c>
      <c r="O60" s="88">
        <f>O8/$H16</f>
        <v>2.1132018348086747</v>
      </c>
      <c r="P60" s="88">
        <f>P8/$H16</f>
        <v>2.1132018348086747</v>
      </c>
      <c r="R60" s="99" t="s">
        <v>100</v>
      </c>
      <c r="S60" s="10">
        <f>AVERAGE(C60:P60)</f>
        <v>1.8950420471749663</v>
      </c>
      <c r="T60" s="10">
        <f>AVERAGE(C60:P60)</f>
        <v>1.8950420471749663</v>
      </c>
    </row>
    <row r="61" spans="2:20" x14ac:dyDescent="0.25">
      <c r="B61" s="97" t="s">
        <v>87</v>
      </c>
      <c r="C61" s="97"/>
      <c r="D61" s="98" t="s">
        <v>77</v>
      </c>
      <c r="E61" s="98"/>
      <c r="F61" s="98"/>
      <c r="G61" s="98" t="s">
        <v>78</v>
      </c>
      <c r="H61" s="98"/>
      <c r="I61" s="98"/>
      <c r="J61" s="98" t="s">
        <v>77</v>
      </c>
      <c r="K61" s="98"/>
      <c r="L61" s="98"/>
      <c r="M61" s="98" t="s">
        <v>78</v>
      </c>
      <c r="N61" s="98"/>
      <c r="O61" s="98"/>
      <c r="P61" s="90"/>
    </row>
    <row r="62" spans="2:20" x14ac:dyDescent="0.25">
      <c r="B62" s="90" t="s">
        <v>81</v>
      </c>
      <c r="C62" s="85" t="s">
        <v>71</v>
      </c>
      <c r="D62" s="85" t="s">
        <v>74</v>
      </c>
      <c r="E62" s="85" t="s">
        <v>75</v>
      </c>
      <c r="F62" s="85" t="s">
        <v>76</v>
      </c>
      <c r="G62" s="85" t="s">
        <v>74</v>
      </c>
      <c r="H62" s="85" t="s">
        <v>75</v>
      </c>
      <c r="I62" s="85" t="s">
        <v>76</v>
      </c>
      <c r="J62" s="85" t="s">
        <v>74</v>
      </c>
      <c r="K62" s="85" t="s">
        <v>75</v>
      </c>
      <c r="L62" s="85" t="s">
        <v>76</v>
      </c>
      <c r="M62" s="85" t="s">
        <v>74</v>
      </c>
      <c r="N62" s="85" t="s">
        <v>75</v>
      </c>
      <c r="O62" s="85" t="s">
        <v>76</v>
      </c>
      <c r="P62" s="85" t="s">
        <v>79</v>
      </c>
      <c r="R62" s="1"/>
      <c r="S62" s="1" t="s">
        <v>92</v>
      </c>
      <c r="T62" s="1" t="s">
        <v>91</v>
      </c>
    </row>
    <row r="63" spans="2:20" x14ac:dyDescent="0.25">
      <c r="B63" s="99" t="s">
        <v>42</v>
      </c>
      <c r="C63" s="88">
        <f>C4/$I12</f>
        <v>3.030689011494633</v>
      </c>
      <c r="D63" s="88">
        <f t="shared" ref="D63:P63" si="20">D4/$I12</f>
        <v>3.030689011494633</v>
      </c>
      <c r="E63" s="88">
        <f t="shared" si="20"/>
        <v>3.030689011494633</v>
      </c>
      <c r="F63" s="88">
        <f t="shared" si="20"/>
        <v>3.030689011494633</v>
      </c>
      <c r="G63" s="88">
        <f t="shared" si="20"/>
        <v>1.5153445057473165</v>
      </c>
      <c r="H63" s="88">
        <f t="shared" si="20"/>
        <v>3.030689011494633</v>
      </c>
      <c r="I63" s="88">
        <f t="shared" si="20"/>
        <v>3.030689011494633</v>
      </c>
      <c r="J63" s="88">
        <f t="shared" si="20"/>
        <v>1.0654766056035818</v>
      </c>
      <c r="K63" s="88">
        <f t="shared" si="20"/>
        <v>2.1309532112071636</v>
      </c>
      <c r="L63" s="88">
        <f t="shared" si="20"/>
        <v>2.1309532112071636</v>
      </c>
      <c r="M63" s="88">
        <f t="shared" si="20"/>
        <v>1.0654766056035818</v>
      </c>
      <c r="N63" s="88">
        <f t="shared" si="20"/>
        <v>1.0654766056035818</v>
      </c>
      <c r="O63" s="88">
        <f t="shared" si="20"/>
        <v>2.1309532112071636</v>
      </c>
      <c r="P63" s="88">
        <f t="shared" si="20"/>
        <v>2.1309532112071636</v>
      </c>
      <c r="R63" s="12" t="s">
        <v>42</v>
      </c>
      <c r="S63" s="10">
        <f>AVERAGE(C63:P63)</f>
        <v>2.2442658025967512</v>
      </c>
      <c r="T63" s="10">
        <f>_xlfn.STDEV.P(C63:P63)</f>
        <v>0.77745399148544925</v>
      </c>
    </row>
    <row r="64" spans="2:20" x14ac:dyDescent="0.25">
      <c r="B64" s="99" t="s">
        <v>43</v>
      </c>
      <c r="C64" s="88">
        <f>C5/$I13</f>
        <v>4.4597491632576043</v>
      </c>
      <c r="D64" s="88">
        <f>D5/$I13</f>
        <v>4.4597491632576043</v>
      </c>
      <c r="E64" s="88">
        <f>E5/$I13</f>
        <v>8.9194983265152086</v>
      </c>
      <c r="F64" s="88">
        <f>F5/$I13</f>
        <v>8.9194983265152086</v>
      </c>
      <c r="G64" s="88">
        <f>G5/$I13</f>
        <v>2.2298745816288021</v>
      </c>
      <c r="H64" s="88">
        <f>H5/$I13</f>
        <v>3.1357611304155029</v>
      </c>
      <c r="I64" s="88">
        <f>I5/$I13</f>
        <v>8.9194983265152086</v>
      </c>
      <c r="J64" s="88">
        <f>J5/$I13</f>
        <v>4.4597491632576043</v>
      </c>
      <c r="K64" s="88">
        <f>K5/$I13</f>
        <v>4.4597491632576043</v>
      </c>
      <c r="L64" s="88">
        <f>L5/$I13</f>
        <v>8.9194983265152086</v>
      </c>
      <c r="M64" s="88">
        <f>M5/$I13</f>
        <v>2.2298745816288021</v>
      </c>
      <c r="N64" s="88">
        <f>N5/$I13</f>
        <v>3.1357611304155029</v>
      </c>
      <c r="O64" s="88">
        <f>O5/$I13</f>
        <v>4.4597491632576043</v>
      </c>
      <c r="P64" s="88">
        <f>P5/$I13</f>
        <v>3.1357611304155029</v>
      </c>
      <c r="R64" s="12" t="s">
        <v>43</v>
      </c>
      <c r="S64" s="10">
        <f>AVERAGE(C64:P64)</f>
        <v>5.1316979769180682</v>
      </c>
      <c r="T64" s="10">
        <f>_xlfn.STDEV.P(C64:P64)</f>
        <v>2.5133891705240714</v>
      </c>
    </row>
    <row r="65" spans="2:20" x14ac:dyDescent="0.25">
      <c r="B65" s="99" t="s">
        <v>44</v>
      </c>
      <c r="C65" s="88">
        <f>C6/$I14</f>
        <v>1.5202762122684257</v>
      </c>
      <c r="D65" s="88">
        <f t="shared" ref="D65:P65" si="21">D6/$I14</f>
        <v>1.5202762122684257</v>
      </c>
      <c r="E65" s="88">
        <f t="shared" si="21"/>
        <v>1.5202762122684257</v>
      </c>
      <c r="F65" s="88">
        <f t="shared" si="21"/>
        <v>1.5202762122684257</v>
      </c>
      <c r="G65" s="88">
        <f t="shared" si="21"/>
        <v>0.53447210587561833</v>
      </c>
      <c r="H65" s="88">
        <f t="shared" si="21"/>
        <v>0.38006905306710642</v>
      </c>
      <c r="I65" s="88">
        <f t="shared" si="21"/>
        <v>1.5202762122684257</v>
      </c>
      <c r="J65" s="88">
        <f t="shared" si="21"/>
        <v>0.76013810613421284</v>
      </c>
      <c r="K65" s="88">
        <f t="shared" si="21"/>
        <v>1.5202762122684257</v>
      </c>
      <c r="L65" s="88">
        <f t="shared" si="21"/>
        <v>1.5202762122684257</v>
      </c>
      <c r="M65" s="88">
        <f t="shared" si="21"/>
        <v>0.76013810613421284</v>
      </c>
      <c r="N65" s="88">
        <f t="shared" si="21"/>
        <v>0.38006905306710642</v>
      </c>
      <c r="O65" s="88">
        <f t="shared" si="21"/>
        <v>0.38006905306710642</v>
      </c>
      <c r="P65" s="88">
        <f t="shared" si="21"/>
        <v>0.76013810613421284</v>
      </c>
      <c r="R65" s="12" t="s">
        <v>44</v>
      </c>
      <c r="S65" s="10">
        <f>AVERAGE(C65:P65)</f>
        <v>1.0426447906684682</v>
      </c>
      <c r="T65" s="10">
        <f>_xlfn.STDEV.P(C65:P65)</f>
        <v>0.49364618666035381</v>
      </c>
    </row>
    <row r="66" spans="2:20" x14ac:dyDescent="0.25">
      <c r="B66" s="99" t="s">
        <v>72</v>
      </c>
      <c r="C66" s="88">
        <f>C7/$I15</f>
        <v>8.9194983265152086</v>
      </c>
      <c r="D66" s="88">
        <f>D7/$I15</f>
        <v>8.9194983265152086</v>
      </c>
      <c r="E66" s="88">
        <f>E7/$I15</f>
        <v>8.9194983265152086</v>
      </c>
      <c r="F66" s="88">
        <f>F7/$I15</f>
        <v>8.9194983265152086</v>
      </c>
      <c r="G66" s="88">
        <f>G7/$I15</f>
        <v>2.2298745816288021</v>
      </c>
      <c r="H66" s="88">
        <f>H7/$I15</f>
        <v>3.1357611304155029</v>
      </c>
      <c r="I66" s="88">
        <f>I7/$I15</f>
        <v>8.9194983265152086</v>
      </c>
      <c r="J66" s="88">
        <f>J7/$I15</f>
        <v>8.9194983265152086</v>
      </c>
      <c r="K66" s="88">
        <f>K7/$I15</f>
        <v>8.9194983265152086</v>
      </c>
      <c r="L66" s="88">
        <f>L7/$I15</f>
        <v>8.9194983265152086</v>
      </c>
      <c r="M66" s="88">
        <f>M7/$I15</f>
        <v>8.9194983265152086</v>
      </c>
      <c r="N66" s="88">
        <f>N7/$I15</f>
        <v>4.4597491632576043</v>
      </c>
      <c r="O66" s="88">
        <f>O7/$I15</f>
        <v>2.2298745816288021</v>
      </c>
      <c r="P66" s="88">
        <f>P7/$I15</f>
        <v>8.9194983265152086</v>
      </c>
      <c r="R66" s="12" t="s">
        <v>72</v>
      </c>
      <c r="S66" s="10">
        <f>AVERAGE(C66:P66)</f>
        <v>7.2321601944344858</v>
      </c>
      <c r="T66" s="10">
        <f>AVERAGE(C66:P66)</f>
        <v>7.2321601944344858</v>
      </c>
    </row>
    <row r="67" spans="2:20" x14ac:dyDescent="0.25">
      <c r="B67" s="99" t="s">
        <v>100</v>
      </c>
      <c r="C67" s="88">
        <f>C8/$I16</f>
        <v>1.8828059701578179</v>
      </c>
      <c r="D67" s="88">
        <f>D8/$I16</f>
        <v>1.8828059701578179</v>
      </c>
      <c r="E67" s="88">
        <f>E8/$I16</f>
        <v>1.8828059701578179</v>
      </c>
      <c r="F67" s="88">
        <f>F8/$I16</f>
        <v>1.8828059701578179</v>
      </c>
      <c r="G67" s="88">
        <f>G8/$I16</f>
        <v>1.3238479477672156</v>
      </c>
      <c r="H67" s="88">
        <f>H8/$I16</f>
        <v>1.8828059701578179</v>
      </c>
      <c r="I67" s="88">
        <f>I8/$I16</f>
        <v>1.8828059701578179</v>
      </c>
      <c r="J67" s="88">
        <f>J8/$I16</f>
        <v>1.8828059701578179</v>
      </c>
      <c r="K67" s="88">
        <f>K8/$I16</f>
        <v>1.8828059701578179</v>
      </c>
      <c r="L67" s="88">
        <f>L8/$I16</f>
        <v>1.8828059701578179</v>
      </c>
      <c r="M67" s="88">
        <f>M8/$I16</f>
        <v>0.94140298507890896</v>
      </c>
      <c r="N67" s="88">
        <f>N8/$I16</f>
        <v>0.6619239738836078</v>
      </c>
      <c r="O67" s="88">
        <f>O8/$I16</f>
        <v>1.8828059701578179</v>
      </c>
      <c r="P67" s="88">
        <f>P8/$I16</f>
        <v>1.8828059701578179</v>
      </c>
      <c r="R67" s="99" t="s">
        <v>100</v>
      </c>
      <c r="S67" s="10">
        <f>AVERAGE(C67:P67)</f>
        <v>1.6884314698904093</v>
      </c>
      <c r="T67" s="10">
        <f>AVERAGE(C67:P67)</f>
        <v>1.6884314698904093</v>
      </c>
    </row>
    <row r="68" spans="2:20" x14ac:dyDescent="0.25">
      <c r="B68" s="97" t="s">
        <v>88</v>
      </c>
      <c r="C68" s="97"/>
      <c r="D68" s="98" t="s">
        <v>77</v>
      </c>
      <c r="E68" s="98"/>
      <c r="F68" s="98"/>
      <c r="G68" s="98" t="s">
        <v>78</v>
      </c>
      <c r="H68" s="98"/>
      <c r="I68" s="98"/>
      <c r="J68" s="98" t="s">
        <v>77</v>
      </c>
      <c r="K68" s="98"/>
      <c r="L68" s="98"/>
      <c r="M68" s="98" t="s">
        <v>78</v>
      </c>
      <c r="N68" s="98"/>
      <c r="O68" s="98"/>
      <c r="P68" s="90"/>
    </row>
    <row r="69" spans="2:20" x14ac:dyDescent="0.25">
      <c r="B69" s="90" t="s">
        <v>81</v>
      </c>
      <c r="C69" s="85" t="s">
        <v>71</v>
      </c>
      <c r="D69" s="85" t="s">
        <v>74</v>
      </c>
      <c r="E69" s="85" t="s">
        <v>75</v>
      </c>
      <c r="F69" s="85" t="s">
        <v>76</v>
      </c>
      <c r="G69" s="85" t="s">
        <v>74</v>
      </c>
      <c r="H69" s="85" t="s">
        <v>75</v>
      </c>
      <c r="I69" s="85" t="s">
        <v>76</v>
      </c>
      <c r="J69" s="85" t="s">
        <v>74</v>
      </c>
      <c r="K69" s="85" t="s">
        <v>75</v>
      </c>
      <c r="L69" s="85" t="s">
        <v>76</v>
      </c>
      <c r="M69" s="85" t="s">
        <v>74</v>
      </c>
      <c r="N69" s="85" t="s">
        <v>75</v>
      </c>
      <c r="O69" s="85" t="s">
        <v>76</v>
      </c>
      <c r="P69" s="85" t="s">
        <v>79</v>
      </c>
      <c r="R69" s="1"/>
      <c r="S69" s="1"/>
      <c r="T69" s="1"/>
    </row>
    <row r="70" spans="2:20" x14ac:dyDescent="0.25">
      <c r="B70" s="99" t="s">
        <v>42</v>
      </c>
      <c r="C70" s="88">
        <f>C4/$J12</f>
        <v>9.2838884394830661</v>
      </c>
      <c r="D70" s="88">
        <f t="shared" ref="D70:P70" si="22">D4/$J12</f>
        <v>9.2838884394830661</v>
      </c>
      <c r="E70" s="88">
        <f t="shared" si="22"/>
        <v>9.2838884394830661</v>
      </c>
      <c r="F70" s="88">
        <f t="shared" si="22"/>
        <v>9.2838884394830661</v>
      </c>
      <c r="G70" s="88">
        <f t="shared" si="22"/>
        <v>4.641944219741533</v>
      </c>
      <c r="H70" s="88">
        <f t="shared" si="22"/>
        <v>9.2838884394830661</v>
      </c>
      <c r="I70" s="88">
        <f t="shared" si="22"/>
        <v>9.2838884394830661</v>
      </c>
      <c r="J70" s="88">
        <f t="shared" si="22"/>
        <v>3.2638670295057652</v>
      </c>
      <c r="K70" s="88">
        <f t="shared" si="22"/>
        <v>6.5277340590115305</v>
      </c>
      <c r="L70" s="88">
        <f t="shared" si="22"/>
        <v>6.5277340590115305</v>
      </c>
      <c r="M70" s="88">
        <f t="shared" si="22"/>
        <v>3.2638670295057652</v>
      </c>
      <c r="N70" s="88">
        <f t="shared" si="22"/>
        <v>3.2638670295057652</v>
      </c>
      <c r="O70" s="88">
        <f t="shared" si="22"/>
        <v>6.5277340590115305</v>
      </c>
      <c r="P70" s="88">
        <f t="shared" si="22"/>
        <v>6.5277340590115305</v>
      </c>
      <c r="R70" s="100"/>
      <c r="S70" s="10"/>
      <c r="T70" s="10"/>
    </row>
    <row r="71" spans="2:20" x14ac:dyDescent="0.25">
      <c r="B71" s="99" t="s">
        <v>43</v>
      </c>
      <c r="C71" s="88" t="e">
        <f>C5/$J13</f>
        <v>#DIV/0!</v>
      </c>
      <c r="D71" s="88" t="e">
        <f>D5/$J13</f>
        <v>#DIV/0!</v>
      </c>
      <c r="E71" s="88" t="e">
        <f>E5/$J13</f>
        <v>#DIV/0!</v>
      </c>
      <c r="F71" s="88" t="e">
        <f>F5/$J13</f>
        <v>#DIV/0!</v>
      </c>
      <c r="G71" s="88" t="e">
        <f>G5/$J13</f>
        <v>#DIV/0!</v>
      </c>
      <c r="H71" s="88" t="e">
        <f>H5/$J13</f>
        <v>#DIV/0!</v>
      </c>
      <c r="I71" s="88" t="e">
        <f>I5/$J13</f>
        <v>#DIV/0!</v>
      </c>
      <c r="J71" s="88" t="e">
        <f>J5/$J13</f>
        <v>#DIV/0!</v>
      </c>
      <c r="K71" s="88" t="e">
        <f>K5/$J13</f>
        <v>#DIV/0!</v>
      </c>
      <c r="L71" s="88" t="e">
        <f>L5/$J13</f>
        <v>#DIV/0!</v>
      </c>
      <c r="M71" s="88" t="e">
        <f>M5/$J13</f>
        <v>#DIV/0!</v>
      </c>
      <c r="N71" s="88" t="e">
        <f>N5/$J13</f>
        <v>#DIV/0!</v>
      </c>
      <c r="O71" s="88" t="e">
        <f>O5/$J13</f>
        <v>#DIV/0!</v>
      </c>
      <c r="P71" s="88" t="e">
        <f>P5/$J13</f>
        <v>#DIV/0!</v>
      </c>
      <c r="R71" s="100"/>
      <c r="S71" s="10"/>
      <c r="T71" s="10"/>
    </row>
    <row r="72" spans="2:20" x14ac:dyDescent="0.25">
      <c r="B72" s="99" t="s">
        <v>44</v>
      </c>
      <c r="C72" s="88">
        <f>C6/$J14</f>
        <v>4.9597096022020954</v>
      </c>
      <c r="D72" s="88">
        <f t="shared" ref="D72:P72" si="23">D6/$J14</f>
        <v>4.9597096022020954</v>
      </c>
      <c r="E72" s="88">
        <f t="shared" si="23"/>
        <v>4.9597096022020954</v>
      </c>
      <c r="F72" s="88">
        <f t="shared" si="23"/>
        <v>4.9597096022020954</v>
      </c>
      <c r="G72" s="88">
        <f t="shared" si="23"/>
        <v>1.7436479070241742</v>
      </c>
      <c r="H72" s="88">
        <f t="shared" si="23"/>
        <v>1.2399274005505239</v>
      </c>
      <c r="I72" s="88">
        <f t="shared" si="23"/>
        <v>4.9597096022020954</v>
      </c>
      <c r="J72" s="88">
        <f t="shared" si="23"/>
        <v>2.4798548011010477</v>
      </c>
      <c r="K72" s="88">
        <f t="shared" si="23"/>
        <v>4.9597096022020954</v>
      </c>
      <c r="L72" s="88">
        <f t="shared" si="23"/>
        <v>4.9597096022020954</v>
      </c>
      <c r="M72" s="88">
        <f t="shared" si="23"/>
        <v>2.4798548011010477</v>
      </c>
      <c r="N72" s="88">
        <f t="shared" si="23"/>
        <v>1.2399274005505239</v>
      </c>
      <c r="O72" s="88">
        <f t="shared" si="23"/>
        <v>1.2399274005505239</v>
      </c>
      <c r="P72" s="88">
        <f t="shared" si="23"/>
        <v>2.4798548011010477</v>
      </c>
      <c r="R72" s="100"/>
      <c r="S72" s="10"/>
      <c r="T72" s="10"/>
    </row>
    <row r="73" spans="2:20" x14ac:dyDescent="0.25">
      <c r="B73" s="99" t="s">
        <v>72</v>
      </c>
      <c r="C73" s="88" t="e">
        <f>C7/$J15</f>
        <v>#DIV/0!</v>
      </c>
      <c r="D73" s="88" t="e">
        <f t="shared" ref="D73:P74" si="24">D7/$J15</f>
        <v>#DIV/0!</v>
      </c>
      <c r="E73" s="88" t="e">
        <f t="shared" si="24"/>
        <v>#DIV/0!</v>
      </c>
      <c r="F73" s="88" t="e">
        <f t="shared" si="24"/>
        <v>#DIV/0!</v>
      </c>
      <c r="G73" s="88" t="e">
        <f t="shared" si="24"/>
        <v>#DIV/0!</v>
      </c>
      <c r="H73" s="88" t="e">
        <f t="shared" si="24"/>
        <v>#DIV/0!</v>
      </c>
      <c r="I73" s="88" t="e">
        <f t="shared" si="24"/>
        <v>#DIV/0!</v>
      </c>
      <c r="J73" s="88" t="e">
        <f t="shared" si="24"/>
        <v>#DIV/0!</v>
      </c>
      <c r="K73" s="88" t="e">
        <f t="shared" si="24"/>
        <v>#DIV/0!</v>
      </c>
      <c r="L73" s="88" t="e">
        <f t="shared" si="24"/>
        <v>#DIV/0!</v>
      </c>
      <c r="M73" s="88" t="e">
        <f t="shared" si="24"/>
        <v>#DIV/0!</v>
      </c>
      <c r="N73" s="88" t="e">
        <f t="shared" si="24"/>
        <v>#DIV/0!</v>
      </c>
      <c r="O73" s="88" t="e">
        <f t="shared" si="24"/>
        <v>#DIV/0!</v>
      </c>
      <c r="P73" s="88" t="e">
        <f t="shared" si="24"/>
        <v>#DIV/0!</v>
      </c>
      <c r="R73" s="100"/>
      <c r="S73" s="10"/>
      <c r="T73" s="10"/>
    </row>
    <row r="74" spans="2:20" x14ac:dyDescent="0.25">
      <c r="B74" s="99" t="s">
        <v>100</v>
      </c>
      <c r="C74" s="88" t="e">
        <f>C8/$J16</f>
        <v>#DIV/0!</v>
      </c>
      <c r="D74" s="88" t="e">
        <f t="shared" si="24"/>
        <v>#DIV/0!</v>
      </c>
      <c r="E74" s="88" t="e">
        <f t="shared" si="24"/>
        <v>#DIV/0!</v>
      </c>
      <c r="F74" s="88" t="e">
        <f t="shared" si="24"/>
        <v>#DIV/0!</v>
      </c>
      <c r="G74" s="88" t="e">
        <f t="shared" si="24"/>
        <v>#DIV/0!</v>
      </c>
      <c r="H74" s="88" t="e">
        <f t="shared" si="24"/>
        <v>#DIV/0!</v>
      </c>
      <c r="I74" s="88" t="e">
        <f t="shared" si="24"/>
        <v>#DIV/0!</v>
      </c>
      <c r="J74" s="88" t="e">
        <f t="shared" si="24"/>
        <v>#DIV/0!</v>
      </c>
      <c r="K74" s="88" t="e">
        <f t="shared" si="24"/>
        <v>#DIV/0!</v>
      </c>
      <c r="L74" s="88" t="e">
        <f t="shared" si="24"/>
        <v>#DIV/0!</v>
      </c>
      <c r="M74" s="88" t="e">
        <f t="shared" si="24"/>
        <v>#DIV/0!</v>
      </c>
      <c r="N74" s="88" t="e">
        <f t="shared" si="24"/>
        <v>#DIV/0!</v>
      </c>
      <c r="O74" s="88" t="e">
        <f t="shared" si="24"/>
        <v>#DIV/0!</v>
      </c>
      <c r="P74" s="88" t="e">
        <f t="shared" si="24"/>
        <v>#DIV/0!</v>
      </c>
      <c r="R74" s="100"/>
      <c r="S74" s="10"/>
      <c r="T74" s="10"/>
    </row>
    <row r="75" spans="2:20" x14ac:dyDescent="0.25">
      <c r="B75" s="97" t="s">
        <v>89</v>
      </c>
      <c r="C75" s="97"/>
      <c r="D75" s="98" t="s">
        <v>77</v>
      </c>
      <c r="E75" s="98"/>
      <c r="F75" s="98"/>
      <c r="G75" s="98" t="s">
        <v>78</v>
      </c>
      <c r="H75" s="98"/>
      <c r="I75" s="98"/>
      <c r="J75" s="98" t="s">
        <v>77</v>
      </c>
      <c r="K75" s="98"/>
      <c r="L75" s="98"/>
      <c r="M75" s="98" t="s">
        <v>78</v>
      </c>
      <c r="N75" s="98"/>
      <c r="O75" s="98"/>
      <c r="P75" s="90"/>
      <c r="R75" s="101"/>
    </row>
    <row r="76" spans="2:20" x14ac:dyDescent="0.25">
      <c r="B76" s="90" t="s">
        <v>81</v>
      </c>
      <c r="C76" s="85" t="s">
        <v>71</v>
      </c>
      <c r="D76" s="85" t="s">
        <v>74</v>
      </c>
      <c r="E76" s="85" t="s">
        <v>75</v>
      </c>
      <c r="F76" s="85" t="s">
        <v>76</v>
      </c>
      <c r="G76" s="85" t="s">
        <v>74</v>
      </c>
      <c r="H76" s="85" t="s">
        <v>75</v>
      </c>
      <c r="I76" s="85" t="s">
        <v>76</v>
      </c>
      <c r="J76" s="85" t="s">
        <v>74</v>
      </c>
      <c r="K76" s="85" t="s">
        <v>75</v>
      </c>
      <c r="L76" s="85" t="s">
        <v>76</v>
      </c>
      <c r="M76" s="85" t="s">
        <v>74</v>
      </c>
      <c r="N76" s="85" t="s">
        <v>75</v>
      </c>
      <c r="O76" s="85" t="s">
        <v>76</v>
      </c>
      <c r="P76" s="85" t="s">
        <v>79</v>
      </c>
      <c r="R76" s="100"/>
      <c r="S76" s="1"/>
      <c r="T76" s="1"/>
    </row>
    <row r="77" spans="2:20" x14ac:dyDescent="0.25">
      <c r="B77" s="99" t="s">
        <v>42</v>
      </c>
      <c r="C77" s="88">
        <f>C4/$K12</f>
        <v>9.2086341758894328</v>
      </c>
      <c r="D77" s="88">
        <f t="shared" ref="D77:P77" si="25">D4/$K12</f>
        <v>9.2086341758894328</v>
      </c>
      <c r="E77" s="88">
        <f t="shared" si="25"/>
        <v>9.2086341758894328</v>
      </c>
      <c r="F77" s="88">
        <f t="shared" si="25"/>
        <v>9.2086341758894328</v>
      </c>
      <c r="G77" s="88">
        <f t="shared" si="25"/>
        <v>4.6043170879447164</v>
      </c>
      <c r="H77" s="88">
        <f t="shared" si="25"/>
        <v>9.2086341758894328</v>
      </c>
      <c r="I77" s="88">
        <f t="shared" si="25"/>
        <v>9.2086341758894328</v>
      </c>
      <c r="J77" s="88">
        <f t="shared" si="25"/>
        <v>3.2374104524611287</v>
      </c>
      <c r="K77" s="88">
        <f t="shared" si="25"/>
        <v>6.4748209049222574</v>
      </c>
      <c r="L77" s="88">
        <f t="shared" si="25"/>
        <v>6.4748209049222574</v>
      </c>
      <c r="M77" s="88">
        <f t="shared" si="25"/>
        <v>3.2374104524611287</v>
      </c>
      <c r="N77" s="88">
        <f t="shared" si="25"/>
        <v>3.2374104524611287</v>
      </c>
      <c r="O77" s="88">
        <f t="shared" si="25"/>
        <v>6.4748209049222574</v>
      </c>
      <c r="P77" s="88">
        <f t="shared" si="25"/>
        <v>6.4748209049222574</v>
      </c>
      <c r="R77" s="100"/>
      <c r="S77" s="10"/>
      <c r="T77" s="10"/>
    </row>
    <row r="78" spans="2:20" x14ac:dyDescent="0.25">
      <c r="B78" s="99" t="s">
        <v>43</v>
      </c>
      <c r="C78" s="88">
        <f>C5/$K13</f>
        <v>33.726877525969485</v>
      </c>
      <c r="D78" s="88">
        <f>D5/$K13</f>
        <v>33.726877525969485</v>
      </c>
      <c r="E78" s="88">
        <f>E5/$K13</f>
        <v>67.45375505193897</v>
      </c>
      <c r="F78" s="88">
        <f>F5/$K13</f>
        <v>67.45375505193897</v>
      </c>
      <c r="G78" s="88">
        <f>G5/$K13</f>
        <v>16.863438762984742</v>
      </c>
      <c r="H78" s="88">
        <f>H5/$K13</f>
        <v>23.714210760447294</v>
      </c>
      <c r="I78" s="88">
        <f>I5/$K13</f>
        <v>67.45375505193897</v>
      </c>
      <c r="J78" s="88">
        <f>J5/$K13</f>
        <v>33.726877525969485</v>
      </c>
      <c r="K78" s="88">
        <f>K5/$K13</f>
        <v>33.726877525969485</v>
      </c>
      <c r="L78" s="88">
        <f>L5/$K13</f>
        <v>67.45375505193897</v>
      </c>
      <c r="M78" s="88">
        <f>M5/$K13</f>
        <v>16.863438762984742</v>
      </c>
      <c r="N78" s="88">
        <f>N5/$K13</f>
        <v>23.714210760447294</v>
      </c>
      <c r="O78" s="88">
        <f>O5/$K13</f>
        <v>33.726877525969485</v>
      </c>
      <c r="P78" s="88">
        <f>P5/$K13</f>
        <v>23.714210760447294</v>
      </c>
      <c r="R78" s="100"/>
      <c r="S78" s="10"/>
      <c r="T78" s="10"/>
    </row>
    <row r="79" spans="2:20" x14ac:dyDescent="0.25">
      <c r="B79" s="99" t="s">
        <v>44</v>
      </c>
      <c r="C79" s="88">
        <f>C6/$K14</f>
        <v>5.6117834176817807</v>
      </c>
      <c r="D79" s="88">
        <f>D6/$K14</f>
        <v>5.6117834176817807</v>
      </c>
      <c r="E79" s="88">
        <f>E6/$K14</f>
        <v>5.6117834176817807</v>
      </c>
      <c r="F79" s="88">
        <f>F6/$K14</f>
        <v>5.6117834176817807</v>
      </c>
      <c r="G79" s="88">
        <f>G6/$K14</f>
        <v>1.972892607778751</v>
      </c>
      <c r="H79" s="88">
        <f>H6/$K14</f>
        <v>1.4029458544204452</v>
      </c>
      <c r="I79" s="88">
        <f>I6/$K14</f>
        <v>5.6117834176817807</v>
      </c>
      <c r="J79" s="88">
        <f>J6/$K14</f>
        <v>2.8058917088408903</v>
      </c>
      <c r="K79" s="88">
        <f>K6/$K14</f>
        <v>5.6117834176817807</v>
      </c>
      <c r="L79" s="88">
        <f>L6/$K14</f>
        <v>5.6117834176817807</v>
      </c>
      <c r="M79" s="88">
        <f>M6/$K14</f>
        <v>2.8058917088408903</v>
      </c>
      <c r="N79" s="88">
        <f>N6/$K14</f>
        <v>1.4029458544204452</v>
      </c>
      <c r="O79" s="88">
        <f>O6/$K14</f>
        <v>1.4029458544204452</v>
      </c>
      <c r="P79" s="88">
        <f>P6/$K14</f>
        <v>2.8058917088408903</v>
      </c>
      <c r="R79" s="100"/>
      <c r="S79" s="10"/>
      <c r="T79" s="10"/>
    </row>
    <row r="80" spans="2:20" x14ac:dyDescent="0.25">
      <c r="B80" s="99" t="s">
        <v>72</v>
      </c>
      <c r="C80" s="88">
        <f>C7/$K15</f>
        <v>1164.8885630089558</v>
      </c>
      <c r="D80" s="88">
        <f>D7/$K15</f>
        <v>1164.8885630089558</v>
      </c>
      <c r="E80" s="88">
        <f>E7/$K15</f>
        <v>1164.8885630089558</v>
      </c>
      <c r="F80" s="88">
        <f>F7/$K15</f>
        <v>1164.8885630089558</v>
      </c>
      <c r="G80" s="88">
        <f>G7/$K15</f>
        <v>291.22214075223894</v>
      </c>
      <c r="H80" s="88">
        <f>H7/$K15</f>
        <v>409.53113543283598</v>
      </c>
      <c r="I80" s="88">
        <f>I7/$K15</f>
        <v>1164.8885630089558</v>
      </c>
      <c r="J80" s="88">
        <f>J7/$K15</f>
        <v>1164.8885630089558</v>
      </c>
      <c r="K80" s="88">
        <f>K7/$K15</f>
        <v>1164.8885630089558</v>
      </c>
      <c r="L80" s="88">
        <f>L7/$K15</f>
        <v>1164.8885630089558</v>
      </c>
      <c r="M80" s="88">
        <f>M7/$K15</f>
        <v>1164.8885630089558</v>
      </c>
      <c r="N80" s="88">
        <f>N7/$K15</f>
        <v>582.44428150447789</v>
      </c>
      <c r="O80" s="88">
        <f>O7/$K15</f>
        <v>291.22214075223894</v>
      </c>
      <c r="P80" s="88">
        <f>P7/$K15</f>
        <v>1164.8885630089558</v>
      </c>
      <c r="R80" s="100"/>
      <c r="S80" s="10"/>
      <c r="T80" s="10"/>
    </row>
    <row r="81" spans="2:20" x14ac:dyDescent="0.25">
      <c r="B81" s="99" t="s">
        <v>100</v>
      </c>
      <c r="C81" s="88">
        <f>C8/$K16</f>
        <v>15.796580034984405</v>
      </c>
      <c r="D81" s="88">
        <f>D8/$K16</f>
        <v>15.796580034984405</v>
      </c>
      <c r="E81" s="88">
        <f>E8/$K16</f>
        <v>15.796580034984405</v>
      </c>
      <c r="F81" s="88">
        <f>F8/$K16</f>
        <v>15.796580034984405</v>
      </c>
      <c r="G81" s="88">
        <f>G8/$K16</f>
        <v>11.10697033709841</v>
      </c>
      <c r="H81" s="88">
        <f>H8/$K16</f>
        <v>15.796580034984405</v>
      </c>
      <c r="I81" s="88">
        <f>I8/$K16</f>
        <v>15.796580034984405</v>
      </c>
      <c r="J81" s="88">
        <f>J8/$K16</f>
        <v>15.796580034984405</v>
      </c>
      <c r="K81" s="88">
        <f>K8/$K16</f>
        <v>15.796580034984405</v>
      </c>
      <c r="L81" s="88">
        <f>L8/$K16</f>
        <v>15.796580034984405</v>
      </c>
      <c r="M81" s="88">
        <f>M8/$K16</f>
        <v>7.8982900174922026</v>
      </c>
      <c r="N81" s="88">
        <f>N8/$K16</f>
        <v>5.553485168549205</v>
      </c>
      <c r="O81" s="88">
        <f>O8/$K16</f>
        <v>15.796580034984405</v>
      </c>
      <c r="P81" s="88">
        <f>P8/$K16</f>
        <v>15.796580034984405</v>
      </c>
      <c r="R81" s="100"/>
      <c r="S81" s="10"/>
      <c r="T81" s="10"/>
    </row>
    <row r="82" spans="2:20" x14ac:dyDescent="0.25">
      <c r="B82" s="97" t="s">
        <v>90</v>
      </c>
      <c r="C82" s="97"/>
      <c r="D82" s="98" t="s">
        <v>77</v>
      </c>
      <c r="E82" s="98"/>
      <c r="F82" s="98"/>
      <c r="G82" s="98" t="s">
        <v>78</v>
      </c>
      <c r="H82" s="98"/>
      <c r="I82" s="98"/>
      <c r="J82" s="98" t="s">
        <v>77</v>
      </c>
      <c r="K82" s="98"/>
      <c r="L82" s="98"/>
      <c r="M82" s="98" t="s">
        <v>78</v>
      </c>
      <c r="N82" s="98"/>
      <c r="O82" s="98"/>
      <c r="P82" s="90"/>
    </row>
    <row r="83" spans="2:20" x14ac:dyDescent="0.25">
      <c r="B83" s="90" t="s">
        <v>81</v>
      </c>
      <c r="C83" s="85" t="s">
        <v>71</v>
      </c>
      <c r="D83" s="85" t="s">
        <v>74</v>
      </c>
      <c r="E83" s="85" t="s">
        <v>75</v>
      </c>
      <c r="F83" s="85" t="s">
        <v>76</v>
      </c>
      <c r="G83" s="85" t="s">
        <v>74</v>
      </c>
      <c r="H83" s="85" t="s">
        <v>75</v>
      </c>
      <c r="I83" s="85" t="s">
        <v>76</v>
      </c>
      <c r="J83" s="85" t="s">
        <v>74</v>
      </c>
      <c r="K83" s="85" t="s">
        <v>75</v>
      </c>
      <c r="L83" s="85" t="s">
        <v>76</v>
      </c>
      <c r="M83" s="85" t="s">
        <v>74</v>
      </c>
      <c r="N83" s="85" t="s">
        <v>75</v>
      </c>
      <c r="O83" s="85" t="s">
        <v>76</v>
      </c>
      <c r="P83" s="85" t="s">
        <v>79</v>
      </c>
      <c r="R83" s="1"/>
      <c r="S83" s="1" t="s">
        <v>92</v>
      </c>
      <c r="T83" s="1" t="s">
        <v>91</v>
      </c>
    </row>
    <row r="84" spans="2:20" x14ac:dyDescent="0.25">
      <c r="B84" s="99" t="s">
        <v>42</v>
      </c>
      <c r="C84" s="88">
        <f>C4/$L12</f>
        <v>5.2059080105920312</v>
      </c>
      <c r="D84" s="88">
        <f>D4/$L12</f>
        <v>5.2059080105920312</v>
      </c>
      <c r="E84" s="88">
        <f t="shared" ref="E84:P84" si="26">E4/$L12</f>
        <v>5.2059080105920312</v>
      </c>
      <c r="F84" s="88">
        <f t="shared" si="26"/>
        <v>5.2059080105920312</v>
      </c>
      <c r="G84" s="88">
        <f t="shared" si="26"/>
        <v>2.6029540052960156</v>
      </c>
      <c r="H84" s="88">
        <f t="shared" si="26"/>
        <v>5.2059080105920312</v>
      </c>
      <c r="I84" s="88">
        <f t="shared" si="26"/>
        <v>5.2059080105920312</v>
      </c>
      <c r="J84" s="88">
        <f t="shared" si="26"/>
        <v>1.8302020349737609</v>
      </c>
      <c r="K84" s="88">
        <f t="shared" si="26"/>
        <v>3.6604040699475218</v>
      </c>
      <c r="L84" s="88">
        <f t="shared" si="26"/>
        <v>3.6604040699475218</v>
      </c>
      <c r="M84" s="88">
        <f t="shared" si="26"/>
        <v>1.8302020349737609</v>
      </c>
      <c r="N84" s="88">
        <f t="shared" si="26"/>
        <v>1.8302020349737609</v>
      </c>
      <c r="O84" s="88">
        <f t="shared" si="26"/>
        <v>3.6604040699475218</v>
      </c>
      <c r="P84" s="88">
        <f t="shared" si="26"/>
        <v>3.6604040699475218</v>
      </c>
      <c r="R84" s="12" t="s">
        <v>42</v>
      </c>
      <c r="S84" s="10">
        <f>AVERAGE(C84:P84)</f>
        <v>3.8550446038256845</v>
      </c>
      <c r="T84" s="10">
        <f>_xlfn.STDEV.P(C84:P84)</f>
        <v>1.3354567053202298</v>
      </c>
    </row>
    <row r="85" spans="2:20" x14ac:dyDescent="0.25">
      <c r="B85" s="99" t="s">
        <v>43</v>
      </c>
      <c r="C85" s="88">
        <f>C5/$L13</f>
        <v>22.305318103852329</v>
      </c>
      <c r="D85" s="88">
        <f>D5/$L13</f>
        <v>22.305318103852329</v>
      </c>
      <c r="E85" s="88">
        <f>E5/$L13</f>
        <v>44.610636207704658</v>
      </c>
      <c r="F85" s="88">
        <f>F5/$L13</f>
        <v>44.610636207704658</v>
      </c>
      <c r="G85" s="88">
        <f>G5/$L13</f>
        <v>11.152659051926165</v>
      </c>
      <c r="H85" s="88">
        <f>H5/$L13</f>
        <v>15.683426791771168</v>
      </c>
      <c r="I85" s="88">
        <f>I5/$L13</f>
        <v>44.610636207704658</v>
      </c>
      <c r="J85" s="88">
        <f>J5/$L13</f>
        <v>22.305318103852329</v>
      </c>
      <c r="K85" s="88">
        <f>K5/$L13</f>
        <v>22.305318103852329</v>
      </c>
      <c r="L85" s="88">
        <f>L5/$L13</f>
        <v>44.610636207704658</v>
      </c>
      <c r="M85" s="88">
        <f>M5/$L13</f>
        <v>11.152659051926165</v>
      </c>
      <c r="N85" s="88">
        <f>N5/$L13</f>
        <v>15.683426791771168</v>
      </c>
      <c r="O85" s="88">
        <f>O5/$L13</f>
        <v>22.305318103852329</v>
      </c>
      <c r="P85" s="88">
        <f>P5/$L13</f>
        <v>15.683426791771168</v>
      </c>
      <c r="R85" s="12" t="s">
        <v>43</v>
      </c>
      <c r="S85" s="10">
        <f>AVERAGE(C85:P85)</f>
        <v>25.666052416374722</v>
      </c>
      <c r="T85" s="10">
        <f>_xlfn.STDEV.P(C85:P85)</f>
        <v>12.570649809005568</v>
      </c>
    </row>
    <row r="86" spans="2:20" x14ac:dyDescent="0.25">
      <c r="B86" s="99" t="s">
        <v>44</v>
      </c>
      <c r="C86" s="88">
        <f>C6/$L14</f>
        <v>12.190345769898304</v>
      </c>
      <c r="D86" s="88">
        <f t="shared" ref="D86:P86" si="27">D6/$L14</f>
        <v>12.190345769898304</v>
      </c>
      <c r="E86" s="88">
        <f t="shared" si="27"/>
        <v>12.190345769898304</v>
      </c>
      <c r="F86" s="88">
        <f t="shared" si="27"/>
        <v>12.190345769898304</v>
      </c>
      <c r="G86" s="88">
        <f t="shared" si="27"/>
        <v>4.2856684347298728</v>
      </c>
      <c r="H86" s="88">
        <f t="shared" si="27"/>
        <v>3.047586442474576</v>
      </c>
      <c r="I86" s="88">
        <f t="shared" si="27"/>
        <v>12.190345769898304</v>
      </c>
      <c r="J86" s="88">
        <f t="shared" si="27"/>
        <v>6.095172884949152</v>
      </c>
      <c r="K86" s="88">
        <f t="shared" si="27"/>
        <v>12.190345769898304</v>
      </c>
      <c r="L86" s="88">
        <f t="shared" si="27"/>
        <v>12.190345769898304</v>
      </c>
      <c r="M86" s="88">
        <f t="shared" si="27"/>
        <v>6.095172884949152</v>
      </c>
      <c r="N86" s="88">
        <f t="shared" si="27"/>
        <v>3.047586442474576</v>
      </c>
      <c r="O86" s="88">
        <f t="shared" si="27"/>
        <v>3.047586442474576</v>
      </c>
      <c r="P86" s="88">
        <f t="shared" si="27"/>
        <v>6.095172884949152</v>
      </c>
      <c r="R86" s="12" t="s">
        <v>44</v>
      </c>
      <c r="S86" s="10">
        <f>AVERAGE(C86:P86)</f>
        <v>8.3604547718777997</v>
      </c>
      <c r="T86" s="10">
        <f>_xlfn.STDEV.P(C86:P86)</f>
        <v>3.9583055071304116</v>
      </c>
    </row>
    <row r="87" spans="2:20" x14ac:dyDescent="0.25">
      <c r="B87" s="99" t="s">
        <v>72</v>
      </c>
      <c r="C87" s="88">
        <f>C7/$L15</f>
        <v>2563.1818768135458</v>
      </c>
      <c r="D87" s="88">
        <f t="shared" ref="D87:P88" si="28">D7/$L15</f>
        <v>2563.1818768135458</v>
      </c>
      <c r="E87" s="88">
        <f t="shared" si="28"/>
        <v>2563.1818768135458</v>
      </c>
      <c r="F87" s="88">
        <f t="shared" si="28"/>
        <v>2563.1818768135458</v>
      </c>
      <c r="G87" s="88">
        <f t="shared" si="28"/>
        <v>640.79546920338646</v>
      </c>
      <c r="H87" s="88">
        <f t="shared" si="28"/>
        <v>901.11862856726225</v>
      </c>
      <c r="I87" s="88">
        <f t="shared" si="28"/>
        <v>2563.1818768135458</v>
      </c>
      <c r="J87" s="88">
        <f t="shared" si="28"/>
        <v>2563.1818768135458</v>
      </c>
      <c r="K87" s="88">
        <f t="shared" si="28"/>
        <v>2563.1818768135458</v>
      </c>
      <c r="L87" s="88">
        <f t="shared" si="28"/>
        <v>2563.1818768135458</v>
      </c>
      <c r="M87" s="88">
        <f t="shared" si="28"/>
        <v>2563.1818768135458</v>
      </c>
      <c r="N87" s="88">
        <f t="shared" si="28"/>
        <v>1281.5909384067729</v>
      </c>
      <c r="O87" s="88">
        <f t="shared" si="28"/>
        <v>640.79546920338646</v>
      </c>
      <c r="P87" s="88">
        <f t="shared" si="28"/>
        <v>2563.1818768135458</v>
      </c>
      <c r="R87" s="12" t="s">
        <v>72</v>
      </c>
      <c r="S87" s="10">
        <f>AVERAGE(C87:P87)</f>
        <v>2078.2942338225903</v>
      </c>
      <c r="T87" s="10">
        <f>AVERAGE(C87:P87)</f>
        <v>2078.2942338225903</v>
      </c>
    </row>
    <row r="88" spans="2:20" x14ac:dyDescent="0.25">
      <c r="B88" s="99" t="s">
        <v>100</v>
      </c>
      <c r="C88" s="88">
        <f>C8/$L16</f>
        <v>28.267820246360252</v>
      </c>
      <c r="D88" s="88">
        <f t="shared" si="28"/>
        <v>28.267820246360252</v>
      </c>
      <c r="E88" s="88">
        <f t="shared" si="28"/>
        <v>28.267820246360252</v>
      </c>
      <c r="F88" s="88">
        <f t="shared" si="28"/>
        <v>28.267820246360252</v>
      </c>
      <c r="G88" s="88">
        <f t="shared" si="28"/>
        <v>19.875811110722051</v>
      </c>
      <c r="H88" s="88">
        <f t="shared" si="28"/>
        <v>28.267820246360252</v>
      </c>
      <c r="I88" s="88">
        <f t="shared" si="28"/>
        <v>28.267820246360252</v>
      </c>
      <c r="J88" s="88">
        <f t="shared" si="28"/>
        <v>28.267820246360252</v>
      </c>
      <c r="K88" s="88">
        <f t="shared" si="28"/>
        <v>28.267820246360252</v>
      </c>
      <c r="L88" s="88">
        <f t="shared" si="28"/>
        <v>28.267820246360252</v>
      </c>
      <c r="M88" s="88">
        <f t="shared" si="28"/>
        <v>14.133910123180126</v>
      </c>
      <c r="N88" s="88">
        <f t="shared" si="28"/>
        <v>9.9379055553610254</v>
      </c>
      <c r="O88" s="88">
        <f t="shared" si="28"/>
        <v>28.267820246360252</v>
      </c>
      <c r="P88" s="88">
        <f t="shared" si="28"/>
        <v>28.267820246360252</v>
      </c>
      <c r="R88" s="99" t="s">
        <v>100</v>
      </c>
      <c r="S88" s="10">
        <f>AVERAGE(C88:P88)</f>
        <v>25.349546392801852</v>
      </c>
      <c r="T88" s="10">
        <f>AVERAGE(C88:P88)</f>
        <v>25.349546392801852</v>
      </c>
    </row>
    <row r="89" spans="2:20" x14ac:dyDescent="0.25">
      <c r="B89" s="99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R89" s="12"/>
      <c r="S89" s="10"/>
      <c r="T89" s="10"/>
    </row>
    <row r="90" spans="2:20" x14ac:dyDescent="0.25">
      <c r="B90" s="97" t="s">
        <v>68</v>
      </c>
      <c r="C90" s="97"/>
      <c r="D90" s="98" t="s">
        <v>77</v>
      </c>
      <c r="E90" s="98"/>
      <c r="F90" s="98"/>
      <c r="G90" s="98" t="s">
        <v>78</v>
      </c>
      <c r="H90" s="98"/>
      <c r="I90" s="98"/>
      <c r="J90" s="98" t="s">
        <v>77</v>
      </c>
      <c r="K90" s="98"/>
      <c r="L90" s="98"/>
      <c r="M90" s="98" t="s">
        <v>78</v>
      </c>
      <c r="N90" s="98"/>
      <c r="O90" s="98"/>
      <c r="P90" s="90"/>
    </row>
    <row r="91" spans="2:20" x14ac:dyDescent="0.25">
      <c r="B91" s="90" t="s">
        <v>81</v>
      </c>
      <c r="C91" s="85" t="s">
        <v>71</v>
      </c>
      <c r="D91" s="85" t="s">
        <v>74</v>
      </c>
      <c r="E91" s="85" t="s">
        <v>75</v>
      </c>
      <c r="F91" s="85" t="s">
        <v>76</v>
      </c>
      <c r="G91" s="85" t="s">
        <v>74</v>
      </c>
      <c r="H91" s="85" t="s">
        <v>75</v>
      </c>
      <c r="I91" s="85" t="s">
        <v>76</v>
      </c>
      <c r="J91" s="85" t="s">
        <v>74</v>
      </c>
      <c r="K91" s="85" t="s">
        <v>75</v>
      </c>
      <c r="L91" s="85" t="s">
        <v>76</v>
      </c>
      <c r="M91" s="85" t="s">
        <v>74</v>
      </c>
      <c r="N91" s="85" t="s">
        <v>75</v>
      </c>
      <c r="O91" s="85" t="s">
        <v>76</v>
      </c>
      <c r="P91" s="85" t="s">
        <v>79</v>
      </c>
      <c r="R91" s="1"/>
      <c r="S91" s="1" t="s">
        <v>92</v>
      </c>
      <c r="T91" s="1" t="s">
        <v>91</v>
      </c>
    </row>
    <row r="92" spans="2:20" x14ac:dyDescent="0.25">
      <c r="B92" s="99" t="s">
        <v>42</v>
      </c>
      <c r="C92" s="88">
        <f>C4/$M12</f>
        <v>5.9674803317275753</v>
      </c>
      <c r="D92" s="88">
        <f t="shared" ref="D92:P92" si="29">D4/$M12</f>
        <v>5.9674803317275753</v>
      </c>
      <c r="E92" s="88">
        <f t="shared" si="29"/>
        <v>5.9674803317275753</v>
      </c>
      <c r="F92" s="88">
        <f t="shared" si="29"/>
        <v>5.9674803317275753</v>
      </c>
      <c r="G92" s="88">
        <f t="shared" si="29"/>
        <v>2.9837401658637877</v>
      </c>
      <c r="H92" s="88">
        <f t="shared" si="29"/>
        <v>5.9674803317275753</v>
      </c>
      <c r="I92" s="88">
        <f t="shared" si="29"/>
        <v>5.9674803317275753</v>
      </c>
      <c r="J92" s="88">
        <f t="shared" si="29"/>
        <v>2.0979423041229754</v>
      </c>
      <c r="K92" s="88">
        <f t="shared" si="29"/>
        <v>4.1958846082459509</v>
      </c>
      <c r="L92" s="88">
        <f t="shared" si="29"/>
        <v>4.1958846082459509</v>
      </c>
      <c r="M92" s="88">
        <f t="shared" si="29"/>
        <v>2.0979423041229754</v>
      </c>
      <c r="N92" s="88">
        <f t="shared" si="29"/>
        <v>2.0979423041229754</v>
      </c>
      <c r="O92" s="88">
        <f t="shared" si="29"/>
        <v>4.1958846082459509</v>
      </c>
      <c r="P92" s="88">
        <f t="shared" si="29"/>
        <v>4.1958846082459509</v>
      </c>
      <c r="R92" s="12" t="s">
        <v>42</v>
      </c>
      <c r="S92" s="10">
        <f>AVERAGE(C92:P92)</f>
        <v>4.4189991072558543</v>
      </c>
      <c r="T92" s="10">
        <f>_xlfn.STDEV.P(C92:P92)</f>
        <v>1.5308206765578065</v>
      </c>
    </row>
    <row r="93" spans="2:20" x14ac:dyDescent="0.25">
      <c r="B93" s="99" t="s">
        <v>43</v>
      </c>
      <c r="C93" s="88">
        <f t="shared" ref="C93:P93" si="30">C5/$M13</f>
        <v>6.1422099156040337</v>
      </c>
      <c r="D93" s="88">
        <f t="shared" si="30"/>
        <v>6.1422099156040337</v>
      </c>
      <c r="E93" s="88">
        <f t="shared" si="30"/>
        <v>12.284419831208067</v>
      </c>
      <c r="F93" s="88">
        <f t="shared" si="30"/>
        <v>12.284419831208067</v>
      </c>
      <c r="G93" s="88">
        <f t="shared" si="30"/>
        <v>3.0711049578020169</v>
      </c>
      <c r="H93" s="88">
        <f t="shared" si="30"/>
        <v>4.3187413469090856</v>
      </c>
      <c r="I93" s="88">
        <f t="shared" si="30"/>
        <v>12.284419831208067</v>
      </c>
      <c r="J93" s="88">
        <f t="shared" si="30"/>
        <v>6.1422099156040337</v>
      </c>
      <c r="K93" s="88">
        <f t="shared" si="30"/>
        <v>6.1422099156040337</v>
      </c>
      <c r="L93" s="88">
        <f t="shared" si="30"/>
        <v>12.284419831208067</v>
      </c>
      <c r="M93" s="88">
        <f t="shared" si="30"/>
        <v>3.0711049578020169</v>
      </c>
      <c r="N93" s="88">
        <f t="shared" si="30"/>
        <v>4.3187413469090856</v>
      </c>
      <c r="O93" s="88">
        <f t="shared" si="30"/>
        <v>6.1422099156040337</v>
      </c>
      <c r="P93" s="88">
        <f t="shared" si="30"/>
        <v>4.3187413469090856</v>
      </c>
      <c r="R93" s="12" t="s">
        <v>43</v>
      </c>
      <c r="S93" s="10">
        <f>AVERAGE(C93:P93)</f>
        <v>7.0676544899416944</v>
      </c>
      <c r="T93" s="10">
        <f>_xlfn.STDEV.P(C93:P93)</f>
        <v>3.4615767209849762</v>
      </c>
    </row>
    <row r="94" spans="2:20" x14ac:dyDescent="0.25">
      <c r="B94" s="99" t="s">
        <v>44</v>
      </c>
      <c r="C94" s="88">
        <f>C6/$M14</f>
        <v>1.9578689204450965</v>
      </c>
      <c r="D94" s="88">
        <f t="shared" ref="D94:P94" si="31">D6/$M14</f>
        <v>1.9578689204450965</v>
      </c>
      <c r="E94" s="88">
        <f t="shared" si="31"/>
        <v>1.9578689204450965</v>
      </c>
      <c r="F94" s="88">
        <f t="shared" si="31"/>
        <v>1.9578689204450965</v>
      </c>
      <c r="G94" s="88">
        <f t="shared" si="31"/>
        <v>0.6883132923439792</v>
      </c>
      <c r="H94" s="88">
        <f t="shared" si="31"/>
        <v>0.48946723011127413</v>
      </c>
      <c r="I94" s="88">
        <f t="shared" si="31"/>
        <v>1.9578689204450965</v>
      </c>
      <c r="J94" s="88">
        <f t="shared" si="31"/>
        <v>0.97893446022254826</v>
      </c>
      <c r="K94" s="88">
        <f t="shared" si="31"/>
        <v>1.9578689204450965</v>
      </c>
      <c r="L94" s="88">
        <f t="shared" si="31"/>
        <v>1.9578689204450965</v>
      </c>
      <c r="M94" s="88">
        <f t="shared" si="31"/>
        <v>0.97893446022254826</v>
      </c>
      <c r="N94" s="88">
        <f t="shared" si="31"/>
        <v>0.48946723011127413</v>
      </c>
      <c r="O94" s="88">
        <f t="shared" si="31"/>
        <v>0.48946723011127413</v>
      </c>
      <c r="P94" s="88">
        <f t="shared" si="31"/>
        <v>0.97893446022254826</v>
      </c>
      <c r="R94" s="12" t="s">
        <v>44</v>
      </c>
      <c r="S94" s="10">
        <f>AVERAGE(C94:P94)</f>
        <v>1.3427572004615083</v>
      </c>
      <c r="T94" s="10">
        <f>_xlfn.STDEV.P(C94:P94)</f>
        <v>0.63573613713025645</v>
      </c>
    </row>
    <row r="95" spans="2:20" x14ac:dyDescent="0.25">
      <c r="B95" s="99" t="s">
        <v>72</v>
      </c>
      <c r="C95" s="88">
        <f>C7/$M15</f>
        <v>12.284419831208067</v>
      </c>
      <c r="D95" s="88">
        <f t="shared" ref="D95:P96" si="32">D7/$M15</f>
        <v>12.284419831208067</v>
      </c>
      <c r="E95" s="88">
        <f t="shared" si="32"/>
        <v>12.284419831208067</v>
      </c>
      <c r="F95" s="88">
        <f t="shared" si="32"/>
        <v>12.284419831208067</v>
      </c>
      <c r="G95" s="88">
        <f t="shared" si="32"/>
        <v>3.0711049578020169</v>
      </c>
      <c r="H95" s="88">
        <f t="shared" si="32"/>
        <v>4.3187413469090856</v>
      </c>
      <c r="I95" s="88">
        <f t="shared" si="32"/>
        <v>12.284419831208067</v>
      </c>
      <c r="J95" s="88">
        <f t="shared" si="32"/>
        <v>12.284419831208067</v>
      </c>
      <c r="K95" s="88">
        <f t="shared" si="32"/>
        <v>12.284419831208067</v>
      </c>
      <c r="L95" s="88">
        <f t="shared" si="32"/>
        <v>12.284419831208067</v>
      </c>
      <c r="M95" s="88">
        <f t="shared" si="32"/>
        <v>12.284419831208067</v>
      </c>
      <c r="N95" s="88">
        <f t="shared" si="32"/>
        <v>6.1422099156040337</v>
      </c>
      <c r="O95" s="88">
        <f t="shared" si="32"/>
        <v>3.0711049578020169</v>
      </c>
      <c r="P95" s="88">
        <f t="shared" si="32"/>
        <v>12.284419831208067</v>
      </c>
      <c r="R95" s="12" t="s">
        <v>72</v>
      </c>
      <c r="S95" s="10">
        <f>AVERAGE(C95:P95)</f>
        <v>9.9605256778712725</v>
      </c>
      <c r="T95" s="10">
        <f>AVERAGE(C95:P95)</f>
        <v>9.9605256778712725</v>
      </c>
    </row>
    <row r="96" spans="2:20" x14ac:dyDescent="0.25">
      <c r="B96" s="99" t="s">
        <v>100</v>
      </c>
      <c r="C96" s="88">
        <f>C8/$M16</f>
        <v>4.0247291918125132</v>
      </c>
      <c r="D96" s="88">
        <f t="shared" si="32"/>
        <v>4.0247291918125132</v>
      </c>
      <c r="E96" s="88">
        <f t="shared" si="32"/>
        <v>4.0247291918125132</v>
      </c>
      <c r="F96" s="88">
        <f t="shared" si="32"/>
        <v>4.0247291918125132</v>
      </c>
      <c r="G96" s="88">
        <f t="shared" si="32"/>
        <v>2.8298877129931732</v>
      </c>
      <c r="H96" s="88">
        <f t="shared" si="32"/>
        <v>4.0247291918125132</v>
      </c>
      <c r="I96" s="88">
        <f t="shared" si="32"/>
        <v>4.0247291918125132</v>
      </c>
      <c r="J96" s="88">
        <f t="shared" si="32"/>
        <v>4.0247291918125132</v>
      </c>
      <c r="K96" s="88">
        <f t="shared" si="32"/>
        <v>4.0247291918125132</v>
      </c>
      <c r="L96" s="88">
        <f t="shared" si="32"/>
        <v>4.0247291918125132</v>
      </c>
      <c r="M96" s="88">
        <f t="shared" si="32"/>
        <v>2.0123645959062566</v>
      </c>
      <c r="N96" s="88">
        <f t="shared" si="32"/>
        <v>1.4149438564965866</v>
      </c>
      <c r="O96" s="88">
        <f t="shared" si="32"/>
        <v>4.0247291918125132</v>
      </c>
      <c r="P96" s="88">
        <f t="shared" si="32"/>
        <v>4.0247291918125132</v>
      </c>
      <c r="R96" s="99" t="s">
        <v>100</v>
      </c>
      <c r="S96" s="10">
        <f>AVERAGE(C96:P96)</f>
        <v>3.6092298053809748</v>
      </c>
      <c r="T96" s="10">
        <f>AVERAGE(C96:P96)</f>
        <v>3.6092298053809748</v>
      </c>
    </row>
    <row r="97" spans="2:20" x14ac:dyDescent="0.25">
      <c r="B97" s="97" t="s">
        <v>67</v>
      </c>
      <c r="C97" s="97"/>
      <c r="D97" s="98" t="s">
        <v>77</v>
      </c>
      <c r="E97" s="98"/>
      <c r="F97" s="98"/>
      <c r="G97" s="98" t="s">
        <v>78</v>
      </c>
      <c r="H97" s="98"/>
      <c r="I97" s="98"/>
      <c r="J97" s="98" t="s">
        <v>77</v>
      </c>
      <c r="K97" s="98"/>
      <c r="L97" s="98"/>
      <c r="M97" s="98" t="s">
        <v>78</v>
      </c>
      <c r="N97" s="98"/>
      <c r="O97" s="98"/>
      <c r="P97" s="90"/>
    </row>
    <row r="98" spans="2:20" x14ac:dyDescent="0.25">
      <c r="B98" s="90" t="s">
        <v>81</v>
      </c>
      <c r="C98" s="85" t="s">
        <v>71</v>
      </c>
      <c r="D98" s="85" t="s">
        <v>74</v>
      </c>
      <c r="E98" s="85" t="s">
        <v>75</v>
      </c>
      <c r="F98" s="85" t="s">
        <v>76</v>
      </c>
      <c r="G98" s="85" t="s">
        <v>74</v>
      </c>
      <c r="H98" s="85" t="s">
        <v>75</v>
      </c>
      <c r="I98" s="85" t="s">
        <v>76</v>
      </c>
      <c r="J98" s="85" t="s">
        <v>74</v>
      </c>
      <c r="K98" s="85" t="s">
        <v>75</v>
      </c>
      <c r="L98" s="85" t="s">
        <v>76</v>
      </c>
      <c r="M98" s="85" t="s">
        <v>74</v>
      </c>
      <c r="N98" s="85" t="s">
        <v>75</v>
      </c>
      <c r="O98" s="85" t="s">
        <v>76</v>
      </c>
      <c r="P98" s="85" t="s">
        <v>79</v>
      </c>
      <c r="R98" s="1"/>
      <c r="S98" s="1" t="s">
        <v>92</v>
      </c>
      <c r="T98" s="1" t="s">
        <v>91</v>
      </c>
    </row>
    <row r="99" spans="2:20" x14ac:dyDescent="0.25">
      <c r="B99" s="99" t="s">
        <v>42</v>
      </c>
      <c r="C99" s="88">
        <f>C4/$N12</f>
        <v>5.5510804240147023</v>
      </c>
      <c r="D99" s="88">
        <f t="shared" ref="D99:O99" si="33">D4/$N12</f>
        <v>5.5510804240147023</v>
      </c>
      <c r="E99" s="88">
        <f t="shared" si="33"/>
        <v>5.5510804240147023</v>
      </c>
      <c r="F99" s="88">
        <f t="shared" si="33"/>
        <v>5.5510804240147023</v>
      </c>
      <c r="G99" s="88">
        <f t="shared" si="33"/>
        <v>2.7755402120073511</v>
      </c>
      <c r="H99" s="88">
        <f t="shared" si="33"/>
        <v>5.5510804240147023</v>
      </c>
      <c r="I99" s="88">
        <f t="shared" si="33"/>
        <v>5.5510804240147023</v>
      </c>
      <c r="J99" s="88">
        <f t="shared" si="33"/>
        <v>1.9515517115676686</v>
      </c>
      <c r="K99" s="88">
        <f t="shared" si="33"/>
        <v>3.9031034231353372</v>
      </c>
      <c r="L99" s="88">
        <f t="shared" si="33"/>
        <v>3.9031034231353372</v>
      </c>
      <c r="M99" s="88">
        <f t="shared" si="33"/>
        <v>1.9515517115676686</v>
      </c>
      <c r="N99" s="88">
        <f t="shared" si="33"/>
        <v>1.9515517115676686</v>
      </c>
      <c r="O99" s="88">
        <f t="shared" si="33"/>
        <v>3.9031034231353372</v>
      </c>
      <c r="P99" s="88">
        <f>P4/$N12</f>
        <v>3.9031034231353372</v>
      </c>
      <c r="R99" s="12" t="s">
        <v>42</v>
      </c>
      <c r="S99" s="10">
        <f>AVERAGE(C99:P99)</f>
        <v>4.1106493988099926</v>
      </c>
      <c r="T99" s="10">
        <f>_xlfn.STDEV.P(C99:P99)</f>
        <v>1.4240027981553345</v>
      </c>
    </row>
    <row r="100" spans="2:20" x14ac:dyDescent="0.25">
      <c r="B100" s="99" t="s">
        <v>43</v>
      </c>
      <c r="C100" s="88">
        <f>C5/$N13</f>
        <v>6.2467528708936424</v>
      </c>
      <c r="D100" s="88">
        <f>D5/$N13</f>
        <v>6.2467528708936424</v>
      </c>
      <c r="E100" s="88">
        <f>E5/$N13</f>
        <v>12.493505741787285</v>
      </c>
      <c r="F100" s="88">
        <f>F5/$N13</f>
        <v>12.493505741787285</v>
      </c>
      <c r="G100" s="88">
        <f>G5/$N13</f>
        <v>3.1233764354468212</v>
      </c>
      <c r="H100" s="88">
        <f>H5/$N13</f>
        <v>4.392248112347092</v>
      </c>
      <c r="I100" s="88">
        <f>I5/$N13</f>
        <v>12.493505741787285</v>
      </c>
      <c r="J100" s="88">
        <f>J5/$N13</f>
        <v>6.2467528708936424</v>
      </c>
      <c r="K100" s="88">
        <f>K5/$N13</f>
        <v>6.2467528708936424</v>
      </c>
      <c r="L100" s="88">
        <f>L5/$N13</f>
        <v>12.493505741787285</v>
      </c>
      <c r="M100" s="88">
        <f>M5/$N13</f>
        <v>3.1233764354468212</v>
      </c>
      <c r="N100" s="88">
        <f>N5/$N13</f>
        <v>4.392248112347092</v>
      </c>
      <c r="O100" s="88">
        <f>O5/$N13</f>
        <v>6.2467528708936424</v>
      </c>
      <c r="P100" s="88">
        <f t="shared" ref="P100" si="34">P5/$N13</f>
        <v>4.392248112347092</v>
      </c>
      <c r="R100" s="12" t="s">
        <v>43</v>
      </c>
      <c r="S100" s="10">
        <f>AVERAGE(C100:P100)</f>
        <v>7.1879488949680184</v>
      </c>
      <c r="T100" s="10">
        <f>_xlfn.STDEV.P(C100:P100)</f>
        <v>3.5204941896722843</v>
      </c>
    </row>
    <row r="101" spans="2:20" x14ac:dyDescent="0.25">
      <c r="B101" s="99" t="s">
        <v>44</v>
      </c>
      <c r="C101" s="88">
        <f>C6/$N14</f>
        <v>1.6303704210408669</v>
      </c>
      <c r="D101" s="88">
        <f>D6/$N14</f>
        <v>1.6303704210408669</v>
      </c>
      <c r="E101" s="88">
        <f>E6/$N14</f>
        <v>1.6303704210408669</v>
      </c>
      <c r="F101" s="88">
        <f>F6/$N14</f>
        <v>1.6303704210408669</v>
      </c>
      <c r="G101" s="88">
        <f>G6/$N14</f>
        <v>0.57317710114717979</v>
      </c>
      <c r="H101" s="88">
        <f>H6/$N14</f>
        <v>0.40759260526021673</v>
      </c>
      <c r="I101" s="88">
        <f>I6/$N14</f>
        <v>1.6303704210408669</v>
      </c>
      <c r="J101" s="88">
        <f>J6/$N14</f>
        <v>0.81518521052043347</v>
      </c>
      <c r="K101" s="88">
        <f>K6/$N14</f>
        <v>1.6303704210408669</v>
      </c>
      <c r="L101" s="88">
        <f>L6/$N14</f>
        <v>1.6303704210408669</v>
      </c>
      <c r="M101" s="88">
        <f>M6/$N14</f>
        <v>0.81518521052043347</v>
      </c>
      <c r="N101" s="88">
        <f>N6/$N14</f>
        <v>0.40759260526021673</v>
      </c>
      <c r="O101" s="88">
        <f>O6/$N14</f>
        <v>0.40759260526021673</v>
      </c>
      <c r="P101" s="88">
        <f t="shared" ref="P101" si="35">P6/$N14</f>
        <v>0.81518521052043347</v>
      </c>
      <c r="R101" s="12" t="s">
        <v>44</v>
      </c>
      <c r="S101" s="10">
        <f>AVERAGE(C101:P101)</f>
        <v>1.1181502496982283</v>
      </c>
      <c r="T101" s="10">
        <f>_xlfn.STDEV.P(C101:P101)</f>
        <v>0.52939468150315128</v>
      </c>
    </row>
    <row r="102" spans="2:20" x14ac:dyDescent="0.25">
      <c r="B102" s="99" t="s">
        <v>72</v>
      </c>
      <c r="C102" s="88">
        <f>C7/$N15</f>
        <v>12.493505741787285</v>
      </c>
      <c r="D102" s="88">
        <f>D7/$N15</f>
        <v>12.493505741787285</v>
      </c>
      <c r="E102" s="88">
        <f>E7/$N15</f>
        <v>12.493505741787285</v>
      </c>
      <c r="F102" s="88">
        <f>F7/$N15</f>
        <v>12.493505741787285</v>
      </c>
      <c r="G102" s="88">
        <f>G7/$N15</f>
        <v>3.1233764354468212</v>
      </c>
      <c r="H102" s="88">
        <f>H7/$N15</f>
        <v>4.392248112347092</v>
      </c>
      <c r="I102" s="88">
        <f>I7/$N15</f>
        <v>12.493505741787285</v>
      </c>
      <c r="J102" s="88">
        <f>J7/$N15</f>
        <v>12.493505741787285</v>
      </c>
      <c r="K102" s="88">
        <f>K7/$N15</f>
        <v>12.493505741787285</v>
      </c>
      <c r="L102" s="88">
        <f>L7/$N15</f>
        <v>12.493505741787285</v>
      </c>
      <c r="M102" s="88">
        <f>M7/$N15</f>
        <v>12.493505741787285</v>
      </c>
      <c r="N102" s="88">
        <f>N7/$N15</f>
        <v>6.2467528708936424</v>
      </c>
      <c r="O102" s="88">
        <f>O7/$N15</f>
        <v>3.1233764354468212</v>
      </c>
      <c r="P102" s="88">
        <f>P7/$N15</f>
        <v>12.493505741787285</v>
      </c>
      <c r="R102" s="12" t="s">
        <v>72</v>
      </c>
      <c r="S102" s="10">
        <f>AVERAGE(C102:P102)</f>
        <v>10.130057948000516</v>
      </c>
      <c r="T102" s="10">
        <f>AVERAGE(C102:P102)</f>
        <v>10.130057948000516</v>
      </c>
    </row>
    <row r="103" spans="2:20" x14ac:dyDescent="0.25">
      <c r="B103" s="99" t="s">
        <v>100</v>
      </c>
      <c r="C103" s="88">
        <f>C8/$N16</f>
        <v>3.6863857564111955</v>
      </c>
      <c r="D103" s="88">
        <f>D8/$N16</f>
        <v>3.6863857564111955</v>
      </c>
      <c r="E103" s="88">
        <f>E8/$N16</f>
        <v>3.6863857564111955</v>
      </c>
      <c r="F103" s="88">
        <f>F8/$N16</f>
        <v>3.6863857564111955</v>
      </c>
      <c r="G103" s="88">
        <f>G8/$N16</f>
        <v>2.5919899849766219</v>
      </c>
      <c r="H103" s="88">
        <f>H8/$N16</f>
        <v>3.6863857564111955</v>
      </c>
      <c r="I103" s="88">
        <f>I8/$N16</f>
        <v>3.6863857564111955</v>
      </c>
      <c r="J103" s="88">
        <f>J8/$N16</f>
        <v>3.6863857564111955</v>
      </c>
      <c r="K103" s="88">
        <f>K8/$N16</f>
        <v>3.6863857564111955</v>
      </c>
      <c r="L103" s="88">
        <f>L8/$N16</f>
        <v>3.6863857564111955</v>
      </c>
      <c r="M103" s="88">
        <f>M8/$N16</f>
        <v>1.8431928782055977</v>
      </c>
      <c r="N103" s="88">
        <f>N8/$N16</f>
        <v>1.295994992488311</v>
      </c>
      <c r="O103" s="88">
        <f>O8/$N16</f>
        <v>3.6863857564111955</v>
      </c>
      <c r="P103" s="88">
        <f>P8/$N16</f>
        <v>3.6863857564111955</v>
      </c>
      <c r="R103" s="99" t="s">
        <v>100</v>
      </c>
      <c r="S103" s="10">
        <f>AVERAGE(C103:P103)</f>
        <v>3.3058157982995491</v>
      </c>
      <c r="T103" s="10">
        <f>AVERAGE(C103:P103)</f>
        <v>3.3058157982995491</v>
      </c>
    </row>
  </sheetData>
  <mergeCells count="71">
    <mergeCell ref="D1:I1"/>
    <mergeCell ref="J1:O1"/>
    <mergeCell ref="J2:L2"/>
    <mergeCell ref="M2:O2"/>
    <mergeCell ref="D10:F10"/>
    <mergeCell ref="G10:I10"/>
    <mergeCell ref="J10:L10"/>
    <mergeCell ref="D2:F2"/>
    <mergeCell ref="G2:I2"/>
    <mergeCell ref="D18:I18"/>
    <mergeCell ref="J18:O18"/>
    <mergeCell ref="D19:F19"/>
    <mergeCell ref="G19:I19"/>
    <mergeCell ref="J19:L19"/>
    <mergeCell ref="M19:O19"/>
    <mergeCell ref="B19:C19"/>
    <mergeCell ref="B26:C26"/>
    <mergeCell ref="B33:C33"/>
    <mergeCell ref="B40:C40"/>
    <mergeCell ref="D26:F26"/>
    <mergeCell ref="D40:F40"/>
    <mergeCell ref="G26:I26"/>
    <mergeCell ref="J26:L26"/>
    <mergeCell ref="M26:O26"/>
    <mergeCell ref="D33:F33"/>
    <mergeCell ref="G33:I33"/>
    <mergeCell ref="J33:L33"/>
    <mergeCell ref="M33:O33"/>
    <mergeCell ref="G40:I40"/>
    <mergeCell ref="J40:L40"/>
    <mergeCell ref="M40:O40"/>
    <mergeCell ref="B47:C47"/>
    <mergeCell ref="D47:F47"/>
    <mergeCell ref="G47:I47"/>
    <mergeCell ref="J47:L47"/>
    <mergeCell ref="M47:O47"/>
    <mergeCell ref="B54:C54"/>
    <mergeCell ref="B61:C61"/>
    <mergeCell ref="B68:C68"/>
    <mergeCell ref="B75:C75"/>
    <mergeCell ref="B82:C82"/>
    <mergeCell ref="G54:I54"/>
    <mergeCell ref="J54:L54"/>
    <mergeCell ref="M54:O54"/>
    <mergeCell ref="D61:F61"/>
    <mergeCell ref="G61:I61"/>
    <mergeCell ref="J61:L61"/>
    <mergeCell ref="M61:O61"/>
    <mergeCell ref="D54:F54"/>
    <mergeCell ref="G68:I68"/>
    <mergeCell ref="J68:L68"/>
    <mergeCell ref="M68:O68"/>
    <mergeCell ref="D75:F75"/>
    <mergeCell ref="G75:I75"/>
    <mergeCell ref="J75:L75"/>
    <mergeCell ref="M75:O75"/>
    <mergeCell ref="D68:F68"/>
    <mergeCell ref="G82:I82"/>
    <mergeCell ref="J82:L82"/>
    <mergeCell ref="M82:O82"/>
    <mergeCell ref="B90:C90"/>
    <mergeCell ref="D90:F90"/>
    <mergeCell ref="G90:I90"/>
    <mergeCell ref="J90:L90"/>
    <mergeCell ref="M90:O90"/>
    <mergeCell ref="D82:F82"/>
    <mergeCell ref="B97:C97"/>
    <mergeCell ref="D97:F97"/>
    <mergeCell ref="G97:I97"/>
    <mergeCell ref="J97:L97"/>
    <mergeCell ref="M97:O9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workbookViewId="0"/>
  </sheetViews>
  <sheetFormatPr defaultRowHeight="15" x14ac:dyDescent="0.25"/>
  <cols>
    <col min="2" max="2" width="13.7109375" customWidth="1"/>
    <col min="3" max="3" width="12.140625" customWidth="1"/>
    <col min="4" max="4" width="12.28515625" customWidth="1"/>
    <col min="5" max="5" width="12.140625" customWidth="1"/>
    <col min="6" max="6" width="12.28515625" customWidth="1"/>
    <col min="7" max="7" width="13" customWidth="1"/>
    <col min="26" max="26" width="19.140625" customWidth="1"/>
    <col min="27" max="27" width="15.7109375" customWidth="1"/>
    <col min="28" max="28" width="17.5703125" customWidth="1"/>
    <col min="35" max="35" width="17" customWidth="1"/>
    <col min="36" max="36" width="15.42578125" customWidth="1"/>
    <col min="37" max="37" width="16.28515625" customWidth="1"/>
    <col min="44" max="44" width="15.5703125" customWidth="1"/>
    <col min="45" max="45" width="16.7109375" customWidth="1"/>
    <col min="46" max="46" width="18.28515625" customWidth="1"/>
    <col min="53" max="57" width="12.7109375" bestFit="1" customWidth="1"/>
    <col min="58" max="58" width="13.7109375" bestFit="1" customWidth="1"/>
  </cols>
  <sheetData>
    <row r="1" spans="1:58" x14ac:dyDescent="0.25">
      <c r="T1" s="76" t="s">
        <v>51</v>
      </c>
      <c r="U1" s="76"/>
      <c r="V1" s="76"/>
      <c r="W1" s="76"/>
      <c r="X1" s="76"/>
      <c r="Y1" s="76"/>
      <c r="AC1" s="76" t="s">
        <v>55</v>
      </c>
      <c r="AD1" s="76"/>
      <c r="AE1" s="76"/>
      <c r="AF1" s="76"/>
      <c r="AG1" s="76"/>
      <c r="AH1" s="76"/>
      <c r="AL1" s="76" t="s">
        <v>58</v>
      </c>
      <c r="AM1" s="76"/>
      <c r="AN1" s="76"/>
      <c r="AO1" s="76"/>
      <c r="AP1" s="76"/>
      <c r="AQ1" s="76"/>
      <c r="BA1" s="73" t="s">
        <v>63</v>
      </c>
      <c r="BB1" s="74"/>
      <c r="BC1" s="74"/>
      <c r="BD1" s="74"/>
      <c r="BE1" s="74"/>
      <c r="BF1" s="77"/>
    </row>
    <row r="2" spans="1:58" x14ac:dyDescent="0.25">
      <c r="A2" s="31" t="s">
        <v>0</v>
      </c>
      <c r="B2" s="50" t="s">
        <v>46</v>
      </c>
      <c r="C2" s="47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1" t="s">
        <v>52</v>
      </c>
      <c r="AA2" s="1" t="s">
        <v>53</v>
      </c>
      <c r="AB2" s="1" t="s">
        <v>54</v>
      </c>
      <c r="AC2" s="31" t="s">
        <v>21</v>
      </c>
      <c r="AD2" s="32" t="s">
        <v>20</v>
      </c>
      <c r="AE2" s="32" t="s">
        <v>19</v>
      </c>
      <c r="AF2" s="32" t="s">
        <v>18</v>
      </c>
      <c r="AG2" s="32" t="s">
        <v>17</v>
      </c>
      <c r="AH2" s="33" t="s">
        <v>16</v>
      </c>
      <c r="AI2" s="1" t="s">
        <v>56</v>
      </c>
      <c r="AJ2" t="s">
        <v>57</v>
      </c>
      <c r="AK2" s="1" t="s">
        <v>62</v>
      </c>
      <c r="AL2" s="31" t="s">
        <v>21</v>
      </c>
      <c r="AM2" s="32" t="s">
        <v>20</v>
      </c>
      <c r="AN2" s="32" t="s">
        <v>19</v>
      </c>
      <c r="AO2" s="32" t="s">
        <v>18</v>
      </c>
      <c r="AP2" s="32" t="s">
        <v>17</v>
      </c>
      <c r="AQ2" s="33" t="s">
        <v>16</v>
      </c>
      <c r="AR2" s="1" t="s">
        <v>59</v>
      </c>
      <c r="AS2" s="1" t="s">
        <v>60</v>
      </c>
      <c r="AT2" s="1" t="s">
        <v>61</v>
      </c>
      <c r="AU2" t="s">
        <v>10</v>
      </c>
      <c r="AV2" t="s">
        <v>11</v>
      </c>
      <c r="AW2" t="s">
        <v>12</v>
      </c>
      <c r="AX2" t="s">
        <v>13</v>
      </c>
      <c r="AY2" t="s">
        <v>14</v>
      </c>
      <c r="AZ2" t="s">
        <v>15</v>
      </c>
      <c r="BA2" s="31" t="s">
        <v>21</v>
      </c>
      <c r="BB2" s="32" t="s">
        <v>20</v>
      </c>
      <c r="BC2" s="32" t="s">
        <v>19</v>
      </c>
      <c r="BD2" s="32" t="s">
        <v>18</v>
      </c>
      <c r="BE2" s="32" t="s">
        <v>17</v>
      </c>
      <c r="BF2" s="33" t="s">
        <v>16</v>
      </c>
    </row>
    <row r="3" spans="1:58" x14ac:dyDescent="0.25">
      <c r="A3" s="34">
        <v>167</v>
      </c>
      <c r="B3" s="51">
        <v>128</v>
      </c>
      <c r="C3" s="48">
        <v>195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8">
        <v>978</v>
      </c>
      <c r="N3" s="20">
        <f>H3/$D3</f>
        <v>0.8571428571428571</v>
      </c>
      <c r="O3" s="10">
        <f t="shared" ref="O3:S18" si="0">I3/$D3</f>
        <v>2.2857142857142856</v>
      </c>
      <c r="P3" s="10">
        <f t="shared" si="0"/>
        <v>13.714285714285714</v>
      </c>
      <c r="Q3" s="10">
        <f t="shared" si="0"/>
        <v>37.714285714285715</v>
      </c>
      <c r="R3" s="10">
        <f t="shared" si="0"/>
        <v>86.285714285714292</v>
      </c>
      <c r="S3" s="22">
        <f t="shared" si="0"/>
        <v>139.71428571428572</v>
      </c>
      <c r="T3" s="20">
        <f>N3*$E3</f>
        <v>8.984494301195399E-2</v>
      </c>
      <c r="U3" s="10">
        <f t="shared" ref="U3:Y18" si="1">O3*$E3</f>
        <v>0.23958651469854397</v>
      </c>
      <c r="V3" s="10">
        <f t="shared" si="1"/>
        <v>1.4375190881912638</v>
      </c>
      <c r="W3" s="10">
        <f>Q3*$E3</f>
        <v>3.9531774925259757</v>
      </c>
      <c r="X3" s="10">
        <f t="shared" si="1"/>
        <v>9.0443909298700369</v>
      </c>
      <c r="Y3" s="22">
        <f t="shared" si="1"/>
        <v>14.644725710948503</v>
      </c>
      <c r="Z3" s="4">
        <f t="shared" ref="Z3:Z23" si="2">E3/G3</f>
        <v>4.5744135200937714</v>
      </c>
      <c r="AA3" s="9">
        <f>E3/F3</f>
        <v>3.1615438167197394</v>
      </c>
      <c r="AB3" s="4">
        <f>G3/F3</f>
        <v>0.69113642717961588</v>
      </c>
      <c r="AC3" s="59">
        <f>N3*$G3</f>
        <v>1.9640756704066457E-2</v>
      </c>
      <c r="AD3" s="60">
        <f t="shared" ref="AD3:AH18" si="3">O3*$G3</f>
        <v>5.2375351210843885E-2</v>
      </c>
      <c r="AE3" s="60">
        <f t="shared" si="3"/>
        <v>0.31425210726506331</v>
      </c>
      <c r="AF3" s="60">
        <f t="shared" si="3"/>
        <v>0.86419329497892416</v>
      </c>
      <c r="AG3" s="60">
        <f t="shared" si="3"/>
        <v>1.977169508209357</v>
      </c>
      <c r="AH3" s="61">
        <f t="shared" si="3"/>
        <v>3.201443342762833</v>
      </c>
      <c r="AI3" s="58">
        <f>E3*G3</f>
        <v>2.4018475186843532E-3</v>
      </c>
      <c r="AJ3" s="58">
        <f>E3*F3</f>
        <v>3.4752147683573759E-3</v>
      </c>
      <c r="AK3" s="58">
        <f>G3*F3</f>
        <v>7.597071740654826E-4</v>
      </c>
      <c r="AL3" s="59">
        <f>N3*$F3</f>
        <v>2.8418060359249629E-2</v>
      </c>
      <c r="AM3" s="60">
        <f t="shared" ref="AM3:AQ3" si="4">O3*$F3</f>
        <v>7.5781494291332338E-2</v>
      </c>
      <c r="AN3" s="60">
        <f t="shared" si="4"/>
        <v>0.45468896574799406</v>
      </c>
      <c r="AO3" s="60">
        <f t="shared" si="4"/>
        <v>1.2503946558069836</v>
      </c>
      <c r="AP3" s="60">
        <f t="shared" si="4"/>
        <v>2.8607514094977962</v>
      </c>
      <c r="AQ3" s="61">
        <f t="shared" si="4"/>
        <v>4.6321438385576901</v>
      </c>
      <c r="AR3" s="9">
        <f>G3/E3</f>
        <v>0.21860725874636291</v>
      </c>
      <c r="AS3" s="9">
        <f>F3/E3</f>
        <v>0.31630116739534875</v>
      </c>
      <c r="AT3" s="9">
        <f>F3/G3</f>
        <v>1.4468923365547266</v>
      </c>
      <c r="AU3" s="10">
        <v>6.4069250048013796E-2</v>
      </c>
      <c r="AV3" s="10">
        <v>0.17940701762775299</v>
      </c>
      <c r="AW3" s="10">
        <v>0.59727911911144405</v>
      </c>
      <c r="AX3" s="10">
        <v>2.1218818406845701</v>
      </c>
      <c r="AY3" s="10">
        <v>8.4875273627382803</v>
      </c>
      <c r="AZ3" s="10">
        <v>33.9501094509531</v>
      </c>
      <c r="BA3" s="46">
        <f>AU3*AL3</f>
        <v>1.8207238150363132E-3</v>
      </c>
      <c r="BB3" s="58">
        <f t="shared" ref="BB3:BF3" si="5">AV3*AM3</f>
        <v>1.3595731882182523E-2</v>
      </c>
      <c r="BC3" s="58">
        <f t="shared" si="5"/>
        <v>0.27157622493165545</v>
      </c>
      <c r="BD3" s="58">
        <f t="shared" si="5"/>
        <v>2.653189713845872</v>
      </c>
      <c r="BE3" s="58">
        <f t="shared" si="5"/>
        <v>24.280705866104647</v>
      </c>
      <c r="BF3" s="62">
        <f t="shared" si="5"/>
        <v>157.2617903115916</v>
      </c>
    </row>
    <row r="4" spans="1:58" x14ac:dyDescent="0.25">
      <c r="A4" s="34">
        <v>6</v>
      </c>
      <c r="B4" s="51">
        <v>128</v>
      </c>
      <c r="C4" s="48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8">
        <v>1690</v>
      </c>
      <c r="N4" s="20">
        <f t="shared" ref="N4:N21" si="6">H4/$D4</f>
        <v>0.2</v>
      </c>
      <c r="O4" s="10">
        <f t="shared" si="0"/>
        <v>0.8</v>
      </c>
      <c r="P4" s="10">
        <f t="shared" si="0"/>
        <v>6.5</v>
      </c>
      <c r="Q4" s="10">
        <f t="shared" si="0"/>
        <v>19.5</v>
      </c>
      <c r="R4" s="10">
        <f t="shared" si="0"/>
        <v>62.8</v>
      </c>
      <c r="S4" s="22">
        <f t="shared" si="0"/>
        <v>169</v>
      </c>
      <c r="T4" s="20">
        <f t="shared" ref="T4:T21" si="7">N4*$E4</f>
        <v>1.0284460620237581E-2</v>
      </c>
      <c r="U4" s="10">
        <f t="shared" si="1"/>
        <v>4.1137842480950322E-2</v>
      </c>
      <c r="V4" s="10">
        <f t="shared" si="1"/>
        <v>0.33424497015772137</v>
      </c>
      <c r="W4" s="10">
        <f t="shared" si="1"/>
        <v>1.002734910473164</v>
      </c>
      <c r="X4" s="10">
        <f t="shared" si="1"/>
        <v>3.2293206347546</v>
      </c>
      <c r="Y4" s="22">
        <f t="shared" si="1"/>
        <v>8.6903692241007544</v>
      </c>
      <c r="Z4" s="4">
        <f t="shared" si="2"/>
        <v>7.0473884164208789</v>
      </c>
      <c r="AA4" s="9">
        <f t="shared" ref="AA4:AA23" si="8">E4/F4</f>
        <v>3.5872859620559958</v>
      </c>
      <c r="AB4" s="4">
        <f t="shared" ref="AB4:AB23" si="9">G4/F4</f>
        <v>0.50902344955152234</v>
      </c>
      <c r="AC4" s="53">
        <f t="shared" ref="AC4:AC21" si="10">N4*$G4</f>
        <v>1.4593293306033922E-3</v>
      </c>
      <c r="AD4">
        <f t="shared" si="3"/>
        <v>5.8373173224135688E-3</v>
      </c>
      <c r="AE4">
        <f t="shared" si="3"/>
        <v>4.7428203244610244E-2</v>
      </c>
      <c r="AF4">
        <f t="shared" si="3"/>
        <v>0.14228460973383072</v>
      </c>
      <c r="AG4">
        <f t="shared" si="3"/>
        <v>0.45822940980946508</v>
      </c>
      <c r="AH4" s="54">
        <f t="shared" si="3"/>
        <v>1.2331332843598664</v>
      </c>
      <c r="AI4" s="58">
        <f t="shared" ref="AI4:AI23" si="11">E4*G4</f>
        <v>3.7521037581370633E-4</v>
      </c>
      <c r="AJ4" s="58">
        <f t="shared" ref="AJ4:AJ23" si="12">E4*F4</f>
        <v>7.3711805643588205E-4</v>
      </c>
      <c r="AK4" s="58">
        <f t="shared" ref="AK4:AK23" si="13">G4*F4</f>
        <v>1.0459449839863352E-4</v>
      </c>
      <c r="AL4" s="53">
        <f>N4*$F4</f>
        <v>2.8669196515192803E-3</v>
      </c>
      <c r="AM4">
        <f t="shared" ref="AM4:AQ19" si="14">O4*$F4</f>
        <v>1.1467678606077121E-2</v>
      </c>
      <c r="AN4">
        <f t="shared" si="14"/>
        <v>9.3174888674376594E-2</v>
      </c>
      <c r="AO4">
        <f t="shared" si="14"/>
        <v>0.27952466602312981</v>
      </c>
      <c r="AP4">
        <f t="shared" si="14"/>
        <v>0.90021277057705384</v>
      </c>
      <c r="AQ4" s="54">
        <f t="shared" si="14"/>
        <v>2.4225471055337917</v>
      </c>
      <c r="AR4" s="9">
        <f t="shared" ref="AR4:AR23" si="15">G4/E4</f>
        <v>0.14189653541302394</v>
      </c>
      <c r="AS4" s="9">
        <f t="shared" ref="AS4:AS23" si="16">F4/E4</f>
        <v>0.27876227615455168</v>
      </c>
      <c r="AT4" s="9">
        <f t="shared" ref="AT4:AT23" si="17">F4/G4</f>
        <v>1.9645460359067055</v>
      </c>
      <c r="AU4" s="10">
        <v>5.1422303616638097E-2</v>
      </c>
      <c r="AV4" s="10">
        <v>0.136504884052633</v>
      </c>
      <c r="AW4" s="10">
        <v>0.26754282688021702</v>
      </c>
      <c r="AX4" s="10">
        <v>0.98750358289623297</v>
      </c>
      <c r="AY4" s="10">
        <v>3.6696571758817198</v>
      </c>
      <c r="AZ4" s="10">
        <v>14.678628703526799</v>
      </c>
      <c r="BA4" s="46">
        <f t="shared" ref="BA4:BA21" si="18">AU4*AL4</f>
        <v>1.4742361276493072E-4</v>
      </c>
      <c r="BB4" s="58">
        <f t="shared" ref="BB4:BB21" si="19">AV4*AM4</f>
        <v>1.5653941384754174E-3</v>
      </c>
      <c r="BC4" s="58">
        <f t="shared" ref="BC4:BC23" si="20">AW4*AN4</f>
        <v>2.4928273110192231E-2</v>
      </c>
      <c r="BD4" s="58">
        <f t="shared" ref="BD4:BD23" si="21">AX4*AO4</f>
        <v>0.27603160920571362</v>
      </c>
      <c r="BE4" s="58">
        <f t="shared" ref="BE4:BE23" si="22">AY4*AP4</f>
        <v>3.30347225336845</v>
      </c>
      <c r="BF4" s="62">
        <f t="shared" ref="BF4:BF23" si="23">AZ4*AQ4</f>
        <v>35.559669478934083</v>
      </c>
    </row>
    <row r="5" spans="1:58" x14ac:dyDescent="0.25">
      <c r="A5" s="34">
        <v>150</v>
      </c>
      <c r="B5" s="51">
        <v>90</v>
      </c>
      <c r="C5" s="48">
        <v>108.42</v>
      </c>
      <c r="D5" s="2">
        <v>5</v>
      </c>
      <c r="E5" s="27">
        <v>4.68499378365069E-2</v>
      </c>
      <c r="F5" s="27">
        <v>1.9737041545963101E-2</v>
      </c>
      <c r="G5" s="27">
        <v>1.1301251811562101E-2</v>
      </c>
      <c r="H5" s="30">
        <v>2</v>
      </c>
      <c r="I5" s="8">
        <v>16</v>
      </c>
      <c r="J5" s="8">
        <v>41</v>
      </c>
      <c r="K5" s="8">
        <v>139</v>
      </c>
      <c r="L5" s="8">
        <v>414</v>
      </c>
      <c r="M5" s="8">
        <v>882</v>
      </c>
      <c r="N5" s="20">
        <f t="shared" si="6"/>
        <v>0.4</v>
      </c>
      <c r="O5" s="10">
        <f t="shared" si="0"/>
        <v>3.2</v>
      </c>
      <c r="P5" s="10">
        <f t="shared" si="0"/>
        <v>8.1999999999999993</v>
      </c>
      <c r="Q5" s="10">
        <f t="shared" si="0"/>
        <v>27.8</v>
      </c>
      <c r="R5" s="10">
        <f t="shared" si="0"/>
        <v>82.8</v>
      </c>
      <c r="S5" s="22">
        <f t="shared" si="0"/>
        <v>176.4</v>
      </c>
      <c r="T5" s="20">
        <f t="shared" si="7"/>
        <v>1.8739975134602762E-2</v>
      </c>
      <c r="U5" s="10">
        <f t="shared" si="1"/>
        <v>0.1499198010768221</v>
      </c>
      <c r="V5" s="10">
        <f t="shared" si="1"/>
        <v>0.38416949025935654</v>
      </c>
      <c r="W5" s="10">
        <f t="shared" si="1"/>
        <v>1.3024282718548919</v>
      </c>
      <c r="X5" s="10">
        <f t="shared" si="1"/>
        <v>3.879174852862771</v>
      </c>
      <c r="Y5" s="22">
        <f t="shared" si="1"/>
        <v>8.2643290343598181</v>
      </c>
      <c r="Z5" s="4">
        <f t="shared" si="2"/>
        <v>4.1455529544590446</v>
      </c>
      <c r="AA5" s="9">
        <f t="shared" si="8"/>
        <v>2.3737061974259923</v>
      </c>
      <c r="AB5" s="4">
        <f t="shared" si="9"/>
        <v>0.57259097242330081</v>
      </c>
      <c r="AC5" s="53">
        <f t="shared" si="10"/>
        <v>4.5205007246248404E-3</v>
      </c>
      <c r="AD5">
        <f t="shared" si="3"/>
        <v>3.6164005796998723E-2</v>
      </c>
      <c r="AE5">
        <f t="shared" si="3"/>
        <v>9.2670264854809212E-2</v>
      </c>
      <c r="AF5">
        <f t="shared" si="3"/>
        <v>0.31417480036142642</v>
      </c>
      <c r="AG5">
        <f t="shared" si="3"/>
        <v>0.93574364999734194</v>
      </c>
      <c r="AH5" s="54">
        <f t="shared" si="3"/>
        <v>1.9935408195595545</v>
      </c>
      <c r="AI5" s="58">
        <f t="shared" si="11"/>
        <v>5.2946294484639543E-4</v>
      </c>
      <c r="AJ5" s="58">
        <f t="shared" si="12"/>
        <v>9.2467916950492537E-4</v>
      </c>
      <c r="AK5" s="58">
        <f t="shared" si="13"/>
        <v>2.2305327652619194E-4</v>
      </c>
      <c r="AL5" s="53">
        <f t="shared" ref="AL5:AL21" si="24">N5*$F5</f>
        <v>7.8948166183852413E-3</v>
      </c>
      <c r="AM5">
        <f t="shared" si="14"/>
        <v>6.315853294708193E-2</v>
      </c>
      <c r="AN5">
        <f t="shared" si="14"/>
        <v>0.16184374067689741</v>
      </c>
      <c r="AO5">
        <f t="shared" si="14"/>
        <v>0.54868975497777428</v>
      </c>
      <c r="AP5">
        <f t="shared" si="14"/>
        <v>1.6342270400057448</v>
      </c>
      <c r="AQ5" s="54">
        <f t="shared" si="14"/>
        <v>3.481614128707891</v>
      </c>
      <c r="AR5" s="9">
        <f t="shared" si="15"/>
        <v>0.24122234379478344</v>
      </c>
      <c r="AS5" s="9">
        <f t="shared" si="16"/>
        <v>0.42128212880110583</v>
      </c>
      <c r="AT5" s="9">
        <f t="shared" si="17"/>
        <v>1.7464473737122201</v>
      </c>
      <c r="AU5" s="10">
        <v>4.6849938207403699E-2</v>
      </c>
      <c r="AV5" s="10">
        <v>0.12535462962986799</v>
      </c>
      <c r="AW5" s="10">
        <v>0.44063655773576799</v>
      </c>
      <c r="AX5" s="10">
        <v>1.4715502319528799</v>
      </c>
      <c r="AY5" s="10">
        <v>5.0526826474058097</v>
      </c>
      <c r="AZ5" s="10">
        <v>20.2107305896232</v>
      </c>
      <c r="BA5" s="46">
        <f t="shared" si="18"/>
        <v>3.6987167073013237E-4</v>
      </c>
      <c r="BB5" s="58">
        <f t="shared" si="19"/>
        <v>7.9172145055472695E-3</v>
      </c>
      <c r="BC5" s="58">
        <f t="shared" si="20"/>
        <v>7.1314268782948373E-2</v>
      </c>
      <c r="BD5" s="58">
        <f t="shared" si="21"/>
        <v>0.8074245362077126</v>
      </c>
      <c r="BE5" s="58">
        <f t="shared" si="22"/>
        <v>8.2572306069583874</v>
      </c>
      <c r="BF5" s="62">
        <f t="shared" si="23"/>
        <v>70.365965172340893</v>
      </c>
    </row>
    <row r="6" spans="1:58" x14ac:dyDescent="0.25">
      <c r="A6" s="34">
        <v>11</v>
      </c>
      <c r="B6" s="51">
        <v>90</v>
      </c>
      <c r="C6" s="48">
        <v>127.22</v>
      </c>
      <c r="D6" s="2">
        <v>8</v>
      </c>
      <c r="E6" s="27">
        <v>5.1754391722476999E-2</v>
      </c>
      <c r="F6" s="27">
        <v>2.3629413923689099E-2</v>
      </c>
      <c r="G6" s="27">
        <v>3.0143536797057099E-2</v>
      </c>
      <c r="H6" s="30">
        <v>6</v>
      </c>
      <c r="I6" s="8">
        <v>29</v>
      </c>
      <c r="J6" s="8">
        <v>102</v>
      </c>
      <c r="K6" s="8">
        <v>246</v>
      </c>
      <c r="L6" s="8">
        <v>493</v>
      </c>
      <c r="M6" s="8">
        <v>1329</v>
      </c>
      <c r="N6" s="20">
        <f t="shared" si="6"/>
        <v>0.75</v>
      </c>
      <c r="O6" s="10">
        <f t="shared" si="0"/>
        <v>3.625</v>
      </c>
      <c r="P6" s="10">
        <f t="shared" si="0"/>
        <v>12.75</v>
      </c>
      <c r="Q6" s="10">
        <f t="shared" si="0"/>
        <v>30.75</v>
      </c>
      <c r="R6" s="10">
        <f t="shared" si="0"/>
        <v>61.625</v>
      </c>
      <c r="S6" s="22">
        <f t="shared" si="0"/>
        <v>166.125</v>
      </c>
      <c r="T6" s="20">
        <f t="shared" si="7"/>
        <v>3.8815793791857747E-2</v>
      </c>
      <c r="U6" s="10">
        <f t="shared" si="1"/>
        <v>0.18760966999397913</v>
      </c>
      <c r="V6" s="10">
        <f t="shared" si="1"/>
        <v>0.65986849446158169</v>
      </c>
      <c r="W6" s="10">
        <f t="shared" si="1"/>
        <v>1.5914475454661676</v>
      </c>
      <c r="X6" s="10">
        <f t="shared" si="1"/>
        <v>3.1893643898976451</v>
      </c>
      <c r="Y6" s="22">
        <f t="shared" si="1"/>
        <v>8.5976983248964913</v>
      </c>
      <c r="Z6" s="4">
        <f t="shared" si="2"/>
        <v>1.7169316285250826</v>
      </c>
      <c r="AA6" s="9">
        <f t="shared" si="8"/>
        <v>2.1902528725264694</v>
      </c>
      <c r="AB6" s="4">
        <f t="shared" si="9"/>
        <v>1.2756785629303071</v>
      </c>
      <c r="AC6" s="53">
        <f t="shared" si="10"/>
        <v>2.2607652597792825E-2</v>
      </c>
      <c r="AD6">
        <f t="shared" si="3"/>
        <v>0.10927032088933199</v>
      </c>
      <c r="AE6">
        <f t="shared" si="3"/>
        <v>0.38433009416247804</v>
      </c>
      <c r="AF6">
        <f t="shared" si="3"/>
        <v>0.9269137565095058</v>
      </c>
      <c r="AG6">
        <f t="shared" si="3"/>
        <v>1.8575954551186438</v>
      </c>
      <c r="AH6" s="54">
        <f t="shared" si="3"/>
        <v>5.0075950504111111</v>
      </c>
      <c r="AI6" s="58">
        <f t="shared" si="11"/>
        <v>1.5600604112957928E-3</v>
      </c>
      <c r="AJ6" s="58">
        <f t="shared" si="12"/>
        <v>1.2229259443791579E-3</v>
      </c>
      <c r="AK6" s="58">
        <f t="shared" si="13"/>
        <v>7.122741081016157E-4</v>
      </c>
      <c r="AL6" s="53">
        <f t="shared" si="24"/>
        <v>1.7722060442766824E-2</v>
      </c>
      <c r="AM6">
        <f t="shared" si="14"/>
        <v>8.565662547337298E-2</v>
      </c>
      <c r="AN6">
        <f t="shared" si="14"/>
        <v>0.301275027527036</v>
      </c>
      <c r="AO6">
        <f t="shared" si="14"/>
        <v>0.72660447815343976</v>
      </c>
      <c r="AP6">
        <f t="shared" si="14"/>
        <v>1.4561626330473407</v>
      </c>
      <c r="AQ6" s="54">
        <f t="shared" si="14"/>
        <v>3.9254363880728516</v>
      </c>
      <c r="AR6" s="9">
        <f t="shared" si="15"/>
        <v>0.5824343750129658</v>
      </c>
      <c r="AS6" s="9">
        <f t="shared" si="16"/>
        <v>0.45656828603835786</v>
      </c>
      <c r="AT6" s="9">
        <f t="shared" si="17"/>
        <v>0.78389653088074351</v>
      </c>
      <c r="AU6" s="10">
        <v>3.9406083818281298E-2</v>
      </c>
      <c r="AV6" s="10">
        <v>0.15393753693111001</v>
      </c>
      <c r="AW6" s="10">
        <v>0.46926879178815301</v>
      </c>
      <c r="AX6" s="10">
        <v>1.6679355265670801</v>
      </c>
      <c r="AY6" s="10">
        <v>6.0491299651584196</v>
      </c>
      <c r="AZ6" s="10">
        <v>24.1965198606337</v>
      </c>
      <c r="BA6" s="46">
        <f t="shared" si="18"/>
        <v>6.9835699924031681E-4</v>
      </c>
      <c r="BB6" s="58">
        <f t="shared" si="19"/>
        <v>1.3185769947201612E-2</v>
      </c>
      <c r="BC6" s="58">
        <f t="shared" si="20"/>
        <v>0.14137896816355472</v>
      </c>
      <c r="BD6" s="58">
        <f t="shared" si="21"/>
        <v>1.2119294228748561</v>
      </c>
      <c r="BE6" s="58">
        <f t="shared" si="22"/>
        <v>8.8085170177106527</v>
      </c>
      <c r="BF6" s="62">
        <f t="shared" si="23"/>
        <v>94.981899525658974</v>
      </c>
    </row>
    <row r="7" spans="1:58" x14ac:dyDescent="0.25">
      <c r="A7" s="34">
        <v>12</v>
      </c>
      <c r="B7" s="51">
        <v>64</v>
      </c>
      <c r="C7" s="48">
        <v>84.2</v>
      </c>
      <c r="D7" s="2">
        <v>3</v>
      </c>
      <c r="E7" s="27">
        <v>4.4543546788178297E-2</v>
      </c>
      <c r="F7" s="27">
        <v>2.3352349155409499E-2</v>
      </c>
      <c r="G7" s="27">
        <v>2.1759151907210301E-2</v>
      </c>
      <c r="H7" s="30">
        <v>3</v>
      </c>
      <c r="I7" s="8">
        <v>14</v>
      </c>
      <c r="J7" s="8">
        <v>41</v>
      </c>
      <c r="K7" s="8">
        <v>103</v>
      </c>
      <c r="L7" s="8">
        <v>323</v>
      </c>
      <c r="M7" s="8">
        <v>559</v>
      </c>
      <c r="N7" s="20">
        <f t="shared" si="6"/>
        <v>1</v>
      </c>
      <c r="O7" s="10">
        <f t="shared" si="0"/>
        <v>4.666666666666667</v>
      </c>
      <c r="P7" s="10">
        <f t="shared" si="0"/>
        <v>13.666666666666666</v>
      </c>
      <c r="Q7" s="10">
        <f t="shared" si="0"/>
        <v>34.333333333333336</v>
      </c>
      <c r="R7" s="10">
        <f t="shared" si="0"/>
        <v>107.66666666666667</v>
      </c>
      <c r="S7" s="22">
        <f t="shared" si="0"/>
        <v>186.33333333333334</v>
      </c>
      <c r="T7" s="20">
        <f t="shared" si="7"/>
        <v>4.4543546788178297E-2</v>
      </c>
      <c r="U7" s="10">
        <f t="shared" si="1"/>
        <v>0.20786988501149872</v>
      </c>
      <c r="V7" s="10">
        <f t="shared" si="1"/>
        <v>0.60876180610510333</v>
      </c>
      <c r="W7" s="10">
        <f t="shared" si="1"/>
        <v>1.5293284397274549</v>
      </c>
      <c r="X7" s="10">
        <f t="shared" si="1"/>
        <v>4.7958552041938631</v>
      </c>
      <c r="Y7" s="22">
        <f t="shared" si="1"/>
        <v>8.2999475515305559</v>
      </c>
      <c r="Z7" s="4">
        <f t="shared" si="2"/>
        <v>2.0471177818937862</v>
      </c>
      <c r="AA7" s="9">
        <f t="shared" si="8"/>
        <v>1.9074546415755318</v>
      </c>
      <c r="AB7" s="4">
        <f t="shared" si="9"/>
        <v>0.93177571825444638</v>
      </c>
      <c r="AC7" s="53">
        <f t="shared" si="10"/>
        <v>2.1759151907210301E-2</v>
      </c>
      <c r="AD7">
        <f t="shared" si="3"/>
        <v>0.10154270890031475</v>
      </c>
      <c r="AE7">
        <f t="shared" si="3"/>
        <v>0.29737507606520741</v>
      </c>
      <c r="AF7">
        <f t="shared" si="3"/>
        <v>0.74706421548088708</v>
      </c>
      <c r="AG7">
        <f t="shared" si="3"/>
        <v>2.3427353553429757</v>
      </c>
      <c r="AH7" s="54">
        <f t="shared" si="3"/>
        <v>4.0544553053768526</v>
      </c>
      <c r="AI7" s="58">
        <f t="shared" si="11"/>
        <v>9.6922980104990105E-4</v>
      </c>
      <c r="AJ7" s="58">
        <f t="shared" si="12"/>
        <v>1.040196457217859E-3</v>
      </c>
      <c r="AK7" s="58">
        <f t="shared" si="13"/>
        <v>5.0812731266276941E-4</v>
      </c>
      <c r="AL7" s="53">
        <f t="shared" si="24"/>
        <v>2.3352349155409499E-2</v>
      </c>
      <c r="AM7">
        <f t="shared" si="14"/>
        <v>0.108977629391911</v>
      </c>
      <c r="AN7">
        <f t="shared" si="14"/>
        <v>0.31914877179059647</v>
      </c>
      <c r="AO7">
        <f t="shared" si="14"/>
        <v>0.80176398766905954</v>
      </c>
      <c r="AP7">
        <f t="shared" si="14"/>
        <v>2.5142695923990894</v>
      </c>
      <c r="AQ7" s="54">
        <f t="shared" si="14"/>
        <v>4.3513210592913039</v>
      </c>
      <c r="AR7" s="9">
        <f t="shared" si="15"/>
        <v>0.48849167783345676</v>
      </c>
      <c r="AS7" s="9">
        <f t="shared" si="16"/>
        <v>0.52425886215255613</v>
      </c>
      <c r="AT7" s="9">
        <f t="shared" si="17"/>
        <v>1.0732196390279007</v>
      </c>
      <c r="AU7" s="10">
        <v>3.8585276164057498E-2</v>
      </c>
      <c r="AV7" s="10">
        <v>0.117415800187244</v>
      </c>
      <c r="AW7" s="10">
        <v>0.46966320074897699</v>
      </c>
      <c r="AX7" s="10">
        <v>1.4945503386105301</v>
      </c>
      <c r="AY7" s="10">
        <v>5.97820135444214</v>
      </c>
      <c r="AZ7" s="10">
        <v>23.912805417768499</v>
      </c>
      <c r="BA7" s="46">
        <f t="shared" si="18"/>
        <v>9.0105684124097045E-4</v>
      </c>
      <c r="BB7" s="58">
        <f t="shared" si="19"/>
        <v>1.279569555756015E-2</v>
      </c>
      <c r="BC7" s="58">
        <f t="shared" si="20"/>
        <v>0.14989243367427635</v>
      </c>
      <c r="BD7" s="58">
        <f t="shared" si="21"/>
        <v>1.1982766392565218</v>
      </c>
      <c r="BE7" s="58">
        <f t="shared" si="22"/>
        <v>15.030809882712923</v>
      </c>
      <c r="BF7" s="62">
        <f t="shared" si="23"/>
        <v>104.05229380107126</v>
      </c>
    </row>
    <row r="8" spans="1:58" x14ac:dyDescent="0.25">
      <c r="A8" s="34">
        <v>96</v>
      </c>
      <c r="B8" s="51">
        <v>64</v>
      </c>
      <c r="C8" s="48">
        <v>86.98</v>
      </c>
      <c r="D8" s="2">
        <v>8</v>
      </c>
      <c r="E8" s="27">
        <v>9.5639162401153693E-2</v>
      </c>
      <c r="F8" s="27">
        <v>1.9277468694701001E-2</v>
      </c>
      <c r="G8" s="27">
        <v>5.1627678565697001E-3</v>
      </c>
      <c r="H8" s="30">
        <v>3</v>
      </c>
      <c r="I8" s="8">
        <v>22</v>
      </c>
      <c r="J8" s="8">
        <v>58</v>
      </c>
      <c r="K8" s="8">
        <v>165</v>
      </c>
      <c r="L8" s="8">
        <v>559</v>
      </c>
      <c r="M8" s="8">
        <v>1384</v>
      </c>
      <c r="N8" s="20">
        <f t="shared" si="6"/>
        <v>0.375</v>
      </c>
      <c r="O8" s="10">
        <f t="shared" si="0"/>
        <v>2.75</v>
      </c>
      <c r="P8" s="10">
        <f t="shared" si="0"/>
        <v>7.25</v>
      </c>
      <c r="Q8" s="10">
        <f t="shared" si="0"/>
        <v>20.625</v>
      </c>
      <c r="R8" s="10">
        <f t="shared" si="0"/>
        <v>69.875</v>
      </c>
      <c r="S8" s="22">
        <f t="shared" si="0"/>
        <v>173</v>
      </c>
      <c r="T8" s="20">
        <f t="shared" si="7"/>
        <v>3.5864685900432638E-2</v>
      </c>
      <c r="U8" s="10">
        <f t="shared" si="1"/>
        <v>0.26300769660317264</v>
      </c>
      <c r="V8" s="10">
        <f t="shared" si="1"/>
        <v>0.6933839274083643</v>
      </c>
      <c r="W8" s="10">
        <f t="shared" si="1"/>
        <v>1.9725577245237949</v>
      </c>
      <c r="X8" s="10">
        <f t="shared" si="1"/>
        <v>6.6827864727806139</v>
      </c>
      <c r="Y8" s="22">
        <f t="shared" si="1"/>
        <v>16.545575095399588</v>
      </c>
      <c r="Z8" s="4">
        <f t="shared" si="2"/>
        <v>18.52478458419381</v>
      </c>
      <c r="AA8" s="9">
        <f t="shared" si="8"/>
        <v>4.9611888321957451</v>
      </c>
      <c r="AB8" s="4">
        <f t="shared" si="9"/>
        <v>0.26781357751543616</v>
      </c>
      <c r="AC8" s="53">
        <f t="shared" si="10"/>
        <v>1.9360379462136377E-3</v>
      </c>
      <c r="AD8">
        <f t="shared" si="3"/>
        <v>1.4197611605566676E-2</v>
      </c>
      <c r="AE8">
        <f t="shared" si="3"/>
        <v>3.7430066960130327E-2</v>
      </c>
      <c r="AF8">
        <f t="shared" si="3"/>
        <v>0.10648208704175006</v>
      </c>
      <c r="AG8">
        <f t="shared" si="3"/>
        <v>0.36074840397780777</v>
      </c>
      <c r="AH8" s="54">
        <f t="shared" si="3"/>
        <v>0.89315883918655814</v>
      </c>
      <c r="AI8" s="58">
        <f t="shared" si="11"/>
        <v>4.9376279347392569E-4</v>
      </c>
      <c r="AJ8" s="58">
        <f t="shared" si="12"/>
        <v>1.8436809591756652E-3</v>
      </c>
      <c r="AK8" s="58">
        <f t="shared" si="13"/>
        <v>9.9525095733030979E-5</v>
      </c>
      <c r="AL8" s="53">
        <f t="shared" si="24"/>
        <v>7.2290507605128757E-3</v>
      </c>
      <c r="AM8">
        <f t="shared" si="14"/>
        <v>5.3013038910427752E-2</v>
      </c>
      <c r="AN8">
        <f t="shared" si="14"/>
        <v>0.13976164803658225</v>
      </c>
      <c r="AO8">
        <f t="shared" si="14"/>
        <v>0.39759779182820815</v>
      </c>
      <c r="AP8">
        <f t="shared" si="14"/>
        <v>1.3470131250422324</v>
      </c>
      <c r="AQ8" s="54">
        <f t="shared" si="14"/>
        <v>3.335002084183273</v>
      </c>
      <c r="AR8" s="9">
        <f t="shared" si="15"/>
        <v>5.3981734332999784E-2</v>
      </c>
      <c r="AS8" s="9">
        <f t="shared" si="16"/>
        <v>0.20156459143632627</v>
      </c>
      <c r="AT8" s="9">
        <f t="shared" si="17"/>
        <v>3.7339406361589802</v>
      </c>
      <c r="AU8" s="10">
        <v>9.5639162709086803E-2</v>
      </c>
      <c r="AV8" s="10">
        <v>0.18581760283662399</v>
      </c>
      <c r="AW8" s="10">
        <v>0.60536126077852104</v>
      </c>
      <c r="AX8" s="10">
        <v>1.2337579982911999</v>
      </c>
      <c r="AY8" s="10">
        <v>4.9350319931648103</v>
      </c>
      <c r="AZ8" s="10">
        <v>19.740127972659199</v>
      </c>
      <c r="BA8" s="46">
        <f t="shared" si="18"/>
        <v>6.913803619169386E-4</v>
      </c>
      <c r="BB8" s="58">
        <f t="shared" si="19"/>
        <v>9.8507558094203581E-3</v>
      </c>
      <c r="BC8" s="58">
        <f t="shared" si="20"/>
        <v>8.4606287463909344E-2</v>
      </c>
      <c r="BD8" s="58">
        <f t="shared" si="21"/>
        <v>0.4905394557709713</v>
      </c>
      <c r="BE8" s="58">
        <f t="shared" si="22"/>
        <v>6.6475528672963282</v>
      </c>
      <c r="BF8" s="62">
        <f t="shared" si="23"/>
        <v>65.833367930862963</v>
      </c>
    </row>
    <row r="9" spans="1:58" x14ac:dyDescent="0.25">
      <c r="A9" s="34">
        <v>107</v>
      </c>
      <c r="B9" s="51">
        <v>45</v>
      </c>
      <c r="C9" s="48">
        <v>52.94</v>
      </c>
      <c r="D9" s="2">
        <v>5</v>
      </c>
      <c r="E9" s="27">
        <v>2.7724885205644801E-2</v>
      </c>
      <c r="F9" s="27">
        <v>1.4478880481023E-2</v>
      </c>
      <c r="G9" s="27">
        <v>1.4642800293065399E-2</v>
      </c>
      <c r="H9" s="30">
        <v>1</v>
      </c>
      <c r="I9" s="8">
        <v>13</v>
      </c>
      <c r="J9" s="8">
        <v>39</v>
      </c>
      <c r="K9" s="8">
        <v>78</v>
      </c>
      <c r="L9" s="8">
        <v>345</v>
      </c>
      <c r="M9" s="8">
        <v>943</v>
      </c>
      <c r="N9" s="20">
        <f t="shared" si="6"/>
        <v>0.2</v>
      </c>
      <c r="O9" s="10">
        <f t="shared" si="0"/>
        <v>2.6</v>
      </c>
      <c r="P9" s="10">
        <f t="shared" si="0"/>
        <v>7.8</v>
      </c>
      <c r="Q9" s="10">
        <f t="shared" si="0"/>
        <v>15.6</v>
      </c>
      <c r="R9" s="10">
        <f t="shared" si="0"/>
        <v>69</v>
      </c>
      <c r="S9" s="22">
        <f t="shared" si="0"/>
        <v>188.6</v>
      </c>
      <c r="T9" s="20">
        <f t="shared" si="7"/>
        <v>5.5449770411289609E-3</v>
      </c>
      <c r="U9" s="10">
        <f t="shared" si="1"/>
        <v>7.2084701534676485E-2</v>
      </c>
      <c r="V9" s="10">
        <f t="shared" si="1"/>
        <v>0.21625410460402944</v>
      </c>
      <c r="W9" s="10">
        <f t="shared" si="1"/>
        <v>0.43250820920805888</v>
      </c>
      <c r="X9" s="10">
        <f t="shared" si="1"/>
        <v>1.9130170791894914</v>
      </c>
      <c r="Y9" s="22">
        <f t="shared" si="1"/>
        <v>5.2289133497846096</v>
      </c>
      <c r="Z9" s="4">
        <f t="shared" si="2"/>
        <v>1.8934141455698792</v>
      </c>
      <c r="AA9" s="9">
        <f t="shared" si="8"/>
        <v>1.9148500633030923</v>
      </c>
      <c r="AB9" s="4">
        <f t="shared" si="9"/>
        <v>1.011321304313358</v>
      </c>
      <c r="AC9" s="53">
        <f t="shared" si="10"/>
        <v>2.9285600586130799E-3</v>
      </c>
      <c r="AD9">
        <f t="shared" si="3"/>
        <v>3.8071280761970042E-2</v>
      </c>
      <c r="AE9">
        <f t="shared" si="3"/>
        <v>0.11421384228591011</v>
      </c>
      <c r="AF9">
        <f t="shared" si="3"/>
        <v>0.22842768457182022</v>
      </c>
      <c r="AG9">
        <f t="shared" si="3"/>
        <v>1.0103532202215126</v>
      </c>
      <c r="AH9" s="54">
        <f t="shared" si="3"/>
        <v>2.761632135272134</v>
      </c>
      <c r="AI9" s="58">
        <f t="shared" si="11"/>
        <v>4.0596995721442025E-4</v>
      </c>
      <c r="AJ9" s="58">
        <f t="shared" si="12"/>
        <v>4.0142529924261388E-4</v>
      </c>
      <c r="AK9" s="58">
        <f t="shared" si="13"/>
        <v>2.1201135535078248E-4</v>
      </c>
      <c r="AL9" s="53">
        <f t="shared" si="24"/>
        <v>2.8957760962046004E-3</v>
      </c>
      <c r="AM9">
        <f t="shared" si="14"/>
        <v>3.7645089250659805E-2</v>
      </c>
      <c r="AN9">
        <f t="shared" si="14"/>
        <v>0.1129352677519794</v>
      </c>
      <c r="AO9">
        <f t="shared" si="14"/>
        <v>0.2258705355039588</v>
      </c>
      <c r="AP9">
        <f t="shared" si="14"/>
        <v>0.999042753190587</v>
      </c>
      <c r="AQ9" s="54">
        <f t="shared" si="14"/>
        <v>2.7307168587209376</v>
      </c>
      <c r="AR9" s="9">
        <f t="shared" si="15"/>
        <v>0.52814647146254434</v>
      </c>
      <c r="AS9" s="9">
        <f t="shared" si="16"/>
        <v>0.52223410029034467</v>
      </c>
      <c r="AT9" s="9">
        <f t="shared" si="17"/>
        <v>0.98880543278869759</v>
      </c>
      <c r="AU9" s="10">
        <v>2.77248857374158E-2</v>
      </c>
      <c r="AV9" s="10">
        <v>7.8677957752448305E-2</v>
      </c>
      <c r="AW9" s="10">
        <v>0.26510584610390098</v>
      </c>
      <c r="AX9" s="10">
        <v>0.92664835919294097</v>
      </c>
      <c r="AY9" s="10">
        <v>3.7065934367717599</v>
      </c>
      <c r="AZ9" s="10">
        <v>14.826373747087001</v>
      </c>
      <c r="BA9" s="46">
        <f t="shared" si="18"/>
        <v>8.0285061388412523E-5</v>
      </c>
      <c r="BB9" s="58">
        <f t="shared" si="19"/>
        <v>2.9618387416505579E-3</v>
      </c>
      <c r="BC9" s="58">
        <f t="shared" si="20"/>
        <v>2.9939799712359102E-2</v>
      </c>
      <c r="BD9" s="58">
        <f t="shared" si="21"/>
        <v>0.20930256111477435</v>
      </c>
      <c r="BE9" s="58">
        <f t="shared" si="22"/>
        <v>3.703045312030619</v>
      </c>
      <c r="BF9" s="62">
        <f t="shared" si="23"/>
        <v>40.486628744867993</v>
      </c>
    </row>
    <row r="10" spans="1:58" x14ac:dyDescent="0.25">
      <c r="A10" s="34">
        <v>162</v>
      </c>
      <c r="B10" s="51">
        <v>45</v>
      </c>
      <c r="C10" s="48">
        <v>54.05</v>
      </c>
      <c r="D10" s="2">
        <v>10</v>
      </c>
      <c r="E10" s="27">
        <v>2.2481115003792299E-2</v>
      </c>
      <c r="F10" s="27">
        <v>9.1860908476934702E-3</v>
      </c>
      <c r="G10" s="27">
        <v>5.26397191560033E-3</v>
      </c>
      <c r="H10" s="30">
        <v>0</v>
      </c>
      <c r="I10" s="8">
        <v>8</v>
      </c>
      <c r="J10" s="8">
        <v>40</v>
      </c>
      <c r="K10" s="8">
        <v>121</v>
      </c>
      <c r="L10" s="8">
        <v>631</v>
      </c>
      <c r="M10" s="8">
        <v>1881</v>
      </c>
      <c r="N10" s="20"/>
      <c r="O10" s="10">
        <f t="shared" si="0"/>
        <v>0.8</v>
      </c>
      <c r="P10" s="10">
        <f t="shared" si="0"/>
        <v>4</v>
      </c>
      <c r="Q10" s="10">
        <f t="shared" si="0"/>
        <v>12.1</v>
      </c>
      <c r="R10" s="10">
        <f t="shared" si="0"/>
        <v>63.1</v>
      </c>
      <c r="S10" s="22">
        <f t="shared" si="0"/>
        <v>188.1</v>
      </c>
      <c r="T10" s="20"/>
      <c r="U10" s="10">
        <f t="shared" si="1"/>
        <v>1.7984892003033839E-2</v>
      </c>
      <c r="V10" s="10">
        <f t="shared" si="1"/>
        <v>8.9924460015169197E-2</v>
      </c>
      <c r="W10" s="10">
        <f t="shared" si="1"/>
        <v>0.27202149154588684</v>
      </c>
      <c r="X10" s="10">
        <f t="shared" si="1"/>
        <v>1.4185583567392941</v>
      </c>
      <c r="Y10" s="22">
        <f t="shared" si="1"/>
        <v>4.2286977322133312</v>
      </c>
      <c r="Z10" s="4">
        <f t="shared" si="2"/>
        <v>4.2707513193919535</v>
      </c>
      <c r="AA10" s="9">
        <f t="shared" si="8"/>
        <v>2.4472994417899829</v>
      </c>
      <c r="AB10" s="4">
        <f t="shared" si="9"/>
        <v>0.57303721494568682</v>
      </c>
      <c r="AC10" s="53"/>
      <c r="AD10">
        <f t="shared" si="3"/>
        <v>4.2111775324802639E-3</v>
      </c>
      <c r="AE10">
        <f t="shared" si="3"/>
        <v>2.105588766240132E-2</v>
      </c>
      <c r="AF10">
        <f t="shared" si="3"/>
        <v>6.3694060178763987E-2</v>
      </c>
      <c r="AG10">
        <f t="shared" si="3"/>
        <v>0.33215662787438083</v>
      </c>
      <c r="AH10" s="54">
        <f t="shared" si="3"/>
        <v>0.99015311732442202</v>
      </c>
      <c r="AI10" s="58">
        <f t="shared" si="11"/>
        <v>1.1833995801134387E-4</v>
      </c>
      <c r="AJ10" s="58">
        <f t="shared" si="12"/>
        <v>2.065135647822808E-4</v>
      </c>
      <c r="AK10" s="58">
        <f t="shared" si="13"/>
        <v>4.8355324236411653E-5</v>
      </c>
      <c r="AL10" s="53"/>
      <c r="AM10">
        <f t="shared" si="14"/>
        <v>7.3488726781547765E-3</v>
      </c>
      <c r="AN10">
        <f t="shared" si="14"/>
        <v>3.6744363390773881E-2</v>
      </c>
      <c r="AO10">
        <f t="shared" si="14"/>
        <v>0.11115169925709098</v>
      </c>
      <c r="AP10">
        <f t="shared" si="14"/>
        <v>0.57964233248945796</v>
      </c>
      <c r="AQ10" s="54">
        <f t="shared" si="14"/>
        <v>1.7279036884511416</v>
      </c>
      <c r="AR10" s="9">
        <f t="shared" si="15"/>
        <v>0.23415083792384675</v>
      </c>
      <c r="AS10" s="9">
        <f t="shared" si="16"/>
        <v>0.40861366734451937</v>
      </c>
      <c r="AT10" s="9">
        <f t="shared" si="17"/>
        <v>1.745087358933191</v>
      </c>
      <c r="AU10" s="10"/>
      <c r="AV10" s="10">
        <v>7.7959153032395798E-2</v>
      </c>
      <c r="AW10" s="10">
        <v>0.24135454645261201</v>
      </c>
      <c r="AX10" s="10">
        <v>0.62231226944989104</v>
      </c>
      <c r="AY10" s="10">
        <v>2.3516392566763402</v>
      </c>
      <c r="AZ10" s="10">
        <v>9.4065570267053804</v>
      </c>
      <c r="BA10" s="46"/>
      <c r="BB10" s="58">
        <f t="shared" si="19"/>
        <v>5.7291188973186062E-4</v>
      </c>
      <c r="BC10" s="58">
        <f t="shared" si="20"/>
        <v>8.8684191608701911E-3</v>
      </c>
      <c r="BD10" s="58">
        <f t="shared" si="21"/>
        <v>6.9171066217892055E-2</v>
      </c>
      <c r="BE10" s="58">
        <f t="shared" si="22"/>
        <v>1.3631096639136489</v>
      </c>
      <c r="BF10" s="62">
        <f t="shared" si="23"/>
        <v>16.253624582070231</v>
      </c>
    </row>
    <row r="11" spans="1:58" x14ac:dyDescent="0.25">
      <c r="A11" s="34">
        <v>69</v>
      </c>
      <c r="B11" s="51">
        <v>32</v>
      </c>
      <c r="C11" s="48"/>
      <c r="D11" s="2">
        <v>4</v>
      </c>
      <c r="E11" s="27">
        <v>1.0897008883362201E-2</v>
      </c>
      <c r="F11" s="27">
        <v>7.27047978157239E-3</v>
      </c>
      <c r="G11" s="27">
        <v>6.8585843273274603E-3</v>
      </c>
      <c r="H11" s="30">
        <v>0</v>
      </c>
      <c r="I11" s="8">
        <v>1</v>
      </c>
      <c r="J11" s="8">
        <v>12</v>
      </c>
      <c r="K11" s="8">
        <v>57</v>
      </c>
      <c r="L11" s="8">
        <v>275</v>
      </c>
      <c r="M11" s="8">
        <v>830</v>
      </c>
      <c r="N11" s="20"/>
      <c r="O11" s="10">
        <f t="shared" si="0"/>
        <v>0.25</v>
      </c>
      <c r="P11" s="10">
        <f t="shared" si="0"/>
        <v>3</v>
      </c>
      <c r="Q11" s="10">
        <f t="shared" si="0"/>
        <v>14.25</v>
      </c>
      <c r="R11" s="10">
        <f t="shared" si="0"/>
        <v>68.75</v>
      </c>
      <c r="S11" s="22">
        <f t="shared" si="0"/>
        <v>207.5</v>
      </c>
      <c r="T11" s="20"/>
      <c r="U11" s="10"/>
      <c r="V11" s="10">
        <f t="shared" si="1"/>
        <v>3.2691026650086601E-2</v>
      </c>
      <c r="W11" s="10">
        <f t="shared" si="1"/>
        <v>0.15528237658791136</v>
      </c>
      <c r="X11" s="10">
        <f t="shared" si="1"/>
        <v>0.74916936073115126</v>
      </c>
      <c r="Y11" s="22">
        <f t="shared" si="1"/>
        <v>2.2611293432976565</v>
      </c>
      <c r="Z11" s="4">
        <f t="shared" si="2"/>
        <v>1.5888131374202068</v>
      </c>
      <c r="AA11" s="9">
        <f t="shared" si="8"/>
        <v>1.4988018962629588</v>
      </c>
      <c r="AB11" s="4">
        <f t="shared" si="9"/>
        <v>0.9433468675218778</v>
      </c>
      <c r="AC11" s="53"/>
      <c r="AD11">
        <f t="shared" si="3"/>
        <v>1.7146460818318651E-3</v>
      </c>
      <c r="AE11">
        <f t="shared" si="3"/>
        <v>2.057575298198238E-2</v>
      </c>
      <c r="AF11">
        <f t="shared" si="3"/>
        <v>9.7734826664416311E-2</v>
      </c>
      <c r="AG11">
        <f t="shared" si="3"/>
        <v>0.47152767250376287</v>
      </c>
      <c r="AH11" s="54">
        <f t="shared" si="3"/>
        <v>1.423156247920448</v>
      </c>
      <c r="AI11" s="58">
        <f t="shared" si="11"/>
        <v>7.4738054342176106E-5</v>
      </c>
      <c r="AJ11" s="58">
        <f t="shared" si="12"/>
        <v>7.9226482766099602E-5</v>
      </c>
      <c r="AK11" s="58">
        <f t="shared" si="13"/>
        <v>4.9865198682043573E-5</v>
      </c>
      <c r="AL11" s="53"/>
      <c r="AM11">
        <f t="shared" si="14"/>
        <v>1.8176199453930975E-3</v>
      </c>
      <c r="AN11">
        <f t="shared" si="14"/>
        <v>2.181143934471717E-2</v>
      </c>
      <c r="AO11">
        <f t="shared" si="14"/>
        <v>0.10360433688740656</v>
      </c>
      <c r="AP11">
        <f t="shared" si="14"/>
        <v>0.49984548498310183</v>
      </c>
      <c r="AQ11" s="54">
        <f t="shared" si="14"/>
        <v>1.5086245546762709</v>
      </c>
      <c r="AR11" s="9">
        <f t="shared" si="15"/>
        <v>0.62940063651772382</v>
      </c>
      <c r="AS11" s="9">
        <f t="shared" si="16"/>
        <v>0.66719958287573045</v>
      </c>
      <c r="AT11" s="9">
        <f t="shared" si="17"/>
        <v>1.0600554625542427</v>
      </c>
      <c r="AU11" s="10"/>
      <c r="AV11" s="10">
        <v>4.3588035701968897E-2</v>
      </c>
      <c r="AW11" s="10">
        <v>0.13106034882425699</v>
      </c>
      <c r="AX11" s="10">
        <v>0.52424139529702896</v>
      </c>
      <c r="AY11" s="10">
        <v>1.86124282879616</v>
      </c>
      <c r="AZ11" s="10">
        <v>7.4449713151846701</v>
      </c>
      <c r="BA11" s="46"/>
      <c r="BB11" s="58"/>
      <c r="BC11" s="58">
        <f t="shared" si="20"/>
        <v>2.8586148488777556E-3</v>
      </c>
      <c r="BD11" s="58">
        <f t="shared" si="21"/>
        <v>5.431368212867746E-2</v>
      </c>
      <c r="BE11" s="58">
        <f t="shared" si="22"/>
        <v>0.93033382443093693</v>
      </c>
      <c r="BF11" s="62">
        <f t="shared" si="23"/>
        <v>11.231666534948083</v>
      </c>
    </row>
    <row r="12" spans="1:58" x14ac:dyDescent="0.25">
      <c r="A12" s="34">
        <v>85</v>
      </c>
      <c r="B12" s="51">
        <v>32</v>
      </c>
      <c r="C12" s="48">
        <v>43.73</v>
      </c>
      <c r="D12" s="2">
        <v>6</v>
      </c>
      <c r="E12" s="27">
        <v>1.13162316396569E-2</v>
      </c>
      <c r="F12" s="27">
        <v>6.77105129691932E-3</v>
      </c>
      <c r="G12" s="27">
        <v>5.0494700428746703E-3</v>
      </c>
      <c r="H12" s="30">
        <v>0</v>
      </c>
      <c r="I12" s="8">
        <v>1</v>
      </c>
      <c r="J12" s="8">
        <v>17</v>
      </c>
      <c r="K12" s="8">
        <v>76</v>
      </c>
      <c r="L12" s="8">
        <v>328</v>
      </c>
      <c r="M12" s="8">
        <v>1228</v>
      </c>
      <c r="N12" s="20"/>
      <c r="O12" s="10">
        <f t="shared" si="0"/>
        <v>0.16666666666666666</v>
      </c>
      <c r="P12" s="10">
        <f t="shared" si="0"/>
        <v>2.8333333333333335</v>
      </c>
      <c r="Q12" s="10">
        <f t="shared" si="0"/>
        <v>12.666666666666666</v>
      </c>
      <c r="R12" s="10">
        <f t="shared" si="0"/>
        <v>54.666666666666664</v>
      </c>
      <c r="S12" s="22">
        <f t="shared" si="0"/>
        <v>204.66666666666666</v>
      </c>
      <c r="T12" s="20"/>
      <c r="U12" s="10"/>
      <c r="V12" s="10">
        <f t="shared" si="1"/>
        <v>3.2062656312361215E-2</v>
      </c>
      <c r="W12" s="10">
        <f t="shared" si="1"/>
        <v>0.14333893410232074</v>
      </c>
      <c r="X12" s="10">
        <f t="shared" si="1"/>
        <v>0.61862066296791052</v>
      </c>
      <c r="Y12" s="22">
        <f t="shared" si="1"/>
        <v>2.3160554089164456</v>
      </c>
      <c r="Z12" s="4">
        <f t="shared" si="2"/>
        <v>2.2410731311546814</v>
      </c>
      <c r="AA12" s="9">
        <f t="shared" si="8"/>
        <v>1.6712665645888014</v>
      </c>
      <c r="AB12" s="4">
        <f t="shared" si="9"/>
        <v>0.7457438766077682</v>
      </c>
      <c r="AC12" s="53"/>
      <c r="AD12">
        <f t="shared" si="3"/>
        <v>8.4157834047911165E-4</v>
      </c>
      <c r="AE12">
        <f t="shared" si="3"/>
        <v>1.4306831788144901E-2</v>
      </c>
      <c r="AF12">
        <f t="shared" si="3"/>
        <v>6.3959953876412484E-2</v>
      </c>
      <c r="AG12">
        <f t="shared" si="3"/>
        <v>0.27603769567714864</v>
      </c>
      <c r="AH12" s="54">
        <f t="shared" si="3"/>
        <v>1.0334582021083492</v>
      </c>
      <c r="AI12" s="58">
        <f t="shared" si="11"/>
        <v>5.7140972662678026E-5</v>
      </c>
      <c r="AJ12" s="58">
        <f t="shared" si="12"/>
        <v>7.662278491993829E-5</v>
      </c>
      <c r="AK12" s="58">
        <f t="shared" si="13"/>
        <v>3.4190220682561793E-5</v>
      </c>
      <c r="AL12" s="53"/>
      <c r="AM12">
        <f t="shared" si="14"/>
        <v>1.1285085494865533E-3</v>
      </c>
      <c r="AN12">
        <f t="shared" si="14"/>
        <v>1.9184645341271407E-2</v>
      </c>
      <c r="AO12">
        <f t="shared" si="14"/>
        <v>8.5766649760978045E-2</v>
      </c>
      <c r="AP12">
        <f t="shared" si="14"/>
        <v>0.37015080423158947</v>
      </c>
      <c r="AQ12" s="54">
        <f t="shared" si="14"/>
        <v>1.3858084987694874</v>
      </c>
      <c r="AR12" s="9">
        <f t="shared" si="15"/>
        <v>0.44621480044462636</v>
      </c>
      <c r="AS12" s="9">
        <f t="shared" si="16"/>
        <v>0.59834859452599665</v>
      </c>
      <c r="AT12" s="9">
        <f t="shared" si="17"/>
        <v>1.3409429582563779</v>
      </c>
      <c r="AU12" s="10"/>
      <c r="AV12" s="10">
        <v>4.5264926352280903E-2</v>
      </c>
      <c r="AW12" s="10">
        <v>0.12707267062271299</v>
      </c>
      <c r="AX12" s="10">
        <v>0.43334728234498898</v>
      </c>
      <c r="AY12" s="10">
        <v>1.7333891293799499</v>
      </c>
      <c r="AZ12" s="10">
        <v>6.9335565175198299</v>
      </c>
      <c r="BA12" s="46"/>
      <c r="BB12" s="58"/>
      <c r="BC12" s="58">
        <f t="shared" si="20"/>
        <v>2.4378441184649468E-3</v>
      </c>
      <c r="BD12" s="58">
        <f t="shared" si="21"/>
        <v>3.7166744589754337E-2</v>
      </c>
      <c r="BE12" s="58">
        <f t="shared" si="22"/>
        <v>0.64161538028628318</v>
      </c>
      <c r="BF12" s="62">
        <f t="shared" si="23"/>
        <v>9.6085815486775505</v>
      </c>
    </row>
    <row r="13" spans="1:58" x14ac:dyDescent="0.25">
      <c r="A13" s="34">
        <v>165</v>
      </c>
      <c r="B13" s="51">
        <v>16</v>
      </c>
      <c r="C13" s="48"/>
      <c r="D13" s="2">
        <v>10</v>
      </c>
      <c r="E13" s="27">
        <v>1.06254875376059E-2</v>
      </c>
      <c r="F13" s="27">
        <v>5.3979442955963304E-3</v>
      </c>
      <c r="G13" s="27">
        <v>5.0606462291010196E-3</v>
      </c>
      <c r="H13" s="30">
        <v>0</v>
      </c>
      <c r="I13" s="8">
        <v>1</v>
      </c>
      <c r="J13" s="8">
        <v>11</v>
      </c>
      <c r="K13" s="8">
        <v>62</v>
      </c>
      <c r="L13" s="8">
        <v>607</v>
      </c>
      <c r="M13" s="8">
        <v>1911</v>
      </c>
      <c r="N13" s="20"/>
      <c r="O13" s="10">
        <f t="shared" si="0"/>
        <v>0.1</v>
      </c>
      <c r="P13" s="10">
        <f t="shared" si="0"/>
        <v>1.1000000000000001</v>
      </c>
      <c r="Q13" s="10">
        <f t="shared" si="0"/>
        <v>6.2</v>
      </c>
      <c r="R13" s="10">
        <f t="shared" si="0"/>
        <v>60.7</v>
      </c>
      <c r="S13" s="22">
        <f t="shared" si="0"/>
        <v>191.1</v>
      </c>
      <c r="T13" s="20"/>
      <c r="U13" s="10"/>
      <c r="V13" s="10">
        <f t="shared" si="1"/>
        <v>1.1688036291366491E-2</v>
      </c>
      <c r="W13" s="10">
        <f t="shared" si="1"/>
        <v>6.5878022733156585E-2</v>
      </c>
      <c r="X13" s="10">
        <f t="shared" si="1"/>
        <v>0.64496709353267823</v>
      </c>
      <c r="Y13" s="22">
        <f t="shared" si="1"/>
        <v>2.0305306684364877</v>
      </c>
      <c r="Z13" s="4">
        <f t="shared" si="2"/>
        <v>2.0996305721795983</v>
      </c>
      <c r="AA13" s="9">
        <f t="shared" si="8"/>
        <v>1.9684322319284075</v>
      </c>
      <c r="AB13" s="4">
        <f t="shared" si="9"/>
        <v>0.9375136073985646</v>
      </c>
      <c r="AC13" s="53"/>
      <c r="AD13">
        <f t="shared" si="3"/>
        <v>5.0606462291010194E-4</v>
      </c>
      <c r="AE13">
        <f t="shared" si="3"/>
        <v>5.5667108520111221E-3</v>
      </c>
      <c r="AF13">
        <f t="shared" si="3"/>
        <v>3.1376006620426319E-2</v>
      </c>
      <c r="AG13">
        <f t="shared" si="3"/>
        <v>0.30718122610643189</v>
      </c>
      <c r="AH13" s="54">
        <f t="shared" si="3"/>
        <v>0.96708949438120484</v>
      </c>
      <c r="AI13" s="58">
        <f t="shared" si="11"/>
        <v>5.3771833439545179E-5</v>
      </c>
      <c r="AJ13" s="58">
        <f t="shared" si="12"/>
        <v>5.735578984154967E-5</v>
      </c>
      <c r="AK13" s="58">
        <f t="shared" si="13"/>
        <v>2.731708644440693E-5</v>
      </c>
      <c r="AL13" s="53"/>
      <c r="AM13">
        <f t="shared" si="14"/>
        <v>5.3979442955963311E-4</v>
      </c>
      <c r="AN13">
        <f t="shared" si="14"/>
        <v>5.9377387251559636E-3</v>
      </c>
      <c r="AO13">
        <f t="shared" si="14"/>
        <v>3.3467254632697251E-2</v>
      </c>
      <c r="AP13">
        <f t="shared" si="14"/>
        <v>0.32765521874269726</v>
      </c>
      <c r="AQ13" s="54">
        <f t="shared" si="14"/>
        <v>1.0315471548884587</v>
      </c>
      <c r="AR13" s="9">
        <f t="shared" si="15"/>
        <v>0.47627426141062207</v>
      </c>
      <c r="AS13" s="9">
        <f t="shared" si="16"/>
        <v>0.50801850517370029</v>
      </c>
      <c r="AT13" s="9">
        <f t="shared" si="17"/>
        <v>1.0666511846956803</v>
      </c>
      <c r="AU13" s="10"/>
      <c r="AV13" s="10">
        <v>4.2501949944915698E-2</v>
      </c>
      <c r="AW13" s="10">
        <v>0.116374533955678</v>
      </c>
      <c r="AX13" s="10">
        <v>0.36853445483851999</v>
      </c>
      <c r="AY13" s="10">
        <v>1.38187374013061</v>
      </c>
      <c r="AZ13" s="10">
        <v>5.5274949605224499</v>
      </c>
      <c r="BA13" s="46"/>
      <c r="BB13" s="58"/>
      <c r="BC13" s="58">
        <f t="shared" si="20"/>
        <v>6.9100157689060691E-4</v>
      </c>
      <c r="BD13" s="58">
        <f t="shared" si="21"/>
        <v>1.2333836441003014E-2</v>
      </c>
      <c r="BE13" s="58">
        <f t="shared" si="22"/>
        <v>0.45277814259728422</v>
      </c>
      <c r="BF13" s="62">
        <f t="shared" si="23"/>
        <v>5.701871700187227</v>
      </c>
    </row>
    <row r="14" spans="1:58" x14ac:dyDescent="0.25">
      <c r="A14" s="34">
        <v>166</v>
      </c>
      <c r="B14" s="51">
        <v>16</v>
      </c>
      <c r="C14" s="48"/>
      <c r="D14" s="2">
        <v>10</v>
      </c>
      <c r="E14" s="27">
        <v>5.4104257016193398E-3</v>
      </c>
      <c r="F14" s="27">
        <v>4.2237913969842902E-3</v>
      </c>
      <c r="G14" s="27">
        <v>4.0412722569313003E-3</v>
      </c>
      <c r="H14" s="30">
        <v>0</v>
      </c>
      <c r="I14" s="8">
        <v>0</v>
      </c>
      <c r="J14" s="8">
        <v>2</v>
      </c>
      <c r="K14" s="8">
        <v>32</v>
      </c>
      <c r="L14" s="8">
        <v>536</v>
      </c>
      <c r="M14" s="8">
        <v>2020</v>
      </c>
      <c r="N14" s="20"/>
      <c r="O14" s="10"/>
      <c r="P14" s="10">
        <f t="shared" si="0"/>
        <v>0.2</v>
      </c>
      <c r="Q14" s="10">
        <f t="shared" si="0"/>
        <v>3.2</v>
      </c>
      <c r="R14" s="10">
        <f t="shared" si="0"/>
        <v>53.6</v>
      </c>
      <c r="S14" s="22">
        <f t="shared" si="0"/>
        <v>202</v>
      </c>
      <c r="T14" s="20"/>
      <c r="U14" s="10"/>
      <c r="V14" s="10">
        <f t="shared" si="1"/>
        <v>1.082085140323868E-3</v>
      </c>
      <c r="W14" s="10">
        <f t="shared" si="1"/>
        <v>1.7313362245181887E-2</v>
      </c>
      <c r="X14" s="10">
        <f t="shared" si="1"/>
        <v>0.28999881760679663</v>
      </c>
      <c r="Y14" s="22">
        <f t="shared" si="1"/>
        <v>1.0929059917271067</v>
      </c>
      <c r="Z14" s="4">
        <f t="shared" si="2"/>
        <v>1.3387926765735136</v>
      </c>
      <c r="AA14" s="9">
        <f t="shared" si="8"/>
        <v>1.2809405562694893</v>
      </c>
      <c r="AB14" s="4">
        <f t="shared" si="9"/>
        <v>0.95678784227286762</v>
      </c>
      <c r="AC14" s="53"/>
      <c r="AE14">
        <f t="shared" si="3"/>
        <v>8.0825445138626008E-4</v>
      </c>
      <c r="AF14">
        <f t="shared" si="3"/>
        <v>1.2932071222180161E-2</v>
      </c>
      <c r="AG14">
        <f t="shared" si="3"/>
        <v>0.21661219297151771</v>
      </c>
      <c r="AH14" s="54">
        <f t="shared" si="3"/>
        <v>0.81633699590012265</v>
      </c>
      <c r="AI14" s="58">
        <f t="shared" si="11"/>
        <v>2.1865003286142305E-5</v>
      </c>
      <c r="AJ14" s="58">
        <f t="shared" si="12"/>
        <v>2.2852509532522461E-5</v>
      </c>
      <c r="AK14" s="58">
        <f t="shared" si="13"/>
        <v>1.7069490991697714E-5</v>
      </c>
      <c r="AL14" s="53"/>
      <c r="AN14">
        <f t="shared" si="14"/>
        <v>8.4475827939685811E-4</v>
      </c>
      <c r="AO14">
        <f t="shared" si="14"/>
        <v>1.351613247034973E-2</v>
      </c>
      <c r="AP14">
        <f t="shared" si="14"/>
        <v>0.22639521887835795</v>
      </c>
      <c r="AQ14" s="54">
        <f t="shared" si="14"/>
        <v>0.85320586219082661</v>
      </c>
      <c r="AR14" s="9">
        <f t="shared" si="15"/>
        <v>0.74694164189737378</v>
      </c>
      <c r="AS14" s="9">
        <f t="shared" si="16"/>
        <v>0.78067635153368986</v>
      </c>
      <c r="AT14" s="9">
        <f t="shared" si="17"/>
        <v>1.0451637822074338</v>
      </c>
      <c r="AU14" s="10"/>
      <c r="AV14" s="10"/>
      <c r="AW14" s="10">
        <v>7.8663658425102104E-2</v>
      </c>
      <c r="AX14" s="10">
        <v>0.286033381784213</v>
      </c>
      <c r="AY14" s="10">
        <v>1.08129059920596</v>
      </c>
      <c r="AZ14" s="10">
        <v>4.3251623968238597</v>
      </c>
      <c r="BA14" s="46"/>
      <c r="BB14" s="58"/>
      <c r="BC14" s="58"/>
      <c r="BD14" s="58">
        <f t="shared" si="21"/>
        <v>3.8660650791375421E-3</v>
      </c>
      <c r="BE14" s="58">
        <f t="shared" si="22"/>
        <v>0.24479902187834415</v>
      </c>
      <c r="BF14" s="62">
        <f t="shared" si="23"/>
        <v>3.6902539118974436</v>
      </c>
    </row>
    <row r="15" spans="1:58" x14ac:dyDescent="0.25">
      <c r="A15" s="7">
        <v>1.1000000000000001</v>
      </c>
      <c r="B15" s="51">
        <v>32</v>
      </c>
      <c r="C15" s="48">
        <v>45.6</v>
      </c>
      <c r="D15" s="3">
        <v>20</v>
      </c>
      <c r="E15" s="26">
        <v>1.40031756933689E-2</v>
      </c>
      <c r="F15" s="26">
        <v>5.6784984243662398E-3</v>
      </c>
      <c r="G15" s="26">
        <v>4.6667095589632999E-3</v>
      </c>
      <c r="H15" s="30">
        <v>0</v>
      </c>
      <c r="I15" s="8">
        <v>1</v>
      </c>
      <c r="J15" s="8">
        <v>18</v>
      </c>
      <c r="K15" s="8">
        <v>151</v>
      </c>
      <c r="L15" s="8">
        <v>1196</v>
      </c>
      <c r="M15" s="8">
        <v>3617</v>
      </c>
      <c r="N15" s="20"/>
      <c r="O15" s="10">
        <f t="shared" si="0"/>
        <v>0.05</v>
      </c>
      <c r="P15" s="10">
        <f t="shared" si="0"/>
        <v>0.9</v>
      </c>
      <c r="Q15" s="10">
        <f t="shared" si="0"/>
        <v>7.55</v>
      </c>
      <c r="R15" s="10">
        <f t="shared" si="0"/>
        <v>59.8</v>
      </c>
      <c r="S15" s="22">
        <f t="shared" si="0"/>
        <v>180.85</v>
      </c>
      <c r="T15" s="20"/>
      <c r="U15" s="10"/>
      <c r="V15" s="10">
        <f t="shared" si="1"/>
        <v>1.260285812403201E-2</v>
      </c>
      <c r="W15" s="10">
        <f t="shared" si="1"/>
        <v>0.1057239764849352</v>
      </c>
      <c r="X15" s="10">
        <f t="shared" si="1"/>
        <v>0.83738990646346023</v>
      </c>
      <c r="Y15" s="22">
        <f t="shared" si="1"/>
        <v>2.5324743241457655</v>
      </c>
      <c r="Z15" s="4">
        <f t="shared" si="2"/>
        <v>3.0006529261014645</v>
      </c>
      <c r="AA15" s="9">
        <f t="shared" si="8"/>
        <v>2.4659997497369655</v>
      </c>
      <c r="AB15" s="4">
        <f t="shared" si="9"/>
        <v>0.82182105377340797</v>
      </c>
      <c r="AC15" s="53"/>
      <c r="AD15">
        <f t="shared" si="3"/>
        <v>2.33335477948165E-4</v>
      </c>
      <c r="AE15">
        <f t="shared" si="3"/>
        <v>4.2000386030669702E-3</v>
      </c>
      <c r="AF15">
        <f t="shared" si="3"/>
        <v>3.5233657170172912E-2</v>
      </c>
      <c r="AG15">
        <f t="shared" si="3"/>
        <v>0.27906923162600533</v>
      </c>
      <c r="AH15" s="54">
        <f t="shared" si="3"/>
        <v>0.84397442373851272</v>
      </c>
      <c r="AI15" s="58">
        <f t="shared" si="11"/>
        <v>6.5348753864087188E-5</v>
      </c>
      <c r="AJ15" s="58">
        <f t="shared" si="12"/>
        <v>7.9517011110918925E-5</v>
      </c>
      <c r="AK15" s="58">
        <f t="shared" si="13"/>
        <v>2.6499902877547969E-5</v>
      </c>
      <c r="AL15" s="53"/>
      <c r="AM15">
        <f t="shared" si="14"/>
        <v>2.8392492121831199E-4</v>
      </c>
      <c r="AN15">
        <f t="shared" si="14"/>
        <v>5.1106485819296162E-3</v>
      </c>
      <c r="AO15">
        <f t="shared" si="14"/>
        <v>4.2872663103965113E-2</v>
      </c>
      <c r="AP15">
        <f t="shared" si="14"/>
        <v>0.33957420577710112</v>
      </c>
      <c r="AQ15" s="54">
        <f t="shared" si="14"/>
        <v>1.0269564400466344</v>
      </c>
      <c r="AR15" s="9">
        <f t="shared" si="15"/>
        <v>0.33326080177464212</v>
      </c>
      <c r="AS15" s="9">
        <f t="shared" si="16"/>
        <v>0.40551504520901288</v>
      </c>
      <c r="AT15" s="9">
        <f t="shared" si="17"/>
        <v>1.2168099069845921</v>
      </c>
      <c r="AU15" s="10"/>
      <c r="AV15" s="10">
        <v>5.6012702773475899E-2</v>
      </c>
      <c r="AW15" s="10">
        <v>0.17662425401843199</v>
      </c>
      <c r="AX15" s="10">
        <v>0.371998081424883</v>
      </c>
      <c r="AY15" s="10">
        <v>1.4536955966377501</v>
      </c>
      <c r="AZ15" s="10">
        <v>5.8147823865510198</v>
      </c>
      <c r="BA15" s="46"/>
      <c r="BB15" s="58"/>
      <c r="BC15" s="58">
        <f t="shared" si="20"/>
        <v>9.0266449333367574E-4</v>
      </c>
      <c r="BD15" s="58">
        <f t="shared" si="21"/>
        <v>1.594854842025039E-2</v>
      </c>
      <c r="BE15" s="58">
        <f t="shared" si="22"/>
        <v>0.49363752766993313</v>
      </c>
      <c r="BF15" s="62">
        <f t="shared" si="23"/>
        <v>5.9715282193383086</v>
      </c>
    </row>
    <row r="16" spans="1:58" x14ac:dyDescent="0.25">
      <c r="A16" s="7">
        <v>1.2</v>
      </c>
      <c r="B16" s="51">
        <v>32</v>
      </c>
      <c r="C16" s="48">
        <v>44.2</v>
      </c>
      <c r="D16" s="3">
        <v>20</v>
      </c>
      <c r="E16" s="26">
        <v>1.0890800850407899E-2</v>
      </c>
      <c r="F16" s="26">
        <v>4.8212415579803897E-3</v>
      </c>
      <c r="G16" s="26">
        <v>4.1135640493545804E-3</v>
      </c>
      <c r="H16" s="30">
        <v>0</v>
      </c>
      <c r="I16" s="8">
        <v>1</v>
      </c>
      <c r="J16" s="8">
        <v>11</v>
      </c>
      <c r="K16" s="8">
        <v>103</v>
      </c>
      <c r="L16" s="8">
        <v>972</v>
      </c>
      <c r="M16" s="8">
        <v>3501</v>
      </c>
      <c r="N16" s="20"/>
      <c r="O16" s="10">
        <f t="shared" si="0"/>
        <v>0.05</v>
      </c>
      <c r="P16" s="10">
        <f t="shared" si="0"/>
        <v>0.55000000000000004</v>
      </c>
      <c r="Q16" s="10">
        <f t="shared" si="0"/>
        <v>5.15</v>
      </c>
      <c r="R16" s="10">
        <f t="shared" si="0"/>
        <v>48.6</v>
      </c>
      <c r="S16" s="22">
        <f t="shared" si="0"/>
        <v>175.05</v>
      </c>
      <c r="T16" s="20"/>
      <c r="U16" s="10"/>
      <c r="V16" s="10">
        <f t="shared" si="1"/>
        <v>5.9899404677243454E-3</v>
      </c>
      <c r="W16" s="10">
        <f t="shared" si="1"/>
        <v>5.6087624379600687E-2</v>
      </c>
      <c r="X16" s="10">
        <f t="shared" si="1"/>
        <v>0.52929292132982397</v>
      </c>
      <c r="Y16" s="22">
        <f t="shared" si="1"/>
        <v>1.906434688863903</v>
      </c>
      <c r="Z16" s="4">
        <f t="shared" si="2"/>
        <v>2.6475340409775971</v>
      </c>
      <c r="AA16" s="9">
        <f t="shared" si="8"/>
        <v>2.2589203879197535</v>
      </c>
      <c r="AB16" s="4">
        <f t="shared" si="9"/>
        <v>0.85321674923040902</v>
      </c>
      <c r="AC16" s="53"/>
      <c r="AD16">
        <f t="shared" si="3"/>
        <v>2.0567820246772904E-4</v>
      </c>
      <c r="AE16">
        <f t="shared" si="3"/>
        <v>2.2624602271450194E-3</v>
      </c>
      <c r="AF16">
        <f t="shared" si="3"/>
        <v>2.118485485417609E-2</v>
      </c>
      <c r="AG16">
        <f t="shared" si="3"/>
        <v>0.19991921279863262</v>
      </c>
      <c r="AH16" s="54">
        <f t="shared" si="3"/>
        <v>0.72007938683951933</v>
      </c>
      <c r="AI16" s="58">
        <f t="shared" si="11"/>
        <v>4.4800006846918226E-5</v>
      </c>
      <c r="AJ16" s="58">
        <f t="shared" si="12"/>
        <v>5.2507181659674734E-5</v>
      </c>
      <c r="AK16" s="58">
        <f t="shared" si="13"/>
        <v>1.9832485946162398E-5</v>
      </c>
      <c r="AL16" s="53"/>
      <c r="AM16">
        <f t="shared" si="14"/>
        <v>2.4106207789901949E-4</v>
      </c>
      <c r="AN16">
        <f t="shared" si="14"/>
        <v>2.6516828568892144E-3</v>
      </c>
      <c r="AO16">
        <f t="shared" si="14"/>
        <v>2.4829394023599009E-2</v>
      </c>
      <c r="AP16">
        <f t="shared" si="14"/>
        <v>0.23431233971784696</v>
      </c>
      <c r="AQ16" s="54">
        <f t="shared" si="14"/>
        <v>0.84395833472446724</v>
      </c>
      <c r="AR16" s="9">
        <f t="shared" si="15"/>
        <v>0.3777099687944907</v>
      </c>
      <c r="AS16" s="9">
        <f t="shared" si="16"/>
        <v>0.44268935078358512</v>
      </c>
      <c r="AT16" s="9">
        <f t="shared" si="17"/>
        <v>1.1720351257778141</v>
      </c>
      <c r="AU16" s="10"/>
      <c r="AV16" s="10">
        <v>4.3563203401631702E-2</v>
      </c>
      <c r="AW16" s="10">
        <v>0.14678489544762599</v>
      </c>
      <c r="AX16" s="10">
        <v>0.32808884276820199</v>
      </c>
      <c r="AY16" s="10">
        <v>1.23423783884298</v>
      </c>
      <c r="AZ16" s="10">
        <v>4.93695135537192</v>
      </c>
      <c r="BA16" s="46"/>
      <c r="BB16" s="58"/>
      <c r="BC16" s="58">
        <f t="shared" si="20"/>
        <v>3.8922699090874552E-4</v>
      </c>
      <c r="BD16" s="58">
        <f t="shared" si="21"/>
        <v>8.1462471518383098E-3</v>
      </c>
      <c r="BE16" s="58">
        <f t="shared" si="22"/>
        <v>0.28919715578759758</v>
      </c>
      <c r="BF16" s="62">
        <f t="shared" si="23"/>
        <v>4.1665812444953874</v>
      </c>
    </row>
    <row r="17" spans="1:61" x14ac:dyDescent="0.25">
      <c r="A17" s="7">
        <v>2.2000000000000002</v>
      </c>
      <c r="B17" s="51">
        <v>45</v>
      </c>
      <c r="C17" s="48">
        <v>54.05</v>
      </c>
      <c r="D17" s="3">
        <v>15</v>
      </c>
      <c r="E17" s="26">
        <v>2.4016207968108199E-2</v>
      </c>
      <c r="F17" s="26">
        <v>6.5149661727545603E-3</v>
      </c>
      <c r="G17" s="26">
        <v>4.26435563054003E-3</v>
      </c>
      <c r="H17" s="30">
        <v>1</v>
      </c>
      <c r="I17" s="8">
        <v>5</v>
      </c>
      <c r="J17" s="8">
        <v>26</v>
      </c>
      <c r="K17" s="8">
        <v>112</v>
      </c>
      <c r="L17" s="8">
        <v>811</v>
      </c>
      <c r="M17" s="8">
        <v>2808</v>
      </c>
      <c r="N17" s="20">
        <f t="shared" si="6"/>
        <v>6.6666666666666666E-2</v>
      </c>
      <c r="O17" s="10">
        <f t="shared" si="0"/>
        <v>0.33333333333333331</v>
      </c>
      <c r="P17" s="10">
        <f t="shared" si="0"/>
        <v>1.7333333333333334</v>
      </c>
      <c r="Q17" s="10">
        <f t="shared" si="0"/>
        <v>7.4666666666666668</v>
      </c>
      <c r="R17" s="10">
        <f t="shared" si="0"/>
        <v>54.06666666666667</v>
      </c>
      <c r="S17" s="22">
        <f t="shared" si="0"/>
        <v>187.2</v>
      </c>
      <c r="T17" s="20"/>
      <c r="U17" s="10">
        <f t="shared" si="1"/>
        <v>8.0054026560360658E-3</v>
      </c>
      <c r="V17" s="10">
        <f t="shared" si="1"/>
        <v>4.1628093811387545E-2</v>
      </c>
      <c r="W17" s="10">
        <f t="shared" si="1"/>
        <v>0.1793210194952079</v>
      </c>
      <c r="X17" s="10">
        <f t="shared" si="1"/>
        <v>1.29847631080905</v>
      </c>
      <c r="Y17" s="22">
        <f t="shared" si="1"/>
        <v>4.4958341316298549</v>
      </c>
      <c r="Z17" s="4">
        <f t="shared" si="2"/>
        <v>5.6318492285472992</v>
      </c>
      <c r="AA17" s="9">
        <f t="shared" si="8"/>
        <v>3.6863135327614489</v>
      </c>
      <c r="AB17" s="4">
        <f t="shared" si="9"/>
        <v>0.65454762426449242</v>
      </c>
      <c r="AC17" s="53">
        <f t="shared" si="10"/>
        <v>2.8429037536933531E-4</v>
      </c>
      <c r="AD17">
        <f t="shared" si="3"/>
        <v>1.4214518768466767E-3</v>
      </c>
      <c r="AE17">
        <f t="shared" si="3"/>
        <v>7.3915497596027191E-3</v>
      </c>
      <c r="AF17">
        <f t="shared" si="3"/>
        <v>3.184052204136556E-2</v>
      </c>
      <c r="AG17">
        <f t="shared" si="3"/>
        <v>0.23055949442453097</v>
      </c>
      <c r="AH17" s="54">
        <f t="shared" si="3"/>
        <v>0.7982873740370936</v>
      </c>
      <c r="AI17" s="58">
        <f t="shared" si="11"/>
        <v>1.0241365167302253E-4</v>
      </c>
      <c r="AJ17" s="58">
        <f t="shared" si="12"/>
        <v>1.5646478251006346E-4</v>
      </c>
      <c r="AK17" s="58">
        <f t="shared" si="13"/>
        <v>2.778213268156374E-5</v>
      </c>
      <c r="AL17" s="53">
        <f t="shared" si="24"/>
        <v>4.3433107818363734E-4</v>
      </c>
      <c r="AM17">
        <f t="shared" si="14"/>
        <v>2.1716553909181865E-3</v>
      </c>
      <c r="AN17">
        <f t="shared" si="14"/>
        <v>1.1292608032774572E-2</v>
      </c>
      <c r="AO17">
        <f t="shared" si="14"/>
        <v>4.8645080756567385E-2</v>
      </c>
      <c r="AP17">
        <f t="shared" si="14"/>
        <v>0.35224250440692989</v>
      </c>
      <c r="AQ17" s="54">
        <f t="shared" si="14"/>
        <v>1.2196016675396537</v>
      </c>
      <c r="AR17" s="9">
        <f t="shared" si="15"/>
        <v>0.17756157159376651</v>
      </c>
      <c r="AS17" s="9">
        <f t="shared" si="16"/>
        <v>0.27127372403694905</v>
      </c>
      <c r="AT17" s="9">
        <f t="shared" si="17"/>
        <v>1.5277727134426444</v>
      </c>
      <c r="AU17" s="10">
        <v>2.4016207968108199E-2</v>
      </c>
      <c r="AV17" s="10">
        <v>6.1687066952672398E-2</v>
      </c>
      <c r="AW17" s="10">
        <v>0.19687478181427201</v>
      </c>
      <c r="AX17" s="10">
        <v>0.46344710039377801</v>
      </c>
      <c r="AY17" s="10">
        <v>1.6678313402251601</v>
      </c>
      <c r="AZ17" s="10">
        <v>6.6713253609006697</v>
      </c>
      <c r="BA17" s="46"/>
      <c r="BB17" s="58">
        <f t="shared" si="19"/>
        <v>1.3396305149770212E-4</v>
      </c>
      <c r="BC17" s="58">
        <f t="shared" si="20"/>
        <v>2.2232297425665896E-3</v>
      </c>
      <c r="BD17" s="58">
        <f t="shared" si="21"/>
        <v>2.2544421625052324E-2</v>
      </c>
      <c r="BE17" s="58">
        <f t="shared" si="22"/>
        <v>0.58748108820927669</v>
      </c>
      <c r="BF17" s="62">
        <f t="shared" si="23"/>
        <v>8.136359534854039</v>
      </c>
    </row>
    <row r="18" spans="1:61" x14ac:dyDescent="0.25">
      <c r="A18" s="7">
        <v>3.2</v>
      </c>
      <c r="B18" s="51">
        <v>64</v>
      </c>
      <c r="C18" s="48">
        <v>86.98</v>
      </c>
      <c r="D18" s="3">
        <v>15</v>
      </c>
      <c r="E18" s="26">
        <v>5.1502950973667999E-2</v>
      </c>
      <c r="F18" s="26">
        <v>1.37528556522491E-2</v>
      </c>
      <c r="G18" s="26">
        <v>4.5700514622563203E-3</v>
      </c>
      <c r="H18" s="30">
        <v>2</v>
      </c>
      <c r="I18" s="8">
        <v>30</v>
      </c>
      <c r="J18" s="8">
        <v>110</v>
      </c>
      <c r="K18" s="8">
        <v>279</v>
      </c>
      <c r="L18" s="8">
        <v>1032</v>
      </c>
      <c r="M18" s="8">
        <v>2570</v>
      </c>
      <c r="N18" s="20">
        <f t="shared" si="6"/>
        <v>0.13333333333333333</v>
      </c>
      <c r="O18" s="10">
        <f t="shared" si="0"/>
        <v>2</v>
      </c>
      <c r="P18" s="10">
        <f t="shared" si="0"/>
        <v>7.333333333333333</v>
      </c>
      <c r="Q18" s="10">
        <f t="shared" si="0"/>
        <v>18.600000000000001</v>
      </c>
      <c r="R18" s="10">
        <f t="shared" si="0"/>
        <v>68.8</v>
      </c>
      <c r="S18" s="22">
        <f t="shared" si="0"/>
        <v>171.33333333333334</v>
      </c>
      <c r="T18" s="20">
        <f t="shared" si="7"/>
        <v>6.8670601298223997E-3</v>
      </c>
      <c r="U18" s="10">
        <f t="shared" si="1"/>
        <v>0.103005901947336</v>
      </c>
      <c r="V18" s="10">
        <f t="shared" si="1"/>
        <v>0.37768830714023199</v>
      </c>
      <c r="W18" s="10">
        <f t="shared" si="1"/>
        <v>0.95795488811022489</v>
      </c>
      <c r="X18" s="10">
        <f t="shared" si="1"/>
        <v>3.5434030269883583</v>
      </c>
      <c r="Y18" s="22">
        <f t="shared" si="1"/>
        <v>8.824172266821785</v>
      </c>
      <c r="Z18" s="4">
        <f t="shared" si="2"/>
        <v>11.26966542915909</v>
      </c>
      <c r="AA18" s="9">
        <f t="shared" si="8"/>
        <v>3.7448914084432614</v>
      </c>
      <c r="AB18" s="4">
        <f t="shared" si="9"/>
        <v>0.33229836608580621</v>
      </c>
      <c r="AC18" s="53">
        <f t="shared" si="10"/>
        <v>6.0934019496750936E-4</v>
      </c>
      <c r="AD18">
        <f t="shared" si="3"/>
        <v>9.1401029245126407E-3</v>
      </c>
      <c r="AE18">
        <f t="shared" si="3"/>
        <v>3.3513710723213012E-2</v>
      </c>
      <c r="AF18">
        <f t="shared" si="3"/>
        <v>8.5002957197967563E-2</v>
      </c>
      <c r="AG18">
        <f t="shared" si="3"/>
        <v>0.31441954060323485</v>
      </c>
      <c r="AH18" s="54">
        <f t="shared" si="3"/>
        <v>0.78300215053324962</v>
      </c>
      <c r="AI18" s="58">
        <f t="shared" si="11"/>
        <v>2.3537113640772703E-4</v>
      </c>
      <c r="AJ18" s="58">
        <f t="shared" si="12"/>
        <v>7.0831265040571822E-4</v>
      </c>
      <c r="AK18" s="58">
        <f t="shared" si="13"/>
        <v>6.2851258083761093E-5</v>
      </c>
      <c r="AL18" s="53">
        <f t="shared" si="24"/>
        <v>1.8337140869665466E-3</v>
      </c>
      <c r="AM18">
        <f t="shared" si="14"/>
        <v>2.75057113044982E-2</v>
      </c>
      <c r="AN18">
        <f t="shared" si="14"/>
        <v>0.10085427478316006</v>
      </c>
      <c r="AO18">
        <f t="shared" si="14"/>
        <v>0.25580311513183329</v>
      </c>
      <c r="AP18">
        <f t="shared" si="14"/>
        <v>0.94619646887473807</v>
      </c>
      <c r="AQ18" s="54">
        <f t="shared" si="14"/>
        <v>2.3563226017520127</v>
      </c>
      <c r="AR18" s="9">
        <f t="shared" si="15"/>
        <v>8.8733778858474693E-2</v>
      </c>
      <c r="AS18" s="9">
        <f t="shared" si="16"/>
        <v>0.26703043985344732</v>
      </c>
      <c r="AT18" s="9">
        <f t="shared" si="17"/>
        <v>3.0093437165495409</v>
      </c>
      <c r="AU18" s="10">
        <v>2.8717702047744001E-2</v>
      </c>
      <c r="AV18" s="10">
        <v>0.11587567427319601</v>
      </c>
      <c r="AW18" s="10">
        <v>0.424330918118209</v>
      </c>
      <c r="AX18" s="10">
        <v>1.0317760232201201</v>
      </c>
      <c r="AY18" s="10">
        <v>3.52073104697577</v>
      </c>
      <c r="AZ18" s="10">
        <v>14.082924187903</v>
      </c>
      <c r="BA18" s="46">
        <f t="shared" si="18"/>
        <v>5.2660054790256215E-5</v>
      </c>
      <c r="BB18" s="58">
        <f t="shared" si="19"/>
        <v>3.1872428437725985E-3</v>
      </c>
      <c r="BC18" s="58">
        <f t="shared" si="20"/>
        <v>4.2795587014884444E-2</v>
      </c>
      <c r="BD18" s="58">
        <f t="shared" si="21"/>
        <v>0.2639315208580415</v>
      </c>
      <c r="BE18" s="58">
        <f t="shared" si="22"/>
        <v>3.331303284506133</v>
      </c>
      <c r="BF18" s="62">
        <f t="shared" si="23"/>
        <v>33.183912562715946</v>
      </c>
    </row>
    <row r="19" spans="1:61" x14ac:dyDescent="0.25">
      <c r="A19" s="7">
        <v>3.3</v>
      </c>
      <c r="B19" s="51">
        <v>64</v>
      </c>
      <c r="C19" s="48">
        <v>87.98</v>
      </c>
      <c r="D19" s="3">
        <v>20</v>
      </c>
      <c r="E19" s="26">
        <v>5.04335454776157E-2</v>
      </c>
      <c r="F19" s="26">
        <v>9.8602655911611495E-3</v>
      </c>
      <c r="G19" s="26">
        <v>4.3864038070395503E-3</v>
      </c>
      <c r="H19" s="30">
        <v>4</v>
      </c>
      <c r="I19" s="8">
        <v>20</v>
      </c>
      <c r="J19" s="8">
        <v>68</v>
      </c>
      <c r="K19" s="8">
        <v>245</v>
      </c>
      <c r="L19" s="8">
        <v>1155</v>
      </c>
      <c r="M19" s="8">
        <v>3356</v>
      </c>
      <c r="N19" s="20">
        <f t="shared" si="6"/>
        <v>0.2</v>
      </c>
      <c r="O19" s="10">
        <f t="shared" ref="O19:O22" si="25">I19/$D19</f>
        <v>1</v>
      </c>
      <c r="P19" s="10">
        <f t="shared" ref="P19:P23" si="26">J19/$D19</f>
        <v>3.4</v>
      </c>
      <c r="Q19" s="10">
        <f t="shared" ref="Q19:Q23" si="27">K19/$D19</f>
        <v>12.25</v>
      </c>
      <c r="R19" s="10">
        <f t="shared" ref="R19:R23" si="28">L19/$D19</f>
        <v>57.75</v>
      </c>
      <c r="S19" s="22">
        <f t="shared" ref="S19:S23" si="29">M19/$D19</f>
        <v>167.8</v>
      </c>
      <c r="T19" s="20">
        <f t="shared" si="7"/>
        <v>1.0086709095523141E-2</v>
      </c>
      <c r="U19" s="10">
        <f t="shared" ref="U19:U21" si="30">O19*$E19</f>
        <v>5.04335454776157E-2</v>
      </c>
      <c r="V19" s="10">
        <f t="shared" ref="V19:V23" si="31">P19*$E19</f>
        <v>0.17147405462389337</v>
      </c>
      <c r="W19" s="10">
        <f t="shared" ref="W19:W23" si="32">Q19*$E19</f>
        <v>0.6178109321007923</v>
      </c>
      <c r="X19" s="10">
        <f t="shared" ref="X19:Y23" si="33">R19*$E19</f>
        <v>2.9125372513323069</v>
      </c>
      <c r="Y19" s="22">
        <f t="shared" si="33"/>
        <v>8.4627489311439152</v>
      </c>
      <c r="Z19" s="4">
        <f t="shared" si="2"/>
        <v>11.497697817213517</v>
      </c>
      <c r="AA19" s="9">
        <f t="shared" si="8"/>
        <v>5.1148262702806795</v>
      </c>
      <c r="AB19" s="4">
        <f t="shared" si="9"/>
        <v>0.4448565575121598</v>
      </c>
      <c r="AC19" s="53">
        <f t="shared" si="10"/>
        <v>8.7728076140791006E-4</v>
      </c>
      <c r="AD19">
        <f t="shared" ref="AD19:AD22" si="34">O19*$G19</f>
        <v>4.3864038070395503E-3</v>
      </c>
      <c r="AE19">
        <f t="shared" ref="AE19:AE23" si="35">P19*$G19</f>
        <v>1.4913772943934471E-2</v>
      </c>
      <c r="AF19">
        <f t="shared" ref="AF19:AF23" si="36">Q19*$G19</f>
        <v>5.3733446636234493E-2</v>
      </c>
      <c r="AG19">
        <f t="shared" ref="AG19:AG23" si="37">R19*$G19</f>
        <v>0.25331481985653403</v>
      </c>
      <c r="AH19" s="54">
        <f t="shared" ref="AH19:AH23" si="38">S19*$G19</f>
        <v>0.73603855882123659</v>
      </c>
      <c r="AI19" s="58">
        <f t="shared" si="11"/>
        <v>2.212218958855158E-4</v>
      </c>
      <c r="AJ19" s="58">
        <f t="shared" si="12"/>
        <v>4.9728815311319511E-4</v>
      </c>
      <c r="AK19" s="58">
        <f t="shared" si="13"/>
        <v>4.325110652749035E-5</v>
      </c>
      <c r="AL19" s="53">
        <f t="shared" si="24"/>
        <v>1.9720531182322301E-3</v>
      </c>
      <c r="AM19">
        <f t="shared" si="14"/>
        <v>9.8602655911611495E-3</v>
      </c>
      <c r="AN19">
        <f t="shared" si="14"/>
        <v>3.3524903009947905E-2</v>
      </c>
      <c r="AO19">
        <f t="shared" si="14"/>
        <v>0.12078825349172408</v>
      </c>
      <c r="AP19">
        <f t="shared" si="14"/>
        <v>0.56943033788955644</v>
      </c>
      <c r="AQ19" s="54">
        <f t="shared" si="14"/>
        <v>1.654552566196841</v>
      </c>
      <c r="AR19" s="9">
        <f t="shared" si="15"/>
        <v>8.6973933034043799E-2</v>
      </c>
      <c r="AS19" s="9">
        <f t="shared" si="16"/>
        <v>0.19551006176112495</v>
      </c>
      <c r="AT19" s="9">
        <f t="shared" si="17"/>
        <v>2.2479156103541662</v>
      </c>
      <c r="AU19" s="10">
        <v>4.2099641834455401E-2</v>
      </c>
      <c r="AV19" s="10">
        <v>0.10745936765490099</v>
      </c>
      <c r="AW19" s="10">
        <v>0.342981303210388</v>
      </c>
      <c r="AX19" s="10">
        <v>0.759859641009906</v>
      </c>
      <c r="AY19" s="10">
        <v>2.5242279913372498</v>
      </c>
      <c r="AZ19" s="10">
        <v>10.096911965348999</v>
      </c>
      <c r="BA19" s="46">
        <f t="shared" si="18"/>
        <v>8.3022729956097811E-5</v>
      </c>
      <c r="BB19" s="58">
        <f t="shared" si="19"/>
        <v>1.0595779053355556E-3</v>
      </c>
      <c r="BC19" s="58">
        <f t="shared" si="20"/>
        <v>1.1498414924353792E-2</v>
      </c>
      <c r="BD19" s="58">
        <f t="shared" si="21"/>
        <v>9.1782118936434981E-2</v>
      </c>
      <c r="BE19" s="58">
        <f t="shared" si="22"/>
        <v>1.4373719980174464</v>
      </c>
      <c r="BF19" s="62">
        <f t="shared" si="23"/>
        <v>16.705871602931776</v>
      </c>
    </row>
    <row r="20" spans="1:61" x14ac:dyDescent="0.25">
      <c r="A20" s="7">
        <v>4.0999999999999996</v>
      </c>
      <c r="B20" s="51">
        <v>90</v>
      </c>
      <c r="C20" s="48">
        <v>108.42</v>
      </c>
      <c r="D20" s="3">
        <v>15</v>
      </c>
      <c r="E20" s="26">
        <v>9.6840712231762202E-2</v>
      </c>
      <c r="F20" s="26">
        <v>2.94139388502281E-2</v>
      </c>
      <c r="G20" s="26">
        <v>9.5407724532447606E-3</v>
      </c>
      <c r="H20" s="30">
        <v>12</v>
      </c>
      <c r="I20" s="8">
        <v>61</v>
      </c>
      <c r="J20" s="8">
        <v>187</v>
      </c>
      <c r="K20" s="8">
        <v>490</v>
      </c>
      <c r="L20" s="8">
        <v>1019</v>
      </c>
      <c r="M20" s="8">
        <v>2258</v>
      </c>
      <c r="N20" s="20">
        <f t="shared" si="6"/>
        <v>0.8</v>
      </c>
      <c r="O20" s="10">
        <f t="shared" si="25"/>
        <v>4.0666666666666664</v>
      </c>
      <c r="P20" s="10">
        <f t="shared" si="26"/>
        <v>12.466666666666667</v>
      </c>
      <c r="Q20" s="10">
        <f t="shared" si="27"/>
        <v>32.666666666666664</v>
      </c>
      <c r="R20" s="10">
        <f t="shared" si="28"/>
        <v>67.933333333333337</v>
      </c>
      <c r="S20" s="22">
        <f t="shared" si="29"/>
        <v>150.53333333333333</v>
      </c>
      <c r="T20" s="20">
        <f>N20*$E20</f>
        <v>7.747256978540977E-2</v>
      </c>
      <c r="U20" s="10">
        <f t="shared" si="30"/>
        <v>0.39381889640916629</v>
      </c>
      <c r="V20" s="10">
        <f t="shared" si="31"/>
        <v>1.2072808791559688</v>
      </c>
      <c r="W20" s="10">
        <f t="shared" si="32"/>
        <v>3.163463266237565</v>
      </c>
      <c r="X20" s="10">
        <f t="shared" si="33"/>
        <v>6.5787123842777122</v>
      </c>
      <c r="Y20" s="22">
        <f t="shared" si="33"/>
        <v>14.57775521462127</v>
      </c>
      <c r="Z20" s="4">
        <f t="shared" si="2"/>
        <v>10.150196192848854</v>
      </c>
      <c r="AA20" s="9">
        <f t="shared" si="8"/>
        <v>3.2923408430561558</v>
      </c>
      <c r="AB20" s="4">
        <f t="shared" si="9"/>
        <v>0.3243622862556802</v>
      </c>
      <c r="AC20" s="53">
        <f t="shared" si="10"/>
        <v>7.632617962595809E-3</v>
      </c>
      <c r="AD20">
        <f t="shared" si="34"/>
        <v>3.8799141309862027E-2</v>
      </c>
      <c r="AE20">
        <f t="shared" si="35"/>
        <v>0.11894162991711801</v>
      </c>
      <c r="AF20">
        <f t="shared" si="36"/>
        <v>0.31166523347266217</v>
      </c>
      <c r="AG20">
        <f t="shared" si="37"/>
        <v>0.64813647532376073</v>
      </c>
      <c r="AH20" s="54">
        <f t="shared" si="38"/>
        <v>1.436204279961778</v>
      </c>
      <c r="AI20" s="58">
        <f t="shared" si="11"/>
        <v>9.2393519961339978E-4</v>
      </c>
      <c r="AJ20" s="58">
        <f t="shared" si="12"/>
        <v>2.8484667877975898E-3</v>
      </c>
      <c r="AK20" s="58">
        <f t="shared" si="13"/>
        <v>2.8063169752368214E-4</v>
      </c>
      <c r="AL20" s="53">
        <f t="shared" si="24"/>
        <v>2.3531151080182482E-2</v>
      </c>
      <c r="AM20">
        <f t="shared" ref="AM20:AM22" si="39">O20*$F20</f>
        <v>0.11961668465759427</v>
      </c>
      <c r="AN20">
        <f t="shared" ref="AN20:AN23" si="40">P20*$F20</f>
        <v>0.36669377099951034</v>
      </c>
      <c r="AO20">
        <f t="shared" ref="AO20:AO23" si="41">Q20*$F20</f>
        <v>0.96085533577411786</v>
      </c>
      <c r="AP20">
        <f t="shared" ref="AP20:AP23" si="42">R20*$F20</f>
        <v>1.998186912558829</v>
      </c>
      <c r="AQ20" s="54">
        <f t="shared" ref="AQ20:AQ23" si="43">S20*$F20</f>
        <v>4.4277782615876697</v>
      </c>
      <c r="AR20" s="9">
        <f t="shared" si="15"/>
        <v>9.85202631555568E-2</v>
      </c>
      <c r="AS20" s="9">
        <f t="shared" si="16"/>
        <v>0.30373525940034135</v>
      </c>
      <c r="AT20" s="9">
        <f t="shared" si="17"/>
        <v>3.082972473599304</v>
      </c>
      <c r="AU20" s="10">
        <v>6.9669475601588704E-2</v>
      </c>
      <c r="AV20" s="10">
        <v>0.21182245741774999</v>
      </c>
      <c r="AW20" s="10">
        <v>0.71876689058186105</v>
      </c>
      <c r="AX20" s="10">
        <v>2.4352261038974299</v>
      </c>
      <c r="AY20" s="10">
        <v>7.5299683456584097</v>
      </c>
      <c r="AZ20" s="10">
        <v>30.1198733826336</v>
      </c>
      <c r="BA20" s="46">
        <f t="shared" si="18"/>
        <v>1.6394029560580711E-3</v>
      </c>
      <c r="BB20" s="58">
        <f t="shared" si="19"/>
        <v>2.533750009233569E-2</v>
      </c>
      <c r="BC20" s="58">
        <f t="shared" si="20"/>
        <v>0.26356734157705508</v>
      </c>
      <c r="BD20" s="58">
        <f t="shared" si="21"/>
        <v>2.3398999957462618</v>
      </c>
      <c r="BE20" s="58">
        <f t="shared" si="22"/>
        <v>15.04628420027689</v>
      </c>
      <c r="BF20" s="62">
        <f t="shared" si="23"/>
        <v>133.36412060539811</v>
      </c>
    </row>
    <row r="21" spans="1:61" x14ac:dyDescent="0.25">
      <c r="A21" s="35" t="s">
        <v>22</v>
      </c>
      <c r="B21" s="51">
        <v>90</v>
      </c>
      <c r="C21" s="48">
        <v>113.98</v>
      </c>
      <c r="D21" s="25">
        <v>49.999977324263</v>
      </c>
      <c r="E21" s="15">
        <v>0.103785400341108</v>
      </c>
      <c r="F21" s="15">
        <v>9.3097685505032102E-3</v>
      </c>
      <c r="G21" s="15">
        <v>2.6623638531804101E-3</v>
      </c>
      <c r="H21" s="30">
        <v>7</v>
      </c>
      <c r="I21" s="8">
        <v>32</v>
      </c>
      <c r="J21" s="8">
        <v>148</v>
      </c>
      <c r="K21" s="8">
        <v>475</v>
      </c>
      <c r="L21" s="8">
        <v>1883</v>
      </c>
      <c r="M21" s="8">
        <v>5866</v>
      </c>
      <c r="N21" s="20">
        <f t="shared" si="6"/>
        <v>0.1400000634920924</v>
      </c>
      <c r="O21" s="10">
        <f t="shared" si="25"/>
        <v>0.64000029024956528</v>
      </c>
      <c r="P21" s="10">
        <f t="shared" si="26"/>
        <v>2.9600013424042393</v>
      </c>
      <c r="Q21" s="10">
        <f t="shared" si="27"/>
        <v>9.5000043083919845</v>
      </c>
      <c r="R21" s="10">
        <f t="shared" si="28"/>
        <v>37.660017079372857</v>
      </c>
      <c r="S21" s="22">
        <f t="shared" si="29"/>
        <v>117.32005320637343</v>
      </c>
      <c r="T21" s="20">
        <f t="shared" si="7"/>
        <v>1.452996263730735E-2</v>
      </c>
      <c r="U21" s="10">
        <f t="shared" si="30"/>
        <v>6.6422686341976456E-2</v>
      </c>
      <c r="V21" s="10">
        <f t="shared" si="31"/>
        <v>0.30720492433164109</v>
      </c>
      <c r="W21" s="10">
        <f t="shared" si="32"/>
        <v>0.98596175038871292</v>
      </c>
      <c r="X21" s="10">
        <f t="shared" si="33"/>
        <v>3.9085599494356771</v>
      </c>
      <c r="Y21" s="22">
        <f t="shared" si="33"/>
        <v>12.176108690063558</v>
      </c>
      <c r="Z21" s="4">
        <f t="shared" si="2"/>
        <v>38.982425417595685</v>
      </c>
      <c r="AA21" s="9">
        <f t="shared" si="8"/>
        <v>11.148010799419735</v>
      </c>
      <c r="AB21" s="4">
        <f t="shared" si="9"/>
        <v>0.28597529989470089</v>
      </c>
      <c r="AC21" s="53">
        <f t="shared" si="10"/>
        <v>3.7273110848430916E-4</v>
      </c>
      <c r="AD21">
        <f t="shared" si="34"/>
        <v>1.7039136387854135E-3</v>
      </c>
      <c r="AE21">
        <f t="shared" si="35"/>
        <v>7.8806005793825365E-3</v>
      </c>
      <c r="AF21">
        <f t="shared" si="36"/>
        <v>2.529246807572098E-2</v>
      </c>
      <c r="AG21">
        <f t="shared" si="37"/>
        <v>0.10026466818227917</v>
      </c>
      <c r="AH21" s="54">
        <f t="shared" si="38"/>
        <v>0.31234866890985108</v>
      </c>
      <c r="AI21" s="58">
        <f t="shared" si="11"/>
        <v>2.7631449835602376E-4</v>
      </c>
      <c r="AJ21" s="58">
        <f t="shared" si="12"/>
        <v>9.6621805609703243E-4</v>
      </c>
      <c r="AK21" s="58">
        <f t="shared" si="13"/>
        <v>2.4785991270335527E-5</v>
      </c>
      <c r="AL21" s="53">
        <f t="shared" si="24"/>
        <v>1.3033681881671345E-3</v>
      </c>
      <c r="AM21">
        <f t="shared" si="39"/>
        <v>5.9582545744783291E-3</v>
      </c>
      <c r="AN21">
        <f t="shared" si="40"/>
        <v>2.7556927406962271E-2</v>
      </c>
      <c r="AO21">
        <f t="shared" si="41"/>
        <v>8.8442841339912703E-2</v>
      </c>
      <c r="AP21">
        <f t="shared" si="42"/>
        <v>0.35060604261695916</v>
      </c>
      <c r="AQ21" s="54">
        <f t="shared" si="43"/>
        <v>1.0922225416840587</v>
      </c>
      <c r="AR21" s="9">
        <f t="shared" si="15"/>
        <v>2.5652585473776735E-2</v>
      </c>
      <c r="AS21" s="9">
        <f t="shared" si="16"/>
        <v>8.9702101836145604E-2</v>
      </c>
      <c r="AT21" s="9">
        <f t="shared" si="17"/>
        <v>3.4968054946291187</v>
      </c>
      <c r="AU21" s="10">
        <v>8.7491372398812203E-2</v>
      </c>
      <c r="AV21" s="10">
        <v>0.209281252002183</v>
      </c>
      <c r="AW21" s="10">
        <v>0.53107420883976697</v>
      </c>
      <c r="AX21" s="10">
        <v>1.1427850401592301</v>
      </c>
      <c r="AY21" s="10">
        <v>2.42627671242104</v>
      </c>
      <c r="AZ21" s="10">
        <v>9.5332029957152908</v>
      </c>
      <c r="BA21" s="46">
        <f t="shared" si="18"/>
        <v>1.140334715236959E-4</v>
      </c>
      <c r="BB21" s="58">
        <f t="shared" si="19"/>
        <v>1.2469509770945588E-3</v>
      </c>
      <c r="BC21" s="58">
        <f t="shared" si="20"/>
        <v>1.4634773420707379E-2</v>
      </c>
      <c r="BD21" s="58">
        <f t="shared" si="21"/>
        <v>0.10107115599242855</v>
      </c>
      <c r="BE21" s="58">
        <f t="shared" si="22"/>
        <v>0.85066727643562667</v>
      </c>
      <c r="BF21" s="62">
        <f t="shared" si="23"/>
        <v>10.412379206370238</v>
      </c>
    </row>
    <row r="22" spans="1:61" x14ac:dyDescent="0.25">
      <c r="A22" s="35" t="s">
        <v>23</v>
      </c>
      <c r="B22" s="51">
        <v>45</v>
      </c>
      <c r="C22" s="48">
        <v>56.56</v>
      </c>
      <c r="D22" s="25">
        <v>99.999977324263</v>
      </c>
      <c r="E22" s="15">
        <v>1.7343593585544201E-2</v>
      </c>
      <c r="F22" s="15">
        <v>3.7541223526986601E-3</v>
      </c>
      <c r="G22" s="15">
        <v>3.5652204100954199E-3</v>
      </c>
      <c r="H22" s="30">
        <v>0</v>
      </c>
      <c r="I22" s="8">
        <v>3</v>
      </c>
      <c r="J22" s="8">
        <v>17</v>
      </c>
      <c r="K22" s="8">
        <v>221</v>
      </c>
      <c r="L22" s="8">
        <v>2965</v>
      </c>
      <c r="M22" s="8">
        <v>14897</v>
      </c>
      <c r="N22" s="20"/>
      <c r="O22" s="10">
        <f t="shared" si="25"/>
        <v>3.0000006802722641E-2</v>
      </c>
      <c r="P22" s="10">
        <f t="shared" si="26"/>
        <v>0.17000003854876164</v>
      </c>
      <c r="Q22" s="10">
        <f t="shared" si="27"/>
        <v>2.2100005011339015</v>
      </c>
      <c r="R22" s="10">
        <f t="shared" si="28"/>
        <v>29.650006723357546</v>
      </c>
      <c r="S22" s="22">
        <f t="shared" si="29"/>
        <v>148.97003378005306</v>
      </c>
      <c r="T22" s="20"/>
      <c r="U22" s="10"/>
      <c r="V22" s="10"/>
      <c r="W22" s="10">
        <f t="shared" si="32"/>
        <v>3.8329350515515399E-2</v>
      </c>
      <c r="X22" s="10">
        <f t="shared" si="33"/>
        <v>0.51423766641856639</v>
      </c>
      <c r="Y22" s="22">
        <f t="shared" si="33"/>
        <v>2.5836757223060309</v>
      </c>
      <c r="Z22" s="4">
        <f t="shared" si="2"/>
        <v>4.8646623744308739</v>
      </c>
      <c r="AA22" s="9">
        <f t="shared" si="8"/>
        <v>4.6198796832172278</v>
      </c>
      <c r="AB22" s="4">
        <f t="shared" si="9"/>
        <v>0.94968146350705707</v>
      </c>
      <c r="AC22" s="53"/>
      <c r="AD22">
        <f t="shared" si="34"/>
        <v>1.069566365560682E-4</v>
      </c>
      <c r="AE22">
        <f t="shared" si="35"/>
        <v>6.0608760715105312E-4</v>
      </c>
      <c r="AF22">
        <f t="shared" si="36"/>
        <v>7.8791388929636916E-3</v>
      </c>
      <c r="AG22">
        <f t="shared" si="37"/>
        <v>0.10570880912958075</v>
      </c>
      <c r="AH22" s="54">
        <f t="shared" si="38"/>
        <v>0.53111100492524932</v>
      </c>
      <c r="AI22" s="58">
        <f t="shared" si="11"/>
        <v>6.1833733835582188E-5</v>
      </c>
      <c r="AJ22" s="58">
        <f t="shared" si="12"/>
        <v>6.5109972355612588E-5</v>
      </c>
      <c r="AK22" s="58">
        <f t="shared" si="13"/>
        <v>1.33842736338367E-5</v>
      </c>
      <c r="AL22" s="53"/>
      <c r="AM22">
        <f t="shared" si="39"/>
        <v>1.1262369611921293E-4</v>
      </c>
      <c r="AN22">
        <f t="shared" si="40"/>
        <v>6.3820094467553995E-4</v>
      </c>
      <c r="AO22">
        <f t="shared" si="41"/>
        <v>8.2966122807820192E-3</v>
      </c>
      <c r="AP22">
        <f t="shared" si="42"/>
        <v>0.11130975299782211</v>
      </c>
      <c r="AQ22" s="54">
        <f t="shared" si="43"/>
        <v>0.5592517336959717</v>
      </c>
      <c r="AR22" s="9">
        <f t="shared" si="15"/>
        <v>0.20556411175749723</v>
      </c>
      <c r="AS22" s="9">
        <f t="shared" si="16"/>
        <v>0.21645585352205798</v>
      </c>
      <c r="AT22" s="9">
        <f t="shared" si="17"/>
        <v>1.0529846463540762</v>
      </c>
      <c r="AU22" s="10">
        <v>0</v>
      </c>
      <c r="AV22" s="10">
        <v>4.8899641067386798E-2</v>
      </c>
      <c r="AW22" s="10">
        <v>0.137793372793407</v>
      </c>
      <c r="AX22" s="10">
        <v>0.30126664954396598</v>
      </c>
      <c r="AY22" s="10">
        <v>0.96105532229085699</v>
      </c>
      <c r="AZ22" s="10">
        <v>3.84422128916342</v>
      </c>
      <c r="BA22" s="46"/>
      <c r="BB22" s="58"/>
      <c r="BC22" s="58"/>
      <c r="BD22" s="58">
        <f t="shared" si="21"/>
        <v>2.4994925843965211E-3</v>
      </c>
      <c r="BE22" s="58">
        <f t="shared" si="22"/>
        <v>0.10697483054143762</v>
      </c>
      <c r="BF22" s="62">
        <f t="shared" si="23"/>
        <v>2.149887420675606</v>
      </c>
    </row>
    <row r="23" spans="1:61" x14ac:dyDescent="0.25">
      <c r="A23" s="36" t="s">
        <v>44</v>
      </c>
      <c r="B23" s="52"/>
      <c r="C23" s="49"/>
      <c r="D23" s="38">
        <v>60</v>
      </c>
      <c r="E23" s="39">
        <v>3.4734349552416499E-2</v>
      </c>
      <c r="F23" s="39">
        <v>1.59772775618169E-2</v>
      </c>
      <c r="G23" s="39">
        <v>1.5617522696591399E-2</v>
      </c>
      <c r="H23" s="40">
        <v>0</v>
      </c>
      <c r="I23" s="41">
        <v>0</v>
      </c>
      <c r="J23" s="41">
        <v>69.12</v>
      </c>
      <c r="K23" s="41">
        <v>1622.3999999999901</v>
      </c>
      <c r="L23" s="41">
        <v>12195.84</v>
      </c>
      <c r="M23" s="41">
        <v>18165.12</v>
      </c>
      <c r="N23" s="43"/>
      <c r="O23" s="44"/>
      <c r="P23" s="44">
        <f t="shared" si="26"/>
        <v>1.1520000000000001</v>
      </c>
      <c r="Q23" s="44">
        <f t="shared" si="27"/>
        <v>27.039999999999836</v>
      </c>
      <c r="R23" s="44">
        <f t="shared" si="28"/>
        <v>203.26400000000001</v>
      </c>
      <c r="S23" s="45">
        <f t="shared" si="29"/>
        <v>302.75200000000001</v>
      </c>
      <c r="T23" s="43"/>
      <c r="U23" s="44"/>
      <c r="V23" s="44">
        <f t="shared" si="31"/>
        <v>4.0013970684383809E-2</v>
      </c>
      <c r="W23" s="44">
        <f t="shared" si="32"/>
        <v>0.93921681189733641</v>
      </c>
      <c r="X23" s="44">
        <f t="shared" si="33"/>
        <v>7.0602428274223881</v>
      </c>
      <c r="Y23" s="45">
        <f t="shared" si="33"/>
        <v>10.5158937956932</v>
      </c>
      <c r="Z23" s="4">
        <f t="shared" si="2"/>
        <v>2.2240626908131493</v>
      </c>
      <c r="AA23" s="9">
        <f t="shared" si="8"/>
        <v>2.1739842359267736</v>
      </c>
      <c r="AB23" s="4">
        <f t="shared" si="9"/>
        <v>0.97748334384042646</v>
      </c>
      <c r="AC23" s="55"/>
      <c r="AD23" s="56"/>
      <c r="AE23" s="56">
        <f t="shared" si="35"/>
        <v>1.7991386146473293E-2</v>
      </c>
      <c r="AF23" s="56">
        <f t="shared" si="36"/>
        <v>0.42229781371582886</v>
      </c>
      <c r="AG23" s="56">
        <f t="shared" si="37"/>
        <v>3.1744801333999542</v>
      </c>
      <c r="AH23" s="57">
        <f t="shared" si="38"/>
        <v>4.7282362314384399</v>
      </c>
      <c r="AI23" s="58">
        <f t="shared" si="11"/>
        <v>5.4246449248620393E-4</v>
      </c>
      <c r="AJ23" s="58">
        <f t="shared" si="12"/>
        <v>5.5496034372812903E-4</v>
      </c>
      <c r="AK23" s="58">
        <f t="shared" si="13"/>
        <v>2.4952549495141591E-4</v>
      </c>
      <c r="AL23" s="55"/>
      <c r="AM23" s="56"/>
      <c r="AN23" s="56">
        <f t="shared" si="40"/>
        <v>1.8405823751213073E-2</v>
      </c>
      <c r="AO23" s="56">
        <f t="shared" si="41"/>
        <v>0.43202558527152635</v>
      </c>
      <c r="AP23" s="56">
        <f t="shared" si="42"/>
        <v>3.2476053463251504</v>
      </c>
      <c r="AQ23" s="57">
        <f t="shared" si="43"/>
        <v>4.8371527363951907</v>
      </c>
      <c r="AR23" s="9">
        <f t="shared" si="15"/>
        <v>0.4496276135248623</v>
      </c>
      <c r="AS23" s="9">
        <f t="shared" si="16"/>
        <v>0.45998493617121289</v>
      </c>
      <c r="AT23" s="9">
        <f t="shared" si="17"/>
        <v>1.0230353348744625</v>
      </c>
      <c r="AU23" s="10">
        <v>0</v>
      </c>
      <c r="AV23" s="10">
        <v>0</v>
      </c>
      <c r="AW23" s="10">
        <v>0.32654015746286202</v>
      </c>
      <c r="AX23" s="10">
        <v>1.0295343355653599</v>
      </c>
      <c r="AY23" s="10">
        <v>4.09018305582513</v>
      </c>
      <c r="AZ23" s="10">
        <v>16.360732223300499</v>
      </c>
      <c r="BA23" s="63"/>
      <c r="BB23" s="64"/>
      <c r="BC23" s="64">
        <f t="shared" si="20"/>
        <v>6.0102405859548029E-3</v>
      </c>
      <c r="BD23" s="64">
        <f t="shared" si="21"/>
        <v>0.44478517387975663</v>
      </c>
      <c r="BE23" s="64">
        <f t="shared" si="22"/>
        <v>13.283300359546233</v>
      </c>
      <c r="BF23" s="65">
        <f t="shared" si="23"/>
        <v>79.139360643366985</v>
      </c>
    </row>
    <row r="24" spans="1:61" x14ac:dyDescent="0.25">
      <c r="BD24" s="1"/>
    </row>
    <row r="25" spans="1:61" x14ac:dyDescent="0.25">
      <c r="BD25" s="1"/>
    </row>
    <row r="29" spans="1:61" x14ac:dyDescent="0.25">
      <c r="BD29" s="1"/>
      <c r="BE29" s="1"/>
      <c r="BF29" s="9"/>
      <c r="BG29" s="9"/>
      <c r="BH29" s="9"/>
      <c r="BI29" s="9"/>
    </row>
    <row r="30" spans="1:61" x14ac:dyDescent="0.25">
      <c r="BD30" s="9"/>
      <c r="BE30" s="9"/>
      <c r="BF30" s="9"/>
      <c r="BG30" s="9"/>
      <c r="BH30" s="9"/>
      <c r="BI30" s="9"/>
    </row>
    <row r="32" spans="1:61" x14ac:dyDescent="0.25">
      <c r="BE32" s="1"/>
    </row>
    <row r="33" spans="57:57" x14ac:dyDescent="0.25">
      <c r="BE33" s="1"/>
    </row>
    <row r="36" spans="57:57" x14ac:dyDescent="0.25">
      <c r="BE36" s="1"/>
    </row>
    <row r="37" spans="57:57" x14ac:dyDescent="0.25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5"/>
  <sheetViews>
    <sheetView topLeftCell="H34" workbookViewId="0">
      <selection activeCell="S62" sqref="S62"/>
    </sheetView>
  </sheetViews>
  <sheetFormatPr defaultRowHeight="15" x14ac:dyDescent="0.25"/>
  <cols>
    <col min="1" max="1" width="10" customWidth="1"/>
    <col min="2" max="2" width="15.28515625" customWidth="1"/>
    <col min="3" max="3" width="12.85546875" customWidth="1"/>
    <col min="4" max="4" width="13" customWidth="1"/>
    <col min="5" max="5" width="11.28515625" customWidth="1"/>
    <col min="6" max="6" width="12.5703125" customWidth="1"/>
    <col min="7" max="7" width="12" customWidth="1"/>
    <col min="13" max="13" width="11.7109375" customWidth="1"/>
    <col min="14" max="14" width="11.140625" customWidth="1"/>
    <col min="15" max="15" width="11" customWidth="1"/>
    <col min="29" max="29" width="11.85546875" customWidth="1"/>
    <col min="30" max="30" width="11.5703125" customWidth="1"/>
    <col min="32" max="32" width="15.85546875" customWidth="1"/>
    <col min="33" max="33" width="14.140625" customWidth="1"/>
  </cols>
  <sheetData>
    <row r="1" spans="1:39" x14ac:dyDescent="0.25">
      <c r="T1" s="76" t="s">
        <v>51</v>
      </c>
      <c r="U1" s="76"/>
      <c r="V1" s="76"/>
      <c r="W1" s="76"/>
      <c r="X1" s="76"/>
      <c r="Y1" s="76"/>
      <c r="Z1" s="76" t="s">
        <v>55</v>
      </c>
      <c r="AA1" s="76"/>
      <c r="AB1" s="76"/>
      <c r="AC1" s="76"/>
      <c r="AD1" s="76"/>
      <c r="AE1" s="76"/>
      <c r="AH1" s="76" t="s">
        <v>58</v>
      </c>
      <c r="AI1" s="76"/>
      <c r="AJ1" s="76"/>
      <c r="AK1" s="76"/>
      <c r="AL1" s="76"/>
      <c r="AM1" s="76"/>
    </row>
    <row r="2" spans="1:39" x14ac:dyDescent="0.25">
      <c r="A2" s="31" t="s">
        <v>0</v>
      </c>
      <c r="B2" s="32" t="s">
        <v>46</v>
      </c>
      <c r="C2" s="32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31" t="s">
        <v>21</v>
      </c>
      <c r="AA2" s="32" t="s">
        <v>20</v>
      </c>
      <c r="AB2" s="32" t="s">
        <v>19</v>
      </c>
      <c r="AC2" s="32" t="s">
        <v>18</v>
      </c>
      <c r="AD2" s="32" t="s">
        <v>17</v>
      </c>
      <c r="AE2" s="33" t="s">
        <v>16</v>
      </c>
      <c r="AF2" s="5" t="s">
        <v>56</v>
      </c>
      <c r="AG2" s="54" t="s">
        <v>57</v>
      </c>
      <c r="AH2" s="32" t="s">
        <v>21</v>
      </c>
      <c r="AI2" s="32" t="s">
        <v>20</v>
      </c>
      <c r="AJ2" s="32" t="s">
        <v>19</v>
      </c>
      <c r="AK2" s="32" t="s">
        <v>18</v>
      </c>
      <c r="AL2" s="32" t="s">
        <v>17</v>
      </c>
      <c r="AM2" s="33" t="s">
        <v>16</v>
      </c>
    </row>
    <row r="3" spans="1:39" x14ac:dyDescent="0.25">
      <c r="A3" s="34">
        <v>8</v>
      </c>
      <c r="B3" s="2">
        <v>128</v>
      </c>
      <c r="C3" s="2">
        <v>160</v>
      </c>
      <c r="D3" s="2">
        <v>10</v>
      </c>
      <c r="E3" s="27">
        <v>0.161944718485239</v>
      </c>
      <c r="F3" s="27">
        <v>3.2526116479269097E-2</v>
      </c>
      <c r="G3" s="27">
        <v>7.7989329746457701E-3</v>
      </c>
      <c r="H3" s="30">
        <v>10</v>
      </c>
      <c r="I3" s="8">
        <v>31</v>
      </c>
      <c r="J3" s="8">
        <v>89</v>
      </c>
      <c r="K3" s="8">
        <v>230</v>
      </c>
      <c r="L3" s="8">
        <v>509</v>
      </c>
      <c r="M3" s="8">
        <v>1493</v>
      </c>
      <c r="N3" s="20">
        <f>H3/$D3</f>
        <v>1</v>
      </c>
      <c r="O3" s="10">
        <f t="shared" ref="O3:S18" si="0">I3/$D3</f>
        <v>3.1</v>
      </c>
      <c r="P3" s="10">
        <f t="shared" si="0"/>
        <v>8.9</v>
      </c>
      <c r="Q3" s="10">
        <f t="shared" si="0"/>
        <v>23</v>
      </c>
      <c r="R3" s="10">
        <f t="shared" si="0"/>
        <v>50.9</v>
      </c>
      <c r="S3" s="22">
        <f t="shared" si="0"/>
        <v>149.30000000000001</v>
      </c>
      <c r="T3" s="20">
        <f>N3*$E3</f>
        <v>0.161944718485239</v>
      </c>
      <c r="U3" s="10">
        <f t="shared" ref="U3:Y18" si="1">O3*$E3</f>
        <v>0.50202862730424092</v>
      </c>
      <c r="V3" s="10">
        <f t="shared" si="1"/>
        <v>1.4413079945186271</v>
      </c>
      <c r="W3" s="9">
        <f>Q3*$E3</f>
        <v>3.7247285251604971</v>
      </c>
      <c r="X3" s="9">
        <f t="shared" si="1"/>
        <v>8.2429861708986643</v>
      </c>
      <c r="Y3" s="22">
        <f t="shared" si="1"/>
        <v>24.178346469846186</v>
      </c>
      <c r="Z3" s="53">
        <f>N3*$G3</f>
        <v>7.7989329746457701E-3</v>
      </c>
      <c r="AA3">
        <f t="shared" ref="AA3:AE3" si="2">O3*$G3</f>
        <v>2.417669222140189E-2</v>
      </c>
      <c r="AB3">
        <f t="shared" si="2"/>
        <v>6.9410503474347351E-2</v>
      </c>
      <c r="AC3">
        <f t="shared" si="2"/>
        <v>0.17937545841685271</v>
      </c>
      <c r="AD3">
        <f t="shared" si="2"/>
        <v>0.39696568840946966</v>
      </c>
      <c r="AE3" s="54">
        <f t="shared" si="2"/>
        <v>1.1643806931146135</v>
      </c>
      <c r="AF3" s="46">
        <f>E3*G3</f>
        <v>1.2629960050642569E-3</v>
      </c>
      <c r="AG3" s="62">
        <f t="shared" ref="AG3:AG23" si="3">E3*F3</f>
        <v>5.2674327766533274E-3</v>
      </c>
      <c r="AH3">
        <f>N3*$F3</f>
        <v>3.2526116479269097E-2</v>
      </c>
      <c r="AI3">
        <f t="shared" ref="AI3:AM18" si="4">O3*$F3</f>
        <v>0.10083096108573421</v>
      </c>
      <c r="AJ3">
        <f t="shared" si="4"/>
        <v>0.289482436665495</v>
      </c>
      <c r="AK3">
        <f t="shared" si="4"/>
        <v>0.74810067902318922</v>
      </c>
      <c r="AL3">
        <f t="shared" si="4"/>
        <v>1.6555793287947971</v>
      </c>
      <c r="AM3" s="54">
        <f t="shared" si="4"/>
        <v>4.856149190354877</v>
      </c>
    </row>
    <row r="4" spans="1:39" x14ac:dyDescent="0.25">
      <c r="A4" s="34">
        <v>168</v>
      </c>
      <c r="B4" s="2">
        <v>128</v>
      </c>
      <c r="C4" s="2">
        <v>196</v>
      </c>
      <c r="D4" s="2">
        <v>10</v>
      </c>
      <c r="E4" s="27">
        <v>8.9416636847151898E-2</v>
      </c>
      <c r="F4" s="27">
        <v>2.1060905578879598E-2</v>
      </c>
      <c r="G4" s="27">
        <v>9.6694169987568603E-3</v>
      </c>
      <c r="H4" s="30">
        <v>4</v>
      </c>
      <c r="I4" s="8">
        <v>16</v>
      </c>
      <c r="J4" s="8">
        <v>110</v>
      </c>
      <c r="K4" s="8">
        <v>255</v>
      </c>
      <c r="L4" s="8">
        <v>489</v>
      </c>
      <c r="M4" s="8">
        <v>1351</v>
      </c>
      <c r="N4" s="20">
        <f t="shared" ref="N4:S24" si="5">H4/$D4</f>
        <v>0.4</v>
      </c>
      <c r="O4" s="10">
        <f t="shared" si="0"/>
        <v>1.6</v>
      </c>
      <c r="P4" s="10">
        <f t="shared" si="0"/>
        <v>11</v>
      </c>
      <c r="Q4" s="10">
        <f t="shared" si="0"/>
        <v>25.5</v>
      </c>
      <c r="R4" s="10">
        <f t="shared" si="0"/>
        <v>48.9</v>
      </c>
      <c r="S4" s="22">
        <f t="shared" si="0"/>
        <v>135.1</v>
      </c>
      <c r="T4" s="20">
        <f t="shared" ref="T4:Y23" si="6">N4*$E4</f>
        <v>3.5766654738860759E-2</v>
      </c>
      <c r="U4" s="10">
        <f t="shared" si="1"/>
        <v>0.14306661895544304</v>
      </c>
      <c r="V4" s="10">
        <f t="shared" si="1"/>
        <v>0.98358300531867093</v>
      </c>
      <c r="W4" s="9">
        <f t="shared" si="1"/>
        <v>2.2801242396023733</v>
      </c>
      <c r="X4" s="9">
        <f t="shared" si="1"/>
        <v>4.3724735418257277</v>
      </c>
      <c r="Y4" s="22">
        <f t="shared" si="1"/>
        <v>12.080187638050221</v>
      </c>
      <c r="Z4" s="53">
        <f t="shared" ref="Z4:Z23" si="7">N4*$G4</f>
        <v>3.8677667995027443E-3</v>
      </c>
      <c r="AA4">
        <f t="shared" ref="AA4:AA23" si="8">O4*$G4</f>
        <v>1.5471067198010977E-2</v>
      </c>
      <c r="AB4">
        <f t="shared" ref="AB4:AB23" si="9">P4*$G4</f>
        <v>0.10636358698632546</v>
      </c>
      <c r="AC4">
        <f t="shared" ref="AC4:AC23" si="10">Q4*$G4</f>
        <v>0.24657013346829995</v>
      </c>
      <c r="AD4">
        <f t="shared" ref="AD4:AD23" si="11">R4*$G4</f>
        <v>0.47283449123921045</v>
      </c>
      <c r="AE4" s="54">
        <f t="shared" ref="AE4:AE23" si="12">S4*$G4</f>
        <v>1.3063382365320517</v>
      </c>
      <c r="AF4" s="46">
        <f t="shared" ref="AF4:AF24" si="13">E4*G4</f>
        <v>8.6460674830151957E-4</v>
      </c>
      <c r="AG4" s="62">
        <f t="shared" si="3"/>
        <v>1.8831953458188324E-3</v>
      </c>
      <c r="AH4">
        <f t="shared" ref="AH4:AH23" si="14">N4*$F4</f>
        <v>8.4243622315518397E-3</v>
      </c>
      <c r="AI4">
        <f t="shared" si="4"/>
        <v>3.3697448926207359E-2</v>
      </c>
      <c r="AJ4">
        <f t="shared" si="4"/>
        <v>0.23166996136767559</v>
      </c>
      <c r="AK4">
        <f t="shared" si="4"/>
        <v>0.53705309226142972</v>
      </c>
      <c r="AL4">
        <f t="shared" si="4"/>
        <v>1.0298782828072124</v>
      </c>
      <c r="AM4" s="54">
        <f t="shared" si="4"/>
        <v>2.8453283437066337</v>
      </c>
    </row>
    <row r="5" spans="1:39" x14ac:dyDescent="0.25">
      <c r="A5" s="34">
        <v>22</v>
      </c>
      <c r="B5" s="2">
        <v>90</v>
      </c>
      <c r="C5" s="2"/>
      <c r="D5" s="2">
        <v>10</v>
      </c>
      <c r="E5" s="27">
        <v>6.2688332148029005E-2</v>
      </c>
      <c r="F5" s="27">
        <v>1.8357479777712401E-2</v>
      </c>
      <c r="G5" s="27">
        <v>5.3392743586913897E-3</v>
      </c>
      <c r="H5" s="30">
        <v>3</v>
      </c>
      <c r="I5" s="8">
        <v>21</v>
      </c>
      <c r="J5" s="8">
        <v>91</v>
      </c>
      <c r="K5" s="8">
        <v>212</v>
      </c>
      <c r="L5" s="8">
        <v>660</v>
      </c>
      <c r="M5" s="8">
        <v>1581</v>
      </c>
      <c r="N5" s="20">
        <f t="shared" si="5"/>
        <v>0.3</v>
      </c>
      <c r="O5" s="10">
        <f t="shared" si="0"/>
        <v>2.1</v>
      </c>
      <c r="P5" s="10">
        <f t="shared" si="0"/>
        <v>9.1</v>
      </c>
      <c r="Q5" s="10">
        <f t="shared" si="0"/>
        <v>21.2</v>
      </c>
      <c r="R5" s="10">
        <f t="shared" si="0"/>
        <v>66</v>
      </c>
      <c r="S5" s="22">
        <f t="shared" si="0"/>
        <v>158.1</v>
      </c>
      <c r="T5" s="20">
        <f>N5*$E5</f>
        <v>1.8806499644408701E-2</v>
      </c>
      <c r="U5" s="10">
        <f t="shared" si="1"/>
        <v>0.13164549751086091</v>
      </c>
      <c r="V5" s="10">
        <f t="shared" si="1"/>
        <v>0.57046382254706396</v>
      </c>
      <c r="W5" s="9">
        <f t="shared" si="1"/>
        <v>1.3289926415382149</v>
      </c>
      <c r="X5" s="9">
        <f t="shared" si="1"/>
        <v>4.1374299217699146</v>
      </c>
      <c r="Y5" s="22">
        <f t="shared" si="1"/>
        <v>9.9110253126033854</v>
      </c>
      <c r="Z5" s="53">
        <f t="shared" si="7"/>
        <v>1.6017823076074169E-3</v>
      </c>
      <c r="AA5">
        <f t="shared" si="8"/>
        <v>1.1212476153251919E-2</v>
      </c>
      <c r="AB5">
        <f t="shared" si="9"/>
        <v>4.8587396664091648E-2</v>
      </c>
      <c r="AC5">
        <f t="shared" si="10"/>
        <v>0.11319261640425746</v>
      </c>
      <c r="AD5">
        <f t="shared" si="11"/>
        <v>0.35239210767363172</v>
      </c>
      <c r="AE5" s="54">
        <f t="shared" si="12"/>
        <v>0.84413927610910866</v>
      </c>
      <c r="AF5" s="46">
        <f t="shared" si="13"/>
        <v>3.3471020442710041E-4</v>
      </c>
      <c r="AG5" s="62">
        <f t="shared" si="3"/>
        <v>1.1507997897059607E-3</v>
      </c>
      <c r="AH5">
        <f t="shared" si="14"/>
        <v>5.5072439333137199E-3</v>
      </c>
      <c r="AI5">
        <f t="shared" si="4"/>
        <v>3.8550707533196046E-2</v>
      </c>
      <c r="AJ5">
        <f t="shared" si="4"/>
        <v>0.16705306597718284</v>
      </c>
      <c r="AK5">
        <f t="shared" si="4"/>
        <v>0.38917857128750288</v>
      </c>
      <c r="AL5">
        <f t="shared" si="4"/>
        <v>1.2115936653290185</v>
      </c>
      <c r="AM5" s="54">
        <f t="shared" si="4"/>
        <v>2.9023175528563305</v>
      </c>
    </row>
    <row r="6" spans="1:39" x14ac:dyDescent="0.25">
      <c r="A6" s="34">
        <v>152</v>
      </c>
      <c r="B6" s="2">
        <v>90</v>
      </c>
      <c r="C6" s="2">
        <v>91.54</v>
      </c>
      <c r="D6" s="2">
        <v>10</v>
      </c>
      <c r="E6" s="27">
        <v>0.10293183462706799</v>
      </c>
      <c r="F6" s="27">
        <v>2.3869849132825499E-2</v>
      </c>
      <c r="G6" s="27">
        <v>8.4624680045280194E-3</v>
      </c>
      <c r="H6" s="30">
        <v>9</v>
      </c>
      <c r="I6" s="8">
        <v>32</v>
      </c>
      <c r="J6" s="8">
        <v>75</v>
      </c>
      <c r="K6" s="8">
        <v>233</v>
      </c>
      <c r="L6" s="8">
        <v>700</v>
      </c>
      <c r="M6" s="8">
        <v>1639</v>
      </c>
      <c r="N6" s="20">
        <f t="shared" si="5"/>
        <v>0.9</v>
      </c>
      <c r="O6" s="10">
        <f t="shared" si="0"/>
        <v>3.2</v>
      </c>
      <c r="P6" s="10">
        <f t="shared" si="0"/>
        <v>7.5</v>
      </c>
      <c r="Q6" s="10">
        <f t="shared" si="0"/>
        <v>23.3</v>
      </c>
      <c r="R6" s="10">
        <f t="shared" si="0"/>
        <v>70</v>
      </c>
      <c r="S6" s="22">
        <f t="shared" si="0"/>
        <v>163.9</v>
      </c>
      <c r="T6" s="20">
        <f>N6*$E6</f>
        <v>9.2638651164361194E-2</v>
      </c>
      <c r="U6" s="10">
        <f t="shared" si="1"/>
        <v>0.32938187080661763</v>
      </c>
      <c r="V6" s="10">
        <f t="shared" si="1"/>
        <v>0.77198875970300995</v>
      </c>
      <c r="W6" s="9">
        <f t="shared" si="1"/>
        <v>2.3983117468106845</v>
      </c>
      <c r="X6" s="9">
        <f t="shared" si="1"/>
        <v>7.2052284238947593</v>
      </c>
      <c r="Y6" s="22">
        <f t="shared" si="1"/>
        <v>16.870527695376445</v>
      </c>
      <c r="Z6" s="53">
        <f t="shared" si="7"/>
        <v>7.6162212040752179E-3</v>
      </c>
      <c r="AA6">
        <f t="shared" si="8"/>
        <v>2.7079897614489663E-2</v>
      </c>
      <c r="AB6">
        <f t="shared" si="9"/>
        <v>6.3468510033960146E-2</v>
      </c>
      <c r="AC6">
        <f t="shared" si="10"/>
        <v>0.19717550450550286</v>
      </c>
      <c r="AD6">
        <f t="shared" si="11"/>
        <v>0.5923727603169614</v>
      </c>
      <c r="AE6" s="54">
        <f t="shared" si="12"/>
        <v>1.3869985059421424</v>
      </c>
      <c r="AF6" s="46">
        <f t="shared" si="13"/>
        <v>8.7105735717893222E-4</v>
      </c>
      <c r="AG6" s="62">
        <f t="shared" si="3"/>
        <v>2.4569673635130565E-3</v>
      </c>
      <c r="AH6">
        <f t="shared" si="14"/>
        <v>2.1482864219542951E-2</v>
      </c>
      <c r="AI6">
        <f t="shared" si="4"/>
        <v>7.6383517225041608E-2</v>
      </c>
      <c r="AJ6">
        <f t="shared" si="4"/>
        <v>0.17902386849619123</v>
      </c>
      <c r="AK6">
        <f t="shared" si="4"/>
        <v>0.55616748479483413</v>
      </c>
      <c r="AL6">
        <f t="shared" si="4"/>
        <v>1.6708894392977849</v>
      </c>
      <c r="AM6" s="54">
        <f t="shared" si="4"/>
        <v>3.9122682728700995</v>
      </c>
    </row>
    <row r="7" spans="1:39" x14ac:dyDescent="0.25">
      <c r="A7" s="34">
        <v>101</v>
      </c>
      <c r="B7" s="2">
        <v>64</v>
      </c>
      <c r="C7" s="2">
        <v>108.92</v>
      </c>
      <c r="D7" s="2">
        <v>6</v>
      </c>
      <c r="E7" s="27">
        <v>3.00794247374499E-2</v>
      </c>
      <c r="F7" s="27">
        <v>1.50358559887077E-2</v>
      </c>
      <c r="G7" s="27">
        <v>9.2196022769056602E-3</v>
      </c>
      <c r="H7" s="30">
        <v>2</v>
      </c>
      <c r="I7" s="8">
        <v>9</v>
      </c>
      <c r="J7" s="8">
        <v>49</v>
      </c>
      <c r="K7" s="8">
        <v>132</v>
      </c>
      <c r="L7" s="8">
        <v>544</v>
      </c>
      <c r="M7" s="8">
        <v>1041</v>
      </c>
      <c r="N7" s="20">
        <f t="shared" si="5"/>
        <v>0.33333333333333331</v>
      </c>
      <c r="O7" s="10">
        <f t="shared" si="0"/>
        <v>1.5</v>
      </c>
      <c r="P7" s="10">
        <f t="shared" si="0"/>
        <v>8.1666666666666661</v>
      </c>
      <c r="Q7" s="10">
        <f t="shared" si="0"/>
        <v>22</v>
      </c>
      <c r="R7" s="10">
        <f t="shared" si="0"/>
        <v>90.666666666666671</v>
      </c>
      <c r="S7" s="22">
        <f t="shared" si="0"/>
        <v>173.5</v>
      </c>
      <c r="T7" s="20">
        <f t="shared" si="6"/>
        <v>1.0026474912483299E-2</v>
      </c>
      <c r="U7" s="10">
        <f t="shared" si="1"/>
        <v>4.511913710617485E-2</v>
      </c>
      <c r="V7" s="10">
        <f t="shared" si="1"/>
        <v>0.24564863535584083</v>
      </c>
      <c r="W7" s="9">
        <f t="shared" si="1"/>
        <v>0.6617473442238978</v>
      </c>
      <c r="X7" s="9">
        <f t="shared" si="1"/>
        <v>2.7272011761954578</v>
      </c>
      <c r="Y7" s="22">
        <f t="shared" si="1"/>
        <v>5.218780191947558</v>
      </c>
      <c r="Z7" s="53">
        <f t="shared" si="7"/>
        <v>3.0732007589685533E-3</v>
      </c>
      <c r="AA7">
        <f t="shared" si="8"/>
        <v>1.3829403415358491E-2</v>
      </c>
      <c r="AB7">
        <f t="shared" si="9"/>
        <v>7.5293418594729558E-2</v>
      </c>
      <c r="AC7">
        <f t="shared" si="10"/>
        <v>0.20283125009192451</v>
      </c>
      <c r="AD7">
        <f t="shared" si="11"/>
        <v>0.83591060643944659</v>
      </c>
      <c r="AE7" s="54">
        <f t="shared" si="12"/>
        <v>1.599600995043132</v>
      </c>
      <c r="AF7" s="46">
        <f t="shared" si="13"/>
        <v>2.7732033279740553E-4</v>
      </c>
      <c r="AG7" s="62">
        <f t="shared" si="3"/>
        <v>4.5226989857546863E-4</v>
      </c>
      <c r="AH7">
        <f t="shared" si="14"/>
        <v>5.0119519962358999E-3</v>
      </c>
      <c r="AI7">
        <f t="shared" si="4"/>
        <v>2.255378398306155E-2</v>
      </c>
      <c r="AJ7">
        <f t="shared" si="4"/>
        <v>0.12279282390777954</v>
      </c>
      <c r="AK7">
        <f t="shared" si="4"/>
        <v>0.33078883175156937</v>
      </c>
      <c r="AL7">
        <f t="shared" si="4"/>
        <v>1.3632509429761648</v>
      </c>
      <c r="AM7" s="54">
        <f t="shared" si="4"/>
        <v>2.6087210140407859</v>
      </c>
    </row>
    <row r="8" spans="1:39" x14ac:dyDescent="0.25">
      <c r="A8" s="34">
        <v>24</v>
      </c>
      <c r="B8" s="2">
        <v>64</v>
      </c>
      <c r="C8" s="2">
        <v>87.08</v>
      </c>
      <c r="D8" s="2">
        <v>10</v>
      </c>
      <c r="E8" s="27">
        <v>0.10538288704710901</v>
      </c>
      <c r="F8" s="27">
        <v>1.6430974908246999E-2</v>
      </c>
      <c r="G8" s="27">
        <v>6.0105568763227698E-3</v>
      </c>
      <c r="H8" s="30">
        <v>5</v>
      </c>
      <c r="I8" s="8">
        <v>18</v>
      </c>
      <c r="J8" s="8">
        <v>43</v>
      </c>
      <c r="K8" s="8">
        <v>139</v>
      </c>
      <c r="L8" s="8">
        <v>586</v>
      </c>
      <c r="M8" s="8">
        <v>1730</v>
      </c>
      <c r="N8" s="20">
        <f t="shared" si="5"/>
        <v>0.5</v>
      </c>
      <c r="O8" s="10">
        <f t="shared" si="0"/>
        <v>1.8</v>
      </c>
      <c r="P8" s="10">
        <f t="shared" si="0"/>
        <v>4.3</v>
      </c>
      <c r="Q8" s="10">
        <f t="shared" si="0"/>
        <v>13.9</v>
      </c>
      <c r="R8" s="10">
        <f t="shared" si="0"/>
        <v>58.6</v>
      </c>
      <c r="S8" s="22">
        <f t="shared" si="0"/>
        <v>173</v>
      </c>
      <c r="T8" s="20">
        <f t="shared" si="6"/>
        <v>5.2691443523554503E-2</v>
      </c>
      <c r="U8" s="10">
        <f t="shared" si="1"/>
        <v>0.18968919668479622</v>
      </c>
      <c r="V8" s="10">
        <f t="shared" si="1"/>
        <v>0.45314641430256869</v>
      </c>
      <c r="W8" s="9">
        <f t="shared" si="1"/>
        <v>1.4648221299548152</v>
      </c>
      <c r="X8" s="9">
        <f t="shared" si="1"/>
        <v>6.1754371809605875</v>
      </c>
      <c r="Y8" s="22">
        <f t="shared" si="1"/>
        <v>18.231239459149858</v>
      </c>
      <c r="Z8" s="53">
        <f t="shared" si="7"/>
        <v>3.0052784381613849E-3</v>
      </c>
      <c r="AA8">
        <f t="shared" si="8"/>
        <v>1.0819002377380985E-2</v>
      </c>
      <c r="AB8">
        <f t="shared" si="9"/>
        <v>2.5845394568187911E-2</v>
      </c>
      <c r="AC8">
        <f t="shared" si="10"/>
        <v>8.35467405808865E-2</v>
      </c>
      <c r="AD8">
        <f t="shared" si="11"/>
        <v>0.35221863295251432</v>
      </c>
      <c r="AE8" s="54">
        <f t="shared" si="12"/>
        <v>1.0398263396038392</v>
      </c>
      <c r="AF8" s="46">
        <f t="shared" si="13"/>
        <v>6.3340983638774675E-4</v>
      </c>
      <c r="AG8" s="62">
        <f t="shared" si="3"/>
        <v>1.7315435728296757E-3</v>
      </c>
      <c r="AH8">
        <f t="shared" si="14"/>
        <v>8.2154874541234997E-3</v>
      </c>
      <c r="AI8">
        <f t="shared" si="4"/>
        <v>2.9575754834844599E-2</v>
      </c>
      <c r="AJ8">
        <f t="shared" si="4"/>
        <v>7.0653192105462101E-2</v>
      </c>
      <c r="AK8">
        <f t="shared" si="4"/>
        <v>0.22839055122463331</v>
      </c>
      <c r="AL8">
        <f t="shared" si="4"/>
        <v>0.96285512962327424</v>
      </c>
      <c r="AM8" s="54">
        <f t="shared" si="4"/>
        <v>2.8425586591267309</v>
      </c>
    </row>
    <row r="9" spans="1:39" x14ac:dyDescent="0.25">
      <c r="A9" s="34">
        <v>159</v>
      </c>
      <c r="B9" s="2">
        <v>45</v>
      </c>
      <c r="C9" s="2">
        <v>54.11</v>
      </c>
      <c r="D9" s="2">
        <v>15</v>
      </c>
      <c r="E9" s="27">
        <v>1.09573532088619E-2</v>
      </c>
      <c r="F9" s="27">
        <v>4.9905746416529098E-3</v>
      </c>
      <c r="G9" s="27">
        <v>4.5767283517164602E-3</v>
      </c>
      <c r="H9" s="30">
        <v>0</v>
      </c>
      <c r="I9" s="8">
        <v>0</v>
      </c>
      <c r="J9" s="8">
        <v>11</v>
      </c>
      <c r="K9" s="8">
        <v>72</v>
      </c>
      <c r="L9" s="8">
        <v>777</v>
      </c>
      <c r="M9" s="8">
        <v>2820</v>
      </c>
      <c r="N9" s="20">
        <f t="shared" si="5"/>
        <v>0</v>
      </c>
      <c r="O9" s="10">
        <f t="shared" si="0"/>
        <v>0</v>
      </c>
      <c r="P9" s="10">
        <f t="shared" si="0"/>
        <v>0.73333333333333328</v>
      </c>
      <c r="Q9" s="10">
        <f t="shared" si="0"/>
        <v>4.8</v>
      </c>
      <c r="R9" s="10">
        <f t="shared" si="0"/>
        <v>51.8</v>
      </c>
      <c r="S9" s="22">
        <f t="shared" si="0"/>
        <v>188</v>
      </c>
      <c r="T9" s="20"/>
      <c r="U9" s="10"/>
      <c r="V9" s="10">
        <f t="shared" si="1"/>
        <v>8.0353923531653916E-3</v>
      </c>
      <c r="W9" s="9">
        <f t="shared" si="1"/>
        <v>5.2595295402537115E-2</v>
      </c>
      <c r="X9" s="9">
        <f t="shared" si="1"/>
        <v>0.56759089621904635</v>
      </c>
      <c r="Y9" s="22">
        <f t="shared" si="1"/>
        <v>2.0599824032660372</v>
      </c>
      <c r="Z9" s="53">
        <f t="shared" si="7"/>
        <v>0</v>
      </c>
      <c r="AA9">
        <f t="shared" si="8"/>
        <v>0</v>
      </c>
      <c r="AB9">
        <f t="shared" si="9"/>
        <v>3.3562674579254038E-3</v>
      </c>
      <c r="AC9">
        <f t="shared" si="10"/>
        <v>2.1968296088239008E-2</v>
      </c>
      <c r="AD9">
        <f t="shared" si="11"/>
        <v>0.23707452861891262</v>
      </c>
      <c r="AE9" s="54">
        <f t="shared" si="12"/>
        <v>0.8604249301226945</v>
      </c>
      <c r="AF9" s="46">
        <f t="shared" si="13"/>
        <v>5.0148829090769585E-5</v>
      </c>
      <c r="AG9" s="62">
        <f t="shared" si="3"/>
        <v>5.4683489063780337E-5</v>
      </c>
      <c r="AH9">
        <f t="shared" si="14"/>
        <v>0</v>
      </c>
      <c r="AI9">
        <f t="shared" si="4"/>
        <v>0</v>
      </c>
      <c r="AJ9">
        <f t="shared" si="4"/>
        <v>3.6597547372121337E-3</v>
      </c>
      <c r="AK9">
        <f t="shared" si="4"/>
        <v>2.3954758279933968E-2</v>
      </c>
      <c r="AL9">
        <f t="shared" si="4"/>
        <v>0.25851176643762069</v>
      </c>
      <c r="AM9" s="54">
        <f t="shared" si="4"/>
        <v>0.93822803263074706</v>
      </c>
    </row>
    <row r="10" spans="1:39" x14ac:dyDescent="0.25">
      <c r="A10" s="34">
        <v>35</v>
      </c>
      <c r="B10" s="2">
        <v>45</v>
      </c>
      <c r="C10" s="2">
        <v>64.849999999999994</v>
      </c>
      <c r="D10" s="2">
        <v>6</v>
      </c>
      <c r="E10" s="27">
        <v>2.2279504588702301E-2</v>
      </c>
      <c r="F10" s="27">
        <v>9.4453501582737708E-3</v>
      </c>
      <c r="G10" s="27">
        <v>6.3512880877902899E-3</v>
      </c>
      <c r="H10" s="30">
        <v>0</v>
      </c>
      <c r="I10" s="8">
        <v>6</v>
      </c>
      <c r="J10" s="8">
        <v>24</v>
      </c>
      <c r="K10" s="8">
        <v>103</v>
      </c>
      <c r="L10" s="8">
        <v>418</v>
      </c>
      <c r="M10" s="8">
        <v>1139</v>
      </c>
      <c r="N10" s="20">
        <f t="shared" si="5"/>
        <v>0</v>
      </c>
      <c r="O10" s="10">
        <f t="shared" si="0"/>
        <v>1</v>
      </c>
      <c r="P10" s="10">
        <f t="shared" si="0"/>
        <v>4</v>
      </c>
      <c r="Q10" s="10">
        <f t="shared" si="0"/>
        <v>17.166666666666668</v>
      </c>
      <c r="R10" s="10">
        <f t="shared" si="0"/>
        <v>69.666666666666671</v>
      </c>
      <c r="S10" s="22">
        <f t="shared" si="0"/>
        <v>189.83333333333334</v>
      </c>
      <c r="T10" s="20"/>
      <c r="U10" s="10">
        <f t="shared" si="1"/>
        <v>2.2279504588702301E-2</v>
      </c>
      <c r="V10" s="10">
        <f t="shared" si="1"/>
        <v>8.9118018354809203E-2</v>
      </c>
      <c r="W10" s="9">
        <f t="shared" si="1"/>
        <v>0.38246482877272286</v>
      </c>
      <c r="X10" s="9">
        <f t="shared" si="1"/>
        <v>1.5521388196795938</v>
      </c>
      <c r="Y10" s="22">
        <f t="shared" si="1"/>
        <v>4.2293926210886532</v>
      </c>
      <c r="Z10" s="53">
        <f t="shared" si="7"/>
        <v>0</v>
      </c>
      <c r="AA10">
        <f t="shared" si="8"/>
        <v>6.3512880877902899E-3</v>
      </c>
      <c r="AB10">
        <f t="shared" si="9"/>
        <v>2.5405152351161159E-2</v>
      </c>
      <c r="AC10">
        <f t="shared" si="10"/>
        <v>0.10903044550706666</v>
      </c>
      <c r="AD10">
        <f t="shared" si="11"/>
        <v>0.44247307011605691</v>
      </c>
      <c r="AE10" s="54">
        <f t="shared" si="12"/>
        <v>1.2056861886655235</v>
      </c>
      <c r="AF10" s="46">
        <f t="shared" si="13"/>
        <v>1.4150355209609401E-4</v>
      </c>
      <c r="AG10" s="62">
        <f t="shared" si="3"/>
        <v>2.1043772219316048E-4</v>
      </c>
      <c r="AH10">
        <f t="shared" si="14"/>
        <v>0</v>
      </c>
      <c r="AI10">
        <f t="shared" si="4"/>
        <v>9.4453501582737708E-3</v>
      </c>
      <c r="AJ10">
        <f t="shared" si="4"/>
        <v>3.7781400633095083E-2</v>
      </c>
      <c r="AK10">
        <f t="shared" si="4"/>
        <v>0.16214517771703307</v>
      </c>
      <c r="AL10">
        <f t="shared" si="4"/>
        <v>0.65802606102640604</v>
      </c>
      <c r="AM10" s="54">
        <f t="shared" si="4"/>
        <v>1.7930423050456377</v>
      </c>
    </row>
    <row r="11" spans="1:39" x14ac:dyDescent="0.25">
      <c r="A11" s="34">
        <v>61</v>
      </c>
      <c r="B11" s="2">
        <v>32</v>
      </c>
      <c r="C11" s="2"/>
      <c r="D11" s="2">
        <v>6</v>
      </c>
      <c r="E11" s="27">
        <v>2.4554138346802101E-2</v>
      </c>
      <c r="F11" s="27">
        <v>8.2745106205033593E-3</v>
      </c>
      <c r="G11" s="27">
        <v>4.2829956428710502E-3</v>
      </c>
      <c r="H11" s="30">
        <v>0</v>
      </c>
      <c r="I11" s="8">
        <v>6</v>
      </c>
      <c r="J11" s="8">
        <v>27</v>
      </c>
      <c r="K11" s="8">
        <v>64</v>
      </c>
      <c r="L11" s="8">
        <v>364</v>
      </c>
      <c r="M11" s="8">
        <v>1201</v>
      </c>
      <c r="N11" s="20">
        <f t="shared" si="5"/>
        <v>0</v>
      </c>
      <c r="O11" s="10">
        <f t="shared" si="0"/>
        <v>1</v>
      </c>
      <c r="P11" s="10">
        <f t="shared" si="0"/>
        <v>4.5</v>
      </c>
      <c r="Q11" s="10">
        <f t="shared" si="0"/>
        <v>10.666666666666666</v>
      </c>
      <c r="R11" s="10">
        <f t="shared" si="0"/>
        <v>60.666666666666664</v>
      </c>
      <c r="S11" s="22">
        <f t="shared" si="0"/>
        <v>200.16666666666666</v>
      </c>
      <c r="T11" s="20"/>
      <c r="U11" s="10">
        <f t="shared" si="1"/>
        <v>2.4554138346802101E-2</v>
      </c>
      <c r="V11" s="10">
        <f t="shared" si="1"/>
        <v>0.11049362256060945</v>
      </c>
      <c r="W11" s="9">
        <f t="shared" si="1"/>
        <v>0.2619108090325557</v>
      </c>
      <c r="X11" s="9">
        <f t="shared" si="1"/>
        <v>1.4896177263726607</v>
      </c>
      <c r="Y11" s="22">
        <f t="shared" si="1"/>
        <v>4.9149200257515533</v>
      </c>
      <c r="Z11" s="53">
        <f t="shared" si="7"/>
        <v>0</v>
      </c>
      <c r="AA11">
        <f t="shared" si="8"/>
        <v>4.2829956428710502E-3</v>
      </c>
      <c r="AB11">
        <f t="shared" si="9"/>
        <v>1.9273480392919727E-2</v>
      </c>
      <c r="AC11">
        <f t="shared" si="10"/>
        <v>4.5685286857291202E-2</v>
      </c>
      <c r="AD11">
        <f t="shared" si="11"/>
        <v>0.25983506900084369</v>
      </c>
      <c r="AE11" s="54">
        <f t="shared" si="12"/>
        <v>0.85731296118135514</v>
      </c>
      <c r="AF11" s="46">
        <f t="shared" si="13"/>
        <v>1.0516526755380637E-4</v>
      </c>
      <c r="AG11" s="62">
        <f t="shared" si="3"/>
        <v>2.0317347852792279E-4</v>
      </c>
      <c r="AH11">
        <f t="shared" si="14"/>
        <v>0</v>
      </c>
      <c r="AI11">
        <f t="shared" si="4"/>
        <v>8.2745106205033593E-3</v>
      </c>
      <c r="AJ11">
        <f t="shared" si="4"/>
        <v>3.7235297792265115E-2</v>
      </c>
      <c r="AK11">
        <f t="shared" si="4"/>
        <v>8.8261446618702499E-2</v>
      </c>
      <c r="AL11">
        <f t="shared" si="4"/>
        <v>0.50198697764387046</v>
      </c>
      <c r="AM11" s="54">
        <f t="shared" si="4"/>
        <v>1.6562812092040891</v>
      </c>
    </row>
    <row r="12" spans="1:39" x14ac:dyDescent="0.25">
      <c r="A12" s="34">
        <v>52</v>
      </c>
      <c r="B12" s="2">
        <v>32</v>
      </c>
      <c r="C12" s="2">
        <v>45.6</v>
      </c>
      <c r="D12" s="2">
        <v>5</v>
      </c>
      <c r="E12" s="27">
        <v>1.6195175632876601E-2</v>
      </c>
      <c r="F12" s="27">
        <v>8.7837172608482301E-3</v>
      </c>
      <c r="G12" s="27">
        <v>7.5116788153303899E-3</v>
      </c>
      <c r="H12" s="30">
        <v>0</v>
      </c>
      <c r="I12" s="8">
        <v>3</v>
      </c>
      <c r="J12" s="8">
        <v>21</v>
      </c>
      <c r="K12" s="8">
        <v>74</v>
      </c>
      <c r="L12" s="8">
        <v>395</v>
      </c>
      <c r="M12" s="8">
        <v>990</v>
      </c>
      <c r="N12" s="20">
        <f t="shared" si="5"/>
        <v>0</v>
      </c>
      <c r="O12" s="10">
        <f t="shared" si="0"/>
        <v>0.6</v>
      </c>
      <c r="P12" s="10">
        <f t="shared" si="0"/>
        <v>4.2</v>
      </c>
      <c r="Q12" s="10">
        <f t="shared" si="0"/>
        <v>14.8</v>
      </c>
      <c r="R12" s="10">
        <f t="shared" si="0"/>
        <v>79</v>
      </c>
      <c r="S12" s="22">
        <f t="shared" si="0"/>
        <v>198</v>
      </c>
      <c r="T12" s="20"/>
      <c r="U12" s="10">
        <f t="shared" si="1"/>
        <v>9.7171053797259609E-3</v>
      </c>
      <c r="V12" s="10">
        <f t="shared" si="1"/>
        <v>6.8019737658081725E-2</v>
      </c>
      <c r="W12" s="9">
        <f t="shared" si="1"/>
        <v>0.23968859936657372</v>
      </c>
      <c r="X12" s="9">
        <f t="shared" si="1"/>
        <v>1.2794188749972515</v>
      </c>
      <c r="Y12" s="22">
        <f t="shared" si="1"/>
        <v>3.206644775309567</v>
      </c>
      <c r="Z12" s="53">
        <f t="shared" si="7"/>
        <v>0</v>
      </c>
      <c r="AA12">
        <f t="shared" si="8"/>
        <v>4.5070072891982334E-3</v>
      </c>
      <c r="AB12">
        <f t="shared" si="9"/>
        <v>3.1549051024387639E-2</v>
      </c>
      <c r="AC12">
        <f t="shared" si="10"/>
        <v>0.11117284646688978</v>
      </c>
      <c r="AD12">
        <f t="shared" si="11"/>
        <v>0.59342262641110077</v>
      </c>
      <c r="AE12" s="54">
        <f t="shared" si="12"/>
        <v>1.4873124054354172</v>
      </c>
      <c r="AF12" s="46">
        <f t="shared" si="13"/>
        <v>1.216529577120341E-4</v>
      </c>
      <c r="AG12" s="62">
        <f t="shared" si="3"/>
        <v>1.4225384374896686E-4</v>
      </c>
      <c r="AH12">
        <f t="shared" si="14"/>
        <v>0</v>
      </c>
      <c r="AI12">
        <f t="shared" si="4"/>
        <v>5.2702303565089377E-3</v>
      </c>
      <c r="AJ12">
        <f t="shared" si="4"/>
        <v>3.6891612495562567E-2</v>
      </c>
      <c r="AK12">
        <f t="shared" si="4"/>
        <v>0.12999901546055381</v>
      </c>
      <c r="AL12">
        <f t="shared" si="4"/>
        <v>0.69391366360701012</v>
      </c>
      <c r="AM12" s="54">
        <f t="shared" si="4"/>
        <v>1.7391760176479496</v>
      </c>
    </row>
    <row r="13" spans="1:39" x14ac:dyDescent="0.25">
      <c r="A13" s="34">
        <v>53</v>
      </c>
      <c r="B13" s="2">
        <v>22.6</v>
      </c>
      <c r="C13" s="2">
        <v>29.55</v>
      </c>
      <c r="D13" s="2">
        <v>15</v>
      </c>
      <c r="E13" s="27">
        <v>5.4074185586351197E-3</v>
      </c>
      <c r="F13" s="27">
        <v>3.7739188928974099E-3</v>
      </c>
      <c r="G13" s="27">
        <v>3.5257352179030601E-3</v>
      </c>
      <c r="H13" s="30">
        <v>0</v>
      </c>
      <c r="I13" s="8">
        <v>0</v>
      </c>
      <c r="J13" s="8">
        <v>2</v>
      </c>
      <c r="K13" s="8">
        <v>30</v>
      </c>
      <c r="L13" s="8">
        <v>601</v>
      </c>
      <c r="M13" s="8">
        <v>3003</v>
      </c>
      <c r="N13" s="20">
        <f t="shared" si="5"/>
        <v>0</v>
      </c>
      <c r="O13" s="10">
        <f t="shared" si="0"/>
        <v>0</v>
      </c>
      <c r="P13" s="10">
        <f t="shared" si="0"/>
        <v>0.13333333333333333</v>
      </c>
      <c r="Q13" s="10">
        <f t="shared" si="0"/>
        <v>2</v>
      </c>
      <c r="R13" s="10">
        <f t="shared" si="0"/>
        <v>40.06666666666667</v>
      </c>
      <c r="S13" s="22">
        <f t="shared" si="0"/>
        <v>200.2</v>
      </c>
      <c r="T13" s="20"/>
      <c r="U13" s="10"/>
      <c r="V13" s="10"/>
      <c r="W13" s="9">
        <f t="shared" si="1"/>
        <v>1.0814837117270239E-2</v>
      </c>
      <c r="X13" s="9">
        <f t="shared" si="1"/>
        <v>0.21665723691598049</v>
      </c>
      <c r="Y13" s="22">
        <f t="shared" si="1"/>
        <v>1.082565195438751</v>
      </c>
      <c r="Z13" s="53">
        <f t="shared" si="7"/>
        <v>0</v>
      </c>
      <c r="AA13">
        <f t="shared" si="8"/>
        <v>0</v>
      </c>
      <c r="AB13">
        <f t="shared" si="9"/>
        <v>4.7009802905374136E-4</v>
      </c>
      <c r="AC13">
        <f t="shared" si="10"/>
        <v>7.0514704358061201E-3</v>
      </c>
      <c r="AD13">
        <f t="shared" si="11"/>
        <v>0.14126445773064927</v>
      </c>
      <c r="AE13" s="54">
        <f t="shared" si="12"/>
        <v>0.70585219062419258</v>
      </c>
      <c r="AF13" s="46">
        <f t="shared" si="13"/>
        <v>1.9065126050122445E-5</v>
      </c>
      <c r="AG13" s="62">
        <f t="shared" si="3"/>
        <v>2.0407159060237159E-5</v>
      </c>
      <c r="AH13">
        <f t="shared" si="14"/>
        <v>0</v>
      </c>
      <c r="AI13">
        <f t="shared" si="4"/>
        <v>0</v>
      </c>
      <c r="AJ13">
        <f t="shared" si="4"/>
        <v>5.0318918571965463E-4</v>
      </c>
      <c r="AK13">
        <f t="shared" si="4"/>
        <v>7.5478377857948198E-3</v>
      </c>
      <c r="AL13">
        <f t="shared" si="4"/>
        <v>0.15120835030875623</v>
      </c>
      <c r="AM13" s="54">
        <f t="shared" si="4"/>
        <v>0.75553856235806138</v>
      </c>
    </row>
    <row r="14" spans="1:39" x14ac:dyDescent="0.25">
      <c r="A14" s="34">
        <v>45</v>
      </c>
      <c r="B14" s="2">
        <v>22.6</v>
      </c>
      <c r="C14" s="2">
        <v>22.6</v>
      </c>
      <c r="D14" s="2">
        <v>10</v>
      </c>
      <c r="E14" s="27">
        <v>6.9634801117522301E-3</v>
      </c>
      <c r="F14" s="27">
        <v>4.7306891897243297E-3</v>
      </c>
      <c r="G14" s="27">
        <v>4.5595536316889104E-3</v>
      </c>
      <c r="H14" s="30">
        <v>0</v>
      </c>
      <c r="I14" s="8">
        <v>1</v>
      </c>
      <c r="J14" s="8">
        <v>4</v>
      </c>
      <c r="K14" s="8">
        <v>51</v>
      </c>
      <c r="L14" s="8">
        <v>494</v>
      </c>
      <c r="M14" s="8">
        <v>1931</v>
      </c>
      <c r="N14" s="20">
        <f t="shared" si="5"/>
        <v>0</v>
      </c>
      <c r="O14" s="10">
        <f t="shared" si="0"/>
        <v>0.1</v>
      </c>
      <c r="P14" s="10">
        <f t="shared" si="0"/>
        <v>0.4</v>
      </c>
      <c r="Q14" s="10">
        <f t="shared" si="0"/>
        <v>5.0999999999999996</v>
      </c>
      <c r="R14" s="10">
        <f t="shared" si="0"/>
        <v>49.4</v>
      </c>
      <c r="S14" s="22">
        <f t="shared" si="0"/>
        <v>193.1</v>
      </c>
      <c r="T14" s="20"/>
      <c r="U14" s="10"/>
      <c r="V14" s="10"/>
      <c r="W14" s="9">
        <f t="shared" si="1"/>
        <v>3.5513748569936374E-2</v>
      </c>
      <c r="X14" s="9">
        <f t="shared" si="1"/>
        <v>0.34399591752056013</v>
      </c>
      <c r="Y14" s="22">
        <f t="shared" si="1"/>
        <v>1.3446480095793556</v>
      </c>
      <c r="Z14" s="53">
        <f t="shared" si="7"/>
        <v>0</v>
      </c>
      <c r="AA14">
        <f t="shared" si="8"/>
        <v>4.5595536316889109E-4</v>
      </c>
      <c r="AB14">
        <f t="shared" si="9"/>
        <v>1.8238214526755643E-3</v>
      </c>
      <c r="AC14">
        <f t="shared" si="10"/>
        <v>2.325372352161344E-2</v>
      </c>
      <c r="AD14">
        <f t="shared" si="11"/>
        <v>0.22524194940543216</v>
      </c>
      <c r="AE14" s="54">
        <f t="shared" si="12"/>
        <v>0.88044980627912861</v>
      </c>
      <c r="AF14" s="46">
        <f t="shared" si="13"/>
        <v>3.1750361032733378E-5</v>
      </c>
      <c r="AG14" s="62">
        <f t="shared" si="3"/>
        <v>3.294206008752664E-5</v>
      </c>
      <c r="AH14">
        <f t="shared" si="14"/>
        <v>0</v>
      </c>
      <c r="AI14">
        <f t="shared" si="4"/>
        <v>4.7306891897243297E-4</v>
      </c>
      <c r="AJ14">
        <f t="shared" si="4"/>
        <v>1.8922756758897319E-3</v>
      </c>
      <c r="AK14">
        <f t="shared" si="4"/>
        <v>2.4126514867594082E-2</v>
      </c>
      <c r="AL14">
        <f t="shared" si="4"/>
        <v>0.23369604597238189</v>
      </c>
      <c r="AM14" s="54">
        <f t="shared" si="4"/>
        <v>0.91349608253576808</v>
      </c>
    </row>
    <row r="15" spans="1:39" x14ac:dyDescent="0.25">
      <c r="A15" s="7">
        <v>1.3</v>
      </c>
      <c r="B15" s="3">
        <v>32</v>
      </c>
      <c r="C15" s="3">
        <v>42.84</v>
      </c>
      <c r="D15" s="3">
        <v>10</v>
      </c>
      <c r="E15" s="26">
        <v>2.3197934886697399E-2</v>
      </c>
      <c r="F15" s="26">
        <v>9.1426900455134907E-3</v>
      </c>
      <c r="G15" s="26">
        <v>6.1375608082080103E-3</v>
      </c>
      <c r="H15" s="30">
        <v>0</v>
      </c>
      <c r="I15" s="8">
        <v>4</v>
      </c>
      <c r="J15" s="8">
        <v>35</v>
      </c>
      <c r="K15" s="8">
        <v>163</v>
      </c>
      <c r="L15" s="8">
        <v>788</v>
      </c>
      <c r="M15" s="8">
        <v>1749</v>
      </c>
      <c r="N15" s="20">
        <f t="shared" si="5"/>
        <v>0</v>
      </c>
      <c r="O15" s="10">
        <f t="shared" si="0"/>
        <v>0.4</v>
      </c>
      <c r="P15" s="10">
        <f t="shared" si="0"/>
        <v>3.5</v>
      </c>
      <c r="Q15" s="10">
        <f t="shared" si="0"/>
        <v>16.3</v>
      </c>
      <c r="R15" s="10">
        <f t="shared" si="0"/>
        <v>78.8</v>
      </c>
      <c r="S15" s="22">
        <f t="shared" si="0"/>
        <v>174.9</v>
      </c>
      <c r="T15" s="20"/>
      <c r="U15" s="10">
        <f t="shared" si="1"/>
        <v>9.2791739546789608E-3</v>
      </c>
      <c r="V15" s="10">
        <f t="shared" si="1"/>
        <v>8.1192772103440891E-2</v>
      </c>
      <c r="W15" s="9">
        <f t="shared" si="1"/>
        <v>0.37812633865316764</v>
      </c>
      <c r="X15" s="9">
        <f t="shared" si="1"/>
        <v>1.827997269071755</v>
      </c>
      <c r="Y15" s="22">
        <f t="shared" si="1"/>
        <v>4.0573188116833752</v>
      </c>
      <c r="Z15" s="53">
        <f t="shared" si="7"/>
        <v>0</v>
      </c>
      <c r="AA15">
        <f t="shared" si="8"/>
        <v>2.4550243232832041E-3</v>
      </c>
      <c r="AB15">
        <f t="shared" si="9"/>
        <v>2.1481462828728037E-2</v>
      </c>
      <c r="AC15">
        <f t="shared" si="10"/>
        <v>0.10004224117379057</v>
      </c>
      <c r="AD15">
        <f t="shared" si="11"/>
        <v>0.48363979168679122</v>
      </c>
      <c r="AE15" s="54">
        <f t="shared" si="12"/>
        <v>1.0734593853555809</v>
      </c>
      <c r="AF15" s="46">
        <f t="shared" si="13"/>
        <v>1.4237873599195529E-4</v>
      </c>
      <c r="AG15" s="62">
        <f t="shared" si="3"/>
        <v>2.1209152836507844E-4</v>
      </c>
      <c r="AH15">
        <f t="shared" si="14"/>
        <v>0</v>
      </c>
      <c r="AI15">
        <f t="shared" si="4"/>
        <v>3.6570760182053964E-3</v>
      </c>
      <c r="AJ15">
        <f t="shared" si="4"/>
        <v>3.1999415159297218E-2</v>
      </c>
      <c r="AK15">
        <f t="shared" si="4"/>
        <v>0.14902584774186992</v>
      </c>
      <c r="AL15">
        <f t="shared" si="4"/>
        <v>0.720443975586463</v>
      </c>
      <c r="AM15" s="54">
        <f t="shared" si="4"/>
        <v>1.5990564889603096</v>
      </c>
    </row>
    <row r="16" spans="1:39" x14ac:dyDescent="0.25">
      <c r="A16" s="7">
        <v>2.1</v>
      </c>
      <c r="B16" s="3">
        <v>45</v>
      </c>
      <c r="C16" s="3">
        <v>52.94</v>
      </c>
      <c r="D16" s="3">
        <v>20</v>
      </c>
      <c r="E16" s="26">
        <v>3.5345925929864103E-2</v>
      </c>
      <c r="F16" s="26">
        <v>7.8507383881498607E-3</v>
      </c>
      <c r="G16" s="26">
        <v>4.0069409325786598E-3</v>
      </c>
      <c r="H16" s="30">
        <v>0</v>
      </c>
      <c r="I16" s="8">
        <v>11</v>
      </c>
      <c r="J16" s="8">
        <v>56</v>
      </c>
      <c r="K16" s="8">
        <v>204</v>
      </c>
      <c r="L16" s="8">
        <v>1215</v>
      </c>
      <c r="M16" s="8">
        <v>3424</v>
      </c>
      <c r="N16" s="20">
        <f t="shared" si="5"/>
        <v>0</v>
      </c>
      <c r="O16" s="10">
        <f t="shared" si="0"/>
        <v>0.55000000000000004</v>
      </c>
      <c r="P16" s="10">
        <f t="shared" si="0"/>
        <v>2.8</v>
      </c>
      <c r="Q16" s="10">
        <f t="shared" si="0"/>
        <v>10.199999999999999</v>
      </c>
      <c r="R16" s="10">
        <f t="shared" si="0"/>
        <v>60.75</v>
      </c>
      <c r="S16" s="22">
        <f t="shared" si="0"/>
        <v>171.2</v>
      </c>
      <c r="T16" s="20"/>
      <c r="U16" s="10">
        <f t="shared" si="1"/>
        <v>1.9440259261425258E-2</v>
      </c>
      <c r="V16" s="10">
        <f t="shared" si="1"/>
        <v>9.8968592603619482E-2</v>
      </c>
      <c r="W16" s="9">
        <f t="shared" si="1"/>
        <v>0.3605284444846138</v>
      </c>
      <c r="X16" s="9">
        <f t="shared" si="1"/>
        <v>2.1472650002392442</v>
      </c>
      <c r="Y16" s="22">
        <f t="shared" si="1"/>
        <v>6.0512225191927342</v>
      </c>
      <c r="Z16" s="53">
        <f t="shared" si="7"/>
        <v>0</v>
      </c>
      <c r="AA16">
        <f t="shared" si="8"/>
        <v>2.2038175129182633E-3</v>
      </c>
      <c r="AB16">
        <f t="shared" si="9"/>
        <v>1.1219434611220247E-2</v>
      </c>
      <c r="AC16">
        <f t="shared" si="10"/>
        <v>4.0870797512302326E-2</v>
      </c>
      <c r="AD16">
        <f t="shared" si="11"/>
        <v>0.24342166165415358</v>
      </c>
      <c r="AE16" s="54">
        <f t="shared" si="12"/>
        <v>0.68598828765746656</v>
      </c>
      <c r="AF16" s="46">
        <f t="shared" si="13"/>
        <v>1.4162903740826591E-4</v>
      </c>
      <c r="AG16" s="62">
        <f t="shared" si="3"/>
        <v>2.774916175622857E-4</v>
      </c>
      <c r="AH16">
        <f t="shared" si="14"/>
        <v>0</v>
      </c>
      <c r="AI16">
        <f t="shared" si="4"/>
        <v>4.3179061134824238E-3</v>
      </c>
      <c r="AJ16">
        <f t="shared" si="4"/>
        <v>2.198206748681961E-2</v>
      </c>
      <c r="AK16">
        <f t="shared" si="4"/>
        <v>8.007753155912857E-2</v>
      </c>
      <c r="AL16">
        <f t="shared" si="4"/>
        <v>0.47693235708010406</v>
      </c>
      <c r="AM16" s="54">
        <f t="shared" si="4"/>
        <v>1.3440464120512561</v>
      </c>
    </row>
    <row r="17" spans="1:39" x14ac:dyDescent="0.25">
      <c r="A17" s="7">
        <v>2.2999999999999998</v>
      </c>
      <c r="B17" s="3">
        <v>45</v>
      </c>
      <c r="C17" s="3">
        <v>54.11</v>
      </c>
      <c r="D17" s="3">
        <v>10</v>
      </c>
      <c r="E17" s="26">
        <v>1.9422121419342901E-2</v>
      </c>
      <c r="F17" s="26">
        <v>7.5773751595888898E-3</v>
      </c>
      <c r="G17" s="26">
        <v>5.3544304928017398E-3</v>
      </c>
      <c r="H17" s="30">
        <v>0</v>
      </c>
      <c r="I17" s="8">
        <v>3</v>
      </c>
      <c r="J17" s="8">
        <v>28</v>
      </c>
      <c r="K17" s="8">
        <v>147</v>
      </c>
      <c r="L17" s="8">
        <v>700</v>
      </c>
      <c r="M17" s="8">
        <v>1838</v>
      </c>
      <c r="N17" s="20">
        <f t="shared" si="5"/>
        <v>0</v>
      </c>
      <c r="O17" s="10">
        <f t="shared" si="0"/>
        <v>0.3</v>
      </c>
      <c r="P17" s="10">
        <f t="shared" si="0"/>
        <v>2.8</v>
      </c>
      <c r="Q17" s="10">
        <f t="shared" si="0"/>
        <v>14.7</v>
      </c>
      <c r="R17" s="10">
        <f t="shared" si="0"/>
        <v>70</v>
      </c>
      <c r="S17" s="22">
        <f t="shared" si="0"/>
        <v>183.8</v>
      </c>
      <c r="T17" s="20"/>
      <c r="U17" s="10">
        <f t="shared" si="1"/>
        <v>5.82663642580287E-3</v>
      </c>
      <c r="V17" s="10">
        <f t="shared" si="1"/>
        <v>5.4381939974160118E-2</v>
      </c>
      <c r="W17" s="9">
        <f t="shared" si="1"/>
        <v>0.28550518486434062</v>
      </c>
      <c r="X17" s="9">
        <f t="shared" si="1"/>
        <v>1.359548499354003</v>
      </c>
      <c r="Y17" s="22">
        <f t="shared" si="1"/>
        <v>3.5697859168752255</v>
      </c>
      <c r="Z17" s="53">
        <f t="shared" si="7"/>
        <v>0</v>
      </c>
      <c r="AA17">
        <f t="shared" si="8"/>
        <v>1.6063291478405218E-3</v>
      </c>
      <c r="AB17">
        <f t="shared" si="9"/>
        <v>1.4992405379844871E-2</v>
      </c>
      <c r="AC17">
        <f t="shared" si="10"/>
        <v>7.8710128244185565E-2</v>
      </c>
      <c r="AD17">
        <f t="shared" si="11"/>
        <v>0.37481013449612177</v>
      </c>
      <c r="AE17" s="54">
        <f t="shared" si="12"/>
        <v>0.98414432457695988</v>
      </c>
      <c r="AF17" s="46">
        <f t="shared" si="13"/>
        <v>1.0399439916262744E-4</v>
      </c>
      <c r="AG17" s="62">
        <f t="shared" si="3"/>
        <v>1.4716870038944822E-4</v>
      </c>
      <c r="AH17">
        <f t="shared" si="14"/>
        <v>0</v>
      </c>
      <c r="AI17">
        <f t="shared" si="4"/>
        <v>2.2732125478766669E-3</v>
      </c>
      <c r="AJ17">
        <f t="shared" si="4"/>
        <v>2.1216650446848891E-2</v>
      </c>
      <c r="AK17">
        <f t="shared" si="4"/>
        <v>0.11138741484595667</v>
      </c>
      <c r="AL17">
        <f t="shared" si="4"/>
        <v>0.53041626117122231</v>
      </c>
      <c r="AM17" s="54">
        <f t="shared" si="4"/>
        <v>1.392721554332438</v>
      </c>
    </row>
    <row r="18" spans="1:39" x14ac:dyDescent="0.25">
      <c r="A18" s="7">
        <v>3.1</v>
      </c>
      <c r="B18" s="3">
        <v>64</v>
      </c>
      <c r="C18" s="3">
        <v>84.98</v>
      </c>
      <c r="D18" s="3">
        <v>20</v>
      </c>
      <c r="E18" s="26">
        <v>0.12653412852816501</v>
      </c>
      <c r="F18" s="26">
        <v>1.5222331559222001E-2</v>
      </c>
      <c r="G18" s="26">
        <v>4.5052689799184196E-3</v>
      </c>
      <c r="H18" s="30">
        <v>10</v>
      </c>
      <c r="I18" s="8">
        <v>38</v>
      </c>
      <c r="J18" s="8">
        <v>113</v>
      </c>
      <c r="K18" s="8">
        <v>312</v>
      </c>
      <c r="L18" s="8">
        <v>1212</v>
      </c>
      <c r="M18" s="8">
        <v>3306</v>
      </c>
      <c r="N18" s="20">
        <f t="shared" si="5"/>
        <v>0.5</v>
      </c>
      <c r="O18" s="10">
        <f t="shared" si="0"/>
        <v>1.9</v>
      </c>
      <c r="P18" s="10">
        <f t="shared" si="0"/>
        <v>5.65</v>
      </c>
      <c r="Q18" s="10">
        <f t="shared" si="0"/>
        <v>15.6</v>
      </c>
      <c r="R18" s="10">
        <f t="shared" si="0"/>
        <v>60.6</v>
      </c>
      <c r="S18" s="22">
        <f t="shared" si="0"/>
        <v>165.3</v>
      </c>
      <c r="T18" s="20">
        <f t="shared" si="6"/>
        <v>6.3267064264082504E-2</v>
      </c>
      <c r="U18" s="10">
        <f t="shared" si="1"/>
        <v>0.2404148442035135</v>
      </c>
      <c r="V18" s="10">
        <f t="shared" si="1"/>
        <v>0.71491782618413235</v>
      </c>
      <c r="W18" s="9">
        <f t="shared" si="1"/>
        <v>1.9739324050393741</v>
      </c>
      <c r="X18" s="9">
        <f t="shared" si="1"/>
        <v>7.6679681888067996</v>
      </c>
      <c r="Y18" s="22">
        <f t="shared" si="1"/>
        <v>20.916091445705678</v>
      </c>
      <c r="Z18" s="53">
        <f t="shared" si="7"/>
        <v>2.2526344899592098E-3</v>
      </c>
      <c r="AA18">
        <f t="shared" si="8"/>
        <v>8.5600110618449972E-3</v>
      </c>
      <c r="AB18">
        <f t="shared" si="9"/>
        <v>2.5454769736539071E-2</v>
      </c>
      <c r="AC18">
        <f t="shared" si="10"/>
        <v>7.0282196086727339E-2</v>
      </c>
      <c r="AD18">
        <f t="shared" si="11"/>
        <v>0.27301930018305626</v>
      </c>
      <c r="AE18" s="54">
        <f t="shared" si="12"/>
        <v>0.74472096238051477</v>
      </c>
      <c r="AF18" s="46">
        <f t="shared" si="13"/>
        <v>5.7007028415895211E-4</v>
      </c>
      <c r="AG18" s="62">
        <f t="shared" si="3"/>
        <v>1.9261444580129391E-3</v>
      </c>
      <c r="AH18">
        <f t="shared" si="14"/>
        <v>7.6111657796110004E-3</v>
      </c>
      <c r="AI18">
        <f t="shared" si="4"/>
        <v>2.8922429962521801E-2</v>
      </c>
      <c r="AJ18">
        <f t="shared" si="4"/>
        <v>8.6006173309604306E-2</v>
      </c>
      <c r="AK18">
        <f t="shared" si="4"/>
        <v>0.2374683723238632</v>
      </c>
      <c r="AL18">
        <f t="shared" si="4"/>
        <v>0.92247329248885324</v>
      </c>
      <c r="AM18" s="54">
        <f t="shared" si="4"/>
        <v>2.5162514067393968</v>
      </c>
    </row>
    <row r="19" spans="1:39" x14ac:dyDescent="0.25">
      <c r="A19" s="7">
        <v>4.2</v>
      </c>
      <c r="B19" s="3">
        <v>90</v>
      </c>
      <c r="C19" s="3">
        <v>127.22</v>
      </c>
      <c r="D19" s="3">
        <v>20</v>
      </c>
      <c r="E19" s="26">
        <v>4.1669974213015902E-2</v>
      </c>
      <c r="F19" s="26">
        <v>9.9725509064199202E-3</v>
      </c>
      <c r="G19" s="26">
        <v>6.2822795747625101E-3</v>
      </c>
      <c r="H19" s="30">
        <v>0</v>
      </c>
      <c r="I19" s="8">
        <v>15</v>
      </c>
      <c r="J19" s="8">
        <v>82</v>
      </c>
      <c r="K19" s="8">
        <v>353</v>
      </c>
      <c r="L19" s="8">
        <v>1394</v>
      </c>
      <c r="M19" s="8">
        <v>3355</v>
      </c>
      <c r="N19" s="20">
        <f t="shared" si="5"/>
        <v>0</v>
      </c>
      <c r="O19" s="10">
        <f t="shared" si="5"/>
        <v>0.75</v>
      </c>
      <c r="P19" s="10">
        <f t="shared" si="5"/>
        <v>4.0999999999999996</v>
      </c>
      <c r="Q19" s="10">
        <f t="shared" si="5"/>
        <v>17.649999999999999</v>
      </c>
      <c r="R19" s="10">
        <f t="shared" si="5"/>
        <v>69.7</v>
      </c>
      <c r="S19" s="22">
        <f t="shared" si="5"/>
        <v>167.75</v>
      </c>
      <c r="T19" s="20">
        <f t="shared" si="6"/>
        <v>0</v>
      </c>
      <c r="U19" s="10">
        <f t="shared" si="6"/>
        <v>3.1252480659761925E-2</v>
      </c>
      <c r="V19" s="10">
        <f t="shared" si="6"/>
        <v>0.17084689427336519</v>
      </c>
      <c r="W19" s="9">
        <f t="shared" si="6"/>
        <v>0.73547504485973059</v>
      </c>
      <c r="X19" s="9">
        <f t="shared" si="6"/>
        <v>2.9043972026472087</v>
      </c>
      <c r="Y19" s="22">
        <f t="shared" si="6"/>
        <v>6.9901381742334179</v>
      </c>
      <c r="Z19" s="53">
        <f t="shared" si="7"/>
        <v>0</v>
      </c>
      <c r="AA19">
        <f t="shared" si="8"/>
        <v>4.7117096810718826E-3</v>
      </c>
      <c r="AB19">
        <f t="shared" si="9"/>
        <v>2.575734625652629E-2</v>
      </c>
      <c r="AC19">
        <f t="shared" si="10"/>
        <v>0.11088223449455829</v>
      </c>
      <c r="AD19">
        <f t="shared" si="11"/>
        <v>0.43787488636094696</v>
      </c>
      <c r="AE19" s="54">
        <f t="shared" si="12"/>
        <v>1.053852398666411</v>
      </c>
      <c r="AF19" s="46">
        <f t="shared" si="13"/>
        <v>2.6178242787931028E-4</v>
      </c>
      <c r="AG19" s="62">
        <f t="shared" si="3"/>
        <v>4.1555593910850641E-4</v>
      </c>
      <c r="AH19">
        <f t="shared" si="14"/>
        <v>0</v>
      </c>
      <c r="AI19">
        <f t="shared" ref="AI19:AI22" si="15">O19*$F19</f>
        <v>7.4794131798149397E-3</v>
      </c>
      <c r="AJ19">
        <f t="shared" ref="AJ19:AJ23" si="16">P19*$F19</f>
        <v>4.088745871632167E-2</v>
      </c>
      <c r="AK19">
        <f t="shared" ref="AK19:AK23" si="17">Q19*$F19</f>
        <v>0.17601552349831157</v>
      </c>
      <c r="AL19">
        <f t="shared" ref="AL19:AL23" si="18">R19*$F19</f>
        <v>0.69508679817746843</v>
      </c>
      <c r="AM19" s="54">
        <f t="shared" ref="AM19:AM23" si="19">S19*$F19</f>
        <v>1.6728954145519417</v>
      </c>
    </row>
    <row r="20" spans="1:39" x14ac:dyDescent="0.25">
      <c r="A20" s="7">
        <v>4.3</v>
      </c>
      <c r="B20" s="3">
        <v>90</v>
      </c>
      <c r="C20" s="3">
        <v>91.54</v>
      </c>
      <c r="D20" s="3">
        <v>20</v>
      </c>
      <c r="E20" s="26">
        <v>6.5041528765672305E-2</v>
      </c>
      <c r="F20" s="26">
        <v>1.5521667521925899E-2</v>
      </c>
      <c r="G20" s="26">
        <v>9.3037999635866304E-3</v>
      </c>
      <c r="H20" s="30">
        <v>6</v>
      </c>
      <c r="I20" s="8">
        <v>32</v>
      </c>
      <c r="J20" s="8">
        <v>142</v>
      </c>
      <c r="K20" s="8">
        <v>419</v>
      </c>
      <c r="L20" s="8">
        <v>1531</v>
      </c>
      <c r="M20" s="8">
        <v>3286</v>
      </c>
      <c r="N20" s="20">
        <f t="shared" si="5"/>
        <v>0.3</v>
      </c>
      <c r="O20" s="10">
        <f t="shared" si="5"/>
        <v>1.6</v>
      </c>
      <c r="P20" s="10">
        <f t="shared" si="5"/>
        <v>7.1</v>
      </c>
      <c r="Q20" s="10">
        <f t="shared" si="5"/>
        <v>20.95</v>
      </c>
      <c r="R20" s="10">
        <f t="shared" si="5"/>
        <v>76.55</v>
      </c>
      <c r="S20" s="22">
        <f t="shared" si="5"/>
        <v>164.3</v>
      </c>
      <c r="T20" s="20">
        <f>N20*$E20</f>
        <v>1.951245862970169E-2</v>
      </c>
      <c r="U20" s="10">
        <f t="shared" si="6"/>
        <v>0.1040664460250757</v>
      </c>
      <c r="V20" s="10">
        <f t="shared" si="6"/>
        <v>0.46179485423627337</v>
      </c>
      <c r="W20" s="9">
        <f t="shared" si="6"/>
        <v>1.3626200276408347</v>
      </c>
      <c r="X20" s="9">
        <f t="shared" si="6"/>
        <v>4.9789290270122146</v>
      </c>
      <c r="Y20" s="22">
        <f t="shared" si="6"/>
        <v>10.686323176199961</v>
      </c>
      <c r="Z20" s="53">
        <f t="shared" si="7"/>
        <v>2.7911399890759889E-3</v>
      </c>
      <c r="AA20">
        <f t="shared" si="8"/>
        <v>1.4886079941738609E-2</v>
      </c>
      <c r="AB20">
        <f t="shared" si="9"/>
        <v>6.6056979741465072E-2</v>
      </c>
      <c r="AC20">
        <f t="shared" si="10"/>
        <v>0.19491460923713991</v>
      </c>
      <c r="AD20">
        <f t="shared" si="11"/>
        <v>0.71220588721255651</v>
      </c>
      <c r="AE20" s="54">
        <f t="shared" si="12"/>
        <v>1.5286143340172835</v>
      </c>
      <c r="AF20" s="46">
        <f t="shared" si="13"/>
        <v>6.0513337296168074E-4</v>
      </c>
      <c r="AG20" s="62">
        <f t="shared" si="3"/>
        <v>1.009552984618545E-3</v>
      </c>
      <c r="AH20">
        <f t="shared" si="14"/>
        <v>4.6565002565777695E-3</v>
      </c>
      <c r="AI20">
        <f t="shared" si="15"/>
        <v>2.4834668035081442E-2</v>
      </c>
      <c r="AJ20">
        <f t="shared" si="16"/>
        <v>0.11020383940567388</v>
      </c>
      <c r="AK20">
        <f t="shared" si="17"/>
        <v>0.3251789345843476</v>
      </c>
      <c r="AL20">
        <f t="shared" si="18"/>
        <v>1.1881836488034276</v>
      </c>
      <c r="AM20" s="54">
        <f t="shared" si="19"/>
        <v>2.5502099738524255</v>
      </c>
    </row>
    <row r="21" spans="1:39" x14ac:dyDescent="0.25">
      <c r="A21" s="35" t="s">
        <v>24</v>
      </c>
      <c r="B21" s="14">
        <v>90</v>
      </c>
      <c r="C21" s="14">
        <v>108.42</v>
      </c>
      <c r="D21" s="25">
        <v>149.999977324263</v>
      </c>
      <c r="E21" s="15">
        <v>9.5590751489404505E-2</v>
      </c>
      <c r="F21" s="15">
        <v>4.1750172724988703E-3</v>
      </c>
      <c r="G21" s="15">
        <v>3.0008966016067001E-3</v>
      </c>
      <c r="H21" s="30">
        <v>4</v>
      </c>
      <c r="I21" s="8">
        <v>7</v>
      </c>
      <c r="J21" s="8">
        <v>43</v>
      </c>
      <c r="K21" s="8">
        <v>325</v>
      </c>
      <c r="L21" s="8">
        <v>4737</v>
      </c>
      <c r="M21" s="8">
        <v>21140</v>
      </c>
      <c r="N21" s="20">
        <f t="shared" si="5"/>
        <v>2.6666670697909411E-2</v>
      </c>
      <c r="O21" s="10">
        <f t="shared" si="5"/>
        <v>4.6666673721341465E-2</v>
      </c>
      <c r="P21" s="10">
        <f t="shared" si="5"/>
        <v>0.28666671000252614</v>
      </c>
      <c r="Q21" s="10">
        <f t="shared" si="5"/>
        <v>2.1666669942051393</v>
      </c>
      <c r="R21" s="10">
        <f t="shared" si="5"/>
        <v>31.580004773999217</v>
      </c>
      <c r="S21" s="22">
        <f t="shared" si="5"/>
        <v>140.93335463845122</v>
      </c>
      <c r="T21" s="20"/>
      <c r="U21" s="10"/>
      <c r="V21" s="10">
        <f t="shared" si="6"/>
        <v>2.7402686236136665E-2</v>
      </c>
      <c r="W21" s="9">
        <f t="shared" si="6"/>
        <v>0.20711332620335851</v>
      </c>
      <c r="X21" s="9">
        <f t="shared" si="6"/>
        <v>3.018756388385567</v>
      </c>
      <c r="Y21" s="22">
        <f t="shared" si="6"/>
        <v>13.471925279812304</v>
      </c>
      <c r="Z21" s="53">
        <f t="shared" si="7"/>
        <v>8.0023921473521323E-5</v>
      </c>
      <c r="AA21">
        <f t="shared" si="8"/>
        <v>1.4004186257866229E-4</v>
      </c>
      <c r="AB21">
        <f t="shared" si="9"/>
        <v>8.6025715584035409E-4</v>
      </c>
      <c r="AC21">
        <f t="shared" si="10"/>
        <v>6.5019436197236062E-3</v>
      </c>
      <c r="AD21">
        <f t="shared" si="11"/>
        <v>9.476832900501761E-2</v>
      </c>
      <c r="AE21" s="54">
        <f t="shared" si="12"/>
        <v>0.42292642498756011</v>
      </c>
      <c r="AF21" s="46">
        <f t="shared" si="13"/>
        <v>2.8685796128958456E-4</v>
      </c>
      <c r="AG21" s="62">
        <f t="shared" si="3"/>
        <v>3.9909303855941092E-4</v>
      </c>
      <c r="AH21">
        <f t="shared" si="14"/>
        <v>1.113338107638113E-4</v>
      </c>
      <c r="AI21">
        <f t="shared" si="15"/>
        <v>1.9483416883666975E-4</v>
      </c>
      <c r="AJ21">
        <f t="shared" si="16"/>
        <v>1.1968384657109713E-3</v>
      </c>
      <c r="AK21">
        <f t="shared" si="17"/>
        <v>9.0458721245596663E-3</v>
      </c>
      <c r="AL21">
        <f t="shared" si="18"/>
        <v>0.13184706539704352</v>
      </c>
      <c r="AM21" s="54">
        <f t="shared" si="19"/>
        <v>0.58839918988674267</v>
      </c>
    </row>
    <row r="22" spans="1:39" x14ac:dyDescent="0.25">
      <c r="A22" s="28" t="s">
        <v>42</v>
      </c>
      <c r="B22" s="11">
        <v>128</v>
      </c>
      <c r="C22" s="11">
        <v>128</v>
      </c>
      <c r="D22" s="23">
        <v>60</v>
      </c>
      <c r="E22" s="24">
        <v>6.3874222410114402E-3</v>
      </c>
      <c r="F22" s="24">
        <v>4.0872753866210698E-3</v>
      </c>
      <c r="G22" s="24">
        <v>4.1324979636846596E-3</v>
      </c>
      <c r="H22" s="30">
        <v>0</v>
      </c>
      <c r="I22" s="8">
        <v>0</v>
      </c>
      <c r="J22" s="8">
        <v>0</v>
      </c>
      <c r="K22" s="8">
        <v>32.479999999999997</v>
      </c>
      <c r="L22" s="8">
        <v>580</v>
      </c>
      <c r="M22" s="8">
        <v>8760.32</v>
      </c>
      <c r="N22" s="20">
        <f t="shared" si="5"/>
        <v>0</v>
      </c>
      <c r="O22" s="10">
        <f t="shared" si="5"/>
        <v>0</v>
      </c>
      <c r="P22" s="10">
        <f t="shared" si="5"/>
        <v>0</v>
      </c>
      <c r="Q22" s="10">
        <f t="shared" si="5"/>
        <v>0.54133333333333333</v>
      </c>
      <c r="R22" s="10">
        <f t="shared" si="5"/>
        <v>9.6666666666666661</v>
      </c>
      <c r="S22" s="22">
        <f t="shared" si="5"/>
        <v>146.00533333333334</v>
      </c>
      <c r="T22" s="20"/>
      <c r="U22" s="10"/>
      <c r="V22" s="10"/>
      <c r="W22" s="9">
        <f>Q22*$E22</f>
        <v>3.457724573134193E-3</v>
      </c>
      <c r="X22" s="9">
        <f t="shared" si="6"/>
        <v>6.1745081663110588E-2</v>
      </c>
      <c r="Y22" s="22">
        <f t="shared" si="6"/>
        <v>0.93259771343962239</v>
      </c>
      <c r="Z22" s="53">
        <f t="shared" si="7"/>
        <v>0</v>
      </c>
      <c r="AA22">
        <f t="shared" si="8"/>
        <v>0</v>
      </c>
      <c r="AB22">
        <f t="shared" si="9"/>
        <v>0</v>
      </c>
      <c r="AC22">
        <f>Q22*$G22</f>
        <v>2.2370588976746292E-3</v>
      </c>
      <c r="AD22">
        <f>R22*$G22</f>
        <v>3.9947480315618372E-2</v>
      </c>
      <c r="AE22" s="54">
        <f t="shared" si="12"/>
        <v>0.6033667426871</v>
      </c>
      <c r="AF22" s="46">
        <f t="shared" si="13"/>
        <v>2.6396009404173881E-5</v>
      </c>
      <c r="AG22" s="62">
        <f t="shared" si="3"/>
        <v>2.6107153709642053E-5</v>
      </c>
      <c r="AH22">
        <f t="shared" si="14"/>
        <v>0</v>
      </c>
      <c r="AI22">
        <f t="shared" si="15"/>
        <v>0</v>
      </c>
      <c r="AJ22">
        <f t="shared" si="16"/>
        <v>0</v>
      </c>
      <c r="AK22">
        <f t="shared" si="17"/>
        <v>2.2125784092908727E-3</v>
      </c>
      <c r="AL22">
        <f t="shared" si="18"/>
        <v>3.9510328737337008E-2</v>
      </c>
      <c r="AM22" s="54">
        <f t="shared" si="19"/>
        <v>0.59676400524873818</v>
      </c>
    </row>
    <row r="23" spans="1:39" x14ac:dyDescent="0.25">
      <c r="A23" s="36" t="s">
        <v>43</v>
      </c>
      <c r="B23" s="37">
        <v>64</v>
      </c>
      <c r="C23" s="37">
        <v>64</v>
      </c>
      <c r="D23" s="38">
        <v>60</v>
      </c>
      <c r="E23" s="39">
        <v>2.3944348715607398E-3</v>
      </c>
      <c r="F23" s="39">
        <v>1.5049965491053801E-3</v>
      </c>
      <c r="G23" s="39">
        <v>1.48965533935772E-3</v>
      </c>
      <c r="H23" s="40">
        <v>0</v>
      </c>
      <c r="I23" s="41">
        <v>0</v>
      </c>
      <c r="J23" s="41">
        <v>0</v>
      </c>
      <c r="K23" s="41">
        <v>0</v>
      </c>
      <c r="L23" s="41">
        <v>23.2</v>
      </c>
      <c r="M23" s="41">
        <v>969.75999999999897</v>
      </c>
      <c r="N23" s="20">
        <f t="shared" si="5"/>
        <v>0</v>
      </c>
      <c r="O23" s="10">
        <f t="shared" si="5"/>
        <v>0</v>
      </c>
      <c r="P23" s="10">
        <f t="shared" si="5"/>
        <v>0</v>
      </c>
      <c r="Q23" s="10">
        <f t="shared" si="5"/>
        <v>0</v>
      </c>
      <c r="R23" s="10">
        <f t="shared" si="5"/>
        <v>0.38666666666666666</v>
      </c>
      <c r="S23" s="22">
        <f t="shared" si="5"/>
        <v>16.162666666666649</v>
      </c>
      <c r="T23" s="20"/>
      <c r="U23" s="10"/>
      <c r="V23" s="10"/>
      <c r="W23" s="9"/>
      <c r="X23" s="9">
        <f t="shared" si="6"/>
        <v>9.2584815033681933E-4</v>
      </c>
      <c r="Y23" s="22">
        <f t="shared" si="6"/>
        <v>3.8700452684079005E-2</v>
      </c>
      <c r="Z23" s="53">
        <f t="shared" si="7"/>
        <v>0</v>
      </c>
      <c r="AA23">
        <f t="shared" si="8"/>
        <v>0</v>
      </c>
      <c r="AB23">
        <f t="shared" si="9"/>
        <v>0</v>
      </c>
      <c r="AC23">
        <f t="shared" si="10"/>
        <v>0</v>
      </c>
      <c r="AD23">
        <f t="shared" si="11"/>
        <v>5.7600006455165169E-4</v>
      </c>
      <c r="AE23" s="54">
        <f t="shared" si="12"/>
        <v>2.4076802698259014E-2</v>
      </c>
      <c r="AF23" s="46">
        <f t="shared" si="13"/>
        <v>3.5668826911647726E-6</v>
      </c>
      <c r="AG23" s="62">
        <f t="shared" si="3"/>
        <v>3.6036162187564973E-6</v>
      </c>
      <c r="AH23">
        <f t="shared" si="14"/>
        <v>0</v>
      </c>
      <c r="AI23">
        <f>O23*$F23</f>
        <v>0</v>
      </c>
      <c r="AJ23">
        <f t="shared" si="16"/>
        <v>0</v>
      </c>
      <c r="AK23">
        <f t="shared" si="17"/>
        <v>0</v>
      </c>
      <c r="AL23">
        <f t="shared" si="18"/>
        <v>5.8193199898741357E-4</v>
      </c>
      <c r="AM23" s="54">
        <f t="shared" si="19"/>
        <v>2.4324757557673864E-2</v>
      </c>
    </row>
    <row r="24" spans="1:39" x14ac:dyDescent="0.25">
      <c r="A24" s="1" t="s">
        <v>44</v>
      </c>
      <c r="D24" s="1">
        <v>60</v>
      </c>
      <c r="E24" s="24">
        <v>3.4734349552416499E-2</v>
      </c>
      <c r="F24" s="24">
        <v>1.59772775618169E-2</v>
      </c>
      <c r="G24" s="24">
        <v>1.5617522696591399E-2</v>
      </c>
      <c r="H24" s="30">
        <v>0</v>
      </c>
      <c r="I24" s="8">
        <v>0</v>
      </c>
      <c r="J24" s="8">
        <v>69.12</v>
      </c>
      <c r="K24" s="8">
        <v>1622.3999999999901</v>
      </c>
      <c r="L24" s="8">
        <v>12195.84</v>
      </c>
      <c r="M24" s="8">
        <v>18165.12</v>
      </c>
      <c r="N24" s="10">
        <f>H24/$D24</f>
        <v>0</v>
      </c>
      <c r="O24" s="10">
        <f t="shared" si="5"/>
        <v>0</v>
      </c>
      <c r="P24" s="10">
        <f t="shared" si="5"/>
        <v>1.1520000000000001</v>
      </c>
      <c r="Q24" s="10">
        <f t="shared" si="5"/>
        <v>27.039999999999836</v>
      </c>
      <c r="R24" s="10">
        <f t="shared" si="5"/>
        <v>203.26400000000001</v>
      </c>
      <c r="S24" s="10">
        <f>M24/$D24</f>
        <v>302.75200000000001</v>
      </c>
      <c r="T24" s="10">
        <f t="shared" ref="T24:Y25" si="20">N24*$E24</f>
        <v>0</v>
      </c>
      <c r="U24" s="10">
        <f t="shared" si="20"/>
        <v>0</v>
      </c>
      <c r="V24" s="10">
        <f t="shared" si="20"/>
        <v>4.0013970684383809E-2</v>
      </c>
      <c r="W24" s="9">
        <f t="shared" si="20"/>
        <v>0.93921681189733641</v>
      </c>
      <c r="X24" s="9">
        <f t="shared" si="20"/>
        <v>7.0602428274223881</v>
      </c>
      <c r="Y24" s="10">
        <f t="shared" si="20"/>
        <v>10.5158937956932</v>
      </c>
      <c r="Z24">
        <f t="shared" ref="Z24" si="21">N24*$G24</f>
        <v>0</v>
      </c>
      <c r="AA24">
        <f t="shared" ref="AA24" si="22">O24*$G24</f>
        <v>0</v>
      </c>
      <c r="AB24">
        <f t="shared" ref="AB24" si="23">P24*$G24</f>
        <v>1.7991386146473293E-2</v>
      </c>
      <c r="AC24">
        <f t="shared" ref="AC24" si="24">Q24*$G24</f>
        <v>0.42229781371582886</v>
      </c>
      <c r="AD24">
        <f t="shared" ref="AD24" si="25">R24*$G24</f>
        <v>3.1744801333999542</v>
      </c>
      <c r="AE24">
        <f>S24*$G24</f>
        <v>4.7282362314384399</v>
      </c>
      <c r="AF24" s="58">
        <f t="shared" si="13"/>
        <v>5.4246449248620393E-4</v>
      </c>
      <c r="AG24" s="58">
        <f>E24*F24</f>
        <v>5.5496034372812903E-4</v>
      </c>
      <c r="AH24">
        <f t="shared" ref="AH24:AM25" si="26">T24*$F24</f>
        <v>0</v>
      </c>
      <c r="AI24">
        <f t="shared" si="26"/>
        <v>0</v>
      </c>
      <c r="AJ24">
        <f t="shared" si="26"/>
        <v>6.3931431597480468E-4</v>
      </c>
      <c r="AK24">
        <f t="shared" si="26"/>
        <v>1.5006127694408518E-2</v>
      </c>
      <c r="AL24">
        <f t="shared" si="26"/>
        <v>0.11280345930755444</v>
      </c>
      <c r="AM24" s="54">
        <f t="shared" si="26"/>
        <v>0.16801535398437853</v>
      </c>
    </row>
    <row r="25" spans="1:39" x14ac:dyDescent="0.25">
      <c r="A25" s="1" t="s">
        <v>72</v>
      </c>
      <c r="D25" s="1">
        <v>60</v>
      </c>
      <c r="E25" s="91">
        <v>2.3944348715607398E-3</v>
      </c>
      <c r="F25" s="91">
        <v>1.5049965491053801E-3</v>
      </c>
      <c r="G25" s="91">
        <v>1.48965533935772E-3</v>
      </c>
      <c r="H25" s="17">
        <v>0</v>
      </c>
      <c r="I25" s="17">
        <v>0</v>
      </c>
      <c r="J25" s="17">
        <v>0</v>
      </c>
      <c r="K25" s="17">
        <v>0</v>
      </c>
      <c r="L25" s="17">
        <v>23.2</v>
      </c>
      <c r="M25" s="17">
        <v>969.75999999999897</v>
      </c>
      <c r="N25" s="18">
        <f>H25/$D25</f>
        <v>0</v>
      </c>
      <c r="O25" s="18">
        <f t="shared" ref="O25" si="27">I25/$D25</f>
        <v>0</v>
      </c>
      <c r="P25" s="18">
        <f t="shared" ref="P25" si="28">J25/$D25</f>
        <v>0</v>
      </c>
      <c r="Q25" s="18">
        <f t="shared" ref="Q25" si="29">K25/$D25</f>
        <v>0</v>
      </c>
      <c r="R25" s="18">
        <f t="shared" ref="R25" si="30">L25/$D25</f>
        <v>0.38666666666666666</v>
      </c>
      <c r="S25" s="18">
        <f>M25/$D25</f>
        <v>16.162666666666649</v>
      </c>
      <c r="T25" s="18">
        <f>N25*$E25</f>
        <v>0</v>
      </c>
      <c r="U25" s="18">
        <f>O25*$E25</f>
        <v>0</v>
      </c>
      <c r="V25" s="18">
        <f>P25*$E25</f>
        <v>0</v>
      </c>
      <c r="W25" s="92"/>
      <c r="X25" s="92">
        <f>R25*$E25</f>
        <v>9.2584815033681933E-4</v>
      </c>
      <c r="Y25" s="18">
        <f>S25*$E25</f>
        <v>3.8700452684079005E-2</v>
      </c>
      <c r="Z25" s="93">
        <f t="shared" ref="Z25" si="31">N25*$G25</f>
        <v>0</v>
      </c>
      <c r="AA25" s="93">
        <f t="shared" ref="AA25" si="32">O25*$G25</f>
        <v>0</v>
      </c>
      <c r="AB25" s="93">
        <f t="shared" ref="AB25" si="33">P25*$G25</f>
        <v>0</v>
      </c>
      <c r="AC25" s="93">
        <f t="shared" ref="AC25" si="34">Q25*$G25</f>
        <v>0</v>
      </c>
      <c r="AD25" s="93">
        <f t="shared" ref="AD25" si="35">R25*$G25</f>
        <v>5.7600006455165169E-4</v>
      </c>
      <c r="AE25" s="93">
        <f>S25*$G25</f>
        <v>2.4076802698259014E-2</v>
      </c>
      <c r="AF25" s="94">
        <f t="shared" ref="AF25" si="36">E25*G25</f>
        <v>3.5668826911647726E-6</v>
      </c>
      <c r="AG25" s="94">
        <f>E25*F25</f>
        <v>3.6036162187564973E-6</v>
      </c>
      <c r="AH25" s="93">
        <f>T25*$F25</f>
        <v>0</v>
      </c>
      <c r="AI25" s="93">
        <f>U25*$F25</f>
        <v>0</v>
      </c>
      <c r="AJ25" s="93">
        <f>V25*$F25</f>
        <v>0</v>
      </c>
      <c r="AK25" s="93">
        <f>W25*$F25</f>
        <v>0</v>
      </c>
      <c r="AL25" s="93">
        <f>X25*$F25</f>
        <v>1.3933982712525122E-6</v>
      </c>
      <c r="AM25" s="95">
        <f>Y25*$F25</f>
        <v>5.8244047738354949E-5</v>
      </c>
    </row>
    <row r="26" spans="1:39" x14ac:dyDescent="0.25">
      <c r="A26" s="1" t="s">
        <v>100</v>
      </c>
      <c r="D26" s="1">
        <v>60</v>
      </c>
      <c r="E26" s="4">
        <v>1.8111308452651399E-2</v>
      </c>
      <c r="F26" s="4">
        <v>4.2458617585666601E-3</v>
      </c>
      <c r="G26" s="4">
        <v>4.0014597242638899E-3</v>
      </c>
      <c r="H26" s="1">
        <v>1</v>
      </c>
      <c r="I26" s="1">
        <v>5</v>
      </c>
      <c r="J26" s="1">
        <v>18</v>
      </c>
      <c r="K26" s="1">
        <v>48</v>
      </c>
      <c r="L26" s="1">
        <v>9829</v>
      </c>
      <c r="M26" s="1">
        <v>37450</v>
      </c>
      <c r="N26" s="10">
        <f>H26/$D26</f>
        <v>1.6666666666666666E-2</v>
      </c>
      <c r="O26" s="10">
        <f t="shared" ref="O26" si="37">I26/$D26</f>
        <v>8.3333333333333329E-2</v>
      </c>
      <c r="P26" s="10">
        <f t="shared" ref="P26" si="38">J26/$D26</f>
        <v>0.3</v>
      </c>
      <c r="Q26" s="10">
        <f t="shared" ref="Q26" si="39">K26/$D26</f>
        <v>0.8</v>
      </c>
      <c r="R26" s="10">
        <f t="shared" ref="R26" si="40">L26/$D26</f>
        <v>163.81666666666666</v>
      </c>
      <c r="S26" s="10">
        <f>M26/$D26</f>
        <v>624.16666666666663</v>
      </c>
      <c r="T26" s="10">
        <f>N26*$E26</f>
        <v>3.0185514087752331E-4</v>
      </c>
      <c r="U26" s="10">
        <f>O26*$E26</f>
        <v>1.5092757043876164E-3</v>
      </c>
      <c r="V26" s="10">
        <f>P26*$E26</f>
        <v>5.4333925357954197E-3</v>
      </c>
      <c r="W26" s="9"/>
      <c r="X26" s="9">
        <f>R26*$E26</f>
        <v>2.9669341796851767</v>
      </c>
      <c r="Y26" s="10">
        <f>S26*$E26</f>
        <v>11.304475025863248</v>
      </c>
      <c r="Z26">
        <f t="shared" ref="Z26" si="41">N26*$G26</f>
        <v>6.6690995404398163E-5</v>
      </c>
      <c r="AA26">
        <f t="shared" ref="AA26" si="42">O26*$G26</f>
        <v>3.3345497702199083E-4</v>
      </c>
      <c r="AB26">
        <f t="shared" ref="AB26" si="43">P26*$G26</f>
        <v>1.2004379172791668E-3</v>
      </c>
      <c r="AC26">
        <f t="shared" ref="AC26" si="44">Q26*$G26</f>
        <v>3.201167779411112E-3</v>
      </c>
      <c r="AD26">
        <f t="shared" ref="AD26" si="45">R26*$G26</f>
        <v>0.65550579382982954</v>
      </c>
      <c r="AE26">
        <f>S26*$G26</f>
        <v>2.497577777894711</v>
      </c>
      <c r="AF26" s="58">
        <f t="shared" ref="AF26" si="46">E26*G26</f>
        <v>7.247167132700472E-5</v>
      </c>
      <c r="AG26" s="58">
        <f>E26*F26</f>
        <v>7.6898111956717681E-5</v>
      </c>
      <c r="AH26">
        <f>T26*$F26</f>
        <v>1.2816351992786281E-6</v>
      </c>
      <c r="AI26">
        <f>U26*$F26</f>
        <v>6.4081759963931398E-6</v>
      </c>
      <c r="AJ26">
        <f>V26*$F26</f>
        <v>2.3069433587015306E-5</v>
      </c>
      <c r="AK26">
        <f>W26*$F26</f>
        <v>0</v>
      </c>
      <c r="AL26">
        <f>X26*$F26</f>
        <v>1.2597192373709636E-2</v>
      </c>
      <c r="AM26" s="54">
        <f>Y26*$F26</f>
        <v>4.7997238212984621E-2</v>
      </c>
    </row>
    <row r="27" spans="1:39" x14ac:dyDescent="0.25">
      <c r="D27" s="72" t="s">
        <v>64</v>
      </c>
      <c r="E27" s="72"/>
      <c r="F27" s="72"/>
      <c r="G27" s="72" t="s">
        <v>65</v>
      </c>
      <c r="H27" s="72"/>
      <c r="I27" s="72"/>
      <c r="J27" s="72" t="s">
        <v>66</v>
      </c>
      <c r="K27" s="72"/>
      <c r="L27" s="72"/>
    </row>
    <row r="28" spans="1:39" x14ac:dyDescent="0.25">
      <c r="A28" s="31" t="s">
        <v>0</v>
      </c>
      <c r="B28" s="50" t="s">
        <v>46</v>
      </c>
      <c r="C28" s="1" t="s">
        <v>26</v>
      </c>
      <c r="D28" s="1" t="s">
        <v>41</v>
      </c>
      <c r="E28" s="1" t="s">
        <v>40</v>
      </c>
      <c r="F28" s="1" t="s">
        <v>39</v>
      </c>
      <c r="G28" s="1" t="s">
        <v>41</v>
      </c>
      <c r="H28" s="1" t="s">
        <v>40</v>
      </c>
      <c r="I28" s="1" t="s">
        <v>39</v>
      </c>
      <c r="J28" s="1" t="s">
        <v>41</v>
      </c>
      <c r="K28" s="1" t="s">
        <v>40</v>
      </c>
      <c r="L28" s="1" t="s">
        <v>39</v>
      </c>
      <c r="M28" s="1" t="s">
        <v>68</v>
      </c>
      <c r="N28" s="1" t="s">
        <v>67</v>
      </c>
    </row>
    <row r="29" spans="1:39" x14ac:dyDescent="0.25">
      <c r="A29" s="34">
        <v>8</v>
      </c>
      <c r="B29" s="66">
        <v>128</v>
      </c>
      <c r="C29" s="10">
        <f>427.15*E3^0.6026</f>
        <v>142.60831146005137</v>
      </c>
      <c r="D29" s="9">
        <f>74.161*W3^0.3464</f>
        <v>116.95068108498626</v>
      </c>
      <c r="E29" s="9">
        <f>37.88*X3^0.5273</f>
        <v>115.20235701400605</v>
      </c>
      <c r="F29" s="9">
        <f>16.986*Y3^0.6867</f>
        <v>151.38755107192091</v>
      </c>
      <c r="G29" s="10">
        <f>108.36*AC3^0.294</f>
        <v>65.384578047646713</v>
      </c>
      <c r="H29" s="10">
        <f>69.293*AD3^0.3185</f>
        <v>51.628818352445393</v>
      </c>
      <c r="I29" s="10">
        <f>50.026*AE3^0.3351</f>
        <v>52.643434084458356</v>
      </c>
      <c r="J29" s="10">
        <f>102.1*AK3^0.3275</f>
        <v>92.842677817177901</v>
      </c>
      <c r="K29" s="10">
        <f>63.901*AL3^0.4721</f>
        <v>81.072571300785981</v>
      </c>
      <c r="L29" s="10">
        <f>34.771*AM3^0.6713</f>
        <v>100.44423476914439</v>
      </c>
      <c r="M29" s="10">
        <f>1005.7*AG3^0.3646</f>
        <v>148.51264954109695</v>
      </c>
      <c r="N29" s="10">
        <f>1653.8*AF3^0.4053</f>
        <v>110.58117716759436</v>
      </c>
    </row>
    <row r="30" spans="1:39" x14ac:dyDescent="0.25">
      <c r="A30" s="34">
        <v>168</v>
      </c>
      <c r="B30" s="66">
        <v>128</v>
      </c>
      <c r="C30" s="10">
        <f>427.15*E4^0.6026</f>
        <v>99.702281630840119</v>
      </c>
      <c r="D30" s="9">
        <f>74.161*W4^0.3464</f>
        <v>98.667109532910658</v>
      </c>
      <c r="E30" s="9">
        <f>37.88*X4^0.5273</f>
        <v>82.464193841089326</v>
      </c>
      <c r="F30" s="9">
        <f>16.986*Y4^0.6867</f>
        <v>94.005035092273431</v>
      </c>
      <c r="G30" s="10">
        <f>108.36*AC4^0.294</f>
        <v>71.795875306103753</v>
      </c>
      <c r="H30" s="10">
        <f>69.293*AD4^0.3185</f>
        <v>54.586371705837585</v>
      </c>
      <c r="I30" s="10">
        <f>50.026*AE4^0.3351</f>
        <v>54.712432439892552</v>
      </c>
      <c r="J30" s="10">
        <f>102.1*AK4^0.3275</f>
        <v>83.292592946891432</v>
      </c>
      <c r="K30" s="10">
        <f>63.901*AL4^0.4721</f>
        <v>64.795355664056643</v>
      </c>
      <c r="L30" s="10">
        <f>34.771*AM4^0.6713</f>
        <v>70.157847245573649</v>
      </c>
      <c r="M30" s="10">
        <f>1005.7*AG4^0.3646</f>
        <v>102.06933912439833</v>
      </c>
      <c r="N30" s="10">
        <f>1653.8*AF4^0.4053</f>
        <v>94.836512436415049</v>
      </c>
    </row>
    <row r="31" spans="1:39" x14ac:dyDescent="0.25">
      <c r="A31" s="34">
        <v>22</v>
      </c>
      <c r="B31" s="66">
        <v>90</v>
      </c>
      <c r="C31" s="10">
        <f>427.15*E5^0.6026</f>
        <v>80.494299517891292</v>
      </c>
      <c r="D31" s="9">
        <f>74.161*W5^0.3464</f>
        <v>81.839656470222096</v>
      </c>
      <c r="E31" s="9">
        <f>37.88*X5^0.5273</f>
        <v>80.096224013454005</v>
      </c>
      <c r="F31" s="9">
        <f>16.986*Y5^0.6867</f>
        <v>82.058911589663026</v>
      </c>
      <c r="G31" s="10">
        <f>108.36*AC5^0.294</f>
        <v>57.107285520757799</v>
      </c>
      <c r="H31" s="10">
        <f>69.293*AD5^0.3185</f>
        <v>49.706959685477116</v>
      </c>
      <c r="I31" s="10">
        <f>50.026*AE5^0.3351</f>
        <v>47.264726179696602</v>
      </c>
      <c r="J31" s="10">
        <f>102.1*AK5^0.3275</f>
        <v>74.954810960620108</v>
      </c>
      <c r="K31" s="10">
        <f>63.901*AL5^0.4721</f>
        <v>69.961722164412535</v>
      </c>
      <c r="L31" s="10">
        <f>34.771*AM5^0.6713</f>
        <v>71.098076504051448</v>
      </c>
      <c r="M31" s="10">
        <f>1005.7*AG5^0.3646</f>
        <v>85.292131472281028</v>
      </c>
      <c r="N31" s="10">
        <f>1653.8*AF5^0.4053</f>
        <v>64.555212382437986</v>
      </c>
    </row>
    <row r="32" spans="1:39" x14ac:dyDescent="0.25">
      <c r="A32" s="34">
        <v>152</v>
      </c>
      <c r="B32" s="66">
        <v>90</v>
      </c>
      <c r="C32" s="10">
        <f>427.15*E6^0.6026</f>
        <v>108.52826698393112</v>
      </c>
      <c r="D32" s="9">
        <f>74.161*W6^0.3464</f>
        <v>100.40951956926615</v>
      </c>
      <c r="E32" s="9">
        <f>37.88*X6^0.5273</f>
        <v>107.31183736382886</v>
      </c>
      <c r="F32" s="9">
        <f>16.986*Y6^0.6867</f>
        <v>118.23889856838431</v>
      </c>
      <c r="G32" s="10">
        <f>108.36*AC6^0.294</f>
        <v>67.228863069123221</v>
      </c>
      <c r="H32" s="10">
        <f>69.293*AD6^0.3185</f>
        <v>58.649038570468207</v>
      </c>
      <c r="I32" s="10">
        <f>50.026*AE6^0.3351</f>
        <v>55.822006645722404</v>
      </c>
      <c r="J32" s="10">
        <f>102.1*AK6^0.3275</f>
        <v>84.252068948159007</v>
      </c>
      <c r="K32" s="10">
        <f>63.901*AL6^0.4721</f>
        <v>81.425656805169879</v>
      </c>
      <c r="L32" s="10">
        <f>34.771*AM6^0.6713</f>
        <v>86.878941050514186</v>
      </c>
      <c r="M32" s="10">
        <f>1005.7*AG6^0.3646</f>
        <v>112.46258633271916</v>
      </c>
      <c r="N32" s="10">
        <f>1653.8*AF6^0.4053</f>
        <v>95.122649124916435</v>
      </c>
    </row>
    <row r="33" spans="1:14" x14ac:dyDescent="0.25">
      <c r="A33" s="34">
        <v>101</v>
      </c>
      <c r="B33" s="66">
        <v>64</v>
      </c>
      <c r="C33" s="10">
        <f>427.15*E7^0.6026</f>
        <v>51.711320397363707</v>
      </c>
      <c r="D33" s="9">
        <f>74.161*W7^0.3464</f>
        <v>64.278148375633563</v>
      </c>
      <c r="E33" s="9">
        <f>37.88*X7^0.5273</f>
        <v>64.292992001684325</v>
      </c>
      <c r="F33" s="9">
        <f>16.986*Y7^0.6867</f>
        <v>52.825760217034208</v>
      </c>
      <c r="G33" s="10">
        <f>108.36*AC7^0.294</f>
        <v>67.790158190567425</v>
      </c>
      <c r="H33" s="10">
        <f>69.293*AD7^0.3185</f>
        <v>65.448134471991892</v>
      </c>
      <c r="I33" s="10">
        <f>50.026*AE7^0.3351</f>
        <v>58.554474525039957</v>
      </c>
      <c r="J33" s="10">
        <f>102.1*AK7^0.3275</f>
        <v>71.06874423077123</v>
      </c>
      <c r="K33" s="10">
        <f>63.901*AL7^0.4721</f>
        <v>73.967491919762509</v>
      </c>
      <c r="L33" s="10">
        <f>34.771*AM7^0.6713</f>
        <v>66.185835174744469</v>
      </c>
      <c r="M33" s="10">
        <f>1005.7*AG7^0.3646</f>
        <v>60.677327684459591</v>
      </c>
      <c r="N33" s="10">
        <f>1653.8*AF7^0.4053</f>
        <v>59.81684128500595</v>
      </c>
    </row>
    <row r="34" spans="1:14" x14ac:dyDescent="0.25">
      <c r="A34" s="34">
        <v>24</v>
      </c>
      <c r="B34" s="66">
        <v>64</v>
      </c>
      <c r="C34" s="10">
        <f>427.15*E8^0.6026</f>
        <v>110.07828843908854</v>
      </c>
      <c r="D34" s="9">
        <f>74.161*W8^0.3464</f>
        <v>84.645419959614827</v>
      </c>
      <c r="E34" s="9">
        <f>37.88*X8^0.5273</f>
        <v>98.930237776466655</v>
      </c>
      <c r="F34" s="9">
        <f>16.986*Y8^0.6867</f>
        <v>124.70779520648537</v>
      </c>
      <c r="G34" s="10">
        <f>108.36*AC8^0.294</f>
        <v>52.229548635315865</v>
      </c>
      <c r="H34" s="10">
        <f>69.293*AD8^0.3185</f>
        <v>49.69916480382139</v>
      </c>
      <c r="I34" s="10">
        <f>50.026*AE8^0.3351</f>
        <v>50.684987955350557</v>
      </c>
      <c r="J34" s="10">
        <f>102.1*AK8^0.3275</f>
        <v>62.949579087623313</v>
      </c>
      <c r="K34" s="10">
        <f>63.901*AL8^0.4721</f>
        <v>62.769226707154601</v>
      </c>
      <c r="L34" s="10">
        <f>34.771*AM8^0.6713</f>
        <v>70.11199502976369</v>
      </c>
      <c r="M34" s="10">
        <f>1005.7*AG8^0.3646</f>
        <v>98.992268531121866</v>
      </c>
      <c r="N34" s="10">
        <f>1653.8*AF8^0.4053</f>
        <v>83.599915485968992</v>
      </c>
    </row>
    <row r="35" spans="1:14" x14ac:dyDescent="0.25">
      <c r="A35" s="34">
        <v>159</v>
      </c>
      <c r="B35" s="66">
        <v>45</v>
      </c>
      <c r="C35" s="10">
        <f>427.15*E9^0.6026</f>
        <v>28.138895212995983</v>
      </c>
      <c r="D35" s="9">
        <f>74.161*W9^0.3464</f>
        <v>26.736932705849615</v>
      </c>
      <c r="E35" s="9">
        <f>37.88*X9^0.5273</f>
        <v>28.10042237838346</v>
      </c>
      <c r="F35" s="9">
        <f>16.986*Y9^0.6867</f>
        <v>27.901091442354769</v>
      </c>
      <c r="G35" s="10">
        <f>108.36*AC9^0.294</f>
        <v>35.266075271003764</v>
      </c>
      <c r="H35" s="10">
        <f>69.293*AD9^0.3185</f>
        <v>43.811709923510548</v>
      </c>
      <c r="I35" s="10">
        <f>50.026*AE9^0.3351</f>
        <v>47.568351400075024</v>
      </c>
      <c r="J35" s="10">
        <f>102.1*AK9^0.3275</f>
        <v>30.079911506948299</v>
      </c>
      <c r="K35" s="10">
        <f>63.901*AL9^0.4721</f>
        <v>33.739575287705421</v>
      </c>
      <c r="L35" s="10">
        <f>34.771*AM9^0.6713</f>
        <v>33.314079141418567</v>
      </c>
      <c r="M35" s="10">
        <f>1005.7*AG9^0.3646</f>
        <v>28.086060484113897</v>
      </c>
      <c r="N35" s="10">
        <f>1653.8*AF9^0.4053</f>
        <v>29.908779346397502</v>
      </c>
    </row>
    <row r="36" spans="1:14" x14ac:dyDescent="0.25">
      <c r="A36" s="34">
        <v>35</v>
      </c>
      <c r="B36" s="66">
        <v>45</v>
      </c>
      <c r="C36" s="10">
        <f>427.15*E10^0.6026</f>
        <v>43.154717980702401</v>
      </c>
      <c r="D36" s="9">
        <f>74.161*W10^0.3464</f>
        <v>53.16003696048103</v>
      </c>
      <c r="E36" s="9">
        <f>37.88*X10^0.5273</f>
        <v>47.762566472643172</v>
      </c>
      <c r="F36" s="9">
        <f>16.986*Y10^0.6867</f>
        <v>45.725264313361798</v>
      </c>
      <c r="G36" s="10">
        <f>108.36*AC10^0.294</f>
        <v>56.481737181745252</v>
      </c>
      <c r="H36" s="10">
        <f>69.293*AD10^0.3185</f>
        <v>53.444660669019079</v>
      </c>
      <c r="I36" s="10">
        <f>50.026*AE10^0.3351</f>
        <v>53.261989913258184</v>
      </c>
      <c r="J36" s="10">
        <f>102.1*AK10^0.3275</f>
        <v>56.269015182775313</v>
      </c>
      <c r="K36" s="10">
        <f>63.901*AL10^0.4721</f>
        <v>52.444532611877179</v>
      </c>
      <c r="L36" s="10">
        <f>34.771*AM10^0.6713</f>
        <v>51.457953253671036</v>
      </c>
      <c r="M36" s="10">
        <f>1005.7*AG10^0.3646</f>
        <v>45.907042188380011</v>
      </c>
      <c r="N36" s="10">
        <f>1653.8*AF10^0.4053</f>
        <v>45.539576890893976</v>
      </c>
    </row>
    <row r="37" spans="1:14" x14ac:dyDescent="0.25">
      <c r="A37" s="34">
        <v>61</v>
      </c>
      <c r="B37" s="66">
        <v>32</v>
      </c>
      <c r="C37" s="10">
        <f>427.15*E11^0.6026</f>
        <v>45.758265516180927</v>
      </c>
      <c r="D37" s="9">
        <f>74.161*W11^0.3464</f>
        <v>46.625545153582543</v>
      </c>
      <c r="E37" s="9">
        <f>37.88*X11^0.5273</f>
        <v>46.738237285038721</v>
      </c>
      <c r="F37" s="9">
        <f>16.986*Y11^0.6867</f>
        <v>50.693872679641075</v>
      </c>
      <c r="G37" s="10">
        <f>108.36*AC11^0.294</f>
        <v>43.736421375108904</v>
      </c>
      <c r="H37" s="10">
        <f>69.293*AD11^0.3185</f>
        <v>45.109768952226155</v>
      </c>
      <c r="I37" s="10">
        <f>50.026*AE11^0.3351</f>
        <v>47.5106298842461</v>
      </c>
      <c r="J37" s="10">
        <f>102.1*AK11^0.3275</f>
        <v>46.106882454418574</v>
      </c>
      <c r="K37" s="10">
        <f>63.901*AL11^0.4721</f>
        <v>46.153491480304773</v>
      </c>
      <c r="L37" s="10">
        <f>34.771*AM11^0.6713</f>
        <v>48.788996478358897</v>
      </c>
      <c r="M37" s="10">
        <f>1005.7*AG11^0.3646</f>
        <v>45.322803330337265</v>
      </c>
      <c r="N37" s="10">
        <f>1653.8*AF11^0.4053</f>
        <v>40.378282611221621</v>
      </c>
    </row>
    <row r="38" spans="1:14" x14ac:dyDescent="0.25">
      <c r="A38" s="34">
        <v>52</v>
      </c>
      <c r="B38" s="66">
        <v>32</v>
      </c>
      <c r="C38" s="10">
        <f>427.15*E12^0.6026</f>
        <v>35.608707540523334</v>
      </c>
      <c r="D38" s="9">
        <f>74.161*W12^0.3464</f>
        <v>45.215301267981694</v>
      </c>
      <c r="E38" s="9">
        <f>37.88*X12^0.5273</f>
        <v>43.135793875140585</v>
      </c>
      <c r="F38" s="9">
        <f>16.986*Y12^0.6867</f>
        <v>37.809091337666921</v>
      </c>
      <c r="G38" s="10">
        <f>108.36*AC12^0.294</f>
        <v>56.805792312904344</v>
      </c>
      <c r="H38" s="10">
        <f>69.293*AD12^0.3185</f>
        <v>58.682124784073622</v>
      </c>
      <c r="I38" s="10">
        <f>50.026*AE12^0.3351</f>
        <v>57.143620920571067</v>
      </c>
      <c r="J38" s="10">
        <f>102.1*AK12^0.3275</f>
        <v>52.340891171179685</v>
      </c>
      <c r="K38" s="10">
        <f>63.901*AL12^0.4721</f>
        <v>53.775932795362614</v>
      </c>
      <c r="L38" s="10">
        <f>34.771*AM12^0.6713</f>
        <v>50.415003086487374</v>
      </c>
      <c r="M38" s="10">
        <f>1005.7*AG12^0.3646</f>
        <v>39.799314160287572</v>
      </c>
      <c r="N38" s="10">
        <f>1653.8*AF12^0.4053</f>
        <v>42.833464874460979</v>
      </c>
    </row>
    <row r="39" spans="1:14" x14ac:dyDescent="0.25">
      <c r="A39" s="34">
        <v>53</v>
      </c>
      <c r="B39" s="66">
        <v>22.6</v>
      </c>
      <c r="C39" s="10">
        <f>427.15*E13^0.6026</f>
        <v>18.385700320150519</v>
      </c>
      <c r="D39" s="9">
        <f>74.161*W13^0.3464</f>
        <v>15.458241908347745</v>
      </c>
      <c r="E39" s="9">
        <f>37.88*X13^0.5273</f>
        <v>16.910762054923712</v>
      </c>
      <c r="F39" s="9">
        <f>16.986*Y13^0.6867</f>
        <v>17.937037785470327</v>
      </c>
      <c r="G39" s="10">
        <f>108.36*AC13^0.294</f>
        <v>25.250107129129805</v>
      </c>
      <c r="H39" s="10">
        <f>69.293*AD13^0.3185</f>
        <v>37.151370987424627</v>
      </c>
      <c r="I39" s="10">
        <f>50.026*AE13^0.3351</f>
        <v>44.514321903194059</v>
      </c>
      <c r="J39" s="10">
        <f>102.1*AK13^0.3275</f>
        <v>20.606898398021112</v>
      </c>
      <c r="K39" s="10">
        <f>63.901*AL13^0.4721</f>
        <v>26.193008149886403</v>
      </c>
      <c r="L39" s="10">
        <f>34.771*AM13^0.6713</f>
        <v>28.806524264497664</v>
      </c>
      <c r="M39" s="10">
        <f>1005.7*AG13^0.3646</f>
        <v>19.607181438968368</v>
      </c>
      <c r="N39" s="10">
        <f>1653.8*AF13^0.4053</f>
        <v>20.209898403573217</v>
      </c>
    </row>
    <row r="40" spans="1:14" x14ac:dyDescent="0.25">
      <c r="A40" s="34">
        <v>45</v>
      </c>
      <c r="B40" s="66">
        <v>22.6</v>
      </c>
      <c r="C40" s="10">
        <f>427.15*E14^0.6026</f>
        <v>21.41250921689856</v>
      </c>
      <c r="D40" s="9">
        <f>74.161*W14^0.3464</f>
        <v>23.336350030250173</v>
      </c>
      <c r="E40" s="9">
        <f>37.88*X14^0.5273</f>
        <v>21.579159215396679</v>
      </c>
      <c r="F40" s="9">
        <f>16.986*Y14^0.6867</f>
        <v>20.816449369009678</v>
      </c>
      <c r="G40" s="10">
        <f>108.36*AC14^0.294</f>
        <v>35.860619902777074</v>
      </c>
      <c r="H40" s="10">
        <f>69.293*AD14^0.3185</f>
        <v>43.103065572380601</v>
      </c>
      <c r="I40" s="10">
        <f>50.026*AE14^0.3351</f>
        <v>47.936496620170558</v>
      </c>
      <c r="J40" s="10">
        <f>102.1*AK14^0.3275</f>
        <v>30.150375188185901</v>
      </c>
      <c r="K40" s="10">
        <f>63.901*AL14^0.4721</f>
        <v>32.169770578692088</v>
      </c>
      <c r="L40" s="10">
        <f>34.771*AM14^0.6713</f>
        <v>32.721980499652865</v>
      </c>
      <c r="M40" s="10">
        <f>1005.7*AG14^0.3646</f>
        <v>23.347499534220773</v>
      </c>
      <c r="N40" s="10">
        <f>1653.8*AF14^0.4053</f>
        <v>24.850877167472145</v>
      </c>
    </row>
    <row r="41" spans="1:14" x14ac:dyDescent="0.25">
      <c r="A41" s="7">
        <v>1.3</v>
      </c>
      <c r="B41" s="66">
        <v>32</v>
      </c>
      <c r="C41" s="10">
        <f>427.15*E15^0.6026</f>
        <v>44.21810982361545</v>
      </c>
      <c r="D41" s="9">
        <f>74.161*W15^0.3464</f>
        <v>52.950371279609229</v>
      </c>
      <c r="E41" s="9">
        <f>37.88*X15^0.5273</f>
        <v>52.065455706577225</v>
      </c>
      <c r="F41" s="9">
        <f>16.986*Y15^0.6867</f>
        <v>44.439476416146661</v>
      </c>
      <c r="G41" s="10">
        <f>108.36*AC15^0.294</f>
        <v>55.070994541852556</v>
      </c>
      <c r="H41" s="10">
        <f>69.293*AD15^0.3185</f>
        <v>54.980619547343714</v>
      </c>
      <c r="I41" s="10">
        <f>50.026*AE15^0.3351</f>
        <v>51.228547124253282</v>
      </c>
      <c r="J41" s="10">
        <f>102.1*AK15^0.3275</f>
        <v>54.735478167433257</v>
      </c>
      <c r="K41" s="10">
        <f>63.901*AL15^0.4721</f>
        <v>54.736965281607354</v>
      </c>
      <c r="L41" s="10">
        <f>34.771*AM15^0.6713</f>
        <v>47.65088313560797</v>
      </c>
      <c r="M41" s="10">
        <f>1005.7*AG15^0.3646</f>
        <v>46.038254907884948</v>
      </c>
      <c r="N41" s="10">
        <f>1653.8*AF15^0.4053</f>
        <v>45.653523329179976</v>
      </c>
    </row>
    <row r="42" spans="1:14" x14ac:dyDescent="0.25">
      <c r="A42" s="7">
        <v>2.1</v>
      </c>
      <c r="B42" s="66">
        <v>45</v>
      </c>
      <c r="C42" s="10">
        <f>427.15*E16^0.6026</f>
        <v>56.991450556743601</v>
      </c>
      <c r="D42" s="9">
        <f>74.161*W16^0.3464</f>
        <v>52.083412584564385</v>
      </c>
      <c r="E42" s="9">
        <f>37.88*X16^0.5273</f>
        <v>56.677837419095475</v>
      </c>
      <c r="F42" s="9">
        <f>16.986*Y16^0.6867</f>
        <v>58.476691429138036</v>
      </c>
      <c r="G42" s="10">
        <f>108.36*AC16^0.294</f>
        <v>42.327678645468538</v>
      </c>
      <c r="H42" s="10">
        <f>69.293*AD16^0.3185</f>
        <v>44.18193950713075</v>
      </c>
      <c r="I42" s="10">
        <f>50.026*AE16^0.3351</f>
        <v>44.090548863460931</v>
      </c>
      <c r="J42" s="10">
        <f>102.1*AK16^0.3275</f>
        <v>44.660696204200569</v>
      </c>
      <c r="K42" s="10">
        <f>63.901*AL16^0.4721</f>
        <v>45.05127682505821</v>
      </c>
      <c r="L42" s="10">
        <f>34.771*AM16^0.6713</f>
        <v>42.405450139647805</v>
      </c>
      <c r="M42" s="10">
        <f>1005.7*AG16^0.3646</f>
        <v>50.778205890389032</v>
      </c>
      <c r="N42" s="10">
        <f>1653.8*AF16^0.4053</f>
        <v>45.55594040850918</v>
      </c>
    </row>
    <row r="43" spans="1:14" x14ac:dyDescent="0.25">
      <c r="A43" s="7">
        <v>2.2999999999999998</v>
      </c>
      <c r="B43" s="66">
        <v>45</v>
      </c>
      <c r="C43" s="10">
        <f>427.15*E17^0.6026</f>
        <v>39.729031757563774</v>
      </c>
      <c r="D43" s="9">
        <f>74.161*W17^0.3464</f>
        <v>48.039697797790794</v>
      </c>
      <c r="E43" s="9">
        <f>37.88*X17^0.5273</f>
        <v>44.539875444295852</v>
      </c>
      <c r="F43" s="9">
        <f>16.986*Y17^0.6867</f>
        <v>40.699633570833882</v>
      </c>
      <c r="G43" s="10">
        <f>108.36*AC17^0.294</f>
        <v>51.321814032058477</v>
      </c>
      <c r="H43" s="10">
        <f>69.293*AD17^0.3185</f>
        <v>50.693032441828286</v>
      </c>
      <c r="I43" s="10">
        <f>50.026*AE17^0.3351</f>
        <v>49.75878646363784</v>
      </c>
      <c r="J43" s="10">
        <f>102.1*AK17^0.3275</f>
        <v>49.758189863230243</v>
      </c>
      <c r="K43" s="10">
        <f>63.901*AL17^0.4721</f>
        <v>47.369550102291711</v>
      </c>
      <c r="L43" s="10">
        <f>34.771*AM17^0.6713</f>
        <v>43.4303454246649</v>
      </c>
      <c r="M43" s="10">
        <f>1005.7*AG17^0.3646</f>
        <v>40.295260239584771</v>
      </c>
      <c r="N43" s="10">
        <f>1653.8*AF17^0.4053</f>
        <v>40.195470850604011</v>
      </c>
    </row>
    <row r="44" spans="1:14" x14ac:dyDescent="0.25">
      <c r="A44" s="7">
        <v>3.1</v>
      </c>
      <c r="B44" s="66">
        <v>64</v>
      </c>
      <c r="C44" s="10">
        <f>427.15*E18^0.6026</f>
        <v>122.90534144639936</v>
      </c>
      <c r="D44" s="9">
        <f>74.161*W18^0.3464</f>
        <v>93.859595433595302</v>
      </c>
      <c r="E44" s="9">
        <f>37.88*X18^0.5273</f>
        <v>110.89242834341546</v>
      </c>
      <c r="F44" s="9">
        <f>16.986*Y18^0.6867</f>
        <v>137.04560139288705</v>
      </c>
      <c r="G44" s="10">
        <f>108.36*AC18^0.294</f>
        <v>49.641114279051997</v>
      </c>
      <c r="H44" s="10">
        <f>69.293*AD18^0.3185</f>
        <v>45.826527086844514</v>
      </c>
      <c r="I44" s="10">
        <f>50.026*AE18^0.3351</f>
        <v>45.321140149968969</v>
      </c>
      <c r="J44" s="10">
        <f>102.1*AK18^0.3275</f>
        <v>63.758286007908318</v>
      </c>
      <c r="K44" s="10">
        <f>63.901*AL18^0.4721</f>
        <v>61.512353564056511</v>
      </c>
      <c r="L44" s="10">
        <f>34.771*AM18^0.6713</f>
        <v>64.601613003966577</v>
      </c>
      <c r="M44" s="10">
        <f>1005.7*AG18^0.3646</f>
        <v>102.91199725897496</v>
      </c>
      <c r="N44" s="10">
        <f>1653.8*AF18^0.4053</f>
        <v>80.105211136678733</v>
      </c>
    </row>
    <row r="45" spans="1:14" x14ac:dyDescent="0.25">
      <c r="A45" s="7">
        <v>4.2</v>
      </c>
      <c r="B45" s="66">
        <v>90</v>
      </c>
      <c r="C45" s="10">
        <f>427.15*E19^0.6026</f>
        <v>62.934080327892111</v>
      </c>
      <c r="D45" s="9">
        <f>74.161*W19^0.3464</f>
        <v>66.673723886903545</v>
      </c>
      <c r="E45" s="9">
        <f>37.88*X19^0.5273</f>
        <v>66.462917937619366</v>
      </c>
      <c r="F45" s="9">
        <f>16.986*Y19^0.6867</f>
        <v>64.565347307891471</v>
      </c>
      <c r="G45" s="10">
        <f>108.36*AC19^0.294</f>
        <v>56.762094883418058</v>
      </c>
      <c r="H45" s="10">
        <f>69.293*AD19^0.3185</f>
        <v>53.267136543491972</v>
      </c>
      <c r="I45" s="10">
        <f>50.026*AE19^0.3351</f>
        <v>50.913070065770825</v>
      </c>
      <c r="J45" s="10">
        <f>102.1*AK19^0.3275</f>
        <v>57.802109090072939</v>
      </c>
      <c r="K45" s="10">
        <f>63.901*AL19^0.4721</f>
        <v>53.818834117110711</v>
      </c>
      <c r="L45" s="10">
        <f>34.771*AM19^0.6713</f>
        <v>49.116994051864594</v>
      </c>
      <c r="M45" s="10">
        <f>1005.7*AG19^0.3646</f>
        <v>58.832968719528274</v>
      </c>
      <c r="N45" s="10">
        <f>1653.8*AF19^0.4053</f>
        <v>58.43516419455667</v>
      </c>
    </row>
    <row r="46" spans="1:14" x14ac:dyDescent="0.25">
      <c r="A46" s="7">
        <v>4.3</v>
      </c>
      <c r="B46" s="66">
        <v>90</v>
      </c>
      <c r="C46" s="10">
        <f>427.15*E20^0.6026</f>
        <v>82.301765378972704</v>
      </c>
      <c r="D46" s="9">
        <f>74.161*W20^0.3464</f>
        <v>82.551125132717345</v>
      </c>
      <c r="E46" s="9">
        <f>37.88*X20^0.5273</f>
        <v>88.309972427913436</v>
      </c>
      <c r="F46" s="9">
        <f>16.986*Y20^0.6867</f>
        <v>86.414678018681897</v>
      </c>
      <c r="G46" s="10">
        <f>108.36*AC20^0.294</f>
        <v>67.001302816277274</v>
      </c>
      <c r="H46" s="10">
        <f>69.293*AD20^0.3185</f>
        <v>62.193390742230939</v>
      </c>
      <c r="I46" s="10">
        <f>50.026*AE20^0.3351</f>
        <v>57.670539519757106</v>
      </c>
      <c r="J46" s="10">
        <f>102.1*AK20^0.3275</f>
        <v>70.67174735147897</v>
      </c>
      <c r="K46" s="10">
        <f>63.901*AL20^0.4721</f>
        <v>69.320260916444269</v>
      </c>
      <c r="L46" s="10">
        <f>34.771*AM20^0.6713</f>
        <v>65.18559131526824</v>
      </c>
      <c r="M46" s="10">
        <f>1005.7*AG20^0.3646</f>
        <v>81.315610363652823</v>
      </c>
      <c r="N46" s="10">
        <f>1653.8*AF20^0.4053</f>
        <v>82.06675104088508</v>
      </c>
    </row>
    <row r="47" spans="1:14" x14ac:dyDescent="0.25">
      <c r="A47" s="35" t="s">
        <v>24</v>
      </c>
      <c r="B47" s="14">
        <v>108.42</v>
      </c>
      <c r="C47" s="10">
        <f>427.15*E21^0.6026</f>
        <v>103.79561762782475</v>
      </c>
      <c r="D47" s="9">
        <f>74.161*W21^0.3464</f>
        <v>42.984318298384501</v>
      </c>
      <c r="E47" s="9">
        <f>37.88*X21^0.5273</f>
        <v>67.830233196402276</v>
      </c>
      <c r="F47" s="9">
        <f>16.986*Y21^0.6867</f>
        <v>101.31423534097813</v>
      </c>
      <c r="G47" s="10">
        <f>108.36*AC21^0.294</f>
        <v>24.654925635784203</v>
      </c>
      <c r="H47" s="10">
        <f>69.293*AD21^0.3185</f>
        <v>32.715728904805879</v>
      </c>
      <c r="I47" s="10">
        <f>50.026*AE21^0.3351</f>
        <v>37.493598149762107</v>
      </c>
      <c r="J47" s="10">
        <f>102.1*AK21^0.3275</f>
        <v>21.865693822315428</v>
      </c>
      <c r="K47" s="10">
        <f>63.901*AL21^0.4721</f>
        <v>24.552341859803199</v>
      </c>
      <c r="L47" s="10">
        <f>34.771*AM21^0.6713</f>
        <v>24.355555477494292</v>
      </c>
      <c r="M47" s="10">
        <f>1005.7*AG21^0.3646</f>
        <v>57.972240615240565</v>
      </c>
      <c r="N47" s="10">
        <f>1653.8*AF21^0.4053</f>
        <v>60.642260994368897</v>
      </c>
    </row>
    <row r="48" spans="1:14" x14ac:dyDescent="0.25">
      <c r="A48" s="28" t="s">
        <v>42</v>
      </c>
      <c r="B48" s="66"/>
      <c r="C48" s="10">
        <f>427.15*E22^0.6026</f>
        <v>20.326828970179818</v>
      </c>
      <c r="D48" s="9">
        <f>74.161*W22^0.3464</f>
        <v>10.413880038878078</v>
      </c>
      <c r="E48" s="9">
        <f>37.88*X22^0.5273</f>
        <v>8.7235770181385206</v>
      </c>
      <c r="F48" s="9">
        <f>16.986*Y22^0.6867</f>
        <v>16.191244363932022</v>
      </c>
      <c r="G48" s="10">
        <f>108.36*AC22^0.294</f>
        <v>18.016654794070547</v>
      </c>
      <c r="H48" s="10">
        <f>69.293*AD22^0.3185</f>
        <v>24.846415036386741</v>
      </c>
      <c r="I48" s="10">
        <f>50.026*AE22^0.3351</f>
        <v>42.234620416192008</v>
      </c>
      <c r="J48" s="10">
        <f>102.1*AK22^0.3275</f>
        <v>13.787326381005839</v>
      </c>
      <c r="K48" s="10">
        <f>63.901*AL22^0.4721</f>
        <v>13.899998366222087</v>
      </c>
      <c r="L48" s="10">
        <f>34.771*AM22^0.6713</f>
        <v>24.587449440053295</v>
      </c>
      <c r="M48" s="10">
        <f>1005.7*AG22^0.3646</f>
        <v>21.449588919372982</v>
      </c>
      <c r="N48" s="10">
        <f>1653.8*AF22^0.4053</f>
        <v>23.058574227506274</v>
      </c>
    </row>
    <row r="49" spans="1:33" x14ac:dyDescent="0.25">
      <c r="A49" s="36" t="s">
        <v>43</v>
      </c>
      <c r="B49" s="67"/>
      <c r="C49" s="10">
        <f>427.15*E23^0.6026</f>
        <v>11.253514007053486</v>
      </c>
      <c r="D49" s="9">
        <f>74.161*W23^0.3464</f>
        <v>0</v>
      </c>
      <c r="E49" s="9">
        <f>37.88*X23^0.5273</f>
        <v>0.9525030774247405</v>
      </c>
      <c r="F49" s="9">
        <f>16.986*Y23^0.6867</f>
        <v>1.8208565296873807</v>
      </c>
      <c r="G49" s="10">
        <f>108.36*AC23^0.294</f>
        <v>0</v>
      </c>
      <c r="H49" s="10">
        <f>69.293*AD23^0.3185</f>
        <v>6.4399714308752509</v>
      </c>
      <c r="I49" s="10">
        <f>50.026*AE23^0.3351</f>
        <v>14.35058288194206</v>
      </c>
      <c r="J49" s="10">
        <f>102.1*AK23^0.3275</f>
        <v>0</v>
      </c>
      <c r="K49" s="10">
        <f>63.901*AL23^0.4721</f>
        <v>1.8975963591862426</v>
      </c>
      <c r="L49" s="10">
        <f>34.771*AM23^0.6713</f>
        <v>2.8692708932470516</v>
      </c>
      <c r="M49" s="10">
        <f>1005.7*AG23^0.3646</f>
        <v>10.419702497860031</v>
      </c>
      <c r="N49" s="10">
        <f>1653.8*AF23^0.4053</f>
        <v>10.245322861770958</v>
      </c>
    </row>
    <row r="50" spans="1:33" x14ac:dyDescent="0.25">
      <c r="A50" s="1" t="s">
        <v>44</v>
      </c>
      <c r="C50" s="10">
        <f>427.15*E24^0.6026</f>
        <v>56.395166976142171</v>
      </c>
      <c r="D50" s="9">
        <f>74.161*W24^0.3464</f>
        <v>72.567417928355312</v>
      </c>
      <c r="E50" s="9">
        <f>37.88*X24^0.5273</f>
        <v>106.16773828747354</v>
      </c>
      <c r="F50" s="9">
        <f>16.986*Y24^0.6867</f>
        <v>85.465905708754335</v>
      </c>
      <c r="G50" s="10">
        <f>108.36*AC24^0.294</f>
        <v>84.100956134956419</v>
      </c>
      <c r="H50" s="10">
        <f>69.293*AD24^0.3185</f>
        <v>100.10876222717894</v>
      </c>
      <c r="I50" s="10">
        <f>50.026*AE24^0.3351</f>
        <v>84.195226477305326</v>
      </c>
      <c r="J50" s="10">
        <f>102.1*AK24^0.3275</f>
        <v>25.807962616030665</v>
      </c>
      <c r="K50" s="10">
        <f>63.901*AL24^0.4721</f>
        <v>22.809148264113979</v>
      </c>
      <c r="L50" s="10">
        <f>34.771*AM24^0.6713</f>
        <v>10.500112336113647</v>
      </c>
      <c r="M50" s="10">
        <f>1005.7*AG24^0.3646</f>
        <v>65.377206136405107</v>
      </c>
      <c r="N50" s="10">
        <f>1653.8*AF24^0.4053</f>
        <v>78.509765847126801</v>
      </c>
    </row>
    <row r="51" spans="1:33" x14ac:dyDescent="0.25">
      <c r="A51" s="1" t="s">
        <v>72</v>
      </c>
      <c r="C51" s="10">
        <f t="shared" ref="C51" si="47">427.15*E25^0.6026</f>
        <v>11.253514007053486</v>
      </c>
      <c r="D51" s="9">
        <f>74.161*W25^0.3464</f>
        <v>0</v>
      </c>
      <c r="E51" s="9">
        <f>37.88*X25^0.5273</f>
        <v>0.9525030774247405</v>
      </c>
      <c r="F51" s="9">
        <f>16.986*Y25^0.6867</f>
        <v>1.8208565296873807</v>
      </c>
      <c r="G51" s="10">
        <f t="shared" ref="G51" si="48">108.36*AC25^0.294</f>
        <v>0</v>
      </c>
      <c r="H51" s="10">
        <f t="shared" ref="H51" si="49">69.293*AD25^0.3185</f>
        <v>6.4399714308752509</v>
      </c>
      <c r="I51" s="10">
        <f t="shared" ref="I51" si="50">50.026*AE25^0.3351</f>
        <v>14.35058288194206</v>
      </c>
      <c r="J51" s="10">
        <f t="shared" ref="J51" si="51">102.1*AK25^0.3275</f>
        <v>0</v>
      </c>
      <c r="K51" s="10">
        <f t="shared" ref="K51" si="52">63.901*AL25^0.4721</f>
        <v>0.10988175527225597</v>
      </c>
      <c r="L51" s="10">
        <f t="shared" ref="L51" si="53">34.771*AM25^0.6713</f>
        <v>4.9937931115182868E-2</v>
      </c>
      <c r="M51" s="10">
        <f t="shared" ref="M51" si="54">1005.7*AG25^0.3646</f>
        <v>10.419702497860031</v>
      </c>
      <c r="N51" s="10">
        <f t="shared" ref="N51" si="55">1653.8*AF25^0.4053</f>
        <v>10.245322861770958</v>
      </c>
    </row>
    <row r="52" spans="1:33" x14ac:dyDescent="0.25">
      <c r="A52" s="1" t="s">
        <v>100</v>
      </c>
      <c r="C52" s="10">
        <f t="shared" ref="C52" si="56">427.15*E26^0.6026</f>
        <v>38.090877401267164</v>
      </c>
      <c r="D52" s="9">
        <f>74.161*W26^0.3464</f>
        <v>0</v>
      </c>
      <c r="E52" s="9">
        <f>37.88*X26^0.5273</f>
        <v>67.213719960455052</v>
      </c>
      <c r="F52" s="9">
        <f>16.986*Y26^0.6867</f>
        <v>89.81692214953847</v>
      </c>
      <c r="G52" s="10">
        <f t="shared" ref="G52" si="57">108.36*AC26^0.294</f>
        <v>20.018414469847663</v>
      </c>
      <c r="H52" s="10">
        <f t="shared" ref="H52" si="58">69.293*AD26^0.3185</f>
        <v>60.571592306793953</v>
      </c>
      <c r="I52" s="10">
        <f t="shared" ref="I52" si="59">50.026*AE26^0.3351</f>
        <v>67.983638265854324</v>
      </c>
      <c r="J52" s="10">
        <f t="shared" ref="J52" si="60">102.1*AK26^0.3275</f>
        <v>0</v>
      </c>
      <c r="K52" s="10">
        <f t="shared" ref="K52" si="61">63.901*AL26^0.4721</f>
        <v>8.1030197496243286</v>
      </c>
      <c r="L52" s="10">
        <f t="shared" ref="L52" si="62">34.771*AM26^0.6713</f>
        <v>4.5281170916063544</v>
      </c>
      <c r="M52" s="10">
        <f t="shared" ref="M52" si="63">1005.7*AG26^0.3646</f>
        <v>31.803382016457103</v>
      </c>
      <c r="N52" s="10">
        <f t="shared" ref="N52" si="64">1653.8*AF26^0.4053</f>
        <v>34.722356383183225</v>
      </c>
    </row>
    <row r="53" spans="1:33" x14ac:dyDescent="0.25">
      <c r="A53" s="1"/>
      <c r="D53" s="72" t="s">
        <v>64</v>
      </c>
      <c r="E53" s="72"/>
      <c r="F53" s="72"/>
      <c r="G53" s="72" t="s">
        <v>65</v>
      </c>
      <c r="H53" s="72"/>
      <c r="I53" s="72"/>
      <c r="J53" s="72" t="s">
        <v>66</v>
      </c>
      <c r="K53" s="72"/>
      <c r="L53" s="72"/>
      <c r="M53" s="10"/>
      <c r="N53" s="10"/>
    </row>
    <row r="54" spans="1:33" x14ac:dyDescent="0.25">
      <c r="A54" s="31" t="s">
        <v>0</v>
      </c>
      <c r="B54" s="47" t="s">
        <v>45</v>
      </c>
      <c r="C54" s="1" t="s">
        <v>26</v>
      </c>
      <c r="D54" s="1" t="s">
        <v>41</v>
      </c>
      <c r="E54" s="1" t="s">
        <v>40</v>
      </c>
      <c r="F54" s="1" t="s">
        <v>39</v>
      </c>
      <c r="G54" s="1" t="s">
        <v>41</v>
      </c>
      <c r="H54" s="1" t="s">
        <v>40</v>
      </c>
      <c r="I54" s="1" t="s">
        <v>39</v>
      </c>
      <c r="J54" s="1" t="s">
        <v>41</v>
      </c>
      <c r="K54" s="1" t="s">
        <v>40</v>
      </c>
      <c r="L54" s="1" t="s">
        <v>39</v>
      </c>
      <c r="M54" s="1" t="s">
        <v>68</v>
      </c>
      <c r="N54" s="1" t="s">
        <v>67</v>
      </c>
    </row>
    <row r="55" spans="1:33" x14ac:dyDescent="0.25">
      <c r="A55" s="34">
        <v>8</v>
      </c>
      <c r="B55" s="11">
        <v>160</v>
      </c>
      <c r="C55" s="10">
        <f>438.62*E3^0.5202</f>
        <v>170.13788672321408</v>
      </c>
      <c r="D55" s="10">
        <f>96.548*W3^0.2837</f>
        <v>140.20478212125607</v>
      </c>
      <c r="E55" s="10">
        <f>55.977*X3^0.4232</f>
        <v>136.67736893781731</v>
      </c>
      <c r="F55" s="10">
        <f>27.89*Y3^0.5731</f>
        <v>173.09730121961513</v>
      </c>
      <c r="G55" s="10">
        <f>130.49*AC3^0.2126</f>
        <v>90.558089161382156</v>
      </c>
      <c r="H55" s="10">
        <f>96.485*AD3^0.2302</f>
        <v>77.999664550375968</v>
      </c>
      <c r="I55" s="10">
        <f>76.753*AE3^0.2418</f>
        <v>79.63007585891566</v>
      </c>
      <c r="J55" s="10">
        <f>124.18*AK3^0.244</f>
        <v>115.69055578308982</v>
      </c>
      <c r="K55" s="10">
        <f>88.414*AL3^0.3374</f>
        <v>104.80808060467875</v>
      </c>
      <c r="L55" s="10">
        <f>57.387*AM3^0.4719</f>
        <v>120.96917712180247</v>
      </c>
      <c r="M55" s="10">
        <f>815.51*AG3^0.299</f>
        <v>169.89765804922703</v>
      </c>
      <c r="N55" s="9">
        <f>1159*AF3^0.3242</f>
        <v>133.15514653210047</v>
      </c>
    </row>
    <row r="56" spans="1:33" x14ac:dyDescent="0.25">
      <c r="A56" s="34">
        <v>168</v>
      </c>
      <c r="B56" s="11">
        <v>196</v>
      </c>
      <c r="C56" s="10">
        <f>438.62*E4^0.5202</f>
        <v>124.91547576103727</v>
      </c>
      <c r="D56" s="10">
        <f>96.548*W4^0.2837</f>
        <v>121.98210161107866</v>
      </c>
      <c r="E56" s="10">
        <f>55.977*X4^0.4232</f>
        <v>104.51180930955813</v>
      </c>
      <c r="F56" s="10">
        <f>27.89*Y4^0.5731</f>
        <v>116.30139937718259</v>
      </c>
      <c r="G56" s="10">
        <f>130.49*AC4^0.2126</f>
        <v>96.895537258451341</v>
      </c>
      <c r="H56" s="10">
        <f>96.485*AD4^0.2302</f>
        <v>81.204079417039338</v>
      </c>
      <c r="I56" s="10">
        <f>76.753*AE4^0.2418</f>
        <v>81.876187704922387</v>
      </c>
      <c r="J56" s="10">
        <f>124.18*AK4^0.244</f>
        <v>106.70281022512167</v>
      </c>
      <c r="K56" s="10">
        <f>88.414*AL4^0.3374</f>
        <v>89.296616178066657</v>
      </c>
      <c r="L56" s="10">
        <f>57.387*AM4^0.4719</f>
        <v>93.997996446094717</v>
      </c>
      <c r="M56" s="10">
        <f>815.51*AG4^0.299</f>
        <v>124.9174203555213</v>
      </c>
      <c r="N56" s="9">
        <f>1159*AF4^0.3242</f>
        <v>117.7606062622298</v>
      </c>
    </row>
    <row r="57" spans="1:33" x14ac:dyDescent="0.25">
      <c r="A57" s="34">
        <v>152</v>
      </c>
      <c r="B57" s="11">
        <v>91.54</v>
      </c>
      <c r="C57" s="10">
        <f>438.62*E6^0.5202</f>
        <v>134.40542286030117</v>
      </c>
      <c r="D57" s="10">
        <f>96.548*W6^0.2837</f>
        <v>123.7435326874806</v>
      </c>
      <c r="E57" s="10">
        <f>55.977*X6^0.4232</f>
        <v>129.11186329273659</v>
      </c>
      <c r="F57" s="10">
        <f>27.89*Y6^0.5731</f>
        <v>140.83673665076495</v>
      </c>
      <c r="G57" s="10">
        <f>130.49*AC6^0.2126</f>
        <v>92.398085053033697</v>
      </c>
      <c r="H57" s="10">
        <f>96.485*AD6^0.2302</f>
        <v>85.52856559883972</v>
      </c>
      <c r="I57" s="10">
        <f>76.753*AE6^0.2418</f>
        <v>83.070980141291898</v>
      </c>
      <c r="J57" s="10">
        <f>124.18*AK6^0.244</f>
        <v>107.61723280836335</v>
      </c>
      <c r="K57" s="10">
        <f>88.414*AL6^0.3374</f>
        <v>105.13409920076676</v>
      </c>
      <c r="L57" s="10">
        <f>57.387*AM6^0.4719</f>
        <v>109.23972326455869</v>
      </c>
      <c r="M57" s="10">
        <f>815.51*AG6^0.299</f>
        <v>135.25667523440853</v>
      </c>
      <c r="N57" s="9">
        <f>1159*AF6^0.3242</f>
        <v>118.04472733890924</v>
      </c>
    </row>
    <row r="58" spans="1:33" x14ac:dyDescent="0.25">
      <c r="A58" s="34">
        <v>101</v>
      </c>
      <c r="B58" s="11">
        <v>108.92</v>
      </c>
      <c r="C58" s="10">
        <f>438.62*E7^0.5202</f>
        <v>70.873558375263997</v>
      </c>
      <c r="D58" s="10">
        <f>96.548*W7^0.2837</f>
        <v>85.876366520169782</v>
      </c>
      <c r="E58" s="10">
        <f>55.977*X7^0.4232</f>
        <v>85.586472711589053</v>
      </c>
      <c r="F58" s="10">
        <f>27.89*Y7^0.5731</f>
        <v>71.893116655880291</v>
      </c>
      <c r="G58" s="10">
        <f>130.49*AC7^0.2126</f>
        <v>92.955288674846088</v>
      </c>
      <c r="H58" s="10">
        <f>96.485*AD7^0.2302</f>
        <v>92.58507770149545</v>
      </c>
      <c r="I58" s="10">
        <f>76.753*AE7^0.2418</f>
        <v>85.985531528468286</v>
      </c>
      <c r="J58" s="10">
        <f>124.18*AK7^0.244</f>
        <v>94.80299551010917</v>
      </c>
      <c r="K58" s="10">
        <f>88.414*AL7^0.3374</f>
        <v>98.158274727852799</v>
      </c>
      <c r="L58" s="10">
        <f>57.387*AM7^0.4719</f>
        <v>90.224757524069048</v>
      </c>
      <c r="M58" s="10">
        <f>815.51*AG7^0.299</f>
        <v>81.544222883901099</v>
      </c>
      <c r="N58" s="9">
        <f>1159*AF7^0.3242</f>
        <v>81.451316313498111</v>
      </c>
    </row>
    <row r="59" spans="1:33" x14ac:dyDescent="0.25">
      <c r="A59" s="34">
        <v>24</v>
      </c>
      <c r="B59" s="11">
        <v>87.08</v>
      </c>
      <c r="C59" s="10">
        <f>438.62*E8^0.5202</f>
        <v>136.06092919482055</v>
      </c>
      <c r="D59" s="10">
        <f>96.548*W8^0.2837</f>
        <v>107.59112676666983</v>
      </c>
      <c r="E59" s="10">
        <f>55.977*X8^0.4232</f>
        <v>120.95398839044022</v>
      </c>
      <c r="F59" s="10">
        <f>27.89*Y8^0.5731</f>
        <v>147.23880222177817</v>
      </c>
      <c r="G59" s="10">
        <f>130.49*AC8^0.2126</f>
        <v>76.980272702208609</v>
      </c>
      <c r="H59" s="10">
        <f>96.485*AD8^0.2302</f>
        <v>75.881516004892859</v>
      </c>
      <c r="I59" s="10">
        <f>76.753*AE8^0.2418</f>
        <v>77.481226064024639</v>
      </c>
      <c r="J59" s="10">
        <f>124.18*AK8^0.244</f>
        <v>86.610215637846522</v>
      </c>
      <c r="K59" s="10">
        <f>88.414*AL8^0.3374</f>
        <v>87.292011909895805</v>
      </c>
      <c r="L59" s="10">
        <f>57.387*AM8^0.4719</f>
        <v>93.95480694722643</v>
      </c>
      <c r="M59" s="10">
        <f>815.51*AG8^0.299</f>
        <v>121.82064225228177</v>
      </c>
      <c r="N59" s="9">
        <f>1159*AF8^0.3242</f>
        <v>106.46078133472454</v>
      </c>
    </row>
    <row r="60" spans="1:33" x14ac:dyDescent="0.25">
      <c r="A60" s="34">
        <v>159</v>
      </c>
      <c r="B60" s="11">
        <v>54.11</v>
      </c>
      <c r="C60" s="10">
        <f>438.62*E9^0.5202</f>
        <v>41.912475789452458</v>
      </c>
      <c r="D60" s="10">
        <f>96.548*W9^0.2837</f>
        <v>41.867392792153687</v>
      </c>
      <c r="E60" s="10">
        <f>55.977*X9^0.4232</f>
        <v>44.047109053209546</v>
      </c>
      <c r="F60" s="10">
        <f>27.89*Y9^0.5731</f>
        <v>42.201092312198526</v>
      </c>
      <c r="G60" s="10">
        <f>130.49*AC9^0.2126</f>
        <v>57.948625611358082</v>
      </c>
      <c r="H60" s="10">
        <f>96.485*AD9^0.2302</f>
        <v>69.272092120439751</v>
      </c>
      <c r="I60" s="10">
        <f>76.753*AE9^0.2418</f>
        <v>74.013162125296461</v>
      </c>
      <c r="J60" s="10">
        <f>124.18*AK9^0.244</f>
        <v>49.960094706927862</v>
      </c>
      <c r="K60" s="10">
        <f>88.414*AL9^0.3374</f>
        <v>56.013395171549455</v>
      </c>
      <c r="L60" s="10">
        <f>57.387*AM9^0.4719</f>
        <v>55.685978848210318</v>
      </c>
      <c r="M60" s="10">
        <f>815.51*AG9^0.299</f>
        <v>43.355909359021467</v>
      </c>
      <c r="N60" s="9">
        <f>1159*AF9^0.3242</f>
        <v>46.785145713770142</v>
      </c>
    </row>
    <row r="61" spans="1:33" x14ac:dyDescent="0.25">
      <c r="A61" s="34">
        <v>35</v>
      </c>
      <c r="B61" s="11">
        <v>64.849999999999994</v>
      </c>
      <c r="C61" s="10">
        <f>438.62*E10^0.5202</f>
        <v>60.627392053336564</v>
      </c>
      <c r="D61" s="10">
        <f>96.548*W10^0.2837</f>
        <v>73.506287928936942</v>
      </c>
      <c r="E61" s="10">
        <f>55.977*X10^0.4232</f>
        <v>67.423521659794304</v>
      </c>
      <c r="F61" s="10">
        <f>27.89*Y10^0.5731</f>
        <v>63.733598177371995</v>
      </c>
      <c r="G61" s="10">
        <f>130.49*AC10^0.2126</f>
        <v>81.462904517616565</v>
      </c>
      <c r="H61" s="10">
        <f>96.485*AD10^0.2302</f>
        <v>79.972919849723922</v>
      </c>
      <c r="I61" s="10">
        <f>76.753*AE10^0.2418</f>
        <v>80.304116772503491</v>
      </c>
      <c r="J61" s="10">
        <f>124.18*AK10^0.244</f>
        <v>79.665124750219221</v>
      </c>
      <c r="K61" s="10">
        <f>88.414*AL10^0.3374</f>
        <v>76.770834106609485</v>
      </c>
      <c r="L61" s="10">
        <f>57.387*AM10^0.4719</f>
        <v>75.593228859414651</v>
      </c>
      <c r="M61" s="10">
        <f>815.51*AG10^0.299</f>
        <v>64.869902463333261</v>
      </c>
      <c r="N61" s="9">
        <f>1159*AF10^0.3242</f>
        <v>65.488072515951472</v>
      </c>
    </row>
    <row r="62" spans="1:33" x14ac:dyDescent="0.25">
      <c r="A62" s="34">
        <v>52</v>
      </c>
      <c r="B62" s="11">
        <v>45.6</v>
      </c>
      <c r="C62" s="10">
        <f>438.62*E12^0.5202</f>
        <v>51.358325096727022</v>
      </c>
      <c r="D62" s="10">
        <f>96.548*W12^0.2837</f>
        <v>64.379743608880574</v>
      </c>
      <c r="E62" s="10">
        <f>55.977*X12^0.4232</f>
        <v>62.129436788269096</v>
      </c>
      <c r="F62" s="10">
        <f>27.89*Y12^0.5731</f>
        <v>54.383387730375702</v>
      </c>
      <c r="G62" s="10">
        <f>130.49*AC12^0.2126</f>
        <v>81.80061336729932</v>
      </c>
      <c r="H62" s="10">
        <f>96.485*AD12^0.2302</f>
        <v>85.563436188246186</v>
      </c>
      <c r="I62" s="10">
        <f>76.753*AE12^0.2418</f>
        <v>84.48550639804607</v>
      </c>
      <c r="J62" s="10">
        <f>124.18*AK12^0.244</f>
        <v>75.483674105901798</v>
      </c>
      <c r="K62" s="10">
        <f>88.414*AL12^0.3374</f>
        <v>78.15873008445007</v>
      </c>
      <c r="L62" s="10">
        <f>57.387*AM12^0.4719</f>
        <v>74.512929386860364</v>
      </c>
      <c r="M62" s="10">
        <f>815.51*AG12^0.299</f>
        <v>57.702606314755457</v>
      </c>
      <c r="N62" s="9">
        <f>1159*AF12^0.3242</f>
        <v>62.35628112113158</v>
      </c>
    </row>
    <row r="63" spans="1:33" x14ac:dyDescent="0.25">
      <c r="A63" s="34">
        <v>53</v>
      </c>
      <c r="B63" s="11">
        <v>29.55</v>
      </c>
      <c r="C63" s="10">
        <f>438.62*E13^0.5202</f>
        <v>29.026175842484054</v>
      </c>
      <c r="D63" s="10">
        <f>96.548*W13^0.2837</f>
        <v>26.729741016254618</v>
      </c>
      <c r="E63" s="10">
        <f>55.977*X13^0.4232</f>
        <v>29.302780893158321</v>
      </c>
      <c r="F63" s="10">
        <f>27.89*Y13^0.5731</f>
        <v>29.187314399682784</v>
      </c>
      <c r="G63" s="10">
        <f>130.49*AC13^0.2126</f>
        <v>45.511536004395893</v>
      </c>
      <c r="H63" s="10">
        <f>96.485*AD13^0.2302</f>
        <v>61.488992377664545</v>
      </c>
      <c r="I63" s="10">
        <f>76.753*AE13^0.2418</f>
        <v>70.552815308484398</v>
      </c>
      <c r="J63" s="10">
        <f>124.18*AK13^0.244</f>
        <v>37.691234286028845</v>
      </c>
      <c r="K63" s="10">
        <f>88.414*AL13^0.3374</f>
        <v>46.742281417232363</v>
      </c>
      <c r="L63" s="10">
        <f>57.387*AM13^0.4719</f>
        <v>50.276244331853107</v>
      </c>
      <c r="M63" s="10">
        <f>815.51*AG13^0.299</f>
        <v>32.288976071603592</v>
      </c>
      <c r="N63" s="9">
        <f>1159*AF13^0.3242</f>
        <v>34.192994824386126</v>
      </c>
      <c r="T63" s="72" t="s">
        <v>64</v>
      </c>
      <c r="U63" s="72"/>
      <c r="V63" s="72"/>
      <c r="W63" s="72" t="s">
        <v>65</v>
      </c>
      <c r="X63" s="72"/>
      <c r="Y63" s="72"/>
      <c r="Z63" s="72" t="s">
        <v>66</v>
      </c>
      <c r="AA63" s="72"/>
      <c r="AB63" s="72"/>
      <c r="AF63">
        <v>20</v>
      </c>
      <c r="AG63">
        <v>20</v>
      </c>
    </row>
    <row r="64" spans="1:33" x14ac:dyDescent="0.25">
      <c r="A64" s="34">
        <v>45</v>
      </c>
      <c r="B64" s="11">
        <v>22.6</v>
      </c>
      <c r="C64" s="10">
        <f>438.62*E14^0.5202</f>
        <v>33.107523226039675</v>
      </c>
      <c r="D64" s="10">
        <f>96.548*W14^0.2837</f>
        <v>37.453358984566414</v>
      </c>
      <c r="E64" s="10">
        <f>55.977*X14^0.4232</f>
        <v>35.635181170070645</v>
      </c>
      <c r="F64" s="10">
        <f>27.89*Y14^0.5731</f>
        <v>33.048679436080896</v>
      </c>
      <c r="G64" s="10">
        <f>130.49*AC14^0.2126</f>
        <v>58.653446645596325</v>
      </c>
      <c r="H64" s="10">
        <f>96.485*AD14^0.2302</f>
        <v>68.460436655574654</v>
      </c>
      <c r="I64" s="10">
        <f>76.753*AE14^0.2418</f>
        <v>74.426043478554789</v>
      </c>
      <c r="J64" s="10">
        <f>124.18*AK14^0.244</f>
        <v>50.04726348600424</v>
      </c>
      <c r="K64" s="10">
        <f>88.414*AL14^0.3374</f>
        <v>54.138224612073145</v>
      </c>
      <c r="L64" s="10">
        <f>57.387*AM14^0.4719</f>
        <v>54.988390549281554</v>
      </c>
      <c r="M64" s="10">
        <f>815.51*AG14^0.299</f>
        <v>37.259478034019736</v>
      </c>
      <c r="N64" s="9">
        <f>1159*AF14^0.3242</f>
        <v>40.341343181762078</v>
      </c>
      <c r="Q64" t="s">
        <v>25</v>
      </c>
      <c r="S64" s="1" t="s">
        <v>26</v>
      </c>
      <c r="T64" s="1" t="s">
        <v>41</v>
      </c>
      <c r="U64" s="1" t="s">
        <v>40</v>
      </c>
      <c r="V64" s="1" t="s">
        <v>39</v>
      </c>
      <c r="W64" s="1" t="s">
        <v>41</v>
      </c>
      <c r="X64" s="1" t="s">
        <v>40</v>
      </c>
      <c r="Y64" s="1" t="s">
        <v>39</v>
      </c>
      <c r="Z64" s="1" t="s">
        <v>41</v>
      </c>
      <c r="AA64" s="1" t="s">
        <v>40</v>
      </c>
      <c r="AB64" s="1" t="s">
        <v>39</v>
      </c>
      <c r="AC64" s="1" t="s">
        <v>68</v>
      </c>
      <c r="AD64" s="1" t="s">
        <v>67</v>
      </c>
      <c r="AF64">
        <v>150</v>
      </c>
      <c r="AG64">
        <v>150</v>
      </c>
    </row>
    <row r="65" spans="1:30" x14ac:dyDescent="0.25">
      <c r="A65" s="7">
        <v>1.3</v>
      </c>
      <c r="B65" s="11">
        <v>42.84</v>
      </c>
      <c r="C65" s="10">
        <f>438.62*E15^0.5202</f>
        <v>61.914899095045953</v>
      </c>
      <c r="D65" s="10">
        <f>96.548*W15^0.2837</f>
        <v>73.268766251721431</v>
      </c>
      <c r="E65" s="10">
        <f>55.977*X15^0.4232</f>
        <v>72.256624432250675</v>
      </c>
      <c r="F65" s="10">
        <f>27.89*Y15^0.5731</f>
        <v>62.234379279742342</v>
      </c>
      <c r="G65" s="10">
        <f>130.49*AC15^0.2126</f>
        <v>79.986413618078387</v>
      </c>
      <c r="H65" s="10">
        <f>96.485*AD15^0.2302</f>
        <v>81.627551845893223</v>
      </c>
      <c r="I65" s="10">
        <f>76.753*AE15^0.2418</f>
        <v>78.079913187331982</v>
      </c>
      <c r="J65" s="10">
        <f>124.18*AK15^0.244</f>
        <v>78.041837468409682</v>
      </c>
      <c r="K65" s="10">
        <f>88.414*AL15^0.3374</f>
        <v>79.154452898066978</v>
      </c>
      <c r="L65" s="10">
        <f>57.387*AM15^0.4719</f>
        <v>71.617119934147027</v>
      </c>
      <c r="M65" s="10">
        <f>815.51*AG15^0.299</f>
        <v>65.021916199938758</v>
      </c>
      <c r="N65" s="9">
        <f>1159*AF15^0.3242</f>
        <v>65.619111872906714</v>
      </c>
      <c r="Q65" t="s">
        <v>46</v>
      </c>
      <c r="S65" s="18" cm="1">
        <f t="array" ref="S65">SQRT(SUMSQ($B29:$B47-C29:C47)/COUNTA($B29:$B47-C29:C47))</f>
        <v>21.564023601390119</v>
      </c>
      <c r="T65" s="18" cm="1">
        <f t="array" ref="T65">SQRT(SUMSQ($B29:$B47-D29:D47)/COUNTA($B29:$B47-D29:D47))</f>
        <v>21.392751826010102</v>
      </c>
      <c r="U65" s="18" cm="1">
        <f t="array" ref="U65">SQRT(SUMSQ($B29:$B47-E29:E47)/COUNTA($B29:$B47-E29:E47))</f>
        <v>22.320188271711306</v>
      </c>
      <c r="V65" s="10" cm="1">
        <f t="array" ref="V65">SQRT(SUMSQ($B29:$B47-F29:F47)/COUNTA($B29:$B47-F29:F47))</f>
        <v>26.631247640780277</v>
      </c>
      <c r="W65" s="10" cm="1">
        <f t="array" ref="W65">SQRT(SUMSQ($B29:$B47-G29:G47)/COUNTA($B29:$B47-G29:G47))</f>
        <v>31.979695521135802</v>
      </c>
      <c r="X65" s="10" cm="1">
        <f t="array" ref="X65">SQRT(SUMSQ($B29:$B47-H29:H47)/COUNTA($B29:$B47-H29:H47))</f>
        <v>35.813035399707694</v>
      </c>
      <c r="Y65" s="10" cm="1">
        <f t="array" ref="Y65">SQRT(SUMSQ($B29:$B47-I29:I47)/COUNTA($B29:$B47-I29:I47))</f>
        <v>36.031069989419287</v>
      </c>
      <c r="Z65" s="10" cm="1">
        <f t="array" ref="Z65">SQRT(SUMSQ($B29:$B47-J29:J47)/COUNTA($B29:$B47-J29:J47))</f>
        <v>27.154763263558049</v>
      </c>
      <c r="AA65" s="10" cm="1">
        <f t="array" ref="AA65">SQRT(SUMSQ($B29:$B47-K29:K47)/COUNTA($B29:$B47-K29:K47))</f>
        <v>29.941554570787808</v>
      </c>
      <c r="AB65" s="10" cm="1">
        <f t="array" ref="AB65">SQRT(SUMSQ($B29:$B47-L29:L47)/COUNTA($B29:$B47-L29:L47))</f>
        <v>28.156452438995675</v>
      </c>
      <c r="AC65" s="18" cm="1">
        <f t="array" ref="AC65">SQRT(SUMSQ($B29:$B47-M29:M47)/COUNTA($B29:$B47-M29:M47))</f>
        <v>21.458236337819734</v>
      </c>
      <c r="AD65" s="18" cm="1">
        <f t="array" ref="AD65">SQRT(SUMSQ($B29:$B47-N29:N47)/COUNTA($B29:$B47-N29:N47))</f>
        <v>18.801060982945444</v>
      </c>
    </row>
    <row r="66" spans="1:30" x14ac:dyDescent="0.25">
      <c r="A66" s="7">
        <v>2.1</v>
      </c>
      <c r="B66" s="11">
        <v>52.94</v>
      </c>
      <c r="C66" s="10">
        <f>438.62*E16^0.5202</f>
        <v>77.078732996643524</v>
      </c>
      <c r="D66" s="10">
        <f>96.548*W16^0.2837</f>
        <v>72.284807330425366</v>
      </c>
      <c r="E66" s="10">
        <f>55.977*X16^0.4232</f>
        <v>77.350588901142373</v>
      </c>
      <c r="F66" s="10">
        <f>27.89*Y16^0.5731</f>
        <v>78.256930294095511</v>
      </c>
      <c r="G66" s="10">
        <f>130.49*AC16^0.2126</f>
        <v>66.124691484964004</v>
      </c>
      <c r="H66" s="10">
        <f>96.485*AD16^0.2302</f>
        <v>69.69469056896915</v>
      </c>
      <c r="I66" s="10">
        <f>76.753*AE16^0.2418</f>
        <v>70.067518642076749</v>
      </c>
      <c r="J66" s="10">
        <f>124.18*AK16^0.244</f>
        <v>67.066904345316743</v>
      </c>
      <c r="K66" s="10">
        <f>88.414*AL16^0.3374</f>
        <v>68.870360997997892</v>
      </c>
      <c r="L66" s="10">
        <f>57.387*AM16^0.4719</f>
        <v>65.979985221891639</v>
      </c>
      <c r="M66" s="10">
        <f>815.51*AG16^0.299</f>
        <v>70.46297922844164</v>
      </c>
      <c r="N66" s="9">
        <f>1159*AF16^0.3242</f>
        <v>65.506894728831824</v>
      </c>
      <c r="Q66" t="s">
        <v>69</v>
      </c>
      <c r="S66" s="10" cm="1">
        <f t="array" ref="S66">SQRT(SUMSQ($B55:$B71-C55:C71)/COUNTA($B55:$B71-C55:C71))</f>
        <v>33.251673476989552</v>
      </c>
      <c r="T66" s="10" cm="1">
        <f t="array" ref="T66">SQRT(SUMSQ($B55:$B71-D55:D71)/COUNTA($B55:$B71-D55:D71))</f>
        <v>29.753004705285644</v>
      </c>
      <c r="U66" s="10" cm="1">
        <f t="array" ref="U66">SQRT(SUMSQ($B55:$B71-E55:E71)/COUNTA($B55:$B71-E55:E71))</f>
        <v>33.124462806448285</v>
      </c>
      <c r="V66" s="10" cm="1">
        <f t="array" ref="V66">SQRT(SUMSQ($B55:$B71-F55:F71)/COUNTA($B55:$B71-F55:F71))</f>
        <v>36.887123763377744</v>
      </c>
      <c r="W66" s="10" cm="1">
        <f t="array" ref="W66">SQRT(SUMSQ($B55:$B71-G55:G71)/COUNTA($B55:$B71-G55:G71))</f>
        <v>39.429953532938477</v>
      </c>
      <c r="X66" s="10" cm="1">
        <f t="array" ref="X66">SQRT(SUMSQ($B55:$B71-H55:H71)/COUNTA($B55:$B71-H55:H71))</f>
        <v>44.053293176696293</v>
      </c>
      <c r="Y66" s="10" cm="1">
        <f t="array" ref="Y66">SQRT(SUMSQ($B55:$B71-I55:I71)/COUNTA($B55:$B71-I55:I71))</f>
        <v>44.404372389710588</v>
      </c>
      <c r="Z66" s="10" cm="1">
        <f t="array" ref="Z66">SQRT(SUMSQ($B55:$B71-J55:J71)/COUNTA($B55:$B71-J55:J71))</f>
        <v>35.162114995419245</v>
      </c>
      <c r="AA66" s="10" cm="1">
        <f t="array" ref="AA66">SQRT(SUMSQ($B55:$B71-K55:K71)/COUNTA($B55:$B71-K55:K71))</f>
        <v>38.788225903695093</v>
      </c>
      <c r="AB66" s="10" cm="1">
        <f t="array" ref="AB66">SQRT(SUMSQ($B55:$B71-L55:L71)/COUNTA($B55:$B71-L55:L71))</f>
        <v>36.974887523374548</v>
      </c>
      <c r="AC66" s="10" cm="1">
        <f t="array" ref="AC66">SQRT(SUMSQ($B55:$B71-M55:M71)/COUNTA($B55:$B71-M55:M71))</f>
        <v>29.998540822162781</v>
      </c>
      <c r="AD66" s="10" cm="1">
        <f t="array" ref="AD66">SQRT(SUMSQ($B55:$B71-N55:N71)/COUNTA($B55:$B71-N55:N71))</f>
        <v>28.141500323433281</v>
      </c>
    </row>
    <row r="67" spans="1:30" x14ac:dyDescent="0.25">
      <c r="A67" s="7">
        <v>2.2999999999999998</v>
      </c>
      <c r="B67" s="11">
        <v>54.11</v>
      </c>
      <c r="C67" s="10">
        <f>438.62*E17^0.5202</f>
        <v>56.449533285085387</v>
      </c>
      <c r="D67" s="10">
        <f>96.548*W17^0.2837</f>
        <v>67.655167475049296</v>
      </c>
      <c r="E67" s="10">
        <f>55.977*X17^0.4232</f>
        <v>63.747368025548859</v>
      </c>
      <c r="F67" s="10">
        <f>27.89*Y17^0.5731</f>
        <v>57.831937577403586</v>
      </c>
      <c r="G67" s="10">
        <f>130.49*AC17^0.2126</f>
        <v>76.010456523730184</v>
      </c>
      <c r="H67" s="10">
        <f>96.485*AD17^0.2302</f>
        <v>76.975260666647742</v>
      </c>
      <c r="I67" s="10">
        <f>76.753*AE17^0.2418</f>
        <v>76.456951092625658</v>
      </c>
      <c r="J67" s="10">
        <f>124.18*AK17^0.244</f>
        <v>72.690837058612487</v>
      </c>
      <c r="K67" s="10">
        <f>88.414*AL17^0.3374</f>
        <v>71.384966106981921</v>
      </c>
      <c r="L67" s="10">
        <f>57.387*AM17^0.4719</f>
        <v>67.096997052975084</v>
      </c>
      <c r="M67" s="10">
        <f>815.51*AG17^0.299</f>
        <v>58.291618217022908</v>
      </c>
      <c r="N67" s="9">
        <f>1159*AF17^0.3242</f>
        <v>59.264969028968196</v>
      </c>
    </row>
    <row r="68" spans="1:30" x14ac:dyDescent="0.25">
      <c r="A68" s="7">
        <v>3.1</v>
      </c>
      <c r="B68" s="11">
        <v>84.98</v>
      </c>
      <c r="C68" s="10">
        <f>438.62*E18^0.5202</f>
        <v>149.64315802006493</v>
      </c>
      <c r="D68" s="10">
        <f>96.548*W18^0.2837</f>
        <v>117.0924919367006</v>
      </c>
      <c r="E68" s="10">
        <f>55.977*X18^0.4232</f>
        <v>132.55811613778886</v>
      </c>
      <c r="F68" s="10">
        <f>27.89*Y18^0.5731</f>
        <v>159.30004816175179</v>
      </c>
      <c r="G68" s="10">
        <f>130.49*AC18^0.2126</f>
        <v>74.202159869010288</v>
      </c>
      <c r="H68" s="10">
        <f>96.485*AD18^0.2302</f>
        <v>71.560194144637038</v>
      </c>
      <c r="I68" s="10">
        <f>76.753*AE18^0.2418</f>
        <v>71.473229623766159</v>
      </c>
      <c r="J68" s="10">
        <f>124.18*AK18^0.244</f>
        <v>87.437848887495022</v>
      </c>
      <c r="K68" s="10">
        <f>88.414*AL18^0.3374</f>
        <v>86.039217466619931</v>
      </c>
      <c r="L68" s="10">
        <f>57.387*AM18^0.4719</f>
        <v>88.701170121906443</v>
      </c>
      <c r="M68" s="10">
        <f>815.51*AG18^0.299</f>
        <v>125.76252797840286</v>
      </c>
      <c r="N68" s="9">
        <f>1159*AF18^0.3242</f>
        <v>102.88579655946292</v>
      </c>
    </row>
    <row r="69" spans="1:30" x14ac:dyDescent="0.25">
      <c r="A69" s="7">
        <v>4.2</v>
      </c>
      <c r="B69" s="11">
        <v>127.22</v>
      </c>
      <c r="C69" s="10">
        <f>438.62*E19^0.5202</f>
        <v>83.969288966265395</v>
      </c>
      <c r="D69" s="10">
        <f>96.548*W19^0.2837</f>
        <v>88.488861347019409</v>
      </c>
      <c r="E69" s="10">
        <f>55.977*X19^0.4232</f>
        <v>87.897176136653073</v>
      </c>
      <c r="F69" s="10">
        <f>27.89*Y19^0.5731</f>
        <v>85.000856849137662</v>
      </c>
      <c r="G69" s="10">
        <f>130.49*AC19^0.2126</f>
        <v>81.755105967722884</v>
      </c>
      <c r="H69" s="10">
        <f>96.485*AD19^0.2302</f>
        <v>79.780835448751716</v>
      </c>
      <c r="I69" s="10">
        <f>76.753*AE19^0.2418</f>
        <v>77.732656934099808</v>
      </c>
      <c r="J69" s="10">
        <f>124.18*AK19^0.244</f>
        <v>81.276705714295304</v>
      </c>
      <c r="K69" s="10">
        <f>88.414*AL19^0.3374</f>
        <v>78.203287693511015</v>
      </c>
      <c r="L69" s="10">
        <f>57.387*AM19^0.4719</f>
        <v>73.159115172823348</v>
      </c>
      <c r="M69" s="10">
        <f>815.51*AG19^0.299</f>
        <v>79.505927700595379</v>
      </c>
      <c r="N69" s="9">
        <f>1159*AF19^0.3242</f>
        <v>79.942871392242267</v>
      </c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x14ac:dyDescent="0.25">
      <c r="A70" s="7">
        <v>4.3</v>
      </c>
      <c r="B70" s="11">
        <v>91.54</v>
      </c>
      <c r="C70" s="10">
        <f>438.62*E20^0.5202</f>
        <v>105.85472635571982</v>
      </c>
      <c r="D70" s="10">
        <f>96.548*W20^0.2837</f>
        <v>105.40601713155144</v>
      </c>
      <c r="E70" s="10">
        <f>55.977*X20^0.4232</f>
        <v>110.4174078246312</v>
      </c>
      <c r="F70" s="10">
        <f>27.89*Y20^0.5731</f>
        <v>108.41016746365213</v>
      </c>
      <c r="G70" s="10">
        <f>130.49*AC20^0.2126</f>
        <v>92.171816973530767</v>
      </c>
      <c r="H70" s="10">
        <f>96.485*AD20^0.2302</f>
        <v>89.23384381157345</v>
      </c>
      <c r="I70" s="10">
        <f>76.753*AE20^0.2418</f>
        <v>85.046921623305352</v>
      </c>
      <c r="J70" s="10">
        <f>124.18*AK20^0.244</f>
        <v>94.408157533348827</v>
      </c>
      <c r="K70" s="10">
        <f>88.414*AL20^0.3374</f>
        <v>93.710176589200842</v>
      </c>
      <c r="L70" s="10">
        <f>57.387*AM20^0.4719</f>
        <v>89.264074789187134</v>
      </c>
      <c r="M70" s="10">
        <f>815.51*AG20^0.299</f>
        <v>103.6725776856201</v>
      </c>
      <c r="N70" s="9">
        <f>1159*AF20^0.3242</f>
        <v>104.89615375820517</v>
      </c>
    </row>
    <row r="71" spans="1:30" x14ac:dyDescent="0.25">
      <c r="A71" s="35" t="s">
        <v>24</v>
      </c>
      <c r="B71" s="14">
        <v>108.42</v>
      </c>
      <c r="C71" s="10">
        <f>438.62*E21^0.5202</f>
        <v>129.33044418860459</v>
      </c>
      <c r="D71" s="10">
        <f>96.548*W21^0.2837</f>
        <v>61.766288223667409</v>
      </c>
      <c r="E71" s="10">
        <f>55.977*X21^0.4232</f>
        <v>89.345535764373693</v>
      </c>
      <c r="F71" s="10">
        <f>27.89*Y21^0.5731</f>
        <v>123.80114333174559</v>
      </c>
      <c r="G71" s="10">
        <f>130.49*AC21^0.2126</f>
        <v>44.733225611822647</v>
      </c>
      <c r="H71" s="10">
        <f>96.485*AD21^0.2302</f>
        <v>56.090288670208452</v>
      </c>
      <c r="I71" s="10">
        <f>76.753*AE21^0.2418</f>
        <v>62.334171751547679</v>
      </c>
      <c r="J71" s="10">
        <f>124.18*AK21^0.244</f>
        <v>39.393590301333894</v>
      </c>
      <c r="K71" s="10">
        <f>88.414*AL21^0.3374</f>
        <v>44.630609217650075</v>
      </c>
      <c r="L71" s="10">
        <f>57.387*AM21^0.4719</f>
        <v>44.680885331831441</v>
      </c>
      <c r="M71" s="10">
        <f>815.51*AG21^0.299</f>
        <v>78.550772858507528</v>
      </c>
      <c r="N71" s="9">
        <f>1159*AF21^0.3242</f>
        <v>82.349136083326442</v>
      </c>
    </row>
    <row r="72" spans="1:30" x14ac:dyDescent="0.25">
      <c r="A72" s="28" t="s">
        <v>42</v>
      </c>
      <c r="B72" s="11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9"/>
    </row>
    <row r="73" spans="1:30" x14ac:dyDescent="0.25">
      <c r="A73" s="36" t="s">
        <v>43</v>
      </c>
      <c r="B73" s="37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9"/>
    </row>
    <row r="74" spans="1:30" x14ac:dyDescent="0.25">
      <c r="A74" s="1" t="s">
        <v>44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9"/>
    </row>
    <row r="75" spans="1:30" x14ac:dyDescent="0.25">
      <c r="A75" s="1" t="s">
        <v>72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9"/>
    </row>
  </sheetData>
  <mergeCells count="12">
    <mergeCell ref="T63:V63"/>
    <mergeCell ref="W63:Y63"/>
    <mergeCell ref="Z63:AB63"/>
    <mergeCell ref="AH1:AM1"/>
    <mergeCell ref="D27:F27"/>
    <mergeCell ref="G27:I27"/>
    <mergeCell ref="J27:L27"/>
    <mergeCell ref="D53:F53"/>
    <mergeCell ref="G53:I53"/>
    <mergeCell ref="J53:L53"/>
    <mergeCell ref="T1:Y1"/>
    <mergeCell ref="Z1:A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all_samples</vt:lpstr>
      <vt:lpstr>storm_amplification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2025-12-09T22:13:45Z</dcterms:modified>
</cp:coreProperties>
</file>