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BF03FA26-6E80-405A-9E41-DA9E0D6D930C}" xr6:coauthVersionLast="47" xr6:coauthVersionMax="47" xr10:uidLastSave="{00000000-0000-0000-0000-000000000000}"/>
  <bookViews>
    <workbookView xWindow="-120" yWindow="-120" windowWidth="29040" windowHeight="15720" activeTab="1" xr2:uid="{C9237C1A-BCF7-492A-9C93-D42B1F2451E9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01" i="10" l="1" a="1"/>
  <c r="AW101" i="10"/>
  <c r="AK101" i="10" a="1"/>
  <c r="AK101" i="10"/>
  <c r="AL101" i="10" a="1"/>
  <c r="AL101" i="10" s="1"/>
  <c r="AM101" i="10" a="1"/>
  <c r="AM101" i="10"/>
  <c r="AN101" i="10" a="1"/>
  <c r="AN101" i="10" s="1"/>
  <c r="AO101" i="10" a="1"/>
  <c r="AO101" i="10" s="1"/>
  <c r="AP101" i="10" a="1"/>
  <c r="AP101" i="10"/>
  <c r="AQ101" i="10" a="1"/>
  <c r="AQ101" i="10" s="1"/>
  <c r="AR101" i="10" a="1"/>
  <c r="AR101" i="10" s="1"/>
  <c r="AS101" i="10" a="1"/>
  <c r="AS101" i="10"/>
  <c r="AT101" i="10" a="1"/>
  <c r="AT101" i="10" s="1"/>
  <c r="AU101" i="10" a="1"/>
  <c r="AU101" i="10" s="1"/>
  <c r="AV101" i="10" a="1"/>
  <c r="AV101" i="10"/>
  <c r="AJ101" i="10" a="1"/>
  <c r="AJ101" i="10" s="1"/>
  <c r="AK100" i="10" a="1"/>
  <c r="AK100" i="10"/>
  <c r="AL100" i="10" a="1"/>
  <c r="AL100" i="10"/>
  <c r="AM100" i="10" a="1"/>
  <c r="AM100" i="10" s="1"/>
  <c r="AN100" i="10" a="1"/>
  <c r="AN100" i="10"/>
  <c r="AO100" i="10" a="1"/>
  <c r="AO100" i="10"/>
  <c r="AP100" i="10" a="1"/>
  <c r="AP100" i="10" s="1"/>
  <c r="AQ100" i="10" a="1"/>
  <c r="AQ100" i="10"/>
  <c r="AR100" i="10" a="1"/>
  <c r="AR100" i="10"/>
  <c r="AS100" i="10" a="1"/>
  <c r="AS100" i="10" s="1"/>
  <c r="AT100" i="10" a="1"/>
  <c r="AT100" i="10"/>
  <c r="AU100" i="10" a="1"/>
  <c r="AU100" i="10"/>
  <c r="AV100" i="10" a="1"/>
  <c r="AV100" i="10" s="1"/>
  <c r="AW100" i="10" a="1"/>
  <c r="AW100" i="10"/>
  <c r="AJ100" i="10" a="1"/>
  <c r="AJ100" i="10" s="1"/>
  <c r="AK99" i="10" a="1"/>
  <c r="AK99" i="10" s="1"/>
  <c r="AL99" i="10" a="1"/>
  <c r="AL99" i="10"/>
  <c r="AM99" i="10" a="1"/>
  <c r="AM99" i="10"/>
  <c r="AN99" i="10" a="1"/>
  <c r="AN99" i="10" s="1"/>
  <c r="AO99" i="10" a="1"/>
  <c r="AO99" i="10"/>
  <c r="AP99" i="10" a="1"/>
  <c r="AP99" i="10"/>
  <c r="AQ99" i="10" a="1"/>
  <c r="AQ99" i="10" s="1"/>
  <c r="AR99" i="10" a="1"/>
  <c r="AR99" i="10"/>
  <c r="AS99" i="10" a="1"/>
  <c r="AS99" i="10"/>
  <c r="AT99" i="10" a="1"/>
  <c r="AT99" i="10" s="1"/>
  <c r="AU99" i="10" a="1"/>
  <c r="AU99" i="10" s="1"/>
  <c r="AV99" i="10" a="1"/>
  <c r="AV99" i="10"/>
  <c r="AW99" i="10" a="1"/>
  <c r="AW99" i="10" s="1"/>
  <c r="AJ99" i="10" a="1"/>
  <c r="AJ99" i="10" s="1"/>
  <c r="AK98" i="10" a="1"/>
  <c r="AK98" i="10"/>
  <c r="AL98" i="10" a="1"/>
  <c r="AL98" i="10"/>
  <c r="AM98" i="10" a="1"/>
  <c r="AM98" i="10" s="1"/>
  <c r="AN98" i="10" a="1"/>
  <c r="AN98" i="10"/>
  <c r="AO98" i="10" a="1"/>
  <c r="AO98" i="10"/>
  <c r="AP98" i="10" a="1"/>
  <c r="AP98" i="10" s="1"/>
  <c r="AQ98" i="10" a="1"/>
  <c r="AQ98" i="10"/>
  <c r="AR98" i="10" a="1"/>
  <c r="AR98" i="10"/>
  <c r="AS98" i="10" a="1"/>
  <c r="AS98" i="10" s="1"/>
  <c r="AT98" i="10" a="1"/>
  <c r="AT98" i="10"/>
  <c r="AU98" i="10" a="1"/>
  <c r="AU98" i="10"/>
  <c r="AV98" i="10" a="1"/>
  <c r="AV98" i="10" s="1"/>
  <c r="AW98" i="10" a="1"/>
  <c r="AW98" i="10"/>
  <c r="AJ98" i="10" a="1"/>
  <c r="AJ98" i="10" s="1"/>
  <c r="AJ97" i="10" a="1"/>
  <c r="AJ97" i="10" s="1"/>
  <c r="AK97" i="10" a="1"/>
  <c r="AK97" i="10" s="1"/>
  <c r="AL97" i="10" a="1"/>
  <c r="AL97" i="10" s="1"/>
  <c r="AM97" i="10" a="1"/>
  <c r="AM97" i="10" s="1"/>
  <c r="AN97" i="10" a="1"/>
  <c r="AN97" i="10" s="1"/>
  <c r="AO97" i="10" a="1"/>
  <c r="AO97" i="10" s="1"/>
  <c r="AP97" i="10" a="1"/>
  <c r="AP97" i="10" s="1"/>
  <c r="AQ97" i="10" a="1"/>
  <c r="AQ97" i="10" s="1"/>
  <c r="AR97" i="10" a="1"/>
  <c r="AR97" i="10" s="1"/>
  <c r="AS97" i="10" a="1"/>
  <c r="AS97" i="10" s="1"/>
  <c r="AT97" i="10" a="1"/>
  <c r="AT97" i="10" s="1"/>
  <c r="AU97" i="10" a="1"/>
  <c r="AU97" i="10" s="1"/>
  <c r="AV97" i="10" a="1"/>
  <c r="AV97" i="10" s="1"/>
  <c r="AW97" i="10" a="1"/>
  <c r="AW97" i="10" s="1"/>
  <c r="AK96" i="10" a="1"/>
  <c r="AK96" i="10"/>
  <c r="AL96" i="10" a="1"/>
  <c r="AL96" i="10" s="1"/>
  <c r="AM96" i="10" a="1"/>
  <c r="AM96" i="10" s="1"/>
  <c r="AN96" i="10" a="1"/>
  <c r="AN96" i="10"/>
  <c r="AO96" i="10" a="1"/>
  <c r="AO96" i="10"/>
  <c r="AP96" i="10" a="1"/>
  <c r="AP96" i="10" s="1"/>
  <c r="AQ96" i="10" a="1"/>
  <c r="AQ96" i="10"/>
  <c r="AR96" i="10" a="1"/>
  <c r="AR96" i="10" s="1"/>
  <c r="AS96" i="10" a="1"/>
  <c r="AS96" i="10" s="1"/>
  <c r="AT96" i="10" a="1"/>
  <c r="AT96" i="10"/>
  <c r="AU96" i="10" a="1"/>
  <c r="AU96" i="10" s="1"/>
  <c r="AV96" i="10" a="1"/>
  <c r="AV96" i="10" s="1"/>
  <c r="AW96" i="10" a="1"/>
  <c r="AW96" i="10"/>
  <c r="AJ96" i="10" a="1"/>
  <c r="AJ96" i="10" s="1"/>
  <c r="AJ95" i="10" a="1"/>
  <c r="AJ95" i="10" s="1"/>
  <c r="AK95" i="10" a="1"/>
  <c r="AK95" i="10"/>
  <c r="AL95" i="10" a="1"/>
  <c r="AL95" i="10"/>
  <c r="AM95" i="10" a="1"/>
  <c r="AM95" i="10" s="1"/>
  <c r="AN95" i="10" a="1"/>
  <c r="AN95" i="10"/>
  <c r="AO95" i="10" a="1"/>
  <c r="AO95" i="10"/>
  <c r="AP95" i="10" a="1"/>
  <c r="AP95" i="10" s="1"/>
  <c r="AQ95" i="10" a="1"/>
  <c r="AQ95" i="10" s="1"/>
  <c r="AR95" i="10" a="1"/>
  <c r="AR95" i="10"/>
  <c r="AS95" i="10" a="1"/>
  <c r="AS95" i="10" s="1"/>
  <c r="AT95" i="10" a="1"/>
  <c r="AT95" i="10"/>
  <c r="AU95" i="10" a="1"/>
  <c r="AU95" i="10" s="1"/>
  <c r="AV95" i="10" a="1"/>
  <c r="AV95" i="10" s="1"/>
  <c r="AW95" i="10" a="1"/>
  <c r="AW95" i="10"/>
  <c r="AK94" i="10" a="1"/>
  <c r="AK94" i="10"/>
  <c r="AL94" i="10" a="1"/>
  <c r="AL94" i="10"/>
  <c r="AM94" i="10" a="1"/>
  <c r="AM94" i="10" s="1"/>
  <c r="AN94" i="10" a="1"/>
  <c r="AN94" i="10"/>
  <c r="AO94" i="10" a="1"/>
  <c r="AO94" i="10"/>
  <c r="AP94" i="10" a="1"/>
  <c r="AP94" i="10" s="1"/>
  <c r="AQ94" i="10" a="1"/>
  <c r="AQ94" i="10" s="1"/>
  <c r="AR94" i="10" a="1"/>
  <c r="AR94" i="10"/>
  <c r="AS94" i="10" a="1"/>
  <c r="AS94" i="10" s="1"/>
  <c r="AT94" i="10" a="1"/>
  <c r="AT94" i="10"/>
  <c r="AU94" i="10" a="1"/>
  <c r="AU94" i="10"/>
  <c r="AV94" i="10" a="1"/>
  <c r="AV94" i="10" s="1"/>
  <c r="AW94" i="10" a="1"/>
  <c r="AW94" i="10"/>
  <c r="AJ94" i="10" a="1"/>
  <c r="AJ94" i="10" s="1"/>
  <c r="AK93" i="10" a="1"/>
  <c r="AK93" i="10"/>
  <c r="AL93" i="10" a="1"/>
  <c r="AL93" i="10"/>
  <c r="AM93" i="10" a="1"/>
  <c r="AM93" i="10" s="1"/>
  <c r="AN93" i="10" a="1"/>
  <c r="AN93" i="10"/>
  <c r="AO93" i="10" a="1"/>
  <c r="AO93" i="10"/>
  <c r="AP93" i="10" a="1"/>
  <c r="AP93" i="10" s="1"/>
  <c r="AQ93" i="10" a="1"/>
  <c r="AQ93" i="10"/>
  <c r="AR93" i="10" a="1"/>
  <c r="AR93" i="10"/>
  <c r="AS93" i="10" a="1"/>
  <c r="AS93" i="10" s="1"/>
  <c r="AT93" i="10" a="1"/>
  <c r="AT93" i="10" s="1"/>
  <c r="AU93" i="10" a="1"/>
  <c r="AU93" i="10"/>
  <c r="AV93" i="10" a="1"/>
  <c r="AV93" i="10" s="1"/>
  <c r="AW93" i="10" a="1"/>
  <c r="AW93" i="10"/>
  <c r="AJ93" i="10" a="1"/>
  <c r="AJ93" i="10" s="1"/>
  <c r="AK92" i="10" a="1"/>
  <c r="AK92" i="10"/>
  <c r="AL92" i="10" a="1"/>
  <c r="AL92" i="10"/>
  <c r="AM92" i="10" a="1"/>
  <c r="AM92" i="10" s="1"/>
  <c r="AN92" i="10" a="1"/>
  <c r="AN92" i="10"/>
  <c r="AO92" i="10" a="1"/>
  <c r="AO92" i="10" s="1"/>
  <c r="AP92" i="10" a="1"/>
  <c r="AP92" i="10" s="1"/>
  <c r="AQ92" i="10" a="1"/>
  <c r="AQ92" i="10"/>
  <c r="AR92" i="10" a="1"/>
  <c r="AR92" i="10"/>
  <c r="AS92" i="10" a="1"/>
  <c r="AS92" i="10" s="1"/>
  <c r="AT92" i="10" a="1"/>
  <c r="AT92" i="10"/>
  <c r="AU92" i="10" a="1"/>
  <c r="AU92" i="10"/>
  <c r="AV92" i="10" a="1"/>
  <c r="AV92" i="10" s="1"/>
  <c r="AW92" i="10" a="1"/>
  <c r="AW92" i="10"/>
  <c r="AJ92" i="10" a="1"/>
  <c r="AJ92" i="10" s="1"/>
  <c r="AJ91" i="10" a="1"/>
  <c r="AJ91" i="10" s="1"/>
  <c r="AK91" i="10" a="1"/>
  <c r="AK91" i="10"/>
  <c r="AL91" i="10" a="1"/>
  <c r="AL91" i="10"/>
  <c r="AM91" i="10" a="1"/>
  <c r="AM91" i="10" s="1"/>
  <c r="AN91" i="10" a="1"/>
  <c r="AN91" i="10" s="1"/>
  <c r="AO91" i="10" a="1"/>
  <c r="AO91" i="10"/>
  <c r="AP91" i="10" a="1"/>
  <c r="AP91" i="10" s="1"/>
  <c r="AQ91" i="10" a="1"/>
  <c r="AQ91" i="10"/>
  <c r="AR91" i="10" a="1"/>
  <c r="AR91" i="10"/>
  <c r="AS91" i="10" a="1"/>
  <c r="AS91" i="10" s="1"/>
  <c r="AT91" i="10" a="1"/>
  <c r="AT91" i="10"/>
  <c r="AU91" i="10" a="1"/>
  <c r="AU91" i="10"/>
  <c r="AV91" i="10" a="1"/>
  <c r="AV91" i="10" s="1"/>
  <c r="AW91" i="10" a="1"/>
  <c r="AW91" i="10"/>
  <c r="AJ108" i="10" a="1"/>
  <c r="AJ108" i="10"/>
  <c r="AK90" i="10" a="1"/>
  <c r="AK90" i="10"/>
  <c r="AL90" i="10" a="1"/>
  <c r="AL90" i="10" s="1"/>
  <c r="AM90" i="10" a="1"/>
  <c r="AM90" i="10" s="1"/>
  <c r="AN90" i="10" a="1"/>
  <c r="AN90" i="10" s="1"/>
  <c r="AO90" i="10" a="1"/>
  <c r="AO90" i="10"/>
  <c r="AP90" i="10" a="1"/>
  <c r="AP90" i="10" s="1"/>
  <c r="AQ90" i="10" a="1"/>
  <c r="AQ90" i="10"/>
  <c r="AR90" i="10" a="1"/>
  <c r="AR90" i="10"/>
  <c r="AS90" i="10" a="1"/>
  <c r="AS90" i="10" s="1"/>
  <c r="AT90" i="10" a="1"/>
  <c r="AT90" i="10"/>
  <c r="AU90" i="10" a="1"/>
  <c r="AU90" i="10"/>
  <c r="AV90" i="10" a="1"/>
  <c r="AV90" i="10" s="1"/>
  <c r="AW90" i="10" a="1"/>
  <c r="AW90" i="10"/>
  <c r="AJ90" i="10" a="1"/>
  <c r="AJ90" i="10" s="1"/>
  <c r="AK50" i="10"/>
  <c r="AK52" i="10"/>
  <c r="BD14" i="10"/>
  <c r="AM47" i="10"/>
  <c r="AK47" i="10"/>
  <c r="AV53" i="10"/>
  <c r="AU53" i="10"/>
  <c r="AT53" i="10"/>
  <c r="AS53" i="10"/>
  <c r="AR53" i="10"/>
  <c r="AQ53" i="10"/>
  <c r="AP53" i="10"/>
  <c r="AO53" i="10"/>
  <c r="AN53" i="10"/>
  <c r="AM53" i="10"/>
  <c r="AL53" i="10"/>
  <c r="AK53" i="10"/>
  <c r="AV52" i="10"/>
  <c r="AU52" i="10"/>
  <c r="AT52" i="10"/>
  <c r="AS52" i="10"/>
  <c r="AR52" i="10"/>
  <c r="AQ52" i="10"/>
  <c r="AP52" i="10"/>
  <c r="AO52" i="10"/>
  <c r="AN52" i="10"/>
  <c r="AM52" i="10"/>
  <c r="AL52" i="10"/>
  <c r="AV50" i="10"/>
  <c r="AU50" i="10"/>
  <c r="AT50" i="10"/>
  <c r="AS50" i="10"/>
  <c r="AR50" i="10"/>
  <c r="AQ50" i="10"/>
  <c r="AP50" i="10"/>
  <c r="AO50" i="10"/>
  <c r="AN50" i="10"/>
  <c r="AM50" i="10"/>
  <c r="AL50" i="10"/>
  <c r="AV49" i="10"/>
  <c r="AU49" i="10"/>
  <c r="AT49" i="10"/>
  <c r="AS49" i="10"/>
  <c r="AR49" i="10"/>
  <c r="AQ49" i="10"/>
  <c r="AP49" i="10"/>
  <c r="AO49" i="10"/>
  <c r="AN49" i="10"/>
  <c r="AM49" i="10"/>
  <c r="AL49" i="10"/>
  <c r="AK49" i="10"/>
  <c r="AV48" i="10"/>
  <c r="AU48" i="10"/>
  <c r="AT48" i="10"/>
  <c r="AS48" i="10"/>
  <c r="AR48" i="10"/>
  <c r="AQ48" i="10"/>
  <c r="AP48" i="10"/>
  <c r="AO48" i="10"/>
  <c r="AN48" i="10"/>
  <c r="AM48" i="10"/>
  <c r="AL48" i="10"/>
  <c r="AK48" i="10"/>
  <c r="AV47" i="10"/>
  <c r="AU47" i="10"/>
  <c r="AT47" i="10"/>
  <c r="AS47" i="10"/>
  <c r="AR47" i="10"/>
  <c r="AQ47" i="10"/>
  <c r="AP47" i="10"/>
  <c r="AO47" i="10"/>
  <c r="AN47" i="10"/>
  <c r="AL47" i="10"/>
  <c r="BM19" i="10"/>
  <c r="BL19" i="10"/>
  <c r="BK19" i="10"/>
  <c r="BJ19" i="10"/>
  <c r="BI19" i="10"/>
  <c r="BH19" i="10"/>
  <c r="BG19" i="10"/>
  <c r="BF19" i="10"/>
  <c r="BE19" i="10"/>
  <c r="BD19" i="10"/>
  <c r="BC19" i="10"/>
  <c r="BM18" i="10"/>
  <c r="BL18" i="10"/>
  <c r="BK18" i="10"/>
  <c r="BJ18" i="10"/>
  <c r="BI18" i="10"/>
  <c r="BH18" i="10"/>
  <c r="BG18" i="10"/>
  <c r="BF18" i="10"/>
  <c r="BE18" i="10"/>
  <c r="BD18" i="10"/>
  <c r="BC18" i="10"/>
  <c r="BM17" i="10"/>
  <c r="BL17" i="10"/>
  <c r="BK17" i="10"/>
  <c r="BJ17" i="10"/>
  <c r="BI17" i="10"/>
  <c r="BH17" i="10"/>
  <c r="BG17" i="10"/>
  <c r="BF17" i="10"/>
  <c r="BE17" i="10"/>
  <c r="BD17" i="10"/>
  <c r="BC17" i="10"/>
  <c r="BM16" i="10"/>
  <c r="BL16" i="10"/>
  <c r="BK16" i="10"/>
  <c r="BJ16" i="10"/>
  <c r="BI16" i="10"/>
  <c r="BH16" i="10"/>
  <c r="BG16" i="10"/>
  <c r="BF16" i="10"/>
  <c r="BE16" i="10"/>
  <c r="BD16" i="10"/>
  <c r="BC16" i="10"/>
  <c r="BM15" i="10"/>
  <c r="BL15" i="10"/>
  <c r="BK15" i="10"/>
  <c r="BJ15" i="10"/>
  <c r="BI15" i="10"/>
  <c r="BH15" i="10"/>
  <c r="BG15" i="10"/>
  <c r="BF15" i="10"/>
  <c r="BE15" i="10"/>
  <c r="BD15" i="10"/>
  <c r="BC15" i="10"/>
  <c r="BM14" i="10"/>
  <c r="BL14" i="10"/>
  <c r="BK14" i="10"/>
  <c r="BJ14" i="10"/>
  <c r="BI14" i="10"/>
  <c r="BH14" i="10"/>
  <c r="BG14" i="10"/>
  <c r="BF14" i="10"/>
  <c r="BE14" i="10"/>
  <c r="BC14" i="10"/>
  <c r="BA19" i="10"/>
  <c r="AZ19" i="10"/>
  <c r="AY19" i="10"/>
  <c r="AX19" i="10"/>
  <c r="AW19" i="10"/>
  <c r="AV19" i="10"/>
  <c r="BA18" i="10"/>
  <c r="AZ18" i="10"/>
  <c r="AY18" i="10"/>
  <c r="AX18" i="10"/>
  <c r="AW18" i="10"/>
  <c r="AV18" i="10"/>
  <c r="BA17" i="10"/>
  <c r="AZ17" i="10"/>
  <c r="AY17" i="10"/>
  <c r="AX17" i="10"/>
  <c r="AW17" i="10"/>
  <c r="AV17" i="10"/>
  <c r="BA16" i="10"/>
  <c r="AZ16" i="10"/>
  <c r="AY16" i="10"/>
  <c r="AX16" i="10"/>
  <c r="AW16" i="10"/>
  <c r="AV16" i="10"/>
  <c r="BA15" i="10"/>
  <c r="AZ15" i="10"/>
  <c r="AY15" i="10"/>
  <c r="AX15" i="10"/>
  <c r="AW15" i="10"/>
  <c r="AV15" i="10"/>
  <c r="BA14" i="10"/>
  <c r="AZ14" i="10"/>
  <c r="AY14" i="10"/>
  <c r="AX14" i="10"/>
  <c r="AW14" i="10"/>
  <c r="AV14" i="10"/>
  <c r="AX119" i="10" l="1"/>
  <c r="AW108" i="10" a="1"/>
  <c r="AW108" i="10" s="1"/>
  <c r="AK108" i="10" a="1"/>
  <c r="AK108" i="10"/>
  <c r="AL108" i="10" a="1"/>
  <c r="AL108" i="10" s="1"/>
  <c r="AM108" i="10" a="1"/>
  <c r="AM108" i="10"/>
  <c r="AN108" i="10" a="1"/>
  <c r="AN108" i="10"/>
  <c r="AO108" i="10" a="1"/>
  <c r="AO108" i="10" s="1"/>
  <c r="AP108" i="10" a="1"/>
  <c r="AP108" i="10"/>
  <c r="AQ108" i="10" a="1"/>
  <c r="AQ108" i="10"/>
  <c r="AR108" i="10" a="1"/>
  <c r="AR108" i="10" s="1"/>
  <c r="AS108" i="10" a="1"/>
  <c r="AS108" i="10"/>
  <c r="AT108" i="10" a="1"/>
  <c r="AT108" i="10"/>
  <c r="AU108" i="10" a="1"/>
  <c r="AU108" i="10" s="1"/>
  <c r="AV108" i="10" a="1"/>
  <c r="AV108" i="10"/>
  <c r="AK119" i="10" a="1"/>
  <c r="AK119" i="10" s="1"/>
  <c r="AL119" i="10" a="1"/>
  <c r="AL119" i="10" s="1"/>
  <c r="AM119" i="10" a="1"/>
  <c r="AM119" i="10"/>
  <c r="AN119" i="10" a="1"/>
  <c r="AN119" i="10" s="1"/>
  <c r="AO119" i="10" a="1"/>
  <c r="AO119" i="10" s="1"/>
  <c r="AP119" i="10" a="1"/>
  <c r="AP119" i="10"/>
  <c r="AQ119" i="10" a="1"/>
  <c r="AQ119" i="10" s="1"/>
  <c r="AR119" i="10" a="1"/>
  <c r="AR119" i="10" s="1"/>
  <c r="AS119" i="10" a="1"/>
  <c r="AS119" i="10"/>
  <c r="AT119" i="10" a="1"/>
  <c r="AT119" i="10" s="1"/>
  <c r="AU119" i="10" a="1"/>
  <c r="AU119" i="10" s="1"/>
  <c r="AV119" i="10" a="1"/>
  <c r="AV119" i="10"/>
  <c r="AW119" i="10" a="1"/>
  <c r="AW119" i="10" s="1"/>
  <c r="AJ119" i="10" a="1"/>
  <c r="AJ119" i="10"/>
  <c r="AK118" i="10" a="1"/>
  <c r="AK118" i="10"/>
  <c r="AL118" i="10" a="1"/>
  <c r="AL118" i="10" s="1"/>
  <c r="AM118" i="10" a="1"/>
  <c r="AM118" i="10"/>
  <c r="AN118" i="10" a="1"/>
  <c r="AN118" i="10"/>
  <c r="AO118" i="10" a="1"/>
  <c r="AO118" i="10" s="1"/>
  <c r="AP118" i="10" a="1"/>
  <c r="AP118" i="10"/>
  <c r="AQ118" i="10" a="1"/>
  <c r="AQ118" i="10"/>
  <c r="AR118" i="10" a="1"/>
  <c r="AR118" i="10" s="1"/>
  <c r="AS118" i="10" a="1"/>
  <c r="AS118" i="10"/>
  <c r="AT118" i="10" a="1"/>
  <c r="AT118" i="10"/>
  <c r="AU118" i="10" a="1"/>
  <c r="AU118" i="10" s="1"/>
  <c r="AV118" i="10" a="1"/>
  <c r="AV118" i="10"/>
  <c r="AW118" i="10" a="1"/>
  <c r="AW118" i="10" s="1"/>
  <c r="AJ118" i="10" a="1"/>
  <c r="AJ118" i="10"/>
  <c r="AJ117" i="10" a="1"/>
  <c r="AJ117" i="10"/>
  <c r="AJ116" i="10" a="1"/>
  <c r="AJ116" i="10"/>
  <c r="AJ115" i="10" a="1"/>
  <c r="AJ115" i="10"/>
  <c r="AJ114" i="10" a="1"/>
  <c r="AJ114" i="10"/>
  <c r="AJ113" i="10" a="1"/>
  <c r="AJ113" i="10" s="1"/>
  <c r="AJ112" i="10" a="1"/>
  <c r="AJ112" i="10" s="1"/>
  <c r="AJ111" i="10" a="1"/>
  <c r="AJ111" i="10"/>
  <c r="AJ110" i="10" a="1"/>
  <c r="AJ110" i="10" s="1"/>
  <c r="AJ109" i="10" a="1"/>
  <c r="AJ109" i="10" s="1"/>
  <c r="AR102" i="10"/>
  <c r="AX101" i="10"/>
  <c r="AX100" i="10"/>
  <c r="AX99" i="10"/>
  <c r="AX98" i="10"/>
  <c r="AX97" i="10"/>
  <c r="AX96" i="10"/>
  <c r="AX95" i="10"/>
  <c r="AX94" i="10"/>
  <c r="AX93" i="10"/>
  <c r="AX92" i="10"/>
  <c r="AX91" i="10"/>
  <c r="AW102" i="10"/>
  <c r="AV102" i="10"/>
  <c r="AU102" i="10"/>
  <c r="AT102" i="10"/>
  <c r="AS102" i="10"/>
  <c r="AQ102" i="10"/>
  <c r="AP102" i="10"/>
  <c r="AO102" i="10"/>
  <c r="AN102" i="10"/>
  <c r="AM102" i="10"/>
  <c r="AL102" i="10"/>
  <c r="AK102" i="10"/>
  <c r="AK60" i="10"/>
  <c r="AN60" i="10"/>
  <c r="AK63" i="10"/>
  <c r="AK62" i="10"/>
  <c r="AU63" i="10"/>
  <c r="AQ62" i="10"/>
  <c r="AK42" i="10"/>
  <c r="AK59" i="10"/>
  <c r="AK58" i="10"/>
  <c r="AK57" i="10"/>
  <c r="AK37" i="10"/>
  <c r="BM29" i="10"/>
  <c r="AV60" i="10" s="1"/>
  <c r="BL29" i="10"/>
  <c r="AU60" i="10" s="1"/>
  <c r="BK29" i="10"/>
  <c r="AT60" i="10" s="1"/>
  <c r="BJ29" i="10"/>
  <c r="AS60" i="10" s="1"/>
  <c r="BE29" i="10"/>
  <c r="BD29" i="10"/>
  <c r="AM60" i="10" s="1"/>
  <c r="BM28" i="10"/>
  <c r="AV63" i="10" s="1"/>
  <c r="BL28" i="10"/>
  <c r="BH28" i="10"/>
  <c r="AQ63" i="10" s="1"/>
  <c r="BM27" i="10"/>
  <c r="AV62" i="10" s="1"/>
  <c r="BL27" i="10"/>
  <c r="AU62" i="10" s="1"/>
  <c r="BH27" i="10"/>
  <c r="BG27" i="10"/>
  <c r="AP62" i="10" s="1"/>
  <c r="BM26" i="10"/>
  <c r="AV59" i="10" s="1"/>
  <c r="BL26" i="10"/>
  <c r="AU59" i="10" s="1"/>
  <c r="BH26" i="10"/>
  <c r="AQ59" i="10" s="1"/>
  <c r="BG26" i="10"/>
  <c r="AP59" i="10" s="1"/>
  <c r="BF26" i="10"/>
  <c r="AO59" i="10" s="1"/>
  <c r="BM25" i="10"/>
  <c r="AV58" i="10" s="1"/>
  <c r="BL25" i="10"/>
  <c r="AU58" i="10" s="1"/>
  <c r="BK25" i="10"/>
  <c r="AT58" i="10" s="1"/>
  <c r="BE25" i="10"/>
  <c r="AN58" i="10" s="1"/>
  <c r="BM24" i="10"/>
  <c r="AV57" i="10" s="1"/>
  <c r="BL24" i="10"/>
  <c r="AU57" i="10" s="1"/>
  <c r="BK24" i="10"/>
  <c r="AT57" i="10" s="1"/>
  <c r="BJ24" i="10"/>
  <c r="AS57" i="10" s="1"/>
  <c r="BE24" i="10"/>
  <c r="AN57" i="10" s="1"/>
  <c r="BD24" i="10"/>
  <c r="AM57" i="10" s="1"/>
  <c r="AX24" i="10"/>
  <c r="AV28" i="10"/>
  <c r="BA29" i="10"/>
  <c r="BH29" i="10" s="1"/>
  <c r="AQ60" i="10" s="1"/>
  <c r="AZ29" i="10"/>
  <c r="BG29" i="10" s="1"/>
  <c r="AP60" i="10" s="1"/>
  <c r="AY29" i="10"/>
  <c r="BF29" i="10" s="1"/>
  <c r="AO60" i="10" s="1"/>
  <c r="AX29" i="10"/>
  <c r="AW29" i="10"/>
  <c r="AV29" i="10"/>
  <c r="BA28" i="10"/>
  <c r="BK28" i="10" s="1"/>
  <c r="AT63" i="10" s="1"/>
  <c r="AZ28" i="10"/>
  <c r="BD28" i="10" s="1"/>
  <c r="AM63" i="10" s="1"/>
  <c r="AY28" i="10"/>
  <c r="BI28" i="10" s="1"/>
  <c r="AR63" i="10" s="1"/>
  <c r="AX28" i="10"/>
  <c r="AW28" i="10"/>
  <c r="BA27" i="10"/>
  <c r="BK27" i="10" s="1"/>
  <c r="AT62" i="10" s="1"/>
  <c r="AZ27" i="10"/>
  <c r="BJ27" i="10" s="1"/>
  <c r="AS62" i="10" s="1"/>
  <c r="AY27" i="10"/>
  <c r="BF27" i="10" s="1"/>
  <c r="AO62" i="10" s="1"/>
  <c r="AX27" i="10"/>
  <c r="AW27" i="10"/>
  <c r="AV27" i="10"/>
  <c r="BA26" i="10"/>
  <c r="BK26" i="10" s="1"/>
  <c r="AT59" i="10" s="1"/>
  <c r="AZ26" i="10"/>
  <c r="BJ26" i="10" s="1"/>
  <c r="AS59" i="10" s="1"/>
  <c r="AY26" i="10"/>
  <c r="BI26" i="10" s="1"/>
  <c r="AR59" i="10" s="1"/>
  <c r="AX26" i="10"/>
  <c r="AW26" i="10"/>
  <c r="AV26" i="10"/>
  <c r="BA25" i="10"/>
  <c r="BH25" i="10" s="1"/>
  <c r="AQ58" i="10" s="1"/>
  <c r="AZ25" i="10"/>
  <c r="BG25" i="10" s="1"/>
  <c r="AP58" i="10" s="1"/>
  <c r="AY25" i="10"/>
  <c r="BF25" i="10" s="1"/>
  <c r="AO58" i="10" s="1"/>
  <c r="AX25" i="10"/>
  <c r="AW25" i="10"/>
  <c r="AV25" i="10"/>
  <c r="BA24" i="10"/>
  <c r="BH24" i="10" s="1"/>
  <c r="AQ57" i="10" s="1"/>
  <c r="AZ24" i="10"/>
  <c r="BG24" i="10" s="1"/>
  <c r="AP57" i="10" s="1"/>
  <c r="AY24" i="10"/>
  <c r="BI24" i="10" s="1"/>
  <c r="AR57" i="10" s="1"/>
  <c r="AW24" i="10"/>
  <c r="AV24" i="10"/>
  <c r="AS113" i="10" l="1" a="1"/>
  <c r="AS113" i="10" s="1"/>
  <c r="AK113" i="10" a="1"/>
  <c r="AK113" i="10" s="1"/>
  <c r="AO113" i="10" a="1"/>
  <c r="AO113" i="10" s="1"/>
  <c r="AT113" i="10" a="1"/>
  <c r="AT113" i="10" s="1"/>
  <c r="AP113" i="10" a="1"/>
  <c r="AP113" i="10" s="1"/>
  <c r="AL113" i="10" a="1"/>
  <c r="AL113" i="10" s="1"/>
  <c r="AQ113" i="10" a="1"/>
  <c r="AQ113" i="10" s="1"/>
  <c r="AX113" i="10" s="1"/>
  <c r="AU113" i="10" a="1"/>
  <c r="AU113" i="10" s="1"/>
  <c r="AM113" i="10" a="1"/>
  <c r="AM113" i="10" s="1"/>
  <c r="AV113" i="10" a="1"/>
  <c r="AV113" i="10" s="1"/>
  <c r="AN113" i="10" a="1"/>
  <c r="AN113" i="10" s="1"/>
  <c r="AR113" i="10" a="1"/>
  <c r="AR113" i="10" s="1"/>
  <c r="AW113" i="10" a="1"/>
  <c r="AW113" i="10" s="1"/>
  <c r="AN117" i="10" a="1"/>
  <c r="AN117" i="10" s="1"/>
  <c r="AS117" i="10" a="1"/>
  <c r="AS117" i="10" s="1"/>
  <c r="AT117" i="10" a="1"/>
  <c r="AT117" i="10" s="1"/>
  <c r="AK117" i="10" a="1"/>
  <c r="AK117" i="10" s="1"/>
  <c r="AO117" i="10" a="1"/>
  <c r="AO117" i="10" s="1"/>
  <c r="AU117" i="10" a="1"/>
  <c r="AU117" i="10" s="1"/>
  <c r="AP117" i="10" a="1"/>
  <c r="AP117" i="10" s="1"/>
  <c r="AV117" i="10" a="1"/>
  <c r="AV117" i="10" s="1"/>
  <c r="AL117" i="10" a="1"/>
  <c r="AL117" i="10" s="1"/>
  <c r="AQ117" i="10" a="1"/>
  <c r="AQ117" i="10" s="1"/>
  <c r="AW117" i="10" a="1"/>
  <c r="AW117" i="10" s="1"/>
  <c r="AM117" i="10" a="1"/>
  <c r="AM117" i="10" s="1"/>
  <c r="AR117" i="10" a="1"/>
  <c r="AR117" i="10" s="1"/>
  <c r="AO114" i="10" a="1"/>
  <c r="AO114" i="10" s="1"/>
  <c r="AK114" i="10" a="1"/>
  <c r="AK114" i="10" s="1"/>
  <c r="AP114" i="10" a="1"/>
  <c r="AP114" i="10" s="1"/>
  <c r="AT114" i="10" a="1"/>
  <c r="AT114" i="10" s="1"/>
  <c r="AL114" i="10" a="1"/>
  <c r="AL114" i="10" s="1"/>
  <c r="AU114" i="10" a="1"/>
  <c r="AU114" i="10" s="1"/>
  <c r="AM114" i="10" a="1"/>
  <c r="AM114" i="10" s="1"/>
  <c r="AQ114" i="10" a="1"/>
  <c r="AQ114" i="10" s="1"/>
  <c r="AV114" i="10" a="1"/>
  <c r="AV114" i="10" s="1"/>
  <c r="AR114" i="10" a="1"/>
  <c r="AR114" i="10" s="1"/>
  <c r="AN114" i="10" a="1"/>
  <c r="AN114" i="10" s="1"/>
  <c r="AW114" i="10" a="1"/>
  <c r="AW114" i="10" s="1"/>
  <c r="AS114" i="10" a="1"/>
  <c r="AS114" i="10" s="1"/>
  <c r="AK111" i="10" a="1"/>
  <c r="AK111" i="10" s="1"/>
  <c r="AO111" i="10" a="1"/>
  <c r="AO111" i="10" s="1"/>
  <c r="AP111" i="10" a="1"/>
  <c r="AP111" i="10" s="1"/>
  <c r="AV111" i="10" a="1"/>
  <c r="AV111" i="10" s="1"/>
  <c r="AL111" i="10" a="1"/>
  <c r="AL111" i="10" s="1"/>
  <c r="AQ111" i="10" a="1"/>
  <c r="AQ111" i="10" s="1"/>
  <c r="AW111" i="10" a="1"/>
  <c r="AW111" i="10" s="1"/>
  <c r="AR111" i="10" a="1"/>
  <c r="AR111" i="10" s="1"/>
  <c r="AN111" i="10" a="1"/>
  <c r="AN111" i="10" s="1"/>
  <c r="AS111" i="10" a="1"/>
  <c r="AS111" i="10" s="1"/>
  <c r="AT111" i="10" a="1"/>
  <c r="AT111" i="10" s="1"/>
  <c r="AX118" i="10"/>
  <c r="BC28" i="10"/>
  <c r="AL63" i="10" s="1"/>
  <c r="BF24" i="10"/>
  <c r="AO57" i="10" s="1"/>
  <c r="BC27" i="10"/>
  <c r="AL62" i="10" s="1"/>
  <c r="BI27" i="10"/>
  <c r="AR62" i="10" s="1"/>
  <c r="BJ28" i="10"/>
  <c r="AS63" i="10" s="1"/>
  <c r="BD27" i="10"/>
  <c r="AM62" i="10" s="1"/>
  <c r="BC25" i="10"/>
  <c r="AL58" i="10" s="1"/>
  <c r="BI25" i="10"/>
  <c r="AR58" i="10" s="1"/>
  <c r="AL115" i="10" s="1" a="1"/>
  <c r="AL115" i="10" s="1"/>
  <c r="BD26" i="10"/>
  <c r="AM59" i="10" s="1"/>
  <c r="BE27" i="10"/>
  <c r="AN62" i="10" s="1"/>
  <c r="BF28" i="10"/>
  <c r="AO63" i="10" s="1"/>
  <c r="BC29" i="10"/>
  <c r="AL60" i="10" s="1"/>
  <c r="BC26" i="10"/>
  <c r="AL59" i="10" s="1"/>
  <c r="BE28" i="10"/>
  <c r="AN63" i="10" s="1"/>
  <c r="BC24" i="10"/>
  <c r="AL57" i="10" s="1"/>
  <c r="BD25" i="10"/>
  <c r="AM58" i="10" s="1"/>
  <c r="AT110" i="10" s="1" a="1"/>
  <c r="AT110" i="10" s="1"/>
  <c r="BJ25" i="10"/>
  <c r="AS58" i="10" s="1"/>
  <c r="AV116" i="10" s="1" a="1"/>
  <c r="AV116" i="10" s="1"/>
  <c r="BE26" i="10"/>
  <c r="AN59" i="10" s="1"/>
  <c r="AU111" i="10" s="1" a="1"/>
  <c r="AU111" i="10" s="1"/>
  <c r="BG28" i="10"/>
  <c r="AP63" i="10" s="1"/>
  <c r="BI29" i="10"/>
  <c r="AR60" i="10" s="1"/>
  <c r="AM115" i="10" s="1" a="1"/>
  <c r="AM115" i="10" s="1"/>
  <c r="AS72" i="10" a="1"/>
  <c r="AS72" i="10" s="1"/>
  <c r="AT72" i="10" a="1"/>
  <c r="AT72" i="10" s="1"/>
  <c r="AJ72" i="10" a="1"/>
  <c r="AJ72" i="10" s="1"/>
  <c r="AX114" i="10"/>
  <c r="AX117" i="10"/>
  <c r="AJ102" i="10"/>
  <c r="AX90" i="10"/>
  <c r="AV38" i="10"/>
  <c r="AV42" i="10"/>
  <c r="AV37" i="10"/>
  <c r="AU38" i="10"/>
  <c r="AU42" i="10"/>
  <c r="AU37" i="10"/>
  <c r="AR37" i="10"/>
  <c r="AP42" i="10"/>
  <c r="AO37" i="10"/>
  <c r="AN39" i="10"/>
  <c r="AK38" i="10"/>
  <c r="AL72" i="10" s="1" a="1"/>
  <c r="AL72" i="10" s="1"/>
  <c r="AK39" i="10"/>
  <c r="AK43" i="10"/>
  <c r="AK40" i="10"/>
  <c r="BM5" i="10"/>
  <c r="BM6" i="10"/>
  <c r="AV39" i="10" s="1"/>
  <c r="BM7" i="10"/>
  <c r="BM8" i="10"/>
  <c r="AV43" i="10" s="1"/>
  <c r="BM9" i="10"/>
  <c r="AV40" i="10" s="1"/>
  <c r="BM4" i="10"/>
  <c r="BL5" i="10"/>
  <c r="BL6" i="10"/>
  <c r="AU39" i="10" s="1"/>
  <c r="BL7" i="10"/>
  <c r="BL8" i="10"/>
  <c r="AU43" i="10" s="1"/>
  <c r="BL9" i="10"/>
  <c r="AU40" i="10" s="1"/>
  <c r="BL4" i="10"/>
  <c r="BJ5" i="10"/>
  <c r="AS38" i="10" s="1"/>
  <c r="BI6" i="10"/>
  <c r="AR39" i="10" s="1"/>
  <c r="BK6" i="10"/>
  <c r="AT39" i="10" s="1"/>
  <c r="BJ7" i="10"/>
  <c r="AS42" i="10" s="1"/>
  <c r="BJ8" i="10"/>
  <c r="AS43" i="10" s="1"/>
  <c r="BK8" i="10"/>
  <c r="AT43" i="10" s="1"/>
  <c r="BJ9" i="10"/>
  <c r="AS40" i="10" s="1"/>
  <c r="BI4" i="10"/>
  <c r="BF6" i="10"/>
  <c r="AO39" i="10" s="1"/>
  <c r="BF7" i="10"/>
  <c r="AO42" i="10" s="1"/>
  <c r="BG7" i="10"/>
  <c r="BF9" i="10"/>
  <c r="AO40" i="10" s="1"/>
  <c r="BF4" i="10"/>
  <c r="BD5" i="10"/>
  <c r="AM38" i="10" s="1"/>
  <c r="BC6" i="10"/>
  <c r="AL39" i="10" s="1"/>
  <c r="BE6" i="10"/>
  <c r="BD7" i="10"/>
  <c r="AM42" i="10" s="1"/>
  <c r="BD8" i="10"/>
  <c r="AM43" i="10" s="1"/>
  <c r="BE8" i="10"/>
  <c r="AN43" i="10" s="1"/>
  <c r="BD9" i="10"/>
  <c r="AM40" i="10" s="1"/>
  <c r="BD4" i="10"/>
  <c r="AM37" i="10" s="1"/>
  <c r="BC4" i="10"/>
  <c r="AL37" i="10" s="1"/>
  <c r="AW4" i="10"/>
  <c r="AX4" i="10"/>
  <c r="AY4" i="10"/>
  <c r="AZ4" i="10"/>
  <c r="BJ4" i="10" s="1"/>
  <c r="AS37" i="10" s="1"/>
  <c r="BA4" i="10"/>
  <c r="BE4" i="10" s="1"/>
  <c r="AN37" i="10" s="1"/>
  <c r="AW5" i="10"/>
  <c r="AX5" i="10"/>
  <c r="AY5" i="10"/>
  <c r="BF5" i="10" s="1"/>
  <c r="AO38" i="10" s="1"/>
  <c r="AZ5" i="10"/>
  <c r="BG5" i="10" s="1"/>
  <c r="AP38" i="10" s="1"/>
  <c r="BA5" i="10"/>
  <c r="BK5" i="10" s="1"/>
  <c r="AT38" i="10" s="1"/>
  <c r="AW6" i="10"/>
  <c r="AX6" i="10"/>
  <c r="AY6" i="10"/>
  <c r="AZ6" i="10"/>
  <c r="BD6" i="10" s="1"/>
  <c r="AM39" i="10" s="1"/>
  <c r="BA6" i="10"/>
  <c r="BH6" i="10" s="1"/>
  <c r="AQ39" i="10" s="1"/>
  <c r="AW7" i="10"/>
  <c r="AX7" i="10"/>
  <c r="AY7" i="10"/>
  <c r="BI7" i="10" s="1"/>
  <c r="AR42" i="10" s="1"/>
  <c r="AZ7" i="10"/>
  <c r="BA7" i="10"/>
  <c r="BK7" i="10" s="1"/>
  <c r="AT42" i="10" s="1"/>
  <c r="AW8" i="10"/>
  <c r="AX8" i="10"/>
  <c r="AY8" i="10"/>
  <c r="BI8" i="10" s="1"/>
  <c r="AR43" i="10" s="1"/>
  <c r="AZ8" i="10"/>
  <c r="BG8" i="10" s="1"/>
  <c r="AP43" i="10" s="1"/>
  <c r="BA8" i="10"/>
  <c r="BH8" i="10" s="1"/>
  <c r="AQ43" i="10" s="1"/>
  <c r="AW9" i="10"/>
  <c r="AX9" i="10"/>
  <c r="AY9" i="10"/>
  <c r="BI9" i="10" s="1"/>
  <c r="AR40" i="10" s="1"/>
  <c r="AZ9" i="10"/>
  <c r="BG9" i="10" s="1"/>
  <c r="AP40" i="10" s="1"/>
  <c r="BA9" i="10"/>
  <c r="BK9" i="10" s="1"/>
  <c r="AT40" i="10" s="1"/>
  <c r="AV5" i="10"/>
  <c r="AV6" i="10"/>
  <c r="AV7" i="10"/>
  <c r="AV8" i="10"/>
  <c r="AV9" i="10"/>
  <c r="AV4" i="10"/>
  <c r="AM74" i="10" l="1" a="1"/>
  <c r="AM74" i="10" s="1"/>
  <c r="AU74" i="10" a="1"/>
  <c r="AU74" i="10" s="1"/>
  <c r="AN74" i="10" a="1"/>
  <c r="AN74" i="10" s="1"/>
  <c r="AR74" i="10" a="1"/>
  <c r="AR74" i="10" s="1"/>
  <c r="AS74" i="10" a="1"/>
  <c r="AS74" i="10" s="1"/>
  <c r="AW74" i="10" a="1"/>
  <c r="AW74" i="10" s="1"/>
  <c r="AQ74" i="10" a="1"/>
  <c r="AQ74" i="10" s="1"/>
  <c r="AK74" i="10" a="1"/>
  <c r="AK74" i="10" s="1"/>
  <c r="AT74" i="10" a="1"/>
  <c r="AT74" i="10" s="1"/>
  <c r="AJ74" i="10" a="1"/>
  <c r="AJ74" i="10" s="1"/>
  <c r="AL74" i="10" a="1"/>
  <c r="AL74" i="10" s="1"/>
  <c r="AO74" i="10" a="1"/>
  <c r="AO74" i="10" s="1"/>
  <c r="AV74" i="10" a="1"/>
  <c r="AV74" i="10" s="1"/>
  <c r="AP74" i="10" a="1"/>
  <c r="AP74" i="10" s="1"/>
  <c r="AU80" i="10" a="1"/>
  <c r="AU80" i="10" s="1"/>
  <c r="AJ80" i="10" a="1"/>
  <c r="AJ80" i="10" s="1"/>
  <c r="AX111" i="10"/>
  <c r="AO79" i="10" a="1"/>
  <c r="AO79" i="10" s="1"/>
  <c r="AN79" i="10" a="1"/>
  <c r="AN79" i="10" s="1"/>
  <c r="AS82" i="10" a="1"/>
  <c r="AS82" i="10" s="1"/>
  <c r="AK82" i="10" a="1"/>
  <c r="AK82" i="10" s="1"/>
  <c r="AO82" i="10" a="1"/>
  <c r="AO82" i="10" s="1"/>
  <c r="AT82" i="10" a="1"/>
  <c r="AT82" i="10" s="1"/>
  <c r="AJ82" i="10" a="1"/>
  <c r="AJ82" i="10" s="1"/>
  <c r="AP82" i="10" a="1"/>
  <c r="AP82" i="10" s="1"/>
  <c r="AL82" i="10" a="1"/>
  <c r="AL82" i="10" s="1"/>
  <c r="AQ82" i="10" a="1"/>
  <c r="AQ82" i="10" s="1"/>
  <c r="AU82" i="10" a="1"/>
  <c r="AU82" i="10" s="1"/>
  <c r="AM82" i="10" a="1"/>
  <c r="AM82" i="10" s="1"/>
  <c r="AV82" i="10" a="1"/>
  <c r="AV82" i="10" s="1"/>
  <c r="AR82" i="10" a="1"/>
  <c r="AR82" i="10" s="1"/>
  <c r="AW82" i="10" a="1"/>
  <c r="AW82" i="10" s="1"/>
  <c r="AN82" i="10" a="1"/>
  <c r="AN82" i="10" s="1"/>
  <c r="AP110" i="10" a="1"/>
  <c r="AP110" i="10" s="1"/>
  <c r="AK110" i="10" a="1"/>
  <c r="AK110" i="10" s="1"/>
  <c r="AM110" i="10" a="1"/>
  <c r="AM110" i="10" s="1"/>
  <c r="AQ116" i="10" a="1"/>
  <c r="AQ116" i="10" s="1"/>
  <c r="AV115" i="10" a="1"/>
  <c r="AV115" i="10" s="1"/>
  <c r="BC9" i="10"/>
  <c r="AL40" i="10" s="1"/>
  <c r="AQ73" i="10" s="1" a="1"/>
  <c r="AQ73" i="10" s="1"/>
  <c r="BC7" i="10"/>
  <c r="AL42" i="10" s="1"/>
  <c r="BC5" i="10"/>
  <c r="AL38" i="10" s="1"/>
  <c r="AN73" i="10" s="1" a="1"/>
  <c r="AN73" i="10" s="1"/>
  <c r="BH9" i="10"/>
  <c r="AQ40" i="10" s="1"/>
  <c r="BI5" i="10"/>
  <c r="AR38" i="10" s="1"/>
  <c r="AW79" i="10" s="1" a="1"/>
  <c r="AW79" i="10" s="1"/>
  <c r="AP72" i="10" a="1"/>
  <c r="AP72" i="10" s="1"/>
  <c r="AU72" i="10" a="1"/>
  <c r="AU72" i="10" s="1"/>
  <c r="AM111" i="10" a="1"/>
  <c r="AM111" i="10" s="1"/>
  <c r="AL110" i="10" a="1"/>
  <c r="AL110" i="10" s="1"/>
  <c r="AU110" i="10" a="1"/>
  <c r="AU110" i="10" s="1"/>
  <c r="AM72" i="10" a="1"/>
  <c r="AM72" i="10" s="1"/>
  <c r="AW116" i="10" a="1"/>
  <c r="AW116" i="10" s="1"/>
  <c r="AM116" i="10" a="1"/>
  <c r="AM116" i="10" s="1"/>
  <c r="AR115" i="10" a="1"/>
  <c r="AR115" i="10" s="1"/>
  <c r="AT115" i="10" a="1"/>
  <c r="AT115" i="10" s="1"/>
  <c r="AL76" i="10" a="1"/>
  <c r="AL76" i="10" s="1"/>
  <c r="AP76" i="10" a="1"/>
  <c r="AP76" i="10" s="1"/>
  <c r="AW76" i="10" a="1"/>
  <c r="AW76" i="10" s="1"/>
  <c r="AM76" i="10" a="1"/>
  <c r="AM76" i="10" s="1"/>
  <c r="AT76" i="10" a="1"/>
  <c r="AT76" i="10" s="1"/>
  <c r="AJ76" i="10" a="1"/>
  <c r="AJ76" i="10" s="1"/>
  <c r="AN76" i="10" a="1"/>
  <c r="AN76" i="10" s="1"/>
  <c r="AU76" i="10" a="1"/>
  <c r="AU76" i="10" s="1"/>
  <c r="AS76" i="10" a="1"/>
  <c r="AS76" i="10" s="1"/>
  <c r="AV76" i="10" a="1"/>
  <c r="AV76" i="10" s="1"/>
  <c r="AO76" i="10" a="1"/>
  <c r="AO76" i="10" s="1"/>
  <c r="AK76" i="10" a="1"/>
  <c r="AK76" i="10" s="1"/>
  <c r="AR76" i="10" a="1"/>
  <c r="AR76" i="10" s="1"/>
  <c r="AQ76" i="10" a="1"/>
  <c r="AQ76" i="10" s="1"/>
  <c r="AO83" i="10" a="1"/>
  <c r="AO83" i="10" s="1"/>
  <c r="AJ83" i="10" a="1"/>
  <c r="AJ83" i="10" s="1"/>
  <c r="AX83" i="10" s="1"/>
  <c r="AK83" i="10" a="1"/>
  <c r="AK83" i="10" s="1"/>
  <c r="AP83" i="10" a="1"/>
  <c r="AP83" i="10" s="1"/>
  <c r="AT83" i="10" a="1"/>
  <c r="AT83" i="10" s="1"/>
  <c r="AL83" i="10" a="1"/>
  <c r="AL83" i="10" s="1"/>
  <c r="AU83" i="10" a="1"/>
  <c r="AU83" i="10" s="1"/>
  <c r="AM83" i="10" a="1"/>
  <c r="AM83" i="10" s="1"/>
  <c r="AQ83" i="10" a="1"/>
  <c r="AQ83" i="10" s="1"/>
  <c r="AV83" i="10" a="1"/>
  <c r="AV83" i="10" s="1"/>
  <c r="AR83" i="10" a="1"/>
  <c r="AR83" i="10" s="1"/>
  <c r="AN83" i="10" a="1"/>
  <c r="AN83" i="10" s="1"/>
  <c r="AS83" i="10" a="1"/>
  <c r="AS83" i="10" s="1"/>
  <c r="AW83" i="10" a="1"/>
  <c r="AW83" i="10" s="1"/>
  <c r="BG6" i="10"/>
  <c r="AP39" i="10" s="1"/>
  <c r="AW72" i="10" a="1"/>
  <c r="AW72" i="10" s="1"/>
  <c r="AS110" i="10" a="1"/>
  <c r="AS110" i="10" s="1"/>
  <c r="AN110" i="10" a="1"/>
  <c r="AN110" i="10" s="1"/>
  <c r="AK116" i="10" a="1"/>
  <c r="AK116" i="10" s="1"/>
  <c r="AS116" i="10" a="1"/>
  <c r="AS116" i="10" s="1"/>
  <c r="AU116" i="10" a="1"/>
  <c r="AU116" i="10" s="1"/>
  <c r="AK115" i="10" a="1"/>
  <c r="AK115" i="10" s="1"/>
  <c r="AP115" i="10" a="1"/>
  <c r="AP115" i="10" s="1"/>
  <c r="AO110" i="10" a="1"/>
  <c r="AO110" i="10" s="1"/>
  <c r="AQ110" i="10" a="1"/>
  <c r="AQ110" i="10" s="1"/>
  <c r="AT116" i="10" a="1"/>
  <c r="AT116" i="10" s="1"/>
  <c r="AN116" i="10" a="1"/>
  <c r="AN116" i="10" s="1"/>
  <c r="AL116" i="10" a="1"/>
  <c r="AL116" i="10" s="1"/>
  <c r="AN115" i="10" a="1"/>
  <c r="AN115" i="10" s="1"/>
  <c r="BF8" i="10"/>
  <c r="AO43" i="10" s="1"/>
  <c r="BJ6" i="10"/>
  <c r="AS39" i="10" s="1"/>
  <c r="AK80" i="10" s="1" a="1"/>
  <c r="AK80" i="10" s="1"/>
  <c r="AX108" i="10"/>
  <c r="BC8" i="10"/>
  <c r="AL43" i="10" s="1"/>
  <c r="BG4" i="10"/>
  <c r="AP37" i="10" s="1"/>
  <c r="BH7" i="10"/>
  <c r="AQ42" i="10" s="1"/>
  <c r="BH5" i="10"/>
  <c r="AQ38" i="10" s="1"/>
  <c r="AQ72" i="10" a="1"/>
  <c r="AQ72" i="10" s="1"/>
  <c r="AO109" i="10" a="1"/>
  <c r="AO109" i="10" s="1"/>
  <c r="AT109" i="10" a="1"/>
  <c r="AT109" i="10" s="1"/>
  <c r="AK109" i="10" a="1"/>
  <c r="AK109" i="10" s="1"/>
  <c r="AP109" i="10" a="1"/>
  <c r="AP109" i="10" s="1"/>
  <c r="AP120" i="10" s="1"/>
  <c r="AJ120" i="10"/>
  <c r="AL109" i="10" a="1"/>
  <c r="AL109" i="10" s="1"/>
  <c r="AQ109" i="10" a="1"/>
  <c r="AQ109" i="10" s="1"/>
  <c r="AU109" i="10" a="1"/>
  <c r="AU109" i="10" s="1"/>
  <c r="AU120" i="10" s="1"/>
  <c r="AM109" i="10" a="1"/>
  <c r="AM109" i="10" s="1"/>
  <c r="AV109" i="10" a="1"/>
  <c r="AV109" i="10" s="1"/>
  <c r="AV120" i="10" s="1"/>
  <c r="AN109" i="10" a="1"/>
  <c r="AN109" i="10" s="1"/>
  <c r="AR109" i="10" a="1"/>
  <c r="AR109" i="10" s="1"/>
  <c r="AW109" i="10" a="1"/>
  <c r="AW109" i="10" s="1"/>
  <c r="AS109" i="10" a="1"/>
  <c r="AS109" i="10" s="1"/>
  <c r="AS120" i="10" s="1"/>
  <c r="AV110" i="10" a="1"/>
  <c r="AV110" i="10" s="1"/>
  <c r="AX110" i="10"/>
  <c r="AP116" i="10" a="1"/>
  <c r="AP116" i="10" s="1"/>
  <c r="AR116" i="10" a="1"/>
  <c r="AR116" i="10" s="1"/>
  <c r="AW115" i="10" a="1"/>
  <c r="AW115" i="10" s="1"/>
  <c r="AU115" i="10" a="1"/>
  <c r="AU115" i="10" s="1"/>
  <c r="AS115" i="10" a="1"/>
  <c r="AS115" i="10" s="1"/>
  <c r="BH4" i="10"/>
  <c r="AQ37" i="10" s="1"/>
  <c r="BK4" i="10"/>
  <c r="AT37" i="10" s="1"/>
  <c r="BE9" i="10"/>
  <c r="AN40" i="10" s="1"/>
  <c r="BE7" i="10"/>
  <c r="AN42" i="10" s="1"/>
  <c r="BE5" i="10"/>
  <c r="AN38" i="10" s="1"/>
  <c r="AK75" i="10" s="1" a="1"/>
  <c r="AK75" i="10" s="1"/>
  <c r="AR72" i="10" a="1"/>
  <c r="AR72" i="10" s="1"/>
  <c r="AV72" i="10" a="1"/>
  <c r="AV72" i="10" s="1"/>
  <c r="AO72" i="10" a="1"/>
  <c r="AO72" i="10" s="1"/>
  <c r="AN72" i="10" a="1"/>
  <c r="AN72" i="10" s="1"/>
  <c r="AK72" i="10" a="1"/>
  <c r="AK72" i="10" s="1"/>
  <c r="AQ112" i="10" a="1"/>
  <c r="AQ112" i="10" s="1"/>
  <c r="AU112" i="10" a="1"/>
  <c r="AU112" i="10" s="1"/>
  <c r="AN112" i="10" a="1"/>
  <c r="AN112" i="10" s="1"/>
  <c r="AV112" i="10" a="1"/>
  <c r="AV112" i="10" s="1"/>
  <c r="AK112" i="10" a="1"/>
  <c r="AK112" i="10" s="1"/>
  <c r="AR112" i="10" a="1"/>
  <c r="AR112" i="10" s="1"/>
  <c r="AO112" i="10" a="1"/>
  <c r="AO112" i="10" s="1"/>
  <c r="AS112" i="10" a="1"/>
  <c r="AS112" i="10" s="1"/>
  <c r="AW112" i="10" a="1"/>
  <c r="AW112" i="10" s="1"/>
  <c r="AL112" i="10" a="1"/>
  <c r="AL112" i="10" s="1"/>
  <c r="AP112" i="10" a="1"/>
  <c r="AP112" i="10" s="1"/>
  <c r="AM112" i="10" a="1"/>
  <c r="AM112" i="10" s="1"/>
  <c r="AT112" i="10" a="1"/>
  <c r="AT112" i="10" s="1"/>
  <c r="AW110" i="10" a="1"/>
  <c r="AW110" i="10" s="1"/>
  <c r="AR110" i="10" a="1"/>
  <c r="AR110" i="10" s="1"/>
  <c r="AO116" i="10" a="1"/>
  <c r="AO116" i="10" s="1"/>
  <c r="AO115" i="10" a="1"/>
  <c r="AO115" i="10" s="1"/>
  <c r="AQ115" i="10" a="1"/>
  <c r="AQ115" i="10" s="1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1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C52" i="9"/>
  <c r="D52" i="9"/>
  <c r="E52" i="9"/>
  <c r="F52" i="9"/>
  <c r="G52" i="9"/>
  <c r="H52" i="9"/>
  <c r="I52" i="9"/>
  <c r="J52" i="9"/>
  <c r="K52" i="9"/>
  <c r="L52" i="9"/>
  <c r="M52" i="9"/>
  <c r="N52" i="9"/>
  <c r="AK26" i="9"/>
  <c r="AF26" i="9"/>
  <c r="AG26" i="9"/>
  <c r="Z26" i="9"/>
  <c r="AC26" i="9"/>
  <c r="AE26" i="9"/>
  <c r="Y26" i="9"/>
  <c r="AM26" i="9" s="1"/>
  <c r="V26" i="9"/>
  <c r="AJ26" i="9" s="1"/>
  <c r="N26" i="9"/>
  <c r="T26" i="9" s="1"/>
  <c r="AH26" i="9" s="1"/>
  <c r="O26" i="9"/>
  <c r="AA26" i="9" s="1"/>
  <c r="P26" i="9"/>
  <c r="AB26" i="9" s="1"/>
  <c r="Q26" i="9"/>
  <c r="R26" i="9"/>
  <c r="AD26" i="9" s="1"/>
  <c r="S26" i="9"/>
  <c r="C87" i="10"/>
  <c r="G66" i="10"/>
  <c r="H24" i="10"/>
  <c r="H65" i="10"/>
  <c r="D49" i="9"/>
  <c r="D51" i="9"/>
  <c r="C48" i="9"/>
  <c r="C49" i="9"/>
  <c r="C50" i="9"/>
  <c r="C51" i="9"/>
  <c r="C47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55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E23" i="8"/>
  <c r="AF23" i="8"/>
  <c r="AG23" i="8"/>
  <c r="AH23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N23" i="8"/>
  <c r="AO23" i="8"/>
  <c r="AP23" i="8"/>
  <c r="AQ23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AX115" i="10" l="1"/>
  <c r="AM75" i="10" a="1"/>
  <c r="AM75" i="10" s="1"/>
  <c r="AJ75" i="10" a="1"/>
  <c r="AJ75" i="10" s="1"/>
  <c r="AP73" i="10" a="1"/>
  <c r="AP73" i="10" s="1"/>
  <c r="AP84" i="10" s="1"/>
  <c r="S25" i="10"/>
  <c r="S103" i="10"/>
  <c r="AM120" i="10"/>
  <c r="AK120" i="10"/>
  <c r="AL77" i="10" a="1"/>
  <c r="AL77" i="10" s="1"/>
  <c r="AQ77" i="10" a="1"/>
  <c r="AQ77" i="10" s="1"/>
  <c r="AV77" i="10" a="1"/>
  <c r="AV77" i="10" s="1"/>
  <c r="AM77" i="10" a="1"/>
  <c r="AM77" i="10" s="1"/>
  <c r="AR77" i="10" a="1"/>
  <c r="AR77" i="10" s="1"/>
  <c r="AO77" i="10" a="1"/>
  <c r="AO77" i="10" s="1"/>
  <c r="AJ77" i="10" a="1"/>
  <c r="AJ77" i="10" s="1"/>
  <c r="AK77" i="10" a="1"/>
  <c r="AK77" i="10" s="1"/>
  <c r="AU77" i="10" a="1"/>
  <c r="AU77" i="10" s="1"/>
  <c r="AS77" i="10" a="1"/>
  <c r="AS77" i="10" s="1"/>
  <c r="AT77" i="10" a="1"/>
  <c r="AT77" i="10" s="1"/>
  <c r="AN77" i="10" a="1"/>
  <c r="AN77" i="10" s="1"/>
  <c r="AW77" i="10" a="1"/>
  <c r="AW77" i="10" s="1"/>
  <c r="AP77" i="10" a="1"/>
  <c r="AP77" i="10" s="1"/>
  <c r="AV79" i="10" a="1"/>
  <c r="AV79" i="10" s="1"/>
  <c r="AU79" i="10" a="1"/>
  <c r="AU79" i="10" s="1"/>
  <c r="AL80" i="10" a="1"/>
  <c r="AL80" i="10" s="1"/>
  <c r="AS80" i="10" a="1"/>
  <c r="AS80" i="10" s="1"/>
  <c r="AP80" i="10" a="1"/>
  <c r="AP80" i="10" s="1"/>
  <c r="AU75" i="10" a="1"/>
  <c r="AU75" i="10" s="1"/>
  <c r="AS75" i="10" a="1"/>
  <c r="AS75" i="10" s="1"/>
  <c r="AR73" i="10" a="1"/>
  <c r="AR73" i="10" s="1"/>
  <c r="AR84" i="10" s="1"/>
  <c r="AK73" i="10" a="1"/>
  <c r="AK73" i="10" s="1"/>
  <c r="AK78" i="10" a="1"/>
  <c r="AK78" i="10" s="1"/>
  <c r="AK84" i="10" s="1"/>
  <c r="AR78" i="10" a="1"/>
  <c r="AR78" i="10" s="1"/>
  <c r="AO78" i="10" a="1"/>
  <c r="AO78" i="10" s="1"/>
  <c r="AV78" i="10" a="1"/>
  <c r="AV78" i="10" s="1"/>
  <c r="AP78" i="10" a="1"/>
  <c r="AP78" i="10" s="1"/>
  <c r="AT78" i="10" a="1"/>
  <c r="AT78" i="10" s="1"/>
  <c r="AM78" i="10" a="1"/>
  <c r="AM78" i="10" s="1"/>
  <c r="AU78" i="10" a="1"/>
  <c r="AU78" i="10" s="1"/>
  <c r="AJ78" i="10" a="1"/>
  <c r="AJ78" i="10" s="1"/>
  <c r="AQ78" i="10" a="1"/>
  <c r="AQ78" i="10" s="1"/>
  <c r="AS78" i="10" a="1"/>
  <c r="AS78" i="10" s="1"/>
  <c r="AL78" i="10" a="1"/>
  <c r="AL78" i="10" s="1"/>
  <c r="AN78" i="10" a="1"/>
  <c r="AN78" i="10" s="1"/>
  <c r="AW78" i="10" a="1"/>
  <c r="AW78" i="10" s="1"/>
  <c r="AT120" i="10"/>
  <c r="AR79" i="10" a="1"/>
  <c r="AR79" i="10" s="1"/>
  <c r="AM79" i="10" a="1"/>
  <c r="AM79" i="10" s="1"/>
  <c r="AR80" i="10" a="1"/>
  <c r="AR80" i="10" s="1"/>
  <c r="AM80" i="10" a="1"/>
  <c r="AM80" i="10" s="1"/>
  <c r="AX80" i="10" s="1"/>
  <c r="AW80" i="10" a="1"/>
  <c r="AW80" i="10" s="1"/>
  <c r="AV75" i="10" a="1"/>
  <c r="AV75" i="10" s="1"/>
  <c r="AQ75" i="10" a="1"/>
  <c r="AQ75" i="10" s="1"/>
  <c r="AN75" i="10" a="1"/>
  <c r="AN75" i="10" s="1"/>
  <c r="AN84" i="10" s="1"/>
  <c r="AJ73" i="10" a="1"/>
  <c r="AJ73" i="10" s="1"/>
  <c r="AT73" i="10" a="1"/>
  <c r="AT73" i="10" s="1"/>
  <c r="AX72" i="10"/>
  <c r="AW120" i="10"/>
  <c r="AQ120" i="10"/>
  <c r="AO120" i="10"/>
  <c r="AX116" i="10"/>
  <c r="AJ79" i="10" a="1"/>
  <c r="AJ79" i="10" s="1"/>
  <c r="AS79" i="10" a="1"/>
  <c r="AS79" i="10" s="1"/>
  <c r="AQ79" i="10" a="1"/>
  <c r="AQ79" i="10" s="1"/>
  <c r="AT80" i="10" a="1"/>
  <c r="AT80" i="10" s="1"/>
  <c r="AV80" i="10" a="1"/>
  <c r="AV80" i="10" s="1"/>
  <c r="AL75" i="10" a="1"/>
  <c r="AL75" i="10" s="1"/>
  <c r="AT75" i="10" a="1"/>
  <c r="AT75" i="10" s="1"/>
  <c r="AR75" i="10" a="1"/>
  <c r="AR75" i="10" s="1"/>
  <c r="AM73" i="10" a="1"/>
  <c r="AM73" i="10" s="1"/>
  <c r="AM84" i="10" s="1"/>
  <c r="AO73" i="10" a="1"/>
  <c r="AO73" i="10" s="1"/>
  <c r="S96" i="10"/>
  <c r="AR120" i="10"/>
  <c r="AL120" i="10"/>
  <c r="AX76" i="10"/>
  <c r="AX82" i="10"/>
  <c r="AT79" i="10" a="1"/>
  <c r="AT79" i="10" s="1"/>
  <c r="AK79" i="10" a="1"/>
  <c r="AK79" i="10" s="1"/>
  <c r="AL79" i="10" a="1"/>
  <c r="AL79" i="10" s="1"/>
  <c r="AO80" i="10" a="1"/>
  <c r="AO80" i="10" s="1"/>
  <c r="AQ80" i="10" a="1"/>
  <c r="AQ80" i="10" s="1"/>
  <c r="AX74" i="10"/>
  <c r="AW75" i="10" a="1"/>
  <c r="AW75" i="10" s="1"/>
  <c r="AW84" i="10" s="1"/>
  <c r="AP75" i="10" a="1"/>
  <c r="AP75" i="10" s="1"/>
  <c r="AU73" i="10" a="1"/>
  <c r="AU73" i="10" s="1"/>
  <c r="AU84" i="10" s="1"/>
  <c r="AL73" i="10" a="1"/>
  <c r="AL73" i="10" s="1"/>
  <c r="AL84" i="10" s="1"/>
  <c r="AW73" i="10" a="1"/>
  <c r="AW73" i="10" s="1"/>
  <c r="AX112" i="10"/>
  <c r="AQ81" i="10" a="1"/>
  <c r="AQ81" i="10" s="1"/>
  <c r="AQ84" i="10" s="1"/>
  <c r="AN81" i="10" a="1"/>
  <c r="AN81" i="10" s="1"/>
  <c r="AU81" i="10" a="1"/>
  <c r="AU81" i="10" s="1"/>
  <c r="AK81" i="10" a="1"/>
  <c r="AK81" i="10" s="1"/>
  <c r="AO81" i="10" a="1"/>
  <c r="AO81" i="10" s="1"/>
  <c r="AS81" i="10" a="1"/>
  <c r="AS81" i="10" s="1"/>
  <c r="AL81" i="10" a="1"/>
  <c r="AL81" i="10" s="1"/>
  <c r="AP81" i="10" a="1"/>
  <c r="AP81" i="10" s="1"/>
  <c r="AW81" i="10" a="1"/>
  <c r="AW81" i="10" s="1"/>
  <c r="AR81" i="10" a="1"/>
  <c r="AR81" i="10" s="1"/>
  <c r="AJ81" i="10" a="1"/>
  <c r="AJ81" i="10" s="1"/>
  <c r="AV81" i="10" a="1"/>
  <c r="AV81" i="10" s="1"/>
  <c r="AT81" i="10" a="1"/>
  <c r="AT81" i="10" s="1"/>
  <c r="AM81" i="10" a="1"/>
  <c r="AM81" i="10" s="1"/>
  <c r="AN120" i="10"/>
  <c r="AX109" i="10"/>
  <c r="AP79" i="10" a="1"/>
  <c r="AP79" i="10" s="1"/>
  <c r="AN80" i="10" a="1"/>
  <c r="AN80" i="10" s="1"/>
  <c r="AO75" i="10" a="1"/>
  <c r="AO75" i="10" s="1"/>
  <c r="AO84" i="10" s="1"/>
  <c r="AS73" i="10" a="1"/>
  <c r="AS73" i="10" s="1"/>
  <c r="AV73" i="10" a="1"/>
  <c r="AV73" i="10" s="1"/>
  <c r="AV84" i="10" s="1"/>
  <c r="T96" i="10"/>
  <c r="S46" i="10"/>
  <c r="S67" i="10"/>
  <c r="T16" i="10" s="1"/>
  <c r="S88" i="10"/>
  <c r="T60" i="10"/>
  <c r="U16" i="10"/>
  <c r="S60" i="10"/>
  <c r="T88" i="10"/>
  <c r="T46" i="10"/>
  <c r="T103" i="10"/>
  <c r="T67" i="10"/>
  <c r="T25" i="10"/>
  <c r="U26" i="9"/>
  <c r="AI26" i="9" s="1"/>
  <c r="X26" i="9"/>
  <c r="AL26" i="9" s="1"/>
  <c r="S66" i="9" a="1"/>
  <c r="S66" i="9" s="1"/>
  <c r="Z25" i="9"/>
  <c r="X25" i="9"/>
  <c r="E51" i="9" s="1"/>
  <c r="AB25" i="9"/>
  <c r="S65" i="9" a="1"/>
  <c r="S65" i="9" s="1"/>
  <c r="T87" i="10"/>
  <c r="T102" i="10"/>
  <c r="T59" i="10"/>
  <c r="T95" i="10"/>
  <c r="S87" i="10"/>
  <c r="T45" i="10"/>
  <c r="S95" i="10"/>
  <c r="S59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AX77" i="10" l="1"/>
  <c r="AS84" i="10"/>
  <c r="AX75" i="10"/>
  <c r="AX79" i="10"/>
  <c r="W16" i="10"/>
  <c r="AX81" i="10"/>
  <c r="AT84" i="10"/>
  <c r="AX78" i="10"/>
  <c r="AX73" i="10"/>
  <c r="AJ84" i="10"/>
  <c r="V16" i="10"/>
  <c r="S16" i="10"/>
  <c r="Z16" i="10" s="1"/>
  <c r="AC13" i="10" s="1"/>
  <c r="S66" i="10"/>
  <c r="AM25" i="9"/>
  <c r="L51" i="9" s="1"/>
  <c r="F51" i="9"/>
  <c r="AL25" i="9"/>
  <c r="K51" i="9" s="1"/>
  <c r="S24" i="10"/>
  <c r="T66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23" i="8"/>
  <c r="V23" i="8" s="1"/>
  <c r="Q23" i="8"/>
  <c r="W23" i="8" s="1"/>
  <c r="R23" i="8"/>
  <c r="X23" i="8" s="1"/>
  <c r="S23" i="8"/>
  <c r="Y23" i="8" s="1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C56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D21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E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F21" i="10"/>
  <c r="G21" i="10"/>
  <c r="H21" i="10"/>
  <c r="I21" i="10"/>
  <c r="J21" i="10"/>
  <c r="K21" i="10"/>
  <c r="L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W12" i="10" l="1"/>
  <c r="T12" i="10"/>
  <c r="AM24" i="9"/>
  <c r="L50" i="9" s="1"/>
  <c r="F50" i="9"/>
  <c r="S12" i="10"/>
  <c r="Z12" i="10" s="1"/>
  <c r="V12" i="10"/>
  <c r="U12" i="10"/>
  <c r="T23" i="10"/>
  <c r="S23" i="10"/>
  <c r="S22" i="10"/>
  <c r="T22" i="10"/>
  <c r="S21" i="10"/>
  <c r="T21" i="10"/>
  <c r="T57" i="10"/>
  <c r="S57" i="10"/>
  <c r="T64" i="10"/>
  <c r="S64" i="10"/>
  <c r="T92" i="10"/>
  <c r="S92" i="10"/>
  <c r="T101" i="10"/>
  <c r="S101" i="10"/>
  <c r="S84" i="10"/>
  <c r="T84" i="10"/>
  <c r="T99" i="10"/>
  <c r="S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T56" i="10"/>
  <c r="S56" i="10"/>
  <c r="T63" i="10"/>
  <c r="S63" i="10"/>
  <c r="T86" i="10"/>
  <c r="S86" i="10"/>
  <c r="T58" i="10"/>
  <c r="S58" i="10"/>
  <c r="T65" i="10"/>
  <c r="S65" i="10"/>
  <c r="S85" i="10"/>
  <c r="T85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U13" i="10" l="1"/>
  <c r="V13" i="10"/>
  <c r="S13" i="10"/>
  <c r="Z13" i="10" s="1"/>
  <c r="W13" i="10"/>
  <c r="T13" i="10"/>
  <c r="W14" i="10"/>
  <c r="T14" i="10"/>
  <c r="U14" i="10"/>
  <c r="V14" i="10"/>
  <c r="S14" i="10"/>
  <c r="Z14" i="10" s="1"/>
  <c r="V11" i="10"/>
  <c r="S11" i="10"/>
  <c r="Z11" i="10" s="1"/>
  <c r="AC11" i="10" s="1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BC23" i="8"/>
  <c r="BD23" i="8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12" i="10" l="1"/>
  <c r="AC22" i="9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D62" i="9" s="1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F62" i="9" s="1"/>
  <c r="AM12" i="9"/>
  <c r="AE12" i="9"/>
  <c r="AJ14" i="9"/>
  <c r="AB14" i="9"/>
  <c r="W15" i="9"/>
  <c r="D65" i="9" s="1"/>
  <c r="AC15" i="9"/>
  <c r="AK15" i="9"/>
  <c r="E42" i="9"/>
  <c r="AD16" i="9"/>
  <c r="AL16" i="9"/>
  <c r="E67" i="9"/>
  <c r="AL17" i="9"/>
  <c r="AD17" i="9"/>
  <c r="E44" i="9"/>
  <c r="AL18" i="9"/>
  <c r="AD18" i="9"/>
  <c r="E69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F55" i="9" s="1"/>
  <c r="AE3" i="9"/>
  <c r="AM3" i="9"/>
  <c r="Y7" i="9"/>
  <c r="F58" i="9" s="1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E62" i="9"/>
  <c r="AL12" i="9"/>
  <c r="AD12" i="9"/>
  <c r="W16" i="9"/>
  <c r="D66" i="9" s="1"/>
  <c r="AC16" i="9"/>
  <c r="AK16" i="9"/>
  <c r="W20" i="9"/>
  <c r="D70" i="9" s="1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D58" i="9" s="1"/>
  <c r="AC7" i="9"/>
  <c r="AK7" i="9"/>
  <c r="W8" i="9"/>
  <c r="D34" i="9" s="1"/>
  <c r="AC8" i="9"/>
  <c r="AK8" i="9"/>
  <c r="W9" i="9"/>
  <c r="D60" i="9" s="1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F66" i="9" s="1"/>
  <c r="AM16" i="9"/>
  <c r="AE16" i="9"/>
  <c r="Y17" i="9"/>
  <c r="F67" i="9" s="1"/>
  <c r="AM17" i="9"/>
  <c r="AE17" i="9"/>
  <c r="Y18" i="9"/>
  <c r="F44" i="9" s="1"/>
  <c r="AM18" i="9"/>
  <c r="AE18" i="9"/>
  <c r="Y19" i="9"/>
  <c r="F45" i="9" s="1"/>
  <c r="AM19" i="9"/>
  <c r="AE19" i="9"/>
  <c r="Y20" i="9"/>
  <c r="F70" i="9" s="1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F57" i="9" s="1"/>
  <c r="AM6" i="9"/>
  <c r="AE6" i="9"/>
  <c r="Y9" i="9"/>
  <c r="F60" i="9" s="1"/>
  <c r="AE9" i="9"/>
  <c r="AM9" i="9"/>
  <c r="Y14" i="9"/>
  <c r="F64" i="9" s="1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D68" i="9" s="1"/>
  <c r="AK18" i="9"/>
  <c r="AC18" i="9"/>
  <c r="AL22" i="9"/>
  <c r="K48" i="9" s="1"/>
  <c r="X3" i="9"/>
  <c r="E55" i="9" s="1"/>
  <c r="AD3" i="9"/>
  <c r="H29" i="9" s="1"/>
  <c r="AL3" i="9"/>
  <c r="E56" i="9"/>
  <c r="AD4" i="9"/>
  <c r="AL4" i="9"/>
  <c r="E31" i="9"/>
  <c r="AL5" i="9"/>
  <c r="K31" i="9" s="1"/>
  <c r="AD5" i="9"/>
  <c r="H31" i="9" s="1"/>
  <c r="E57" i="9"/>
  <c r="AL6" i="9"/>
  <c r="AD6" i="9"/>
  <c r="E58" i="9"/>
  <c r="AL7" i="9"/>
  <c r="AD7" i="9"/>
  <c r="E34" i="9"/>
  <c r="AD8" i="9"/>
  <c r="AL8" i="9"/>
  <c r="E60" i="9"/>
  <c r="AD9" i="9"/>
  <c r="AL9" i="9"/>
  <c r="Y10" i="9"/>
  <c r="F36" i="9" s="1"/>
  <c r="AE10" i="9"/>
  <c r="AM10" i="9"/>
  <c r="U12" i="9"/>
  <c r="AI12" i="9"/>
  <c r="AA12" i="9"/>
  <c r="AJ13" i="9"/>
  <c r="AB13" i="9"/>
  <c r="E64" i="9"/>
  <c r="AD14" i="9"/>
  <c r="AL14" i="9"/>
  <c r="Y15" i="9"/>
  <c r="F65" i="9" s="1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55" i="9"/>
  <c r="M60" i="9"/>
  <c r="M35" i="9"/>
  <c r="M62" i="9"/>
  <c r="M38" i="9"/>
  <c r="M65" i="9"/>
  <c r="M41" i="9"/>
  <c r="M68" i="9"/>
  <c r="M44" i="9"/>
  <c r="M47" i="9"/>
  <c r="M71" i="9"/>
  <c r="E65" i="9"/>
  <c r="N31" i="9"/>
  <c r="N59" i="9"/>
  <c r="N34" i="9"/>
  <c r="N37" i="9"/>
  <c r="N64" i="9"/>
  <c r="N40" i="9"/>
  <c r="N67" i="9"/>
  <c r="N43" i="9"/>
  <c r="N70" i="9"/>
  <c r="N46" i="9"/>
  <c r="M31" i="9"/>
  <c r="M59" i="9"/>
  <c r="M34" i="9"/>
  <c r="M37" i="9"/>
  <c r="M64" i="9"/>
  <c r="M40" i="9"/>
  <c r="M67" i="9"/>
  <c r="M43" i="9"/>
  <c r="M70" i="9"/>
  <c r="M46" i="9"/>
  <c r="N57" i="9"/>
  <c r="N32" i="9"/>
  <c r="N60" i="9"/>
  <c r="N35" i="9"/>
  <c r="N62" i="9"/>
  <c r="N38" i="9"/>
  <c r="N65" i="9"/>
  <c r="N41" i="9"/>
  <c r="N68" i="9"/>
  <c r="N44" i="9"/>
  <c r="N47" i="9"/>
  <c r="N71" i="9"/>
  <c r="N55" i="9"/>
  <c r="E68" i="9"/>
  <c r="M57" i="9"/>
  <c r="M32" i="9"/>
  <c r="E43" i="9"/>
  <c r="E71" i="9"/>
  <c r="N56" i="9"/>
  <c r="N30" i="9"/>
  <c r="N58" i="9"/>
  <c r="N33" i="9"/>
  <c r="N61" i="9"/>
  <c r="N36" i="9"/>
  <c r="N39" i="9"/>
  <c r="N63" i="9"/>
  <c r="N66" i="9"/>
  <c r="N42" i="9"/>
  <c r="N45" i="9"/>
  <c r="N69" i="9"/>
  <c r="M56" i="9"/>
  <c r="M30" i="9"/>
  <c r="M58" i="9"/>
  <c r="M33" i="9"/>
  <c r="M61" i="9"/>
  <c r="M36" i="9"/>
  <c r="M39" i="9"/>
  <c r="M63" i="9"/>
  <c r="M66" i="9"/>
  <c r="M42" i="9"/>
  <c r="M45" i="9"/>
  <c r="M69" i="9"/>
  <c r="BD21" i="8"/>
  <c r="BF22" i="8"/>
  <c r="BE23" i="8"/>
  <c r="BE21" i="8"/>
  <c r="BC21" i="8"/>
  <c r="BF23" i="8"/>
  <c r="BD22" i="8"/>
  <c r="BB21" i="8"/>
  <c r="BF21" i="8"/>
  <c r="BE22" i="8"/>
  <c r="F68" i="9" l="1"/>
  <c r="D41" i="9"/>
  <c r="F63" i="9"/>
  <c r="AC65" i="9" a="1"/>
  <c r="AC65" i="9" s="1"/>
  <c r="F71" i="9"/>
  <c r="D55" i="9"/>
  <c r="D29" i="9"/>
  <c r="E59" i="9"/>
  <c r="E66" i="9"/>
  <c r="F46" i="9"/>
  <c r="E30" i="9"/>
  <c r="D61" i="9"/>
  <c r="D67" i="9"/>
  <c r="F35" i="9"/>
  <c r="L56" i="9"/>
  <c r="L30" i="9"/>
  <c r="I44" i="9"/>
  <c r="I68" i="9"/>
  <c r="I66" i="9"/>
  <c r="I42" i="9"/>
  <c r="G60" i="9"/>
  <c r="G35" i="9"/>
  <c r="G58" i="9"/>
  <c r="G33" i="9"/>
  <c r="G29" i="9"/>
  <c r="G55" i="9"/>
  <c r="G70" i="9"/>
  <c r="G46" i="9"/>
  <c r="K38" i="9"/>
  <c r="K62" i="9"/>
  <c r="I55" i="9"/>
  <c r="I29" i="9"/>
  <c r="K70" i="9"/>
  <c r="K46" i="9"/>
  <c r="H44" i="9"/>
  <c r="H68" i="9"/>
  <c r="K42" i="9"/>
  <c r="K66" i="9"/>
  <c r="H39" i="9"/>
  <c r="H63" i="9"/>
  <c r="F61" i="9"/>
  <c r="H33" i="9"/>
  <c r="H58" i="9"/>
  <c r="H70" i="9"/>
  <c r="K44" i="9"/>
  <c r="K68" i="9"/>
  <c r="H66" i="9"/>
  <c r="H42" i="9"/>
  <c r="J45" i="9"/>
  <c r="J69" i="9"/>
  <c r="K63" i="9"/>
  <c r="K39" i="9"/>
  <c r="AD65" i="9" a="1"/>
  <c r="AD65" i="9" s="1"/>
  <c r="I65" i="9"/>
  <c r="I41" i="9"/>
  <c r="L35" i="9"/>
  <c r="L60" i="9"/>
  <c r="I46" i="9"/>
  <c r="I70" i="9"/>
  <c r="J40" i="9"/>
  <c r="J64" i="9"/>
  <c r="K35" i="9"/>
  <c r="K60" i="9"/>
  <c r="K29" i="9"/>
  <c r="K55" i="9"/>
  <c r="G68" i="9"/>
  <c r="G44" i="9"/>
  <c r="I60" i="9"/>
  <c r="I35" i="9"/>
  <c r="I56" i="9"/>
  <c r="I30" i="9"/>
  <c r="L70" i="9"/>
  <c r="L46" i="9"/>
  <c r="L68" i="9"/>
  <c r="L44" i="9"/>
  <c r="L42" i="9"/>
  <c r="L66" i="9"/>
  <c r="G64" i="9"/>
  <c r="G40" i="9"/>
  <c r="E35" i="9"/>
  <c r="D71" i="9"/>
  <c r="AD66" i="9" a="1"/>
  <c r="AD66" i="9" s="1"/>
  <c r="K64" i="9"/>
  <c r="K40" i="9"/>
  <c r="H60" i="9"/>
  <c r="H35" i="9"/>
  <c r="K58" i="9"/>
  <c r="K33" i="9"/>
  <c r="H55" i="9"/>
  <c r="J68" i="9"/>
  <c r="J44" i="9"/>
  <c r="K36" i="9"/>
  <c r="K61" i="9"/>
  <c r="J59" i="9"/>
  <c r="J34" i="9"/>
  <c r="G57" i="9"/>
  <c r="G32" i="9"/>
  <c r="J30" i="9"/>
  <c r="J56" i="9"/>
  <c r="J66" i="9"/>
  <c r="J42" i="9"/>
  <c r="L58" i="9"/>
  <c r="L33" i="9"/>
  <c r="I62" i="9"/>
  <c r="I38" i="9"/>
  <c r="J61" i="9"/>
  <c r="J36" i="9"/>
  <c r="G69" i="9"/>
  <c r="G45" i="9"/>
  <c r="J39" i="9"/>
  <c r="J63" i="9"/>
  <c r="I34" i="9"/>
  <c r="I59" i="9"/>
  <c r="AC66" i="9" a="1"/>
  <c r="AC66" i="9" s="1"/>
  <c r="H40" i="9"/>
  <c r="H64" i="9"/>
  <c r="I40" i="9"/>
  <c r="I64" i="9"/>
  <c r="I32" i="9"/>
  <c r="I57" i="9"/>
  <c r="L47" i="9"/>
  <c r="L71" i="9"/>
  <c r="I45" i="9"/>
  <c r="I69" i="9"/>
  <c r="I67" i="9"/>
  <c r="I43" i="9"/>
  <c r="K41" i="9"/>
  <c r="K65" i="9"/>
  <c r="H61" i="9"/>
  <c r="H36" i="9"/>
  <c r="G59" i="9"/>
  <c r="G34" i="9"/>
  <c r="J57" i="9"/>
  <c r="J32" i="9"/>
  <c r="G56" i="9"/>
  <c r="G30" i="9"/>
  <c r="G66" i="9"/>
  <c r="G42" i="9"/>
  <c r="I33" i="9"/>
  <c r="I58" i="9"/>
  <c r="K47" i="9"/>
  <c r="K71" i="9"/>
  <c r="H45" i="9"/>
  <c r="H69" i="9"/>
  <c r="H67" i="9"/>
  <c r="H43" i="9"/>
  <c r="J65" i="9"/>
  <c r="J41" i="9"/>
  <c r="L62" i="9"/>
  <c r="L38" i="9"/>
  <c r="G61" i="9"/>
  <c r="G36" i="9"/>
  <c r="G63" i="9"/>
  <c r="G39" i="9"/>
  <c r="L59" i="9"/>
  <c r="L34" i="9"/>
  <c r="G62" i="9"/>
  <c r="G38" i="9"/>
  <c r="L36" i="9"/>
  <c r="L61" i="9"/>
  <c r="K34" i="9"/>
  <c r="K59" i="9"/>
  <c r="H32" i="9"/>
  <c r="H57" i="9"/>
  <c r="K30" i="9"/>
  <c r="K56" i="9"/>
  <c r="L63" i="9"/>
  <c r="L39" i="9"/>
  <c r="L64" i="9"/>
  <c r="L40" i="9"/>
  <c r="L57" i="9"/>
  <c r="L32" i="9"/>
  <c r="I47" i="9"/>
  <c r="I71" i="9"/>
  <c r="L69" i="9"/>
  <c r="L45" i="9"/>
  <c r="L43" i="9"/>
  <c r="L67" i="9"/>
  <c r="H41" i="9"/>
  <c r="H65" i="9"/>
  <c r="H47" i="9"/>
  <c r="H71" i="9"/>
  <c r="K69" i="9"/>
  <c r="K45" i="9"/>
  <c r="K43" i="9"/>
  <c r="K67" i="9"/>
  <c r="G65" i="9"/>
  <c r="G41" i="9"/>
  <c r="J71" i="9"/>
  <c r="J47" i="9"/>
  <c r="J67" i="9"/>
  <c r="J43" i="9"/>
  <c r="J62" i="9"/>
  <c r="J38" i="9"/>
  <c r="E32" i="9"/>
  <c r="L65" i="9"/>
  <c r="L41" i="9"/>
  <c r="I61" i="9"/>
  <c r="I36" i="9"/>
  <c r="H34" i="9"/>
  <c r="H59" i="9"/>
  <c r="K57" i="9"/>
  <c r="K32" i="9"/>
  <c r="H56" i="9"/>
  <c r="H30" i="9"/>
  <c r="I39" i="9"/>
  <c r="I63" i="9"/>
  <c r="J60" i="9"/>
  <c r="J35" i="9"/>
  <c r="J58" i="9"/>
  <c r="J33" i="9"/>
  <c r="J55" i="9"/>
  <c r="J29" i="9"/>
  <c r="J46" i="9"/>
  <c r="J70" i="9"/>
  <c r="H38" i="9"/>
  <c r="H62" i="9"/>
  <c r="L29" i="9"/>
  <c r="L55" i="9"/>
  <c r="G71" i="9"/>
  <c r="G47" i="9"/>
  <c r="G43" i="9"/>
  <c r="G67" i="9"/>
  <c r="F42" i="9"/>
  <c r="E70" i="9"/>
  <c r="F56" i="9"/>
  <c r="D69" i="9"/>
  <c r="F32" i="9"/>
  <c r="D42" i="9"/>
  <c r="D56" i="9"/>
  <c r="F33" i="9"/>
  <c r="D63" i="9"/>
  <c r="F59" i="9"/>
  <c r="D59" i="9"/>
  <c r="E61" i="9"/>
  <c r="F43" i="9"/>
  <c r="E45" i="9"/>
  <c r="E63" i="9"/>
  <c r="F69" i="9"/>
  <c r="F40" i="9"/>
  <c r="E40" i="9"/>
  <c r="E33" i="9"/>
  <c r="E29" i="9"/>
  <c r="D64" i="9"/>
  <c r="D57" i="9"/>
  <c r="F38" i="9"/>
  <c r="D38" i="9"/>
  <c r="D35" i="9"/>
  <c r="F41" i="9"/>
  <c r="D33" i="9"/>
  <c r="E38" i="9"/>
  <c r="F29" i="9"/>
  <c r="D31" i="9"/>
  <c r="D46" i="9"/>
  <c r="D44" i="9"/>
  <c r="AA66" i="9" l="1" a="1"/>
  <c r="AA66" i="9" s="1"/>
  <c r="U66" i="9" a="1"/>
  <c r="U66" i="9" s="1"/>
  <c r="U65" i="9" a="1"/>
  <c r="U65" i="9" s="1"/>
  <c r="V66" i="9" a="1"/>
  <c r="V66" i="9" s="1"/>
  <c r="T66" i="9" a="1"/>
  <c r="T66" i="9" s="1"/>
  <c r="Y65" i="9" a="1"/>
  <c r="Y65" i="9" s="1"/>
  <c r="W66" i="9" a="1"/>
  <c r="W66" i="9" s="1"/>
  <c r="AB66" i="9" a="1"/>
  <c r="AB66" i="9" s="1"/>
  <c r="Y66" i="9" a="1"/>
  <c r="Y66" i="9" s="1"/>
  <c r="X65" i="9" a="1"/>
  <c r="X65" i="9" s="1"/>
  <c r="W65" i="9" a="1"/>
  <c r="W65" i="9" s="1"/>
  <c r="T65" i="9" a="1"/>
  <c r="T65" i="9" s="1"/>
  <c r="AB65" i="9" a="1"/>
  <c r="AB65" i="9" s="1"/>
  <c r="V65" i="9" a="1"/>
  <c r="V65" i="9" s="1"/>
  <c r="Z65" i="9" a="1"/>
  <c r="Z65" i="9" s="1"/>
  <c r="Z66" i="9" a="1"/>
  <c r="Z66" i="9" s="1"/>
  <c r="AA65" i="9" a="1"/>
  <c r="AA65" i="9" s="1"/>
  <c r="X66" i="9" a="1"/>
  <c r="X66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<sst xmlns="http://schemas.openxmlformats.org/spreadsheetml/2006/main" count="987" uniqueCount="129">
  <si>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</si>
  <si>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</si>
  <si>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</si>
  <si>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</si>
  <si>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</si>
  <si>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</si>
  <si>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</si>
  <si>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</si>
  <si>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</si>
  <si>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</si>
  <si>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</si>
  <si>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</si>
  <si>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</si>
  <si>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</si>
  <si>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</si>
  <si>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</si>
  <si>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</si>
  <si>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</si>
  <si>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</si>
  <si>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</si>
  <si>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</si>
  <si>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</si>
  <si>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</si>
  <si>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</si>
  <si>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</si>
  <si>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</si>
  <si>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</si>
  <si>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</si>
  <si>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</si>
  <si>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</si>
  <si>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</si>
  <si>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</si>
  <si>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</si>
  <si>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</si>
  <si>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</si>
  <si>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</si>
  <si>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</si>
  <si>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</si>
  <si>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</si>
  <si>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</si>
  <si>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</si>
  <si>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</si>
  <si>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</si>
  <si>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</si>
  <si>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</si>
  <si>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</si>
  <si>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</si>
  <si>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</si>
  <si>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</si>
  <si>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</si>
  <si>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</si>
  <si>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</si>
  <si>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</si>
  <si>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</si>
  <si>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</si>
  <si>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</si>
  <si>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</si>
  <si>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</si>
  <si>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</si>
  <si>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</si>
  <si>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</si>
  <si>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</si>
  <si>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</si>
  <si>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</si>
  <si>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</si>
  <si>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</si>
  <si>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</si>
  <si>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</si>
  <si>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</si>
  <si>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B-axis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</si>
  <si>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</si>
  <si>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</si>
  <si>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</si>
  <si>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</si>
  <si>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</si>
  <si>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</si>
  <si>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</si>
  <si>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</si>
  <si>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</si>
  <si>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</si>
  <si>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</si>
  <si>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</si>
  <si>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</si>
  <si>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</si>
  <si>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</si>
  <si>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</si>
  <si>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</si>
  <si>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</si>
  <si>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</si>
  <si>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</si>
  <si>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</si>
  <si>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</si>
  <si>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</si>
  <si>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</si>
  <si>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</si>
  <si>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</si>
  <si>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tau</t>
  </si>
  <si>
    <t>amp</t>
  </si>
  <si>
    <t xml:space="preserve">amp factor for all storms </t>
  </si>
  <si>
    <t xml:space="preserve">SPRING </t>
  </si>
  <si>
    <t>SPRING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</si>
  <si>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</si>
  <si>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</si>
  <si>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</si>
  <si>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</si>
  <si>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</si>
  <si>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</si>
  <si>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</si>
  <si>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</si>
  <si>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</si>
  <si>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</si>
  <si>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1. Amp factor by season</t>
  </si>
  <si>
    <t>ST5</t>
  </si>
  <si>
    <t>ST6</t>
  </si>
  <si>
    <t>2. Amp function with tau by season</t>
  </si>
  <si>
    <t>3. Amp function with tau total</t>
  </si>
  <si>
    <t xml:space="preserve">Imp/s </t>
  </si>
  <si>
    <t>Predicted Grain Sizes</t>
  </si>
  <si>
    <t>2. Amp function season</t>
  </si>
  <si>
    <t>3. Amp function total</t>
  </si>
  <si>
    <t>Measured Grain Sizes</t>
  </si>
  <si>
    <t>Using Diameter, valid measurements</t>
  </si>
  <si>
    <t xml:space="preserve">1. Amp factor by season - Measured vs Predicted grain sizes </t>
  </si>
  <si>
    <t xml:space="preserve">3. Amp function in total - Measured vs Predicted grain sizes </t>
  </si>
  <si>
    <t>I* Amax</t>
  </si>
  <si>
    <t>I* Amedian</t>
  </si>
  <si>
    <t>I * Amean</t>
  </si>
  <si>
    <t>2. Amp function by season</t>
  </si>
  <si>
    <t>3. Amp factor in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</si>
</sst>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"/>
    <numFmt numFmtId="167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sz val="11"/>
      <color theme="1" tint="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" xfId="0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applyBorder="1"/>
    <xf numFmtId="0" fontId="0" fillId="4" borderId="0" xfId="0" applyFill="1" applyBorder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7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left"/>
    </xf>
    <xf numFmtId="0" fontId="1" fillId="0" borderId="0" xfId="0" applyFont="1" applyFill="1" applyBorder="1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 textRotation="90"/>
    </xf>
    <xf numFmtId="0" fontId="1" fillId="7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4" borderId="0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0" fillId="7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1" fillId="3" borderId="0" xfId="0" applyNumberFormat="1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2" fontId="0" fillId="0" borderId="7" xfId="0" applyNumberFormat="1" applyFill="1" applyBorder="1" applyAlignment="1">
      <alignment horizontal="center"/>
    </xf>
    <xf numFmtId="2" fontId="0" fillId="0" borderId="6" xfId="0" applyNumberFormat="1" applyFill="1" applyBorder="1" applyAlignment="1">
      <alignment horizontal="center"/>
    </xf>
    <xf numFmtId="2" fontId="0" fillId="0" borderId="8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Fill="1" applyBorder="1" applyAlignment="1">
      <alignment horizontal="center"/>
    </xf>
    <xf numFmtId="2" fontId="0" fillId="0" borderId="11" xfId="0" applyNumberFormat="1" applyFill="1" applyBorder="1" applyAlignment="1">
      <alignment horizontal="center"/>
    </xf>
    <xf numFmtId="2" fontId="0" fillId="4" borderId="1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2022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499188360730355"/>
                  <c:y val="-5.00790418837356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 formatCode="General">
                  <c:v>22.63</c:v>
                </c:pt>
                <c:pt idx="1">
                  <c:v>32.007500319999998</c:v>
                </c:pt>
                <c:pt idx="2">
                  <c:v>20.131538750000001</c:v>
                </c:pt>
                <c:pt idx="3">
                  <c:v>6.6940258559999997</c:v>
                </c:pt>
              </c:numCache>
            </c:numRef>
          </c:xVal>
          <c:yVal>
            <c:numRef>
              <c:f>storm_amplification!$Z$11:$Z$14</c:f>
              <c:numCache>
                <c:formatCode>0.00</c:formatCode>
                <c:ptCount val="4"/>
                <c:pt idx="0">
                  <c:v>4.2582264965200256</c:v>
                </c:pt>
                <c:pt idx="1">
                  <c:v>18.708710619626686</c:v>
                </c:pt>
                <c:pt idx="2">
                  <c:v>13.275072710829402</c:v>
                </c:pt>
                <c:pt idx="3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2"/>
            <c:dispRSqr val="1"/>
            <c:dispEq val="1"/>
            <c:trendlineLbl>
              <c:layout>
                <c:manualLayout>
                  <c:x val="-0.18638424771461262"/>
                  <c:y val="2.17328890207704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 formatCode="General">
                  <c:v>22.63</c:v>
                </c:pt>
                <c:pt idx="1">
                  <c:v>32.007500319999998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4.2582264965200256</c:v>
                </c:pt>
                <c:pt idx="1">
                  <c:v>18.708710619626686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594278217871741E-2"/>
                  <c:y val="3.2952732933898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6.6940258559999997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13.275072710829402</c:v>
                </c:pt>
                <c:pt idx="1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74-40EB-80D9-0EF65F02CC61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74-40EB-80D9-0EF65F02CC61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74-40EB-80D9-0EF65F02CC61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D74-40EB-80D9-0EF65F02CC61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D74-40EB-80D9-0EF65F02C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26-441C-AC55-8EACA98ABCF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26-441C-AC55-8EACA98ABCF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26-441C-AC55-8EACA98ABCF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626-441C-AC55-8EACA98ABCF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626-441C-AC55-8EACA98AB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3F-4560-9074-3764D9B41CB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43F-4560-9074-3764D9B41CB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43F-4560-9074-3764D9B41CB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43F-4560-9074-3764D9B41CB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43F-4560-9074-3764D9B41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01-4C26-BC77-767B3A285F7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01-4C26-BC77-767B3A285F7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01-4C26-BC77-767B3A285F7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01-4C26-BC77-767B3A285F7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01-4C26-BC77-767B3A285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37-449B-BE15-D08B5130B5C2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37-449B-BE15-D08B5130B5C2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437-449B-BE15-D08B5130B5C2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37-449B-BE15-D08B5130B5C2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37-449B-BE15-D08B5130B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E-468E-931A-E6095480F73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E-468E-931A-E6095480F73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E-468E-931A-E6095480F73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E-468E-931A-E6095480F73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E-468E-931A-E6095480F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9E-429E-B05F-B77A3D7D87A3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E-429E-B05F-B77A3D7D87A3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E-429E-B05F-B77A3D7D87A3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A9E-429E-B05F-B77A3D7D87A3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E-429E-B05F-B77A3D7D8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F7-4DDD-A3EE-B9EB18EBDD34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F7-4DDD-A3EE-B9EB18EBDD34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F7-4DDD-A3EE-B9EB18EBDD34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F7-4DDD-A3EE-B9EB18EBDD34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F7-4DDD-A3EE-B9EB18EBD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storm_amplification!$AK$37:$AK$40</c:f>
              <c:numCache>
                <c:formatCode>0.00</c:formatCode>
                <c:ptCount val="4"/>
                <c:pt idx="0">
                  <c:v>48.432377801424202</c:v>
                </c:pt>
                <c:pt idx="1">
                  <c:v>23.056153181930458</c:v>
                </c:pt>
                <c:pt idx="2">
                  <c:v>40.945848734445889</c:v>
                </c:pt>
                <c:pt idx="3">
                  <c:v>121.03081478713572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3C-4416-A3FA-3AC8F612A126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storm_amplification!$AN$37:$AN$40</c:f>
              <c:numCache>
                <c:formatCode>0.00</c:formatCode>
                <c:ptCount val="4"/>
                <c:pt idx="0">
                  <c:v>67.350937002666797</c:v>
                </c:pt>
                <c:pt idx="1">
                  <c:v>48.012823615060483</c:v>
                </c:pt>
                <c:pt idx="2">
                  <c:v>31.511204524949061</c:v>
                </c:pt>
                <c:pt idx="3">
                  <c:v>50.047970770631778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C-4416-A3FA-3AC8F612A126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storm_amplification!$AQ$37:$AQ$40</c:f>
              <c:numCache>
                <c:formatCode>0.00</c:formatCode>
                <c:ptCount val="4"/>
                <c:pt idx="0">
                  <c:v>77.843734132412706</c:v>
                </c:pt>
                <c:pt idx="1">
                  <c:v>69.854879427050605</c:v>
                </c:pt>
                <c:pt idx="2">
                  <c:v>56.952896606297273</c:v>
                </c:pt>
                <c:pt idx="3">
                  <c:v>63.305067507784628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3C-4416-A3FA-3AC8F612A126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storm_amplification!$AT$37:$AT$40</c:f>
              <c:numCache>
                <c:formatCode>0.00</c:formatCode>
                <c:ptCount val="4"/>
                <c:pt idx="0">
                  <c:v>101.38089267119945</c:v>
                </c:pt>
                <c:pt idx="1">
                  <c:v>78.592597973875684</c:v>
                </c:pt>
                <c:pt idx="2">
                  <c:v>48.625716570268622</c:v>
                </c:pt>
                <c:pt idx="3">
                  <c:v>62.351089332669268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63C-4416-A3FA-3AC8F612A126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63C-4416-A3FA-3AC8F612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Max Transported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C6-4BE0-B848-AC18972AC4C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C6-4BE0-B848-AC18972AC4C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storm_amplification!$AY$38:$AY$42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C6-4BE0-B848-AC18972AC4C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storm_amplification!$AY$38:$AY$41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C6-4BE0-B848-AC18972AC4C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8C6-4BE0-B848-AC18972AC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</a:t>
            </a:r>
            <a:r>
              <a:rPr lang="en-US"/>
              <a:t>Max Size</a:t>
            </a:r>
            <a:r>
              <a:rPr lang="en-US" baseline="0"/>
              <a:t>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42-4ABE-9EC8-6EE45C007D2C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42-4ABE-9EC8-6EE45C007D2C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8827865266841644"/>
                  <c:y val="0.2451921114027413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42-4ABE-9EC8-6EE45C007D2C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019269590429284"/>
                  <c:y val="0.3414054174735451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storm_amplification!$AZ$38:$AZ$41</c:f>
              <c:numCache>
                <c:formatCode>General</c:formatCode>
                <c:ptCount val="4"/>
                <c:pt idx="0">
                  <c:v>128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42-4ABE-9EC8-6EE45C007D2C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142-4ABE-9EC8-6EE45C007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7.1142343575176167E-2"/>
          <c:y val="0.83956531887369312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Radius,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DF-4495-A20F-B4779D5DFC4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DF-4495-A20F-B4779D5DFC4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DF-4495-A20F-B4779D5DFC4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storm_amplification!$BC$38:$BC$41</c:f>
              <c:numCache>
                <c:formatCode>General</c:formatCode>
                <c:ptCount val="4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FDF-4495-A20F-B4779D5DFC4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FDF-4495-A20F-B4779D5DF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D-4E66-B19A-4A9DF75B8478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FD-4E66-B19A-4A9DF75B8478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FD-4E66-B19A-4A9DF75B8478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storm_amplification!$BF$38:$BF$41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FD-4E66-B19A-4A9DF75B8478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FD-4E66-B19A-4A9DF75B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57-470D-B860-2F28345C1CBD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257-470D-B860-2F28345C1CBD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257-470D-B860-2F28345C1CBD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storm_amplification!$BG$38:$BG$41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64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257-470D-B860-2F28345C1CBD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257-470D-B860-2F28345C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Max Size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128397751317781"/>
                  <c:y val="0.120451167245275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B-474F-81DF-C8A969F8C4EE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5902408249063396"/>
                  <c:y val="0.124679151856792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FB-474F-81DF-C8A969F8C4EE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980975792304344"/>
                  <c:y val="-2.805984921530892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FB-474F-81DF-C8A969F8C4EE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storm_amplification!$BH$38:$BH$41</c:f>
              <c:numCache>
                <c:formatCode>General</c:formatCode>
                <c:ptCount val="4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CFB-474F-81DF-C8A969F8C4EE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CFB-474F-81DF-C8A969F8C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MinD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8D-4413-A75A-5AF4A75C2D2F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8D-4413-A75A-5AF4A75C2D2F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8D-4413-A75A-5AF4A75C2D2F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storm_amplification!$BI$38:$BI$41</c:f>
              <c:numCache>
                <c:formatCode>General</c:formatCode>
                <c:ptCount val="4"/>
                <c:pt idx="0">
                  <c:v>45</c:v>
                </c:pt>
                <c:pt idx="1">
                  <c:v>128</c:v>
                </c:pt>
                <c:pt idx="2">
                  <c:v>32</c:v>
                </c:pt>
                <c:pt idx="3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8D-4413-A75A-5AF4A75C2D2F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8D-4413-A75A-5AF4A75C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14-4457-BA7D-3850C39A392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14-4457-BA7D-3850C39A392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14-4457-BA7D-3850C39A392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storm_amplification!$BJ$38:$BJ$41</c:f>
              <c:numCache>
                <c:formatCode>General</c:formatCode>
                <c:ptCount val="4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414-4457-BA7D-3850C39A392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414-4457-BA7D-3850C39A3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Diameter,</a:t>
            </a:r>
            <a:r>
              <a:rPr lang="en-US" baseline="0"/>
              <a:t> Largest % -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00184235395068"/>
          <c:y val="0.16940817925849147"/>
          <c:w val="0.76822864818330439"/>
          <c:h val="0.55963181000970685"/>
        </c:manualLayout>
      </c:layout>
      <c:scatterChart>
        <c:scatterStyle val="lineMarker"/>
        <c:varyColors val="0"/>
        <c:ser>
          <c:idx val="0"/>
          <c:order val="0"/>
          <c:tx>
            <c:strRef>
              <c:f>storm_amplification!$AK$36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978324584426946"/>
                  <c:y val="6.585265383493729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storm_amplification!$AK$57:$AK$60</c:f>
              <c:numCache>
                <c:formatCode>0.00</c:formatCode>
                <c:ptCount val="4"/>
                <c:pt idx="0">
                  <c:v>23.592532434189209</c:v>
                </c:pt>
                <c:pt idx="1">
                  <c:v>25.494613307951109</c:v>
                </c:pt>
                <c:pt idx="2">
                  <c:v>42.282288448981511</c:v>
                </c:pt>
                <c:pt idx="3">
                  <c:v>36.493931005493906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F3-47C3-8347-38A52086CC65}"/>
            </c:ext>
          </c:extLst>
        </c:ser>
        <c:ser>
          <c:idx val="1"/>
          <c:order val="1"/>
          <c:tx>
            <c:strRef>
              <c:f>storm_amplification!$AL$35</c:f>
              <c:strCache>
                <c:ptCount val="1"/>
                <c:pt idx="0">
                  <c:v>Imp/s * Amax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9429335789159"/>
                  <c:y val="2.971147131893170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storm_amplification!$AN$57:$AN$60</c:f>
              <c:numCache>
                <c:formatCode>0.00</c:formatCode>
                <c:ptCount val="4"/>
                <c:pt idx="0">
                  <c:v>43.693410576363654</c:v>
                </c:pt>
                <c:pt idx="1">
                  <c:v>44.60632266612668</c:v>
                </c:pt>
                <c:pt idx="2">
                  <c:v>31.098695993070375</c:v>
                </c:pt>
                <c:pt idx="3">
                  <c:v>37.127843822750485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F3-47C3-8347-38A52086CC65}"/>
            </c:ext>
          </c:extLst>
        </c:ser>
        <c:ser>
          <c:idx val="2"/>
          <c:order val="2"/>
          <c:tx>
            <c:strRef>
              <c:f>storm_amplification!$AO$35</c:f>
              <c:strCache>
                <c:ptCount val="1"/>
                <c:pt idx="0">
                  <c:v>Imp/s * Amedian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9793773058661617"/>
                  <c:y val="-6.4609114622763142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storm_amplification!$AQ$57:$AQ$60</c:f>
              <c:numCache>
                <c:formatCode>0.00</c:formatCode>
                <c:ptCount val="4"/>
                <c:pt idx="0">
                  <c:v>65.169308726977391</c:v>
                </c:pt>
                <c:pt idx="1">
                  <c:v>66.655091622255412</c:v>
                </c:pt>
                <c:pt idx="2">
                  <c:v>57.606542971146652</c:v>
                </c:pt>
                <c:pt idx="3">
                  <c:v>55.780048424499455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F3-47C3-8347-38A52086CC65}"/>
            </c:ext>
          </c:extLst>
        </c:ser>
        <c:ser>
          <c:idx val="3"/>
          <c:order val="3"/>
          <c:tx>
            <c:strRef>
              <c:f>storm_amplification!$AR$35</c:f>
              <c:strCache>
                <c:ptCount val="1"/>
                <c:pt idx="0">
                  <c:v>Imp/s * Amean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6278437926370583"/>
                  <c:y val="-0.1114431432094920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storm_amplification!$AT$57:$AT$60</c:f>
              <c:numCache>
                <c:formatCode>0.00</c:formatCode>
                <c:ptCount val="4"/>
                <c:pt idx="0">
                  <c:v>66.75462392048108</c:v>
                </c:pt>
                <c:pt idx="1">
                  <c:v>70.38840182826543</c:v>
                </c:pt>
                <c:pt idx="2">
                  <c:v>49.948109803800001</c:v>
                </c:pt>
                <c:pt idx="3">
                  <c:v>46.303888574263681</c:v>
                </c:pt>
              </c:numCache>
            </c:numRef>
          </c:xVal>
          <c:yVal>
            <c:numRef>
              <c:f>storm_amplification!$BK$38:$BK$41</c:f>
              <c:numCache>
                <c:formatCode>General</c:formatCode>
                <c:ptCount val="4"/>
                <c:pt idx="0">
                  <c:v>90</c:v>
                </c:pt>
                <c:pt idx="1">
                  <c:v>32</c:v>
                </c:pt>
                <c:pt idx="2">
                  <c:v>64</c:v>
                </c:pt>
                <c:pt idx="3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DF3-47C3-8347-38A52086CC65}"/>
            </c:ext>
          </c:extLst>
        </c:ser>
        <c:ser>
          <c:idx val="4"/>
          <c:order val="4"/>
          <c:tx>
            <c:v>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storm_amplification!$AX$57:$AX$58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xVal>
          <c:yVal>
            <c:numRef>
              <c:f>storm_amplification!$AY$57:$AY$58</c:f>
              <c:numCache>
                <c:formatCode>General</c:formatCode>
                <c:ptCount val="2"/>
                <c:pt idx="0">
                  <c:v>0.1</c:v>
                </c:pt>
                <c:pt idx="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DF3-47C3-8347-38A52086C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16399"/>
        <c:axId val="949117359"/>
      </c:scatterChart>
      <c:valAx>
        <c:axId val="949116399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7359"/>
        <c:crosses val="autoZero"/>
        <c:crossBetween val="midCat"/>
      </c:valAx>
      <c:valAx>
        <c:axId val="949117359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11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8.885523736931901E-2"/>
          <c:y val="0.82586285088298195"/>
          <c:w val="0.8443603498509572"/>
          <c:h val="0.13302974514488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470862473751931"/>
                  <c:y val="-0.12508586552448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20.326828970179818</c:v>
                </c:pt>
                <c:pt idx="20">
                  <c:v>11.253514007053486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0177003250678"/>
                  <c:y val="8.89263778891223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21.449588919372982</c:v>
                </c:pt>
                <c:pt idx="20">
                  <c:v>10.419702497860031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400165112892049"/>
                  <c:y val="-3.757699034842642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validation!$AF$63:$AF$64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validation!$AG$63:$AG$64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10.413880038878078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validation!$F$29:$F$49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16.191244363932022</c:v>
                </c:pt>
                <c:pt idx="20">
                  <c:v>1.8208565296873807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18.016654794070547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730756017913423"/>
                  <c:y val="0.281630261608441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24.846415036386741</c:v>
                </c:pt>
                <c:pt idx="20">
                  <c:v>6.4399714308752509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888792721285175"/>
                  <c:y val="-7.089100995174213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42.234620416192008</c:v>
                </c:pt>
                <c:pt idx="20">
                  <c:v>14.35058288194206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859649035506979"/>
                  <c:y val="-0.118533387979403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13.787326381005839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13.899998366222087</c:v>
                </c:pt>
                <c:pt idx="20">
                  <c:v>1.8975963591862426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52291720211533"/>
                  <c:y val="-6.105724272091251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24.587449440053295</c:v>
                </c:pt>
                <c:pt idx="20">
                  <c:v>2.8692708932470516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93781786178804"/>
                  <c:y val="-9.3537140086356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validation!$C$55:$C$73</c:f>
              <c:numCache>
                <c:formatCode>0.00</c:formatCode>
                <c:ptCount val="19"/>
                <c:pt idx="0">
                  <c:v>170.13788672321408</c:v>
                </c:pt>
                <c:pt idx="1">
                  <c:v>124.91547576103727</c:v>
                </c:pt>
                <c:pt idx="2">
                  <c:v>134.40542286030117</c:v>
                </c:pt>
                <c:pt idx="3">
                  <c:v>70.873558375263997</c:v>
                </c:pt>
                <c:pt idx="4">
                  <c:v>136.06092919482055</c:v>
                </c:pt>
                <c:pt idx="5">
                  <c:v>41.912475789452458</c:v>
                </c:pt>
                <c:pt idx="6">
                  <c:v>60.627392053336564</c:v>
                </c:pt>
                <c:pt idx="7">
                  <c:v>51.358325096727022</c:v>
                </c:pt>
                <c:pt idx="8">
                  <c:v>29.026175842484054</c:v>
                </c:pt>
                <c:pt idx="9">
                  <c:v>33.107523226039675</c:v>
                </c:pt>
                <c:pt idx="10">
                  <c:v>61.914899095045953</c:v>
                </c:pt>
                <c:pt idx="11">
                  <c:v>77.078732996643524</c:v>
                </c:pt>
                <c:pt idx="12">
                  <c:v>56.449533285085387</c:v>
                </c:pt>
                <c:pt idx="13">
                  <c:v>149.64315802006493</c:v>
                </c:pt>
                <c:pt idx="14">
                  <c:v>83.969288966265395</c:v>
                </c:pt>
                <c:pt idx="15">
                  <c:v>105.85472635571982</c:v>
                </c:pt>
                <c:pt idx="16">
                  <c:v>129.33044418860459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5-4C2D-9B39-5122095266EE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6331689992757"/>
                  <c:y val="3.771047876884712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validation!$M$55:$M$73</c:f>
              <c:numCache>
                <c:formatCode>0.00</c:formatCode>
                <c:ptCount val="19"/>
                <c:pt idx="0">
                  <c:v>169.89765804922703</c:v>
                </c:pt>
                <c:pt idx="1">
                  <c:v>124.9174203555213</c:v>
                </c:pt>
                <c:pt idx="2">
                  <c:v>135.25667523440853</c:v>
                </c:pt>
                <c:pt idx="3">
                  <c:v>81.544222883901099</c:v>
                </c:pt>
                <c:pt idx="4">
                  <c:v>121.82064225228177</c:v>
                </c:pt>
                <c:pt idx="5">
                  <c:v>43.355909359021467</c:v>
                </c:pt>
                <c:pt idx="6">
                  <c:v>64.869902463333261</c:v>
                </c:pt>
                <c:pt idx="7">
                  <c:v>57.702606314755457</c:v>
                </c:pt>
                <c:pt idx="8">
                  <c:v>32.288976071603592</c:v>
                </c:pt>
                <c:pt idx="9">
                  <c:v>37.259478034019736</c:v>
                </c:pt>
                <c:pt idx="10">
                  <c:v>65.021916199938758</c:v>
                </c:pt>
                <c:pt idx="11">
                  <c:v>70.46297922844164</c:v>
                </c:pt>
                <c:pt idx="12">
                  <c:v>58.291618217022908</c:v>
                </c:pt>
                <c:pt idx="13">
                  <c:v>125.76252797840286</c:v>
                </c:pt>
                <c:pt idx="14">
                  <c:v>79.505927700595379</c:v>
                </c:pt>
                <c:pt idx="15">
                  <c:v>103.6725776856201</c:v>
                </c:pt>
                <c:pt idx="16">
                  <c:v>78.550772858507528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5-4C2D-9B39-5122095266EE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776373279749527"/>
                  <c:y val="-8.228298390634740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validation!$N$55:$N$73</c:f>
              <c:numCache>
                <c:formatCode>0.000</c:formatCode>
                <c:ptCount val="19"/>
                <c:pt idx="0">
                  <c:v>133.15514653210047</c:v>
                </c:pt>
                <c:pt idx="1">
                  <c:v>117.7606062622298</c:v>
                </c:pt>
                <c:pt idx="2">
                  <c:v>118.04472733890924</c:v>
                </c:pt>
                <c:pt idx="3">
                  <c:v>81.451316313498111</c:v>
                </c:pt>
                <c:pt idx="4">
                  <c:v>106.46078133472454</c:v>
                </c:pt>
                <c:pt idx="5">
                  <c:v>46.785145713770142</c:v>
                </c:pt>
                <c:pt idx="6">
                  <c:v>65.488072515951472</c:v>
                </c:pt>
                <c:pt idx="7">
                  <c:v>62.35628112113158</c:v>
                </c:pt>
                <c:pt idx="8">
                  <c:v>34.192994824386126</c:v>
                </c:pt>
                <c:pt idx="9">
                  <c:v>40.341343181762078</c:v>
                </c:pt>
                <c:pt idx="10">
                  <c:v>65.619111872906714</c:v>
                </c:pt>
                <c:pt idx="11">
                  <c:v>65.506894728831824</c:v>
                </c:pt>
                <c:pt idx="12">
                  <c:v>59.264969028968196</c:v>
                </c:pt>
                <c:pt idx="13">
                  <c:v>102.88579655946292</c:v>
                </c:pt>
                <c:pt idx="14">
                  <c:v>79.942871392242267</c:v>
                </c:pt>
                <c:pt idx="15">
                  <c:v>104.89615375820517</c:v>
                </c:pt>
                <c:pt idx="16">
                  <c:v>82.349136083326442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85-4C2D-9B39-51220952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2528821912709619"/>
          <c:y val="2.78824121980121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validation!$D$55:$D$73</c:f>
              <c:numCache>
                <c:formatCode>0.00</c:formatCode>
                <c:ptCount val="19"/>
                <c:pt idx="0">
                  <c:v>140.20478212125607</c:v>
                </c:pt>
                <c:pt idx="1">
                  <c:v>121.98210161107866</c:v>
                </c:pt>
                <c:pt idx="2">
                  <c:v>123.7435326874806</c:v>
                </c:pt>
                <c:pt idx="3">
                  <c:v>85.876366520169782</c:v>
                </c:pt>
                <c:pt idx="4">
                  <c:v>107.59112676666983</c:v>
                </c:pt>
                <c:pt idx="5">
                  <c:v>41.867392792153687</c:v>
                </c:pt>
                <c:pt idx="6">
                  <c:v>73.506287928936942</c:v>
                </c:pt>
                <c:pt idx="7">
                  <c:v>64.379743608880574</c:v>
                </c:pt>
                <c:pt idx="8">
                  <c:v>26.729741016254618</c:v>
                </c:pt>
                <c:pt idx="9">
                  <c:v>37.453358984566414</c:v>
                </c:pt>
                <c:pt idx="10">
                  <c:v>73.268766251721431</c:v>
                </c:pt>
                <c:pt idx="11">
                  <c:v>72.284807330425366</c:v>
                </c:pt>
                <c:pt idx="12">
                  <c:v>67.655167475049296</c:v>
                </c:pt>
                <c:pt idx="13">
                  <c:v>117.0924919367006</c:v>
                </c:pt>
                <c:pt idx="14">
                  <c:v>88.488861347019409</c:v>
                </c:pt>
                <c:pt idx="15">
                  <c:v>105.40601713155144</c:v>
                </c:pt>
                <c:pt idx="16">
                  <c:v>61.766288223667409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34-42E4-86F0-EB14C235C500}"/>
            </c:ext>
          </c:extLst>
        </c:ser>
        <c:ser>
          <c:idx val="1"/>
          <c:order val="1"/>
          <c:tx>
            <c:strRef>
              <c:f>validation!$E$54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validation!$E$55:$E$73</c:f>
              <c:numCache>
                <c:formatCode>0.00</c:formatCode>
                <c:ptCount val="19"/>
                <c:pt idx="0">
                  <c:v>136.67736893781731</c:v>
                </c:pt>
                <c:pt idx="1">
                  <c:v>104.51180930955813</c:v>
                </c:pt>
                <c:pt idx="2">
                  <c:v>129.11186329273659</c:v>
                </c:pt>
                <c:pt idx="3">
                  <c:v>85.586472711589053</c:v>
                </c:pt>
                <c:pt idx="4">
                  <c:v>120.95398839044022</c:v>
                </c:pt>
                <c:pt idx="5">
                  <c:v>44.047109053209546</c:v>
                </c:pt>
                <c:pt idx="6">
                  <c:v>67.423521659794304</c:v>
                </c:pt>
                <c:pt idx="7">
                  <c:v>62.129436788269096</c:v>
                </c:pt>
                <c:pt idx="8">
                  <c:v>29.302780893158321</c:v>
                </c:pt>
                <c:pt idx="9">
                  <c:v>35.635181170070645</c:v>
                </c:pt>
                <c:pt idx="10">
                  <c:v>72.256624432250675</c:v>
                </c:pt>
                <c:pt idx="11">
                  <c:v>77.350588901142373</c:v>
                </c:pt>
                <c:pt idx="12">
                  <c:v>63.747368025548859</c:v>
                </c:pt>
                <c:pt idx="13">
                  <c:v>132.55811613778886</c:v>
                </c:pt>
                <c:pt idx="14">
                  <c:v>87.897176136653073</c:v>
                </c:pt>
                <c:pt idx="15">
                  <c:v>110.4174078246312</c:v>
                </c:pt>
                <c:pt idx="16">
                  <c:v>89.345535764373693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34-42E4-86F0-EB14C235C500}"/>
            </c:ext>
          </c:extLst>
        </c:ser>
        <c:ser>
          <c:idx val="2"/>
          <c:order val="2"/>
          <c:tx>
            <c:strRef>
              <c:f>validation!$F$54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validation!$F$55:$F$73</c:f>
              <c:numCache>
                <c:formatCode>0.00</c:formatCode>
                <c:ptCount val="19"/>
                <c:pt idx="0">
                  <c:v>173.09730121961513</c:v>
                </c:pt>
                <c:pt idx="1">
                  <c:v>116.30139937718259</c:v>
                </c:pt>
                <c:pt idx="2">
                  <c:v>140.83673665076495</c:v>
                </c:pt>
                <c:pt idx="3">
                  <c:v>71.893116655880291</c:v>
                </c:pt>
                <c:pt idx="4">
                  <c:v>147.23880222177817</c:v>
                </c:pt>
                <c:pt idx="5">
                  <c:v>42.201092312198526</c:v>
                </c:pt>
                <c:pt idx="6">
                  <c:v>63.733598177371995</c:v>
                </c:pt>
                <c:pt idx="7">
                  <c:v>54.383387730375702</c:v>
                </c:pt>
                <c:pt idx="8">
                  <c:v>29.187314399682784</c:v>
                </c:pt>
                <c:pt idx="9">
                  <c:v>33.048679436080896</c:v>
                </c:pt>
                <c:pt idx="10">
                  <c:v>62.234379279742342</c:v>
                </c:pt>
                <c:pt idx="11">
                  <c:v>78.256930294095511</c:v>
                </c:pt>
                <c:pt idx="12">
                  <c:v>57.831937577403586</c:v>
                </c:pt>
                <c:pt idx="13">
                  <c:v>159.30004816175179</c:v>
                </c:pt>
                <c:pt idx="14">
                  <c:v>85.000856849137662</c:v>
                </c:pt>
                <c:pt idx="15">
                  <c:v>108.41016746365213</c:v>
                </c:pt>
                <c:pt idx="16">
                  <c:v>123.80114333174559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34-42E4-86F0-EB14C235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654071056131391"/>
                  <c:y val="-1.970216929506568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validation!$G$55:$G$73</c:f>
              <c:numCache>
                <c:formatCode>0.00</c:formatCode>
                <c:ptCount val="19"/>
                <c:pt idx="0">
                  <c:v>90.558089161382156</c:v>
                </c:pt>
                <c:pt idx="1">
                  <c:v>96.895537258451341</c:v>
                </c:pt>
                <c:pt idx="2">
                  <c:v>92.398085053033697</c:v>
                </c:pt>
                <c:pt idx="3">
                  <c:v>92.955288674846088</c:v>
                </c:pt>
                <c:pt idx="4">
                  <c:v>76.980272702208609</c:v>
                </c:pt>
                <c:pt idx="5">
                  <c:v>57.948625611358082</c:v>
                </c:pt>
                <c:pt idx="6">
                  <c:v>81.462904517616565</c:v>
                </c:pt>
                <c:pt idx="7">
                  <c:v>81.80061336729932</c:v>
                </c:pt>
                <c:pt idx="8">
                  <c:v>45.511536004395893</c:v>
                </c:pt>
                <c:pt idx="9">
                  <c:v>58.653446645596325</c:v>
                </c:pt>
                <c:pt idx="10">
                  <c:v>79.986413618078387</c:v>
                </c:pt>
                <c:pt idx="11">
                  <c:v>66.124691484964004</c:v>
                </c:pt>
                <c:pt idx="12">
                  <c:v>76.010456523730184</c:v>
                </c:pt>
                <c:pt idx="13">
                  <c:v>74.202159869010288</c:v>
                </c:pt>
                <c:pt idx="14">
                  <c:v>81.755105967722884</c:v>
                </c:pt>
                <c:pt idx="15">
                  <c:v>92.171816973530767</c:v>
                </c:pt>
                <c:pt idx="16">
                  <c:v>44.733225611822647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3-46D5-80F1-E6F85CE3711F}"/>
            </c:ext>
          </c:extLst>
        </c:ser>
        <c:ser>
          <c:idx val="1"/>
          <c:order val="1"/>
          <c:tx>
            <c:strRef>
              <c:f>validation!$H$54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74343656104649"/>
                  <c:y val="6.483965515250866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validation!$H$55:$H$73</c:f>
              <c:numCache>
                <c:formatCode>0.00</c:formatCode>
                <c:ptCount val="19"/>
                <c:pt idx="0">
                  <c:v>77.999664550375968</c:v>
                </c:pt>
                <c:pt idx="1">
                  <c:v>81.204079417039338</c:v>
                </c:pt>
                <c:pt idx="2">
                  <c:v>85.52856559883972</c:v>
                </c:pt>
                <c:pt idx="3">
                  <c:v>92.58507770149545</c:v>
                </c:pt>
                <c:pt idx="4">
                  <c:v>75.881516004892859</c:v>
                </c:pt>
                <c:pt idx="5">
                  <c:v>69.272092120439751</c:v>
                </c:pt>
                <c:pt idx="6">
                  <c:v>79.972919849723922</c:v>
                </c:pt>
                <c:pt idx="7">
                  <c:v>85.563436188246186</c:v>
                </c:pt>
                <c:pt idx="8">
                  <c:v>61.488992377664545</c:v>
                </c:pt>
                <c:pt idx="9">
                  <c:v>68.460436655574654</c:v>
                </c:pt>
                <c:pt idx="10">
                  <c:v>81.627551845893223</c:v>
                </c:pt>
                <c:pt idx="11">
                  <c:v>69.69469056896915</c:v>
                </c:pt>
                <c:pt idx="12">
                  <c:v>76.975260666647742</c:v>
                </c:pt>
                <c:pt idx="13">
                  <c:v>71.560194144637038</c:v>
                </c:pt>
                <c:pt idx="14">
                  <c:v>79.780835448751716</c:v>
                </c:pt>
                <c:pt idx="15">
                  <c:v>89.23384381157345</c:v>
                </c:pt>
                <c:pt idx="16">
                  <c:v>56.090288670208452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E3-46D5-80F1-E6F85CE3711F}"/>
            </c:ext>
          </c:extLst>
        </c:ser>
        <c:ser>
          <c:idx val="2"/>
          <c:order val="2"/>
          <c:tx>
            <c:strRef>
              <c:f>validation!$I$54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validation!$I$55:$I$73</c:f>
              <c:numCache>
                <c:formatCode>0.00</c:formatCode>
                <c:ptCount val="19"/>
                <c:pt idx="0">
                  <c:v>79.63007585891566</c:v>
                </c:pt>
                <c:pt idx="1">
                  <c:v>81.876187704922387</c:v>
                </c:pt>
                <c:pt idx="2">
                  <c:v>83.070980141291898</c:v>
                </c:pt>
                <c:pt idx="3">
                  <c:v>85.985531528468286</c:v>
                </c:pt>
                <c:pt idx="4">
                  <c:v>77.481226064024639</c:v>
                </c:pt>
                <c:pt idx="5">
                  <c:v>74.013162125296461</c:v>
                </c:pt>
                <c:pt idx="6">
                  <c:v>80.304116772503491</c:v>
                </c:pt>
                <c:pt idx="7">
                  <c:v>84.48550639804607</c:v>
                </c:pt>
                <c:pt idx="8">
                  <c:v>70.552815308484398</c:v>
                </c:pt>
                <c:pt idx="9">
                  <c:v>74.426043478554789</c:v>
                </c:pt>
                <c:pt idx="10">
                  <c:v>78.079913187331982</c:v>
                </c:pt>
                <c:pt idx="11">
                  <c:v>70.067518642076749</c:v>
                </c:pt>
                <c:pt idx="12">
                  <c:v>76.456951092625658</c:v>
                </c:pt>
                <c:pt idx="13">
                  <c:v>71.473229623766159</c:v>
                </c:pt>
                <c:pt idx="14">
                  <c:v>77.732656934099808</c:v>
                </c:pt>
                <c:pt idx="15">
                  <c:v>85.046921623305352</c:v>
                </c:pt>
                <c:pt idx="16">
                  <c:v>62.334171751547679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E3-46D5-80F1-E6F85CE3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validation!$J$55:$J$73</c:f>
              <c:numCache>
                <c:formatCode>0.00</c:formatCode>
                <c:ptCount val="19"/>
                <c:pt idx="0">
                  <c:v>115.69055578308982</c:v>
                </c:pt>
                <c:pt idx="1">
                  <c:v>106.70281022512167</c:v>
                </c:pt>
                <c:pt idx="2">
                  <c:v>107.61723280836335</c:v>
                </c:pt>
                <c:pt idx="3">
                  <c:v>94.80299551010917</c:v>
                </c:pt>
                <c:pt idx="4">
                  <c:v>86.610215637846522</c:v>
                </c:pt>
                <c:pt idx="5">
                  <c:v>49.960094706927862</c:v>
                </c:pt>
                <c:pt idx="6">
                  <c:v>79.665124750219221</c:v>
                </c:pt>
                <c:pt idx="7">
                  <c:v>75.483674105901798</c:v>
                </c:pt>
                <c:pt idx="8">
                  <c:v>37.691234286028845</c:v>
                </c:pt>
                <c:pt idx="9">
                  <c:v>50.04726348600424</c:v>
                </c:pt>
                <c:pt idx="10">
                  <c:v>78.041837468409682</c:v>
                </c:pt>
                <c:pt idx="11">
                  <c:v>67.066904345316743</c:v>
                </c:pt>
                <c:pt idx="12">
                  <c:v>72.690837058612487</c:v>
                </c:pt>
                <c:pt idx="13">
                  <c:v>87.437848887495022</c:v>
                </c:pt>
                <c:pt idx="14">
                  <c:v>81.276705714295304</c:v>
                </c:pt>
                <c:pt idx="15">
                  <c:v>94.408157533348827</c:v>
                </c:pt>
                <c:pt idx="16">
                  <c:v>39.393590301333894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D-45BA-96E0-894B08976D18}"/>
            </c:ext>
          </c:extLst>
        </c:ser>
        <c:ser>
          <c:idx val="1"/>
          <c:order val="1"/>
          <c:tx>
            <c:strRef>
              <c:f>validation!$K$54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validation!$K$55:$K$73</c:f>
              <c:numCache>
                <c:formatCode>0.00</c:formatCode>
                <c:ptCount val="19"/>
                <c:pt idx="0">
                  <c:v>104.80808060467875</c:v>
                </c:pt>
                <c:pt idx="1">
                  <c:v>89.296616178066657</c:v>
                </c:pt>
                <c:pt idx="2">
                  <c:v>105.13409920076676</c:v>
                </c:pt>
                <c:pt idx="3">
                  <c:v>98.158274727852799</c:v>
                </c:pt>
                <c:pt idx="4">
                  <c:v>87.292011909895805</c:v>
                </c:pt>
                <c:pt idx="5">
                  <c:v>56.013395171549455</c:v>
                </c:pt>
                <c:pt idx="6">
                  <c:v>76.770834106609485</c:v>
                </c:pt>
                <c:pt idx="7">
                  <c:v>78.15873008445007</c:v>
                </c:pt>
                <c:pt idx="8">
                  <c:v>46.742281417232363</c:v>
                </c:pt>
                <c:pt idx="9">
                  <c:v>54.138224612073145</c:v>
                </c:pt>
                <c:pt idx="10">
                  <c:v>79.154452898066978</c:v>
                </c:pt>
                <c:pt idx="11">
                  <c:v>68.870360997997892</c:v>
                </c:pt>
                <c:pt idx="12">
                  <c:v>71.384966106981921</c:v>
                </c:pt>
                <c:pt idx="13">
                  <c:v>86.039217466619931</c:v>
                </c:pt>
                <c:pt idx="14">
                  <c:v>78.203287693511015</c:v>
                </c:pt>
                <c:pt idx="15">
                  <c:v>93.710176589200842</c:v>
                </c:pt>
                <c:pt idx="16">
                  <c:v>44.630609217650075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AD-45BA-96E0-894B08976D18}"/>
            </c:ext>
          </c:extLst>
        </c:ser>
        <c:ser>
          <c:idx val="2"/>
          <c:order val="2"/>
          <c:tx>
            <c:strRef>
              <c:f>validation!$L$54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validation!$L$55:$L$73</c:f>
              <c:numCache>
                <c:formatCode>0.00</c:formatCode>
                <c:ptCount val="19"/>
                <c:pt idx="0">
                  <c:v>120.96917712180247</c:v>
                </c:pt>
                <c:pt idx="1">
                  <c:v>93.997996446094717</c:v>
                </c:pt>
                <c:pt idx="2">
                  <c:v>109.23972326455869</c:v>
                </c:pt>
                <c:pt idx="3">
                  <c:v>90.224757524069048</c:v>
                </c:pt>
                <c:pt idx="4">
                  <c:v>93.95480694722643</c:v>
                </c:pt>
                <c:pt idx="5">
                  <c:v>55.685978848210318</c:v>
                </c:pt>
                <c:pt idx="6">
                  <c:v>75.593228859414651</c:v>
                </c:pt>
                <c:pt idx="7">
                  <c:v>74.512929386860364</c:v>
                </c:pt>
                <c:pt idx="8">
                  <c:v>50.276244331853107</c:v>
                </c:pt>
                <c:pt idx="9">
                  <c:v>54.988390549281554</c:v>
                </c:pt>
                <c:pt idx="10">
                  <c:v>71.617119934147027</c:v>
                </c:pt>
                <c:pt idx="11">
                  <c:v>65.979985221891639</c:v>
                </c:pt>
                <c:pt idx="12">
                  <c:v>67.096997052975084</c:v>
                </c:pt>
                <c:pt idx="13">
                  <c:v>88.701170121906443</c:v>
                </c:pt>
                <c:pt idx="14">
                  <c:v>73.159115172823348</c:v>
                </c:pt>
                <c:pt idx="15">
                  <c:v>89.264074789187134</c:v>
                </c:pt>
                <c:pt idx="16">
                  <c:v>44.680885331831441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AD-45BA-96E0-894B0897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6.xml"/><Relationship Id="rId18" Type="http://schemas.openxmlformats.org/officeDocument/2006/relationships/chart" Target="../charts/chart51.xml"/><Relationship Id="rId26" Type="http://schemas.openxmlformats.org/officeDocument/2006/relationships/chart" Target="../charts/chart59.xml"/><Relationship Id="rId39" Type="http://schemas.openxmlformats.org/officeDocument/2006/relationships/chart" Target="../charts/chart72.xml"/><Relationship Id="rId21" Type="http://schemas.openxmlformats.org/officeDocument/2006/relationships/chart" Target="../charts/chart54.xml"/><Relationship Id="rId34" Type="http://schemas.openxmlformats.org/officeDocument/2006/relationships/chart" Target="../charts/chart67.xml"/><Relationship Id="rId42" Type="http://schemas.openxmlformats.org/officeDocument/2006/relationships/chart" Target="../charts/chart75.xml"/><Relationship Id="rId47" Type="http://schemas.openxmlformats.org/officeDocument/2006/relationships/chart" Target="../charts/chart80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6" Type="http://schemas.openxmlformats.org/officeDocument/2006/relationships/chart" Target="../charts/chart49.xml"/><Relationship Id="rId29" Type="http://schemas.openxmlformats.org/officeDocument/2006/relationships/chart" Target="../charts/chart62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11" Type="http://schemas.openxmlformats.org/officeDocument/2006/relationships/chart" Target="../charts/chart44.xml"/><Relationship Id="rId24" Type="http://schemas.openxmlformats.org/officeDocument/2006/relationships/chart" Target="../charts/chart57.xml"/><Relationship Id="rId32" Type="http://schemas.openxmlformats.org/officeDocument/2006/relationships/chart" Target="../charts/chart65.xml"/><Relationship Id="rId37" Type="http://schemas.openxmlformats.org/officeDocument/2006/relationships/chart" Target="../charts/chart70.xml"/><Relationship Id="rId40" Type="http://schemas.openxmlformats.org/officeDocument/2006/relationships/chart" Target="../charts/chart73.xml"/><Relationship Id="rId45" Type="http://schemas.openxmlformats.org/officeDocument/2006/relationships/chart" Target="../charts/chart78.xml"/><Relationship Id="rId5" Type="http://schemas.openxmlformats.org/officeDocument/2006/relationships/chart" Target="../charts/chart38.xml"/><Relationship Id="rId15" Type="http://schemas.openxmlformats.org/officeDocument/2006/relationships/chart" Target="../charts/chart48.xml"/><Relationship Id="rId23" Type="http://schemas.openxmlformats.org/officeDocument/2006/relationships/chart" Target="../charts/chart56.xml"/><Relationship Id="rId28" Type="http://schemas.openxmlformats.org/officeDocument/2006/relationships/chart" Target="../charts/chart61.xml"/><Relationship Id="rId36" Type="http://schemas.openxmlformats.org/officeDocument/2006/relationships/chart" Target="../charts/chart69.xml"/><Relationship Id="rId10" Type="http://schemas.openxmlformats.org/officeDocument/2006/relationships/chart" Target="../charts/chart43.xml"/><Relationship Id="rId19" Type="http://schemas.openxmlformats.org/officeDocument/2006/relationships/chart" Target="../charts/chart52.xml"/><Relationship Id="rId31" Type="http://schemas.openxmlformats.org/officeDocument/2006/relationships/chart" Target="../charts/chart64.xml"/><Relationship Id="rId44" Type="http://schemas.openxmlformats.org/officeDocument/2006/relationships/chart" Target="../charts/chart77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Relationship Id="rId14" Type="http://schemas.openxmlformats.org/officeDocument/2006/relationships/chart" Target="../charts/chart47.xml"/><Relationship Id="rId22" Type="http://schemas.openxmlformats.org/officeDocument/2006/relationships/chart" Target="../charts/chart55.xml"/><Relationship Id="rId27" Type="http://schemas.openxmlformats.org/officeDocument/2006/relationships/chart" Target="../charts/chart60.xml"/><Relationship Id="rId30" Type="http://schemas.openxmlformats.org/officeDocument/2006/relationships/chart" Target="../charts/chart63.xml"/><Relationship Id="rId35" Type="http://schemas.openxmlformats.org/officeDocument/2006/relationships/chart" Target="../charts/chart68.xml"/><Relationship Id="rId43" Type="http://schemas.openxmlformats.org/officeDocument/2006/relationships/chart" Target="../charts/chart76.xml"/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12" Type="http://schemas.openxmlformats.org/officeDocument/2006/relationships/chart" Target="../charts/chart45.xml"/><Relationship Id="rId17" Type="http://schemas.openxmlformats.org/officeDocument/2006/relationships/chart" Target="../charts/chart50.xml"/><Relationship Id="rId25" Type="http://schemas.openxmlformats.org/officeDocument/2006/relationships/chart" Target="../charts/chart58.xml"/><Relationship Id="rId33" Type="http://schemas.openxmlformats.org/officeDocument/2006/relationships/chart" Target="../charts/chart66.xml"/><Relationship Id="rId38" Type="http://schemas.openxmlformats.org/officeDocument/2006/relationships/chart" Target="../charts/chart71.xml"/><Relationship Id="rId46" Type="http://schemas.openxmlformats.org/officeDocument/2006/relationships/chart" Target="../charts/chart79.xml"/><Relationship Id="rId20" Type="http://schemas.openxmlformats.org/officeDocument/2006/relationships/chart" Target="../charts/chart53.xml"/><Relationship Id="rId41" Type="http://schemas.openxmlformats.org/officeDocument/2006/relationships/chart" Target="../charts/chart7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8.xml"/><Relationship Id="rId3" Type="http://schemas.openxmlformats.org/officeDocument/2006/relationships/chart" Target="../charts/chart83.xml"/><Relationship Id="rId7" Type="http://schemas.openxmlformats.org/officeDocument/2006/relationships/chart" Target="../charts/chart87.xml"/><Relationship Id="rId2" Type="http://schemas.openxmlformats.org/officeDocument/2006/relationships/chart" Target="../charts/chart82.xml"/><Relationship Id="rId1" Type="http://schemas.openxmlformats.org/officeDocument/2006/relationships/chart" Target="../charts/chart81.xml"/><Relationship Id="rId6" Type="http://schemas.openxmlformats.org/officeDocument/2006/relationships/chart" Target="../charts/chart86.xml"/><Relationship Id="rId5" Type="http://schemas.openxmlformats.org/officeDocument/2006/relationships/chart" Target="../charts/chart85.xml"/><Relationship Id="rId4" Type="http://schemas.openxmlformats.org/officeDocument/2006/relationships/chart" Target="../charts/chart8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422413</xdr:colOff>
      <xdr:row>34</xdr:row>
      <xdr:rowOff>16565</xdr:rowOff>
    </xdr:from>
    <xdr:to>
      <xdr:col>24</xdr:col>
      <xdr:colOff>459892</xdr:colOff>
      <xdr:row>43</xdr:row>
      <xdr:rowOff>181640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488673</xdr:colOff>
      <xdr:row>34</xdr:row>
      <xdr:rowOff>24849</xdr:rowOff>
    </xdr:from>
    <xdr:to>
      <xdr:col>27</xdr:col>
      <xdr:colOff>545766</xdr:colOff>
      <xdr:row>44</xdr:row>
      <xdr:rowOff>27374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604630</xdr:colOff>
      <xdr:row>34</xdr:row>
      <xdr:rowOff>8284</xdr:rowOff>
    </xdr:from>
    <xdr:to>
      <xdr:col>30</xdr:col>
      <xdr:colOff>596347</xdr:colOff>
      <xdr:row>44</xdr:row>
      <xdr:rowOff>41414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74544</xdr:colOff>
      <xdr:row>34</xdr:row>
      <xdr:rowOff>16566</xdr:rowOff>
    </xdr:from>
    <xdr:to>
      <xdr:col>34</xdr:col>
      <xdr:colOff>157369</xdr:colOff>
      <xdr:row>44</xdr:row>
      <xdr:rowOff>57978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323022</xdr:colOff>
      <xdr:row>44</xdr:row>
      <xdr:rowOff>57978</xdr:rowOff>
    </xdr:from>
    <xdr:to>
      <xdr:col>24</xdr:col>
      <xdr:colOff>480393</xdr:colOff>
      <xdr:row>54</xdr:row>
      <xdr:rowOff>149087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530087</xdr:colOff>
      <xdr:row>44</xdr:row>
      <xdr:rowOff>57977</xdr:rowOff>
    </xdr:from>
    <xdr:to>
      <xdr:col>27</xdr:col>
      <xdr:colOff>588066</xdr:colOff>
      <xdr:row>54</xdr:row>
      <xdr:rowOff>173934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24848</xdr:colOff>
      <xdr:row>44</xdr:row>
      <xdr:rowOff>91109</xdr:rowOff>
    </xdr:from>
    <xdr:to>
      <xdr:col>30</xdr:col>
      <xdr:colOff>571500</xdr:colOff>
      <xdr:row>54</xdr:row>
      <xdr:rowOff>173935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67236</xdr:colOff>
      <xdr:row>44</xdr:row>
      <xdr:rowOff>100854</xdr:rowOff>
    </xdr:from>
    <xdr:to>
      <xdr:col>34</xdr:col>
      <xdr:colOff>168088</xdr:colOff>
      <xdr:row>55</xdr:row>
      <xdr:rowOff>22412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302559</xdr:colOff>
      <xdr:row>55</xdr:row>
      <xdr:rowOff>0</xdr:rowOff>
    </xdr:from>
    <xdr:to>
      <xdr:col>24</xdr:col>
      <xdr:colOff>504265</xdr:colOff>
      <xdr:row>65</xdr:row>
      <xdr:rowOff>100853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504265</xdr:colOff>
      <xdr:row>55</xdr:row>
      <xdr:rowOff>11206</xdr:rowOff>
    </xdr:from>
    <xdr:to>
      <xdr:col>27</xdr:col>
      <xdr:colOff>526677</xdr:colOff>
      <xdr:row>65</xdr:row>
      <xdr:rowOff>67235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14286</xdr:colOff>
      <xdr:row>55</xdr:row>
      <xdr:rowOff>33337</xdr:rowOff>
    </xdr:from>
    <xdr:to>
      <xdr:col>30</xdr:col>
      <xdr:colOff>561975</xdr:colOff>
      <xdr:row>65</xdr:row>
      <xdr:rowOff>38101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38101</xdr:colOff>
      <xdr:row>55</xdr:row>
      <xdr:rowOff>38101</xdr:rowOff>
    </xdr:from>
    <xdr:to>
      <xdr:col>34</xdr:col>
      <xdr:colOff>180975</xdr:colOff>
      <xdr:row>65</xdr:row>
      <xdr:rowOff>57150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64</xdr:col>
      <xdr:colOff>41158</xdr:colOff>
      <xdr:row>43</xdr:row>
      <xdr:rowOff>186401</xdr:rowOff>
    </xdr:from>
    <xdr:to>
      <xdr:col>68</xdr:col>
      <xdr:colOff>137863</xdr:colOff>
      <xdr:row>58</xdr:row>
      <xdr:rowOff>109422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103E0A5-5EDB-2091-C673-C6CC672C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182685</xdr:colOff>
      <xdr:row>43</xdr:row>
      <xdr:rowOff>154246</xdr:rowOff>
    </xdr:from>
    <xdr:to>
      <xdr:col>73</xdr:col>
      <xdr:colOff>13434</xdr:colOff>
      <xdr:row>58</xdr:row>
      <xdr:rowOff>77267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538CE1A-3A82-403A-BA9B-D496C7382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73</xdr:col>
      <xdr:colOff>101523</xdr:colOff>
      <xdr:row>43</xdr:row>
      <xdr:rowOff>187864</xdr:rowOff>
    </xdr:from>
    <xdr:to>
      <xdr:col>77</xdr:col>
      <xdr:colOff>541129</xdr:colOff>
      <xdr:row>58</xdr:row>
      <xdr:rowOff>110885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B2BC7E-5C2B-4DAE-8A2D-F7A56B7B7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59501</xdr:colOff>
      <xdr:row>58</xdr:row>
      <xdr:rowOff>136317</xdr:rowOff>
    </xdr:from>
    <xdr:to>
      <xdr:col>68</xdr:col>
      <xdr:colOff>165731</xdr:colOff>
      <xdr:row>73</xdr:row>
      <xdr:rowOff>59338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3C2E01D-7C14-468C-A36E-6821EDFD8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68</xdr:col>
      <xdr:colOff>195572</xdr:colOff>
      <xdr:row>58</xdr:row>
      <xdr:rowOff>155367</xdr:rowOff>
    </xdr:from>
    <xdr:to>
      <xdr:col>73</xdr:col>
      <xdr:colOff>20135</xdr:colOff>
      <xdr:row>73</xdr:row>
      <xdr:rowOff>78388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D15E62F-835C-478A-BDD5-F5421AF48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73</xdr:col>
      <xdr:colOff>119372</xdr:colOff>
      <xdr:row>58</xdr:row>
      <xdr:rowOff>136317</xdr:rowOff>
    </xdr:from>
    <xdr:to>
      <xdr:col>77</xdr:col>
      <xdr:colOff>556257</xdr:colOff>
      <xdr:row>73</xdr:row>
      <xdr:rowOff>59338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E35B30F-84C2-43FB-BF2A-FC695406C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64</xdr:col>
      <xdr:colOff>107126</xdr:colOff>
      <xdr:row>73</xdr:row>
      <xdr:rowOff>136317</xdr:rowOff>
    </xdr:from>
    <xdr:to>
      <xdr:col>68</xdr:col>
      <xdr:colOff>213356</xdr:colOff>
      <xdr:row>88</xdr:row>
      <xdr:rowOff>59338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8B85D8-0006-4211-AD18-206E03586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68</xdr:col>
      <xdr:colOff>272332</xdr:colOff>
      <xdr:row>73</xdr:row>
      <xdr:rowOff>109423</xdr:rowOff>
    </xdr:from>
    <xdr:to>
      <xdr:col>73</xdr:col>
      <xdr:colOff>96895</xdr:colOff>
      <xdr:row>88</xdr:row>
      <xdr:rowOff>32444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75B6184-8287-4C71-8E0A-2F78A0328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101523</xdr:colOff>
      <xdr:row>73</xdr:row>
      <xdr:rowOff>109423</xdr:rowOff>
    </xdr:from>
    <xdr:to>
      <xdr:col>77</xdr:col>
      <xdr:colOff>541129</xdr:colOff>
      <xdr:row>88</xdr:row>
      <xdr:rowOff>32444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0D4CD12-D946-47C1-B1CA-2C255F97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79</xdr:col>
      <xdr:colOff>10205</xdr:colOff>
      <xdr:row>44</xdr:row>
      <xdr:rowOff>28754</xdr:rowOff>
    </xdr:from>
    <xdr:to>
      <xdr:col>83</xdr:col>
      <xdr:colOff>443687</xdr:colOff>
      <xdr:row>58</xdr:row>
      <xdr:rowOff>142275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415AE3C-16C9-48C2-BB8E-13C80FAC39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83</xdr:col>
      <xdr:colOff>488509</xdr:colOff>
      <xdr:row>43</xdr:row>
      <xdr:rowOff>187099</xdr:rowOff>
    </xdr:from>
    <xdr:to>
      <xdr:col>88</xdr:col>
      <xdr:colOff>313072</xdr:colOff>
      <xdr:row>58</xdr:row>
      <xdr:rowOff>110120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A584A5-60D5-4E2A-9865-A51F52A379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407347</xdr:colOff>
      <xdr:row>44</xdr:row>
      <xdr:rowOff>30217</xdr:rowOff>
    </xdr:from>
    <xdr:to>
      <xdr:col>93</xdr:col>
      <xdr:colOff>227827</xdr:colOff>
      <xdr:row>58</xdr:row>
      <xdr:rowOff>143738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11CB907-0C52-4D5B-847B-540562619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79</xdr:col>
      <xdr:colOff>28548</xdr:colOff>
      <xdr:row>58</xdr:row>
      <xdr:rowOff>169170</xdr:rowOff>
    </xdr:from>
    <xdr:to>
      <xdr:col>83</xdr:col>
      <xdr:colOff>471555</xdr:colOff>
      <xdr:row>73</xdr:row>
      <xdr:rowOff>92191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1B233B4-6EB7-426E-B8B7-2BECB9614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83</xdr:col>
      <xdr:colOff>501396</xdr:colOff>
      <xdr:row>58</xdr:row>
      <xdr:rowOff>188220</xdr:rowOff>
    </xdr:from>
    <xdr:to>
      <xdr:col>88</xdr:col>
      <xdr:colOff>325959</xdr:colOff>
      <xdr:row>73</xdr:row>
      <xdr:rowOff>111241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D99A646-3642-4C76-9442-A754C484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88</xdr:col>
      <xdr:colOff>425196</xdr:colOff>
      <xdr:row>58</xdr:row>
      <xdr:rowOff>169170</xdr:rowOff>
    </xdr:from>
    <xdr:to>
      <xdr:col>93</xdr:col>
      <xdr:colOff>249759</xdr:colOff>
      <xdr:row>73</xdr:row>
      <xdr:rowOff>92191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F8BE21-E9E6-4131-BEED-35538F08EA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79</xdr:col>
      <xdr:colOff>76173</xdr:colOff>
      <xdr:row>73</xdr:row>
      <xdr:rowOff>169170</xdr:rowOff>
    </xdr:from>
    <xdr:to>
      <xdr:col>83</xdr:col>
      <xdr:colOff>519180</xdr:colOff>
      <xdr:row>88</xdr:row>
      <xdr:rowOff>92191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8732EAC-3DB8-4CF8-A2FC-97B540BB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83</xdr:col>
      <xdr:colOff>578156</xdr:colOff>
      <xdr:row>73</xdr:row>
      <xdr:rowOff>142276</xdr:rowOff>
    </xdr:from>
    <xdr:to>
      <xdr:col>88</xdr:col>
      <xdr:colOff>402719</xdr:colOff>
      <xdr:row>88</xdr:row>
      <xdr:rowOff>65297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7E565855-614B-4351-AC8B-8FB36961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88</xdr:col>
      <xdr:colOff>407347</xdr:colOff>
      <xdr:row>73</xdr:row>
      <xdr:rowOff>142276</xdr:rowOff>
    </xdr:from>
    <xdr:to>
      <xdr:col>93</xdr:col>
      <xdr:colOff>227827</xdr:colOff>
      <xdr:row>88</xdr:row>
      <xdr:rowOff>65297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E6FDB8C-6464-4322-9EB5-325AC3E9D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oneCellAnchor>
    <xdr:from>
      <xdr:col>39</xdr:col>
      <xdr:colOff>767703</xdr:colOff>
      <xdr:row>64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8875112" y="123305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247650</xdr:colOff>
      <xdr:row>42</xdr:row>
      <xdr:rowOff>9525</xdr:rowOff>
    </xdr:from>
    <xdr:to>
      <xdr:col>19</xdr:col>
      <xdr:colOff>285750</xdr:colOff>
      <xdr:row>59</xdr:row>
      <xdr:rowOff>114301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DDAC1B-E4AB-40CA-A02A-E0CDC179E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381000</xdr:colOff>
      <xdr:row>42</xdr:row>
      <xdr:rowOff>38101</xdr:rowOff>
    </xdr:from>
    <xdr:to>
      <xdr:col>24</xdr:col>
      <xdr:colOff>542925</xdr:colOff>
      <xdr:row>59</xdr:row>
      <xdr:rowOff>142877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B17C26-35E6-42F3-B5C9-470540069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9525</xdr:colOff>
      <xdr:row>42</xdr:row>
      <xdr:rowOff>57150</xdr:rowOff>
    </xdr:from>
    <xdr:to>
      <xdr:col>30</xdr:col>
      <xdr:colOff>171450</xdr:colOff>
      <xdr:row>59</xdr:row>
      <xdr:rowOff>161926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DBC6944-7821-413A-A180-0C8678F0B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247650</xdr:colOff>
      <xdr:row>42</xdr:row>
      <xdr:rowOff>38100</xdr:rowOff>
    </xdr:from>
    <xdr:to>
      <xdr:col>34</xdr:col>
      <xdr:colOff>238125</xdr:colOff>
      <xdr:row>59</xdr:row>
      <xdr:rowOff>142876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6867BB3-99A3-4514-A3D0-B6B79F3C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>
      <selection activeCell="I33" sqref="I33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85" t="s">
        <v>48</v>
      </c>
      <c r="F1" s="85"/>
      <c r="G1" s="85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CB120"/>
  <sheetViews>
    <sheetView tabSelected="1" topLeftCell="AC68" zoomScale="70" zoomScaleNormal="70" workbookViewId="0">
      <selection activeCell="AY79" sqref="AY79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70</v>
      </c>
      <c r="D1" s="86" t="s">
        <v>73</v>
      </c>
      <c r="E1" s="87"/>
      <c r="F1" s="87"/>
      <c r="G1" s="87"/>
      <c r="H1" s="87"/>
      <c r="I1" s="88"/>
      <c r="J1" s="90" t="s">
        <v>121</v>
      </c>
      <c r="K1" s="90"/>
      <c r="L1" s="90"/>
      <c r="M1" s="90"/>
      <c r="N1" s="90"/>
      <c r="O1" s="90"/>
      <c r="P1" s="68"/>
      <c r="AJ1" s="101" t="s">
        <v>103</v>
      </c>
    </row>
    <row r="2" spans="2:65" x14ac:dyDescent="0.25">
      <c r="D2" s="86" t="s">
        <v>77</v>
      </c>
      <c r="E2" s="87"/>
      <c r="F2" s="87"/>
      <c r="G2" s="87" t="s">
        <v>78</v>
      </c>
      <c r="H2" s="87"/>
      <c r="I2" s="88"/>
      <c r="J2" s="86" t="s">
        <v>77</v>
      </c>
      <c r="K2" s="87"/>
      <c r="L2" s="87"/>
      <c r="M2" s="87" t="s">
        <v>78</v>
      </c>
      <c r="N2" s="87"/>
      <c r="O2" s="88"/>
      <c r="P2" s="68" t="s">
        <v>80</v>
      </c>
      <c r="AI2" s="93"/>
      <c r="AJ2" s="93" t="s">
        <v>111</v>
      </c>
      <c r="AK2" s="93"/>
      <c r="AL2" s="93"/>
      <c r="AV2" s="85" t="s">
        <v>116</v>
      </c>
      <c r="AW2" s="85"/>
      <c r="AX2" s="85"/>
      <c r="AY2" s="85"/>
      <c r="AZ2" s="85"/>
      <c r="BA2" s="85"/>
      <c r="BC2" s="85" t="s">
        <v>64</v>
      </c>
      <c r="BD2" s="85"/>
      <c r="BE2" s="85"/>
      <c r="BF2" s="85" t="s">
        <v>65</v>
      </c>
      <c r="BG2" s="85"/>
      <c r="BH2" s="85"/>
      <c r="BI2" s="85" t="s">
        <v>66</v>
      </c>
      <c r="BJ2" s="85"/>
      <c r="BK2" s="85"/>
      <c r="BL2" s="1"/>
      <c r="BM2" s="1"/>
    </row>
    <row r="3" spans="2:65" x14ac:dyDescent="0.25">
      <c r="C3" s="1" t="s">
        <v>71</v>
      </c>
      <c r="D3" s="5" t="s">
        <v>74</v>
      </c>
      <c r="E3" s="1" t="s">
        <v>75</v>
      </c>
      <c r="F3" s="1" t="s">
        <v>76</v>
      </c>
      <c r="G3" s="1" t="s">
        <v>74</v>
      </c>
      <c r="H3" s="1" t="s">
        <v>75</v>
      </c>
      <c r="I3" s="6" t="s">
        <v>76</v>
      </c>
      <c r="J3" s="5" t="s">
        <v>74</v>
      </c>
      <c r="K3" s="1" t="s">
        <v>75</v>
      </c>
      <c r="L3" s="1" t="s">
        <v>76</v>
      </c>
      <c r="M3" s="1" t="s">
        <v>74</v>
      </c>
      <c r="N3" s="1" t="s">
        <v>75</v>
      </c>
      <c r="O3" s="6" t="s">
        <v>76</v>
      </c>
      <c r="P3" s="1" t="s">
        <v>79</v>
      </c>
      <c r="AJ3" s="93"/>
      <c r="AK3" s="1" t="s">
        <v>1</v>
      </c>
      <c r="AL3" s="1" t="s">
        <v>2</v>
      </c>
      <c r="AM3" s="1" t="s">
        <v>3</v>
      </c>
      <c r="AN3" s="1" t="s">
        <v>104</v>
      </c>
      <c r="AO3" s="1" t="s">
        <v>105</v>
      </c>
      <c r="AP3" s="1" t="s">
        <v>106</v>
      </c>
      <c r="AQ3" s="1" t="s">
        <v>107</v>
      </c>
      <c r="AR3" s="1" t="s">
        <v>108</v>
      </c>
      <c r="AS3" s="1" t="s">
        <v>109</v>
      </c>
      <c r="AT3" s="1" t="s">
        <v>110</v>
      </c>
      <c r="AU3" s="1"/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">
        <v>64</v>
      </c>
      <c r="H4" s="1">
        <v>128</v>
      </c>
      <c r="I4" s="6">
        <v>128</v>
      </c>
      <c r="J4" s="5">
        <v>45</v>
      </c>
      <c r="K4" s="1">
        <v>90</v>
      </c>
      <c r="L4" s="1">
        <v>90</v>
      </c>
      <c r="M4" s="1">
        <v>45</v>
      </c>
      <c r="N4" s="1">
        <v>45</v>
      </c>
      <c r="O4" s="6">
        <v>90</v>
      </c>
      <c r="P4" s="1">
        <v>90</v>
      </c>
      <c r="AI4" s="93"/>
      <c r="AJ4" s="94" t="s">
        <v>42</v>
      </c>
      <c r="AK4" s="4">
        <v>2.69809798557826E-2</v>
      </c>
      <c r="AL4" s="4">
        <v>1.7871787179046798E-2</v>
      </c>
      <c r="AM4" s="4">
        <v>1.82855690728208E-2</v>
      </c>
      <c r="AN4" s="1">
        <v>0</v>
      </c>
      <c r="AO4" s="1">
        <v>42</v>
      </c>
      <c r="AP4" s="1">
        <v>644</v>
      </c>
      <c r="AQ4" s="1">
        <v>7815</v>
      </c>
      <c r="AR4" s="1">
        <v>28605</v>
      </c>
      <c r="AS4" s="1">
        <v>17245</v>
      </c>
      <c r="AT4" s="96">
        <v>44776.625694444447</v>
      </c>
      <c r="AU4" s="1"/>
      <c r="AV4" s="1">
        <f>AN4/60</f>
        <v>0</v>
      </c>
      <c r="AW4" s="9">
        <f t="shared" ref="AW4:BA9" si="0">AO4/60</f>
        <v>0.7</v>
      </c>
      <c r="AX4" s="9">
        <f t="shared" si="0"/>
        <v>10.733333333333333</v>
      </c>
      <c r="AY4" s="9">
        <f t="shared" si="0"/>
        <v>130.25</v>
      </c>
      <c r="AZ4" s="9">
        <f t="shared" si="0"/>
        <v>476.75</v>
      </c>
      <c r="BA4" s="9">
        <f t="shared" si="0"/>
        <v>287.41666666666669</v>
      </c>
      <c r="BC4" s="9">
        <f>AY4*$AK4</f>
        <v>3.5142726262156838</v>
      </c>
      <c r="BD4" s="9">
        <f>AZ4*$AK4</f>
        <v>12.863182146244354</v>
      </c>
      <c r="BE4" s="9">
        <f>BA4*$AK4</f>
        <v>7.754783293549516</v>
      </c>
      <c r="BF4" s="1">
        <f>AY4*$AM4</f>
        <v>2.3816953717349092</v>
      </c>
      <c r="BG4" s="1">
        <f t="shared" ref="BG4:BH4" si="1">AZ4*$AM4</f>
        <v>8.7176450554673171</v>
      </c>
      <c r="BH4" s="1">
        <f t="shared" si="1"/>
        <v>5.2555773110132451</v>
      </c>
      <c r="BI4" s="9">
        <f>AY4*$AM4</f>
        <v>2.3816953717349092</v>
      </c>
      <c r="BJ4" s="9">
        <f t="shared" ref="BJ4:BK4" si="2">AZ4*$AM4</f>
        <v>8.7176450554673171</v>
      </c>
      <c r="BK4" s="9">
        <f t="shared" si="2"/>
        <v>5.2555773110132451</v>
      </c>
      <c r="BL4" s="97">
        <f>AK4*AL4</f>
        <v>4.8219832986469538E-4</v>
      </c>
      <c r="BM4" s="97">
        <f>AK4*AM4</f>
        <v>4.933625708052993E-4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">
        <v>32</v>
      </c>
      <c r="H5" s="1">
        <v>45</v>
      </c>
      <c r="I5" s="6">
        <v>128</v>
      </c>
      <c r="J5" s="5">
        <v>64</v>
      </c>
      <c r="K5" s="1">
        <v>64</v>
      </c>
      <c r="L5" s="1">
        <v>128</v>
      </c>
      <c r="M5" s="1">
        <v>32</v>
      </c>
      <c r="N5" s="1">
        <v>45</v>
      </c>
      <c r="O5" s="6">
        <v>64</v>
      </c>
      <c r="P5" s="1">
        <v>45</v>
      </c>
      <c r="AI5" s="93"/>
      <c r="AJ5" s="94" t="s">
        <v>72</v>
      </c>
      <c r="AK5" s="4">
        <v>7.8727690427952603E-3</v>
      </c>
      <c r="AL5" s="4">
        <v>6.0762222597507496E-3</v>
      </c>
      <c r="AM5" s="4">
        <v>5.97164615398732E-3</v>
      </c>
      <c r="AN5" s="1">
        <v>0</v>
      </c>
      <c r="AO5" s="1">
        <v>0</v>
      </c>
      <c r="AP5" s="1">
        <v>15</v>
      </c>
      <c r="AQ5" s="1">
        <v>892</v>
      </c>
      <c r="AR5" s="1">
        <v>12196</v>
      </c>
      <c r="AS5" s="1">
        <v>35500</v>
      </c>
      <c r="AT5" s="96">
        <v>44781.552777777775</v>
      </c>
      <c r="AV5" s="1">
        <f t="shared" ref="AV5:AV9" si="3">AN5/60</f>
        <v>0</v>
      </c>
      <c r="AW5" s="1">
        <f t="shared" si="0"/>
        <v>0</v>
      </c>
      <c r="AX5" s="9">
        <f t="shared" si="0"/>
        <v>0.25</v>
      </c>
      <c r="AY5" s="9">
        <f t="shared" si="0"/>
        <v>14.866666666666667</v>
      </c>
      <c r="AZ5" s="9">
        <f t="shared" si="0"/>
        <v>203.26666666666668</v>
      </c>
      <c r="BA5" s="9">
        <f t="shared" si="0"/>
        <v>591.66666666666663</v>
      </c>
      <c r="BC5" s="9">
        <f t="shared" ref="BC5:BC9" si="4">AY5*$AK5</f>
        <v>0.11704183310288954</v>
      </c>
      <c r="BD5" s="9">
        <f t="shared" ref="BD5:BD9" si="5">AZ5*$AK5</f>
        <v>1.6002715207655167</v>
      </c>
      <c r="BE5" s="9">
        <f t="shared" ref="BE5:BE9" si="6">BA5*$AK5</f>
        <v>4.6580550169871957</v>
      </c>
      <c r="BF5" s="1">
        <f t="shared" ref="BF5:BF9" si="7">AY5*$AM5</f>
        <v>8.877847282261149E-2</v>
      </c>
      <c r="BG5" s="1">
        <f t="shared" ref="BG5:BG9" si="8">AZ5*$AM5</f>
        <v>1.2138366082338226</v>
      </c>
      <c r="BH5" s="1">
        <f t="shared" ref="BH5:BH9" si="9">BA5*$AM5</f>
        <v>3.5332239744424974</v>
      </c>
      <c r="BI5" s="9">
        <f t="shared" ref="BI5:BI9" si="10">AY5*$AM5</f>
        <v>8.877847282261149E-2</v>
      </c>
      <c r="BJ5" s="9">
        <f t="shared" ref="BJ5:BJ9" si="11">AZ5*$AM5</f>
        <v>1.2138366082338226</v>
      </c>
      <c r="BK5" s="9">
        <f t="shared" ref="BK5:BK9" si="12">BA5*$AM5</f>
        <v>3.5332239744424974</v>
      </c>
      <c r="BL5" s="97">
        <f t="shared" ref="BL5:BL9" si="13">AK5*AL5</f>
        <v>4.7836694503709161E-5</v>
      </c>
      <c r="BM5" s="97">
        <f t="shared" ref="BM5:BM9" si="14">AK5*AM5</f>
        <v>4.7013390975638751E-5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">
        <v>45</v>
      </c>
      <c r="H6" s="1">
        <v>32</v>
      </c>
      <c r="I6" s="6">
        <v>128</v>
      </c>
      <c r="J6" s="5">
        <v>64</v>
      </c>
      <c r="K6" s="1">
        <v>128</v>
      </c>
      <c r="L6" s="1">
        <v>128</v>
      </c>
      <c r="M6" s="1">
        <v>64</v>
      </c>
      <c r="N6" s="1">
        <v>32</v>
      </c>
      <c r="O6" s="6">
        <v>32</v>
      </c>
      <c r="P6" s="1">
        <v>64</v>
      </c>
      <c r="AI6" s="93"/>
      <c r="AJ6" s="94" t="s">
        <v>43</v>
      </c>
      <c r="AK6" s="4">
        <v>2.0419210341953199E-2</v>
      </c>
      <c r="AL6" s="4">
        <v>1.4221591680543899E-2</v>
      </c>
      <c r="AM6" s="4">
        <v>1.3811781264661699E-2</v>
      </c>
      <c r="AN6" s="1">
        <v>0</v>
      </c>
      <c r="AO6" s="1">
        <v>0</v>
      </c>
      <c r="AP6" s="1">
        <v>15</v>
      </c>
      <c r="AQ6" s="1">
        <v>2144</v>
      </c>
      <c r="AR6" s="1">
        <v>16504</v>
      </c>
      <c r="AS6" s="1">
        <v>7259</v>
      </c>
      <c r="AT6" s="96">
        <v>45136.666666666664</v>
      </c>
      <c r="AV6" s="1">
        <f t="shared" si="3"/>
        <v>0</v>
      </c>
      <c r="AW6" s="1">
        <f t="shared" si="0"/>
        <v>0</v>
      </c>
      <c r="AX6" s="9">
        <f t="shared" si="0"/>
        <v>0.25</v>
      </c>
      <c r="AY6" s="9">
        <f t="shared" si="0"/>
        <v>35.733333333333334</v>
      </c>
      <c r="AZ6" s="9">
        <f t="shared" si="0"/>
        <v>275.06666666666666</v>
      </c>
      <c r="BA6" s="9">
        <f t="shared" si="0"/>
        <v>120.98333333333333</v>
      </c>
      <c r="BC6" s="9">
        <f t="shared" si="4"/>
        <v>0.72964644955246094</v>
      </c>
      <c r="BD6" s="9">
        <f t="shared" si="5"/>
        <v>5.6166441247265935</v>
      </c>
      <c r="BE6" s="9">
        <f t="shared" si="6"/>
        <v>2.4703841312039709</v>
      </c>
      <c r="BF6" s="1">
        <f t="shared" si="7"/>
        <v>0.49354098385724471</v>
      </c>
      <c r="BG6" s="1">
        <f t="shared" si="8"/>
        <v>3.7991606331996115</v>
      </c>
      <c r="BH6" s="1">
        <f t="shared" si="9"/>
        <v>1.6709953366696546</v>
      </c>
      <c r="BI6" s="9">
        <f t="shared" si="10"/>
        <v>0.49354098385724471</v>
      </c>
      <c r="BJ6" s="9">
        <f t="shared" si="11"/>
        <v>3.7991606331996115</v>
      </c>
      <c r="BK6" s="9">
        <f t="shared" si="12"/>
        <v>1.6709953366696546</v>
      </c>
      <c r="BL6" s="97">
        <f t="shared" si="13"/>
        <v>2.9039367192239756E-4</v>
      </c>
      <c r="BM6" s="97">
        <f t="shared" si="14"/>
        <v>2.8202566684017562E-4</v>
      </c>
    </row>
    <row r="7" spans="2:65" x14ac:dyDescent="0.25">
      <c r="B7" s="1" t="s">
        <v>72</v>
      </c>
      <c r="C7" s="1">
        <v>128</v>
      </c>
      <c r="D7" s="5">
        <v>128</v>
      </c>
      <c r="E7" s="1">
        <v>128</v>
      </c>
      <c r="F7" s="1">
        <v>128</v>
      </c>
      <c r="G7" s="1">
        <v>32</v>
      </c>
      <c r="H7" s="1">
        <v>45</v>
      </c>
      <c r="I7" s="6">
        <v>128</v>
      </c>
      <c r="J7" s="5">
        <v>128</v>
      </c>
      <c r="K7" s="1">
        <v>128</v>
      </c>
      <c r="L7" s="1">
        <v>128</v>
      </c>
      <c r="M7" s="1">
        <v>128</v>
      </c>
      <c r="N7" s="1">
        <v>64</v>
      </c>
      <c r="O7" s="6">
        <v>32</v>
      </c>
      <c r="P7" s="1">
        <v>128</v>
      </c>
      <c r="AI7" s="93"/>
      <c r="AJ7" s="98" t="s">
        <v>112</v>
      </c>
      <c r="AK7" s="4">
        <v>3.3371691929410502E-2</v>
      </c>
      <c r="AL7" s="4">
        <v>1.9796190039283301E-2</v>
      </c>
      <c r="AM7" s="4">
        <v>1.89736335867749E-2</v>
      </c>
      <c r="AN7" s="1">
        <v>0</v>
      </c>
      <c r="AO7" s="1">
        <v>43</v>
      </c>
      <c r="AP7" s="1">
        <v>379</v>
      </c>
      <c r="AQ7" s="1">
        <v>4520</v>
      </c>
      <c r="AR7" s="1">
        <v>16818</v>
      </c>
      <c r="AS7" s="1">
        <v>8763</v>
      </c>
      <c r="AT7" s="96">
        <v>45151.770833333336</v>
      </c>
      <c r="AV7" s="1">
        <f t="shared" si="3"/>
        <v>0</v>
      </c>
      <c r="AW7" s="9">
        <f t="shared" si="0"/>
        <v>0.71666666666666667</v>
      </c>
      <c r="AX7" s="9">
        <f t="shared" si="0"/>
        <v>6.3166666666666664</v>
      </c>
      <c r="AY7" s="9">
        <f t="shared" si="0"/>
        <v>75.333333333333329</v>
      </c>
      <c r="AZ7" s="9">
        <f t="shared" si="0"/>
        <v>280.3</v>
      </c>
      <c r="BA7" s="9">
        <f t="shared" si="0"/>
        <v>146.05000000000001</v>
      </c>
      <c r="BC7" s="9">
        <f t="shared" si="4"/>
        <v>2.5140007920155911</v>
      </c>
      <c r="BD7" s="9">
        <f t="shared" si="5"/>
        <v>9.3540852478137637</v>
      </c>
      <c r="BE7" s="9">
        <f t="shared" si="6"/>
        <v>4.873935606290404</v>
      </c>
      <c r="BF7" s="1">
        <f t="shared" si="7"/>
        <v>1.4293470635370424</v>
      </c>
      <c r="BG7" s="1">
        <f t="shared" si="8"/>
        <v>5.3183094943730049</v>
      </c>
      <c r="BH7" s="1">
        <f t="shared" si="9"/>
        <v>2.7710991853484743</v>
      </c>
      <c r="BI7" s="9">
        <f t="shared" si="10"/>
        <v>1.4293470635370424</v>
      </c>
      <c r="BJ7" s="9">
        <f t="shared" si="11"/>
        <v>5.3183094943730049</v>
      </c>
      <c r="BK7" s="9">
        <f t="shared" si="12"/>
        <v>2.7710991853484743</v>
      </c>
      <c r="BL7" s="97">
        <f t="shared" si="13"/>
        <v>6.6063235536702712E-4</v>
      </c>
      <c r="BM7" s="97">
        <f t="shared" si="14"/>
        <v>6.3318225483936796E-4</v>
      </c>
    </row>
    <row r="8" spans="2:65" x14ac:dyDescent="0.25">
      <c r="B8" s="1" t="s">
        <v>100</v>
      </c>
      <c r="C8" s="1">
        <v>128</v>
      </c>
      <c r="D8" s="1">
        <v>128</v>
      </c>
      <c r="E8" s="1">
        <v>128</v>
      </c>
      <c r="F8" s="1">
        <v>128</v>
      </c>
      <c r="G8" s="1">
        <v>90</v>
      </c>
      <c r="H8" s="1">
        <v>128</v>
      </c>
      <c r="I8" s="1">
        <v>128</v>
      </c>
      <c r="J8" s="1">
        <v>128</v>
      </c>
      <c r="K8" s="1">
        <v>128</v>
      </c>
      <c r="L8" s="1">
        <v>128</v>
      </c>
      <c r="M8" s="1">
        <v>64</v>
      </c>
      <c r="N8" s="1">
        <v>45</v>
      </c>
      <c r="O8" s="1">
        <v>128</v>
      </c>
      <c r="P8" s="1">
        <v>128</v>
      </c>
      <c r="AI8" s="93"/>
      <c r="AJ8" s="98" t="s">
        <v>113</v>
      </c>
      <c r="AK8" s="4">
        <v>6.8289421653344007E-2</v>
      </c>
      <c r="AL8" s="4">
        <v>4.3282348716963702E-2</v>
      </c>
      <c r="AM8" s="4">
        <v>4.21716802191935E-2</v>
      </c>
      <c r="AN8" s="99">
        <v>3</v>
      </c>
      <c r="AO8" s="99">
        <v>52</v>
      </c>
      <c r="AP8" s="99">
        <v>1578</v>
      </c>
      <c r="AQ8" s="99">
        <v>13845</v>
      </c>
      <c r="AR8" s="99">
        <v>10907</v>
      </c>
      <c r="AS8" s="99">
        <v>2968</v>
      </c>
      <c r="AT8" s="96">
        <v>45166.510416666664</v>
      </c>
      <c r="AV8" s="9">
        <f t="shared" si="3"/>
        <v>0.05</v>
      </c>
      <c r="AW8" s="9">
        <f t="shared" si="0"/>
        <v>0.8666666666666667</v>
      </c>
      <c r="AX8" s="9">
        <f t="shared" si="0"/>
        <v>26.3</v>
      </c>
      <c r="AY8" s="9">
        <f t="shared" si="0"/>
        <v>230.75</v>
      </c>
      <c r="AZ8" s="9">
        <f t="shared" si="0"/>
        <v>181.78333333333333</v>
      </c>
      <c r="BA8" s="9">
        <f t="shared" si="0"/>
        <v>49.466666666666669</v>
      </c>
      <c r="BC8" s="9">
        <f t="shared" si="4"/>
        <v>15.75778404650913</v>
      </c>
      <c r="BD8" s="9">
        <f t="shared" si="5"/>
        <v>12.413878699550384</v>
      </c>
      <c r="BE8" s="9">
        <f t="shared" si="6"/>
        <v>3.3780500577854169</v>
      </c>
      <c r="BF8" s="1">
        <f t="shared" si="7"/>
        <v>9.7311152105789009</v>
      </c>
      <c r="BG8" s="1">
        <f t="shared" si="8"/>
        <v>7.6661086025123915</v>
      </c>
      <c r="BH8" s="1">
        <f t="shared" si="9"/>
        <v>2.0860924481761054</v>
      </c>
      <c r="BI8" s="9">
        <f t="shared" si="10"/>
        <v>9.7311152105789009</v>
      </c>
      <c r="BJ8" s="9">
        <f t="shared" si="11"/>
        <v>7.6661086025123915</v>
      </c>
      <c r="BK8" s="9">
        <f t="shared" si="12"/>
        <v>2.0860924481761054</v>
      </c>
      <c r="BL8" s="97">
        <f t="shared" si="13"/>
        <v>2.9557265616798074E-3</v>
      </c>
      <c r="BM8" s="97">
        <f t="shared" si="14"/>
        <v>2.8798796523184919E-3</v>
      </c>
    </row>
    <row r="9" spans="2:65" x14ac:dyDescent="0.25">
      <c r="AI9" s="93"/>
      <c r="AJ9" s="94" t="s">
        <v>44</v>
      </c>
      <c r="AK9" s="4">
        <v>0.123347686825746</v>
      </c>
      <c r="AL9" s="4">
        <v>6.1651879452771001E-2</v>
      </c>
      <c r="AM9" s="4">
        <v>6.1256066915833102E-2</v>
      </c>
      <c r="AN9" s="1">
        <v>5</v>
      </c>
      <c r="AO9" s="1">
        <v>203</v>
      </c>
      <c r="AP9" s="1">
        <v>3111</v>
      </c>
      <c r="AQ9" s="1">
        <v>13601</v>
      </c>
      <c r="AR9" s="1">
        <v>8839</v>
      </c>
      <c r="AS9" s="1">
        <v>2412</v>
      </c>
      <c r="AT9" s="96">
        <v>45183.9375</v>
      </c>
      <c r="AV9" s="9">
        <f t="shared" si="3"/>
        <v>8.3333333333333329E-2</v>
      </c>
      <c r="AW9" s="9">
        <f t="shared" si="0"/>
        <v>3.3833333333333333</v>
      </c>
      <c r="AX9" s="9">
        <f t="shared" si="0"/>
        <v>51.85</v>
      </c>
      <c r="AY9" s="9">
        <f t="shared" si="0"/>
        <v>226.68333333333334</v>
      </c>
      <c r="AZ9" s="9">
        <f t="shared" si="0"/>
        <v>147.31666666666666</v>
      </c>
      <c r="BA9" s="9">
        <f t="shared" si="0"/>
        <v>40.200000000000003</v>
      </c>
      <c r="BC9" s="9">
        <f t="shared" si="4"/>
        <v>27.96086480861619</v>
      </c>
      <c r="BD9" s="9">
        <f t="shared" si="5"/>
        <v>18.171170064212813</v>
      </c>
      <c r="BE9" s="9">
        <f t="shared" si="6"/>
        <v>4.9585770103949898</v>
      </c>
      <c r="BF9" s="1">
        <f t="shared" si="7"/>
        <v>13.885729435370767</v>
      </c>
      <c r="BG9" s="1">
        <f t="shared" si="8"/>
        <v>9.024039591150812</v>
      </c>
      <c r="BH9" s="1">
        <f>BA9*$AM9</f>
        <v>2.462493890016491</v>
      </c>
      <c r="BI9" s="9">
        <f t="shared" si="10"/>
        <v>13.885729435370767</v>
      </c>
      <c r="BJ9" s="9">
        <f t="shared" si="11"/>
        <v>9.024039591150812</v>
      </c>
      <c r="BK9" s="9">
        <f t="shared" si="12"/>
        <v>2.462493890016491</v>
      </c>
      <c r="BL9" s="97">
        <f t="shared" si="13"/>
        <v>7.6046167189590423E-3</v>
      </c>
      <c r="BM9" s="97">
        <f t="shared" si="14"/>
        <v>7.5557941581111216E-3</v>
      </c>
    </row>
    <row r="10" spans="2:65" x14ac:dyDescent="0.25">
      <c r="B10" s="59" t="s">
        <v>102</v>
      </c>
      <c r="C10" s="69"/>
      <c r="D10" s="89" t="s">
        <v>64</v>
      </c>
      <c r="E10" s="89"/>
      <c r="F10" s="89"/>
      <c r="G10" s="89" t="s">
        <v>65</v>
      </c>
      <c r="H10" s="89"/>
      <c r="I10" s="89"/>
      <c r="J10" s="89" t="s">
        <v>66</v>
      </c>
      <c r="K10" s="89"/>
      <c r="L10" s="89"/>
      <c r="M10" s="69"/>
      <c r="N10" s="70"/>
      <c r="R10" s="1" t="s">
        <v>93</v>
      </c>
      <c r="S10" s="1"/>
      <c r="T10" s="1" t="s">
        <v>91</v>
      </c>
      <c r="U10" s="1"/>
      <c r="V10" s="1" t="s">
        <v>94</v>
      </c>
      <c r="W10" s="1" t="s">
        <v>95</v>
      </c>
      <c r="Y10" s="1" t="s">
        <v>96</v>
      </c>
      <c r="Z10" s="1" t="s">
        <v>97</v>
      </c>
      <c r="AB10" s="1" t="s">
        <v>98</v>
      </c>
      <c r="AJ10" s="94" t="s">
        <v>99</v>
      </c>
    </row>
    <row r="11" spans="2:65" x14ac:dyDescent="0.25">
      <c r="B11" s="53"/>
      <c r="C11" s="75" t="s">
        <v>26</v>
      </c>
      <c r="D11" s="76" t="s">
        <v>41</v>
      </c>
      <c r="E11" s="76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4" t="s">
        <v>41</v>
      </c>
      <c r="K11" s="21" t="s">
        <v>40</v>
      </c>
      <c r="L11" s="21" t="s">
        <v>39</v>
      </c>
      <c r="M11" s="75" t="s">
        <v>68</v>
      </c>
      <c r="N11" s="78" t="s">
        <v>67</v>
      </c>
      <c r="R11" s="12" t="s">
        <v>42</v>
      </c>
      <c r="S11" s="10">
        <f>AVERAGE(S21,S42,S63,S92,S99)</f>
        <v>4.2582264965200256</v>
      </c>
      <c r="T11" s="10">
        <f>_xlfn.STDEV.P(S21,S42,S63,S92,S99)</f>
        <v>1.1674326558619781</v>
      </c>
      <c r="U11" s="10">
        <f>_xlfn.STDEV.S(S21,S42,S63,S92,S99)</f>
        <v>1.3052293888302506</v>
      </c>
      <c r="V11" s="10">
        <f>MIN(S21,S42,S63,S92,S99)</f>
        <v>2.2442658025967512</v>
      </c>
      <c r="W11" s="10">
        <f>MAX(S21,S42,S63,S92,S99)</f>
        <v>5.854134009419381</v>
      </c>
      <c r="Y11" s="1">
        <v>22.63</v>
      </c>
      <c r="Z11" s="10">
        <f>S11</f>
        <v>4.2582264965200256</v>
      </c>
      <c r="AB11">
        <v>2022</v>
      </c>
      <c r="AC11" s="16">
        <f>AVERAGE(Z11:Z12)</f>
        <v>11.483468558073355</v>
      </c>
    </row>
    <row r="12" spans="2:65" x14ac:dyDescent="0.25">
      <c r="B12" s="71" t="s">
        <v>42</v>
      </c>
      <c r="C12" s="18">
        <v>20.326828970179818</v>
      </c>
      <c r="D12" s="77">
        <v>0</v>
      </c>
      <c r="E12" s="77">
        <v>8.7235770181385206</v>
      </c>
      <c r="F12" s="10">
        <v>16.191244363932022</v>
      </c>
      <c r="G12" s="10">
        <v>18.016654794070547</v>
      </c>
      <c r="H12" s="10">
        <v>24.846415036386741</v>
      </c>
      <c r="I12" s="10">
        <v>42.234620416192008</v>
      </c>
      <c r="J12" s="19">
        <v>13.787326381005839</v>
      </c>
      <c r="K12" s="10">
        <v>13.899998366222087</v>
      </c>
      <c r="L12" s="10">
        <v>24.587449440053295</v>
      </c>
      <c r="M12" s="18">
        <v>21.449588919372982</v>
      </c>
      <c r="N12" s="79">
        <v>23.058574227506274</v>
      </c>
      <c r="R12" s="1" t="s">
        <v>72</v>
      </c>
      <c r="S12" s="10">
        <f>AVERAGE(S24,S45,S66,S95,S102)</f>
        <v>18.708710619626686</v>
      </c>
      <c r="T12" s="10">
        <f>_xlfn.STDEV.P(S24,S45,S66,S95,S102)</f>
        <v>19.172455495135889</v>
      </c>
      <c r="U12" s="10">
        <f>_xlfn.STDEV.S(S24,S45,S66,S95,S102)</f>
        <v>21.435456891356619</v>
      </c>
      <c r="V12" s="10">
        <f>MIN(S24,S45,S66,S95,S102)</f>
        <v>7.2321601944344858</v>
      </c>
      <c r="W12" s="10">
        <f>MAX(S24,S45,S66,S95,S102)</f>
        <v>56.99829316235752</v>
      </c>
      <c r="Y12" s="10">
        <v>32.007500319999998</v>
      </c>
      <c r="Z12" s="10">
        <f>S12</f>
        <v>18.708710619626686</v>
      </c>
      <c r="AB12">
        <v>2023</v>
      </c>
      <c r="AC12" s="16">
        <f>AVERAGE(Z13:Z14)</f>
        <v>7.2462676568101996</v>
      </c>
      <c r="AJ12" s="93" t="s">
        <v>114</v>
      </c>
      <c r="AV12" s="85" t="s">
        <v>116</v>
      </c>
      <c r="AW12" s="85"/>
      <c r="AX12" s="85"/>
      <c r="AY12" s="85"/>
      <c r="AZ12" s="85"/>
      <c r="BA12" s="85"/>
      <c r="BC12" s="85" t="s">
        <v>64</v>
      </c>
      <c r="BD12" s="85"/>
      <c r="BE12" s="85"/>
      <c r="BF12" s="85" t="s">
        <v>65</v>
      </c>
      <c r="BG12" s="85"/>
      <c r="BH12" s="85"/>
      <c r="BI12" s="85" t="s">
        <v>66</v>
      </c>
      <c r="BJ12" s="85"/>
      <c r="BK12" s="85"/>
      <c r="BL12" s="1"/>
      <c r="BM12" s="1"/>
    </row>
    <row r="13" spans="2:65" x14ac:dyDescent="0.25">
      <c r="B13" s="71" t="s">
        <v>43</v>
      </c>
      <c r="C13" s="18">
        <v>11.253514007053486</v>
      </c>
      <c r="D13" s="77">
        <v>0</v>
      </c>
      <c r="E13" s="77">
        <v>0</v>
      </c>
      <c r="F13" s="10">
        <v>1.8208565296873807</v>
      </c>
      <c r="G13" s="10">
        <v>0</v>
      </c>
      <c r="H13" s="10">
        <v>6.4399714308752509</v>
      </c>
      <c r="I13" s="10">
        <v>14.35058288194206</v>
      </c>
      <c r="J13" s="19">
        <v>0</v>
      </c>
      <c r="K13" s="10">
        <v>1.8975963591862426</v>
      </c>
      <c r="L13" s="10">
        <v>2.8692708932470516</v>
      </c>
      <c r="M13" s="18">
        <v>10.419702497860031</v>
      </c>
      <c r="N13" s="79">
        <v>10.245322861770958</v>
      </c>
      <c r="R13" s="12" t="s">
        <v>43</v>
      </c>
      <c r="S13" s="10">
        <f>AVERAGE(S22,S43,S64,S93,S100)</f>
        <v>13.275072710829402</v>
      </c>
      <c r="T13" s="10">
        <f>_xlfn.STDEV.P(S22,S43,S64,S93,S100)</f>
        <v>13.604130499301515</v>
      </c>
      <c r="U13" s="10">
        <f>_xlfn.STDEV.S(S22,S43,S64,S93,S100)</f>
        <v>15.209880285608172</v>
      </c>
      <c r="V13" s="10">
        <f>MIN(S22,S43,S64,S93,S100)</f>
        <v>5.1316979769180682</v>
      </c>
      <c r="W13" s="10">
        <f>MAX(S22,S43,S64,S93,S100)</f>
        <v>40.444074501301181</v>
      </c>
      <c r="Y13" s="100">
        <v>20.131538750000001</v>
      </c>
      <c r="Z13" s="10">
        <f>S13</f>
        <v>13.275072710829402</v>
      </c>
      <c r="AB13" s="13" t="s">
        <v>101</v>
      </c>
      <c r="AC13" s="16">
        <f>Z16</f>
        <v>2.578988708780801</v>
      </c>
      <c r="AJ13" s="93"/>
      <c r="AK13" s="1" t="s">
        <v>1</v>
      </c>
      <c r="AL13" s="1" t="s">
        <v>2</v>
      </c>
      <c r="AM13" s="1" t="s">
        <v>3</v>
      </c>
      <c r="AN13" s="1" t="s">
        <v>104</v>
      </c>
      <c r="AO13" s="1" t="s">
        <v>105</v>
      </c>
      <c r="AP13" s="1" t="s">
        <v>106</v>
      </c>
      <c r="AQ13" s="1" t="s">
        <v>107</v>
      </c>
      <c r="AR13" s="1" t="s">
        <v>108</v>
      </c>
      <c r="AS13" s="1" t="s">
        <v>109</v>
      </c>
      <c r="AT13" s="1" t="s">
        <v>110</v>
      </c>
      <c r="AV13" s="1" t="s">
        <v>21</v>
      </c>
      <c r="AW13" s="1" t="s">
        <v>20</v>
      </c>
      <c r="AX13" s="1" t="s">
        <v>19</v>
      </c>
      <c r="AY13" s="1" t="s">
        <v>18</v>
      </c>
      <c r="AZ13" s="1" t="s">
        <v>17</v>
      </c>
      <c r="BA13" s="1" t="s">
        <v>16</v>
      </c>
      <c r="BC13" s="1" t="s">
        <v>41</v>
      </c>
      <c r="BD13" s="1" t="s">
        <v>40</v>
      </c>
      <c r="BE13" s="1" t="s">
        <v>39</v>
      </c>
      <c r="BF13" s="1" t="s">
        <v>41</v>
      </c>
      <c r="BG13" s="1" t="s">
        <v>40</v>
      </c>
      <c r="BH13" s="1" t="s">
        <v>39</v>
      </c>
      <c r="BI13" s="1" t="s">
        <v>41</v>
      </c>
      <c r="BJ13" s="1" t="s">
        <v>40</v>
      </c>
      <c r="BK13" s="1" t="s">
        <v>39</v>
      </c>
      <c r="BL13" s="1" t="s">
        <v>68</v>
      </c>
      <c r="BM13" s="1" t="s">
        <v>67</v>
      </c>
    </row>
    <row r="14" spans="2:65" x14ac:dyDescent="0.25">
      <c r="B14" s="71" t="s">
        <v>44</v>
      </c>
      <c r="C14" s="18">
        <v>56.395166976142171</v>
      </c>
      <c r="D14" s="77">
        <v>72.567417928355312</v>
      </c>
      <c r="E14" s="77">
        <v>106.16773828747354</v>
      </c>
      <c r="F14" s="10">
        <v>85.465905708754335</v>
      </c>
      <c r="G14" s="10">
        <v>84.100956134956419</v>
      </c>
      <c r="H14" s="10">
        <v>100.10876222717894</v>
      </c>
      <c r="I14" s="10">
        <v>84.195226477305326</v>
      </c>
      <c r="J14" s="19">
        <v>25.807962616030665</v>
      </c>
      <c r="K14" s="10">
        <v>22.809148264113979</v>
      </c>
      <c r="L14" s="10">
        <v>10.500112336113647</v>
      </c>
      <c r="M14" s="18">
        <v>65.377206136405107</v>
      </c>
      <c r="N14" s="79">
        <v>78.509765847126801</v>
      </c>
      <c r="R14" s="12" t="s">
        <v>44</v>
      </c>
      <c r="S14" s="10">
        <f>AVERAGE(S23,S44,S65,S94,S101)</f>
        <v>1.2174626027909965</v>
      </c>
      <c r="T14" s="10">
        <f>_xlfn.STDEV.P(S23,S44,S65,S94,S101)</f>
        <v>0.2036519751847167</v>
      </c>
      <c r="U14" s="10">
        <f>_xlfn.STDEV.S(S23,S44,S65,S94,S101)</f>
        <v>0.22768983013256303</v>
      </c>
      <c r="V14" s="10">
        <f>MIN(S23,S44,S65,S94,S101)</f>
        <v>1.0271430877344851</v>
      </c>
      <c r="W14" s="10">
        <f>MAX(S23,S44,S65,S94,S101)</f>
        <v>1.5566176853922928</v>
      </c>
      <c r="Y14" s="10">
        <v>6.6940258559999997</v>
      </c>
      <c r="Z14" s="10">
        <f>S14</f>
        <v>1.2174626027909965</v>
      </c>
      <c r="AJ14" s="94" t="s">
        <v>42</v>
      </c>
      <c r="AK14" s="4">
        <v>3.0194890839779602E-3</v>
      </c>
      <c r="AL14" s="4">
        <v>2.30725901968859E-3</v>
      </c>
      <c r="AM14" s="4">
        <v>2.27534202919115E-3</v>
      </c>
      <c r="AN14" s="1">
        <v>0</v>
      </c>
      <c r="AO14" s="1">
        <v>0</v>
      </c>
      <c r="AP14" s="1">
        <v>0</v>
      </c>
      <c r="AQ14" s="1">
        <v>26</v>
      </c>
      <c r="AR14" s="1">
        <v>1832</v>
      </c>
      <c r="AS14" s="1">
        <v>30296</v>
      </c>
      <c r="AT14" s="96">
        <v>44776.636111111111</v>
      </c>
      <c r="AV14" s="1">
        <f>AN14/60</f>
        <v>0</v>
      </c>
      <c r="AW14" s="9">
        <f t="shared" ref="AW14:AW19" si="15">AO14/60</f>
        <v>0</v>
      </c>
      <c r="AX14" s="9">
        <f t="shared" ref="AX14:AX19" si="16">AP14/60</f>
        <v>0</v>
      </c>
      <c r="AY14" s="9">
        <f t="shared" ref="AY14:AY19" si="17">AQ14/60</f>
        <v>0.43333333333333335</v>
      </c>
      <c r="AZ14" s="9">
        <f t="shared" ref="AZ14:AZ19" si="18">AR14/60</f>
        <v>30.533333333333335</v>
      </c>
      <c r="BA14" s="9">
        <f t="shared" ref="BA14:BA19" si="19">AS14/60</f>
        <v>504.93333333333334</v>
      </c>
      <c r="BC14" s="9">
        <f>AY14*$AK14</f>
        <v>1.3084452697237829E-3</v>
      </c>
      <c r="BD14" s="9">
        <f>AZ14*$AK14</f>
        <v>9.2195066697460387E-2</v>
      </c>
      <c r="BE14" s="9">
        <f>BA14*$AK14</f>
        <v>1.5246406881366048</v>
      </c>
      <c r="BF14" s="1">
        <f>AY14*$AM14</f>
        <v>9.8598154598283179E-4</v>
      </c>
      <c r="BG14" s="1">
        <f t="shared" ref="BG14:BG19" si="20">AZ14*$AM14</f>
        <v>6.9473776624636455E-2</v>
      </c>
      <c r="BH14" s="1">
        <f t="shared" ref="BH14:BH18" si="21">BA14*$AM14</f>
        <v>1.1488960352729181</v>
      </c>
      <c r="BI14" s="9">
        <f>AY14*$AM14</f>
        <v>9.8598154598283179E-4</v>
      </c>
      <c r="BJ14" s="9">
        <f t="shared" ref="BJ14:BJ19" si="22">AZ14*$AM14</f>
        <v>6.9473776624636455E-2</v>
      </c>
      <c r="BK14" s="9">
        <f t="shared" ref="BK14:BK19" si="23">BA14*$AM14</f>
        <v>1.1488960352729181</v>
      </c>
      <c r="BL14" s="97">
        <f>AK14*AL14</f>
        <v>6.9667434238593871E-6</v>
      </c>
      <c r="BM14" s="97">
        <f>AK14*AM14</f>
        <v>6.8703704194589384E-6</v>
      </c>
    </row>
    <row r="15" spans="2:65" x14ac:dyDescent="0.25">
      <c r="B15" s="5" t="s">
        <v>72</v>
      </c>
      <c r="C15" s="18">
        <v>11.2535140070535</v>
      </c>
      <c r="D15" s="77">
        <v>0</v>
      </c>
      <c r="E15" s="77">
        <v>0.9525030774247405</v>
      </c>
      <c r="F15" s="10">
        <v>1.8208565296873807</v>
      </c>
      <c r="G15" s="10">
        <v>0</v>
      </c>
      <c r="H15" s="10">
        <v>6.4399714308752509</v>
      </c>
      <c r="I15" s="10">
        <v>14.35058288194206</v>
      </c>
      <c r="J15" s="19">
        <v>0</v>
      </c>
      <c r="K15" s="10">
        <v>0.10988175527225597</v>
      </c>
      <c r="L15" s="10">
        <v>4.9937931115182868E-2</v>
      </c>
      <c r="M15" s="18">
        <v>10.419702497860031</v>
      </c>
      <c r="N15" s="79">
        <v>10.245322861770958</v>
      </c>
      <c r="AJ15" s="94" t="s">
        <v>72</v>
      </c>
      <c r="AK15" s="4">
        <v>8.9943480211758207E-3</v>
      </c>
      <c r="AL15" s="4">
        <v>7.3498348235841596E-3</v>
      </c>
      <c r="AM15" s="4">
        <v>7.2506506127722097E-3</v>
      </c>
      <c r="AN15" s="1">
        <v>0</v>
      </c>
      <c r="AO15" s="1">
        <v>0</v>
      </c>
      <c r="AP15" s="1">
        <v>17</v>
      </c>
      <c r="AQ15" s="1">
        <v>939</v>
      </c>
      <c r="AR15" s="1">
        <v>24043</v>
      </c>
      <c r="AS15" s="1">
        <v>26403</v>
      </c>
      <c r="AT15" s="96">
        <v>44781.636111111111</v>
      </c>
      <c r="AV15" s="1">
        <f t="shared" ref="AV15:AV19" si="24">AN15/60</f>
        <v>0</v>
      </c>
      <c r="AW15" s="1">
        <f t="shared" si="15"/>
        <v>0</v>
      </c>
      <c r="AX15" s="9">
        <f t="shared" si="16"/>
        <v>0.28333333333333333</v>
      </c>
      <c r="AY15" s="9">
        <f t="shared" si="17"/>
        <v>15.65</v>
      </c>
      <c r="AZ15" s="9">
        <f t="shared" si="18"/>
        <v>400.71666666666664</v>
      </c>
      <c r="BA15" s="9">
        <f t="shared" si="19"/>
        <v>440.05</v>
      </c>
      <c r="BC15" s="9">
        <f t="shared" ref="BC15:BC19" si="25">AY15*$AK15</f>
        <v>0.1407615465314016</v>
      </c>
      <c r="BD15" s="9">
        <f t="shared" ref="BD15:BD19" si="26">AZ15*$AK15</f>
        <v>3.604185157885504</v>
      </c>
      <c r="BE15" s="9">
        <f t="shared" ref="BE15:BE19" si="27">BA15*$AK15</f>
        <v>3.95796284671842</v>
      </c>
      <c r="BF15" s="1">
        <f t="shared" ref="BF15:BF19" si="28">AY15*$AM15</f>
        <v>0.11347268208988509</v>
      </c>
      <c r="BG15" s="1">
        <f t="shared" si="20"/>
        <v>2.9054565447147036</v>
      </c>
      <c r="BH15" s="1">
        <f t="shared" si="21"/>
        <v>3.1906488021504109</v>
      </c>
      <c r="BI15" s="9">
        <f t="shared" ref="BI15:BI19" si="29">AY15*$AM15</f>
        <v>0.11347268208988509</v>
      </c>
      <c r="BJ15" s="9">
        <f t="shared" si="22"/>
        <v>2.9054565447147036</v>
      </c>
      <c r="BK15" s="9">
        <f t="shared" si="23"/>
        <v>3.1906488021504109</v>
      </c>
      <c r="BL15" s="97">
        <f t="shared" ref="BL15:BL19" si="30">AK15*AL15</f>
        <v>6.6106972301473323E-5</v>
      </c>
      <c r="BM15" s="97">
        <f t="shared" ref="BM15:BM19" si="31">AK15*AM15</f>
        <v>6.5214874991224972E-5</v>
      </c>
    </row>
    <row r="16" spans="2:65" x14ac:dyDescent="0.25">
      <c r="B16" s="1" t="s">
        <v>99</v>
      </c>
      <c r="C16" s="18">
        <v>38.090877401267164</v>
      </c>
      <c r="D16" s="77">
        <v>0</v>
      </c>
      <c r="E16" s="77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R16" s="12" t="s">
        <v>100</v>
      </c>
      <c r="S16" s="10">
        <f>AVERAGE(S25,S46,S67,S96,S103)</f>
        <v>2.578988708780801</v>
      </c>
      <c r="T16" s="10">
        <f>_xlfn.STDEV.P(S25,S46,S67,S96,S103)</f>
        <v>0.92348482848987423</v>
      </c>
      <c r="U16" s="10">
        <f>_xlfn.STDEV.S(S25,S46,S67,S96,S103)</f>
        <v>1.0324874263465469</v>
      </c>
      <c r="V16" s="10">
        <f>MIN(S25,S46,S67,S96,S103)</f>
        <v>1.2779965238021027</v>
      </c>
      <c r="W16" s="10">
        <f>MAX(S25,S46,S67,S96,S103)</f>
        <v>3.6092298053809748</v>
      </c>
      <c r="Y16" s="1">
        <v>120</v>
      </c>
      <c r="Z16" s="10">
        <f>S16</f>
        <v>2.578988708780801</v>
      </c>
      <c r="AJ16" s="94" t="s">
        <v>43</v>
      </c>
      <c r="AK16" s="4">
        <v>3.8667081914818199E-2</v>
      </c>
      <c r="AL16" s="4">
        <v>2.79043072021825E-2</v>
      </c>
      <c r="AM16" s="4">
        <v>2.7819201820590899E-2</v>
      </c>
      <c r="AN16" s="1">
        <v>0</v>
      </c>
      <c r="AO16" s="1">
        <v>1</v>
      </c>
      <c r="AP16" s="1">
        <v>241</v>
      </c>
      <c r="AQ16" s="1">
        <v>10366</v>
      </c>
      <c r="AR16" s="1">
        <v>13086</v>
      </c>
      <c r="AS16" s="1">
        <v>3801</v>
      </c>
      <c r="AT16" s="96">
        <v>45136.65625</v>
      </c>
      <c r="AV16" s="1">
        <f t="shared" si="24"/>
        <v>0</v>
      </c>
      <c r="AW16" s="1">
        <f t="shared" si="15"/>
        <v>1.6666666666666666E-2</v>
      </c>
      <c r="AX16" s="9">
        <f t="shared" si="16"/>
        <v>4.0166666666666666</v>
      </c>
      <c r="AY16" s="9">
        <f t="shared" si="17"/>
        <v>172.76666666666668</v>
      </c>
      <c r="AZ16" s="9">
        <f t="shared" si="18"/>
        <v>218.1</v>
      </c>
      <c r="BA16" s="9">
        <f t="shared" si="19"/>
        <v>63.35</v>
      </c>
      <c r="BC16" s="9">
        <f t="shared" si="25"/>
        <v>6.6803828521500916</v>
      </c>
      <c r="BD16" s="9">
        <f t="shared" si="26"/>
        <v>8.4332905656218493</v>
      </c>
      <c r="BE16" s="9">
        <f t="shared" si="27"/>
        <v>2.4495596393037329</v>
      </c>
      <c r="BF16" s="1">
        <f t="shared" si="28"/>
        <v>4.8062307678707548</v>
      </c>
      <c r="BG16" s="1">
        <f t="shared" si="20"/>
        <v>6.0673679170708752</v>
      </c>
      <c r="BH16" s="1">
        <f t="shared" si="21"/>
        <v>1.7623464353344336</v>
      </c>
      <c r="BI16" s="9">
        <f t="shared" si="29"/>
        <v>4.8062307678707548</v>
      </c>
      <c r="BJ16" s="9">
        <f t="shared" si="22"/>
        <v>6.0673679170708752</v>
      </c>
      <c r="BK16" s="9">
        <f t="shared" si="23"/>
        <v>1.7623464353344336</v>
      </c>
      <c r="BL16" s="97">
        <f t="shared" si="30"/>
        <v>1.0789781323630422E-3</v>
      </c>
      <c r="BM16" s="97">
        <f t="shared" si="31"/>
        <v>1.0756873556016478E-3</v>
      </c>
    </row>
    <row r="17" spans="2:65" x14ac:dyDescent="0.25">
      <c r="AJ17" s="98" t="s">
        <v>112</v>
      </c>
      <c r="AK17" s="4">
        <v>3.0943712647888701E-4</v>
      </c>
      <c r="AL17" s="4">
        <v>2.2263822327193601E-4</v>
      </c>
      <c r="AM17" s="4">
        <v>2.2289332505166101E-4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51</v>
      </c>
      <c r="AT17" s="96">
        <v>45151.78125</v>
      </c>
      <c r="AV17" s="1">
        <f t="shared" si="24"/>
        <v>0</v>
      </c>
      <c r="AW17" s="9">
        <f t="shared" si="15"/>
        <v>0</v>
      </c>
      <c r="AX17" s="9">
        <f t="shared" si="16"/>
        <v>0</v>
      </c>
      <c r="AY17" s="9">
        <f t="shared" si="17"/>
        <v>0</v>
      </c>
      <c r="AZ17" s="9">
        <f t="shared" si="18"/>
        <v>0</v>
      </c>
      <c r="BA17" s="9">
        <f t="shared" si="19"/>
        <v>0.85</v>
      </c>
      <c r="BC17" s="9">
        <f t="shared" si="25"/>
        <v>0</v>
      </c>
      <c r="BD17" s="9">
        <f t="shared" si="26"/>
        <v>0</v>
      </c>
      <c r="BE17" s="9">
        <f t="shared" si="27"/>
        <v>2.6302155750705398E-4</v>
      </c>
      <c r="BF17" s="1">
        <f t="shared" si="28"/>
        <v>0</v>
      </c>
      <c r="BG17" s="1">
        <f t="shared" si="20"/>
        <v>0</v>
      </c>
      <c r="BH17" s="1">
        <f t="shared" si="21"/>
        <v>1.8945932629391184E-4</v>
      </c>
      <c r="BI17" s="9">
        <f t="shared" si="29"/>
        <v>0</v>
      </c>
      <c r="BJ17" s="9">
        <f t="shared" si="22"/>
        <v>0</v>
      </c>
      <c r="BK17" s="9">
        <f t="shared" si="23"/>
        <v>1.8945932629391184E-4</v>
      </c>
      <c r="BL17" s="97">
        <f t="shared" si="30"/>
        <v>6.8892532053632753E-8</v>
      </c>
      <c r="BM17" s="97">
        <f t="shared" si="31"/>
        <v>6.8971470015310505E-8</v>
      </c>
    </row>
    <row r="18" spans="2:65" x14ac:dyDescent="0.25">
      <c r="D18" s="90" t="s">
        <v>73</v>
      </c>
      <c r="E18" s="90"/>
      <c r="F18" s="90"/>
      <c r="G18" s="90"/>
      <c r="H18" s="90"/>
      <c r="I18" s="90"/>
      <c r="J18" s="90" t="s">
        <v>121</v>
      </c>
      <c r="K18" s="90"/>
      <c r="L18" s="90"/>
      <c r="M18" s="90"/>
      <c r="N18" s="90"/>
      <c r="O18" s="90"/>
      <c r="AJ18" s="98" t="s">
        <v>113</v>
      </c>
      <c r="AK18" s="4">
        <v>1.0750210509432401E-3</v>
      </c>
      <c r="AL18" s="4">
        <v>6.8135642210139598E-4</v>
      </c>
      <c r="AM18" s="4">
        <v>6.6387213263375297E-4</v>
      </c>
      <c r="AN18" s="1">
        <v>0</v>
      </c>
      <c r="AO18" s="1">
        <v>0</v>
      </c>
      <c r="AP18" s="1">
        <v>0</v>
      </c>
      <c r="AQ18" s="1">
        <v>3</v>
      </c>
      <c r="AR18" s="1">
        <v>53</v>
      </c>
      <c r="AS18" s="1">
        <v>1607</v>
      </c>
      <c r="AT18" s="96">
        <v>45166.510416666664</v>
      </c>
      <c r="AV18" s="9">
        <f t="shared" si="24"/>
        <v>0</v>
      </c>
      <c r="AW18" s="9">
        <f t="shared" si="15"/>
        <v>0</v>
      </c>
      <c r="AX18" s="9">
        <f t="shared" si="16"/>
        <v>0</v>
      </c>
      <c r="AY18" s="9">
        <f t="shared" si="17"/>
        <v>0.05</v>
      </c>
      <c r="AZ18" s="9">
        <f t="shared" si="18"/>
        <v>0.8833333333333333</v>
      </c>
      <c r="BA18" s="9">
        <f t="shared" si="19"/>
        <v>26.783333333333335</v>
      </c>
      <c r="BC18" s="9">
        <f t="shared" si="25"/>
        <v>5.375105254716201E-5</v>
      </c>
      <c r="BD18" s="9">
        <f t="shared" si="26"/>
        <v>9.4960192833319537E-4</v>
      </c>
      <c r="BE18" s="9">
        <f t="shared" si="27"/>
        <v>2.8792647147763115E-2</v>
      </c>
      <c r="BF18" s="1">
        <f t="shared" si="28"/>
        <v>3.3193606631687651E-5</v>
      </c>
      <c r="BG18" s="1">
        <f t="shared" si="20"/>
        <v>5.8642038382648181E-4</v>
      </c>
      <c r="BH18" s="1">
        <f t="shared" si="21"/>
        <v>1.7780708619040686E-2</v>
      </c>
      <c r="BI18" s="9">
        <f t="shared" si="29"/>
        <v>3.3193606631687651E-5</v>
      </c>
      <c r="BJ18" s="9">
        <f t="shared" si="22"/>
        <v>5.8642038382648181E-4</v>
      </c>
      <c r="BK18" s="9">
        <f t="shared" si="23"/>
        <v>1.7780708619040686E-2</v>
      </c>
      <c r="BL18" s="97">
        <f t="shared" si="30"/>
        <v>7.3247249695436859E-7</v>
      </c>
      <c r="BM18" s="97">
        <f t="shared" si="31"/>
        <v>7.1367651771586724E-7</v>
      </c>
    </row>
    <row r="19" spans="2:65" x14ac:dyDescent="0.25">
      <c r="B19" s="87" t="s">
        <v>26</v>
      </c>
      <c r="C19" s="87"/>
      <c r="D19" s="85" t="s">
        <v>77</v>
      </c>
      <c r="E19" s="85"/>
      <c r="F19" s="85"/>
      <c r="G19" s="85" t="s">
        <v>78</v>
      </c>
      <c r="H19" s="85"/>
      <c r="I19" s="85"/>
      <c r="J19" s="85" t="s">
        <v>77</v>
      </c>
      <c r="K19" s="85"/>
      <c r="L19" s="85"/>
      <c r="M19" s="85" t="s">
        <v>78</v>
      </c>
      <c r="N19" s="85"/>
      <c r="O19" s="85"/>
      <c r="AJ19" s="94" t="s">
        <v>44</v>
      </c>
      <c r="AK19" s="4">
        <v>1.6768651053045799E-2</v>
      </c>
      <c r="AL19" s="4">
        <v>8.9192262729874093E-3</v>
      </c>
      <c r="AM19" s="4">
        <v>8.2089751540785003E-3</v>
      </c>
      <c r="AN19" s="1">
        <v>0</v>
      </c>
      <c r="AO19" s="1">
        <v>0</v>
      </c>
      <c r="AP19" s="1">
        <v>35</v>
      </c>
      <c r="AQ19" s="1">
        <v>887</v>
      </c>
      <c r="AR19" s="1">
        <v>10799</v>
      </c>
      <c r="AS19" s="1">
        <v>11286</v>
      </c>
      <c r="AT19" s="96">
        <v>45183.75</v>
      </c>
      <c r="AV19" s="9">
        <f t="shared" si="24"/>
        <v>0</v>
      </c>
      <c r="AW19" s="9">
        <f t="shared" si="15"/>
        <v>0</v>
      </c>
      <c r="AX19" s="9">
        <f t="shared" si="16"/>
        <v>0.58333333333333337</v>
      </c>
      <c r="AY19" s="9">
        <f t="shared" si="17"/>
        <v>14.783333333333333</v>
      </c>
      <c r="AZ19" s="9">
        <f t="shared" si="18"/>
        <v>179.98333333333332</v>
      </c>
      <c r="BA19" s="9">
        <f t="shared" si="19"/>
        <v>188.1</v>
      </c>
      <c r="BC19" s="9">
        <f t="shared" si="25"/>
        <v>0.24789655806752706</v>
      </c>
      <c r="BD19" s="9">
        <f t="shared" si="26"/>
        <v>3.018077712030693</v>
      </c>
      <c r="BE19" s="9">
        <f t="shared" si="27"/>
        <v>3.1541832630779147</v>
      </c>
      <c r="BF19" s="1">
        <f t="shared" si="28"/>
        <v>0.12135601602779383</v>
      </c>
      <c r="BG19" s="1">
        <f t="shared" si="20"/>
        <v>1.477478711481562</v>
      </c>
      <c r="BH19" s="1">
        <f>BA19*$AM19</f>
        <v>1.5441082264821659</v>
      </c>
      <c r="BI19" s="9">
        <f t="shared" si="29"/>
        <v>0.12135601602779383</v>
      </c>
      <c r="BJ19" s="9">
        <f t="shared" si="22"/>
        <v>1.477478711481562</v>
      </c>
      <c r="BK19" s="9">
        <f t="shared" si="23"/>
        <v>1.5441082264821659</v>
      </c>
      <c r="BL19" s="97">
        <f t="shared" si="30"/>
        <v>1.4956339303488409E-4</v>
      </c>
      <c r="BM19" s="97">
        <f t="shared" si="31"/>
        <v>1.3765343986186525E-4</v>
      </c>
    </row>
    <row r="20" spans="2:65" x14ac:dyDescent="0.25">
      <c r="B20" t="s">
        <v>81</v>
      </c>
      <c r="C20" s="1" t="s">
        <v>71</v>
      </c>
      <c r="D20" s="1" t="s">
        <v>74</v>
      </c>
      <c r="E20" s="1" t="s">
        <v>75</v>
      </c>
      <c r="F20" s="1" t="s">
        <v>76</v>
      </c>
      <c r="G20" s="1" t="s">
        <v>74</v>
      </c>
      <c r="H20" s="1" t="s">
        <v>75</v>
      </c>
      <c r="I20" s="1" t="s">
        <v>76</v>
      </c>
      <c r="J20" s="1" t="s">
        <v>74</v>
      </c>
      <c r="K20" s="1" t="s">
        <v>75</v>
      </c>
      <c r="L20" s="1" t="s">
        <v>76</v>
      </c>
      <c r="M20" s="1" t="s">
        <v>74</v>
      </c>
      <c r="N20" s="1" t="s">
        <v>75</v>
      </c>
      <c r="O20" s="1" t="s">
        <v>76</v>
      </c>
      <c r="P20" s="1" t="s">
        <v>79</v>
      </c>
      <c r="R20" s="1"/>
      <c r="S20" s="1" t="s">
        <v>92</v>
      </c>
      <c r="T20" s="1" t="s">
        <v>91</v>
      </c>
      <c r="AJ20" s="94" t="s">
        <v>99</v>
      </c>
    </row>
    <row r="21" spans="2:65" x14ac:dyDescent="0.25">
      <c r="B21" s="12" t="s">
        <v>42</v>
      </c>
      <c r="C21" s="10">
        <f>C4/$C12</f>
        <v>6.2970963246545022</v>
      </c>
      <c r="D21" s="10">
        <f>D4/$C12</f>
        <v>6.2970963246545022</v>
      </c>
      <c r="E21" s="10">
        <f>E4/$C12</f>
        <v>6.2970963246545022</v>
      </c>
      <c r="F21" s="10">
        <f t="shared" ref="F21:O21" si="32">F4/$C12</f>
        <v>6.2970963246545022</v>
      </c>
      <c r="G21" s="10">
        <f t="shared" si="32"/>
        <v>3.1485481623272511</v>
      </c>
      <c r="H21" s="10">
        <f t="shared" si="32"/>
        <v>6.2970963246545022</v>
      </c>
      <c r="I21" s="10">
        <f t="shared" si="32"/>
        <v>6.2970963246545022</v>
      </c>
      <c r="J21" s="10">
        <f t="shared" si="32"/>
        <v>2.2138229266363485</v>
      </c>
      <c r="K21" s="10">
        <f t="shared" si="32"/>
        <v>4.427645853272697</v>
      </c>
      <c r="L21" s="10">
        <f t="shared" si="32"/>
        <v>4.427645853272697</v>
      </c>
      <c r="M21" s="10">
        <f t="shared" si="32"/>
        <v>2.2138229266363485</v>
      </c>
      <c r="N21" s="10">
        <f t="shared" si="32"/>
        <v>2.2138229266363485</v>
      </c>
      <c r="O21" s="10">
        <f t="shared" si="32"/>
        <v>4.427645853272697</v>
      </c>
      <c r="P21" s="10">
        <f t="shared" ref="P21" si="33">P4/$C12</f>
        <v>4.427645853272697</v>
      </c>
      <c r="R21" s="12" t="s">
        <v>42</v>
      </c>
      <c r="S21" s="10">
        <f>AVERAGE(C21:P21)</f>
        <v>4.6630841645181489</v>
      </c>
      <c r="T21" s="10">
        <f>_xlfn.STDEV.P(C21:P21)</f>
        <v>1.6153761252978607</v>
      </c>
    </row>
    <row r="22" spans="2:65" x14ac:dyDescent="0.25">
      <c r="B22" s="12" t="s">
        <v>43</v>
      </c>
      <c r="C22" s="10">
        <f>C5/$C13</f>
        <v>5.6871124841437108</v>
      </c>
      <c r="D22" s="10">
        <f t="shared" ref="D22:O22" si="34">D5/$C13</f>
        <v>5.6871124841437108</v>
      </c>
      <c r="E22" s="10">
        <f t="shared" si="34"/>
        <v>11.374224968287422</v>
      </c>
      <c r="F22" s="10">
        <f t="shared" si="34"/>
        <v>11.374224968287422</v>
      </c>
      <c r="G22" s="10">
        <f t="shared" si="34"/>
        <v>2.8435562420718554</v>
      </c>
      <c r="H22" s="10">
        <f t="shared" si="34"/>
        <v>3.9987509654135471</v>
      </c>
      <c r="I22" s="10">
        <f t="shared" si="34"/>
        <v>11.374224968287422</v>
      </c>
      <c r="J22" s="10">
        <f t="shared" si="34"/>
        <v>5.6871124841437108</v>
      </c>
      <c r="K22" s="10">
        <f t="shared" si="34"/>
        <v>5.6871124841437108</v>
      </c>
      <c r="L22" s="10">
        <f t="shared" si="34"/>
        <v>11.374224968287422</v>
      </c>
      <c r="M22" s="10">
        <f t="shared" si="34"/>
        <v>2.8435562420718554</v>
      </c>
      <c r="N22" s="10">
        <f t="shared" si="34"/>
        <v>3.9987509654135471</v>
      </c>
      <c r="O22" s="10">
        <f t="shared" si="34"/>
        <v>5.6871124841437108</v>
      </c>
      <c r="P22" s="10">
        <f t="shared" ref="P22" si="35">P5/$C13</f>
        <v>3.9987509654135471</v>
      </c>
      <c r="R22" s="12" t="s">
        <v>43</v>
      </c>
      <c r="S22" s="10">
        <f>AVERAGE(C22:P22)</f>
        <v>6.5439876910180432</v>
      </c>
      <c r="T22" s="10">
        <f>_xlfn.STDEV.P(C22:P22)</f>
        <v>3.2050966110296013</v>
      </c>
      <c r="AJ22" s="93" t="s">
        <v>115</v>
      </c>
      <c r="AV22" s="85" t="s">
        <v>116</v>
      </c>
      <c r="AW22" s="85"/>
      <c r="AX22" s="85"/>
      <c r="AY22" s="85"/>
      <c r="AZ22" s="85"/>
      <c r="BA22" s="85"/>
      <c r="BC22" s="85" t="s">
        <v>64</v>
      </c>
      <c r="BD22" s="85"/>
      <c r="BE22" s="85"/>
      <c r="BF22" s="85" t="s">
        <v>65</v>
      </c>
      <c r="BG22" s="85"/>
      <c r="BH22" s="85"/>
      <c r="BI22" s="85" t="s">
        <v>66</v>
      </c>
      <c r="BJ22" s="85"/>
      <c r="BK22" s="85"/>
      <c r="BL22" s="1"/>
      <c r="BM22" s="1"/>
    </row>
    <row r="23" spans="2:65" x14ac:dyDescent="0.25">
      <c r="B23" s="12" t="s">
        <v>44</v>
      </c>
      <c r="C23" s="10">
        <f>C6/$C14</f>
        <v>2.2696980408649212</v>
      </c>
      <c r="D23" s="10">
        <f t="shared" ref="D23:O23" si="36">D6/$C14</f>
        <v>2.2696980408649212</v>
      </c>
      <c r="E23" s="10">
        <f t="shared" si="36"/>
        <v>2.2696980408649212</v>
      </c>
      <c r="F23" s="10">
        <f t="shared" si="36"/>
        <v>2.2696980408649212</v>
      </c>
      <c r="G23" s="10">
        <f t="shared" si="36"/>
        <v>0.79794071749157391</v>
      </c>
      <c r="H23" s="10">
        <f t="shared" si="36"/>
        <v>0.5674245102162303</v>
      </c>
      <c r="I23" s="10">
        <f t="shared" si="36"/>
        <v>2.2696980408649212</v>
      </c>
      <c r="J23" s="10">
        <f t="shared" si="36"/>
        <v>1.1348490204324606</v>
      </c>
      <c r="K23" s="10">
        <f t="shared" si="36"/>
        <v>2.2696980408649212</v>
      </c>
      <c r="L23" s="10">
        <f t="shared" si="36"/>
        <v>2.2696980408649212</v>
      </c>
      <c r="M23" s="10">
        <f t="shared" si="36"/>
        <v>1.1348490204324606</v>
      </c>
      <c r="N23" s="10">
        <f t="shared" si="36"/>
        <v>0.5674245102162303</v>
      </c>
      <c r="O23" s="10">
        <f t="shared" si="36"/>
        <v>0.5674245102162303</v>
      </c>
      <c r="P23" s="10">
        <f t="shared" ref="P23" si="37">P6/$C14</f>
        <v>1.1348490204324606</v>
      </c>
      <c r="R23" s="12" t="s">
        <v>44</v>
      </c>
      <c r="S23" s="10">
        <f>AVERAGE(C23:P23)</f>
        <v>1.5566176853922928</v>
      </c>
      <c r="T23" s="10">
        <f>_xlfn.STDEV.P(C23:P23)</f>
        <v>0.73698961655897854</v>
      </c>
      <c r="AK23" s="1" t="s">
        <v>1</v>
      </c>
      <c r="AL23" s="1" t="s">
        <v>2</v>
      </c>
      <c r="AM23" s="1" t="s">
        <v>3</v>
      </c>
      <c r="AN23" s="1" t="s">
        <v>104</v>
      </c>
      <c r="AO23" s="1" t="s">
        <v>105</v>
      </c>
      <c r="AP23" s="1" t="s">
        <v>106</v>
      </c>
      <c r="AQ23" s="1" t="s">
        <v>107</v>
      </c>
      <c r="AR23" s="1" t="s">
        <v>108</v>
      </c>
      <c r="AS23" s="1" t="s">
        <v>109</v>
      </c>
      <c r="AT23" s="1" t="s">
        <v>110</v>
      </c>
      <c r="AV23" s="1" t="s">
        <v>21</v>
      </c>
      <c r="AW23" s="1" t="s">
        <v>20</v>
      </c>
      <c r="AX23" s="1" t="s">
        <v>19</v>
      </c>
      <c r="AY23" s="1" t="s">
        <v>18</v>
      </c>
      <c r="AZ23" s="1" t="s">
        <v>17</v>
      </c>
      <c r="BA23" s="1" t="s">
        <v>16</v>
      </c>
      <c r="BC23" s="1" t="s">
        <v>41</v>
      </c>
      <c r="BD23" s="1" t="s">
        <v>40</v>
      </c>
      <c r="BE23" s="1" t="s">
        <v>39</v>
      </c>
      <c r="BF23" s="1" t="s">
        <v>41</v>
      </c>
      <c r="BG23" s="1" t="s">
        <v>40</v>
      </c>
      <c r="BH23" s="1" t="s">
        <v>39</v>
      </c>
      <c r="BI23" s="1" t="s">
        <v>41</v>
      </c>
      <c r="BJ23" s="1" t="s">
        <v>40</v>
      </c>
      <c r="BK23" s="1" t="s">
        <v>39</v>
      </c>
      <c r="BL23" s="1" t="s">
        <v>68</v>
      </c>
      <c r="BM23" s="1" t="s">
        <v>67</v>
      </c>
    </row>
    <row r="24" spans="2:65" x14ac:dyDescent="0.25">
      <c r="B24" s="12" t="s">
        <v>72</v>
      </c>
      <c r="C24" s="10">
        <f>C7/$C15</f>
        <v>11.374224968287407</v>
      </c>
      <c r="D24" s="10">
        <f t="shared" ref="D24:P24" si="38">D7/$C15</f>
        <v>11.374224968287407</v>
      </c>
      <c r="E24" s="10">
        <f t="shared" si="38"/>
        <v>11.374224968287407</v>
      </c>
      <c r="F24" s="10">
        <f t="shared" si="38"/>
        <v>11.374224968287407</v>
      </c>
      <c r="G24" s="10">
        <f t="shared" si="38"/>
        <v>2.8435562420718519</v>
      </c>
      <c r="H24" s="10">
        <f t="shared" si="38"/>
        <v>3.9987509654135418</v>
      </c>
      <c r="I24" s="10">
        <f t="shared" si="38"/>
        <v>11.374224968287407</v>
      </c>
      <c r="J24" s="10">
        <f t="shared" si="38"/>
        <v>11.374224968287407</v>
      </c>
      <c r="K24" s="10">
        <f t="shared" si="38"/>
        <v>11.374224968287407</v>
      </c>
      <c r="L24" s="10">
        <f t="shared" si="38"/>
        <v>11.374224968287407</v>
      </c>
      <c r="M24" s="10">
        <f t="shared" si="38"/>
        <v>11.374224968287407</v>
      </c>
      <c r="N24" s="10">
        <f t="shared" si="38"/>
        <v>5.6871124841437037</v>
      </c>
      <c r="O24" s="10">
        <f t="shared" si="38"/>
        <v>2.8435562420718519</v>
      </c>
      <c r="P24" s="10">
        <f t="shared" si="38"/>
        <v>11.374224968287407</v>
      </c>
      <c r="R24" s="12" t="s">
        <v>72</v>
      </c>
      <c r="S24" s="10">
        <f>AVERAGE(C24:P24)</f>
        <v>9.2225161154696433</v>
      </c>
      <c r="T24" s="10">
        <f>AVERAGE(C24:P24)</f>
        <v>9.2225161154696433</v>
      </c>
      <c r="AJ24" s="94" t="s">
        <v>42</v>
      </c>
      <c r="AK24" s="4">
        <v>8.1790313970628494E-3</v>
      </c>
      <c r="AL24" s="4">
        <v>5.4176649343818696E-3</v>
      </c>
      <c r="AM24" s="4">
        <v>5.5430990408714903E-3</v>
      </c>
      <c r="AN24" s="1">
        <v>0</v>
      </c>
      <c r="AO24" s="1">
        <v>2</v>
      </c>
      <c r="AP24" s="1">
        <v>59</v>
      </c>
      <c r="AQ24" s="1">
        <v>949</v>
      </c>
      <c r="AR24" s="1">
        <v>10223</v>
      </c>
      <c r="AS24" s="1">
        <v>29648</v>
      </c>
      <c r="AT24" s="95">
        <v>44776.625694444447</v>
      </c>
      <c r="AV24" s="1">
        <f>AN24/60</f>
        <v>0</v>
      </c>
      <c r="AW24" s="9">
        <f t="shared" ref="AW24:AW29" si="39">AO24/60</f>
        <v>3.3333333333333333E-2</v>
      </c>
      <c r="AX24" s="9">
        <f>AP24/60</f>
        <v>0.98333333333333328</v>
      </c>
      <c r="AY24" s="9">
        <f t="shared" ref="AY24:AY29" si="40">AQ24/60</f>
        <v>15.816666666666666</v>
      </c>
      <c r="AZ24" s="9">
        <f t="shared" ref="AZ24:AZ29" si="41">AR24/60</f>
        <v>170.38333333333333</v>
      </c>
      <c r="BA24" s="9">
        <f t="shared" ref="BA24:BA29" si="42">AS24/60</f>
        <v>494.13333333333333</v>
      </c>
      <c r="BC24" s="9">
        <f>AY24*$AK24</f>
        <v>0.12936501326354408</v>
      </c>
      <c r="BD24" s="9">
        <f>AZ24*$AK24</f>
        <v>1.3935706328695585</v>
      </c>
      <c r="BE24" s="9">
        <f>BA24*$AK24</f>
        <v>4.0415320476686558</v>
      </c>
      <c r="BF24" s="1">
        <f>AY24*$AM24</f>
        <v>8.7673349829784072E-2</v>
      </c>
      <c r="BG24" s="1">
        <f t="shared" ref="BG24:BG29" si="43">AZ24*$AM24</f>
        <v>0.94445169158048736</v>
      </c>
      <c r="BH24" s="1">
        <f t="shared" ref="BH24:BH28" si="44">BA24*$AM24</f>
        <v>2.7390300060626322</v>
      </c>
      <c r="BI24" s="9">
        <f>AY24*$AM24</f>
        <v>8.7673349829784072E-2</v>
      </c>
      <c r="BJ24" s="9">
        <f t="shared" ref="BJ24:BJ29" si="45">AZ24*$AM24</f>
        <v>0.94445169158048736</v>
      </c>
      <c r="BK24" s="9">
        <f t="shared" ref="BK24:BK29" si="46">BA24*$AM24</f>
        <v>2.7390300060626322</v>
      </c>
      <c r="BL24" s="97">
        <f>AK24*AL24</f>
        <v>4.431125159707575E-5</v>
      </c>
      <c r="BM24" s="97">
        <f>AK24*AM24</f>
        <v>4.5337181092316886E-5</v>
      </c>
    </row>
    <row r="25" spans="2:65" x14ac:dyDescent="0.25">
      <c r="B25" s="12" t="s">
        <v>100</v>
      </c>
      <c r="C25" s="10">
        <f>C8/$C16</f>
        <v>3.3603846572392642</v>
      </c>
      <c r="D25" s="10">
        <f t="shared" ref="D25:P25" si="47">D8/$C16</f>
        <v>3.3603846572392642</v>
      </c>
      <c r="E25" s="10">
        <f t="shared" si="47"/>
        <v>3.3603846572392642</v>
      </c>
      <c r="F25" s="10">
        <f t="shared" si="47"/>
        <v>3.3603846572392642</v>
      </c>
      <c r="G25" s="10">
        <f t="shared" si="47"/>
        <v>2.3627704621213579</v>
      </c>
      <c r="H25" s="10">
        <f t="shared" si="47"/>
        <v>3.3603846572392642</v>
      </c>
      <c r="I25" s="10">
        <f t="shared" si="47"/>
        <v>3.3603846572392642</v>
      </c>
      <c r="J25" s="10">
        <f t="shared" si="47"/>
        <v>3.3603846572392642</v>
      </c>
      <c r="K25" s="10">
        <f t="shared" si="47"/>
        <v>3.3603846572392642</v>
      </c>
      <c r="L25" s="10">
        <f t="shared" si="47"/>
        <v>3.3603846572392642</v>
      </c>
      <c r="M25" s="10">
        <f t="shared" si="47"/>
        <v>1.6801923286196321</v>
      </c>
      <c r="N25" s="10">
        <f t="shared" si="47"/>
        <v>1.1813852310606789</v>
      </c>
      <c r="O25" s="10">
        <f t="shared" si="47"/>
        <v>3.3603846572392642</v>
      </c>
      <c r="P25" s="10">
        <f t="shared" si="47"/>
        <v>3.3603846572392642</v>
      </c>
      <c r="R25" s="12" t="s">
        <v>100</v>
      </c>
      <c r="S25" s="10">
        <f>AVERAGE(C25:P25)</f>
        <v>3.0134699465309702</v>
      </c>
      <c r="T25" s="10">
        <f>AVERAGE(C25:P25)</f>
        <v>3.0134699465309702</v>
      </c>
      <c r="AJ25" s="94" t="s">
        <v>72</v>
      </c>
      <c r="AK25" s="4">
        <v>9.3021392923925104E-3</v>
      </c>
      <c r="AL25" s="4">
        <v>6.7341365149251797E-3</v>
      </c>
      <c r="AM25" s="4">
        <v>6.6375810185178097E-3</v>
      </c>
      <c r="AN25" s="1">
        <v>0</v>
      </c>
      <c r="AO25" s="1">
        <v>0</v>
      </c>
      <c r="AP25" s="1">
        <v>2</v>
      </c>
      <c r="AQ25" s="1">
        <v>671</v>
      </c>
      <c r="AR25" s="1">
        <v>23102</v>
      </c>
      <c r="AS25" s="1">
        <v>26893</v>
      </c>
      <c r="AT25" s="95">
        <v>44781.625694444447</v>
      </c>
      <c r="AV25" s="1">
        <f t="shared" ref="AV25:AV29" si="48">AN25/60</f>
        <v>0</v>
      </c>
      <c r="AW25" s="1">
        <f t="shared" si="39"/>
        <v>0</v>
      </c>
      <c r="AX25" s="9">
        <f t="shared" ref="AX24:AX29" si="49">AP25/60</f>
        <v>3.3333333333333333E-2</v>
      </c>
      <c r="AY25" s="9">
        <f t="shared" si="40"/>
        <v>11.183333333333334</v>
      </c>
      <c r="AZ25" s="9">
        <f t="shared" si="41"/>
        <v>385.03333333333336</v>
      </c>
      <c r="BA25" s="9">
        <f t="shared" si="42"/>
        <v>448.21666666666664</v>
      </c>
      <c r="BC25" s="9">
        <f t="shared" ref="BC25:BC29" si="50">AY25*$AK25</f>
        <v>0.10402892441992291</v>
      </c>
      <c r="BD25" s="9">
        <f t="shared" ref="BD25:BD29" si="51">AZ25*$AK25</f>
        <v>3.581633698880863</v>
      </c>
      <c r="BE25" s="9">
        <f t="shared" ref="BE25:BE29" si="52">BA25*$AK25</f>
        <v>4.1693738665051958</v>
      </c>
      <c r="BF25" s="1">
        <f t="shared" ref="BF25:BF29" si="53">AY25*$AM25</f>
        <v>7.4230281057090841E-2</v>
      </c>
      <c r="BG25" s="1">
        <f t="shared" si="43"/>
        <v>2.5556899448299744</v>
      </c>
      <c r="BH25" s="1">
        <f t="shared" si="44"/>
        <v>2.9750744388499908</v>
      </c>
      <c r="BI25" s="9">
        <f t="shared" ref="BI25:BI29" si="54">AY25*$AM25</f>
        <v>7.4230281057090841E-2</v>
      </c>
      <c r="BJ25" s="9">
        <f t="shared" si="45"/>
        <v>2.5556899448299744</v>
      </c>
      <c r="BK25" s="9">
        <f t="shared" si="46"/>
        <v>2.9750744388499908</v>
      </c>
      <c r="BL25" s="97">
        <f t="shared" ref="BL25:BL29" si="55">AK25*AL25</f>
        <v>6.2641875875820682E-5</v>
      </c>
      <c r="BM25" s="97">
        <f t="shared" ref="BM25:BM29" si="56">AK25*AM25</f>
        <v>6.1743703198793216E-5</v>
      </c>
    </row>
    <row r="26" spans="2:65" x14ac:dyDescent="0.25">
      <c r="B26" s="87" t="s">
        <v>84</v>
      </c>
      <c r="C26" s="87"/>
      <c r="D26" s="85" t="s">
        <v>77</v>
      </c>
      <c r="E26" s="85"/>
      <c r="F26" s="85"/>
      <c r="G26" s="85" t="s">
        <v>78</v>
      </c>
      <c r="H26" s="85"/>
      <c r="I26" s="85"/>
      <c r="J26" s="85" t="s">
        <v>77</v>
      </c>
      <c r="K26" s="85"/>
      <c r="L26" s="85"/>
      <c r="M26" s="85" t="s">
        <v>78</v>
      </c>
      <c r="N26" s="85"/>
      <c r="O26" s="85"/>
      <c r="AJ26" s="94" t="s">
        <v>43</v>
      </c>
      <c r="AK26" s="4">
        <v>2.1537054937389201E-2</v>
      </c>
      <c r="AL26" s="4">
        <v>1.55423312915689E-2</v>
      </c>
      <c r="AM26" s="4">
        <v>1.54949287157126E-2</v>
      </c>
      <c r="AN26" s="1">
        <v>0</v>
      </c>
      <c r="AO26" s="1">
        <v>0</v>
      </c>
      <c r="AP26" s="1">
        <v>30</v>
      </c>
      <c r="AQ26" s="1">
        <v>2909</v>
      </c>
      <c r="AR26" s="1">
        <v>16936</v>
      </c>
      <c r="AS26" s="1">
        <v>6747</v>
      </c>
      <c r="AT26" s="95">
        <v>45136.65625</v>
      </c>
      <c r="AV26" s="1">
        <f t="shared" si="48"/>
        <v>0</v>
      </c>
      <c r="AW26" s="1">
        <f t="shared" si="39"/>
        <v>0</v>
      </c>
      <c r="AX26" s="9">
        <f t="shared" si="49"/>
        <v>0.5</v>
      </c>
      <c r="AY26" s="9">
        <f t="shared" si="40"/>
        <v>48.483333333333334</v>
      </c>
      <c r="AZ26" s="9">
        <f t="shared" si="41"/>
        <v>282.26666666666665</v>
      </c>
      <c r="BA26" s="9">
        <f t="shared" si="42"/>
        <v>112.45</v>
      </c>
      <c r="BC26" s="9">
        <f t="shared" si="50"/>
        <v>1.0441882135477532</v>
      </c>
      <c r="BD26" s="9">
        <f t="shared" si="51"/>
        <v>6.0791927069937248</v>
      </c>
      <c r="BE26" s="9">
        <f t="shared" si="52"/>
        <v>2.4218418277094158</v>
      </c>
      <c r="BF26" s="1">
        <f t="shared" si="53"/>
        <v>0.75124579390013257</v>
      </c>
      <c r="BG26" s="1">
        <f t="shared" si="43"/>
        <v>4.3737018788218096</v>
      </c>
      <c r="BH26" s="1">
        <f t="shared" si="44"/>
        <v>1.742404734081882</v>
      </c>
      <c r="BI26" s="9">
        <f t="shared" si="54"/>
        <v>0.75124579390013257</v>
      </c>
      <c r="BJ26" s="9">
        <f t="shared" si="45"/>
        <v>4.3737018788218096</v>
      </c>
      <c r="BK26" s="9">
        <f t="shared" si="46"/>
        <v>1.742404734081882</v>
      </c>
      <c r="BL26" s="97">
        <f t="shared" si="55"/>
        <v>3.3473604288162265E-4</v>
      </c>
      <c r="BM26" s="97">
        <f t="shared" si="56"/>
        <v>3.3371513100123178E-4</v>
      </c>
    </row>
    <row r="27" spans="2:65" x14ac:dyDescent="0.25">
      <c r="B27" t="s">
        <v>81</v>
      </c>
      <c r="C27" s="1" t="s">
        <v>71</v>
      </c>
      <c r="D27" s="1" t="s">
        <v>74</v>
      </c>
      <c r="E27" s="1" t="s">
        <v>75</v>
      </c>
      <c r="F27" s="1" t="s">
        <v>76</v>
      </c>
      <c r="G27" s="1" t="s">
        <v>74</v>
      </c>
      <c r="H27" s="1" t="s">
        <v>75</v>
      </c>
      <c r="I27" s="1" t="s">
        <v>76</v>
      </c>
      <c r="J27" s="1" t="s">
        <v>74</v>
      </c>
      <c r="K27" s="1" t="s">
        <v>75</v>
      </c>
      <c r="L27" s="1" t="s">
        <v>76</v>
      </c>
      <c r="M27" s="1" t="s">
        <v>74</v>
      </c>
      <c r="N27" s="1" t="s">
        <v>75</v>
      </c>
      <c r="O27" s="1" t="s">
        <v>76</v>
      </c>
      <c r="P27" s="1" t="s">
        <v>79</v>
      </c>
      <c r="R27" s="1"/>
      <c r="S27" s="1"/>
      <c r="T27" s="1"/>
      <c r="AJ27" s="98" t="s">
        <v>112</v>
      </c>
      <c r="AK27" s="4">
        <v>5.0027030270208001E-4</v>
      </c>
      <c r="AL27" s="4">
        <v>3.5994159012851503E-4</v>
      </c>
      <c r="AM27" s="4">
        <v>3.6035401589828699E-4</v>
      </c>
      <c r="AN27" s="1">
        <v>0</v>
      </c>
      <c r="AO27" s="1">
        <v>0</v>
      </c>
      <c r="AP27" s="1">
        <v>0</v>
      </c>
      <c r="AQ27" s="1">
        <v>0</v>
      </c>
      <c r="AR27" s="1">
        <v>2</v>
      </c>
      <c r="AS27" s="1">
        <v>239</v>
      </c>
      <c r="AT27" s="95">
        <v>45151.78125</v>
      </c>
      <c r="AV27" s="1">
        <f t="shared" si="48"/>
        <v>0</v>
      </c>
      <c r="AW27" s="99">
        <f t="shared" si="39"/>
        <v>0</v>
      </c>
      <c r="AX27" s="99">
        <f t="shared" si="49"/>
        <v>0</v>
      </c>
      <c r="AY27" s="99">
        <f t="shared" si="40"/>
        <v>0</v>
      </c>
      <c r="AZ27" s="9">
        <f t="shared" si="41"/>
        <v>3.3333333333333333E-2</v>
      </c>
      <c r="BA27" s="9">
        <f t="shared" si="42"/>
        <v>3.9833333333333334</v>
      </c>
      <c r="BC27" s="9">
        <f t="shared" si="50"/>
        <v>0</v>
      </c>
      <c r="BD27" s="9">
        <f t="shared" si="51"/>
        <v>1.6675676756736001E-5</v>
      </c>
      <c r="BE27" s="9">
        <f t="shared" si="52"/>
        <v>1.9927433724299523E-3</v>
      </c>
      <c r="BF27" s="1">
        <f t="shared" si="53"/>
        <v>0</v>
      </c>
      <c r="BG27" s="1">
        <f t="shared" si="43"/>
        <v>1.20118005299429E-5</v>
      </c>
      <c r="BH27" s="1">
        <f t="shared" si="44"/>
        <v>1.4354101633281765E-3</v>
      </c>
      <c r="BI27" s="9">
        <f t="shared" si="54"/>
        <v>0</v>
      </c>
      <c r="BJ27" s="9">
        <f t="shared" si="45"/>
        <v>1.20118005299429E-5</v>
      </c>
      <c r="BK27" s="9">
        <f t="shared" si="46"/>
        <v>1.4354101633281765E-3</v>
      </c>
      <c r="BL27" s="97">
        <f t="shared" si="55"/>
        <v>1.8006808824866023E-7</v>
      </c>
      <c r="BM27" s="97">
        <f t="shared" si="56"/>
        <v>1.8027441261334619E-7</v>
      </c>
    </row>
    <row r="28" spans="2:65" x14ac:dyDescent="0.25">
      <c r="B28" s="12" t="s">
        <v>42</v>
      </c>
      <c r="C28" s="10" t="e">
        <f>C4/$D12</f>
        <v>#DIV/0!</v>
      </c>
      <c r="D28" s="10" t="e">
        <f>D4/$D12</f>
        <v>#DIV/0!</v>
      </c>
      <c r="E28" s="10" t="e">
        <f t="shared" ref="E28:P28" si="57">E4/$D12</f>
        <v>#DIV/0!</v>
      </c>
      <c r="F28" s="10" t="e">
        <f t="shared" si="57"/>
        <v>#DIV/0!</v>
      </c>
      <c r="G28" s="10" t="e">
        <f t="shared" si="57"/>
        <v>#DIV/0!</v>
      </c>
      <c r="H28" s="10" t="e">
        <f t="shared" si="57"/>
        <v>#DIV/0!</v>
      </c>
      <c r="I28" s="10" t="e">
        <f t="shared" si="57"/>
        <v>#DIV/0!</v>
      </c>
      <c r="J28" s="10" t="e">
        <f t="shared" si="57"/>
        <v>#DIV/0!</v>
      </c>
      <c r="K28" s="10" t="e">
        <f t="shared" si="57"/>
        <v>#DIV/0!</v>
      </c>
      <c r="L28" s="10" t="e">
        <f t="shared" si="57"/>
        <v>#DIV/0!</v>
      </c>
      <c r="M28" s="10" t="e">
        <f t="shared" si="57"/>
        <v>#DIV/0!</v>
      </c>
      <c r="N28" s="10" t="e">
        <f t="shared" si="57"/>
        <v>#DIV/0!</v>
      </c>
      <c r="O28" s="10" t="e">
        <f t="shared" si="57"/>
        <v>#DIV/0!</v>
      </c>
      <c r="P28" s="10" t="e">
        <f t="shared" si="57"/>
        <v>#DIV/0!</v>
      </c>
      <c r="R28" s="1"/>
      <c r="S28" s="10"/>
      <c r="T28" s="10"/>
      <c r="AJ28" s="98" t="s">
        <v>113</v>
      </c>
      <c r="AK28" s="4">
        <v>1.9432607076610799E-3</v>
      </c>
      <c r="AL28" s="4">
        <v>1.2316532423362E-3</v>
      </c>
      <c r="AM28" s="4">
        <v>1.20004778426201E-3</v>
      </c>
      <c r="AN28" s="1">
        <v>0</v>
      </c>
      <c r="AO28" s="1">
        <v>0</v>
      </c>
      <c r="AP28" s="1">
        <v>1</v>
      </c>
      <c r="AQ28" s="1">
        <v>7</v>
      </c>
      <c r="AR28" s="1">
        <v>258</v>
      </c>
      <c r="AS28" s="1">
        <v>5124</v>
      </c>
      <c r="AT28" s="95">
        <v>45166.510416666664</v>
      </c>
      <c r="AV28" s="99">
        <f>AN28/60</f>
        <v>0</v>
      </c>
      <c r="AW28" s="99">
        <f t="shared" si="39"/>
        <v>0</v>
      </c>
      <c r="AX28" s="9">
        <f t="shared" si="49"/>
        <v>1.6666666666666666E-2</v>
      </c>
      <c r="AY28" s="9">
        <f t="shared" si="40"/>
        <v>0.11666666666666667</v>
      </c>
      <c r="AZ28" s="9">
        <f t="shared" si="41"/>
        <v>4.3</v>
      </c>
      <c r="BA28" s="9">
        <f t="shared" si="42"/>
        <v>85.4</v>
      </c>
      <c r="BC28" s="9">
        <f t="shared" si="50"/>
        <v>2.26713749227126E-4</v>
      </c>
      <c r="BD28" s="9">
        <f t="shared" si="51"/>
        <v>8.3560210429426442E-3</v>
      </c>
      <c r="BE28" s="9">
        <f t="shared" si="52"/>
        <v>0.16595446443425624</v>
      </c>
      <c r="BF28" s="1">
        <f t="shared" si="53"/>
        <v>1.4000557483056784E-4</v>
      </c>
      <c r="BG28" s="1">
        <f t="shared" si="43"/>
        <v>5.1602054723266432E-3</v>
      </c>
      <c r="BH28" s="1">
        <f t="shared" si="44"/>
        <v>0.10248408077597566</v>
      </c>
      <c r="BI28" s="9">
        <f t="shared" si="54"/>
        <v>1.4000557483056784E-4</v>
      </c>
      <c r="BJ28" s="9">
        <f t="shared" si="45"/>
        <v>5.1602054723266432E-3</v>
      </c>
      <c r="BK28" s="9">
        <f t="shared" si="46"/>
        <v>0.10248408077597566</v>
      </c>
      <c r="BL28" s="97">
        <f t="shared" si="55"/>
        <v>2.3934233512953078E-6</v>
      </c>
      <c r="BM28" s="97">
        <f t="shared" si="56"/>
        <v>2.3320057064721044E-6</v>
      </c>
    </row>
    <row r="29" spans="2:65" x14ac:dyDescent="0.25">
      <c r="B29" s="12" t="s">
        <v>43</v>
      </c>
      <c r="C29" s="10" t="e">
        <f>C5/$D13</f>
        <v>#DIV/0!</v>
      </c>
      <c r="D29" s="10" t="e">
        <f t="shared" ref="D29:P29" si="58">D5/$D13</f>
        <v>#DIV/0!</v>
      </c>
      <c r="E29" s="10" t="e">
        <f t="shared" si="58"/>
        <v>#DIV/0!</v>
      </c>
      <c r="F29" s="10" t="e">
        <f t="shared" si="58"/>
        <v>#DIV/0!</v>
      </c>
      <c r="G29" s="10" t="e">
        <f t="shared" si="58"/>
        <v>#DIV/0!</v>
      </c>
      <c r="H29" s="10" t="e">
        <f t="shared" si="58"/>
        <v>#DIV/0!</v>
      </c>
      <c r="I29" s="10" t="e">
        <f t="shared" si="58"/>
        <v>#DIV/0!</v>
      </c>
      <c r="J29" s="10" t="e">
        <f t="shared" si="58"/>
        <v>#DIV/0!</v>
      </c>
      <c r="K29" s="10" t="e">
        <f t="shared" si="58"/>
        <v>#DIV/0!</v>
      </c>
      <c r="L29" s="10" t="e">
        <f t="shared" si="58"/>
        <v>#DIV/0!</v>
      </c>
      <c r="M29" s="10" t="e">
        <f t="shared" si="58"/>
        <v>#DIV/0!</v>
      </c>
      <c r="N29" s="10" t="e">
        <f t="shared" si="58"/>
        <v>#DIV/0!</v>
      </c>
      <c r="O29" s="10" t="e">
        <f t="shared" si="58"/>
        <v>#DIV/0!</v>
      </c>
      <c r="P29" s="10" t="e">
        <f t="shared" si="58"/>
        <v>#DIV/0!</v>
      </c>
      <c r="R29" s="1"/>
      <c r="S29" s="10"/>
      <c r="T29" s="10"/>
      <c r="AJ29" s="94" t="s">
        <v>44</v>
      </c>
      <c r="AK29" s="4">
        <v>1.68687551091549E-2</v>
      </c>
      <c r="AL29" s="4">
        <v>8.9724715055071406E-3</v>
      </c>
      <c r="AM29" s="4">
        <v>8.2579803903355103E-3</v>
      </c>
      <c r="AN29" s="1">
        <v>0</v>
      </c>
      <c r="AO29" s="1">
        <v>0</v>
      </c>
      <c r="AP29" s="1">
        <v>36</v>
      </c>
      <c r="AQ29" s="1">
        <v>905</v>
      </c>
      <c r="AR29" s="1">
        <v>10850</v>
      </c>
      <c r="AS29" s="1">
        <v>11249</v>
      </c>
      <c r="AT29" s="95">
        <v>45183.75</v>
      </c>
      <c r="AV29" s="99">
        <f t="shared" si="48"/>
        <v>0</v>
      </c>
      <c r="AW29" s="99">
        <f t="shared" si="39"/>
        <v>0</v>
      </c>
      <c r="AX29" s="9">
        <f t="shared" si="49"/>
        <v>0.6</v>
      </c>
      <c r="AY29" s="9">
        <f t="shared" si="40"/>
        <v>15.083333333333334</v>
      </c>
      <c r="AZ29" s="9">
        <f t="shared" si="41"/>
        <v>180.83333333333334</v>
      </c>
      <c r="BA29" s="9">
        <f t="shared" si="42"/>
        <v>187.48333333333332</v>
      </c>
      <c r="BC29" s="9">
        <f>AY29*$AK29</f>
        <v>0.2544370562297531</v>
      </c>
      <c r="BD29" s="9">
        <f t="shared" si="51"/>
        <v>3.0504332155721778</v>
      </c>
      <c r="BE29" s="9">
        <f t="shared" si="52"/>
        <v>3.1626104370480577</v>
      </c>
      <c r="BF29" s="1">
        <f t="shared" si="53"/>
        <v>0.12455787088756062</v>
      </c>
      <c r="BG29" s="1">
        <f t="shared" si="43"/>
        <v>1.4933181205856716</v>
      </c>
      <c r="BH29" s="1">
        <f>BA29*$AM29</f>
        <v>1.5482336901814024</v>
      </c>
      <c r="BI29" s="9">
        <f t="shared" si="54"/>
        <v>0.12455787088756062</v>
      </c>
      <c r="BJ29" s="9">
        <f t="shared" si="45"/>
        <v>1.4933181205856716</v>
      </c>
      <c r="BK29" s="9">
        <f t="shared" si="46"/>
        <v>1.5482336901814024</v>
      </c>
      <c r="BL29" s="97">
        <f t="shared" si="55"/>
        <v>1.5135442455027032E-4</v>
      </c>
      <c r="BM29" s="97">
        <f t="shared" si="56"/>
        <v>1.3930184890077312E-4</v>
      </c>
    </row>
    <row r="30" spans="2:65" x14ac:dyDescent="0.25">
      <c r="B30" s="12" t="s">
        <v>44</v>
      </c>
      <c r="C30" s="10">
        <f>C6/$D14</f>
        <v>1.7638770078104806</v>
      </c>
      <c r="D30" s="10">
        <f t="shared" ref="D30:P30" si="59">D6/$D14</f>
        <v>1.7638770078104806</v>
      </c>
      <c r="E30" s="10">
        <f t="shared" si="59"/>
        <v>1.7638770078104806</v>
      </c>
      <c r="F30" s="10">
        <f t="shared" si="59"/>
        <v>1.7638770078104806</v>
      </c>
      <c r="G30" s="10">
        <f t="shared" si="59"/>
        <v>0.62011301055837209</v>
      </c>
      <c r="H30" s="10">
        <f t="shared" si="59"/>
        <v>0.44096925195262016</v>
      </c>
      <c r="I30" s="10">
        <f t="shared" si="59"/>
        <v>1.7638770078104806</v>
      </c>
      <c r="J30" s="10">
        <f t="shared" si="59"/>
        <v>0.88193850390524031</v>
      </c>
      <c r="K30" s="10">
        <f t="shared" si="59"/>
        <v>1.7638770078104806</v>
      </c>
      <c r="L30" s="10">
        <f t="shared" si="59"/>
        <v>1.7638770078104806</v>
      </c>
      <c r="M30" s="10">
        <f t="shared" si="59"/>
        <v>0.88193850390524031</v>
      </c>
      <c r="N30" s="10">
        <f t="shared" si="59"/>
        <v>0.44096925195262016</v>
      </c>
      <c r="O30" s="10">
        <f t="shared" si="59"/>
        <v>0.44096925195262016</v>
      </c>
      <c r="P30" s="10">
        <f t="shared" si="59"/>
        <v>0.88193850390524031</v>
      </c>
      <c r="R30" s="1"/>
      <c r="S30" s="10"/>
      <c r="T30" s="10"/>
      <c r="AJ30" s="94" t="s">
        <v>99</v>
      </c>
      <c r="AV30" s="107"/>
    </row>
    <row r="31" spans="2:65" x14ac:dyDescent="0.25">
      <c r="B31" s="12" t="s">
        <v>72</v>
      </c>
      <c r="C31" s="10" t="e">
        <f>C7/$D15</f>
        <v>#DIV/0!</v>
      </c>
      <c r="D31" s="10" t="e">
        <f t="shared" ref="D31:P32" si="60">D7/$D15</f>
        <v>#DIV/0!</v>
      </c>
      <c r="E31" s="10" t="e">
        <f t="shared" si="60"/>
        <v>#DIV/0!</v>
      </c>
      <c r="F31" s="10" t="e">
        <f t="shared" si="60"/>
        <v>#DIV/0!</v>
      </c>
      <c r="G31" s="10" t="e">
        <f t="shared" si="60"/>
        <v>#DIV/0!</v>
      </c>
      <c r="H31" s="10" t="e">
        <f t="shared" si="60"/>
        <v>#DIV/0!</v>
      </c>
      <c r="I31" s="10" t="e">
        <f t="shared" si="60"/>
        <v>#DIV/0!</v>
      </c>
      <c r="J31" s="10" t="e">
        <f t="shared" si="60"/>
        <v>#DIV/0!</v>
      </c>
      <c r="K31" s="10" t="e">
        <f t="shared" si="60"/>
        <v>#DIV/0!</v>
      </c>
      <c r="L31" s="10" t="e">
        <f t="shared" si="60"/>
        <v>#DIV/0!</v>
      </c>
      <c r="M31" s="10" t="e">
        <f t="shared" si="60"/>
        <v>#DIV/0!</v>
      </c>
      <c r="N31" s="10" t="e">
        <f t="shared" si="60"/>
        <v>#DIV/0!</v>
      </c>
      <c r="O31" s="10" t="e">
        <f t="shared" si="60"/>
        <v>#DIV/0!</v>
      </c>
      <c r="P31" s="10" t="e">
        <f t="shared" si="60"/>
        <v>#DIV/0!</v>
      </c>
      <c r="R31" s="1"/>
      <c r="S31" s="10"/>
      <c r="T31" s="10"/>
    </row>
    <row r="32" spans="2:65" x14ac:dyDescent="0.25">
      <c r="B32" s="12" t="s">
        <v>100</v>
      </c>
      <c r="C32" s="10" t="e">
        <f>C8/$D16</f>
        <v>#DIV/0!</v>
      </c>
      <c r="D32" s="10" t="e">
        <f t="shared" si="60"/>
        <v>#DIV/0!</v>
      </c>
      <c r="E32" s="10" t="e">
        <f t="shared" si="60"/>
        <v>#DIV/0!</v>
      </c>
      <c r="F32" s="10" t="e">
        <f t="shared" si="60"/>
        <v>#DIV/0!</v>
      </c>
      <c r="G32" s="10" t="e">
        <f t="shared" si="60"/>
        <v>#DIV/0!</v>
      </c>
      <c r="H32" s="10" t="e">
        <f t="shared" si="60"/>
        <v>#DIV/0!</v>
      </c>
      <c r="I32" s="10" t="e">
        <f t="shared" si="60"/>
        <v>#DIV/0!</v>
      </c>
      <c r="J32" s="10" t="e">
        <f t="shared" si="60"/>
        <v>#DIV/0!</v>
      </c>
      <c r="K32" s="10" t="e">
        <f t="shared" si="60"/>
        <v>#DIV/0!</v>
      </c>
      <c r="L32" s="10" t="e">
        <f t="shared" si="60"/>
        <v>#DIV/0!</v>
      </c>
      <c r="M32" s="10" t="e">
        <f t="shared" si="60"/>
        <v>#DIV/0!</v>
      </c>
      <c r="N32" s="10" t="e">
        <f t="shared" si="60"/>
        <v>#DIV/0!</v>
      </c>
      <c r="O32" s="10" t="e">
        <f t="shared" si="60"/>
        <v>#DIV/0!</v>
      </c>
      <c r="P32" s="10" t="e">
        <f t="shared" si="60"/>
        <v>#DIV/0!</v>
      </c>
      <c r="R32" s="1"/>
      <c r="S32" s="10"/>
      <c r="T32" s="10"/>
    </row>
    <row r="33" spans="2:80" x14ac:dyDescent="0.25">
      <c r="B33" s="87" t="s">
        <v>83</v>
      </c>
      <c r="C33" s="87"/>
      <c r="D33" s="85" t="s">
        <v>77</v>
      </c>
      <c r="E33" s="85"/>
      <c r="F33" s="85"/>
      <c r="G33" s="85" t="s">
        <v>78</v>
      </c>
      <c r="H33" s="85"/>
      <c r="I33" s="85"/>
      <c r="J33" s="85" t="s">
        <v>77</v>
      </c>
      <c r="K33" s="85"/>
      <c r="L33" s="85"/>
      <c r="M33" s="85" t="s">
        <v>78</v>
      </c>
      <c r="N33" s="85"/>
      <c r="O33" s="85"/>
    </row>
    <row r="34" spans="2:80" x14ac:dyDescent="0.25">
      <c r="B34" t="s">
        <v>81</v>
      </c>
      <c r="C34" s="1" t="s">
        <v>71</v>
      </c>
      <c r="D34" s="1" t="s">
        <v>74</v>
      </c>
      <c r="E34" s="1" t="s">
        <v>75</v>
      </c>
      <c r="F34" s="1" t="s">
        <v>76</v>
      </c>
      <c r="G34" s="1" t="s">
        <v>74</v>
      </c>
      <c r="H34" s="1" t="s">
        <v>75</v>
      </c>
      <c r="I34" s="1" t="s">
        <v>76</v>
      </c>
      <c r="J34" s="1" t="s">
        <v>74</v>
      </c>
      <c r="K34" s="1" t="s">
        <v>75</v>
      </c>
      <c r="L34" s="1" t="s">
        <v>76</v>
      </c>
      <c r="M34" s="1" t="s">
        <v>74</v>
      </c>
      <c r="N34" s="1" t="s">
        <v>75</v>
      </c>
      <c r="O34" s="1" t="s">
        <v>76</v>
      </c>
      <c r="P34" s="1" t="s">
        <v>79</v>
      </c>
      <c r="R34" s="1"/>
      <c r="S34" s="1"/>
      <c r="T34" s="1"/>
      <c r="AJ34" s="101" t="s">
        <v>117</v>
      </c>
      <c r="AX34" s="101" t="s">
        <v>120</v>
      </c>
    </row>
    <row r="35" spans="2:80" x14ac:dyDescent="0.25">
      <c r="B35" s="12" t="s">
        <v>42</v>
      </c>
      <c r="C35" s="10">
        <f>C4/$E12</f>
        <v>14.672880142383756</v>
      </c>
      <c r="D35" s="10">
        <f>D4/$E12</f>
        <v>14.672880142383756</v>
      </c>
      <c r="E35" s="10">
        <f t="shared" ref="E35:P35" si="61">E4/$E12</f>
        <v>14.672880142383756</v>
      </c>
      <c r="F35" s="10">
        <f t="shared" si="61"/>
        <v>14.672880142383756</v>
      </c>
      <c r="G35" s="10">
        <f t="shared" si="61"/>
        <v>7.3364400711918778</v>
      </c>
      <c r="H35" s="10">
        <f t="shared" si="61"/>
        <v>14.672880142383756</v>
      </c>
      <c r="I35" s="10">
        <f t="shared" si="61"/>
        <v>14.672880142383756</v>
      </c>
      <c r="J35" s="10">
        <f t="shared" si="61"/>
        <v>5.1584344250567895</v>
      </c>
      <c r="K35" s="10">
        <f t="shared" si="61"/>
        <v>10.316868850113579</v>
      </c>
      <c r="L35" s="10">
        <f t="shared" si="61"/>
        <v>10.316868850113579</v>
      </c>
      <c r="M35" s="10">
        <f t="shared" si="61"/>
        <v>5.1584344250567895</v>
      </c>
      <c r="N35" s="10">
        <f t="shared" si="61"/>
        <v>5.1584344250567895</v>
      </c>
      <c r="O35" s="10">
        <f t="shared" si="61"/>
        <v>10.316868850113579</v>
      </c>
      <c r="P35" s="10">
        <f t="shared" si="61"/>
        <v>10.316868850113579</v>
      </c>
      <c r="R35" s="1"/>
      <c r="S35" s="10"/>
      <c r="T35" s="10"/>
      <c r="AJ35" s="93" t="s">
        <v>111</v>
      </c>
      <c r="AK35" s="101"/>
      <c r="AL35" s="102" t="s">
        <v>64</v>
      </c>
      <c r="AM35" s="102"/>
      <c r="AN35" s="102"/>
      <c r="AO35" s="102" t="s">
        <v>65</v>
      </c>
      <c r="AP35" s="102"/>
      <c r="AQ35" s="102"/>
      <c r="AR35" s="102" t="s">
        <v>66</v>
      </c>
      <c r="AS35" s="102"/>
      <c r="AT35" s="102"/>
      <c r="AU35" s="101"/>
      <c r="AV35" s="101"/>
      <c r="AX35" t="s">
        <v>70</v>
      </c>
      <c r="AZ35" s="86" t="s">
        <v>73</v>
      </c>
      <c r="BA35" s="87"/>
      <c r="BB35" s="87"/>
      <c r="BC35" s="87"/>
      <c r="BD35" s="87"/>
      <c r="BE35" s="88"/>
      <c r="BF35" s="86" t="s">
        <v>121</v>
      </c>
      <c r="BG35" s="87"/>
      <c r="BH35" s="87"/>
      <c r="BI35" s="87"/>
      <c r="BJ35" s="87"/>
      <c r="BK35" s="88"/>
      <c r="BL35" s="68"/>
    </row>
    <row r="36" spans="2:80" x14ac:dyDescent="0.25">
      <c r="B36" s="12" t="s">
        <v>43</v>
      </c>
      <c r="C36" s="10" t="e">
        <f>C5/$E13</f>
        <v>#DIV/0!</v>
      </c>
      <c r="D36" s="10" t="e">
        <f t="shared" ref="D36:P36" si="62">D5/$E13</f>
        <v>#DIV/0!</v>
      </c>
      <c r="E36" s="10" t="e">
        <f t="shared" si="62"/>
        <v>#DIV/0!</v>
      </c>
      <c r="F36" s="10" t="e">
        <f t="shared" si="62"/>
        <v>#DIV/0!</v>
      </c>
      <c r="G36" s="10" t="e">
        <f t="shared" si="62"/>
        <v>#DIV/0!</v>
      </c>
      <c r="H36" s="10" t="e">
        <f t="shared" si="62"/>
        <v>#DIV/0!</v>
      </c>
      <c r="I36" s="10" t="e">
        <f t="shared" si="62"/>
        <v>#DIV/0!</v>
      </c>
      <c r="J36" s="10" t="e">
        <f t="shared" si="62"/>
        <v>#DIV/0!</v>
      </c>
      <c r="K36" s="10" t="e">
        <f t="shared" si="62"/>
        <v>#DIV/0!</v>
      </c>
      <c r="L36" s="10" t="e">
        <f t="shared" si="62"/>
        <v>#DIV/0!</v>
      </c>
      <c r="M36" s="10" t="e">
        <f t="shared" si="62"/>
        <v>#DIV/0!</v>
      </c>
      <c r="N36" s="10" t="e">
        <f t="shared" si="62"/>
        <v>#DIV/0!</v>
      </c>
      <c r="O36" s="10" t="e">
        <f t="shared" si="62"/>
        <v>#DIV/0!</v>
      </c>
      <c r="P36" s="10" t="e">
        <f t="shared" si="62"/>
        <v>#DIV/0!</v>
      </c>
      <c r="R36" s="1"/>
      <c r="S36" s="10"/>
      <c r="T36" s="10"/>
      <c r="AJ36" s="93"/>
      <c r="AK36" s="103" t="s">
        <v>26</v>
      </c>
      <c r="AL36" s="106" t="s">
        <v>41</v>
      </c>
      <c r="AM36" s="106" t="s">
        <v>40</v>
      </c>
      <c r="AN36" s="104" t="s">
        <v>39</v>
      </c>
      <c r="AO36" s="104" t="s">
        <v>41</v>
      </c>
      <c r="AP36" s="104" t="s">
        <v>40</v>
      </c>
      <c r="AQ36" s="104" t="s">
        <v>39</v>
      </c>
      <c r="AR36" s="104" t="s">
        <v>41</v>
      </c>
      <c r="AS36" s="104" t="s">
        <v>40</v>
      </c>
      <c r="AT36" s="104" t="s">
        <v>39</v>
      </c>
      <c r="AU36" s="103" t="s">
        <v>68</v>
      </c>
      <c r="AV36" s="103" t="s">
        <v>67</v>
      </c>
      <c r="AZ36" s="86" t="s">
        <v>77</v>
      </c>
      <c r="BA36" s="87"/>
      <c r="BB36" s="87"/>
      <c r="BC36" s="87" t="s">
        <v>78</v>
      </c>
      <c r="BD36" s="87"/>
      <c r="BE36" s="88"/>
      <c r="BF36" s="86" t="s">
        <v>77</v>
      </c>
      <c r="BG36" s="87"/>
      <c r="BH36" s="87"/>
      <c r="BI36" s="87" t="s">
        <v>78</v>
      </c>
      <c r="BJ36" s="87"/>
      <c r="BK36" s="88"/>
      <c r="BL36" s="68" t="s">
        <v>80</v>
      </c>
    </row>
    <row r="37" spans="2:80" x14ac:dyDescent="0.25">
      <c r="B37" s="12" t="s">
        <v>44</v>
      </c>
      <c r="C37" s="10">
        <f>C6/$E14</f>
        <v>1.2056393219323425</v>
      </c>
      <c r="D37" s="10">
        <f t="shared" ref="D37:P37" si="63">D6/$E14</f>
        <v>1.2056393219323425</v>
      </c>
      <c r="E37" s="10">
        <f t="shared" si="63"/>
        <v>1.2056393219323425</v>
      </c>
      <c r="F37" s="10">
        <f t="shared" si="63"/>
        <v>1.2056393219323425</v>
      </c>
      <c r="G37" s="10">
        <f>G6/$E14</f>
        <v>0.42385757411683916</v>
      </c>
      <c r="H37" s="10">
        <f t="shared" si="63"/>
        <v>0.30140983048308562</v>
      </c>
      <c r="I37" s="10">
        <f t="shared" si="63"/>
        <v>1.2056393219323425</v>
      </c>
      <c r="J37" s="10">
        <f t="shared" si="63"/>
        <v>0.60281966096617123</v>
      </c>
      <c r="K37" s="10">
        <f t="shared" si="63"/>
        <v>1.2056393219323425</v>
      </c>
      <c r="L37" s="10">
        <f t="shared" si="63"/>
        <v>1.2056393219323425</v>
      </c>
      <c r="M37" s="10">
        <f t="shared" si="63"/>
        <v>0.60281966096617123</v>
      </c>
      <c r="N37" s="10">
        <f t="shared" si="63"/>
        <v>0.30140983048308562</v>
      </c>
      <c r="O37" s="10">
        <f t="shared" si="63"/>
        <v>0.30140983048308562</v>
      </c>
      <c r="P37" s="10">
        <f t="shared" si="63"/>
        <v>0.60281966096617123</v>
      </c>
      <c r="R37" s="1"/>
      <c r="S37" s="10"/>
      <c r="T37" s="10"/>
      <c r="AJ37" s="94" t="s">
        <v>42</v>
      </c>
      <c r="AK37" s="10">
        <f>427.15*(AK4^0.6026)</f>
        <v>48.432377801424202</v>
      </c>
      <c r="AL37" s="10">
        <f>71.352*BC4^0.3356</f>
        <v>108.78988754364359</v>
      </c>
      <c r="AM37" s="10">
        <f>37.823*BD4^0.5145</f>
        <v>140.77182291674166</v>
      </c>
      <c r="AN37" s="10">
        <f>17.285*BE4^0.664</f>
        <v>67.350937002666797</v>
      </c>
      <c r="AO37" s="10">
        <f>101.5*BF4^0.2757</f>
        <v>128.93581539361367</v>
      </c>
      <c r="AP37" s="10">
        <f>66.539*BG4^0.286</f>
        <v>123.60340530772582</v>
      </c>
      <c r="AQ37" s="10">
        <f>49.512*BH4^0.2727</f>
        <v>77.843734132412706</v>
      </c>
      <c r="AR37" s="10">
        <f>96.745*BI4^0.3131</f>
        <v>126.94967756237961</v>
      </c>
      <c r="AS37" s="10">
        <f>63.061*BJ4^0.4573</f>
        <v>169.74828667617484</v>
      </c>
      <c r="AT37" s="10">
        <f>34.986*BK4^0.6412</f>
        <v>101.38089267119945</v>
      </c>
      <c r="AU37" s="10">
        <f>908.48*BL4^0.3562</f>
        <v>59.824677461277616</v>
      </c>
      <c r="AV37" s="10">
        <f>1428.8*BM4^0.3909</f>
        <v>72.833320240153569</v>
      </c>
      <c r="AY37" s="1" t="s">
        <v>71</v>
      </c>
      <c r="AZ37" s="5" t="s">
        <v>74</v>
      </c>
      <c r="BA37" s="1" t="s">
        <v>75</v>
      </c>
      <c r="BB37" s="1" t="s">
        <v>76</v>
      </c>
      <c r="BC37" s="98" t="s">
        <v>74</v>
      </c>
      <c r="BD37" s="1" t="s">
        <v>75</v>
      </c>
      <c r="BE37" s="6" t="s">
        <v>76</v>
      </c>
      <c r="BF37" s="5" t="s">
        <v>74</v>
      </c>
      <c r="BG37" s="1" t="s">
        <v>75</v>
      </c>
      <c r="BH37" s="1" t="s">
        <v>76</v>
      </c>
      <c r="BI37" s="1" t="s">
        <v>74</v>
      </c>
      <c r="BJ37" s="1" t="s">
        <v>75</v>
      </c>
      <c r="BK37" s="6" t="s">
        <v>76</v>
      </c>
      <c r="BL37" s="1" t="s">
        <v>79</v>
      </c>
    </row>
    <row r="38" spans="2:80" x14ac:dyDescent="0.25">
      <c r="B38" s="12" t="s">
        <v>72</v>
      </c>
      <c r="C38" s="10">
        <f>C7/$E15</f>
        <v>134.38276792351212</v>
      </c>
      <c r="D38" s="10">
        <f t="shared" ref="D38:P39" si="64">D7/$E15</f>
        <v>134.38276792351212</v>
      </c>
      <c r="E38" s="10">
        <f t="shared" si="64"/>
        <v>134.38276792351212</v>
      </c>
      <c r="F38" s="10">
        <f t="shared" si="64"/>
        <v>134.38276792351212</v>
      </c>
      <c r="G38" s="10">
        <f t="shared" si="64"/>
        <v>33.59569198087803</v>
      </c>
      <c r="H38" s="10">
        <f t="shared" si="64"/>
        <v>47.243941848109728</v>
      </c>
      <c r="I38" s="10">
        <f t="shared" si="64"/>
        <v>134.38276792351212</v>
      </c>
      <c r="J38" s="10">
        <f t="shared" si="64"/>
        <v>134.38276792351212</v>
      </c>
      <c r="K38" s="10">
        <f t="shared" si="64"/>
        <v>134.38276792351212</v>
      </c>
      <c r="L38" s="10">
        <f t="shared" si="64"/>
        <v>134.38276792351212</v>
      </c>
      <c r="M38" s="10">
        <f t="shared" si="64"/>
        <v>134.38276792351212</v>
      </c>
      <c r="N38" s="10">
        <f t="shared" si="64"/>
        <v>67.19138396175606</v>
      </c>
      <c r="O38" s="10">
        <f t="shared" si="64"/>
        <v>33.59569198087803</v>
      </c>
      <c r="P38" s="10">
        <f t="shared" si="64"/>
        <v>134.38276792351212</v>
      </c>
      <c r="R38" s="1"/>
      <c r="S38" s="10"/>
      <c r="T38" s="10"/>
      <c r="AJ38" s="94" t="s">
        <v>72</v>
      </c>
      <c r="AK38" s="10">
        <f t="shared" ref="AK38:AK39" si="65">427.15*(AK5^0.6026)</f>
        <v>23.056153181930458</v>
      </c>
      <c r="AL38" s="10">
        <f t="shared" ref="AL38:AL41" si="66">71.352*BC5^0.3356</f>
        <v>34.732930645359907</v>
      </c>
      <c r="AM38" s="10">
        <f t="shared" ref="AM38:AM43" si="67">37.823*BD5^0.5145</f>
        <v>48.174101045015277</v>
      </c>
      <c r="AN38" s="10">
        <f t="shared" ref="AN38:AN43" si="68">17.285*BE5^0.664</f>
        <v>48.012823615060483</v>
      </c>
      <c r="AO38" s="10">
        <f t="shared" ref="AO38:AO43" si="69">101.5*BF5^0.2757</f>
        <v>52.061235072256814</v>
      </c>
      <c r="AP38" s="10">
        <f t="shared" ref="AP38:AP43" si="70">66.539*BG5^0.286</f>
        <v>70.330887182202062</v>
      </c>
      <c r="AQ38" s="10">
        <f t="shared" ref="AQ38:AQ43" si="71">49.512*BH5^0.2727</f>
        <v>69.854879427050605</v>
      </c>
      <c r="AR38" s="10">
        <f t="shared" ref="AR38:AR43" si="72">96.745*BI5^0.3131</f>
        <v>45.325610292368737</v>
      </c>
      <c r="AS38" s="10">
        <f t="shared" ref="AS38:AS42" si="73">63.061*BJ5^0.4573</f>
        <v>68.904458984663549</v>
      </c>
      <c r="AT38" s="10">
        <f t="shared" ref="AT38:AT43" si="74">34.986*BK5^0.6412</f>
        <v>78.592597973875684</v>
      </c>
      <c r="AU38" s="10">
        <f t="shared" ref="AU38:AU43" si="75">908.48*BL5^0.3562</f>
        <v>26.269166725373147</v>
      </c>
      <c r="AV38" s="10">
        <f t="shared" ref="AV38:AV43" si="76">1428.8*BM5^0.3909</f>
        <v>29.056470283011087</v>
      </c>
      <c r="AX38" s="12" t="s">
        <v>42</v>
      </c>
      <c r="AY38" s="12">
        <v>128</v>
      </c>
      <c r="AZ38" s="5">
        <v>128</v>
      </c>
      <c r="BA38" s="1">
        <v>128</v>
      </c>
      <c r="BB38" s="1">
        <v>128</v>
      </c>
      <c r="BC38" s="98">
        <v>64</v>
      </c>
      <c r="BD38" s="1">
        <v>128</v>
      </c>
      <c r="BE38" s="6">
        <v>128</v>
      </c>
      <c r="BF38" s="5">
        <v>45</v>
      </c>
      <c r="BG38" s="1">
        <v>90</v>
      </c>
      <c r="BH38" s="1">
        <v>90</v>
      </c>
      <c r="BI38" s="1">
        <v>45</v>
      </c>
      <c r="BJ38" s="1">
        <v>45</v>
      </c>
      <c r="BK38" s="6">
        <v>90</v>
      </c>
      <c r="BL38" s="1">
        <v>90</v>
      </c>
    </row>
    <row r="39" spans="2:80" x14ac:dyDescent="0.25">
      <c r="B39" s="12" t="s">
        <v>100</v>
      </c>
      <c r="C39" s="10">
        <f>C8/$E16</f>
        <v>1.904373096375388</v>
      </c>
      <c r="D39" s="10">
        <f t="shared" si="64"/>
        <v>1.904373096375388</v>
      </c>
      <c r="E39" s="10">
        <f t="shared" si="64"/>
        <v>1.904373096375388</v>
      </c>
      <c r="F39" s="10">
        <f t="shared" si="64"/>
        <v>1.904373096375388</v>
      </c>
      <c r="G39" s="10">
        <f t="shared" si="64"/>
        <v>1.3390123333889445</v>
      </c>
      <c r="H39" s="10">
        <f t="shared" si="64"/>
        <v>1.904373096375388</v>
      </c>
      <c r="I39" s="10">
        <f t="shared" si="64"/>
        <v>1.904373096375388</v>
      </c>
      <c r="J39" s="10">
        <f t="shared" si="64"/>
        <v>1.904373096375388</v>
      </c>
      <c r="K39" s="10">
        <f t="shared" si="64"/>
        <v>1.904373096375388</v>
      </c>
      <c r="L39" s="10">
        <f t="shared" si="64"/>
        <v>1.904373096375388</v>
      </c>
      <c r="M39" s="10">
        <f t="shared" si="64"/>
        <v>0.95218654818769399</v>
      </c>
      <c r="N39" s="10">
        <f t="shared" si="64"/>
        <v>0.66950616669447227</v>
      </c>
      <c r="O39" s="10">
        <f t="shared" si="64"/>
        <v>1.904373096375388</v>
      </c>
      <c r="P39" s="10">
        <f t="shared" si="64"/>
        <v>1.904373096375388</v>
      </c>
      <c r="R39" s="1"/>
      <c r="S39" s="10"/>
      <c r="T39" s="10"/>
      <c r="AJ39" s="94" t="s">
        <v>43</v>
      </c>
      <c r="AK39" s="10">
        <f t="shared" si="65"/>
        <v>40.945848734445889</v>
      </c>
      <c r="AL39" s="10">
        <f t="shared" si="66"/>
        <v>64.189899694032022</v>
      </c>
      <c r="AM39" s="10">
        <f t="shared" si="67"/>
        <v>91.909804353918815</v>
      </c>
      <c r="AN39" s="10">
        <f t="shared" si="68"/>
        <v>31.511204524949061</v>
      </c>
      <c r="AO39" s="10">
        <f t="shared" si="69"/>
        <v>83.543998018235527</v>
      </c>
      <c r="AP39" s="10">
        <f t="shared" si="70"/>
        <v>97.469096290163719</v>
      </c>
      <c r="AQ39" s="10">
        <f t="shared" si="71"/>
        <v>56.952896606297273</v>
      </c>
      <c r="AR39" s="10">
        <f t="shared" si="72"/>
        <v>77.55468351532511</v>
      </c>
      <c r="AS39" s="10">
        <f t="shared" si="73"/>
        <v>116.10529296775113</v>
      </c>
      <c r="AT39" s="10">
        <f t="shared" si="74"/>
        <v>48.625716570268622</v>
      </c>
      <c r="AU39" s="10">
        <f t="shared" si="75"/>
        <v>49.938028521062577</v>
      </c>
      <c r="AV39" s="10">
        <f t="shared" si="76"/>
        <v>58.531448092890116</v>
      </c>
      <c r="AX39" s="1" t="s">
        <v>72</v>
      </c>
      <c r="AY39" s="1">
        <v>128</v>
      </c>
      <c r="AZ39" s="5">
        <v>128</v>
      </c>
      <c r="BA39" s="1">
        <v>128</v>
      </c>
      <c r="BB39" s="1">
        <v>128</v>
      </c>
      <c r="BC39" s="98">
        <v>32</v>
      </c>
      <c r="BD39" s="1">
        <v>45</v>
      </c>
      <c r="BE39" s="6">
        <v>128</v>
      </c>
      <c r="BF39" s="5">
        <v>128</v>
      </c>
      <c r="BG39" s="1">
        <v>128</v>
      </c>
      <c r="BH39" s="1">
        <v>128</v>
      </c>
      <c r="BI39" s="1">
        <v>128</v>
      </c>
      <c r="BJ39" s="1">
        <v>64</v>
      </c>
      <c r="BK39" s="6">
        <v>32</v>
      </c>
      <c r="BL39" s="1">
        <v>128</v>
      </c>
    </row>
    <row r="40" spans="2:80" x14ac:dyDescent="0.25">
      <c r="B40" s="87" t="s">
        <v>82</v>
      </c>
      <c r="C40" s="87"/>
      <c r="D40" s="85" t="s">
        <v>77</v>
      </c>
      <c r="E40" s="85"/>
      <c r="F40" s="85"/>
      <c r="G40" s="85" t="s">
        <v>78</v>
      </c>
      <c r="H40" s="85"/>
      <c r="I40" s="85"/>
      <c r="J40" s="85" t="s">
        <v>77</v>
      </c>
      <c r="K40" s="85"/>
      <c r="L40" s="85"/>
      <c r="M40" s="85" t="s">
        <v>78</v>
      </c>
      <c r="N40" s="85"/>
      <c r="O40" s="85"/>
      <c r="AJ40" s="94" t="s">
        <v>44</v>
      </c>
      <c r="AK40" s="10">
        <f>427.15*(AK9^0.6026)</f>
        <v>121.03081478713572</v>
      </c>
      <c r="AL40" s="10">
        <f>71.352*BC9^0.3356</f>
        <v>218.2069264871098</v>
      </c>
      <c r="AM40" s="10">
        <f>37.823*BD9^0.5145</f>
        <v>168.15449115601714</v>
      </c>
      <c r="AN40" s="10">
        <f>17.285*BE9^0.664</f>
        <v>50.047970770631778</v>
      </c>
      <c r="AO40" s="10">
        <f>101.5*BF9^0.2757</f>
        <v>209.6390738963693</v>
      </c>
      <c r="AP40" s="10">
        <f>66.539*BG9^0.286</f>
        <v>124.83056994141425</v>
      </c>
      <c r="AQ40" s="10">
        <f>49.512*BH9^0.2727</f>
        <v>63.305067507784628</v>
      </c>
      <c r="AR40" s="10">
        <f>96.745*BI9^0.3131</f>
        <v>220.47877564557916</v>
      </c>
      <c r="AS40" s="10">
        <f>63.061*BJ9^0.4573</f>
        <v>172.45100394628989</v>
      </c>
      <c r="AT40" s="10">
        <f>34.986*BK9^0.6412</f>
        <v>62.351089332669268</v>
      </c>
      <c r="AU40" s="10">
        <f>908.48*BL9^0.3562</f>
        <v>159.79203063686606</v>
      </c>
      <c r="AV40" s="10">
        <f>1428.8*BM9^0.3909</f>
        <v>211.63677728366642</v>
      </c>
      <c r="AX40" s="12" t="s">
        <v>43</v>
      </c>
      <c r="AY40" s="12">
        <v>64</v>
      </c>
      <c r="AZ40" s="5">
        <v>64</v>
      </c>
      <c r="BA40" s="1">
        <v>128</v>
      </c>
      <c r="BB40" s="1">
        <v>128</v>
      </c>
      <c r="BC40" s="98">
        <v>32</v>
      </c>
      <c r="BD40" s="1">
        <v>45</v>
      </c>
      <c r="BE40" s="6">
        <v>128</v>
      </c>
      <c r="BF40" s="5">
        <v>64</v>
      </c>
      <c r="BG40" s="1">
        <v>64</v>
      </c>
      <c r="BH40" s="1">
        <v>128</v>
      </c>
      <c r="BI40" s="1">
        <v>32</v>
      </c>
      <c r="BJ40" s="1">
        <v>45</v>
      </c>
      <c r="BK40" s="6">
        <v>64</v>
      </c>
      <c r="BL40" s="1">
        <v>45</v>
      </c>
    </row>
    <row r="41" spans="2:80" x14ac:dyDescent="0.25">
      <c r="B41" t="s">
        <v>81</v>
      </c>
      <c r="C41" s="1" t="s">
        <v>71</v>
      </c>
      <c r="D41" s="1" t="s">
        <v>74</v>
      </c>
      <c r="E41" s="1" t="s">
        <v>75</v>
      </c>
      <c r="F41" s="1" t="s">
        <v>76</v>
      </c>
      <c r="G41" s="1" t="s">
        <v>74</v>
      </c>
      <c r="H41" s="1" t="s">
        <v>75</v>
      </c>
      <c r="I41" s="1" t="s">
        <v>76</v>
      </c>
      <c r="J41" s="1" t="s">
        <v>74</v>
      </c>
      <c r="K41" s="1" t="s">
        <v>75</v>
      </c>
      <c r="L41" s="1" t="s">
        <v>76</v>
      </c>
      <c r="M41" s="1" t="s">
        <v>74</v>
      </c>
      <c r="N41" s="1" t="s">
        <v>75</v>
      </c>
      <c r="O41" s="1" t="s">
        <v>76</v>
      </c>
      <c r="P41" s="1" t="s">
        <v>79</v>
      </c>
      <c r="R41" s="1"/>
      <c r="S41" s="1" t="s">
        <v>92</v>
      </c>
      <c r="T41" s="1" t="s">
        <v>91</v>
      </c>
      <c r="AJ41" s="94" t="s">
        <v>99</v>
      </c>
      <c r="AK41" s="10"/>
      <c r="AM41" s="10"/>
      <c r="AN41" s="10"/>
      <c r="AO41" s="10"/>
      <c r="AP41" s="10"/>
      <c r="AQ41" s="10"/>
      <c r="AR41" s="10"/>
      <c r="AT41" s="10"/>
      <c r="AU41" s="10"/>
      <c r="AV41" s="10"/>
      <c r="AX41" s="12" t="s">
        <v>44</v>
      </c>
      <c r="AY41" s="12">
        <v>128</v>
      </c>
      <c r="AZ41" s="5">
        <v>128</v>
      </c>
      <c r="BA41" s="1">
        <v>128</v>
      </c>
      <c r="BB41" s="1">
        <v>128</v>
      </c>
      <c r="BC41" s="98">
        <v>45</v>
      </c>
      <c r="BD41" s="1">
        <v>32</v>
      </c>
      <c r="BE41" s="6">
        <v>128</v>
      </c>
      <c r="BF41" s="5">
        <v>64</v>
      </c>
      <c r="BG41" s="1">
        <v>128</v>
      </c>
      <c r="BH41" s="1">
        <v>128</v>
      </c>
      <c r="BI41" s="1">
        <v>64</v>
      </c>
      <c r="BJ41" s="1">
        <v>32</v>
      </c>
      <c r="BK41" s="6">
        <v>32</v>
      </c>
      <c r="BL41" s="1">
        <v>64</v>
      </c>
    </row>
    <row r="42" spans="2:80" x14ac:dyDescent="0.25">
      <c r="B42" s="12" t="s">
        <v>42</v>
      </c>
      <c r="C42" s="10">
        <f>C4/$F12</f>
        <v>7.9055072681835172</v>
      </c>
      <c r="D42" s="10">
        <f>D4/$F12</f>
        <v>7.9055072681835172</v>
      </c>
      <c r="E42" s="10">
        <f t="shared" ref="E42:P42" si="77">E4/$F12</f>
        <v>7.9055072681835172</v>
      </c>
      <c r="F42" s="10">
        <f t="shared" si="77"/>
        <v>7.9055072681835172</v>
      </c>
      <c r="G42" s="10">
        <f t="shared" si="77"/>
        <v>3.9527536340917586</v>
      </c>
      <c r="H42" s="10">
        <f t="shared" si="77"/>
        <v>7.9055072681835172</v>
      </c>
      <c r="I42" s="10">
        <f t="shared" si="77"/>
        <v>7.9055072681835172</v>
      </c>
      <c r="J42" s="10">
        <f t="shared" si="77"/>
        <v>2.7792798989707674</v>
      </c>
      <c r="K42" s="10">
        <f t="shared" si="77"/>
        <v>5.5585597979415349</v>
      </c>
      <c r="L42" s="10">
        <f t="shared" si="77"/>
        <v>5.5585597979415349</v>
      </c>
      <c r="M42" s="10">
        <f t="shared" si="77"/>
        <v>2.7792798989707674</v>
      </c>
      <c r="N42" s="10">
        <f t="shared" si="77"/>
        <v>2.7792798989707674</v>
      </c>
      <c r="O42" s="10">
        <f t="shared" si="77"/>
        <v>5.5585597979415349</v>
      </c>
      <c r="P42" s="10">
        <f t="shared" si="77"/>
        <v>5.5585597979415349</v>
      </c>
      <c r="R42" s="12" t="s">
        <v>42</v>
      </c>
      <c r="S42" s="10">
        <f>AVERAGE(C42:P42)</f>
        <v>5.854134009419381</v>
      </c>
      <c r="T42" s="10">
        <f>_xlfn.STDEV.P(C42:P42)</f>
        <v>2.0279771883738782</v>
      </c>
      <c r="AJ42" s="98" t="s">
        <v>112</v>
      </c>
      <c r="AK42" s="10">
        <f>427.15*(AK7^0.6026)</f>
        <v>55.051369784926798</v>
      </c>
      <c r="AL42" s="10">
        <f>71.352*BC7^0.3356</f>
        <v>97.22294731243899</v>
      </c>
      <c r="AM42" s="10">
        <f>37.823*BD7^0.5145</f>
        <v>119.49126358066093</v>
      </c>
      <c r="AN42" s="10">
        <f>17.285*BE7^0.664</f>
        <v>49.47907391590924</v>
      </c>
      <c r="AO42" s="10">
        <f>101.5*BF7^0.2757</f>
        <v>112.00502425357314</v>
      </c>
      <c r="AP42" s="10">
        <f>66.539*BG7^0.286</f>
        <v>107.31181030655512</v>
      </c>
      <c r="AQ42" s="10">
        <f>49.512*BH7^0.2727</f>
        <v>65.376503447728709</v>
      </c>
      <c r="AR42" s="10">
        <f>96.745*BI7^0.3131</f>
        <v>108.19374181786377</v>
      </c>
      <c r="AS42" s="10">
        <f>63.061*BJ7^0.4573</f>
        <v>135.41199106495873</v>
      </c>
      <c r="AT42" s="10">
        <f>34.986*BK7^0.6412</f>
        <v>67.254724734776374</v>
      </c>
      <c r="AU42" s="10">
        <f>908.48*BL7^0.3562</f>
        <v>66.92448931417745</v>
      </c>
      <c r="AV42" s="10">
        <f>1428.8*BM7^0.3909</f>
        <v>80.295096447096768</v>
      </c>
      <c r="AX42" s="1" t="s">
        <v>100</v>
      </c>
      <c r="AY42" s="1">
        <v>128</v>
      </c>
      <c r="AZ42" s="1">
        <v>128</v>
      </c>
      <c r="BA42" s="1">
        <v>128</v>
      </c>
      <c r="BB42" s="1">
        <v>128</v>
      </c>
      <c r="BC42" s="98">
        <v>90</v>
      </c>
      <c r="BD42" s="1">
        <v>128</v>
      </c>
      <c r="BE42" s="1">
        <v>128</v>
      </c>
      <c r="BF42" s="1">
        <v>128</v>
      </c>
      <c r="BG42" s="1">
        <v>128</v>
      </c>
      <c r="BH42" s="1">
        <v>128</v>
      </c>
      <c r="BI42" s="1">
        <v>64</v>
      </c>
      <c r="BJ42" s="1">
        <v>45</v>
      </c>
      <c r="BK42" s="1">
        <v>128</v>
      </c>
      <c r="BL42" s="1">
        <v>128</v>
      </c>
    </row>
    <row r="43" spans="2:80" x14ac:dyDescent="0.25">
      <c r="B43" s="12" t="s">
        <v>43</v>
      </c>
      <c r="C43" s="10">
        <f>C5/$F13</f>
        <v>35.148293650015376</v>
      </c>
      <c r="D43" s="10">
        <f>D5/$F13</f>
        <v>35.148293650015376</v>
      </c>
      <c r="E43" s="10">
        <f t="shared" ref="E43:P43" si="78">E5/$F13</f>
        <v>70.296587300030751</v>
      </c>
      <c r="F43" s="10">
        <f t="shared" si="78"/>
        <v>70.296587300030751</v>
      </c>
      <c r="G43" s="10">
        <f t="shared" si="78"/>
        <v>17.574146825007688</v>
      </c>
      <c r="H43" s="10">
        <f t="shared" si="78"/>
        <v>24.713643972667064</v>
      </c>
      <c r="I43" s="10">
        <f t="shared" si="78"/>
        <v>70.296587300030751</v>
      </c>
      <c r="J43" s="10">
        <f t="shared" si="78"/>
        <v>35.148293650015376</v>
      </c>
      <c r="K43" s="10">
        <f t="shared" si="78"/>
        <v>35.148293650015376</v>
      </c>
      <c r="L43" s="10">
        <f t="shared" si="78"/>
        <v>70.296587300030751</v>
      </c>
      <c r="M43" s="10">
        <f t="shared" si="78"/>
        <v>17.574146825007688</v>
      </c>
      <c r="N43" s="10">
        <f t="shared" si="78"/>
        <v>24.713643972667064</v>
      </c>
      <c r="O43" s="10">
        <f t="shared" si="78"/>
        <v>35.148293650015376</v>
      </c>
      <c r="P43" s="10">
        <f t="shared" si="78"/>
        <v>24.713643972667064</v>
      </c>
      <c r="R43" s="12" t="s">
        <v>43</v>
      </c>
      <c r="S43" s="10">
        <f>AVERAGE(C43:P43)</f>
        <v>40.444074501301181</v>
      </c>
      <c r="T43" s="10">
        <f>_xlfn.STDEV.P(C43:P43)</f>
        <v>19.808589539107622</v>
      </c>
      <c r="AJ43" s="98" t="s">
        <v>113</v>
      </c>
      <c r="AK43" s="10">
        <f>427.15*(AK8^0.6026)</f>
        <v>84.754309585107805</v>
      </c>
      <c r="AL43" s="10">
        <f>71.352*BC8^0.3356</f>
        <v>180.00539487066706</v>
      </c>
      <c r="AM43" s="10">
        <f>37.823*BD8^0.5145</f>
        <v>138.22015643378475</v>
      </c>
      <c r="AN43" s="10">
        <f>17.285*BE8^0.664</f>
        <v>38.788560410196077</v>
      </c>
      <c r="AO43" s="10">
        <f>101.5*BF8^0.2757</f>
        <v>190.06514225937084</v>
      </c>
      <c r="AP43" s="10">
        <f>66.539*BG8^0.286</f>
        <v>119.14195176058254</v>
      </c>
      <c r="AQ43" s="10">
        <f>49.512*BH8^0.2727</f>
        <v>60.505203925492964</v>
      </c>
      <c r="AR43" s="10">
        <f>96.745*BI8^0.3131</f>
        <v>197.25237614203257</v>
      </c>
      <c r="AS43" s="10">
        <f>63.061*BJ8^0.4573</f>
        <v>160.05785261369795</v>
      </c>
      <c r="AT43" s="10">
        <f>34.986*BK8^0.6412</f>
        <v>56.059725211151957</v>
      </c>
      <c r="AU43" s="10">
        <f>908.48*BL8^0.3562</f>
        <v>114.12110765848269</v>
      </c>
      <c r="AV43" s="10">
        <f>1428.8*BM8^0.3909</f>
        <v>145.15796489629778</v>
      </c>
    </row>
    <row r="44" spans="2:80" x14ac:dyDescent="0.25">
      <c r="B44" s="12" t="s">
        <v>44</v>
      </c>
      <c r="C44" s="10">
        <f>C6/$F14</f>
        <v>1.4976732410253843</v>
      </c>
      <c r="D44" s="10">
        <f t="shared" ref="D44:P44" si="79">D6/$F14</f>
        <v>1.4976732410253843</v>
      </c>
      <c r="E44" s="10">
        <f t="shared" si="79"/>
        <v>1.4976732410253843</v>
      </c>
      <c r="F44" s="10">
        <f t="shared" si="79"/>
        <v>1.4976732410253843</v>
      </c>
      <c r="G44" s="10">
        <f t="shared" si="79"/>
        <v>0.52652574879798664</v>
      </c>
      <c r="H44" s="10">
        <f t="shared" si="79"/>
        <v>0.37441831025634609</v>
      </c>
      <c r="I44" s="10">
        <f t="shared" si="79"/>
        <v>1.4976732410253843</v>
      </c>
      <c r="J44" s="10">
        <f t="shared" si="79"/>
        <v>0.74883662051269217</v>
      </c>
      <c r="K44" s="10">
        <f t="shared" si="79"/>
        <v>1.4976732410253843</v>
      </c>
      <c r="L44" s="10">
        <f t="shared" si="79"/>
        <v>1.4976732410253843</v>
      </c>
      <c r="M44" s="10">
        <f t="shared" si="79"/>
        <v>0.74883662051269217</v>
      </c>
      <c r="N44" s="10">
        <f t="shared" si="79"/>
        <v>0.37441831025634609</v>
      </c>
      <c r="O44" s="10">
        <f t="shared" si="79"/>
        <v>0.37441831025634609</v>
      </c>
      <c r="P44" s="10">
        <f t="shared" si="79"/>
        <v>0.74883662051269217</v>
      </c>
      <c r="R44" s="12" t="s">
        <v>44</v>
      </c>
      <c r="S44" s="10">
        <f>AVERAGE(C44:P44)</f>
        <v>1.0271430877344851</v>
      </c>
      <c r="T44" s="10">
        <f>_xlfn.STDEV.P(C44:P44)</f>
        <v>0.48630681604383136</v>
      </c>
      <c r="BM44" s="93" t="s">
        <v>122</v>
      </c>
      <c r="CB44" s="93" t="s">
        <v>123</v>
      </c>
    </row>
    <row r="45" spans="2:80" x14ac:dyDescent="0.25">
      <c r="B45" s="12" t="s">
        <v>72</v>
      </c>
      <c r="C45" s="10">
        <f>C7/$F15</f>
        <v>70.296587300030751</v>
      </c>
      <c r="D45" s="10">
        <f t="shared" ref="D45:P46" si="80">D7/$F15</f>
        <v>70.296587300030751</v>
      </c>
      <c r="E45" s="10">
        <f t="shared" si="80"/>
        <v>70.296587300030751</v>
      </c>
      <c r="F45" s="10">
        <f t="shared" si="80"/>
        <v>70.296587300030751</v>
      </c>
      <c r="G45" s="10">
        <f t="shared" si="80"/>
        <v>17.574146825007688</v>
      </c>
      <c r="H45" s="10">
        <f t="shared" si="80"/>
        <v>24.713643972667064</v>
      </c>
      <c r="I45" s="10">
        <f t="shared" si="80"/>
        <v>70.296587300030751</v>
      </c>
      <c r="J45" s="10">
        <f t="shared" si="80"/>
        <v>70.296587300030751</v>
      </c>
      <c r="K45" s="10">
        <f t="shared" si="80"/>
        <v>70.296587300030751</v>
      </c>
      <c r="L45" s="10">
        <f t="shared" si="80"/>
        <v>70.296587300030751</v>
      </c>
      <c r="M45" s="10">
        <f t="shared" si="80"/>
        <v>70.296587300030751</v>
      </c>
      <c r="N45" s="10">
        <f t="shared" si="80"/>
        <v>35.148293650015376</v>
      </c>
      <c r="O45" s="10">
        <f t="shared" si="80"/>
        <v>17.574146825007688</v>
      </c>
      <c r="P45" s="10">
        <f t="shared" si="80"/>
        <v>70.296587300030751</v>
      </c>
      <c r="R45" s="12" t="s">
        <v>72</v>
      </c>
      <c r="S45" s="10">
        <f>AVERAGE(C45:P45)</f>
        <v>56.99829316235752</v>
      </c>
      <c r="T45" s="10">
        <f>AVERAGE(C45:P45)</f>
        <v>56.99829316235752</v>
      </c>
      <c r="AJ45" s="105" t="s">
        <v>118</v>
      </c>
      <c r="AK45" s="101"/>
      <c r="AL45" s="102" t="s">
        <v>64</v>
      </c>
      <c r="AM45" s="102"/>
      <c r="AN45" s="102"/>
      <c r="AO45" s="102" t="s">
        <v>65</v>
      </c>
      <c r="AP45" s="102"/>
      <c r="AQ45" s="102"/>
      <c r="AR45" s="102" t="s">
        <v>66</v>
      </c>
      <c r="AS45" s="102"/>
      <c r="AT45" s="102"/>
      <c r="AU45" s="101"/>
      <c r="AV45" s="101"/>
    </row>
    <row r="46" spans="2:80" x14ac:dyDescent="0.25">
      <c r="B46" s="12" t="s">
        <v>100</v>
      </c>
      <c r="C46" s="10">
        <f>C8/$F16</f>
        <v>1.4251212014022208</v>
      </c>
      <c r="D46" s="10">
        <f t="shared" si="80"/>
        <v>1.4251212014022208</v>
      </c>
      <c r="E46" s="10">
        <f t="shared" si="80"/>
        <v>1.4251212014022208</v>
      </c>
      <c r="F46" s="10">
        <f t="shared" si="80"/>
        <v>1.4251212014022208</v>
      </c>
      <c r="G46" s="10">
        <f t="shared" si="80"/>
        <v>1.0020383447359364</v>
      </c>
      <c r="H46" s="10">
        <f t="shared" si="80"/>
        <v>1.4251212014022208</v>
      </c>
      <c r="I46" s="10">
        <f t="shared" si="80"/>
        <v>1.4251212014022208</v>
      </c>
      <c r="J46" s="10">
        <f t="shared" si="80"/>
        <v>1.4251212014022208</v>
      </c>
      <c r="K46" s="10">
        <f t="shared" si="80"/>
        <v>1.4251212014022208</v>
      </c>
      <c r="L46" s="10">
        <f t="shared" si="80"/>
        <v>1.4251212014022208</v>
      </c>
      <c r="M46" s="10">
        <f t="shared" si="80"/>
        <v>0.71256060070111038</v>
      </c>
      <c r="N46" s="10">
        <f t="shared" si="80"/>
        <v>0.50101917236796822</v>
      </c>
      <c r="O46" s="10">
        <f t="shared" si="80"/>
        <v>1.4251212014022208</v>
      </c>
      <c r="P46" s="10">
        <f t="shared" si="80"/>
        <v>1.4251212014022208</v>
      </c>
      <c r="R46" s="12" t="s">
        <v>100</v>
      </c>
      <c r="S46" s="10">
        <f>AVERAGE(C46:P46)</f>
        <v>1.2779965238021027</v>
      </c>
      <c r="T46" s="10">
        <f>AVERAGE(C46:P46)</f>
        <v>1.2779965238021027</v>
      </c>
      <c r="AJ46" s="93"/>
      <c r="AK46" s="103" t="s">
        <v>26</v>
      </c>
      <c r="AL46" s="103" t="s">
        <v>41</v>
      </c>
      <c r="AM46" s="103" t="s">
        <v>40</v>
      </c>
      <c r="AN46" s="104" t="s">
        <v>39</v>
      </c>
      <c r="AO46" s="104" t="s">
        <v>41</v>
      </c>
      <c r="AP46" s="104" t="s">
        <v>40</v>
      </c>
      <c r="AQ46" s="104" t="s">
        <v>39</v>
      </c>
      <c r="AR46" s="104" t="s">
        <v>41</v>
      </c>
      <c r="AS46" s="104" t="s">
        <v>40</v>
      </c>
      <c r="AT46" s="104" t="s">
        <v>39</v>
      </c>
      <c r="AU46" s="103" t="s">
        <v>68</v>
      </c>
      <c r="AV46" s="103" t="s">
        <v>67</v>
      </c>
    </row>
    <row r="47" spans="2:80" x14ac:dyDescent="0.25">
      <c r="B47" s="87" t="s">
        <v>85</v>
      </c>
      <c r="C47" s="87"/>
      <c r="D47" s="85" t="s">
        <v>77</v>
      </c>
      <c r="E47" s="85"/>
      <c r="F47" s="85"/>
      <c r="G47" s="85" t="s">
        <v>78</v>
      </c>
      <c r="H47" s="85"/>
      <c r="I47" s="85"/>
      <c r="J47" s="85" t="s">
        <v>77</v>
      </c>
      <c r="K47" s="85"/>
      <c r="L47" s="85"/>
      <c r="M47" s="85" t="s">
        <v>78</v>
      </c>
      <c r="N47" s="85"/>
      <c r="O47" s="85"/>
      <c r="AJ47" s="94" t="s">
        <v>42</v>
      </c>
      <c r="AK47" s="10">
        <f>427.15*(AK14^0.6026)</f>
        <v>12.941610237623792</v>
      </c>
      <c r="AL47" s="10">
        <f>71.352*BC14^0.3356</f>
        <v>7.6875741426626734</v>
      </c>
      <c r="AM47" s="10">
        <f>37.823*BD14^0.5145</f>
        <v>11.094253255059595</v>
      </c>
      <c r="AN47" s="10">
        <f>17.285*BE14^0.664</f>
        <v>22.87139253414858</v>
      </c>
      <c r="AO47" s="10">
        <f>101.5*BF14^0.2757</f>
        <v>15.054823445334506</v>
      </c>
      <c r="AP47" s="10">
        <f>66.539*BG14^0.286</f>
        <v>31.03394951781517</v>
      </c>
      <c r="AQ47" s="10">
        <f>49.512*BH14^0.2727</f>
        <v>51.422007214592291</v>
      </c>
      <c r="AR47" s="10">
        <f>96.745*BI14^0.3131</f>
        <v>11.076660532072067</v>
      </c>
      <c r="AS47" s="10">
        <f>63.061*BJ14^0.4573</f>
        <v>18.626255440203131</v>
      </c>
      <c r="AT47" s="10">
        <f>34.986*BK14^0.6412</f>
        <v>38.242501848466532</v>
      </c>
      <c r="AU47" s="10">
        <f>908.48*BL14^0.3562</f>
        <v>13.225210444571283</v>
      </c>
      <c r="AV47" s="10">
        <f>1428.8*BM14^0.3909</f>
        <v>13.700833333928674</v>
      </c>
    </row>
    <row r="48" spans="2:80" x14ac:dyDescent="0.25">
      <c r="B48" t="s">
        <v>81</v>
      </c>
      <c r="C48" s="1" t="s">
        <v>71</v>
      </c>
      <c r="D48" s="1" t="s">
        <v>74</v>
      </c>
      <c r="E48" s="1" t="s">
        <v>75</v>
      </c>
      <c r="F48" s="1" t="s">
        <v>76</v>
      </c>
      <c r="G48" s="1" t="s">
        <v>74</v>
      </c>
      <c r="H48" s="1" t="s">
        <v>75</v>
      </c>
      <c r="I48" s="1" t="s">
        <v>76</v>
      </c>
      <c r="J48" s="1" t="s">
        <v>74</v>
      </c>
      <c r="K48" s="1" t="s">
        <v>75</v>
      </c>
      <c r="L48" s="1" t="s">
        <v>76</v>
      </c>
      <c r="M48" s="1" t="s">
        <v>74</v>
      </c>
      <c r="N48" s="1" t="s">
        <v>75</v>
      </c>
      <c r="O48" s="1" t="s">
        <v>76</v>
      </c>
      <c r="P48" s="1" t="s">
        <v>79</v>
      </c>
      <c r="R48" s="1"/>
      <c r="S48" s="1"/>
      <c r="T48" s="1"/>
      <c r="AJ48" s="94" t="s">
        <v>72</v>
      </c>
      <c r="AK48" s="10">
        <f t="shared" ref="AK48:AK49" si="81">427.15*(AK15^0.6026)</f>
        <v>24.982882454350118</v>
      </c>
      <c r="AL48" s="10">
        <f t="shared" ref="AL48:AL49" si="82">71.352*BC15^0.3356</f>
        <v>36.951952527373088</v>
      </c>
      <c r="AM48" s="10">
        <f t="shared" ref="AM48:AM49" si="83">37.823*BD15^0.5145</f>
        <v>73.153182140016298</v>
      </c>
      <c r="AN48" s="10">
        <f t="shared" ref="AN48:AN49" si="84">17.285*BE15^0.664</f>
        <v>43.091399730469242</v>
      </c>
      <c r="AO48" s="10">
        <f t="shared" ref="AO48:AO49" si="85">101.5*BF15^0.2757</f>
        <v>55.705692721495168</v>
      </c>
      <c r="AP48" s="10">
        <f t="shared" ref="AP48:AP49" si="86">66.539*BG15^0.286</f>
        <v>90.272523620487718</v>
      </c>
      <c r="AQ48" s="10">
        <f t="shared" ref="AQ48:AQ49" si="87">49.512*BH15^0.2727</f>
        <v>67.938862932187035</v>
      </c>
      <c r="AR48" s="10">
        <f t="shared" ref="AR48:AR49" si="88">96.745*BI15^0.3131</f>
        <v>48.945751540231051</v>
      </c>
      <c r="AS48" s="10">
        <f t="shared" ref="AS48:AS49" si="89">63.061*BJ15^0.4573</f>
        <v>102.70433887667231</v>
      </c>
      <c r="AT48" s="10">
        <f t="shared" ref="AT48:AT49" si="90">34.986*BK15^0.6412</f>
        <v>73.617575245469823</v>
      </c>
      <c r="AU48" s="10">
        <f t="shared" ref="AU48:AU49" si="91">908.48*BL15^0.3562</f>
        <v>29.477282754284918</v>
      </c>
      <c r="AV48" s="10">
        <f t="shared" ref="AV48:AV49" si="92">1428.8*BM15^0.3909</f>
        <v>33.021709564290219</v>
      </c>
    </row>
    <row r="49" spans="2:51" x14ac:dyDescent="0.25">
      <c r="B49" s="12" t="s">
        <v>42</v>
      </c>
      <c r="C49" s="10">
        <f>C4/$G12</f>
        <v>7.1045375217005331</v>
      </c>
      <c r="D49" s="10">
        <f t="shared" ref="D49:P49" si="93">D4/$G12</f>
        <v>7.1045375217005331</v>
      </c>
      <c r="E49" s="10">
        <f t="shared" si="93"/>
        <v>7.1045375217005331</v>
      </c>
      <c r="F49" s="10">
        <f t="shared" si="93"/>
        <v>7.1045375217005331</v>
      </c>
      <c r="G49" s="10">
        <f t="shared" si="93"/>
        <v>3.5522687608502665</v>
      </c>
      <c r="H49" s="10">
        <f t="shared" si="93"/>
        <v>7.1045375217005331</v>
      </c>
      <c r="I49" s="10">
        <f t="shared" si="93"/>
        <v>7.1045375217005331</v>
      </c>
      <c r="J49" s="10">
        <f t="shared" si="93"/>
        <v>2.4976889724728437</v>
      </c>
      <c r="K49" s="10">
        <f t="shared" si="93"/>
        <v>4.9953779449456874</v>
      </c>
      <c r="L49" s="10">
        <f t="shared" si="93"/>
        <v>4.9953779449456874</v>
      </c>
      <c r="M49" s="10">
        <f t="shared" si="93"/>
        <v>2.4976889724728437</v>
      </c>
      <c r="N49" s="10">
        <f t="shared" si="93"/>
        <v>2.4976889724728437</v>
      </c>
      <c r="O49" s="10">
        <f t="shared" si="93"/>
        <v>4.9953779449456874</v>
      </c>
      <c r="P49" s="10">
        <f t="shared" si="93"/>
        <v>4.9953779449456874</v>
      </c>
      <c r="R49" s="1"/>
      <c r="S49" s="10"/>
      <c r="T49" s="10"/>
      <c r="AJ49" s="94" t="s">
        <v>43</v>
      </c>
      <c r="AK49" s="10">
        <f t="shared" si="81"/>
        <v>60.160624719339154</v>
      </c>
      <c r="AL49" s="10">
        <f t="shared" si="82"/>
        <v>134.96137207848102</v>
      </c>
      <c r="AM49" s="10">
        <f t="shared" si="83"/>
        <v>113.28736153137839</v>
      </c>
      <c r="AN49" s="10">
        <f t="shared" si="84"/>
        <v>31.334576370584315</v>
      </c>
      <c r="AO49" s="10">
        <f t="shared" si="85"/>
        <v>156.47306001817944</v>
      </c>
      <c r="AP49" s="10">
        <f t="shared" si="86"/>
        <v>111.43313894372616</v>
      </c>
      <c r="AQ49" s="10">
        <f t="shared" si="87"/>
        <v>57.785591476258723</v>
      </c>
      <c r="AR49" s="10">
        <f t="shared" si="88"/>
        <v>158.16178409615807</v>
      </c>
      <c r="AS49" s="10">
        <f t="shared" si="89"/>
        <v>143.82252351377869</v>
      </c>
      <c r="AT49" s="10">
        <f t="shared" si="90"/>
        <v>50.313904763214566</v>
      </c>
      <c r="AU49" s="10">
        <f t="shared" si="91"/>
        <v>79.702964364205883</v>
      </c>
      <c r="AV49" s="10">
        <f t="shared" si="92"/>
        <v>98.777384821624111</v>
      </c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94">D5/$G13</f>
        <v>#DIV/0!</v>
      </c>
      <c r="E50" s="10" t="e">
        <f t="shared" si="94"/>
        <v>#DIV/0!</v>
      </c>
      <c r="F50" s="10" t="e">
        <f t="shared" si="94"/>
        <v>#DIV/0!</v>
      </c>
      <c r="G50" s="10" t="e">
        <f t="shared" si="94"/>
        <v>#DIV/0!</v>
      </c>
      <c r="H50" s="10" t="e">
        <f t="shared" si="94"/>
        <v>#DIV/0!</v>
      </c>
      <c r="I50" s="10" t="e">
        <f t="shared" si="94"/>
        <v>#DIV/0!</v>
      </c>
      <c r="J50" s="10" t="e">
        <f t="shared" si="94"/>
        <v>#DIV/0!</v>
      </c>
      <c r="K50" s="10" t="e">
        <f t="shared" si="94"/>
        <v>#DIV/0!</v>
      </c>
      <c r="L50" s="10" t="e">
        <f t="shared" si="94"/>
        <v>#DIV/0!</v>
      </c>
      <c r="M50" s="10" t="e">
        <f t="shared" si="94"/>
        <v>#DIV/0!</v>
      </c>
      <c r="N50" s="10" t="e">
        <f t="shared" si="94"/>
        <v>#DIV/0!</v>
      </c>
      <c r="O50" s="10" t="e">
        <f t="shared" si="94"/>
        <v>#DIV/0!</v>
      </c>
      <c r="P50" s="10" t="e">
        <f t="shared" si="94"/>
        <v>#DIV/0!</v>
      </c>
      <c r="R50" s="1"/>
      <c r="S50" s="10"/>
      <c r="T50" s="10"/>
      <c r="AJ50" s="94" t="s">
        <v>44</v>
      </c>
      <c r="AK50" s="10">
        <f>427.15*(AK19^0.6026)</f>
        <v>36.3632743226147</v>
      </c>
      <c r="AL50" s="10">
        <f>71.352*BC19^0.3356</f>
        <v>44.681045803741462</v>
      </c>
      <c r="AM50" s="10">
        <f>37.823*BD19^0.5145</f>
        <v>66.769369138378963</v>
      </c>
      <c r="AN50" s="10">
        <f>17.285*BE19^0.664</f>
        <v>37.062123653961507</v>
      </c>
      <c r="AO50" s="10">
        <f>101.5*BF19^0.2757</f>
        <v>56.746848250655333</v>
      </c>
      <c r="AP50" s="10">
        <f>66.539*BG19^0.286</f>
        <v>74.397671296838681</v>
      </c>
      <c r="AQ50" s="10">
        <f>49.512*BH19^0.2727</f>
        <v>55.739476879040126</v>
      </c>
      <c r="AR50" s="10">
        <f>96.745*BI19^0.3131</f>
        <v>49.985970127912921</v>
      </c>
      <c r="AS50" s="10">
        <f>63.061*BJ19^0.4573</f>
        <v>75.384648254311301</v>
      </c>
      <c r="AT50" s="10">
        <f>34.986*BK19^0.6412</f>
        <v>46.224737822674982</v>
      </c>
      <c r="AU50" s="10">
        <f>908.48*BL19^0.3562</f>
        <v>39.426492800571204</v>
      </c>
      <c r="AV50" s="10">
        <f>1428.8*BM19^0.3909</f>
        <v>44.220465159197339</v>
      </c>
    </row>
    <row r="51" spans="2:51" x14ac:dyDescent="0.25">
      <c r="B51" s="12" t="s">
        <v>44</v>
      </c>
      <c r="C51" s="10">
        <f>C6/$G14</f>
        <v>1.5219803184472598</v>
      </c>
      <c r="D51" s="10">
        <f t="shared" ref="D51:P51" si="95">D6/$G14</f>
        <v>1.5219803184472598</v>
      </c>
      <c r="E51" s="10">
        <f t="shared" si="95"/>
        <v>1.5219803184472598</v>
      </c>
      <c r="F51" s="10">
        <f t="shared" si="95"/>
        <v>1.5219803184472598</v>
      </c>
      <c r="G51" s="10">
        <f t="shared" si="95"/>
        <v>0.53507120570411482</v>
      </c>
      <c r="H51" s="10">
        <f t="shared" si="95"/>
        <v>0.38049507961181495</v>
      </c>
      <c r="I51" s="10">
        <f t="shared" si="95"/>
        <v>1.5219803184472598</v>
      </c>
      <c r="J51" s="10">
        <f t="shared" si="95"/>
        <v>0.76099015922362989</v>
      </c>
      <c r="K51" s="10">
        <f t="shared" si="95"/>
        <v>1.5219803184472598</v>
      </c>
      <c r="L51" s="10">
        <f t="shared" si="95"/>
        <v>1.5219803184472598</v>
      </c>
      <c r="M51" s="10">
        <f t="shared" si="95"/>
        <v>0.76099015922362989</v>
      </c>
      <c r="N51" s="10">
        <f t="shared" si="95"/>
        <v>0.38049507961181495</v>
      </c>
      <c r="O51" s="10">
        <f t="shared" si="95"/>
        <v>0.38049507961181495</v>
      </c>
      <c r="P51" s="10">
        <f t="shared" si="95"/>
        <v>0.76099015922362989</v>
      </c>
      <c r="R51" s="1"/>
      <c r="S51" s="10"/>
      <c r="T51" s="10"/>
      <c r="AJ51" s="94" t="s">
        <v>99</v>
      </c>
      <c r="AK51" s="10"/>
      <c r="AM51" s="10"/>
      <c r="AN51" s="10"/>
      <c r="AO51" s="10"/>
      <c r="AP51" s="10"/>
      <c r="AQ51" s="10"/>
      <c r="AR51" s="10"/>
      <c r="AT51" s="10"/>
      <c r="AU51" s="10"/>
      <c r="AV51" s="10"/>
    </row>
    <row r="52" spans="2:51" x14ac:dyDescent="0.25">
      <c r="B52" s="12" t="s">
        <v>72</v>
      </c>
      <c r="C52" s="10" t="e">
        <f>C7/$G15</f>
        <v>#DIV/0!</v>
      </c>
      <c r="D52" s="10" t="e">
        <f t="shared" ref="D52:P53" si="96">D7/$G15</f>
        <v>#DIV/0!</v>
      </c>
      <c r="E52" s="10" t="e">
        <f t="shared" si="96"/>
        <v>#DIV/0!</v>
      </c>
      <c r="F52" s="10" t="e">
        <f t="shared" si="96"/>
        <v>#DIV/0!</v>
      </c>
      <c r="G52" s="10" t="e">
        <f t="shared" si="96"/>
        <v>#DIV/0!</v>
      </c>
      <c r="H52" s="10" t="e">
        <f t="shared" si="96"/>
        <v>#DIV/0!</v>
      </c>
      <c r="I52" s="10" t="e">
        <f t="shared" si="96"/>
        <v>#DIV/0!</v>
      </c>
      <c r="J52" s="10" t="e">
        <f t="shared" si="96"/>
        <v>#DIV/0!</v>
      </c>
      <c r="K52" s="10" t="e">
        <f t="shared" si="96"/>
        <v>#DIV/0!</v>
      </c>
      <c r="L52" s="10" t="e">
        <f t="shared" si="96"/>
        <v>#DIV/0!</v>
      </c>
      <c r="M52" s="10" t="e">
        <f t="shared" si="96"/>
        <v>#DIV/0!</v>
      </c>
      <c r="N52" s="10" t="e">
        <f t="shared" si="96"/>
        <v>#DIV/0!</v>
      </c>
      <c r="O52" s="10" t="e">
        <f t="shared" si="96"/>
        <v>#DIV/0!</v>
      </c>
      <c r="P52" s="10" t="e">
        <f t="shared" si="96"/>
        <v>#DIV/0!</v>
      </c>
      <c r="R52" s="1"/>
      <c r="S52" s="10"/>
      <c r="T52" s="10"/>
      <c r="AJ52" s="98" t="s">
        <v>112</v>
      </c>
      <c r="AK52" s="10">
        <f>427.15*(AK17^0.6026)</f>
        <v>3.2794374409814209</v>
      </c>
      <c r="AL52" s="10">
        <f>71.352*BC17^0.3356</f>
        <v>0</v>
      </c>
      <c r="AM52" s="10">
        <f>37.823*BD17^0.5145</f>
        <v>0</v>
      </c>
      <c r="AN52" s="10">
        <f>17.285*BE17^0.664</f>
        <v>7.2534335551243265E-2</v>
      </c>
      <c r="AO52" s="10">
        <f>101.5*BF17^0.2757</f>
        <v>0</v>
      </c>
      <c r="AP52" s="10">
        <f>66.539*BG17^0.286</f>
        <v>0</v>
      </c>
      <c r="AQ52" s="10">
        <f>49.512*BH17^0.2727</f>
        <v>4.7817743687899235</v>
      </c>
      <c r="AR52" s="10">
        <f>96.745*BI17^0.3131</f>
        <v>0</v>
      </c>
      <c r="AS52" s="10">
        <f>63.061*BJ17^0.4573</f>
        <v>0</v>
      </c>
      <c r="AT52" s="10">
        <f>34.986*BK17^0.6412</f>
        <v>0.14356135333644882</v>
      </c>
      <c r="AU52" s="10">
        <f>908.48*BL17^0.3562</f>
        <v>2.5543022715225301</v>
      </c>
      <c r="AV52" s="10">
        <f>1428.8*BM17^0.3909</f>
        <v>2.2678135310091427</v>
      </c>
    </row>
    <row r="53" spans="2:51" x14ac:dyDescent="0.25">
      <c r="B53" s="12" t="s">
        <v>100</v>
      </c>
      <c r="C53" s="10">
        <f>C8/$G16</f>
        <v>6.3941127901411692</v>
      </c>
      <c r="D53" s="10">
        <f t="shared" si="96"/>
        <v>6.3941127901411692</v>
      </c>
      <c r="E53" s="10">
        <f t="shared" si="96"/>
        <v>6.3941127901411692</v>
      </c>
      <c r="F53" s="10">
        <f t="shared" si="96"/>
        <v>6.3941127901411692</v>
      </c>
      <c r="G53" s="10">
        <f t="shared" si="96"/>
        <v>4.4958605555680098</v>
      </c>
      <c r="H53" s="10">
        <f t="shared" si="96"/>
        <v>6.3941127901411692</v>
      </c>
      <c r="I53" s="10">
        <f t="shared" si="96"/>
        <v>6.3941127901411692</v>
      </c>
      <c r="J53" s="10">
        <f t="shared" si="96"/>
        <v>6.3941127901411692</v>
      </c>
      <c r="K53" s="10">
        <f t="shared" si="96"/>
        <v>6.3941127901411692</v>
      </c>
      <c r="L53" s="10">
        <f t="shared" si="96"/>
        <v>6.3941127901411692</v>
      </c>
      <c r="M53" s="10">
        <f t="shared" si="96"/>
        <v>3.1970563950705846</v>
      </c>
      <c r="N53" s="10">
        <f t="shared" si="96"/>
        <v>2.2479302777840049</v>
      </c>
      <c r="O53" s="10">
        <f t="shared" si="96"/>
        <v>6.3941127901411692</v>
      </c>
      <c r="P53" s="10">
        <f t="shared" si="96"/>
        <v>6.3941127901411692</v>
      </c>
      <c r="R53" s="1"/>
      <c r="S53" s="10"/>
      <c r="T53" s="10"/>
      <c r="AJ53" s="98" t="s">
        <v>113</v>
      </c>
      <c r="AK53" s="10">
        <f>427.15*(AK18^0.6026)</f>
        <v>6.9456401022718488</v>
      </c>
      <c r="AL53" s="10">
        <f>71.352*BC18^0.3356</f>
        <v>2.633443584619068</v>
      </c>
      <c r="AM53" s="10">
        <f>37.823*BD18^0.5145</f>
        <v>1.0536615197440036</v>
      </c>
      <c r="AN53" s="10">
        <f>17.285*BE18^0.664</f>
        <v>1.639201576110932</v>
      </c>
      <c r="AO53" s="10">
        <f>101.5*BF18^0.2757</f>
        <v>5.9104527824156881</v>
      </c>
      <c r="AP53" s="10">
        <f>66.539*BG18^0.286</f>
        <v>7.9210738112991264</v>
      </c>
      <c r="AQ53" s="10">
        <f>49.512*BH18^0.2727</f>
        <v>16.499530246647197</v>
      </c>
      <c r="AR53" s="10">
        <f>96.745*BI18^0.3131</f>
        <v>3.8306341409993063</v>
      </c>
      <c r="AS53" s="10">
        <f>63.061*BJ18^0.4573</f>
        <v>2.0982771706954186</v>
      </c>
      <c r="AT53" s="10">
        <f>34.986*BK18^0.6412</f>
        <v>2.6409588377327435</v>
      </c>
      <c r="AU53" s="10">
        <f>908.48*BL18^0.3562</f>
        <v>5.928625803188206</v>
      </c>
      <c r="AV53" s="10">
        <f>1428.8*BM18^0.3909</f>
        <v>5.6533404726942198</v>
      </c>
    </row>
    <row r="54" spans="2:51" x14ac:dyDescent="0.25">
      <c r="B54" s="87" t="s">
        <v>86</v>
      </c>
      <c r="C54" s="87"/>
      <c r="D54" s="85" t="s">
        <v>77</v>
      </c>
      <c r="E54" s="85"/>
      <c r="F54" s="85"/>
      <c r="G54" s="85" t="s">
        <v>78</v>
      </c>
      <c r="H54" s="85"/>
      <c r="I54" s="85"/>
      <c r="J54" s="85" t="s">
        <v>77</v>
      </c>
      <c r="K54" s="85"/>
      <c r="L54" s="85"/>
      <c r="M54" s="85" t="s">
        <v>78</v>
      </c>
      <c r="N54" s="85"/>
      <c r="O54" s="85"/>
    </row>
    <row r="55" spans="2:51" x14ac:dyDescent="0.25">
      <c r="B55" t="s">
        <v>81</v>
      </c>
      <c r="C55" s="1" t="s">
        <v>71</v>
      </c>
      <c r="D55" s="1" t="s">
        <v>74</v>
      </c>
      <c r="E55" s="1" t="s">
        <v>75</v>
      </c>
      <c r="F55" s="1" t="s">
        <v>76</v>
      </c>
      <c r="G55" s="1" t="s">
        <v>74</v>
      </c>
      <c r="H55" s="1" t="s">
        <v>75</v>
      </c>
      <c r="I55" s="1" t="s">
        <v>76</v>
      </c>
      <c r="J55" s="1" t="s">
        <v>74</v>
      </c>
      <c r="K55" s="1" t="s">
        <v>75</v>
      </c>
      <c r="L55" s="1" t="s">
        <v>76</v>
      </c>
      <c r="M55" s="1" t="s">
        <v>74</v>
      </c>
      <c r="N55" s="1" t="s">
        <v>75</v>
      </c>
      <c r="O55" s="1" t="s">
        <v>76</v>
      </c>
      <c r="P55" s="1" t="s">
        <v>79</v>
      </c>
      <c r="R55" s="1"/>
      <c r="S55" s="1" t="s">
        <v>92</v>
      </c>
      <c r="T55" s="1" t="s">
        <v>91</v>
      </c>
      <c r="AJ55" s="93" t="s">
        <v>119</v>
      </c>
      <c r="AK55" s="101"/>
      <c r="AL55" s="102" t="s">
        <v>64</v>
      </c>
      <c r="AM55" s="102"/>
      <c r="AN55" s="102"/>
      <c r="AO55" s="102" t="s">
        <v>65</v>
      </c>
      <c r="AP55" s="102"/>
      <c r="AQ55" s="102"/>
      <c r="AR55" s="102" t="s">
        <v>66</v>
      </c>
      <c r="AS55" s="102"/>
      <c r="AT55" s="102"/>
      <c r="AU55" s="101"/>
      <c r="AV55" s="101"/>
    </row>
    <row r="56" spans="2:51" x14ac:dyDescent="0.25">
      <c r="B56" s="12" t="s">
        <v>42</v>
      </c>
      <c r="C56" s="10">
        <f>C4/$H12</f>
        <v>5.1516486306997731</v>
      </c>
      <c r="D56" s="10">
        <f t="shared" ref="D56:P56" si="97">D4/$H12</f>
        <v>5.1516486306997731</v>
      </c>
      <c r="E56" s="10">
        <f t="shared" si="97"/>
        <v>5.1516486306997731</v>
      </c>
      <c r="F56" s="10">
        <f t="shared" si="97"/>
        <v>5.1516486306997731</v>
      </c>
      <c r="G56" s="10">
        <f t="shared" si="97"/>
        <v>2.5758243153498865</v>
      </c>
      <c r="H56" s="10">
        <f t="shared" si="97"/>
        <v>5.1516486306997731</v>
      </c>
      <c r="I56" s="10">
        <f t="shared" si="97"/>
        <v>5.1516486306997731</v>
      </c>
      <c r="J56" s="10">
        <f t="shared" si="97"/>
        <v>1.8111264717303888</v>
      </c>
      <c r="K56" s="10">
        <f t="shared" si="97"/>
        <v>3.6222529434607775</v>
      </c>
      <c r="L56" s="10">
        <f t="shared" si="97"/>
        <v>3.6222529434607775</v>
      </c>
      <c r="M56" s="10">
        <f t="shared" si="97"/>
        <v>1.8111264717303888</v>
      </c>
      <c r="N56" s="10">
        <f t="shared" si="97"/>
        <v>1.8111264717303888</v>
      </c>
      <c r="O56" s="10">
        <f t="shared" si="97"/>
        <v>3.6222529434607775</v>
      </c>
      <c r="P56" s="10">
        <f t="shared" si="97"/>
        <v>3.6222529434607775</v>
      </c>
      <c r="R56" s="12" t="s">
        <v>42</v>
      </c>
      <c r="S56" s="10">
        <f>AVERAGE(C56:P56)</f>
        <v>3.8148648063273436</v>
      </c>
      <c r="T56" s="10">
        <f>_xlfn.STDEV.P(C56:P56)</f>
        <v>1.3215377016505148</v>
      </c>
      <c r="AK56" s="103" t="s">
        <v>26</v>
      </c>
      <c r="AL56" s="103" t="s">
        <v>41</v>
      </c>
      <c r="AM56" s="103" t="s">
        <v>40</v>
      </c>
      <c r="AN56" s="104" t="s">
        <v>39</v>
      </c>
      <c r="AO56" s="104" t="s">
        <v>41</v>
      </c>
      <c r="AP56" s="104" t="s">
        <v>40</v>
      </c>
      <c r="AQ56" s="104" t="s">
        <v>39</v>
      </c>
      <c r="AR56" s="104" t="s">
        <v>41</v>
      </c>
      <c r="AS56" s="104" t="s">
        <v>40</v>
      </c>
      <c r="AT56" s="104" t="s">
        <v>39</v>
      </c>
      <c r="AU56" s="103" t="s">
        <v>68</v>
      </c>
      <c r="AV56" s="103" t="s">
        <v>67</v>
      </c>
    </row>
    <row r="57" spans="2:51" x14ac:dyDescent="0.25">
      <c r="B57" s="12" t="s">
        <v>43</v>
      </c>
      <c r="C57" s="10">
        <f>C5/$H13</f>
        <v>9.9379322854079515</v>
      </c>
      <c r="D57" s="10">
        <f t="shared" ref="D57:P57" si="98">D5/$H13</f>
        <v>9.9379322854079515</v>
      </c>
      <c r="E57" s="10">
        <f t="shared" si="98"/>
        <v>19.875864570815903</v>
      </c>
      <c r="F57" s="10">
        <f t="shared" si="98"/>
        <v>19.875864570815903</v>
      </c>
      <c r="G57" s="10">
        <f t="shared" si="98"/>
        <v>4.9689661427039757</v>
      </c>
      <c r="H57" s="10">
        <f t="shared" si="98"/>
        <v>6.9876086381774662</v>
      </c>
      <c r="I57" s="10">
        <f t="shared" si="98"/>
        <v>19.875864570815903</v>
      </c>
      <c r="J57" s="10">
        <f t="shared" si="98"/>
        <v>9.9379322854079515</v>
      </c>
      <c r="K57" s="10">
        <f t="shared" si="98"/>
        <v>9.9379322854079515</v>
      </c>
      <c r="L57" s="10">
        <f t="shared" si="98"/>
        <v>19.875864570815903</v>
      </c>
      <c r="M57" s="10">
        <f t="shared" si="98"/>
        <v>4.9689661427039757</v>
      </c>
      <c r="N57" s="10">
        <f t="shared" si="98"/>
        <v>6.9876086381774662</v>
      </c>
      <c r="O57" s="10">
        <f t="shared" si="98"/>
        <v>9.9379322854079515</v>
      </c>
      <c r="P57" s="10">
        <f t="shared" si="98"/>
        <v>6.9876086381774662</v>
      </c>
      <c r="R57" s="12" t="s">
        <v>43</v>
      </c>
      <c r="S57" s="10">
        <f>AVERAGE(C57:P57)</f>
        <v>11.43527699358884</v>
      </c>
      <c r="T57" s="10">
        <f>_xlfn.STDEV.P(C57:P57)</f>
        <v>5.6007390705581441</v>
      </c>
      <c r="AJ57" s="94" t="s">
        <v>42</v>
      </c>
      <c r="AK57" s="10">
        <f>427.15*(AK24^0.6026)</f>
        <v>23.592532434189209</v>
      </c>
      <c r="AL57" s="10">
        <f>71.352*BC24^0.3356</f>
        <v>35.919632240628104</v>
      </c>
      <c r="AM57" s="10">
        <f>37.823*BD24^0.5145</f>
        <v>44.865275186918836</v>
      </c>
      <c r="AN57" s="10">
        <f>17.285*BE24^0.664</f>
        <v>43.693410576363654</v>
      </c>
      <c r="AO57" s="10">
        <f>101.5*BF24^0.2757</f>
        <v>51.88175275189873</v>
      </c>
      <c r="AP57" s="10">
        <f>66.539*BG24^0.286</f>
        <v>65.460252747228736</v>
      </c>
      <c r="AQ57" s="10">
        <f>49.512*BH24^0.2727</f>
        <v>65.169308726977391</v>
      </c>
      <c r="AR57" s="10">
        <f>96.745*BI24^0.3131</f>
        <v>45.148193181077204</v>
      </c>
      <c r="AS57" s="10">
        <f>63.061*BJ24^0.4573</f>
        <v>61.434248837959125</v>
      </c>
      <c r="AT57" s="10">
        <f>34.986*BK24^0.6412</f>
        <v>66.75462392048108</v>
      </c>
      <c r="AU57" s="10">
        <f>908.48*BL24^0.3562</f>
        <v>25.562519917420595</v>
      </c>
      <c r="AV57" s="10">
        <f>1428.8*BM24^0.3909</f>
        <v>28.647023937364377</v>
      </c>
      <c r="AX57">
        <v>0.1</v>
      </c>
      <c r="AY57">
        <v>0.1</v>
      </c>
    </row>
    <row r="58" spans="2:51" x14ac:dyDescent="0.25">
      <c r="B58" s="12" t="s">
        <v>44</v>
      </c>
      <c r="C58" s="10">
        <f>C6/$H14</f>
        <v>1.2786093559875096</v>
      </c>
      <c r="D58" s="10">
        <f t="shared" ref="D58:P58" si="99">D6/$H14</f>
        <v>1.2786093559875096</v>
      </c>
      <c r="E58" s="10">
        <f t="shared" si="99"/>
        <v>1.2786093559875096</v>
      </c>
      <c r="F58" s="10">
        <f t="shared" si="99"/>
        <v>1.2786093559875096</v>
      </c>
      <c r="G58" s="10">
        <f t="shared" si="99"/>
        <v>0.44951110171435887</v>
      </c>
      <c r="H58" s="10">
        <f t="shared" si="99"/>
        <v>0.31965233899687739</v>
      </c>
      <c r="I58" s="10">
        <f t="shared" si="99"/>
        <v>1.2786093559875096</v>
      </c>
      <c r="J58" s="10">
        <f t="shared" si="99"/>
        <v>0.63930467799375479</v>
      </c>
      <c r="K58" s="10">
        <f t="shared" si="99"/>
        <v>1.2786093559875096</v>
      </c>
      <c r="L58" s="10">
        <f t="shared" si="99"/>
        <v>1.2786093559875096</v>
      </c>
      <c r="M58" s="10">
        <f t="shared" si="99"/>
        <v>0.63930467799375479</v>
      </c>
      <c r="N58" s="10">
        <f t="shared" si="99"/>
        <v>0.31965233899687739</v>
      </c>
      <c r="O58" s="10">
        <f t="shared" si="99"/>
        <v>0.31965233899687739</v>
      </c>
      <c r="P58" s="10">
        <f t="shared" si="99"/>
        <v>0.63930467799375479</v>
      </c>
      <c r="R58" s="12" t="s">
        <v>44</v>
      </c>
      <c r="S58" s="10">
        <f>AVERAGE(C58:P58)</f>
        <v>0.8769034031856302</v>
      </c>
      <c r="T58" s="10">
        <f>_xlfn.STDEV.P(C58:P58)</f>
        <v>0.41517497130978004</v>
      </c>
      <c r="AJ58" s="94" t="s">
        <v>72</v>
      </c>
      <c r="AK58" s="10">
        <f>427.15*(AK25^0.6026)</f>
        <v>25.494613307951109</v>
      </c>
      <c r="AL58" s="10">
        <f t="shared" ref="AL58:AL59" si="100">71.352*BC25^0.3356</f>
        <v>33.385898572060221</v>
      </c>
      <c r="AM58" s="10">
        <f t="shared" ref="AM58:AM59" si="101">37.823*BD25^0.5145</f>
        <v>72.917325913091261</v>
      </c>
      <c r="AN58" s="10">
        <f t="shared" ref="AN58:AN59" si="102">17.285*BE25^0.664</f>
        <v>44.60632266612668</v>
      </c>
      <c r="AO58" s="10">
        <f t="shared" ref="AO58:AO59" si="103">101.5*BF25^0.2757</f>
        <v>49.55474582147464</v>
      </c>
      <c r="AP58" s="10">
        <f t="shared" ref="AP58:AP59" si="104">66.539*BG25^0.286</f>
        <v>87.020906821475961</v>
      </c>
      <c r="AQ58" s="10">
        <f t="shared" ref="AQ58:AQ59" si="105">49.512*BH25^0.2727</f>
        <v>66.655091622255412</v>
      </c>
      <c r="AR58" s="10">
        <f t="shared" ref="AR58:AR59" si="106">96.745*BI25^0.3131</f>
        <v>42.85558944920146</v>
      </c>
      <c r="AS58" s="10">
        <f t="shared" ref="AS58:AS59" si="107">63.061*BJ25^0.4573</f>
        <v>96.853280871763673</v>
      </c>
      <c r="AT58" s="10">
        <f t="shared" ref="AT58:AT59" si="108">34.986*BK25^0.6412</f>
        <v>70.38840182826543</v>
      </c>
      <c r="AU58" s="10">
        <f t="shared" ref="AU58:AU59" si="109">908.48*BL25^0.3562</f>
        <v>28.917356988773388</v>
      </c>
      <c r="AV58" s="10">
        <f t="shared" ref="AV58:AV59" si="110">1428.8*BM25^0.3909</f>
        <v>32.32318274939913</v>
      </c>
      <c r="AX58">
        <v>150</v>
      </c>
      <c r="AY58">
        <v>150</v>
      </c>
    </row>
    <row r="59" spans="2:51" x14ac:dyDescent="0.25">
      <c r="B59" s="12" t="s">
        <v>72</v>
      </c>
      <c r="C59" s="10">
        <f>C7/$H15</f>
        <v>19.875864570815903</v>
      </c>
      <c r="D59" s="10">
        <f t="shared" ref="D59:P59" si="111">D7/$H15</f>
        <v>19.875864570815903</v>
      </c>
      <c r="E59" s="10">
        <f t="shared" si="111"/>
        <v>19.875864570815903</v>
      </c>
      <c r="F59" s="10">
        <f t="shared" si="111"/>
        <v>19.875864570815903</v>
      </c>
      <c r="G59" s="10">
        <f t="shared" si="111"/>
        <v>4.9689661427039757</v>
      </c>
      <c r="H59" s="10">
        <f t="shared" si="111"/>
        <v>6.9876086381774662</v>
      </c>
      <c r="I59" s="10">
        <f t="shared" si="111"/>
        <v>19.875864570815903</v>
      </c>
      <c r="J59" s="10">
        <f t="shared" si="111"/>
        <v>19.875864570815903</v>
      </c>
      <c r="K59" s="10">
        <f t="shared" si="111"/>
        <v>19.875864570815903</v>
      </c>
      <c r="L59" s="10">
        <f t="shared" si="111"/>
        <v>19.875864570815903</v>
      </c>
      <c r="M59" s="10">
        <f t="shared" si="111"/>
        <v>19.875864570815903</v>
      </c>
      <c r="N59" s="10">
        <f t="shared" si="111"/>
        <v>9.9379322854079515</v>
      </c>
      <c r="O59" s="10">
        <f t="shared" si="111"/>
        <v>4.9689661427039757</v>
      </c>
      <c r="P59" s="10">
        <f t="shared" si="111"/>
        <v>19.875864570815903</v>
      </c>
      <c r="R59" s="12" t="s">
        <v>72</v>
      </c>
      <c r="S59" s="10">
        <f>AVERAGE(C59:P59)</f>
        <v>16.115865636939457</v>
      </c>
      <c r="T59" s="10">
        <f>AVERAGE(C59:P59)</f>
        <v>16.115865636939457</v>
      </c>
      <c r="AJ59" s="94" t="s">
        <v>43</v>
      </c>
      <c r="AK59" s="10">
        <f>427.15*(AK26^0.6026)</f>
        <v>42.282288448981511</v>
      </c>
      <c r="AL59" s="10">
        <f t="shared" si="100"/>
        <v>72.39495654151554</v>
      </c>
      <c r="AM59" s="10">
        <f t="shared" si="101"/>
        <v>95.729258216519057</v>
      </c>
      <c r="AN59" s="10">
        <f t="shared" si="102"/>
        <v>31.098695993070375</v>
      </c>
      <c r="AO59" s="10">
        <f t="shared" si="103"/>
        <v>93.803524039240102</v>
      </c>
      <c r="AP59" s="10">
        <f t="shared" si="104"/>
        <v>101.47501737615451</v>
      </c>
      <c r="AQ59" s="10">
        <f t="shared" si="105"/>
        <v>57.606542971146652</v>
      </c>
      <c r="AR59" s="10">
        <f t="shared" si="106"/>
        <v>88.457750280989657</v>
      </c>
      <c r="AS59" s="10">
        <f t="shared" si="107"/>
        <v>123.82866252047599</v>
      </c>
      <c r="AT59" s="10">
        <f t="shared" si="108"/>
        <v>49.948109803800001</v>
      </c>
      <c r="AU59" s="10">
        <f t="shared" si="109"/>
        <v>52.530845798040332</v>
      </c>
      <c r="AV59" s="10">
        <f t="shared" si="110"/>
        <v>62.511379103896608</v>
      </c>
    </row>
    <row r="60" spans="2:51" x14ac:dyDescent="0.25">
      <c r="B60" s="12" t="s">
        <v>100</v>
      </c>
      <c r="C60" s="10">
        <f>C8/$H16</f>
        <v>2.1132018348086747</v>
      </c>
      <c r="D60" s="10">
        <f t="shared" ref="D60:P60" si="112">D8/$H16</f>
        <v>2.1132018348086747</v>
      </c>
      <c r="E60" s="10">
        <f t="shared" si="112"/>
        <v>2.1132018348086747</v>
      </c>
      <c r="F60" s="10">
        <f t="shared" si="112"/>
        <v>2.1132018348086747</v>
      </c>
      <c r="G60" s="10">
        <f t="shared" si="112"/>
        <v>1.4858450400998495</v>
      </c>
      <c r="H60" s="10">
        <f t="shared" si="112"/>
        <v>2.1132018348086747</v>
      </c>
      <c r="I60" s="10">
        <f t="shared" si="112"/>
        <v>2.1132018348086747</v>
      </c>
      <c r="J60" s="10">
        <f t="shared" si="112"/>
        <v>2.1132018348086747</v>
      </c>
      <c r="K60" s="10">
        <f t="shared" si="112"/>
        <v>2.1132018348086747</v>
      </c>
      <c r="L60" s="10">
        <f t="shared" si="112"/>
        <v>2.1132018348086747</v>
      </c>
      <c r="M60" s="10">
        <f t="shared" si="112"/>
        <v>1.0566009174043374</v>
      </c>
      <c r="N60" s="10">
        <f t="shared" si="112"/>
        <v>0.74292252004992476</v>
      </c>
      <c r="O60" s="10">
        <f t="shared" si="112"/>
        <v>2.1132018348086747</v>
      </c>
      <c r="P60" s="10">
        <f t="shared" si="112"/>
        <v>2.1132018348086747</v>
      </c>
      <c r="R60" s="12" t="s">
        <v>100</v>
      </c>
      <c r="S60" s="10">
        <f>AVERAGE(C60:P60)</f>
        <v>1.8950420471749663</v>
      </c>
      <c r="T60" s="10">
        <f>AVERAGE(C60:P60)</f>
        <v>1.8950420471749663</v>
      </c>
      <c r="AJ60" s="94" t="s">
        <v>44</v>
      </c>
      <c r="AK60" s="10">
        <f>427.15*(AK29^0.6026)</f>
        <v>36.493931005493906</v>
      </c>
      <c r="AL60" s="10">
        <f>71.352*BC29^0.3356</f>
        <v>45.073254831380368</v>
      </c>
      <c r="AM60" s="10">
        <f>37.823*BD29^0.5145</f>
        <v>67.136697687644613</v>
      </c>
      <c r="AN60" s="10">
        <f>17.285*BE29^0.664</f>
        <v>37.127843822750485</v>
      </c>
      <c r="AO60" s="10">
        <f>101.5*BF29^0.2757</f>
        <v>57.155743095772074</v>
      </c>
      <c r="AP60" s="10">
        <f>66.539*BG29^0.286</f>
        <v>74.624912942654149</v>
      </c>
      <c r="AQ60" s="10">
        <f>49.512*BH29^0.2727</f>
        <v>55.780048424499455</v>
      </c>
      <c r="AR60" s="10">
        <f>96.745*BI29^0.3131</f>
        <v>50.395208248444753</v>
      </c>
      <c r="AS60" s="10">
        <f>63.061*BJ29^0.4573</f>
        <v>75.75315342070499</v>
      </c>
      <c r="AT60" s="10">
        <f>34.986*BK29^0.6412</f>
        <v>46.303888574263681</v>
      </c>
      <c r="AU60" s="10">
        <f>908.48*BL29^0.3562</f>
        <v>39.594023182444552</v>
      </c>
      <c r="AV60" s="10">
        <f>1428.8*BM29^0.3909</f>
        <v>44.426713401992728</v>
      </c>
    </row>
    <row r="61" spans="2:51" x14ac:dyDescent="0.25">
      <c r="B61" s="87" t="s">
        <v>87</v>
      </c>
      <c r="C61" s="87"/>
      <c r="D61" s="85" t="s">
        <v>77</v>
      </c>
      <c r="E61" s="85"/>
      <c r="F61" s="85"/>
      <c r="G61" s="85" t="s">
        <v>78</v>
      </c>
      <c r="H61" s="85"/>
      <c r="I61" s="85"/>
      <c r="J61" s="85" t="s">
        <v>77</v>
      </c>
      <c r="K61" s="85"/>
      <c r="L61" s="85"/>
      <c r="M61" s="85" t="s">
        <v>78</v>
      </c>
      <c r="N61" s="85"/>
      <c r="O61" s="85"/>
      <c r="AJ61" s="94" t="s">
        <v>99</v>
      </c>
    </row>
    <row r="62" spans="2:51" x14ac:dyDescent="0.25">
      <c r="B62" t="s">
        <v>81</v>
      </c>
      <c r="C62" s="1" t="s">
        <v>71</v>
      </c>
      <c r="D62" s="1" t="s">
        <v>74</v>
      </c>
      <c r="E62" s="1" t="s">
        <v>75</v>
      </c>
      <c r="F62" s="1" t="s">
        <v>76</v>
      </c>
      <c r="G62" s="1" t="s">
        <v>74</v>
      </c>
      <c r="H62" s="1" t="s">
        <v>75</v>
      </c>
      <c r="I62" s="1" t="s">
        <v>76</v>
      </c>
      <c r="J62" s="1" t="s">
        <v>74</v>
      </c>
      <c r="K62" s="1" t="s">
        <v>75</v>
      </c>
      <c r="L62" s="1" t="s">
        <v>76</v>
      </c>
      <c r="M62" s="1" t="s">
        <v>74</v>
      </c>
      <c r="N62" s="1" t="s">
        <v>75</v>
      </c>
      <c r="O62" s="1" t="s">
        <v>76</v>
      </c>
      <c r="P62" s="1" t="s">
        <v>79</v>
      </c>
      <c r="R62" s="1"/>
      <c r="S62" s="1" t="s">
        <v>92</v>
      </c>
      <c r="T62" s="1" t="s">
        <v>91</v>
      </c>
      <c r="AJ62" s="98" t="s">
        <v>112</v>
      </c>
      <c r="AK62" s="10">
        <f>427.15*(AK27^0.6026)</f>
        <v>4.3804747033223146</v>
      </c>
      <c r="AL62" s="10">
        <f>71.352*BC27^0.3356</f>
        <v>0</v>
      </c>
      <c r="AM62" s="10">
        <f>37.823*BD27^0.5145</f>
        <v>0.1316794236738229</v>
      </c>
      <c r="AN62" s="10">
        <f>17.285*BE27^0.664</f>
        <v>0.27829480275425916</v>
      </c>
      <c r="AO62" s="10">
        <f>101.5*BF27^0.2757</f>
        <v>0</v>
      </c>
      <c r="AP62" s="10">
        <f>66.539*BG27^0.286</f>
        <v>2.6052187165101865</v>
      </c>
      <c r="AQ62" s="10">
        <f>49.512*BH27^0.2727</f>
        <v>8.3064954113297969</v>
      </c>
      <c r="AR62" s="10">
        <f>96.745*BI27^0.3131</f>
        <v>0</v>
      </c>
      <c r="AS62" s="10">
        <f>63.061*BJ27^0.4573</f>
        <v>0.3545403285358788</v>
      </c>
      <c r="AT62" s="10">
        <f>34.986*BK27^0.6412</f>
        <v>0.52595345681172057</v>
      </c>
      <c r="AU62" s="10">
        <f>908.48*BL27^0.3562</f>
        <v>3.5966811808675878</v>
      </c>
      <c r="AV62" s="10">
        <f>1428.8*BM27^0.3909</f>
        <v>3.3015363026774494</v>
      </c>
    </row>
    <row r="63" spans="2:51" x14ac:dyDescent="0.25">
      <c r="B63" s="12" t="s">
        <v>42</v>
      </c>
      <c r="C63" s="10">
        <f>C4/$I12</f>
        <v>3.030689011494633</v>
      </c>
      <c r="D63" s="10">
        <f t="shared" ref="D63:P63" si="113">D4/$I12</f>
        <v>3.030689011494633</v>
      </c>
      <c r="E63" s="10">
        <f t="shared" si="113"/>
        <v>3.030689011494633</v>
      </c>
      <c r="F63" s="10">
        <f t="shared" si="113"/>
        <v>3.030689011494633</v>
      </c>
      <c r="G63" s="10">
        <f t="shared" si="113"/>
        <v>1.5153445057473165</v>
      </c>
      <c r="H63" s="10">
        <f t="shared" si="113"/>
        <v>3.030689011494633</v>
      </c>
      <c r="I63" s="10">
        <f t="shared" si="113"/>
        <v>3.030689011494633</v>
      </c>
      <c r="J63" s="10">
        <f t="shared" si="113"/>
        <v>1.0654766056035818</v>
      </c>
      <c r="K63" s="10">
        <f t="shared" si="113"/>
        <v>2.1309532112071636</v>
      </c>
      <c r="L63" s="10">
        <f t="shared" si="113"/>
        <v>2.1309532112071636</v>
      </c>
      <c r="M63" s="10">
        <f t="shared" si="113"/>
        <v>1.0654766056035818</v>
      </c>
      <c r="N63" s="10">
        <f t="shared" si="113"/>
        <v>1.0654766056035818</v>
      </c>
      <c r="O63" s="10">
        <f t="shared" si="113"/>
        <v>2.1309532112071636</v>
      </c>
      <c r="P63" s="10">
        <f t="shared" si="113"/>
        <v>2.1309532112071636</v>
      </c>
      <c r="R63" s="12" t="s">
        <v>42</v>
      </c>
      <c r="S63" s="10">
        <f>AVERAGE(C63:P63)</f>
        <v>2.2442658025967512</v>
      </c>
      <c r="T63" s="10">
        <f>_xlfn.STDEV.P(C63:P63)</f>
        <v>0.77745399148544925</v>
      </c>
      <c r="AJ63" s="98" t="s">
        <v>113</v>
      </c>
      <c r="AK63" s="10">
        <f>427.15*(AK28^0.6026)</f>
        <v>9.9231426164650092</v>
      </c>
      <c r="AL63" s="10">
        <f>71.352*BC28^0.3356</f>
        <v>4.2687873449349301</v>
      </c>
      <c r="AM63" s="10">
        <f>37.823*BD28^0.5145</f>
        <v>3.2257056012564149</v>
      </c>
      <c r="AN63" s="10">
        <f>17.285*BE28^0.664</f>
        <v>5.2449583050414192</v>
      </c>
      <c r="AO63" s="10">
        <f>101.5*BF28^0.2757</f>
        <v>8.7893813822990623</v>
      </c>
      <c r="AP63" s="10">
        <f>66.539*BG28^0.286</f>
        <v>14.753634839521972</v>
      </c>
      <c r="AQ63" s="10">
        <f>49.512*BH28^0.2727</f>
        <v>26.602133752778105</v>
      </c>
      <c r="AR63" s="10">
        <f>96.745*BI28^0.3131</f>
        <v>6.0115523233472015</v>
      </c>
      <c r="AS63" s="10">
        <f>63.061*BJ28^0.4573</f>
        <v>5.6723558771039162</v>
      </c>
      <c r="AT63" s="10">
        <f>34.986*BK28^0.6412</f>
        <v>8.1194606604934929</v>
      </c>
      <c r="AU63" s="10">
        <f>908.48*BL28^0.3562</f>
        <v>9.0390361910782833</v>
      </c>
      <c r="AV63" s="10">
        <f>1428.8*BM28^0.3909</f>
        <v>8.9808397194971636</v>
      </c>
    </row>
    <row r="64" spans="2:51" x14ac:dyDescent="0.25">
      <c r="B64" s="12" t="s">
        <v>43</v>
      </c>
      <c r="C64" s="10">
        <f>C5/$I13</f>
        <v>4.4597491632576043</v>
      </c>
      <c r="D64" s="10">
        <f t="shared" ref="D64:P64" si="114">D5/$I13</f>
        <v>4.4597491632576043</v>
      </c>
      <c r="E64" s="10">
        <f t="shared" si="114"/>
        <v>8.9194983265152086</v>
      </c>
      <c r="F64" s="10">
        <f t="shared" si="114"/>
        <v>8.9194983265152086</v>
      </c>
      <c r="G64" s="10">
        <f t="shared" si="114"/>
        <v>2.2298745816288021</v>
      </c>
      <c r="H64" s="10">
        <f t="shared" si="114"/>
        <v>3.1357611304155029</v>
      </c>
      <c r="I64" s="10">
        <f t="shared" si="114"/>
        <v>8.9194983265152086</v>
      </c>
      <c r="J64" s="10">
        <f t="shared" si="114"/>
        <v>4.4597491632576043</v>
      </c>
      <c r="K64" s="10">
        <f t="shared" si="114"/>
        <v>4.4597491632576043</v>
      </c>
      <c r="L64" s="10">
        <f t="shared" si="114"/>
        <v>8.9194983265152086</v>
      </c>
      <c r="M64" s="10">
        <f t="shared" si="114"/>
        <v>2.2298745816288021</v>
      </c>
      <c r="N64" s="10">
        <f t="shared" si="114"/>
        <v>3.1357611304155029</v>
      </c>
      <c r="O64" s="10">
        <f t="shared" si="114"/>
        <v>4.4597491632576043</v>
      </c>
      <c r="P64" s="10">
        <f t="shared" si="114"/>
        <v>3.1357611304155029</v>
      </c>
      <c r="R64" s="12" t="s">
        <v>43</v>
      </c>
      <c r="S64" s="10">
        <f>AVERAGE(C64:P64)</f>
        <v>5.1316979769180682</v>
      </c>
      <c r="T64" s="10">
        <f>_xlfn.STDEV.P(C64:P64)</f>
        <v>2.5133891705240714</v>
      </c>
    </row>
    <row r="65" spans="2:50" x14ac:dyDescent="0.25">
      <c r="B65" s="12" t="s">
        <v>44</v>
      </c>
      <c r="C65" s="10">
        <f>C6/$I14</f>
        <v>1.5202762122684257</v>
      </c>
      <c r="D65" s="10">
        <f t="shared" ref="D65:P65" si="115">D6/$I14</f>
        <v>1.5202762122684257</v>
      </c>
      <c r="E65" s="10">
        <f t="shared" si="115"/>
        <v>1.5202762122684257</v>
      </c>
      <c r="F65" s="10">
        <f t="shared" si="115"/>
        <v>1.5202762122684257</v>
      </c>
      <c r="G65" s="10">
        <f t="shared" si="115"/>
        <v>0.53447210587561833</v>
      </c>
      <c r="H65" s="10">
        <f t="shared" si="115"/>
        <v>0.38006905306710642</v>
      </c>
      <c r="I65" s="10">
        <f t="shared" si="115"/>
        <v>1.5202762122684257</v>
      </c>
      <c r="J65" s="10">
        <f t="shared" si="115"/>
        <v>0.76013810613421284</v>
      </c>
      <c r="K65" s="10">
        <f t="shared" si="115"/>
        <v>1.5202762122684257</v>
      </c>
      <c r="L65" s="10">
        <f t="shared" si="115"/>
        <v>1.5202762122684257</v>
      </c>
      <c r="M65" s="10">
        <f t="shared" si="115"/>
        <v>0.76013810613421284</v>
      </c>
      <c r="N65" s="10">
        <f t="shared" si="115"/>
        <v>0.38006905306710642</v>
      </c>
      <c r="O65" s="10">
        <f t="shared" si="115"/>
        <v>0.38006905306710642</v>
      </c>
      <c r="P65" s="10">
        <f t="shared" si="115"/>
        <v>0.76013810613421284</v>
      </c>
      <c r="R65" s="12" t="s">
        <v>44</v>
      </c>
      <c r="S65" s="10">
        <f>AVERAGE(C65:P65)</f>
        <v>1.0426447906684682</v>
      </c>
      <c r="T65" s="10">
        <f>_xlfn.STDEV.P(C65:P65)</f>
        <v>0.49364618666035381</v>
      </c>
    </row>
    <row r="66" spans="2:50" x14ac:dyDescent="0.25">
      <c r="B66" s="12" t="s">
        <v>72</v>
      </c>
      <c r="C66" s="10">
        <f>C7/$I15</f>
        <v>8.9194983265152086</v>
      </c>
      <c r="D66" s="10">
        <f t="shared" ref="D66:P66" si="116">D7/$I15</f>
        <v>8.9194983265152086</v>
      </c>
      <c r="E66" s="10">
        <f t="shared" si="116"/>
        <v>8.9194983265152086</v>
      </c>
      <c r="F66" s="10">
        <f t="shared" si="116"/>
        <v>8.9194983265152086</v>
      </c>
      <c r="G66" s="10">
        <f t="shared" si="116"/>
        <v>2.2298745816288021</v>
      </c>
      <c r="H66" s="10">
        <f t="shared" si="116"/>
        <v>3.1357611304155029</v>
      </c>
      <c r="I66" s="10">
        <f t="shared" si="116"/>
        <v>8.9194983265152086</v>
      </c>
      <c r="J66" s="10">
        <f t="shared" si="116"/>
        <v>8.9194983265152086</v>
      </c>
      <c r="K66" s="10">
        <f t="shared" si="116"/>
        <v>8.9194983265152086</v>
      </c>
      <c r="L66" s="10">
        <f t="shared" si="116"/>
        <v>8.9194983265152086</v>
      </c>
      <c r="M66" s="10">
        <f t="shared" si="116"/>
        <v>8.9194983265152086</v>
      </c>
      <c r="N66" s="10">
        <f t="shared" si="116"/>
        <v>4.4597491632576043</v>
      </c>
      <c r="O66" s="10">
        <f t="shared" si="116"/>
        <v>2.2298745816288021</v>
      </c>
      <c r="P66" s="10">
        <f t="shared" si="116"/>
        <v>8.9194983265152086</v>
      </c>
      <c r="R66" s="12" t="s">
        <v>72</v>
      </c>
      <c r="S66" s="10">
        <f>AVERAGE(C66:P66)</f>
        <v>7.2321601944344858</v>
      </c>
      <c r="T66" s="10">
        <f>AVERAGE(C66:P66)</f>
        <v>7.2321601944344858</v>
      </c>
    </row>
    <row r="67" spans="2:50" x14ac:dyDescent="0.25">
      <c r="B67" s="12" t="s">
        <v>100</v>
      </c>
      <c r="C67" s="10">
        <f>C8/$I16</f>
        <v>1.8828059701578179</v>
      </c>
      <c r="D67" s="10">
        <f t="shared" ref="D67:P67" si="117">D8/$I16</f>
        <v>1.8828059701578179</v>
      </c>
      <c r="E67" s="10">
        <f t="shared" si="117"/>
        <v>1.8828059701578179</v>
      </c>
      <c r="F67" s="10">
        <f t="shared" si="117"/>
        <v>1.8828059701578179</v>
      </c>
      <c r="G67" s="10">
        <f t="shared" si="117"/>
        <v>1.3238479477672156</v>
      </c>
      <c r="H67" s="10">
        <f t="shared" si="117"/>
        <v>1.8828059701578179</v>
      </c>
      <c r="I67" s="10">
        <f t="shared" si="117"/>
        <v>1.8828059701578179</v>
      </c>
      <c r="J67" s="10">
        <f t="shared" si="117"/>
        <v>1.8828059701578179</v>
      </c>
      <c r="K67" s="10">
        <f t="shared" si="117"/>
        <v>1.8828059701578179</v>
      </c>
      <c r="L67" s="10">
        <f t="shared" si="117"/>
        <v>1.8828059701578179</v>
      </c>
      <c r="M67" s="10">
        <f t="shared" si="117"/>
        <v>0.94140298507890896</v>
      </c>
      <c r="N67" s="10">
        <f t="shared" si="117"/>
        <v>0.6619239738836078</v>
      </c>
      <c r="O67" s="10">
        <f t="shared" si="117"/>
        <v>1.8828059701578179</v>
      </c>
      <c r="P67" s="10">
        <f t="shared" si="117"/>
        <v>1.8828059701578179</v>
      </c>
      <c r="R67" s="12" t="s">
        <v>100</v>
      </c>
      <c r="S67" s="10">
        <f>AVERAGE(C67:P67)</f>
        <v>1.6884314698904093</v>
      </c>
      <c r="T67" s="10">
        <f>AVERAGE(C67:P67)</f>
        <v>1.6884314698904093</v>
      </c>
    </row>
    <row r="68" spans="2:50" x14ac:dyDescent="0.25">
      <c r="B68" s="87" t="s">
        <v>88</v>
      </c>
      <c r="C68" s="87"/>
      <c r="D68" s="85" t="s">
        <v>77</v>
      </c>
      <c r="E68" s="85"/>
      <c r="F68" s="85"/>
      <c r="G68" s="85" t="s">
        <v>78</v>
      </c>
      <c r="H68" s="85"/>
      <c r="I68" s="85"/>
      <c r="J68" s="85" t="s">
        <v>77</v>
      </c>
      <c r="K68" s="85"/>
      <c r="L68" s="85"/>
      <c r="M68" s="85" t="s">
        <v>78</v>
      </c>
      <c r="N68" s="85"/>
      <c r="O68" s="85"/>
      <c r="AI68" s="93" t="s">
        <v>111</v>
      </c>
    </row>
    <row r="69" spans="2:50" x14ac:dyDescent="0.25">
      <c r="B69" t="s">
        <v>81</v>
      </c>
      <c r="C69" s="1" t="s">
        <v>71</v>
      </c>
      <c r="D69" s="1" t="s">
        <v>74</v>
      </c>
      <c r="E69" s="1" t="s">
        <v>75</v>
      </c>
      <c r="F69" s="1" t="s">
        <v>76</v>
      </c>
      <c r="G69" s="1" t="s">
        <v>74</v>
      </c>
      <c r="H69" s="1" t="s">
        <v>75</v>
      </c>
      <c r="I69" s="1" t="s">
        <v>76</v>
      </c>
      <c r="J69" s="1" t="s">
        <v>74</v>
      </c>
      <c r="K69" s="1" t="s">
        <v>75</v>
      </c>
      <c r="L69" s="1" t="s">
        <v>76</v>
      </c>
      <c r="M69" s="1" t="s">
        <v>74</v>
      </c>
      <c r="N69" s="1" t="s">
        <v>75</v>
      </c>
      <c r="O69" s="1" t="s">
        <v>76</v>
      </c>
      <c r="P69" s="1" t="s">
        <v>79</v>
      </c>
      <c r="R69" s="1"/>
      <c r="S69" s="1"/>
      <c r="T69" s="1"/>
      <c r="AI69" s="59"/>
      <c r="AJ69" s="60"/>
      <c r="AK69" s="91" t="s">
        <v>73</v>
      </c>
      <c r="AL69" s="89"/>
      <c r="AM69" s="89"/>
      <c r="AN69" s="89"/>
      <c r="AO69" s="89"/>
      <c r="AP69" s="92"/>
      <c r="AQ69" s="91" t="s">
        <v>121</v>
      </c>
      <c r="AR69" s="89"/>
      <c r="AS69" s="89"/>
      <c r="AT69" s="89"/>
      <c r="AU69" s="89"/>
      <c r="AV69" s="92"/>
      <c r="AW69" s="61"/>
    </row>
    <row r="70" spans="2:50" x14ac:dyDescent="0.25">
      <c r="B70" s="12" t="s">
        <v>42</v>
      </c>
      <c r="C70" s="10">
        <f>C4/$J12</f>
        <v>9.2838884394830661</v>
      </c>
      <c r="D70" s="10">
        <f t="shared" ref="D70:P70" si="118">D4/$J12</f>
        <v>9.2838884394830661</v>
      </c>
      <c r="E70" s="10">
        <f t="shared" si="118"/>
        <v>9.2838884394830661</v>
      </c>
      <c r="F70" s="10">
        <f t="shared" si="118"/>
        <v>9.2838884394830661</v>
      </c>
      <c r="G70" s="10">
        <f t="shared" si="118"/>
        <v>4.641944219741533</v>
      </c>
      <c r="H70" s="10">
        <f t="shared" si="118"/>
        <v>9.2838884394830661</v>
      </c>
      <c r="I70" s="10">
        <f t="shared" si="118"/>
        <v>9.2838884394830661</v>
      </c>
      <c r="J70" s="10">
        <f t="shared" si="118"/>
        <v>3.2638670295057652</v>
      </c>
      <c r="K70" s="10">
        <f t="shared" si="118"/>
        <v>6.5277340590115305</v>
      </c>
      <c r="L70" s="10">
        <f t="shared" si="118"/>
        <v>6.5277340590115305</v>
      </c>
      <c r="M70" s="10">
        <f t="shared" si="118"/>
        <v>3.2638670295057652</v>
      </c>
      <c r="N70" s="10">
        <f t="shared" si="118"/>
        <v>3.2638670295057652</v>
      </c>
      <c r="O70" s="10">
        <f t="shared" si="118"/>
        <v>6.5277340590115305</v>
      </c>
      <c r="P70" s="10">
        <f t="shared" si="118"/>
        <v>6.5277340590115305</v>
      </c>
      <c r="R70" s="1"/>
      <c r="S70" s="10"/>
      <c r="T70" s="10"/>
      <c r="AI70" s="53"/>
      <c r="AJ70" s="93"/>
      <c r="AK70" s="91" t="s">
        <v>77</v>
      </c>
      <c r="AL70" s="89"/>
      <c r="AM70" s="92"/>
      <c r="AN70" s="91" t="s">
        <v>78</v>
      </c>
      <c r="AO70" s="89"/>
      <c r="AP70" s="92"/>
      <c r="AQ70" s="91" t="s">
        <v>77</v>
      </c>
      <c r="AR70" s="89"/>
      <c r="AS70" s="92"/>
      <c r="AT70" s="91" t="s">
        <v>78</v>
      </c>
      <c r="AU70" s="89"/>
      <c r="AV70" s="92"/>
      <c r="AW70" s="54"/>
    </row>
    <row r="71" spans="2:50" x14ac:dyDescent="0.25">
      <c r="B71" s="12" t="s">
        <v>43</v>
      </c>
      <c r="C71" s="10" t="e">
        <f>C5/$J13</f>
        <v>#DIV/0!</v>
      </c>
      <c r="D71" s="10" t="e">
        <f t="shared" ref="D71:P71" si="119">D5/$J13</f>
        <v>#DIV/0!</v>
      </c>
      <c r="E71" s="10" t="e">
        <f t="shared" si="119"/>
        <v>#DIV/0!</v>
      </c>
      <c r="F71" s="10" t="e">
        <f t="shared" si="119"/>
        <v>#DIV/0!</v>
      </c>
      <c r="G71" s="10" t="e">
        <f t="shared" si="119"/>
        <v>#DIV/0!</v>
      </c>
      <c r="H71" s="10" t="e">
        <f t="shared" si="119"/>
        <v>#DIV/0!</v>
      </c>
      <c r="I71" s="10" t="e">
        <f t="shared" si="119"/>
        <v>#DIV/0!</v>
      </c>
      <c r="J71" s="10" t="e">
        <f t="shared" si="119"/>
        <v>#DIV/0!</v>
      </c>
      <c r="K71" s="10" t="e">
        <f t="shared" si="119"/>
        <v>#DIV/0!</v>
      </c>
      <c r="L71" s="10" t="e">
        <f t="shared" si="119"/>
        <v>#DIV/0!</v>
      </c>
      <c r="M71" s="10" t="e">
        <f t="shared" si="119"/>
        <v>#DIV/0!</v>
      </c>
      <c r="N71" s="10" t="e">
        <f t="shared" si="119"/>
        <v>#DIV/0!</v>
      </c>
      <c r="O71" s="10" t="e">
        <f t="shared" si="119"/>
        <v>#DIV/0!</v>
      </c>
      <c r="P71" s="10" t="e">
        <f t="shared" si="119"/>
        <v>#DIV/0!</v>
      </c>
      <c r="R71" s="1"/>
      <c r="S71" s="10"/>
      <c r="T71" s="10"/>
      <c r="AI71" s="53"/>
      <c r="AJ71" s="104" t="s">
        <v>71</v>
      </c>
      <c r="AK71" s="72" t="s">
        <v>74</v>
      </c>
      <c r="AL71" s="104" t="s">
        <v>75</v>
      </c>
      <c r="AM71" s="73" t="s">
        <v>76</v>
      </c>
      <c r="AN71" s="110" t="s">
        <v>74</v>
      </c>
      <c r="AO71" s="104" t="s">
        <v>75</v>
      </c>
      <c r="AP71" s="73" t="s">
        <v>76</v>
      </c>
      <c r="AQ71" s="72" t="s">
        <v>74</v>
      </c>
      <c r="AR71" s="104" t="s">
        <v>75</v>
      </c>
      <c r="AS71" s="73" t="s">
        <v>76</v>
      </c>
      <c r="AT71" s="72" t="s">
        <v>74</v>
      </c>
      <c r="AU71" s="104" t="s">
        <v>75</v>
      </c>
      <c r="AV71" s="73" t="s">
        <v>76</v>
      </c>
      <c r="AW71" s="6" t="s">
        <v>79</v>
      </c>
    </row>
    <row r="72" spans="2:50" x14ac:dyDescent="0.25">
      <c r="B72" s="12" t="s">
        <v>44</v>
      </c>
      <c r="C72" s="10">
        <f>C6/$J14</f>
        <v>4.9597096022020954</v>
      </c>
      <c r="D72" s="10">
        <f t="shared" ref="D72:P72" si="120">D6/$J14</f>
        <v>4.9597096022020954</v>
      </c>
      <c r="E72" s="10">
        <f t="shared" si="120"/>
        <v>4.9597096022020954</v>
      </c>
      <c r="F72" s="10">
        <f t="shared" si="120"/>
        <v>4.9597096022020954</v>
      </c>
      <c r="G72" s="10">
        <f t="shared" si="120"/>
        <v>1.7436479070241742</v>
      </c>
      <c r="H72" s="10">
        <f t="shared" si="120"/>
        <v>1.2399274005505239</v>
      </c>
      <c r="I72" s="10">
        <f t="shared" si="120"/>
        <v>4.9597096022020954</v>
      </c>
      <c r="J72" s="10">
        <f t="shared" si="120"/>
        <v>2.4798548011010477</v>
      </c>
      <c r="K72" s="10">
        <f t="shared" si="120"/>
        <v>4.9597096022020954</v>
      </c>
      <c r="L72" s="10">
        <f t="shared" si="120"/>
        <v>4.9597096022020954</v>
      </c>
      <c r="M72" s="10">
        <f t="shared" si="120"/>
        <v>2.4798548011010477</v>
      </c>
      <c r="N72" s="10">
        <f t="shared" si="120"/>
        <v>1.2399274005505239</v>
      </c>
      <c r="O72" s="10">
        <f t="shared" si="120"/>
        <v>1.2399274005505239</v>
      </c>
      <c r="P72" s="10">
        <f t="shared" si="120"/>
        <v>2.4798548011010477</v>
      </c>
      <c r="R72" s="1"/>
      <c r="S72" s="10"/>
      <c r="T72" s="10"/>
      <c r="AI72" s="109" t="s">
        <v>26</v>
      </c>
      <c r="AJ72" s="112" cm="1">
        <f t="array" ref="AJ72">SQRT(SUMSQ($AK37:$AK40-AY38:AY41)/COUNTA($AK37:$AK40-AY38:AY41))</f>
        <v>66.940796455554661</v>
      </c>
      <c r="AK72" s="20" cm="1">
        <f t="array" ref="AK72">SQRT(SUMSQ($AK37:$AK40-AZ38:AZ41)/COUNTA($AK37:$AK40-AZ38:AZ41))</f>
        <v>66.940796455554661</v>
      </c>
      <c r="AL72" s="112" cm="1">
        <f t="array" ref="AL72">SQRT(SUMSQ($AK37:$AK40-BA38:BA41)/COUNTA($AK37:$AK40-BA38:BA41))</f>
        <v>79.011411015129525</v>
      </c>
      <c r="AM72" s="22" cm="1">
        <f t="array" ref="AM72">SQRT(SUMSQ($AK37:$AK40-BB38:BB41)/COUNTA($AK37:$AK40-BB38:BB41))</f>
        <v>79.011411015129525</v>
      </c>
      <c r="AN72" s="117" cm="1">
        <f t="array" ref="AN72">SQRT(SUMSQ($AK37:$AK40-BC38:BC41)/COUNTA($AK37:$AK40-BC38:BC41))</f>
        <v>39.31620614834933</v>
      </c>
      <c r="AO72" s="112" cm="1">
        <f t="array" ref="AO72">SQRT(SUMSQ($AK37:$AK40-BD38:BD41)/COUNTA($AK37:$AK40-BD38:BD41))</f>
        <v>60.736029339378646</v>
      </c>
      <c r="AP72" s="22" cm="1">
        <f t="array" ref="AP72">SQRT(SUMSQ($AK37:$AK40-BE38:BE41)/COUNTA($AK37:$AK40-BE38:BE41))</f>
        <v>79.011411015129525</v>
      </c>
      <c r="AQ72" s="20" cm="1">
        <f t="array" ref="AQ72">SQRT(SUMSQ($AK37:$AK40-BF38:BF41)/COUNTA($AK37:$AK40-BF38:BF41))</f>
        <v>60.84611723069473</v>
      </c>
      <c r="AR72" s="112" cm="1">
        <f t="array" ref="AR72">SQRT(SUMSQ($AK37:$AK40-BG38:BG41)/COUNTA($AK37:$AK40-BG38:BG41))</f>
        <v>57.708625077461846</v>
      </c>
      <c r="AS72" s="22" cm="1">
        <f t="array" ref="AS72">SQRT(SUMSQ($AK37:$AK40-BH38:BH41)/COUNTA($AK37:$AK40-BH38:BH41))</f>
        <v>71.358378967215828</v>
      </c>
      <c r="AT72" s="20" cm="1">
        <f t="array" ref="AT72">SQRT(SUMSQ($AK37:$AK40-BI38:BI41)/COUNTA($AK37:$AK40-BI38:BI41))</f>
        <v>59.911464360359112</v>
      </c>
      <c r="AU72" s="112" cm="1">
        <f t="array" ref="AU72">SQRT(SUMSQ($AK37:$AK40-BJ38:BJ41)/COUNTA($AK37:$AK40-BJ38:BJ41))</f>
        <v>49.069088879299848</v>
      </c>
      <c r="AV72" s="22" cm="1">
        <f t="array" ref="AV72">SQRT(SUMSQ($AK37:$AK40-BK38:BK41)/COUNTA($AK37:$AK40-BK38:BK41))</f>
        <v>50.660239545882874</v>
      </c>
      <c r="AW72" s="22" cm="1">
        <f t="array" ref="AW72">SQRT(SUMSQ($AK37:$AK40-BL38:BL41)/COUNTA($AK37:$AK40-BL38:BL41))</f>
        <v>63.265370025762415</v>
      </c>
      <c r="AX72" s="116">
        <f>MIN(AJ72:AW72)</f>
        <v>39.31620614834933</v>
      </c>
    </row>
    <row r="73" spans="2:50" x14ac:dyDescent="0.25">
      <c r="B73" s="12" t="s">
        <v>72</v>
      </c>
      <c r="C73" s="10" t="e">
        <f>C7/$J15</f>
        <v>#DIV/0!</v>
      </c>
      <c r="D73" s="10" t="e">
        <f t="shared" ref="D73:P74" si="121">D7/$J15</f>
        <v>#DIV/0!</v>
      </c>
      <c r="E73" s="10" t="e">
        <f t="shared" si="121"/>
        <v>#DIV/0!</v>
      </c>
      <c r="F73" s="10" t="e">
        <f t="shared" si="121"/>
        <v>#DIV/0!</v>
      </c>
      <c r="G73" s="10" t="e">
        <f t="shared" si="121"/>
        <v>#DIV/0!</v>
      </c>
      <c r="H73" s="10" t="e">
        <f t="shared" si="121"/>
        <v>#DIV/0!</v>
      </c>
      <c r="I73" s="10" t="e">
        <f t="shared" si="121"/>
        <v>#DIV/0!</v>
      </c>
      <c r="J73" s="10" t="e">
        <f t="shared" si="121"/>
        <v>#DIV/0!</v>
      </c>
      <c r="K73" s="10" t="e">
        <f t="shared" si="121"/>
        <v>#DIV/0!</v>
      </c>
      <c r="L73" s="10" t="e">
        <f t="shared" si="121"/>
        <v>#DIV/0!</v>
      </c>
      <c r="M73" s="10" t="e">
        <f t="shared" si="121"/>
        <v>#DIV/0!</v>
      </c>
      <c r="N73" s="10" t="e">
        <f t="shared" si="121"/>
        <v>#DIV/0!</v>
      </c>
      <c r="O73" s="10" t="e">
        <f t="shared" si="121"/>
        <v>#DIV/0!</v>
      </c>
      <c r="P73" s="10" t="e">
        <f t="shared" si="121"/>
        <v>#DIV/0!</v>
      </c>
      <c r="R73" s="1"/>
      <c r="S73" s="10"/>
      <c r="T73" s="10"/>
      <c r="AH73" s="108" t="s">
        <v>124</v>
      </c>
      <c r="AI73" s="110" t="s">
        <v>41</v>
      </c>
      <c r="AJ73" s="112" cm="1">
        <f t="array" ref="AJ73">SQRT(SUMSQ($AL37:$AL40-AY38:AY41)/COUNTA($AL37:$AL40-AY38:AY41))</f>
        <v>65.584106868077669</v>
      </c>
      <c r="AK73" s="20" cm="1">
        <f t="array" ref="AK73">SQRT(SUMSQ($AL37:$AL40-AZ38:AZ41)/COUNTA($AL37:$AL40-AZ38:AZ41))</f>
        <v>65.584106868077669</v>
      </c>
      <c r="AL73" s="112" cm="1">
        <f t="array" ref="AL73">SQRT(SUMSQ($AL37:$AL40-BA38:BA41)/COUNTA($AL37:$AL40-BA38:BA41))</f>
        <v>72.932834056235663</v>
      </c>
      <c r="AM73" s="22" cm="1">
        <f t="array" ref="AM73">SQRT(SUMSQ($AL37:$AL40-BB38:BB41)/COUNTA($AL37:$AL40-BB38:BB41))</f>
        <v>72.932834056235663</v>
      </c>
      <c r="AN73" s="20" cm="1">
        <f t="array" ref="AN73">SQRT(SUMSQ($AL37:$AL40-BC38:BC41)/COUNTA($AL37:$AL40-BC38:BC41))</f>
        <v>90.898888829164861</v>
      </c>
      <c r="AO73" s="112" cm="1">
        <f t="array" ref="AO73">SQRT(SUMSQ($AL37:$AL40-BD38:BD41)/COUNTA($AL37:$AL40-BD38:BD41))</f>
        <v>94.228064895446323</v>
      </c>
      <c r="AP73" s="22" cm="1">
        <f t="array" ref="AP73">SQRT(SUMSQ($AL37:$AL40-BE38:BE41)/COUNTA($AL37:$AL40-BE38:BE41))</f>
        <v>72.932834056235663</v>
      </c>
      <c r="AQ73" s="20" cm="1">
        <f t="array" ref="AQ73">SQRT(SUMSQ($AL37:$AL40-BF38:BF41)/COUNTA($AL37:$AL40-BF38:BF41))</f>
        <v>95.587274541814168</v>
      </c>
      <c r="AR73" s="118" cm="1">
        <f t="array" ref="AR73">SQRT(SUMSQ($AL37:$AL40-BG38:BG41)/COUNTA($AL37:$AL40-BG38:BG41))</f>
        <v>65.553664558227865</v>
      </c>
      <c r="AS73" s="22" cm="1">
        <f t="array" ref="AS73">SQRT(SUMSQ($AL37:$AL40-BH38:BH41)/COUNTA($AL37:$AL40-BH38:BH41))</f>
        <v>72.90546033599702</v>
      </c>
      <c r="AT73" s="20" cm="1">
        <f t="array" ref="AT73">SQRT(SUMSQ($AL37:$AL40-BI38:BI41)/COUNTA($AL37:$AL40-BI38:BI41))</f>
        <v>96.932788309408835</v>
      </c>
      <c r="AU73" s="112" cm="1">
        <f t="array" ref="AU73">SQRT(SUMSQ($AL37:$AL40-BJ38:BJ41)/COUNTA($AL37:$AL40-BJ38:BJ41))</f>
        <v>99.958720009165447</v>
      </c>
      <c r="AV73" s="22" cm="1">
        <f t="array" ref="AV73">SQRT(SUMSQ($AL37:$AL40-BK38:BK41)/COUNTA($AL37:$AL40-BK38:BK41))</f>
        <v>93.58630284059312</v>
      </c>
      <c r="AW73" s="22" cm="1">
        <f t="array" ref="AW73">SQRT(SUMSQ($AL37:$AL40-BL38:BL41)/COUNTA($AL37:$AL40-BL38:BL41))</f>
        <v>91.104108753082471</v>
      </c>
      <c r="AX73" s="116">
        <f t="shared" ref="AX73:AX83" si="122">MIN(AJ73:AW73)</f>
        <v>65.553664558227865</v>
      </c>
    </row>
    <row r="74" spans="2:50" x14ac:dyDescent="0.25">
      <c r="B74" s="12" t="s">
        <v>100</v>
      </c>
      <c r="C74" s="10" t="e">
        <f>C8/$J16</f>
        <v>#DIV/0!</v>
      </c>
      <c r="D74" s="10" t="e">
        <f t="shared" si="121"/>
        <v>#DIV/0!</v>
      </c>
      <c r="E74" s="10" t="e">
        <f t="shared" si="121"/>
        <v>#DIV/0!</v>
      </c>
      <c r="F74" s="10" t="e">
        <f t="shared" si="121"/>
        <v>#DIV/0!</v>
      </c>
      <c r="G74" s="10" t="e">
        <f t="shared" si="121"/>
        <v>#DIV/0!</v>
      </c>
      <c r="H74" s="10" t="e">
        <f t="shared" si="121"/>
        <v>#DIV/0!</v>
      </c>
      <c r="I74" s="10" t="e">
        <f t="shared" si="121"/>
        <v>#DIV/0!</v>
      </c>
      <c r="J74" s="10" t="e">
        <f t="shared" si="121"/>
        <v>#DIV/0!</v>
      </c>
      <c r="K74" s="10" t="e">
        <f t="shared" si="121"/>
        <v>#DIV/0!</v>
      </c>
      <c r="L74" s="10" t="e">
        <f t="shared" si="121"/>
        <v>#DIV/0!</v>
      </c>
      <c r="M74" s="10" t="e">
        <f t="shared" si="121"/>
        <v>#DIV/0!</v>
      </c>
      <c r="N74" s="10" t="e">
        <f t="shared" si="121"/>
        <v>#DIV/0!</v>
      </c>
      <c r="O74" s="10" t="e">
        <f t="shared" si="121"/>
        <v>#DIV/0!</v>
      </c>
      <c r="P74" s="10" t="e">
        <f t="shared" si="121"/>
        <v>#DIV/0!</v>
      </c>
      <c r="R74" s="1"/>
      <c r="S74" s="10"/>
      <c r="T74" s="10"/>
      <c r="AH74" s="108"/>
      <c r="AI74" s="110" t="s">
        <v>40</v>
      </c>
      <c r="AJ74" s="112" cm="1">
        <f t="array" ref="AJ74">SQRT(SUMSQ($AM37:$AM40-AY38:AY41)/COUNTA($AM37:$AM40-AY38:AY41))</f>
        <v>47.240432744791626</v>
      </c>
      <c r="AK74" s="117" cm="1">
        <f t="array" ref="AK74">SQRT(SUMSQ($AM37:$AM40-AZ38:AZ41)/COUNTA($AM37:$AM40-AZ38:AZ41))</f>
        <v>47.240432744791626</v>
      </c>
      <c r="AL74" s="112" cm="1">
        <f t="array" ref="AL74">SQRT(SUMSQ($AM37:$AM40-BA38:BA41)/COUNTA($AM37:$AM40-BA38:BA41))</f>
        <v>48.606015539126211</v>
      </c>
      <c r="AM74" s="22" cm="1">
        <f t="array" ref="AM74">SQRT(SUMSQ($AM37:$AM40-BB38:BB41)/COUNTA($AM37:$AM40-BB38:BB41))</f>
        <v>48.606015539126211</v>
      </c>
      <c r="AN74" s="20" cm="1">
        <f t="array" ref="AN74">SQRT(SUMSQ($AM37:$AM40-BC38:BC41)/COUNTA($AM37:$AM40-BC38:BC41))</f>
        <v>78.917247304052992</v>
      </c>
      <c r="AO74" s="112" cm="1">
        <f t="array" ref="AO74">SQRT(SUMSQ($AM37:$AM40-BD38:BD41)/COUNTA($AM37:$AM40-BD38:BD41))</f>
        <v>72.304511589072831</v>
      </c>
      <c r="AP74" s="22" cm="1">
        <f t="array" ref="AP74">SQRT(SUMSQ($AM37:$AM40-BE38:BE41)/COUNTA($AM37:$AM40-BE38:BE41))</f>
        <v>48.606015539126211</v>
      </c>
      <c r="AQ74" s="20" cm="1">
        <f t="array" ref="AQ74">SQRT(SUMSQ($AM37:$AM40-BF38:BF41)/COUNTA($AM37:$AM40-BF38:BF41))</f>
        <v>82.418947178136833</v>
      </c>
      <c r="AR74" s="112" cm="1">
        <f t="array" ref="AR74">SQRT(SUMSQ($AM37:$AM40-BG38:BG41)/COUNTA($AM37:$AM40-BG38:BG41))</f>
        <v>53.247752265548939</v>
      </c>
      <c r="AS74" s="22" cm="1">
        <f t="array" ref="AS74">SQRT(SUMSQ($AM37:$AM40-BH38:BH41)/COUNTA($AM37:$AM40-BH38:BH41))</f>
        <v>54.462917494455525</v>
      </c>
      <c r="AT74" s="20" cm="1">
        <f t="array" ref="AT74">SQRT(SUMSQ($AM37:$AM40-BI38:BI41)/COUNTA($AM37:$AM40-BI38:BI41))</f>
        <v>86.576207607027982</v>
      </c>
      <c r="AU74" s="112" cm="1">
        <f t="array" ref="AU74">SQRT(SUMSQ($AM37:$AM40-BJ38:BJ41)/COUNTA($AM37:$AM40-BJ38:BJ41))</f>
        <v>86.835010722930761</v>
      </c>
      <c r="AV74" s="22" cm="1">
        <f t="array" ref="AV74">SQRT(SUMSQ($AM37:$AM40-BK38:BK41)/COUNTA($AM37:$AM40-BK38:BK41))</f>
        <v>74.425100248389512</v>
      </c>
      <c r="AW74" s="22" cm="1">
        <f t="array" ref="AW74">SQRT(SUMSQ($AM37:$AM40-BL38:BL41)/COUNTA($AM37:$AM40-BL38:BL41))</f>
        <v>74.159692419049648</v>
      </c>
      <c r="AX74" s="116">
        <f t="shared" si="122"/>
        <v>47.240432744791626</v>
      </c>
    </row>
    <row r="75" spans="2:50" x14ac:dyDescent="0.25">
      <c r="B75" s="87" t="s">
        <v>89</v>
      </c>
      <c r="C75" s="87"/>
      <c r="D75" s="85" t="s">
        <v>77</v>
      </c>
      <c r="E75" s="85"/>
      <c r="F75" s="85"/>
      <c r="G75" s="85" t="s">
        <v>78</v>
      </c>
      <c r="H75" s="85"/>
      <c r="I75" s="85"/>
      <c r="J75" s="85" t="s">
        <v>77</v>
      </c>
      <c r="K75" s="85"/>
      <c r="L75" s="85"/>
      <c r="M75" s="85" t="s">
        <v>78</v>
      </c>
      <c r="N75" s="85"/>
      <c r="O75" s="85"/>
      <c r="AH75" s="108"/>
      <c r="AI75" s="72" t="s">
        <v>39</v>
      </c>
      <c r="AJ75" s="112" cm="1">
        <f t="array" ref="AJ75">SQRT(SUMSQ($AN37:$AN40-AY38:AY41)/COUNTA($AN37:$AN40-AY38:AY41))</f>
        <v>65.590201099108327</v>
      </c>
      <c r="AK75" s="20" cm="1">
        <f t="array" ref="AK75">SQRT(SUMSQ($AN37:$AN40-AZ38:AZ41)/COUNTA($AN37:$AN40-AZ38:AZ41))</f>
        <v>65.590201099108327</v>
      </c>
      <c r="AL75" s="112" cm="1">
        <f t="array" ref="AL75">SQRT(SUMSQ($AN37:$AN40-BA38:BA41)/COUNTA($AN37:$AN40-BA38:BA41))</f>
        <v>79.785436863020934</v>
      </c>
      <c r="AM75" s="22" cm="1">
        <f t="array" ref="AM75">SQRT(SUMSQ($AN37:$AN40-BB38:BB41)/COUNTA($AN37:$AN40-BB38:BB41))</f>
        <v>79.785436863020934</v>
      </c>
      <c r="AN75" s="119" cm="1">
        <f t="array" ref="AN75">SQRT(SUMSQ($AN37:$AN40-BC38:BC41)/COUNTA($AN37:$AN40-BC38:BC41))</f>
        <v>8.5638809666012889</v>
      </c>
      <c r="AO75" s="113" cm="1">
        <f t="array" ref="AO75">SQRT(SUMSQ($AN37:$AN40-BD38:BD41)/COUNTA($AN37:$AN40-BD38:BD41))</f>
        <v>32.384652232559532</v>
      </c>
      <c r="AP75" s="22" cm="1">
        <f t="array" ref="AP75">SQRT(SUMSQ($AN37:$AN40-BE38:BE41)/COUNTA($AN37:$AN40-BE38:BE41))</f>
        <v>79.785436863020934</v>
      </c>
      <c r="AQ75" s="20" cm="1">
        <f t="array" ref="AQ75">SQRT(SUMSQ($AN37:$AN40-BF38:BF41)/COUNTA($AN37:$AN40-BF38:BF41))</f>
        <v>45.132288114966649</v>
      </c>
      <c r="AR75" s="112" cm="1">
        <f t="array" ref="AR75">SQRT(SUMSQ($AN37:$AN40-BG38:BG41)/COUNTA($AN37:$AN40-BG38:BG41))</f>
        <v>59.25151713899097</v>
      </c>
      <c r="AS75" s="22" cm="1">
        <f t="array" ref="AS75">SQRT(SUMSQ($AN37:$AN40-BH38:BH41)/COUNTA($AN37:$AN40-BH38:BH41))</f>
        <v>74.661795708874891</v>
      </c>
      <c r="AT75" s="20" cm="1">
        <f t="array" ref="AT75">SQRT(SUMSQ($AN37:$AN40-BI38:BI41)/COUNTA($AN37:$AN40-BI38:BI41))</f>
        <v>42.108226071535533</v>
      </c>
      <c r="AU75" s="113" cm="1">
        <f t="array" ref="AU75">SQRT(SUMSQ($AN37:$AN40-BJ38:BJ41)/COUNTA($AN37:$AN40-BJ38:BJ41))</f>
        <v>17.768167083056721</v>
      </c>
      <c r="AV75" s="115" cm="1">
        <f t="array" ref="AV75">SQRT(SUMSQ($AN37:$AN40-BK38:BK41)/COUNTA($AN37:$AN40-BK38:BK41))</f>
        <v>23.187505553322655</v>
      </c>
      <c r="AW75" s="22" cm="1">
        <f t="array" ref="AW75">SQRT(SUMSQ($AN37:$AN40-BL38:BL41)/COUNTA($AN37:$AN40-BL38:BL41))</f>
        <v>42.683530675418282</v>
      </c>
      <c r="AX75" s="116">
        <f t="shared" si="122"/>
        <v>8.5638809666012889</v>
      </c>
    </row>
    <row r="76" spans="2:50" x14ac:dyDescent="0.25">
      <c r="B76" t="s">
        <v>81</v>
      </c>
      <c r="C76" s="1" t="s">
        <v>71</v>
      </c>
      <c r="D76" s="1" t="s">
        <v>74</v>
      </c>
      <c r="E76" s="1" t="s">
        <v>75</v>
      </c>
      <c r="F76" s="1" t="s">
        <v>76</v>
      </c>
      <c r="G76" s="1" t="s">
        <v>74</v>
      </c>
      <c r="H76" s="1" t="s">
        <v>75</v>
      </c>
      <c r="I76" s="1" t="s">
        <v>76</v>
      </c>
      <c r="J76" s="1" t="s">
        <v>74</v>
      </c>
      <c r="K76" s="1" t="s">
        <v>75</v>
      </c>
      <c r="L76" s="1" t="s">
        <v>76</v>
      </c>
      <c r="M76" s="1" t="s">
        <v>74</v>
      </c>
      <c r="N76" s="1" t="s">
        <v>75</v>
      </c>
      <c r="O76" s="1" t="s">
        <v>76</v>
      </c>
      <c r="P76" s="1" t="s">
        <v>79</v>
      </c>
      <c r="R76" s="1"/>
      <c r="S76" s="1"/>
      <c r="T76" s="1"/>
      <c r="AH76" s="108" t="s">
        <v>125</v>
      </c>
      <c r="AI76" s="72" t="s">
        <v>41</v>
      </c>
      <c r="AJ76" s="112" cm="1">
        <f t="array" ref="AJ76">SQRT(SUMSQ($AO37:$AO40-AY38:AY41)/COUNTA($AO37:$AO40-AY38:AY41))</f>
        <v>56.600525647726109</v>
      </c>
      <c r="AK76" s="117" cm="1">
        <f t="array" ref="AK76">SQRT(SUMSQ($AO37:$AO40-AZ38:AZ41)/COUNTA($AO37:$AO40-AZ38:AZ41))</f>
        <v>56.600525647726109</v>
      </c>
      <c r="AL76" s="112" cm="1">
        <f t="array" ref="AL76">SQRT(SUMSQ($AO37:$AO40-BA38:BA41)/COUNTA($AO37:$AO40-BA38:BA41))</f>
        <v>60.018426895540706</v>
      </c>
      <c r="AM76" s="22" cm="1">
        <f t="array" ref="AM76">SQRT(SUMSQ($AO37:$AO40-BB38:BB41)/COUNTA($AO37:$AO40-BB38:BB41))</f>
        <v>60.018426895540706</v>
      </c>
      <c r="AN76" s="20" cm="1">
        <f t="array" ref="AN76">SQRT(SUMSQ($AO37:$AO40-BC38:BC41)/COUNTA($AO37:$AO40-BC38:BC41))</f>
        <v>92.711813781491514</v>
      </c>
      <c r="AO76" s="112" cm="1">
        <f t="array" ref="AO76">SQRT(SUMSQ($AO37:$AO40-BD38:BD41)/COUNTA($AO37:$AO40-BD38:BD41))</f>
        <v>90.956056902751243</v>
      </c>
      <c r="AP76" s="22" cm="1">
        <f t="array" ref="AP76">SQRT(SUMSQ($AO37:$AO40-BE38:BE41)/COUNTA($AO37:$AO40-BE38:BE41))</f>
        <v>60.018426895540706</v>
      </c>
      <c r="AQ76" s="20" cm="1">
        <f t="array" ref="AQ76">SQRT(SUMSQ($AO37:$AO40-BF38:BF41)/COUNTA($AO37:$AO40-BF38:BF41))</f>
        <v>92.742418596442079</v>
      </c>
      <c r="AR76" s="112" cm="1">
        <f t="array" ref="AR76">SQRT(SUMSQ($AO37:$AO40-BG38:BG41)/COUNTA($AO37:$AO40-BG38:BG41))</f>
        <v>59.853153601774075</v>
      </c>
      <c r="AS76" s="22" cm="1">
        <f t="array" ref="AS76">SQRT(SUMSQ($AO37:$AO40-BH38:BH41)/COUNTA($AO37:$AO40-BH38:BH41))</f>
        <v>63.095103292522026</v>
      </c>
      <c r="AT76" s="20" cm="1">
        <f t="array" ref="AT76">SQRT(SUMSQ($AO37:$AO40-BI38:BI41)/COUNTA($AO37:$AO40-BI38:BI41))</f>
        <v>95.759386878830085</v>
      </c>
      <c r="AU76" s="112" cm="1">
        <f t="array" ref="AU76">SQRT(SUMSQ($AO37:$AO40-BJ38:BJ41)/COUNTA($AO37:$AO40-BJ38:BJ41))</f>
        <v>100.28588581123991</v>
      </c>
      <c r="AV76" s="22" cm="1">
        <f t="array" ref="AV76">SQRT(SUMSQ($AO37:$AO40-BK38:BK41)/COUNTA($AO37:$AO40-BK38:BK41))</f>
        <v>92.000080579158265</v>
      </c>
      <c r="AW76" s="22" cm="1">
        <f t="array" ref="AW76">SQRT(SUMSQ($AO37:$AO40-BL38:BL41)/COUNTA($AO37:$AO40-BL38:BL41))</f>
        <v>86.57233011727601</v>
      </c>
      <c r="AX76" s="116">
        <f t="shared" si="122"/>
        <v>56.600525647726109</v>
      </c>
    </row>
    <row r="77" spans="2:50" x14ac:dyDescent="0.25">
      <c r="B77" s="12" t="s">
        <v>42</v>
      </c>
      <c r="C77" s="10">
        <f>C4/$K12</f>
        <v>9.2086341758894328</v>
      </c>
      <c r="D77" s="10">
        <f t="shared" ref="D77:P77" si="123">D4/$K12</f>
        <v>9.2086341758894328</v>
      </c>
      <c r="E77" s="10">
        <f t="shared" si="123"/>
        <v>9.2086341758894328</v>
      </c>
      <c r="F77" s="10">
        <f t="shared" si="123"/>
        <v>9.2086341758894328</v>
      </c>
      <c r="G77" s="10">
        <f t="shared" si="123"/>
        <v>4.6043170879447164</v>
      </c>
      <c r="H77" s="10">
        <f t="shared" si="123"/>
        <v>9.2086341758894328</v>
      </c>
      <c r="I77" s="10">
        <f t="shared" si="123"/>
        <v>9.2086341758894328</v>
      </c>
      <c r="J77" s="10">
        <f t="shared" si="123"/>
        <v>3.2374104524611287</v>
      </c>
      <c r="K77" s="10">
        <f t="shared" si="123"/>
        <v>6.4748209049222574</v>
      </c>
      <c r="L77" s="10">
        <f t="shared" si="123"/>
        <v>6.4748209049222574</v>
      </c>
      <c r="M77" s="10">
        <f t="shared" si="123"/>
        <v>3.2374104524611287</v>
      </c>
      <c r="N77" s="10">
        <f t="shared" si="123"/>
        <v>3.2374104524611287</v>
      </c>
      <c r="O77" s="10">
        <f t="shared" si="123"/>
        <v>6.4748209049222574</v>
      </c>
      <c r="P77" s="10">
        <f t="shared" si="123"/>
        <v>6.4748209049222574</v>
      </c>
      <c r="R77" s="1"/>
      <c r="S77" s="10"/>
      <c r="T77" s="10"/>
      <c r="AH77" s="108"/>
      <c r="AI77" s="72" t="s">
        <v>40</v>
      </c>
      <c r="AJ77" s="113" cm="1">
        <f t="array" ref="AJ77">SQRT(SUMSQ($AP37:$AP40-AY38:AY41)/COUNTA($AP37:$AP40-AY38:AY41))</f>
        <v>33.448775431458465</v>
      </c>
      <c r="AK77" s="114" cm="1">
        <f t="array" ref="AK77">SQRT(SUMSQ($AP37:$AP40-AZ38:AZ41)/COUNTA($AP37:$AP40-AZ38:AZ41))</f>
        <v>33.448775431458465</v>
      </c>
      <c r="AL77" s="113" cm="1">
        <f t="array" ref="AL77">SQRT(SUMSQ($AP37:$AP40-BA38:BA41)/COUNTA($AP37:$AP40-BA38:BA41))</f>
        <v>32.738501746092481</v>
      </c>
      <c r="AM77" s="79" cm="1">
        <f t="array" ref="AM77">SQRT(SUMSQ($AP37:$AP40-BB38:BB41)/COUNTA($AP37:$AP40-BB38:BB41))</f>
        <v>32.738501746092481</v>
      </c>
      <c r="AN77" s="20" cm="1">
        <f t="array" ref="AN77">SQRT(SUMSQ($AP37:$AP40-BC38:BC41)/COUNTA($AP37:$AP40-BC38:BC41))</f>
        <v>62.611790628190597</v>
      </c>
      <c r="AO77" s="112" cm="1">
        <f t="array" ref="AO77">SQRT(SUMSQ($AP37:$AP40-BD38:BD41)/COUNTA($AP37:$AP40-BD38:BD41))</f>
        <v>54.844107868302174</v>
      </c>
      <c r="AP77" s="79" cm="1">
        <f t="array" ref="AP77">SQRT(SUMSQ($AP37:$AP40-BE38:BE41)/COUNTA($AP37:$AP40-BE38:BE41))</f>
        <v>32.738501746092481</v>
      </c>
      <c r="AQ77" s="20" cm="1">
        <f t="array" ref="AQ77">SQRT(SUMSQ($AP37:$AP40-BF38:BF41)/COUNTA($AP37:$AP40-BF38:BF41))</f>
        <v>59.843045847115917</v>
      </c>
      <c r="AR77" s="113" cm="1">
        <f t="array" ref="AR77">SQRT(SUMSQ($AP37:$AP40-BG38:BG41)/COUNTA($AP37:$AP40-BG38:BG41))</f>
        <v>37.366900844342574</v>
      </c>
      <c r="AS77" s="115" cm="1">
        <f t="array" ref="AS77">SQRT(SUMSQ($AP37:$AP40-BH38:BH41)/COUNTA($AP37:$AP40-BH38:BH41))</f>
        <v>36.732467891848636</v>
      </c>
      <c r="AT77" s="20" cm="1">
        <f t="array" ref="AT77">SQRT(SUMSQ($AP37:$AP40-BI38:BI41)/COUNTA($AP37:$AP40-BI38:BI41))</f>
        <v>66.126361437044423</v>
      </c>
      <c r="AU77" s="112" cm="1">
        <f t="array" ref="AU77">SQRT(SUMSQ($AP37:$AP40-BJ38:BJ41)/COUNTA($AP37:$AP40-BJ38:BJ41))</f>
        <v>66.31194507711011</v>
      </c>
      <c r="AV77" s="22" cm="1">
        <f t="array" ref="AV77">SQRT(SUMSQ($AP37:$AP40-BK38:BK41)/COUNTA($AP37:$AP40-BK38:BK41))</f>
        <v>55.534090616886068</v>
      </c>
      <c r="AW77" s="22" cm="1">
        <f t="array" ref="AW77">SQRT(SUMSQ($AP37:$AP40-BL38:BL41)/COUNTA($AP37:$AP40-BL38:BL41))</f>
        <v>52.221355129800507</v>
      </c>
      <c r="AX77" s="116">
        <f t="shared" si="122"/>
        <v>32.738501746092481</v>
      </c>
    </row>
    <row r="78" spans="2:50" x14ac:dyDescent="0.25">
      <c r="B78" s="12" t="s">
        <v>43</v>
      </c>
      <c r="C78" s="10">
        <f>C5/$K13</f>
        <v>33.726877525969485</v>
      </c>
      <c r="D78" s="10">
        <f t="shared" ref="D78:P78" si="124">D5/$K13</f>
        <v>33.726877525969485</v>
      </c>
      <c r="E78" s="10">
        <f t="shared" si="124"/>
        <v>67.45375505193897</v>
      </c>
      <c r="F78" s="10">
        <f t="shared" si="124"/>
        <v>67.45375505193897</v>
      </c>
      <c r="G78" s="10">
        <f t="shared" si="124"/>
        <v>16.863438762984742</v>
      </c>
      <c r="H78" s="10">
        <f t="shared" si="124"/>
        <v>23.714210760447294</v>
      </c>
      <c r="I78" s="10">
        <f t="shared" si="124"/>
        <v>67.45375505193897</v>
      </c>
      <c r="J78" s="10">
        <f t="shared" si="124"/>
        <v>33.726877525969485</v>
      </c>
      <c r="K78" s="10">
        <f t="shared" si="124"/>
        <v>33.726877525969485</v>
      </c>
      <c r="L78" s="10">
        <f t="shared" si="124"/>
        <v>67.45375505193897</v>
      </c>
      <c r="M78" s="10">
        <f t="shared" si="124"/>
        <v>16.863438762984742</v>
      </c>
      <c r="N78" s="10">
        <f t="shared" si="124"/>
        <v>23.714210760447294</v>
      </c>
      <c r="O78" s="10">
        <f t="shared" si="124"/>
        <v>33.726877525969485</v>
      </c>
      <c r="P78" s="10">
        <f t="shared" si="124"/>
        <v>23.714210760447294</v>
      </c>
      <c r="R78" s="1"/>
      <c r="S78" s="10"/>
      <c r="T78" s="10"/>
      <c r="AH78" s="108"/>
      <c r="AI78" s="72" t="s">
        <v>39</v>
      </c>
      <c r="AJ78" s="112" cm="1">
        <f t="array" ref="AJ78">SQRT(SUMSQ($AQ37:$AQ40-AY38:AY41)/COUNTA($AQ37:$AQ40-AY38:AY41))</f>
        <v>50.327929643083777</v>
      </c>
      <c r="AK78" s="20" cm="1">
        <f t="array" ref="AK78">SQRT(SUMSQ($AQ37:$AQ40-AZ38:AZ41)/COUNTA($AQ37:$AQ40-AZ38:AZ41))</f>
        <v>50.327929643083777</v>
      </c>
      <c r="AL78" s="112" cm="1">
        <f t="array" ref="AL78">SQRT(SUMSQ($AQ37:$AQ40-BA38:BA41)/COUNTA($AQ37:$AQ40-BA38:BA41))</f>
        <v>61.501283000907215</v>
      </c>
      <c r="AM78" s="22" cm="1">
        <f t="array" ref="AM78">SQRT(SUMSQ($AQ37:$AQ40-BB38:BB41)/COUNTA($AQ37:$AQ40-BB38:BB41))</f>
        <v>61.501283000907215</v>
      </c>
      <c r="AN78" s="20" cm="1">
        <f t="array" ref="AN78">SQRT(SUMSQ($AQ37:$AQ40-BC38:BC41)/COUNTA($AQ37:$AQ40-BC38:BC41))</f>
        <v>25.408479965724936</v>
      </c>
      <c r="AO78" s="112" cm="1">
        <f t="array" ref="AO78">SQRT(SUMSQ($AQ37:$AQ40-BD38:BD41)/COUNTA($AQ37:$AQ40-BD38:BD41))</f>
        <v>32.620143416534482</v>
      </c>
      <c r="AP78" s="22" cm="1">
        <f t="array" ref="AP78">SQRT(SUMSQ($AQ37:$AQ40-BE38:BE41)/COUNTA($AQ37:$AQ40-BE38:BE41))</f>
        <v>61.501283000907215</v>
      </c>
      <c r="AQ78" s="114" cm="1">
        <f t="array" ref="AQ78">SQRT(SUMSQ($AQ37:$AQ40-BF38:BF41)/COUNTA($AQ37:$AQ40-BF38:BF41))</f>
        <v>33.57718911558004</v>
      </c>
      <c r="AR78" s="113" cm="1">
        <f t="array" ref="AR78">SQRT(SUMSQ($AQ37:$AQ40-BG38:BG41)/COUNTA($AQ37:$AQ40-BG38:BG41))</f>
        <v>44.056003571307201</v>
      </c>
      <c r="AS78" s="22" cm="1">
        <f t="array" ref="AS78">SQRT(SUMSQ($AQ37:$AQ40-BH38:BH41)/COUNTA($AQ37:$AQ40-BH38:BH41))</f>
        <v>56.483969046743873</v>
      </c>
      <c r="AT78" s="114" cm="1">
        <f t="array" ref="AT78">SQRT(SUMSQ($AQ37:$AQ40-BI38:BI41)/COUNTA($AQ37:$AQ40-BI38:BI41))</f>
        <v>35.646514199907166</v>
      </c>
      <c r="AU78" s="120" cm="1">
        <f t="array" ref="AU78">SQRT(SUMSQ($AQ37:$AQ40-BJ38:BJ41)/COUNTA($AQ37:$AQ40-BJ38:BJ41))</f>
        <v>23.642490741320476</v>
      </c>
      <c r="AV78" s="115" cm="1">
        <f t="array" ref="AV78">SQRT(SUMSQ($AQ37:$AQ40-BK38:BK41)/COUNTA($AQ37:$AQ40-BK38:BK41))</f>
        <v>25.546211138779938</v>
      </c>
      <c r="AW78" s="115" cm="1">
        <f t="array" ref="AW78">SQRT(SUMSQ($AQ37:$AQ40-BL38:BL41)/COUNTA($AQ37:$AQ40-BL38:BL41))</f>
        <v>30.298450928784547</v>
      </c>
      <c r="AX78" s="116">
        <f t="shared" si="122"/>
        <v>23.642490741320476</v>
      </c>
    </row>
    <row r="79" spans="2:50" x14ac:dyDescent="0.25">
      <c r="B79" s="12" t="s">
        <v>44</v>
      </c>
      <c r="C79" s="10">
        <f>C6/$K14</f>
        <v>5.6117834176817807</v>
      </c>
      <c r="D79" s="10">
        <f t="shared" ref="D79:P79" si="125">D6/$K14</f>
        <v>5.6117834176817807</v>
      </c>
      <c r="E79" s="10">
        <f t="shared" si="125"/>
        <v>5.6117834176817807</v>
      </c>
      <c r="F79" s="10">
        <f t="shared" si="125"/>
        <v>5.6117834176817807</v>
      </c>
      <c r="G79" s="10">
        <f t="shared" si="125"/>
        <v>1.972892607778751</v>
      </c>
      <c r="H79" s="10">
        <f t="shared" si="125"/>
        <v>1.4029458544204452</v>
      </c>
      <c r="I79" s="10">
        <f t="shared" si="125"/>
        <v>5.6117834176817807</v>
      </c>
      <c r="J79" s="10">
        <f t="shared" si="125"/>
        <v>2.8058917088408903</v>
      </c>
      <c r="K79" s="10">
        <f t="shared" si="125"/>
        <v>5.6117834176817807</v>
      </c>
      <c r="L79" s="10">
        <f t="shared" si="125"/>
        <v>5.6117834176817807</v>
      </c>
      <c r="M79" s="10">
        <f t="shared" si="125"/>
        <v>2.8058917088408903</v>
      </c>
      <c r="N79" s="10">
        <f t="shared" si="125"/>
        <v>1.4029458544204452</v>
      </c>
      <c r="O79" s="10">
        <f t="shared" si="125"/>
        <v>1.4029458544204452</v>
      </c>
      <c r="P79" s="10">
        <f t="shared" si="125"/>
        <v>2.8058917088408903</v>
      </c>
      <c r="R79" s="1"/>
      <c r="S79" s="10"/>
      <c r="T79" s="10"/>
      <c r="AH79" s="108" t="s">
        <v>126</v>
      </c>
      <c r="AI79" s="72" t="s">
        <v>41</v>
      </c>
      <c r="AJ79" s="112" cm="1">
        <f t="array" ref="AJ79">SQRT(SUMSQ($AR37:$AR40-AY38:AY41)/COUNTA($AR37:$AR40-AY38:AY41))</f>
        <v>62.39433323799976</v>
      </c>
      <c r="AK79" s="117" cm="1">
        <f t="array" ref="AK79">SQRT(SUMSQ($AR37:$AR40-AZ38:AZ41)/COUNTA($AR37:$AR40-AZ38:AZ41))</f>
        <v>62.39433323799976</v>
      </c>
      <c r="AL79" s="112" cm="1">
        <f t="array" ref="AL79">SQRT(SUMSQ($AR37:$AR40-BA38:BA41)/COUNTA($AR37:$AR40-BA38:BA41))</f>
        <v>66.957471186747767</v>
      </c>
      <c r="AM79" s="22" cm="1">
        <f t="array" ref="AM79">SQRT(SUMSQ($AR37:$AR40-BB38:BB41)/COUNTA($AR37:$AR40-BB38:BB41))</f>
        <v>66.957471186747767</v>
      </c>
      <c r="AN79" s="20" cm="1">
        <f t="array" ref="AN79">SQRT(SUMSQ($AR37:$AR40-BC38:BC41)/COUNTA($AR37:$AR40-BC38:BC41))</f>
        <v>96.187659924655321</v>
      </c>
      <c r="AO79" s="112" cm="1">
        <f t="array" ref="AO79">SQRT(SUMSQ($AR37:$AR40-BD38:BD41)/COUNTA($AR37:$AR40-BD38:BD41))</f>
        <v>95.636375776852049</v>
      </c>
      <c r="AP79" s="22" cm="1">
        <f t="array" ref="AP79">SQRT(SUMSQ($AR37:$AR40-BE38:BE41)/COUNTA($AR37:$AR40-BE38:BE41))</f>
        <v>66.957471186747767</v>
      </c>
      <c r="AQ79" s="20" cm="1">
        <f t="array" ref="AQ79">SQRT(SUMSQ($AR37:$AR40-BF38:BF41)/COUNTA($AR37:$AR40-BF38:BF41))</f>
        <v>97.749860663388404</v>
      </c>
      <c r="AR79" s="112" cm="1">
        <f t="array" ref="AR79">SQRT(SUMSQ($AR37:$AR40-BG38:BG41)/COUNTA($AR37:$AR40-BG38:BG41))</f>
        <v>65.069936944027944</v>
      </c>
      <c r="AS79" s="22" cm="1">
        <f t="array" ref="AS79">SQRT(SUMSQ($AR37:$AR40-BH38:BH41)/COUNTA($AR37:$AR40-BH38:BH41))</f>
        <v>69.457518105741229</v>
      </c>
      <c r="AT79" s="20" cm="1">
        <f t="array" ref="AT79">SQRT(SUMSQ($AR37:$AR40-BI38:BI41)/COUNTA($AR37:$AR40-BI38:BI41))</f>
        <v>100.139453743053</v>
      </c>
      <c r="AU79" s="112" cm="1">
        <f t="array" ref="AU79">SQRT(SUMSQ($AR37:$AR40-BJ38:BJ41)/COUNTA($AR37:$AR40-BJ38:BJ41))</f>
        <v>104.46116356231393</v>
      </c>
      <c r="AV79" s="22" cm="1">
        <f t="array" ref="AV79">SQRT(SUMSQ($AR37:$AR40-BK38:BK41)/COUNTA($AR37:$AR40-BK38:BK41))</f>
        <v>96.502368980876696</v>
      </c>
      <c r="AW79" s="22" cm="1">
        <f t="array" ref="AW79">SQRT(SUMSQ($AR37:$AR40-BL38:BL41)/COUNTA($AR37:$AR40-BL38:BL41))</f>
        <v>91.850078976307344</v>
      </c>
      <c r="AX79" s="116">
        <f t="shared" si="122"/>
        <v>62.39433323799976</v>
      </c>
    </row>
    <row r="80" spans="2:50" x14ac:dyDescent="0.25">
      <c r="B80" s="12" t="s">
        <v>72</v>
      </c>
      <c r="C80" s="10">
        <f>C7/$K15</f>
        <v>1164.8885630089558</v>
      </c>
      <c r="D80" s="10">
        <f t="shared" ref="D80:P80" si="126">D7/$K15</f>
        <v>1164.8885630089558</v>
      </c>
      <c r="E80" s="10">
        <f t="shared" si="126"/>
        <v>1164.8885630089558</v>
      </c>
      <c r="F80" s="10">
        <f t="shared" si="126"/>
        <v>1164.8885630089558</v>
      </c>
      <c r="G80" s="10">
        <f t="shared" si="126"/>
        <v>291.22214075223894</v>
      </c>
      <c r="H80" s="10">
        <f t="shared" si="126"/>
        <v>409.53113543283598</v>
      </c>
      <c r="I80" s="10">
        <f t="shared" si="126"/>
        <v>1164.8885630089558</v>
      </c>
      <c r="J80" s="10">
        <f t="shared" si="126"/>
        <v>1164.8885630089558</v>
      </c>
      <c r="K80" s="10">
        <f t="shared" si="126"/>
        <v>1164.8885630089558</v>
      </c>
      <c r="L80" s="10">
        <f t="shared" si="126"/>
        <v>1164.8885630089558</v>
      </c>
      <c r="M80" s="10">
        <f t="shared" si="126"/>
        <v>1164.8885630089558</v>
      </c>
      <c r="N80" s="10">
        <f t="shared" si="126"/>
        <v>582.44428150447789</v>
      </c>
      <c r="O80" s="10">
        <f t="shared" si="126"/>
        <v>291.22214075223894</v>
      </c>
      <c r="P80" s="10">
        <f t="shared" si="126"/>
        <v>1164.8885630089558</v>
      </c>
      <c r="R80" s="1"/>
      <c r="S80" s="10"/>
      <c r="T80" s="10"/>
      <c r="AH80" s="108"/>
      <c r="AI80" s="72" t="s">
        <v>40</v>
      </c>
      <c r="AJ80" s="112" cm="1">
        <f t="array" ref="AJ80">SQRT(SUMSQ($AS37:$AS40-AY38:AY41)/COUNTA($AS37:$AS40-AY38:AY41))</f>
        <v>49.814796284285968</v>
      </c>
      <c r="AK80" s="20" cm="1">
        <f t="array" ref="AK80">SQRT(SUMSQ($AS37:$AS40-AZ38:AZ41)/COUNTA($AS37:$AS40-AZ38:AZ41))</f>
        <v>49.814796284285968</v>
      </c>
      <c r="AL80" s="120" cm="1">
        <f t="array" ref="AL80">SQRT(SUMSQ($AS37:$AS40-BA38:BA41)/COUNTA($AS37:$AS40-BA38:BA41))</f>
        <v>42.873588068610204</v>
      </c>
      <c r="AM80" s="79" cm="1">
        <f t="array" ref="AM80">SQRT(SUMSQ($AS37:$AS40-BB38:BB41)/COUNTA($AS37:$AS40-BB38:BB41))</f>
        <v>42.873588068610204</v>
      </c>
      <c r="AN80" s="20" cm="1">
        <f t="array" ref="AN80">SQRT(SUMSQ($AS37:$AS40-BC38:BC41)/COUNTA($AS37:$AS40-BC38:BC41))</f>
        <v>94.68645354537999</v>
      </c>
      <c r="AO80" s="112" cm="1">
        <f t="array" ref="AO80">SQRT(SUMSQ($AS37:$AS40-BD38:BD41)/COUNTA($AS37:$AS40-BD38:BD41))</f>
        <v>82.305512873221303</v>
      </c>
      <c r="AP80" s="79" cm="1">
        <f t="array" ref="AP80">SQRT(SUMSQ($AS37:$AS40-BE38:BE41)/COUNTA($AS37:$AS40-BE38:BE41))</f>
        <v>42.873588068610204</v>
      </c>
      <c r="AQ80" s="20" cm="1">
        <f t="array" ref="AQ80">SQRT(SUMSQ($AS37:$AS40-BF38:BF41)/COUNTA($AS37:$AS40-BF38:BF41))</f>
        <v>91.557358809586916</v>
      </c>
      <c r="AR80" s="112" cm="1">
        <f t="array" ref="AR80">SQRT(SUMSQ($AS37:$AS40-BG38:BG41)/COUNTA($AS37:$AS40-BG38:BG41))</f>
        <v>60.297026259113586</v>
      </c>
      <c r="AS80" s="115" cm="1">
        <f t="array" ref="AS80">SQRT(SUMSQ($AS37:$AS40-BH38:BH41)/COUNTA($AS37:$AS40-BH38:BH41))</f>
        <v>54.702486238965385</v>
      </c>
      <c r="AT80" s="20" cm="1">
        <f t="array" ref="AT80">SQRT(SUMSQ($AS37:$AS40-BI38:BI41)/COUNTA($AS37:$AS40-BI38:BI41))</f>
        <v>97.326433406713619</v>
      </c>
      <c r="AU80" s="112" cm="1">
        <f t="array" ref="AU80">SQRT(SUMSQ($AS37:$AS40-BJ38:BJ41)/COUNTA($AS37:$AS40-BJ38:BJ41))</f>
        <v>100.45973813439367</v>
      </c>
      <c r="AV80" s="22" cm="1">
        <f t="array" ref="AV80">SQRT(SUMSQ($AS37:$AS40-BK38:BK41)/COUNTA($AS37:$AS40-BK38:BK41))</f>
        <v>86.837742925400804</v>
      </c>
      <c r="AW80" s="22" cm="1">
        <f t="array" ref="AW80">SQRT(SUMSQ($AS37:$AS40-BL38:BL41)/COUNTA($AS37:$AS40-BL38:BL41))</f>
        <v>81.654233112357048</v>
      </c>
      <c r="AX80" s="116">
        <f t="shared" si="122"/>
        <v>42.873588068610204</v>
      </c>
    </row>
    <row r="81" spans="2:50" x14ac:dyDescent="0.25">
      <c r="B81" s="12" t="s">
        <v>100</v>
      </c>
      <c r="C81" s="10">
        <f>C8/$K16</f>
        <v>15.796580034984405</v>
      </c>
      <c r="D81" s="10">
        <f t="shared" ref="D81:P81" si="127">D8/$K16</f>
        <v>15.796580034984405</v>
      </c>
      <c r="E81" s="10">
        <f t="shared" si="127"/>
        <v>15.796580034984405</v>
      </c>
      <c r="F81" s="10">
        <f t="shared" si="127"/>
        <v>15.796580034984405</v>
      </c>
      <c r="G81" s="10">
        <f t="shared" si="127"/>
        <v>11.10697033709841</v>
      </c>
      <c r="H81" s="10">
        <f t="shared" si="127"/>
        <v>15.796580034984405</v>
      </c>
      <c r="I81" s="10">
        <f t="shared" si="127"/>
        <v>15.796580034984405</v>
      </c>
      <c r="J81" s="10">
        <f t="shared" si="127"/>
        <v>15.796580034984405</v>
      </c>
      <c r="K81" s="10">
        <f t="shared" si="127"/>
        <v>15.796580034984405</v>
      </c>
      <c r="L81" s="10">
        <f t="shared" si="127"/>
        <v>15.796580034984405</v>
      </c>
      <c r="M81" s="10">
        <f t="shared" si="127"/>
        <v>7.8982900174922026</v>
      </c>
      <c r="N81" s="10">
        <f t="shared" si="127"/>
        <v>5.553485168549205</v>
      </c>
      <c r="O81" s="10">
        <f t="shared" si="127"/>
        <v>15.796580034984405</v>
      </c>
      <c r="P81" s="10">
        <f t="shared" si="127"/>
        <v>15.796580034984405</v>
      </c>
      <c r="R81" s="1"/>
      <c r="S81" s="10"/>
      <c r="T81" s="10"/>
      <c r="AH81" s="108"/>
      <c r="AI81" s="72" t="s">
        <v>39</v>
      </c>
      <c r="AJ81" s="113" cm="1">
        <f t="array" ref="AJ81">SQRT(SUMSQ($AT37:$AT40-AY38:AY41)/COUNTA($AT37:$AT40-AY38:AY41))</f>
        <v>43.862900932160656</v>
      </c>
      <c r="AK81" s="114" cm="1">
        <f t="array" ref="AK81">SQRT(SUMSQ($AT37:$AT40-AZ38:AZ41)/COUNTA($AT37:$AT40-AZ38:AZ41))</f>
        <v>43.862900932160656</v>
      </c>
      <c r="AL81" s="112" cm="1">
        <f t="array" ref="AL81">SQRT(SUMSQ($AT37:$AT40-BA38:BA41)/COUNTA($AT37:$AT40-BA38:BA41))</f>
        <v>58.650926232549338</v>
      </c>
      <c r="AM81" s="22" cm="1">
        <f t="array" ref="AM81">SQRT(SUMSQ($AT37:$AT40-BB38:BB41)/COUNTA($AT37:$AT40-BB38:BB41))</f>
        <v>58.650926232549338</v>
      </c>
      <c r="AN81" s="114" cm="1">
        <f t="array" ref="AN81">SQRT(SUMSQ($AT37:$AT40-BC38:BC41)/COUNTA($AT37:$AT40-BC38:BC41))</f>
        <v>32.193462361775062</v>
      </c>
      <c r="AO81" s="113" cm="1">
        <f t="array" ref="AO81">SQRT(SUMSQ($AT37:$AT40-BD38:BD41)/COUNTA($AT37:$AT40-BD38:BD41))</f>
        <v>26.321920322918267</v>
      </c>
      <c r="AP81" s="22" cm="1">
        <f t="array" ref="AP81">SQRT(SUMSQ($AT37:$AT40-BE38:BE41)/COUNTA($AT37:$AT40-BE38:BE41))</f>
        <v>58.650926232549338</v>
      </c>
      <c r="AQ81" s="114" cm="1">
        <f t="array" ref="AQ81">SQRT(SUMSQ($AT37:$AT40-BF38:BF41)/COUNTA($AT37:$AT40-BF38:BF41))</f>
        <v>38.271999982816865</v>
      </c>
      <c r="AR81" s="112" cm="1">
        <f t="array" ref="AR81">SQRT(SUMSQ($AT37:$AT40-BG38:BG41)/COUNTA($AT37:$AT40-BG38:BG41))</f>
        <v>42.180458021900733</v>
      </c>
      <c r="AS81" s="22" cm="1">
        <f t="array" ref="AS81">SQRT(SUMSQ($AT37:$AT40-BH38:BH41)/COUNTA($AT37:$AT40-BH38:BH41))</f>
        <v>57.40355484365697</v>
      </c>
      <c r="AT81" s="114" cm="1">
        <f t="array" ref="AT81">SQRT(SUMSQ($AT37:$AT40-BI38:BI41)/COUNTA($AT37:$AT40-BI38:BI41))</f>
        <v>38.402570848955307</v>
      </c>
      <c r="AU81" s="121" cm="1">
        <f t="array" ref="AU81">SQRT(SUMSQ($AT37:$AT40-BJ38:BJ41)/COUNTA($AT37:$AT40-BJ38:BJ41))</f>
        <v>32.886484375636989</v>
      </c>
      <c r="AV81" s="22" cm="1">
        <f t="array" ref="AV81">SQRT(SUMSQ($AT37:$AT40-BK38:BK41)/COUNTA($AT37:$AT40-BK38:BK41))</f>
        <v>29.402177294402659</v>
      </c>
      <c r="AW81" s="79" cm="1">
        <f t="array" ref="AW81">SQRT(SUMSQ($AT37:$AT40-BL38:BL41)/COUNTA($AT37:$AT40-BL38:BL41))</f>
        <v>25.428727946955938</v>
      </c>
      <c r="AX81" s="116">
        <f t="shared" si="122"/>
        <v>25.428727946955938</v>
      </c>
    </row>
    <row r="82" spans="2:50" x14ac:dyDescent="0.25">
      <c r="B82" s="87" t="s">
        <v>90</v>
      </c>
      <c r="C82" s="87"/>
      <c r="D82" s="85" t="s">
        <v>77</v>
      </c>
      <c r="E82" s="85"/>
      <c r="F82" s="85"/>
      <c r="G82" s="85" t="s">
        <v>78</v>
      </c>
      <c r="H82" s="85"/>
      <c r="I82" s="85"/>
      <c r="J82" s="85" t="s">
        <v>77</v>
      </c>
      <c r="K82" s="85"/>
      <c r="L82" s="85"/>
      <c r="M82" s="85" t="s">
        <v>78</v>
      </c>
      <c r="N82" s="85"/>
      <c r="O82" s="85"/>
      <c r="AI82" s="109" t="s">
        <v>68</v>
      </c>
      <c r="AJ82" s="112" cm="1">
        <f t="array" ref="AJ82">SQRT(SUMSQ($AU37:$AU40-AY38:AY41)/COUNTA($AU37:$AU40-AY38:AY41))</f>
        <v>63.650430666058014</v>
      </c>
      <c r="AK82" s="20" cm="1">
        <f t="array" ref="AK82">SQRT(SUMSQ($AU37:$AU40-AZ38:AZ41)/COUNTA($AU37:$AU40-AZ38:AZ41))</f>
        <v>63.650430666058014</v>
      </c>
      <c r="AL82" s="112" cm="1">
        <f t="array" ref="AL82">SQRT(SUMSQ($AU37:$AU40-BA38:BA41)/COUNTA($AU37:$AU40-BA38:BA41))</f>
        <v>74.332768085822394</v>
      </c>
      <c r="AM82" s="22" cm="1">
        <f t="array" ref="AM82">SQRT(SUMSQ($AU37:$AU40-BB38:BB41)/COUNTA($AU37:$AU40-BB38:BB41))</f>
        <v>74.332768085822394</v>
      </c>
      <c r="AN82" s="20" cm="1">
        <f t="array" ref="AN82">SQRT(SUMSQ($AU37:$AU40-BC38:BC41)/COUNTA($AU37:$AU40-BC38:BC41))</f>
        <v>58.200642035293697</v>
      </c>
      <c r="AO82" s="112" cm="1">
        <f t="array" ref="AO82">SQRT(SUMSQ($AU37:$AU40-BD38:BD41)/COUNTA($AU37:$AU40-BD38:BD41))</f>
        <v>73.064878598388901</v>
      </c>
      <c r="AP82" s="22" cm="1">
        <f t="array" ref="AP82">SQRT(SUMSQ($AU37:$AU40-BE38:BE41)/COUNTA($AU37:$AU40-BE38:BE41))</f>
        <v>74.332768085822394</v>
      </c>
      <c r="AQ82" s="20" cm="1">
        <f t="array" ref="AQ82">SQRT(SUMSQ($AU37:$AU40-BF38:BF41)/COUNTA($AU37:$AU40-BF38:BF41))</f>
        <v>70.609464089436287</v>
      </c>
      <c r="AR82" s="118" cm="1">
        <f t="array" ref="AR82">SQRT(SUMSQ($AU37:$AU40-BG38:BG41)/COUNTA($AU37:$AU40-BG38:BG41))</f>
        <v>55.830513124445964</v>
      </c>
      <c r="AS82" s="22" cm="1">
        <f t="array" ref="AS82">SQRT(SUMSQ($AU37:$AU40-BH38:BH41)/COUNTA($AU37:$AU40-BH38:BH41))</f>
        <v>67.757134554708941</v>
      </c>
      <c r="AT82" s="20" cm="1">
        <f t="array" ref="AT82">SQRT(SUMSQ($AU37:$AU40-BI38:BI41)/COUNTA($AU37:$AU40-BI38:BI41))</f>
        <v>70.828700929315332</v>
      </c>
      <c r="AU82" s="112" cm="1">
        <f t="array" ref="AU82">SQRT(SUMSQ($AU37:$AU40-BJ38:BJ41)/COUNTA($AU37:$AU40-BJ38:BJ41))</f>
        <v>67.079382192662493</v>
      </c>
      <c r="AV82" s="22" cm="1">
        <f t="array" ref="AV82">SQRT(SUMSQ($AU37:$AU40-BK38:BK41)/COUNTA($AU37:$AU40-BK38:BK41))</f>
        <v>66.09072301863867</v>
      </c>
      <c r="AW82" s="22" cm="1">
        <f t="array" ref="AW82">SQRT(SUMSQ($AU37:$AU40-BL38:BL41)/COUNTA($AU37:$AU40-BL38:BL41))</f>
        <v>71.519594846928072</v>
      </c>
      <c r="AX82" s="116">
        <f t="shared" si="122"/>
        <v>55.830513124445964</v>
      </c>
    </row>
    <row r="83" spans="2:50" x14ac:dyDescent="0.25">
      <c r="B83" t="s">
        <v>81</v>
      </c>
      <c r="C83" s="1" t="s">
        <v>71</v>
      </c>
      <c r="D83" s="1" t="s">
        <v>74</v>
      </c>
      <c r="E83" s="1" t="s">
        <v>75</v>
      </c>
      <c r="F83" s="1" t="s">
        <v>76</v>
      </c>
      <c r="G83" s="1" t="s">
        <v>74</v>
      </c>
      <c r="H83" s="1" t="s">
        <v>75</v>
      </c>
      <c r="I83" s="1" t="s">
        <v>76</v>
      </c>
      <c r="J83" s="1" t="s">
        <v>74</v>
      </c>
      <c r="K83" s="1" t="s">
        <v>75</v>
      </c>
      <c r="L83" s="1" t="s">
        <v>76</v>
      </c>
      <c r="M83" s="1" t="s">
        <v>74</v>
      </c>
      <c r="N83" s="1" t="s">
        <v>75</v>
      </c>
      <c r="O83" s="1" t="s">
        <v>76</v>
      </c>
      <c r="P83" s="1" t="s">
        <v>79</v>
      </c>
      <c r="R83" s="1"/>
      <c r="S83" s="1" t="s">
        <v>92</v>
      </c>
      <c r="T83" s="1" t="s">
        <v>91</v>
      </c>
      <c r="AI83" s="111" t="s">
        <v>67</v>
      </c>
      <c r="AJ83" s="44" cm="1">
        <f t="array" ref="AJ83">SQRT(SUMSQ($AV37:$AV40-AY38:AY41)/COUNTA($AV37:$AV40-AY38:AY41))</f>
        <v>70.459563231225914</v>
      </c>
      <c r="AK83" s="43" cm="1">
        <f t="array" ref="AK83">SQRT(SUMSQ($AV37:$AV40-AZ38:AZ41)/COUNTA($AV37:$AV40-AZ38:AZ41))</f>
        <v>70.459563231225914</v>
      </c>
      <c r="AL83" s="44" cm="1">
        <f t="array" ref="AL83">SQRT(SUMSQ($AV37:$AV40-BA38:BA41)/COUNTA($AV37:$AV40-BA38:BA41))</f>
        <v>78.50823976986517</v>
      </c>
      <c r="AM83" s="45" cm="1">
        <f t="array" ref="AM83">SQRT(SUMSQ($AV37:$AV40-BB38:BB41)/COUNTA($AV37:$AV40-BB38:BB41))</f>
        <v>78.50823976986517</v>
      </c>
      <c r="AN83" s="43" cm="1">
        <f t="array" ref="AN83">SQRT(SUMSQ($AV37:$AV40-BC38:BC41)/COUNTA($AV37:$AV40-BC38:BC41))</f>
        <v>84.496191031093034</v>
      </c>
      <c r="AO83" s="44" cm="1">
        <f t="array" ref="AO83">SQRT(SUMSQ($AV37:$AV40-BD38:BD41)/COUNTA($AV37:$AV40-BD38:BD41))</f>
        <v>94.538392380971487</v>
      </c>
      <c r="AP83" s="45" cm="1">
        <f t="array" ref="AP83">SQRT(SUMSQ($AV37:$AV40-BE38:BE41)/COUNTA($AV37:$AV40-BE38:BE41))</f>
        <v>78.50823976986517</v>
      </c>
      <c r="AQ83" s="43" cm="1">
        <f t="array" ref="AQ83">SQRT(SUMSQ($AV37:$AV40-BF38:BF41)/COUNTA($AV37:$AV40-BF38:BF41))</f>
        <v>89.987553104742332</v>
      </c>
      <c r="AR83" s="122" cm="1">
        <f t="array" ref="AR83">SQRT(SUMSQ($AV37:$AV40-BG38:BG41)/COUNTA($AV37:$AV40-BG38:BG41))</f>
        <v>65.401705905106482</v>
      </c>
      <c r="AS83" s="45" cm="1">
        <f t="array" ref="AS83">SQRT(SUMSQ($AV37:$AV40-BH38:BH41)/COUNTA($AV37:$AV40-BH38:BH41))</f>
        <v>74.002545877324764</v>
      </c>
      <c r="AT83" s="43" cm="1">
        <f t="array" ref="AT83">SQRT(SUMSQ($AV37:$AV40-BI38:BI41)/COUNTA($AV37:$AV40-BI38:BI41))</f>
        <v>90.918990773463065</v>
      </c>
      <c r="AU83" s="44" cm="1">
        <f t="array" ref="AU83">SQRT(SUMSQ($AV37:$AV40-BJ38:BJ41)/COUNTA($AV37:$AV40-BJ38:BJ41))</f>
        <v>92.801152774393358</v>
      </c>
      <c r="AV83" s="45" cm="1">
        <f t="array" ref="AV83">SQRT(SUMSQ($AV37:$AV40-BK38:BK41)/COUNTA($AV37:$AV40-BK38:BK41))</f>
        <v>90.281000318442196</v>
      </c>
      <c r="AW83" s="45" cm="1">
        <f t="array" ref="AW83">SQRT(SUMSQ($AV37:$AV40-BL38:BL41)/COUNTA($AV37:$AV40-BL38:BL41))</f>
        <v>89.532445321558271</v>
      </c>
      <c r="AX83" s="116">
        <f t="shared" si="122"/>
        <v>65.401705905106482</v>
      </c>
    </row>
    <row r="84" spans="2:50" x14ac:dyDescent="0.25">
      <c r="B84" s="12" t="s">
        <v>42</v>
      </c>
      <c r="C84" s="10">
        <f>C4/$L12</f>
        <v>5.2059080105920312</v>
      </c>
      <c r="D84" s="10">
        <f>D4/$L12</f>
        <v>5.2059080105920312</v>
      </c>
      <c r="E84" s="10">
        <f t="shared" ref="E84:P84" si="128">E4/$L12</f>
        <v>5.2059080105920312</v>
      </c>
      <c r="F84" s="10">
        <f t="shared" si="128"/>
        <v>5.2059080105920312</v>
      </c>
      <c r="G84" s="10">
        <f t="shared" si="128"/>
        <v>2.6029540052960156</v>
      </c>
      <c r="H84" s="10">
        <f t="shared" si="128"/>
        <v>5.2059080105920312</v>
      </c>
      <c r="I84" s="10">
        <f t="shared" si="128"/>
        <v>5.2059080105920312</v>
      </c>
      <c r="J84" s="10">
        <f t="shared" si="128"/>
        <v>1.8302020349737609</v>
      </c>
      <c r="K84" s="10">
        <f t="shared" si="128"/>
        <v>3.6604040699475218</v>
      </c>
      <c r="L84" s="10">
        <f t="shared" si="128"/>
        <v>3.6604040699475218</v>
      </c>
      <c r="M84" s="10">
        <f t="shared" si="128"/>
        <v>1.8302020349737609</v>
      </c>
      <c r="N84" s="10">
        <f t="shared" si="128"/>
        <v>1.8302020349737609</v>
      </c>
      <c r="O84" s="10">
        <f t="shared" si="128"/>
        <v>3.6604040699475218</v>
      </c>
      <c r="P84" s="10">
        <f t="shared" si="128"/>
        <v>3.6604040699475218</v>
      </c>
      <c r="R84" s="12" t="s">
        <v>42</v>
      </c>
      <c r="S84" s="10">
        <f>AVERAGE(C84:P84)</f>
        <v>3.8550446038256845</v>
      </c>
      <c r="T84" s="10">
        <f>_xlfn.STDEV.P(C84:P84)</f>
        <v>1.3354567053202298</v>
      </c>
      <c r="AJ84" s="116">
        <f>MIN(AJ72:AJ83)</f>
        <v>33.448775431458465</v>
      </c>
      <c r="AK84" s="116">
        <f t="shared" ref="AK84:AW84" si="129">MIN(AK72:AK83)</f>
        <v>33.448775431458465</v>
      </c>
      <c r="AL84" s="116">
        <f t="shared" si="129"/>
        <v>32.738501746092481</v>
      </c>
      <c r="AM84" s="116">
        <f t="shared" si="129"/>
        <v>32.738501746092481</v>
      </c>
      <c r="AN84" s="116">
        <f t="shared" si="129"/>
        <v>8.5638809666012889</v>
      </c>
      <c r="AO84" s="116">
        <f t="shared" si="129"/>
        <v>26.321920322918267</v>
      </c>
      <c r="AP84" s="116">
        <f t="shared" si="129"/>
        <v>32.738501746092481</v>
      </c>
      <c r="AQ84" s="116">
        <f t="shared" si="129"/>
        <v>33.57718911558004</v>
      </c>
      <c r="AR84" s="116">
        <f t="shared" si="129"/>
        <v>37.366900844342574</v>
      </c>
      <c r="AS84" s="116">
        <f t="shared" si="129"/>
        <v>36.732467891848636</v>
      </c>
      <c r="AT84" s="116">
        <f t="shared" si="129"/>
        <v>35.646514199907166</v>
      </c>
      <c r="AU84" s="116">
        <f t="shared" si="129"/>
        <v>17.768167083056721</v>
      </c>
      <c r="AV84" s="116">
        <f t="shared" si="129"/>
        <v>23.187505553322655</v>
      </c>
      <c r="AW84" s="116">
        <f t="shared" si="129"/>
        <v>25.428727946955938</v>
      </c>
    </row>
    <row r="85" spans="2:50" x14ac:dyDescent="0.25">
      <c r="B85" s="12" t="s">
        <v>43</v>
      </c>
      <c r="C85" s="10">
        <f>C5/$L13</f>
        <v>22.305318103852329</v>
      </c>
      <c r="D85" s="10">
        <f>D5/$L13</f>
        <v>22.305318103852329</v>
      </c>
      <c r="E85" s="10">
        <f t="shared" ref="E85:P85" si="130">E5/$L13</f>
        <v>44.610636207704658</v>
      </c>
      <c r="F85" s="10">
        <f t="shared" si="130"/>
        <v>44.610636207704658</v>
      </c>
      <c r="G85" s="10">
        <f t="shared" si="130"/>
        <v>11.152659051926165</v>
      </c>
      <c r="H85" s="10">
        <f t="shared" si="130"/>
        <v>15.683426791771168</v>
      </c>
      <c r="I85" s="10">
        <f t="shared" si="130"/>
        <v>44.610636207704658</v>
      </c>
      <c r="J85" s="10">
        <f t="shared" si="130"/>
        <v>22.305318103852329</v>
      </c>
      <c r="K85" s="10">
        <f t="shared" si="130"/>
        <v>22.305318103852329</v>
      </c>
      <c r="L85" s="10">
        <f t="shared" si="130"/>
        <v>44.610636207704658</v>
      </c>
      <c r="M85" s="10">
        <f t="shared" si="130"/>
        <v>11.152659051926165</v>
      </c>
      <c r="N85" s="10">
        <f t="shared" si="130"/>
        <v>15.683426791771168</v>
      </c>
      <c r="O85" s="10">
        <f t="shared" si="130"/>
        <v>22.305318103852329</v>
      </c>
      <c r="P85" s="10">
        <f t="shared" si="130"/>
        <v>15.683426791771168</v>
      </c>
      <c r="R85" s="12" t="s">
        <v>43</v>
      </c>
      <c r="S85" s="10">
        <f>AVERAGE(C85:P85)</f>
        <v>25.666052416374722</v>
      </c>
      <c r="T85" s="10">
        <f>_xlfn.STDEV.P(C85:P85)</f>
        <v>12.570649809005568</v>
      </c>
    </row>
    <row r="86" spans="2:50" x14ac:dyDescent="0.25">
      <c r="B86" s="12" t="s">
        <v>44</v>
      </c>
      <c r="C86" s="10">
        <f>C6/$L14</f>
        <v>12.190345769898304</v>
      </c>
      <c r="D86" s="10">
        <f t="shared" ref="D86:P86" si="131">D6/$L14</f>
        <v>12.190345769898304</v>
      </c>
      <c r="E86" s="10">
        <f t="shared" si="131"/>
        <v>12.190345769898304</v>
      </c>
      <c r="F86" s="10">
        <f t="shared" si="131"/>
        <v>12.190345769898304</v>
      </c>
      <c r="G86" s="10">
        <f t="shared" si="131"/>
        <v>4.2856684347298728</v>
      </c>
      <c r="H86" s="10">
        <f t="shared" si="131"/>
        <v>3.047586442474576</v>
      </c>
      <c r="I86" s="10">
        <f t="shared" si="131"/>
        <v>12.190345769898304</v>
      </c>
      <c r="J86" s="10">
        <f t="shared" si="131"/>
        <v>6.095172884949152</v>
      </c>
      <c r="K86" s="10">
        <f t="shared" si="131"/>
        <v>12.190345769898304</v>
      </c>
      <c r="L86" s="10">
        <f t="shared" si="131"/>
        <v>12.190345769898304</v>
      </c>
      <c r="M86" s="10">
        <f t="shared" si="131"/>
        <v>6.095172884949152</v>
      </c>
      <c r="N86" s="10">
        <f t="shared" si="131"/>
        <v>3.047586442474576</v>
      </c>
      <c r="O86" s="10">
        <f t="shared" si="131"/>
        <v>3.047586442474576</v>
      </c>
      <c r="P86" s="10">
        <f t="shared" si="131"/>
        <v>6.095172884949152</v>
      </c>
      <c r="R86" s="12" t="s">
        <v>44</v>
      </c>
      <c r="S86" s="10">
        <f>AVERAGE(C86:P86)</f>
        <v>8.3604547718777997</v>
      </c>
      <c r="T86" s="10">
        <f>_xlfn.STDEV.P(C86:P86)</f>
        <v>3.9583055071304116</v>
      </c>
      <c r="AI86" s="93" t="s">
        <v>127</v>
      </c>
    </row>
    <row r="87" spans="2:50" x14ac:dyDescent="0.25">
      <c r="B87" s="12" t="s">
        <v>72</v>
      </c>
      <c r="C87" s="10">
        <f>C7/$L15</f>
        <v>2563.1818768135458</v>
      </c>
      <c r="D87" s="10">
        <f t="shared" ref="D87:P88" si="132">D7/$L15</f>
        <v>2563.1818768135458</v>
      </c>
      <c r="E87" s="10">
        <f t="shared" si="132"/>
        <v>2563.1818768135458</v>
      </c>
      <c r="F87" s="10">
        <f t="shared" si="132"/>
        <v>2563.1818768135458</v>
      </c>
      <c r="G87" s="10">
        <f t="shared" si="132"/>
        <v>640.79546920338646</v>
      </c>
      <c r="H87" s="10">
        <f t="shared" si="132"/>
        <v>901.11862856726225</v>
      </c>
      <c r="I87" s="10">
        <f t="shared" si="132"/>
        <v>2563.1818768135458</v>
      </c>
      <c r="J87" s="10">
        <f t="shared" si="132"/>
        <v>2563.1818768135458</v>
      </c>
      <c r="K87" s="10">
        <f t="shared" si="132"/>
        <v>2563.1818768135458</v>
      </c>
      <c r="L87" s="10">
        <f t="shared" si="132"/>
        <v>2563.1818768135458</v>
      </c>
      <c r="M87" s="10">
        <f t="shared" si="132"/>
        <v>2563.1818768135458</v>
      </c>
      <c r="N87" s="10">
        <f t="shared" si="132"/>
        <v>1281.5909384067729</v>
      </c>
      <c r="O87" s="10">
        <f t="shared" si="132"/>
        <v>640.79546920338646</v>
      </c>
      <c r="P87" s="10">
        <f t="shared" si="132"/>
        <v>2563.1818768135458</v>
      </c>
      <c r="R87" s="12" t="s">
        <v>72</v>
      </c>
      <c r="S87" s="10">
        <f>AVERAGE(C87:P87)</f>
        <v>2078.2942338225903</v>
      </c>
      <c r="T87" s="10">
        <f>AVERAGE(C87:P87)</f>
        <v>2078.2942338225903</v>
      </c>
      <c r="AI87" s="59"/>
      <c r="AJ87" s="61"/>
      <c r="AK87" s="89" t="s">
        <v>73</v>
      </c>
      <c r="AL87" s="89"/>
      <c r="AM87" s="89"/>
      <c r="AN87" s="89"/>
      <c r="AO87" s="89"/>
      <c r="AP87" s="92"/>
      <c r="AQ87" s="91" t="s">
        <v>121</v>
      </c>
      <c r="AR87" s="89"/>
      <c r="AS87" s="89"/>
      <c r="AT87" s="89"/>
      <c r="AU87" s="89"/>
      <c r="AV87" s="92"/>
      <c r="AW87" s="130"/>
    </row>
    <row r="88" spans="2:50" x14ac:dyDescent="0.25">
      <c r="B88" s="12" t="s">
        <v>100</v>
      </c>
      <c r="C88" s="10">
        <f>C8/$L16</f>
        <v>28.267820246360252</v>
      </c>
      <c r="D88" s="10">
        <f t="shared" si="132"/>
        <v>28.267820246360252</v>
      </c>
      <c r="E88" s="10">
        <f t="shared" si="132"/>
        <v>28.267820246360252</v>
      </c>
      <c r="F88" s="10">
        <f t="shared" si="132"/>
        <v>28.267820246360252</v>
      </c>
      <c r="G88" s="10">
        <f t="shared" si="132"/>
        <v>19.875811110722051</v>
      </c>
      <c r="H88" s="10">
        <f t="shared" si="132"/>
        <v>28.267820246360252</v>
      </c>
      <c r="I88" s="10">
        <f t="shared" si="132"/>
        <v>28.267820246360252</v>
      </c>
      <c r="J88" s="10">
        <f t="shared" si="132"/>
        <v>28.267820246360252</v>
      </c>
      <c r="K88" s="10">
        <f t="shared" si="132"/>
        <v>28.267820246360252</v>
      </c>
      <c r="L88" s="10">
        <f t="shared" si="132"/>
        <v>28.267820246360252</v>
      </c>
      <c r="M88" s="10">
        <f t="shared" si="132"/>
        <v>14.133910123180126</v>
      </c>
      <c r="N88" s="10">
        <f t="shared" si="132"/>
        <v>9.9379055553610254</v>
      </c>
      <c r="O88" s="10">
        <f t="shared" si="132"/>
        <v>28.267820246360252</v>
      </c>
      <c r="P88" s="10">
        <f t="shared" si="132"/>
        <v>28.267820246360252</v>
      </c>
      <c r="R88" s="12" t="s">
        <v>100</v>
      </c>
      <c r="S88" s="10">
        <f>AVERAGE(C88:P88)</f>
        <v>25.349546392801852</v>
      </c>
      <c r="T88" s="10">
        <f>AVERAGE(C88:P88)</f>
        <v>25.349546392801852</v>
      </c>
      <c r="AI88" s="53"/>
      <c r="AJ88" s="54"/>
      <c r="AK88" s="91" t="s">
        <v>77</v>
      </c>
      <c r="AL88" s="89"/>
      <c r="AM88" s="92"/>
      <c r="AN88" s="91" t="s">
        <v>78</v>
      </c>
      <c r="AO88" s="89"/>
      <c r="AP88" s="92"/>
      <c r="AQ88" s="91" t="s">
        <v>77</v>
      </c>
      <c r="AR88" s="89"/>
      <c r="AS88" s="92"/>
      <c r="AT88" s="91" t="s">
        <v>78</v>
      </c>
      <c r="AU88" s="89"/>
      <c r="AV88" s="92"/>
      <c r="AW88" s="131"/>
    </row>
    <row r="89" spans="2:5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2"/>
      <c r="S89" s="10"/>
      <c r="T89" s="10"/>
      <c r="AI89" s="53"/>
      <c r="AJ89" s="73" t="s">
        <v>71</v>
      </c>
      <c r="AK89" s="72" t="s">
        <v>74</v>
      </c>
      <c r="AL89" s="104" t="s">
        <v>75</v>
      </c>
      <c r="AM89" s="73" t="s">
        <v>76</v>
      </c>
      <c r="AN89" s="110" t="s">
        <v>74</v>
      </c>
      <c r="AO89" s="104" t="s">
        <v>75</v>
      </c>
      <c r="AP89" s="73" t="s">
        <v>76</v>
      </c>
      <c r="AQ89" s="72" t="s">
        <v>74</v>
      </c>
      <c r="AR89" s="104" t="s">
        <v>75</v>
      </c>
      <c r="AS89" s="73" t="s">
        <v>76</v>
      </c>
      <c r="AT89" s="72" t="s">
        <v>74</v>
      </c>
      <c r="AU89" s="104" t="s">
        <v>75</v>
      </c>
      <c r="AV89" s="73" t="s">
        <v>76</v>
      </c>
      <c r="AW89" s="132" t="s">
        <v>79</v>
      </c>
    </row>
    <row r="90" spans="2:50" x14ac:dyDescent="0.25">
      <c r="B90" s="87" t="s">
        <v>68</v>
      </c>
      <c r="C90" s="87"/>
      <c r="D90" s="85" t="s">
        <v>77</v>
      </c>
      <c r="E90" s="85"/>
      <c r="F90" s="85"/>
      <c r="G90" s="85" t="s">
        <v>78</v>
      </c>
      <c r="H90" s="85"/>
      <c r="I90" s="85"/>
      <c r="J90" s="85" t="s">
        <v>77</v>
      </c>
      <c r="K90" s="85"/>
      <c r="L90" s="85"/>
      <c r="M90" s="85" t="s">
        <v>78</v>
      </c>
      <c r="N90" s="85"/>
      <c r="O90" s="85"/>
      <c r="AI90" s="109" t="s">
        <v>26</v>
      </c>
      <c r="AJ90" s="125" cm="1">
        <f t="array" ref="AJ90">SQRT(SUMSQ($AK47:$AK50-AY38:AY41)/COUNTA($AK47:$AK50-AY38:AY41))</f>
        <v>89.809506536812734</v>
      </c>
      <c r="AK90" s="124" cm="1">
        <f t="array" ref="AK90">SQRT(SUMSQ($AK47:$AK50-AZ38:AZ41)/COUNTA($AK47:$AK50-AZ38:AZ41))</f>
        <v>89.809506536812734</v>
      </c>
      <c r="AL90" s="121" cm="1">
        <f t="array" ref="AL90">SQRT(SUMSQ($AK47:$AK50-BA38:BA41)/COUNTA($AK47:$AK50-BA38:BA41))</f>
        <v>95.982328964070035</v>
      </c>
      <c r="AM90" s="125" cm="1">
        <f t="array" ref="AM90">SQRT(SUMSQ($AK47:$AK50-BB38:BB41)/COUNTA($AK47:$AK50-BB38:BB41))</f>
        <v>95.982328964070035</v>
      </c>
      <c r="AN90" s="124" cm="1">
        <f t="array" ref="AN90">SQRT(SUMSQ($AK47:$AK50-BC38:BC41)/COUNTA($AK47:$AK50-BC38:BC41))</f>
        <v>29.680856283074338</v>
      </c>
      <c r="AO90" s="121" cm="1">
        <f t="array" ref="AO90">SQRT(SUMSQ($AK47:$AK50-BD38:BD41)/COUNTA($AK47:$AK50-BD38:BD41))</f>
        <v>58.923681050665593</v>
      </c>
      <c r="AP90" s="125" cm="1">
        <f t="array" ref="AP90">SQRT(SUMSQ($AK47:$AK50-BE38:BE41)/COUNTA($AK47:$AK50-BE38:BE41))</f>
        <v>95.982328964070035</v>
      </c>
      <c r="AQ90" s="124" cm="1">
        <f t="array" ref="AQ90">SQRT(SUMSQ($AK47:$AK50-BF38:BF41)/COUNTA($AK47:$AK50-BF38:BF41))</f>
        <v>55.719826521363721</v>
      </c>
      <c r="AR90" s="121" cm="1">
        <f t="array" ref="AR90">SQRT(SUMSQ($AK47:$AK50-BG38:BG41)/COUNTA($AK47:$AK50-BG38:BG41))</f>
        <v>78.99770920033481</v>
      </c>
      <c r="AS90" s="125" cm="1">
        <f t="array" ref="AS90">SQRT(SUMSQ($AK47:$AK50-BH38:BH41)/COUNTA($AK47:$AK50-BH38:BH41))</f>
        <v>85.950555948648812</v>
      </c>
      <c r="AT90" s="124" cm="1">
        <f t="array" ref="AT90">SQRT(SUMSQ($AK47:$AK50-BI38:BI41)/COUNTA($AK47:$AK50-BI38:BI41))</f>
        <v>57.43926412377072</v>
      </c>
      <c r="AU90" s="118" cm="1">
        <f t="array" ref="AU90">SQRT(SUMSQ($AK47:$AK50-BJ38:BJ41)/COUNTA($AK47:$AK50-BJ38:BJ41))</f>
        <v>26.452592124508865</v>
      </c>
      <c r="AV90" s="125" cm="1">
        <f t="array" ref="AV90">SQRT(SUMSQ($AK47:$AK50-BK38:BK41)/COUNTA($AK47:$AK50-BK38:BK41))</f>
        <v>38.79759766009969</v>
      </c>
      <c r="AW90" s="133" cm="1">
        <f t="array" ref="AW90">SQRT(SUMSQ($AK47:$AK50-BL38:BL41)/COUNTA($AK47:$AK50-BL38:BL41))</f>
        <v>66.227175479995026</v>
      </c>
      <c r="AX90" s="116">
        <f>MIN(AJ90:AW90)</f>
        <v>26.452592124508865</v>
      </c>
    </row>
    <row r="91" spans="2:50" x14ac:dyDescent="0.25">
      <c r="B91" t="s">
        <v>81</v>
      </c>
      <c r="C91" s="1" t="s">
        <v>71</v>
      </c>
      <c r="D91" s="1" t="s">
        <v>74</v>
      </c>
      <c r="E91" s="1" t="s">
        <v>75</v>
      </c>
      <c r="F91" s="1" t="s">
        <v>76</v>
      </c>
      <c r="G91" s="1" t="s">
        <v>74</v>
      </c>
      <c r="H91" s="1" t="s">
        <v>75</v>
      </c>
      <c r="I91" s="1" t="s">
        <v>76</v>
      </c>
      <c r="J91" s="1" t="s">
        <v>74</v>
      </c>
      <c r="K91" s="1" t="s">
        <v>75</v>
      </c>
      <c r="L91" s="1" t="s">
        <v>76</v>
      </c>
      <c r="M91" s="1" t="s">
        <v>74</v>
      </c>
      <c r="N91" s="1" t="s">
        <v>75</v>
      </c>
      <c r="O91" s="1" t="s">
        <v>76</v>
      </c>
      <c r="P91" s="1" t="s">
        <v>79</v>
      </c>
      <c r="R91" s="1"/>
      <c r="S91" s="1" t="s">
        <v>92</v>
      </c>
      <c r="T91" s="1" t="s">
        <v>91</v>
      </c>
      <c r="AH91" s="108" t="s">
        <v>124</v>
      </c>
      <c r="AI91" s="110" t="s">
        <v>41</v>
      </c>
      <c r="AJ91" s="125" cm="1">
        <f t="array" ref="AJ91">SQRT(SUMSQ($AL47:$AL50-AY$38:AY$41)/COUNTA($AL47:$AL50-AY$38:AY$41))</f>
        <v>93.196554684003573</v>
      </c>
      <c r="AK91" s="124" cm="1">
        <f t="array" ref="AK91">SQRT(SUMSQ($AL47:$AL50-AZ$38:AZ$41)/COUNTA($AL47:$AL50-AZ$38:AZ$41))</f>
        <v>93.196554684003573</v>
      </c>
      <c r="AL91" s="121" cm="1">
        <f t="array" ref="AL91">SQRT(SUMSQ($AL47:$AL50-BA$38:BA$41)/COUNTA($AL47:$AL50-BA$38:BA$41))</f>
        <v>86.248674763483024</v>
      </c>
      <c r="AM91" s="125" cm="1">
        <f t="array" ref="AM91">SQRT(SUMSQ($AL47:$AL50-BB$38:BB$41)/COUNTA($AL47:$AL50-BB$38:BB$41))</f>
        <v>86.248674763483024</v>
      </c>
      <c r="AN91" s="124" cm="1">
        <f t="array" ref="AN91">SQRT(SUMSQ($AL47:$AL50-BC$38:BC$41)/COUNTA($AL47:$AL50-BC$38:BC$41))</f>
        <v>58.729798679703883</v>
      </c>
      <c r="AO91" s="121" cm="1">
        <f t="array" ref="AO91">SQRT(SUMSQ($AL47:$AL50-BD$38:BD$41)/COUNTA($AL47:$AL50-BD$38:BD$41))</f>
        <v>75.48792663850034</v>
      </c>
      <c r="AP91" s="125" cm="1">
        <f t="array" ref="AP91">SQRT(SUMSQ($AL47:$AL50-BE$38:BE$41)/COUNTA($AL47:$AL50-BE$38:BE$41))</f>
        <v>86.248674763483024</v>
      </c>
      <c r="AQ91" s="124" cm="1">
        <f t="array" ref="AQ91">SQRT(SUMSQ($AL47:$AL50-BF$38:BF$41)/COUNTA($AL47:$AL50-BF$38:BF$41))</f>
        <v>61.422110006158974</v>
      </c>
      <c r="AR91" s="121" cm="1">
        <f t="array" ref="AR91">SQRT(SUMSQ($AL47:$AL50-BG$38:BG$41)/COUNTA($AL47:$AL50-BG$38:BG$41))</f>
        <v>82.223243147415801</v>
      </c>
      <c r="AS91" s="125" cm="1">
        <f t="array" ref="AS91">SQRT(SUMSQ($AL47:$AL50-BH$38:BH$41)/COUNTA($AL47:$AL50-BH$38:BH$41))</f>
        <v>74.255624751042703</v>
      </c>
      <c r="AT91" s="124" cm="1">
        <f t="array" ref="AT91">SQRT(SUMSQ($AL47:$AL50-BI$38:BI$41)/COUNTA($AL47:$AL50-BI$38:BI$41))</f>
        <v>71.861377323736221</v>
      </c>
      <c r="AU91" s="118" cm="1">
        <f t="array" ref="AU91">SQRT(SUMSQ($AL47:$AL50-BJ$38:BJ$41)/COUNTA($AL47:$AL50-BJ$38:BJ$41))</f>
        <v>50.935428201695402</v>
      </c>
      <c r="AV91" s="125" cm="1">
        <f t="array" ref="AV91">SQRT(SUMSQ($AL47:$AL50-BK$38:BK$41)/COUNTA($AL47:$AL50-BK$38:BK$41))</f>
        <v>54.763542923851787</v>
      </c>
      <c r="AW91" s="133" cm="1">
        <f t="array" ref="AW91">SQRT(SUMSQ($AL47:$AL50-BL$38:BL$41)/COUNTA($AL47:$AL50-BL$38:BL$41))</f>
        <v>76.699662412192893</v>
      </c>
      <c r="AX91" s="116">
        <f t="shared" ref="AX91:AX101" si="133">MIN(AJ91:AW91)</f>
        <v>50.935428201695402</v>
      </c>
    </row>
    <row r="92" spans="2:50" ht="15" customHeight="1" x14ac:dyDescent="0.25">
      <c r="B92" s="12" t="s">
        <v>42</v>
      </c>
      <c r="C92" s="10">
        <f>C4/$M12</f>
        <v>5.9674803317275753</v>
      </c>
      <c r="D92" s="10">
        <f t="shared" ref="D92:P92" si="134">D4/$M12</f>
        <v>5.9674803317275753</v>
      </c>
      <c r="E92" s="10">
        <f t="shared" si="134"/>
        <v>5.9674803317275753</v>
      </c>
      <c r="F92" s="10">
        <f t="shared" si="134"/>
        <v>5.9674803317275753</v>
      </c>
      <c r="G92" s="10">
        <f t="shared" si="134"/>
        <v>2.9837401658637877</v>
      </c>
      <c r="H92" s="10">
        <f t="shared" si="134"/>
        <v>5.9674803317275753</v>
      </c>
      <c r="I92" s="10">
        <f t="shared" si="134"/>
        <v>5.9674803317275753</v>
      </c>
      <c r="J92" s="10">
        <f t="shared" si="134"/>
        <v>2.0979423041229754</v>
      </c>
      <c r="K92" s="10">
        <f t="shared" si="134"/>
        <v>4.1958846082459509</v>
      </c>
      <c r="L92" s="10">
        <f t="shared" si="134"/>
        <v>4.1958846082459509</v>
      </c>
      <c r="M92" s="10">
        <f t="shared" si="134"/>
        <v>2.0979423041229754</v>
      </c>
      <c r="N92" s="10">
        <f t="shared" si="134"/>
        <v>2.0979423041229754</v>
      </c>
      <c r="O92" s="10">
        <f t="shared" si="134"/>
        <v>4.1958846082459509</v>
      </c>
      <c r="P92" s="10">
        <f t="shared" si="134"/>
        <v>4.1958846082459509</v>
      </c>
      <c r="R92" s="12" t="s">
        <v>42</v>
      </c>
      <c r="S92" s="10">
        <f>AVERAGE(C92:P92)</f>
        <v>4.4189991072558543</v>
      </c>
      <c r="T92" s="10">
        <f>_xlfn.STDEV.P(C92:P92)</f>
        <v>1.5308206765578065</v>
      </c>
      <c r="AH92" s="108"/>
      <c r="AI92" s="110" t="s">
        <v>40</v>
      </c>
      <c r="AJ92" s="125" cm="1">
        <f t="array" ref="AJ92">SQRT(SUMSQ($AM47:$AM50-AY$38:AY$41)/COUNTA($AM47:$AM50-AY$38:AY$41))</f>
        <v>75.586971783825391</v>
      </c>
      <c r="AK92" s="124" cm="1">
        <f t="array" ref="AK92">SQRT(SUMSQ($AM47:$AM50-AZ$38:AZ$41)/COUNTA($AM47:$AM50-AZ$38:AZ$41))</f>
        <v>75.586971783825391</v>
      </c>
      <c r="AL92" s="121" cm="1">
        <f t="array" ref="AL92">SQRT(SUMSQ($AM47:$AM50-BA$38:BA$41)/COUNTA($AM47:$AM50-BA$38:BA$41))</f>
        <v>71.834495435303978</v>
      </c>
      <c r="AM92" s="125" cm="1">
        <f t="array" ref="AM92">SQRT(SUMSQ($AM47:$AM50-BB$38:BB$41)/COUNTA($AM47:$AM50-BB$38:BB$41))</f>
        <v>71.834495435303978</v>
      </c>
      <c r="AN92" s="124" cm="1">
        <f t="array" ref="AN92">SQRT(SUMSQ($AM47:$AM50-BC$38:BC$41)/COUNTA($AM47:$AM50-BC$38:BC$41))</f>
        <v>53.791595571021013</v>
      </c>
      <c r="AO92" s="121" cm="1">
        <f t="array" ref="AO92">SQRT(SUMSQ($AM47:$AM50-BD$38:BD$41)/COUNTA($AM47:$AM50-BD$38:BD$41))</f>
        <v>71.294509013315874</v>
      </c>
      <c r="AP92" s="125" cm="1">
        <f t="array" ref="AP92">SQRT(SUMSQ($AM47:$AM50-BE$38:BE$41)/COUNTA($AM47:$AM50-BE$38:BE$41))</f>
        <v>71.834495435303978</v>
      </c>
      <c r="AQ92" s="117" cm="1">
        <f t="array" ref="AQ92">SQRT(SUMSQ($AM47:$AM50-BF$38:BF$41)/COUNTA($AM47:$AM50-BF$38:BF$41))</f>
        <v>40.603837576784748</v>
      </c>
      <c r="AR92" s="121" cm="1">
        <f t="array" ref="AR92">SQRT(SUMSQ($AM47:$AM50-BG$38:BG$41)/COUNTA($AM47:$AM50-BG$38:BG$41))</f>
        <v>62.07399709455602</v>
      </c>
      <c r="AS92" s="125" cm="1">
        <f t="array" ref="AS92">SQRT(SUMSQ($AM47:$AM50-BH$38:BH$41)/COUNTA($AM47:$AM50-BH$38:BH$41))</f>
        <v>57.445500661852023</v>
      </c>
      <c r="AT92" s="124" cm="1">
        <f t="array" ref="AT92">SQRT(SUMSQ($AM47:$AM50-BI$38:BI$41)/COUNTA($AM47:$AM50-BI$38:BI$41))</f>
        <v>51.896718686868553</v>
      </c>
      <c r="AU92" s="121" cm="1">
        <f t="array" ref="AU92">SQRT(SUMSQ($AM47:$AM50-BJ$38:BJ$41)/COUNTA($AM47:$AM50-BJ$38:BJ$41))</f>
        <v>42.146925097859715</v>
      </c>
      <c r="AV92" s="125" cm="1">
        <f t="array" ref="AV92">SQRT(SUMSQ($AM47:$AM50-BK$38:BK$41)/COUNTA($AM47:$AM50-BK$38:BK$41))</f>
        <v>53.753730816176123</v>
      </c>
      <c r="AW92" s="133" cm="1">
        <f t="array" ref="AW92">SQRT(SUMSQ($AM47:$AM50-BL$38:BL$41)/COUNTA($AM47:$AM50-BL$38:BL$41))</f>
        <v>58.959993743818963</v>
      </c>
      <c r="AX92" s="116">
        <f t="shared" si="133"/>
        <v>40.603837576784748</v>
      </c>
    </row>
    <row r="93" spans="2:50" x14ac:dyDescent="0.25">
      <c r="B93" s="12" t="s">
        <v>43</v>
      </c>
      <c r="C93" s="10">
        <f t="shared" ref="C93:P93" si="135">C5/$M13</f>
        <v>6.1422099156040337</v>
      </c>
      <c r="D93" s="10">
        <f t="shared" si="135"/>
        <v>6.1422099156040337</v>
      </c>
      <c r="E93" s="10">
        <f t="shared" si="135"/>
        <v>12.284419831208067</v>
      </c>
      <c r="F93" s="10">
        <f t="shared" si="135"/>
        <v>12.284419831208067</v>
      </c>
      <c r="G93" s="10">
        <f t="shared" si="135"/>
        <v>3.0711049578020169</v>
      </c>
      <c r="H93" s="10">
        <f t="shared" si="135"/>
        <v>4.3187413469090856</v>
      </c>
      <c r="I93" s="10">
        <f t="shared" si="135"/>
        <v>12.284419831208067</v>
      </c>
      <c r="J93" s="10">
        <f t="shared" si="135"/>
        <v>6.1422099156040337</v>
      </c>
      <c r="K93" s="10">
        <f t="shared" si="135"/>
        <v>6.1422099156040337</v>
      </c>
      <c r="L93" s="10">
        <f t="shared" si="135"/>
        <v>12.284419831208067</v>
      </c>
      <c r="M93" s="10">
        <f t="shared" si="135"/>
        <v>3.0711049578020169</v>
      </c>
      <c r="N93" s="10">
        <f t="shared" si="135"/>
        <v>4.3187413469090856</v>
      </c>
      <c r="O93" s="10">
        <f t="shared" si="135"/>
        <v>6.1422099156040337</v>
      </c>
      <c r="P93" s="10">
        <f t="shared" si="135"/>
        <v>4.3187413469090856</v>
      </c>
      <c r="R93" s="12" t="s">
        <v>43</v>
      </c>
      <c r="S93" s="10">
        <f>AVERAGE(C93:P93)</f>
        <v>7.0676544899416944</v>
      </c>
      <c r="T93" s="10">
        <f>_xlfn.STDEV.P(C93:P93)</f>
        <v>3.4615767209849762</v>
      </c>
      <c r="AH93" s="108"/>
      <c r="AI93" s="72" t="s">
        <v>39</v>
      </c>
      <c r="AJ93" s="125" cm="1">
        <f t="array" ref="AJ93">SQRT(SUMSQ($AN47:$AN50-AY$38:AY$41)/COUNTA($AN47:$AN50-AY$38:AY$41))</f>
        <v>83.063562653332852</v>
      </c>
      <c r="AK93" s="124" cm="1">
        <f t="array" ref="AK93">SQRT(SUMSQ($AN47:$AN50-AZ$38:AZ$41)/COUNTA($AN47:$AN50-AZ$38:AZ$41))</f>
        <v>83.063562653332852</v>
      </c>
      <c r="AL93" s="121" cm="1">
        <f t="array" ref="AL93">SQRT(SUMSQ($AN47:$AN50-BA$38:BA$41)/COUNTA($AN47:$AN50-BA$38:BA$41))</f>
        <v>94.704007290111292</v>
      </c>
      <c r="AM93" s="125" cm="1">
        <f t="array" ref="AM93">SQRT(SUMSQ($AN47:$AN50-BB$38:BB$41)/COUNTA($AN47:$AN50-BB$38:BB$41))</f>
        <v>94.704007290111292</v>
      </c>
      <c r="AN93" s="114" cm="1">
        <f t="array" ref="AN93">SQRT(SUMSQ($AN47:$AN50-BC$38:BC$41)/COUNTA($AN47:$AN50-BC$38:BC$41))</f>
        <v>21.668145799495193</v>
      </c>
      <c r="AO93" s="121" cm="1">
        <f t="array" ref="AO93">SQRT(SUMSQ($AN47:$AN50-BD$38:BD$41)/COUNTA($AN47:$AN50-BD$38:BD$41))</f>
        <v>53.075502262242679</v>
      </c>
      <c r="AP93" s="125" cm="1">
        <f t="array" ref="AP93">SQRT(SUMSQ($AN47:$AN50-BE$38:BE$41)/COUNTA($AN47:$AN50-BE$38:BE$41))</f>
        <v>94.704007290111292</v>
      </c>
      <c r="AQ93" s="124" cm="1">
        <f t="array" ref="AQ93">SQRT(SUMSQ($AN47:$AN50-BF$38:BF$41)/COUNTA($AN47:$AN50-BF$38:BF$41))</f>
        <v>48.712998139696609</v>
      </c>
      <c r="AR93" s="121" cm="1">
        <f t="array" ref="AR93">SQRT(SUMSQ($AN47:$AN50-BG$38:BG$41)/COUNTA($AN47:$AN50-BG$38:BG$41))</f>
        <v>72.547308005280073</v>
      </c>
      <c r="AS93" s="125" cm="1">
        <f t="array" ref="AS93">SQRT(SUMSQ($AN47:$AN50-BH$38:BH$41)/COUNTA($AN47:$AN50-BH$38:BH$41))</f>
        <v>85.629466043846591</v>
      </c>
      <c r="AT93" s="124" cm="1">
        <f t="array" ref="AT93">SQRT(SUMSQ($AN47:$AN50-BI$38:BI$41)/COUNTA($AN47:$AN50-BI$38:BI$41))</f>
        <v>45.894546622528416</v>
      </c>
      <c r="AU93" s="118" cm="1">
        <f t="array" ref="AU93">SQRT(SUMSQ($AN47:$AN50-BJ$38:BJ$41)/COUNTA($AN47:$AN50-BJ$38:BJ$41))</f>
        <v>16.876120203323882</v>
      </c>
      <c r="AV93" s="125" cm="1">
        <f t="array" ref="AV93">SQRT(SUMSQ($AN47:$AN50-BK$38:BK$41)/COUNTA($AN47:$AN50-BK$38:BK$41))</f>
        <v>37.821700401563788</v>
      </c>
      <c r="AW93" s="133" cm="1">
        <f t="array" ref="AW93">SQRT(SUMSQ($AN47:$AN50-BL$38:BL$41)/COUNTA($AN47:$AN50-BL$38:BL$41))</f>
        <v>56.187439265909717</v>
      </c>
      <c r="AX93" s="116">
        <f t="shared" si="133"/>
        <v>16.876120203323882</v>
      </c>
    </row>
    <row r="94" spans="2:50" x14ac:dyDescent="0.25">
      <c r="B94" s="12" t="s">
        <v>44</v>
      </c>
      <c r="C94" s="10">
        <f>C6/$M14</f>
        <v>1.9578689204450965</v>
      </c>
      <c r="D94" s="10">
        <f t="shared" ref="D94:P94" si="136">D6/$M14</f>
        <v>1.9578689204450965</v>
      </c>
      <c r="E94" s="10">
        <f t="shared" si="136"/>
        <v>1.9578689204450965</v>
      </c>
      <c r="F94" s="10">
        <f t="shared" si="136"/>
        <v>1.9578689204450965</v>
      </c>
      <c r="G94" s="10">
        <f t="shared" si="136"/>
        <v>0.6883132923439792</v>
      </c>
      <c r="H94" s="10">
        <f t="shared" si="136"/>
        <v>0.48946723011127413</v>
      </c>
      <c r="I94" s="10">
        <f t="shared" si="136"/>
        <v>1.9578689204450965</v>
      </c>
      <c r="J94" s="10">
        <f t="shared" si="136"/>
        <v>0.97893446022254826</v>
      </c>
      <c r="K94" s="10">
        <f t="shared" si="136"/>
        <v>1.9578689204450965</v>
      </c>
      <c r="L94" s="10">
        <f t="shared" si="136"/>
        <v>1.9578689204450965</v>
      </c>
      <c r="M94" s="10">
        <f t="shared" si="136"/>
        <v>0.97893446022254826</v>
      </c>
      <c r="N94" s="10">
        <f t="shared" si="136"/>
        <v>0.48946723011127413</v>
      </c>
      <c r="O94" s="10">
        <f t="shared" si="136"/>
        <v>0.48946723011127413</v>
      </c>
      <c r="P94" s="10">
        <f t="shared" si="136"/>
        <v>0.97893446022254826</v>
      </c>
      <c r="R94" s="12" t="s">
        <v>44</v>
      </c>
      <c r="S94" s="10">
        <f>AVERAGE(C94:P94)</f>
        <v>1.3427572004615083</v>
      </c>
      <c r="T94" s="10">
        <f>_xlfn.STDEV.P(C94:P94)</f>
        <v>0.63573613713025645</v>
      </c>
      <c r="AH94" s="108" t="s">
        <v>125</v>
      </c>
      <c r="AI94" s="72" t="s">
        <v>41</v>
      </c>
      <c r="AJ94" s="125" cm="1">
        <f t="array" ref="AJ94">SQRT(SUMSQ($AO47:$AO50-AY$38:AY$41)/COUNTA($AO47:$AO50-AY$38:AY$41))</f>
        <v>88.897916504247149</v>
      </c>
      <c r="AK94" s="124" cm="1">
        <f t="array" ref="AK94">SQRT(SUMSQ($AO47:$AO50-AZ$38:AZ$41)/COUNTA($AO47:$AO50-AZ$38:AZ$41))</f>
        <v>88.897916504247149</v>
      </c>
      <c r="AL94" s="121" cm="1">
        <f t="array" ref="AL94">SQRT(SUMSQ($AO47:$AO50-BA$38:BA$41)/COUNTA($AO47:$AO50-BA$38:BA$41))</f>
        <v>77.250900565717387</v>
      </c>
      <c r="AM94" s="125" cm="1">
        <f t="array" ref="AM94">SQRT(SUMSQ($AO47:$AO50-BB$38:BB$41)/COUNTA($AO47:$AO50-BB$38:BB$41))</f>
        <v>77.250900565717387</v>
      </c>
      <c r="AN94" s="124" cm="1">
        <f t="array" ref="AN94">SQRT(SUMSQ($AO47:$AO50-BC$38:BC$41)/COUNTA($AO47:$AO50-BC$38:BC$41))</f>
        <v>68.170963924325122</v>
      </c>
      <c r="AO94" s="121" cm="1">
        <f t="array" ref="AO94">SQRT(SUMSQ($AO47:$AO50-BD$38:BD$41)/COUNTA($AO47:$AO50-BD$38:BD$41))</f>
        <v>80.482722325616621</v>
      </c>
      <c r="AP94" s="125" cm="1">
        <f t="array" ref="AP94">SQRT(SUMSQ($AO47:$AO50-BE$38:BE$41)/COUNTA($AO47:$AO50-BE$38:BE$41))</f>
        <v>77.250900565717387</v>
      </c>
      <c r="AQ94" s="124" cm="1">
        <f t="array" ref="AQ94">SQRT(SUMSQ($AO47:$AO50-BF$38:BF$41)/COUNTA($AO47:$AO50-BF$38:BF$41))</f>
        <v>60.677540126462368</v>
      </c>
      <c r="AR94" s="121" cm="1">
        <f t="array" ref="AR94">SQRT(SUMSQ($AO47:$AO50-BG$38:BG$41)/COUNTA($AO47:$AO50-BG$38:BG$41))</f>
        <v>78.216885672196469</v>
      </c>
      <c r="AS94" s="125" cm="1">
        <f t="array" ref="AS94">SQRT(SUMSQ($AO47:$AO50-BH$38:BH$41)/COUNTA($AO47:$AO50-BH$38:BH$41))</f>
        <v>64.674131487602608</v>
      </c>
      <c r="AT94" s="124" cm="1">
        <f t="array" ref="AT94">SQRT(SUMSQ($AO47:$AO50-BI$38:BI$41)/COUNTA($AO47:$AO50-BI$38:BI$41))</f>
        <v>73.602532810286647</v>
      </c>
      <c r="AU94" s="118" cm="1">
        <f t="array" ref="AU94">SQRT(SUMSQ($AO47:$AO50-BJ$38:BJ$41)/COUNTA($AO47:$AO50-BJ$38:BJ$41))</f>
        <v>59.169584121146954</v>
      </c>
      <c r="AV94" s="125" cm="1">
        <f t="array" ref="AV94">SQRT(SUMSQ($AO47:$AO50-BK$38:BK$41)/COUNTA($AO47:$AO50-BK$38:BK$41))</f>
        <v>61.932246616126214</v>
      </c>
      <c r="AW94" s="133" cm="1">
        <f t="array" ref="AW94">SQRT(SUMSQ($AO47:$AO50-BL$38:BL$41)/COUNTA($AO47:$AO50-BL$38:BL$41))</f>
        <v>76.357870704015369</v>
      </c>
      <c r="AX94" s="116">
        <f t="shared" si="133"/>
        <v>59.169584121146954</v>
      </c>
    </row>
    <row r="95" spans="2:50" ht="15" customHeight="1" x14ac:dyDescent="0.25">
      <c r="B95" s="12" t="s">
        <v>72</v>
      </c>
      <c r="C95" s="10">
        <f>C7/$M15</f>
        <v>12.284419831208067</v>
      </c>
      <c r="D95" s="10">
        <f t="shared" ref="D95:P96" si="137">D7/$M15</f>
        <v>12.284419831208067</v>
      </c>
      <c r="E95" s="10">
        <f t="shared" si="137"/>
        <v>12.284419831208067</v>
      </c>
      <c r="F95" s="10">
        <f t="shared" si="137"/>
        <v>12.284419831208067</v>
      </c>
      <c r="G95" s="10">
        <f t="shared" si="137"/>
        <v>3.0711049578020169</v>
      </c>
      <c r="H95" s="10">
        <f t="shared" si="137"/>
        <v>4.3187413469090856</v>
      </c>
      <c r="I95" s="10">
        <f t="shared" si="137"/>
        <v>12.284419831208067</v>
      </c>
      <c r="J95" s="10">
        <f t="shared" si="137"/>
        <v>12.284419831208067</v>
      </c>
      <c r="K95" s="10">
        <f t="shared" si="137"/>
        <v>12.284419831208067</v>
      </c>
      <c r="L95" s="10">
        <f t="shared" si="137"/>
        <v>12.284419831208067</v>
      </c>
      <c r="M95" s="10">
        <f t="shared" si="137"/>
        <v>12.284419831208067</v>
      </c>
      <c r="N95" s="10">
        <f t="shared" si="137"/>
        <v>6.1422099156040337</v>
      </c>
      <c r="O95" s="10">
        <f t="shared" si="137"/>
        <v>3.0711049578020169</v>
      </c>
      <c r="P95" s="10">
        <f t="shared" si="137"/>
        <v>12.284419831208067</v>
      </c>
      <c r="R95" s="12" t="s">
        <v>72</v>
      </c>
      <c r="S95" s="10">
        <f>AVERAGE(C95:P95)</f>
        <v>9.9605256778712725</v>
      </c>
      <c r="T95" s="10">
        <f>AVERAGE(C95:P95)</f>
        <v>9.9605256778712725</v>
      </c>
      <c r="AH95" s="108"/>
      <c r="AI95" s="72" t="s">
        <v>40</v>
      </c>
      <c r="AJ95" s="125" cm="1">
        <f t="array" ref="AJ95">SQRT(SUMSQ($AP47:$AP50-AY$38:AY$41)/COUNTA($AP47:$AP50-AY$38:AY$41))</f>
        <v>63.14445686783769</v>
      </c>
      <c r="AK95" s="124" cm="1">
        <f t="array" ref="AK95">SQRT(SUMSQ($AP47:$AP50-AZ$38:AZ$41)/COUNTA($AP47:$AP50-AZ$38:AZ$41))</f>
        <v>63.14445686783769</v>
      </c>
      <c r="AL95" s="113" cm="1">
        <f t="array" ref="AL95">SQRT(SUMSQ($AP47:$AP50-BA$38:BA$41)/COUNTA($AP47:$AP50-BA$38:BA$41))</f>
        <v>59.104669755739067</v>
      </c>
      <c r="AM95" s="115" cm="1">
        <f t="array" ref="AM95">SQRT(SUMSQ($AP47:$AP50-BB$38:BB$41)/COUNTA($AP47:$AP50-BB$38:BB$41))</f>
        <v>59.104669755739067</v>
      </c>
      <c r="AN95" s="124" cm="1">
        <f t="array" ref="AN95">SQRT(SUMSQ($AP47:$AP50-BC$38:BC$41)/COUNTA($AP47:$AP50-BC$38:BC$41))</f>
        <v>53.982159399250911</v>
      </c>
      <c r="AO95" s="121" cm="1">
        <f t="array" ref="AO95">SQRT(SUMSQ($AP47:$AP50-BD$38:BD$41)/COUNTA($AP47:$AP50-BD$38:BD$41))</f>
        <v>66.450998529729489</v>
      </c>
      <c r="AP95" s="115" cm="1">
        <f t="array" ref="AP95">SQRT(SUMSQ($AP47:$AP50-BE$38:BE$41)/COUNTA($AP47:$AP50-BE$38:BE$41))</f>
        <v>59.104669755739067</v>
      </c>
      <c r="AQ95" s="117" cm="1">
        <f t="array" ref="AQ95">SQRT(SUMSQ($AP47:$AP50-BF$38:BF$41)/COUNTA($AP47:$AP50-BF$38:BF$41))</f>
        <v>31.529459551701514</v>
      </c>
      <c r="AR95" s="113" cm="1">
        <f t="array" ref="AR95">SQRT(SUMSQ($AP47:$AP50-BG$38:BG$41)/COUNTA($AP47:$AP50-BG$38:BG$41))</f>
        <v>50.058640352817235</v>
      </c>
      <c r="AS95" s="115" cm="1">
        <f t="array" ref="AS95">SQRT(SUMSQ($AP47:$AP50-BH$38:BH$41)/COUNTA($AP47:$AP50-BH$38:BH$41))</f>
        <v>44.855401322175965</v>
      </c>
      <c r="AT95" s="124" cm="1">
        <f t="array" ref="AT95">SQRT(SUMSQ($AP47:$AP50-BI$38:BI$41)/COUNTA($AP47:$AP50-BI$38:BI$41))</f>
        <v>44.8222828816427</v>
      </c>
      <c r="AU95" s="121" cm="1">
        <f t="array" ref="AU95">SQRT(SUMSQ($AP47:$AP50-BJ$38:BJ$41)/COUNTA($AP47:$AP50-BJ$38:BJ$41))</f>
        <v>42.119533902843777</v>
      </c>
      <c r="AV95" s="125" cm="1">
        <f t="array" ref="AV95">SQRT(SUMSQ($AP47:$AP50-BK$38:BK$41)/COUNTA($AP47:$AP50-BK$38:BK$41))</f>
        <v>52.249754353531365</v>
      </c>
      <c r="AW95" s="133" cm="1">
        <f t="array" ref="AW95">SQRT(SUMSQ($AP47:$AP50-BL$38:BL$41)/COUNTA($AP47:$AP50-BL$38:BL$41))</f>
        <v>48.533058583165136</v>
      </c>
      <c r="AX95" s="116">
        <f t="shared" si="133"/>
        <v>31.529459551701514</v>
      </c>
    </row>
    <row r="96" spans="2:50" x14ac:dyDescent="0.25">
      <c r="B96" s="12" t="s">
        <v>100</v>
      </c>
      <c r="C96" s="10">
        <f>C8/$M16</f>
        <v>4.0247291918125132</v>
      </c>
      <c r="D96" s="10">
        <f t="shared" si="137"/>
        <v>4.0247291918125132</v>
      </c>
      <c r="E96" s="10">
        <f t="shared" si="137"/>
        <v>4.0247291918125132</v>
      </c>
      <c r="F96" s="10">
        <f t="shared" si="137"/>
        <v>4.0247291918125132</v>
      </c>
      <c r="G96" s="10">
        <f t="shared" si="137"/>
        <v>2.8298877129931732</v>
      </c>
      <c r="H96" s="10">
        <f t="shared" si="137"/>
        <v>4.0247291918125132</v>
      </c>
      <c r="I96" s="10">
        <f t="shared" si="137"/>
        <v>4.0247291918125132</v>
      </c>
      <c r="J96" s="10">
        <f t="shared" si="137"/>
        <v>4.0247291918125132</v>
      </c>
      <c r="K96" s="10">
        <f t="shared" si="137"/>
        <v>4.0247291918125132</v>
      </c>
      <c r="L96" s="10">
        <f t="shared" si="137"/>
        <v>4.0247291918125132</v>
      </c>
      <c r="M96" s="10">
        <f t="shared" si="137"/>
        <v>2.0123645959062566</v>
      </c>
      <c r="N96" s="10">
        <f t="shared" si="137"/>
        <v>1.4149438564965866</v>
      </c>
      <c r="O96" s="10">
        <f t="shared" si="137"/>
        <v>4.0247291918125132</v>
      </c>
      <c r="P96" s="10">
        <f t="shared" si="137"/>
        <v>4.0247291918125132</v>
      </c>
      <c r="R96" s="12" t="s">
        <v>100</v>
      </c>
      <c r="S96" s="10">
        <f>AVERAGE(C96:P96)</f>
        <v>3.6092298053809748</v>
      </c>
      <c r="T96" s="10">
        <f>AVERAGE(C96:P96)</f>
        <v>3.6092298053809748</v>
      </c>
      <c r="AH96" s="108"/>
      <c r="AI96" s="72" t="s">
        <v>39</v>
      </c>
      <c r="AJ96" s="115" cm="1">
        <f t="array" ref="AJ96">SQRT(SUMSQ($AQ47:$AQ50-AY$38:AY$41)/COUNTA($AQ47:$AQ50-AY$38:AY$41))</f>
        <v>60.687171708556527</v>
      </c>
      <c r="AK96" s="114" cm="1">
        <f t="array" ref="AK96">SQRT(SUMSQ($AQ47:$AQ50-AZ$38:AZ$41)/COUNTA($AQ47:$AQ50-AZ$38:AZ$41))</f>
        <v>60.687171708556527</v>
      </c>
      <c r="AL96" s="121" cm="1">
        <f t="array" ref="AL96">SQRT(SUMSQ($AQ47:$AQ50-BA$38:BA$41)/COUNTA($AQ47:$AQ50-BA$38:BA$41))</f>
        <v>70.041372650338204</v>
      </c>
      <c r="AM96" s="125" cm="1">
        <f t="array" ref="AM96">SQRT(SUMSQ($AQ47:$AQ50-BB$38:BB$41)/COUNTA($AQ47:$AQ50-BB$38:BB$41))</f>
        <v>70.041372650338204</v>
      </c>
      <c r="AN96" s="124" cm="1">
        <f t="array" ref="AN96">SQRT(SUMSQ($AQ47:$AQ50-BC$38:BC$41)/COUNTA($AQ47:$AQ50-BC$38:BC$41))</f>
        <v>23.611654234637179</v>
      </c>
      <c r="AO96" s="113" cm="1">
        <f t="array" ref="AO96">SQRT(SUMSQ($AQ47:$AQ50-BD$38:BD$41)/COUNTA($AQ47:$AQ50-BD$38:BD$41))</f>
        <v>42.182385315294461</v>
      </c>
      <c r="AP96" s="125" cm="1">
        <f t="array" ref="AP96">SQRT(SUMSQ($AQ47:$AQ50-BE$38:BE$41)/COUNTA($AQ47:$AQ50-BE$38:BE$41))</f>
        <v>70.041372650338204</v>
      </c>
      <c r="AQ96" s="124" cm="1">
        <f t="array" ref="AQ96">SQRT(SUMSQ($AQ47:$AQ50-BF$38:BF$41)/COUNTA($AQ47:$AQ50-BF$38:BF$41))</f>
        <v>30.6408121550113</v>
      </c>
      <c r="AR96" s="121" cm="1">
        <f t="array" ref="AR96">SQRT(SUMSQ($AQ47:$AQ50-BG$38:BG$41)/COUNTA($AQ47:$AQ50-BG$38:BG$41))</f>
        <v>50.881734906163302</v>
      </c>
      <c r="AS96" s="125" cm="1">
        <f t="array" ref="AS96">SQRT(SUMSQ($AQ47:$AQ50-BH$38:BH$41)/COUNTA($AQ47:$AQ50-BH$38:BH$41))</f>
        <v>61.739873824140574</v>
      </c>
      <c r="AT96" s="124" cm="1">
        <f t="array" ref="AT96">SQRT(SUMSQ($AQ47:$AQ50-BI$38:BI$41)/COUNTA($AQ47:$AQ50-BI$38:BI$41))</f>
        <v>33.097263227324824</v>
      </c>
      <c r="AU96" s="118" cm="1">
        <f t="array" ref="AU96">SQRT(SUMSQ($AQ47:$AQ50-BJ$38:BJ$41)/COUNTA($AQ47:$AQ50-BJ$38:BJ$41))</f>
        <v>13.998133176883739</v>
      </c>
      <c r="AV96" s="115" cm="1">
        <f t="array" ref="AV96">SQRT(SUMSQ($AQ47:$AQ50-BK$38:BK$41)/COUNTA($AQ47:$AQ50-BK$38:BK$41))</f>
        <v>29.077676282673988</v>
      </c>
      <c r="AW96" s="135" cm="1">
        <f t="array" ref="AW96">SQRT(SUMSQ($AQ47:$AQ50-BL$38:BL$41)/COUNTA($AQ47:$AQ50-BL$38:BL$41))</f>
        <v>36.49420948883288</v>
      </c>
      <c r="AX96" s="116">
        <f t="shared" si="133"/>
        <v>13.998133176883739</v>
      </c>
    </row>
    <row r="97" spans="2:50" x14ac:dyDescent="0.25">
      <c r="B97" s="87" t="s">
        <v>67</v>
      </c>
      <c r="C97" s="87"/>
      <c r="D97" s="85" t="s">
        <v>77</v>
      </c>
      <c r="E97" s="85"/>
      <c r="F97" s="85"/>
      <c r="G97" s="85" t="s">
        <v>78</v>
      </c>
      <c r="H97" s="85"/>
      <c r="I97" s="85"/>
      <c r="J97" s="85" t="s">
        <v>77</v>
      </c>
      <c r="K97" s="85"/>
      <c r="L97" s="85"/>
      <c r="M97" s="85" t="s">
        <v>78</v>
      </c>
      <c r="N97" s="85"/>
      <c r="O97" s="85"/>
      <c r="AH97" s="108" t="s">
        <v>126</v>
      </c>
      <c r="AI97" s="72" t="s">
        <v>41</v>
      </c>
      <c r="AJ97" s="125" cm="1">
        <f t="array" ref="AJ97">SQRT(SUMSQ($AR47:$AR50-AY$38:AY$41)/COUNTA($AR47:$AR50-AY$38:AY$41))</f>
        <v>93.371933621572779</v>
      </c>
      <c r="AK97" s="124" cm="1">
        <f t="array" ref="AK97">SQRT(SUMSQ($AR47:$AR50-AZ$38:AZ$41)/COUNTA($AR47:$AR50-AZ$38:AZ$41))</f>
        <v>93.371933621572779</v>
      </c>
      <c r="AL97" s="121" cm="1">
        <f t="array" ref="AL97">SQRT(SUMSQ($AR47:$AR50-BA$38:BA$41)/COUNTA($AR47:$AR50-BA$38:BA$41))</f>
        <v>82.031340944509353</v>
      </c>
      <c r="AM97" s="125" cm="1">
        <f t="array" ref="AM97">SQRT(SUMSQ($AR47:$AR50-BB$38:BB$41)/COUNTA($AR47:$AR50-BB$38:BB$41))</f>
        <v>82.031340944509353</v>
      </c>
      <c r="AN97" s="124" cm="1">
        <f t="array" ref="AN97">SQRT(SUMSQ($AR47:$AR50-BC$38:BC$41)/COUNTA($AR47:$AR50-BC$38:BC$41))</f>
        <v>68.974078500808602</v>
      </c>
      <c r="AO97" s="121" cm="1">
        <f t="array" ref="AO97">SQRT(SUMSQ($AR47:$AR50-BD$38:BD$41)/COUNTA($AR47:$AR50-BD$38:BD$41))</f>
        <v>81.877531668976843</v>
      </c>
      <c r="AP97" s="125" cm="1">
        <f t="array" ref="AP97">SQRT(SUMSQ($AR47:$AR50-BE$38:BE$41)/COUNTA($AR47:$AR50-BE$38:BE$41))</f>
        <v>82.031340944509353</v>
      </c>
      <c r="AQ97" s="124" cm="1">
        <f t="array" ref="AQ97">SQRT(SUMSQ($AR47:$AR50-BF$38:BF$41)/COUNTA($AR47:$AR50-BF$38:BF$41))</f>
        <v>64.154504474788041</v>
      </c>
      <c r="AR97" s="121" cm="1">
        <f t="array" ref="AR97">SQRT(SUMSQ($AR47:$AR50-BG$38:BG$41)/COUNTA($AR47:$AR50-BG$38:BG$41))</f>
        <v>82.811681170839435</v>
      </c>
      <c r="AS97" s="125" cm="1">
        <f t="array" ref="AS97">SQRT(SUMSQ($AR47:$AR50-BH$38:BH$41)/COUNTA($AR47:$AR50-BH$38:BH$41))</f>
        <v>69.775335522401505</v>
      </c>
      <c r="AT97" s="124" cm="1">
        <f t="array" ref="AT97">SQRT(SUMSQ($AR47:$AR50-BI$38:BI$41)/COUNTA($AR47:$AR50-BI$38:BI$41))</f>
        <v>76.670652729347026</v>
      </c>
      <c r="AU97" s="118" cm="1">
        <f t="array" ref="AU97">SQRT(SUMSQ($AR47:$AR50-BJ$38:BJ$41)/COUNTA($AR47:$AR50-BJ$38:BJ$41))</f>
        <v>60.221482584316213</v>
      </c>
      <c r="AV97" s="125" cm="1">
        <f t="array" ref="AV97">SQRT(SUMSQ($AR47:$AR50-BK$38:BK$41)/COUNTA($AR47:$AR50-BK$38:BK$41))</f>
        <v>62.661768076010063</v>
      </c>
      <c r="AW97" s="133" cm="1">
        <f t="array" ref="AW97">SQRT(SUMSQ($AR47:$AR50-BL$38:BL$41)/COUNTA($AR47:$AR50-BL$38:BL$41))</f>
        <v>79.812984728974271</v>
      </c>
      <c r="AX97" s="116">
        <f t="shared" si="133"/>
        <v>60.221482584316213</v>
      </c>
    </row>
    <row r="98" spans="2:50" ht="15" customHeight="1" x14ac:dyDescent="0.25">
      <c r="B98" t="s">
        <v>81</v>
      </c>
      <c r="C98" s="1" t="s">
        <v>71</v>
      </c>
      <c r="D98" s="1" t="s">
        <v>74</v>
      </c>
      <c r="E98" s="1" t="s">
        <v>75</v>
      </c>
      <c r="F98" s="1" t="s">
        <v>76</v>
      </c>
      <c r="G98" s="1" t="s">
        <v>74</v>
      </c>
      <c r="H98" s="1" t="s">
        <v>75</v>
      </c>
      <c r="I98" s="1" t="s">
        <v>76</v>
      </c>
      <c r="J98" s="1" t="s">
        <v>74</v>
      </c>
      <c r="K98" s="1" t="s">
        <v>75</v>
      </c>
      <c r="L98" s="1" t="s">
        <v>76</v>
      </c>
      <c r="M98" s="1" t="s">
        <v>74</v>
      </c>
      <c r="N98" s="1" t="s">
        <v>75</v>
      </c>
      <c r="O98" s="1" t="s">
        <v>76</v>
      </c>
      <c r="P98" s="1" t="s">
        <v>79</v>
      </c>
      <c r="R98" s="1"/>
      <c r="S98" s="1" t="s">
        <v>92</v>
      </c>
      <c r="T98" s="1" t="s">
        <v>91</v>
      </c>
      <c r="AH98" s="108"/>
      <c r="AI98" s="72" t="s">
        <v>40</v>
      </c>
      <c r="AJ98" s="125" cm="1">
        <f t="array" ref="AJ98">SQRT(SUMSQ($AS47:$AS50-AY$38:AY$41)/COUNTA($AS47:$AS50-AY$38:AY$41))</f>
        <v>73.726686094873799</v>
      </c>
      <c r="AK98" s="124" cm="1">
        <f t="array" ref="AK98">SQRT(SUMSQ($AS47:$AS50-AZ$38:AZ$41)/COUNTA($AS47:$AS50-AZ$38:AZ$41))</f>
        <v>73.726686094873799</v>
      </c>
      <c r="AL98" s="121" cm="1">
        <f t="array" ref="AL98">SQRT(SUMSQ($AS47:$AS50-BA$38:BA$41)/COUNTA($AS47:$AS50-BA$38:BA$41))</f>
        <v>62.492427461982452</v>
      </c>
      <c r="AM98" s="125" cm="1">
        <f t="array" ref="AM98">SQRT(SUMSQ($AS47:$AS50-BB$38:BB$41)/COUNTA($AS47:$AS50-BB$38:BB$41))</f>
        <v>62.492427461982452</v>
      </c>
      <c r="AN98" s="124" cm="1">
        <f t="array" ref="AN98">SQRT(SUMSQ($AS47:$AS50-BC$38:BC$41)/COUNTA($AS47:$AS50-BC$38:BC$41))</f>
        <v>71.563579853674213</v>
      </c>
      <c r="AO98" s="121" cm="1">
        <f t="array" ref="AO98">SQRT(SUMSQ($AS47:$AS50-BD$38:BD$41)/COUNTA($AS47:$AS50-BD$38:BD$41))</f>
        <v>82.067846295012501</v>
      </c>
      <c r="AP98" s="125" cm="1">
        <f t="array" ref="AP98">SQRT(SUMSQ($AS47:$AS50-BE$38:BE$41)/COUNTA($AS47:$AS50-BE$38:BE$41))</f>
        <v>62.492427461982452</v>
      </c>
      <c r="AQ98" s="117" cm="1">
        <f t="array" ref="AQ98">SQRT(SUMSQ($AS47:$AS50-BF$38:BF$41)/COUNTA($AS47:$AS50-BF$38:BF$41))</f>
        <v>44.262541583583385</v>
      </c>
      <c r="AR98" s="121" cm="1">
        <f t="array" ref="AR98">SQRT(SUMSQ($AS47:$AS50-BG$38:BG$41)/COUNTA($AS47:$AS50-BG$38:BG$41))</f>
        <v>60.979694127602151</v>
      </c>
      <c r="AS98" s="125" cm="1">
        <f t="array" ref="AS98">SQRT(SUMSQ($AS47:$AS50-BH$38:BH$41)/COUNTA($AS47:$AS50-BH$38:BH$41))</f>
        <v>46.778225099451973</v>
      </c>
      <c r="AT98" s="124" cm="1">
        <f t="array" ref="AT98">SQRT(SUMSQ($AS47:$AS50-BI$38:BI$41)/COUNTA($AS47:$AS50-BI$38:BI$41))</f>
        <v>59.095964021741004</v>
      </c>
      <c r="AU98" s="121" cm="1">
        <f t="array" ref="AU98">SQRT(SUMSQ($AS47:$AS50-BJ$38:BJ$41)/COUNTA($AS47:$AS50-BJ$38:BJ$41))</f>
        <v>58.825417779577563</v>
      </c>
      <c r="AV98" s="125" cm="1">
        <f t="array" ref="AV98">SQRT(SUMSQ($AS47:$AS50-BK$38:BK$41)/COUNTA($AS47:$AS50-BK$38:BK$41))</f>
        <v>67.725877463367951</v>
      </c>
      <c r="AW98" s="133" cm="1">
        <f t="array" ref="AW98">SQRT(SUMSQ($AS47:$AS50-BL$38:BL$41)/COUNTA($AS47:$AS50-BL$38:BL$41))</f>
        <v>62.509165835217921</v>
      </c>
      <c r="AX98" s="116">
        <f t="shared" si="133"/>
        <v>44.262541583583385</v>
      </c>
    </row>
    <row r="99" spans="2:50" x14ac:dyDescent="0.25">
      <c r="B99" s="12" t="s">
        <v>42</v>
      </c>
      <c r="C99" s="10">
        <f>C4/$N12</f>
        <v>5.5510804240147023</v>
      </c>
      <c r="D99" s="10">
        <f t="shared" ref="D99:O99" si="138">D4/$N12</f>
        <v>5.5510804240147023</v>
      </c>
      <c r="E99" s="10">
        <f t="shared" si="138"/>
        <v>5.5510804240147023</v>
      </c>
      <c r="F99" s="10">
        <f t="shared" si="138"/>
        <v>5.5510804240147023</v>
      </c>
      <c r="G99" s="10">
        <f t="shared" si="138"/>
        <v>2.7755402120073511</v>
      </c>
      <c r="H99" s="10">
        <f t="shared" si="138"/>
        <v>5.5510804240147023</v>
      </c>
      <c r="I99" s="10">
        <f t="shared" si="138"/>
        <v>5.5510804240147023</v>
      </c>
      <c r="J99" s="10">
        <f t="shared" si="138"/>
        <v>1.9515517115676686</v>
      </c>
      <c r="K99" s="10">
        <f t="shared" si="138"/>
        <v>3.9031034231353372</v>
      </c>
      <c r="L99" s="10">
        <f t="shared" si="138"/>
        <v>3.9031034231353372</v>
      </c>
      <c r="M99" s="10">
        <f t="shared" si="138"/>
        <v>1.9515517115676686</v>
      </c>
      <c r="N99" s="10">
        <f t="shared" si="138"/>
        <v>1.9515517115676686</v>
      </c>
      <c r="O99" s="10">
        <f t="shared" si="138"/>
        <v>3.9031034231353372</v>
      </c>
      <c r="P99" s="10">
        <f>P4/$N12</f>
        <v>3.9031034231353372</v>
      </c>
      <c r="R99" s="12" t="s">
        <v>42</v>
      </c>
      <c r="S99" s="10">
        <f>AVERAGE(C99:P99)</f>
        <v>4.1106493988099926</v>
      </c>
      <c r="T99" s="10">
        <f>_xlfn.STDEV.P(C99:P99)</f>
        <v>1.4240027981553345</v>
      </c>
      <c r="AH99" s="108"/>
      <c r="AI99" s="72" t="s">
        <v>39</v>
      </c>
      <c r="AJ99" s="125" cm="1">
        <f t="array" ref="AJ99">SQRT(SUMSQ($AT47:$AT50-AY$38:AY$41)/COUNTA($AT47:$AT50-AY$38:AY$41))</f>
        <v>66.873685601298504</v>
      </c>
      <c r="AK99" s="124" cm="1">
        <f t="array" ref="AK99">SQRT(SUMSQ($AT47:$AT50-AZ$38:AZ$41)/COUNTA($AT47:$AT50-AZ$38:AZ$41))</f>
        <v>66.873685601298504</v>
      </c>
      <c r="AL99" s="121" cm="1">
        <f t="array" ref="AL99">SQRT(SUMSQ($AT47:$AT50-BA$38:BA$41)/COUNTA($AT47:$AT50-BA$38:BA$41))</f>
        <v>77.03275195316894</v>
      </c>
      <c r="AM99" s="125" cm="1">
        <f t="array" ref="AM99">SQRT(SUMSQ($AT47:$AT50-BB$38:BB$41)/COUNTA($AT47:$AT50-BB$38:BB$41))</f>
        <v>77.03275195316894</v>
      </c>
      <c r="AN99" s="124" cm="1">
        <f t="array" ref="AN99">SQRT(SUMSQ($AT47:$AT50-BC$38:BC$41)/COUNTA($AT47:$AT50-BC$38:BC$41))</f>
        <v>26.136040111065871</v>
      </c>
      <c r="AO99" s="121" cm="1">
        <f t="array" ref="AO99">SQRT(SUMSQ($AT47:$AT50-BD$38:BD$41)/COUNTA($AT47:$AT50-BD$38:BD$41))</f>
        <v>47.712563432782083</v>
      </c>
      <c r="AP99" s="125" cm="1">
        <f t="array" ref="AP99">SQRT(SUMSQ($AT47:$AT50-BE$38:BE$41)/COUNTA($AT47:$AT50-BE$38:BE$41))</f>
        <v>77.03275195316894</v>
      </c>
      <c r="AQ99" s="114" cm="1">
        <f t="array" ref="AQ99">SQRT(SUMSQ($AT47:$AT50-BF$38:BF$41)/COUNTA($AT47:$AT50-BF$38:BF$41))</f>
        <v>29.607351501582833</v>
      </c>
      <c r="AR99" s="121" cm="1">
        <f t="array" ref="AR99">SQRT(SUMSQ($AT47:$AT50-BG$38:BG$41)/COUNTA($AT47:$AT50-BG$38:BG$41))</f>
        <v>55.925820164054663</v>
      </c>
      <c r="AS99" s="125" cm="1">
        <f t="array" ref="AS99">SQRT(SUMSQ($AT47:$AT50-BH$38:BH$41)/COUNTA($AT47:$AT50-BH$38:BH$41))</f>
        <v>67.746973427595393</v>
      </c>
      <c r="AT99" s="114" cm="1">
        <f t="array" ref="AT99">SQRT(SUMSQ($AT47:$AT50-BI$38:BI$41)/COUNTA($AT47:$AT50-BI$38:BI$41))</f>
        <v>30.226110221954002</v>
      </c>
      <c r="AU99" s="123" cm="1">
        <f t="array" ref="AU99">SQRT(SUMSQ($AT47:$AT50-BJ$38:BJ$41)/COUNTA($AT47:$AT50-BJ$38:BJ$41))</f>
        <v>9.6013317413081669</v>
      </c>
      <c r="AV99" s="125" cm="1">
        <f t="array" ref="AV99">SQRT(SUMSQ($AT47:$AT50-BK$38:BK$41)/COUNTA($AT47:$AT50-BK$38:BK$41))</f>
        <v>34.642869227203647</v>
      </c>
      <c r="AW99" s="133" cm="1">
        <f t="array" ref="AW99">SQRT(SUMSQ($AT47:$AT50-BL$38:BL$41)/COUNTA($AT47:$AT50-BL$38:BL$41))</f>
        <v>38.666795401200766</v>
      </c>
      <c r="AX99" s="116">
        <f t="shared" si="133"/>
        <v>9.6013317413081669</v>
      </c>
    </row>
    <row r="100" spans="2:50" x14ac:dyDescent="0.25">
      <c r="B100" s="12" t="s">
        <v>43</v>
      </c>
      <c r="C100" s="10">
        <f>C5/$N13</f>
        <v>6.2467528708936424</v>
      </c>
      <c r="D100" s="10">
        <f t="shared" ref="D100:O100" si="139">D5/$N13</f>
        <v>6.2467528708936424</v>
      </c>
      <c r="E100" s="10">
        <f t="shared" si="139"/>
        <v>12.493505741787285</v>
      </c>
      <c r="F100" s="10">
        <f t="shared" si="139"/>
        <v>12.493505741787285</v>
      </c>
      <c r="G100" s="10">
        <f t="shared" si="139"/>
        <v>3.1233764354468212</v>
      </c>
      <c r="H100" s="10">
        <f t="shared" si="139"/>
        <v>4.392248112347092</v>
      </c>
      <c r="I100" s="10">
        <f t="shared" si="139"/>
        <v>12.493505741787285</v>
      </c>
      <c r="J100" s="10">
        <f t="shared" si="139"/>
        <v>6.2467528708936424</v>
      </c>
      <c r="K100" s="10">
        <f t="shared" si="139"/>
        <v>6.2467528708936424</v>
      </c>
      <c r="L100" s="10">
        <f t="shared" si="139"/>
        <v>12.493505741787285</v>
      </c>
      <c r="M100" s="10">
        <f t="shared" si="139"/>
        <v>3.1233764354468212</v>
      </c>
      <c r="N100" s="10">
        <f t="shared" si="139"/>
        <v>4.392248112347092</v>
      </c>
      <c r="O100" s="10">
        <f t="shared" si="139"/>
        <v>6.2467528708936424</v>
      </c>
      <c r="P100" s="10">
        <f t="shared" ref="P100" si="140">P5/$N13</f>
        <v>4.392248112347092</v>
      </c>
      <c r="R100" s="12" t="s">
        <v>43</v>
      </c>
      <c r="S100" s="10">
        <f>AVERAGE(C100:P100)</f>
        <v>7.1879488949680184</v>
      </c>
      <c r="T100" s="10">
        <f>_xlfn.STDEV.P(C100:P100)</f>
        <v>3.5204941896722843</v>
      </c>
      <c r="AI100" s="109" t="s">
        <v>68</v>
      </c>
      <c r="AJ100" s="125" cm="1">
        <f t="array" ref="AJ100">SQRT(SUMSQ($AU47:$AU50-AY$38:AY$41)/COUNTA($AU47:$AU50-AY$38:AY$41))</f>
        <v>87.994072809483669</v>
      </c>
      <c r="AK100" s="124" cm="1">
        <f t="array" ref="AK100">SQRT(SUMSQ($AU47:$AU50-AZ$38:AZ$41)/COUNTA($AU47:$AU50-AZ$38:AZ$41))</f>
        <v>87.994072809483669</v>
      </c>
      <c r="AL100" s="121" cm="1">
        <f t="array" ref="AL100">SQRT(SUMSQ($AU47:$AU50-BA$38:BA$41)/COUNTA($AU47:$AU50-BA$38:BA$41))</f>
        <v>90.909086399249034</v>
      </c>
      <c r="AM100" s="125" cm="1">
        <f t="array" ref="AM100">SQRT(SUMSQ($AU47:$AU50-BB$38:BB$41)/COUNTA($AU47:$AU50-BB$38:BB$41))</f>
        <v>90.909086399249034</v>
      </c>
      <c r="AN100" s="124" cm="1">
        <f t="array" ref="AN100">SQRT(SUMSQ($AU47:$AU50-BC$38:BC$41)/COUNTA($AU47:$AU50-BC$38:BC$41))</f>
        <v>34.968128875930304</v>
      </c>
      <c r="AO100" s="121" cm="1">
        <f t="array" ref="AO100">SQRT(SUMSQ($AU47:$AU50-BD$38:BD$41)/COUNTA($AU47:$AU50-BD$38:BD$41))</f>
        <v>60.567432666334071</v>
      </c>
      <c r="AP100" s="125" cm="1">
        <f t="array" ref="AP100">SQRT(SUMSQ($AU47:$AU50-BE$38:BE$41)/COUNTA($AU47:$AU50-BE$38:BE$41))</f>
        <v>90.909086399249034</v>
      </c>
      <c r="AQ100" s="124" cm="1">
        <f t="array" ref="AQ100">SQRT(SUMSQ($AU47:$AU50-BF$38:BF$41)/COUNTA($AU47:$AU50-BF$38:BF$41))</f>
        <v>53.774537214825955</v>
      </c>
      <c r="AR100" s="121" cm="1">
        <f t="array" ref="AR100">SQRT(SUMSQ($AU47:$AU50-BG$38:BG$41)/COUNTA($AU47:$AU50-BG$38:BG$41))</f>
        <v>76.962561340222877</v>
      </c>
      <c r="AS100" s="125" cm="1">
        <f t="array" ref="AS100">SQRT(SUMSQ($AU47:$AU50-BH$38:BH$41)/COUNTA($AU47:$AU50-BH$38:BH$41))</f>
        <v>80.279144168289321</v>
      </c>
      <c r="AT100" s="124" cm="1">
        <f t="array" ref="AT100">SQRT(SUMSQ($AU47:$AU50-BI$38:BI$41)/COUNTA($AU47:$AU50-BI$38:BI$41))</f>
        <v>58.300499847737115</v>
      </c>
      <c r="AU100" s="118" cm="1">
        <f t="array" ref="AU100">SQRT(SUMSQ($AU47:$AU50-BJ$38:BJ$41)/COUNTA($AU47:$AU50-BJ$38:BJ$41))</f>
        <v>29.414723304408522</v>
      </c>
      <c r="AV100" s="125" cm="1">
        <f t="array" ref="AV100">SQRT(SUMSQ($AU47:$AU50-BK$38:BK$41)/COUNTA($AU47:$AU50-BK$38:BK$41))</f>
        <v>39.377875446507552</v>
      </c>
      <c r="AW100" s="133" cm="1">
        <f t="array" ref="AW100">SQRT(SUMSQ($AU47:$AU50-BL$38:BL$41)/COUNTA($AU47:$AU50-BL$38:BL$41))</f>
        <v>65.972053015847578</v>
      </c>
      <c r="AX100" s="116">
        <f t="shared" si="133"/>
        <v>29.414723304408522</v>
      </c>
    </row>
    <row r="101" spans="2:50" x14ac:dyDescent="0.25">
      <c r="B101" s="12" t="s">
        <v>44</v>
      </c>
      <c r="C101" s="10">
        <f>C6/$N14</f>
        <v>1.6303704210408669</v>
      </c>
      <c r="D101" s="10">
        <f t="shared" ref="D101:O101" si="141">D6/$N14</f>
        <v>1.6303704210408669</v>
      </c>
      <c r="E101" s="10">
        <f t="shared" si="141"/>
        <v>1.6303704210408669</v>
      </c>
      <c r="F101" s="10">
        <f t="shared" si="141"/>
        <v>1.6303704210408669</v>
      </c>
      <c r="G101" s="10">
        <f t="shared" si="141"/>
        <v>0.57317710114717979</v>
      </c>
      <c r="H101" s="10">
        <f t="shared" si="141"/>
        <v>0.40759260526021673</v>
      </c>
      <c r="I101" s="10">
        <f t="shared" si="141"/>
        <v>1.6303704210408669</v>
      </c>
      <c r="J101" s="10">
        <f t="shared" si="141"/>
        <v>0.81518521052043347</v>
      </c>
      <c r="K101" s="10">
        <f t="shared" si="141"/>
        <v>1.6303704210408669</v>
      </c>
      <c r="L101" s="10">
        <f t="shared" si="141"/>
        <v>1.6303704210408669</v>
      </c>
      <c r="M101" s="10">
        <f t="shared" si="141"/>
        <v>0.81518521052043347</v>
      </c>
      <c r="N101" s="10">
        <f t="shared" si="141"/>
        <v>0.40759260526021673</v>
      </c>
      <c r="O101" s="10">
        <f t="shared" si="141"/>
        <v>0.40759260526021673</v>
      </c>
      <c r="P101" s="10">
        <f t="shared" ref="P101" si="142">P6/$N14</f>
        <v>0.81518521052043347</v>
      </c>
      <c r="R101" s="12" t="s">
        <v>44</v>
      </c>
      <c r="S101" s="10">
        <f>AVERAGE(C101:P101)</f>
        <v>1.1181502496982283</v>
      </c>
      <c r="T101" s="10">
        <f>_xlfn.STDEV.P(C101:P101)</f>
        <v>0.52939468150315128</v>
      </c>
      <c r="AI101" s="111" t="s">
        <v>67</v>
      </c>
      <c r="AJ101" s="128" cm="1">
        <f t="array" ref="AJ101">SQRT(SUMSQ($AV47:$AV50-AY$38:AY$41)/COUNTA($AV47:$AV50-AY$38:AY$41))</f>
        <v>87.054081047101107</v>
      </c>
      <c r="AK101" s="127" cm="1">
        <f t="array" ref="AK101">SQRT(SUMSQ($AV47:$AV50-AZ$38:AZ$41)/COUNTA($AV47:$AV50-AZ$38:AZ$41))</f>
        <v>87.054081047101107</v>
      </c>
      <c r="AL101" s="126" cm="1">
        <f t="array" ref="AL101">SQRT(SUMSQ($AV47:$AV50-BA$38:BA$41)/COUNTA($AV47:$AV50-BA$38:BA$41))</f>
        <v>86.54210947661997</v>
      </c>
      <c r="AM101" s="128" cm="1">
        <f t="array" ref="AM101">SQRT(SUMSQ($AV47:$AV50-BB$38:BB$41)/COUNTA($AV47:$AV50-BB$38:BB$41))</f>
        <v>86.54210947661997</v>
      </c>
      <c r="AN101" s="127" cm="1">
        <f t="array" ref="AN101">SQRT(SUMSQ($AV47:$AV50-BC$38:BC$41)/COUNTA($AV47:$AV50-BC$38:BC$41))</f>
        <v>41.805731831646845</v>
      </c>
      <c r="AO101" s="126" cm="1">
        <f t="array" ref="AO101">SQRT(SUMSQ($AV47:$AV50-BD$38:BD$41)/COUNTA($AV47:$AV50-BD$38:BD$41))</f>
        <v>63.736029507023673</v>
      </c>
      <c r="AP101" s="128" cm="1">
        <f t="array" ref="AP101">SQRT(SUMSQ($AV47:$AV50-BE$38:BE$41)/COUNTA($AV47:$AV50-BE$38:BE$41))</f>
        <v>86.54210947661997</v>
      </c>
      <c r="AQ101" s="127" cm="1">
        <f t="array" ref="AQ101">SQRT(SUMSQ($AV47:$AV50-BF$38:BF$41)/COUNTA($AV47:$AV50-BF$38:BF$41))</f>
        <v>53.854456597459063</v>
      </c>
      <c r="AR101" s="126" cm="1">
        <f t="array" ref="AR101">SQRT(SUMSQ($AV47:$AV50-BG$38:BG$41)/COUNTA($AV47:$AV50-BG$38:BG$41))</f>
        <v>75.945565112782532</v>
      </c>
      <c r="AS101" s="128" cm="1">
        <f t="array" ref="AS101">SQRT(SUMSQ($AV47:$AV50-BH$38:BH$41)/COUNTA($AV47:$AV50-BH$38:BH$41))</f>
        <v>75.358161774342136</v>
      </c>
      <c r="AT101" s="127" cm="1">
        <f t="array" ref="AT101">SQRT(SUMSQ($AV47:$AV50-BI$38:BI$41)/COUNTA($AV47:$AV50-BI$38:BI$41))</f>
        <v>60.932262821542963</v>
      </c>
      <c r="AU101" s="122" cm="1">
        <f t="array" ref="AU101">SQRT(SUMSQ($AV47:$AV50-BJ$38:BJ$41)/COUNTA($AV47:$AV50-BJ$38:BJ$41))</f>
        <v>35.286821900214747</v>
      </c>
      <c r="AV101" s="128" cm="1">
        <f t="array" ref="AV101">SQRT(SUMSQ($AV47:$AV50-BK$38:BK$41)/COUNTA($AV47:$AV50-BK$38:BK$41))</f>
        <v>42.371608973784497</v>
      </c>
      <c r="AW101" s="134" cm="1">
        <f t="array" ref="AW101">SQRT(SUMSQ($AV47:$AV50-BL$38:BL$41)/COUNTA($AV47:$AV50-BL$38:BL$41))</f>
        <v>67.315814644105998</v>
      </c>
      <c r="AX101" s="116">
        <f t="shared" si="133"/>
        <v>35.286821900214747</v>
      </c>
    </row>
    <row r="102" spans="2:50" x14ac:dyDescent="0.25">
      <c r="B102" s="12" t="s">
        <v>72</v>
      </c>
      <c r="C102" s="10">
        <f>C7/$N15</f>
        <v>12.493505741787285</v>
      </c>
      <c r="D102" s="10">
        <f t="shared" ref="D102:O102" si="143">D7/$N15</f>
        <v>12.493505741787285</v>
      </c>
      <c r="E102" s="10">
        <f t="shared" si="143"/>
        <v>12.493505741787285</v>
      </c>
      <c r="F102" s="10">
        <f t="shared" si="143"/>
        <v>12.493505741787285</v>
      </c>
      <c r="G102" s="10">
        <f t="shared" si="143"/>
        <v>3.1233764354468212</v>
      </c>
      <c r="H102" s="10">
        <f t="shared" si="143"/>
        <v>4.392248112347092</v>
      </c>
      <c r="I102" s="10">
        <f t="shared" si="143"/>
        <v>12.493505741787285</v>
      </c>
      <c r="J102" s="10">
        <f t="shared" si="143"/>
        <v>12.493505741787285</v>
      </c>
      <c r="K102" s="10">
        <f t="shared" si="143"/>
        <v>12.493505741787285</v>
      </c>
      <c r="L102" s="10">
        <f t="shared" si="143"/>
        <v>12.493505741787285</v>
      </c>
      <c r="M102" s="10">
        <f t="shared" si="143"/>
        <v>12.493505741787285</v>
      </c>
      <c r="N102" s="10">
        <f t="shared" si="143"/>
        <v>6.2467528708936424</v>
      </c>
      <c r="O102" s="10">
        <f t="shared" si="143"/>
        <v>3.1233764354468212</v>
      </c>
      <c r="P102" s="10">
        <f>P7/$N15</f>
        <v>12.493505741787285</v>
      </c>
      <c r="R102" s="12" t="s">
        <v>72</v>
      </c>
      <c r="S102" s="10">
        <f>AVERAGE(C102:P102)</f>
        <v>10.130057948000516</v>
      </c>
      <c r="T102" s="10">
        <f>AVERAGE(C102:P102)</f>
        <v>10.130057948000516</v>
      </c>
      <c r="AJ102" s="116">
        <f>MIN(AJ90:AJ101)</f>
        <v>60.687171708556527</v>
      </c>
      <c r="AK102" s="116">
        <f t="shared" ref="AK102" si="144">MIN(AK90:AK101)</f>
        <v>60.687171708556527</v>
      </c>
      <c r="AL102" s="116">
        <f t="shared" ref="AL102" si="145">MIN(AL90:AL101)</f>
        <v>59.104669755739067</v>
      </c>
      <c r="AM102" s="116">
        <f t="shared" ref="AM102" si="146">MIN(AM90:AM101)</f>
        <v>59.104669755739067</v>
      </c>
      <c r="AN102" s="116">
        <f t="shared" ref="AN102" si="147">MIN(AN90:AN101)</f>
        <v>21.668145799495193</v>
      </c>
      <c r="AO102" s="116">
        <f t="shared" ref="AO102" si="148">MIN(AO90:AO101)</f>
        <v>42.182385315294461</v>
      </c>
      <c r="AP102" s="116">
        <f t="shared" ref="AP102" si="149">MIN(AP90:AP101)</f>
        <v>59.104669755739067</v>
      </c>
      <c r="AQ102" s="116">
        <f t="shared" ref="AQ102" si="150">MIN(AQ90:AQ101)</f>
        <v>29.607351501582833</v>
      </c>
      <c r="AR102" s="116">
        <f t="shared" ref="AR102" si="151">MIN(AR90:AR101)</f>
        <v>50.058640352817235</v>
      </c>
      <c r="AS102" s="116">
        <f t="shared" ref="AS102" si="152">MIN(AS90:AS101)</f>
        <v>44.855401322175965</v>
      </c>
      <c r="AT102" s="116">
        <f t="shared" ref="AT102" si="153">MIN(AT90:AT101)</f>
        <v>30.226110221954002</v>
      </c>
      <c r="AU102" s="116">
        <f t="shared" ref="AU102" si="154">MIN(AU90:AU101)</f>
        <v>9.6013317413081669</v>
      </c>
      <c r="AV102" s="116">
        <f t="shared" ref="AV102" si="155">MIN(AV90:AV101)</f>
        <v>29.077676282673988</v>
      </c>
      <c r="AW102" s="116">
        <f t="shared" ref="AW102" si="156">MIN(AW90:AW101)</f>
        <v>36.49420948883288</v>
      </c>
    </row>
    <row r="103" spans="2:50" x14ac:dyDescent="0.25">
      <c r="B103" s="12" t="s">
        <v>100</v>
      </c>
      <c r="C103" s="10">
        <f>C8/$N16</f>
        <v>3.6863857564111955</v>
      </c>
      <c r="D103" s="10">
        <f t="shared" ref="D103:O103" si="157">D8/$N16</f>
        <v>3.6863857564111955</v>
      </c>
      <c r="E103" s="10">
        <f t="shared" si="157"/>
        <v>3.6863857564111955</v>
      </c>
      <c r="F103" s="10">
        <f t="shared" si="157"/>
        <v>3.6863857564111955</v>
      </c>
      <c r="G103" s="10">
        <f t="shared" si="157"/>
        <v>2.5919899849766219</v>
      </c>
      <c r="H103" s="10">
        <f t="shared" si="157"/>
        <v>3.6863857564111955</v>
      </c>
      <c r="I103" s="10">
        <f t="shared" si="157"/>
        <v>3.6863857564111955</v>
      </c>
      <c r="J103" s="10">
        <f t="shared" si="157"/>
        <v>3.6863857564111955</v>
      </c>
      <c r="K103" s="10">
        <f t="shared" si="157"/>
        <v>3.6863857564111955</v>
      </c>
      <c r="L103" s="10">
        <f t="shared" si="157"/>
        <v>3.6863857564111955</v>
      </c>
      <c r="M103" s="10">
        <f t="shared" si="157"/>
        <v>1.8431928782055977</v>
      </c>
      <c r="N103" s="10">
        <f t="shared" si="157"/>
        <v>1.295994992488311</v>
      </c>
      <c r="O103" s="10">
        <f t="shared" si="157"/>
        <v>3.6863857564111955</v>
      </c>
      <c r="P103" s="10">
        <f>P8/$N16</f>
        <v>3.6863857564111955</v>
      </c>
      <c r="R103" s="12" t="s">
        <v>100</v>
      </c>
      <c r="S103" s="10">
        <f>AVERAGE(C103:P103)</f>
        <v>3.3058157982995491</v>
      </c>
      <c r="T103" s="10">
        <f>AVERAGE(C103:P103)</f>
        <v>3.3058157982995491</v>
      </c>
    </row>
    <row r="104" spans="2:50" x14ac:dyDescent="0.25">
      <c r="AI104" s="93" t="s">
        <v>128</v>
      </c>
    </row>
    <row r="105" spans="2:50" x14ac:dyDescent="0.25">
      <c r="AI105" s="59"/>
      <c r="AJ105" s="61"/>
      <c r="AK105" s="89" t="s">
        <v>73</v>
      </c>
      <c r="AL105" s="89"/>
      <c r="AM105" s="89"/>
      <c r="AN105" s="89"/>
      <c r="AO105" s="89"/>
      <c r="AP105" s="92"/>
      <c r="AQ105" s="91" t="s">
        <v>121</v>
      </c>
      <c r="AR105" s="89"/>
      <c r="AS105" s="89"/>
      <c r="AT105" s="89"/>
      <c r="AU105" s="89"/>
      <c r="AV105" s="92"/>
      <c r="AW105" s="61"/>
    </row>
    <row r="106" spans="2:50" x14ac:dyDescent="0.25">
      <c r="AI106" s="53"/>
      <c r="AJ106" s="54"/>
      <c r="AK106" s="91" t="s">
        <v>77</v>
      </c>
      <c r="AL106" s="89"/>
      <c r="AM106" s="89"/>
      <c r="AN106" s="91" t="s">
        <v>78</v>
      </c>
      <c r="AO106" s="89"/>
      <c r="AP106" s="92"/>
      <c r="AQ106" s="91" t="s">
        <v>77</v>
      </c>
      <c r="AR106" s="89"/>
      <c r="AS106" s="92"/>
      <c r="AT106" s="91" t="s">
        <v>78</v>
      </c>
      <c r="AU106" s="89"/>
      <c r="AV106" s="92"/>
      <c r="AW106" s="54"/>
    </row>
    <row r="107" spans="2:50" x14ac:dyDescent="0.25">
      <c r="AI107" s="53"/>
      <c r="AJ107" s="73" t="s">
        <v>71</v>
      </c>
      <c r="AK107" s="72" t="s">
        <v>74</v>
      </c>
      <c r="AL107" s="104" t="s">
        <v>75</v>
      </c>
      <c r="AM107" s="104" t="s">
        <v>76</v>
      </c>
      <c r="AN107" s="110" t="s">
        <v>74</v>
      </c>
      <c r="AO107" s="104" t="s">
        <v>75</v>
      </c>
      <c r="AP107" s="73" t="s">
        <v>76</v>
      </c>
      <c r="AQ107" s="72" t="s">
        <v>74</v>
      </c>
      <c r="AR107" s="104" t="s">
        <v>75</v>
      </c>
      <c r="AS107" s="73" t="s">
        <v>76</v>
      </c>
      <c r="AT107" s="72" t="s">
        <v>74</v>
      </c>
      <c r="AU107" s="104" t="s">
        <v>75</v>
      </c>
      <c r="AV107" s="73" t="s">
        <v>76</v>
      </c>
      <c r="AW107" s="6" t="s">
        <v>79</v>
      </c>
    </row>
    <row r="108" spans="2:50" x14ac:dyDescent="0.25">
      <c r="AI108" s="109" t="s">
        <v>26</v>
      </c>
      <c r="AJ108" s="22" cm="1">
        <f t="array" ref="AJ108">SQRT(SUMSQ($AK57:$AK60-AY38:AY41)/COUNTA($AK57:$AK60-AY38:AY41))</f>
        <v>86.967369228683779</v>
      </c>
      <c r="AK108" s="20" cm="1">
        <f t="array" ref="AK108">SQRT(SUMSQ($AK57:$AK60-AZ38:AZ41)/COUNTA($AK57:$AK60-AZ38:AZ41))</f>
        <v>86.967369228683779</v>
      </c>
      <c r="AL108" s="112" cm="1">
        <f t="array" ref="AL108">SQRT(SUMSQ($AK57:$AK60-BA38:BA41)/COUNTA($AK57:$AK60-BA38:BA41))</f>
        <v>96.344642197637583</v>
      </c>
      <c r="AM108" s="112" cm="1">
        <f t="array" ref="AM108">SQRT(SUMSQ($AK57:$AK60-BB38:BB41)/COUNTA($AK57:$AK60-BB38:BB41))</f>
        <v>96.344642197637583</v>
      </c>
      <c r="AN108" s="20" cm="1">
        <f t="array" ref="AN108">SQRT(SUMSQ($AK57:$AK60-BC38:BC41)/COUNTA($AK57:$AK60-BC38:BC41))</f>
        <v>21.524184982145631</v>
      </c>
      <c r="AO108" s="112" cm="1">
        <f t="array" ref="AO108">SQRT(SUMSQ($AK57:$AK60-BD38:BD41)/COUNTA($AK57:$AK60-BD38:BD41))</f>
        <v>53.171798835164651</v>
      </c>
      <c r="AP108" s="22" cm="1">
        <f t="array" ref="AP108">SQRT(SUMSQ($AK57:$AK60-BE38:BE41)/COUNTA($AK57:$AK60-BE38:BE41))</f>
        <v>96.344642197637583</v>
      </c>
      <c r="AQ108" s="20" cm="1">
        <f t="array" ref="AQ108">SQRT(SUMSQ($AK57:$AK60-BF38:BF41)/COUNTA($AK57:$AK60-BF38:BF41))</f>
        <v>55.212944123211464</v>
      </c>
      <c r="AR108" s="112" cm="1">
        <f t="array" ref="AR108">SQRT(SUMSQ($AK57:$AK60-BG38:BG41)/COUNTA($AK57:$AK60-BG38:BG41))</f>
        <v>77.075167380991189</v>
      </c>
      <c r="AS108" s="22" cm="1">
        <f t="array" ref="AS108">SQRT(SUMSQ($AK57:$AK60-BH38:BH41)/COUNTA($AK57:$AK60-BH38:BH41))</f>
        <v>87.518844807506468</v>
      </c>
      <c r="AT108" s="20" cm="1">
        <f t="array" ref="AT108">SQRT(SUMSQ($AK57:$AK60-BI38:BI41)/COUNTA($AK57:$AK60-BI38:BI41))</f>
        <v>54.378174058500491</v>
      </c>
      <c r="AU108" s="118" cm="1">
        <f t="array" ref="AU108">SQRT(SUMSQ($AK57:$AK60-BJ38:BJ41)/COUNTA($AK57:$AK60-BJ38:BJ41))</f>
        <v>22.184036173801509</v>
      </c>
      <c r="AV108" s="22" cm="1">
        <f t="array" ref="AV108">SQRT(SUMSQ($AK57:$AK60-BK38:BK41)/COUNTA($AK57:$AK60-BK38:BK41))</f>
        <v>35.157240418627431</v>
      </c>
      <c r="AW108" s="22" cm="1">
        <f t="array" ref="AW108">SQRT(SUMSQ($AK57:$AK60-BL38:BL41)/COUNTA($AK57:$AK60-BL38:BL41))</f>
        <v>62.612450513048429</v>
      </c>
      <c r="AX108" s="116">
        <f>MIN(AJ108:AW108)</f>
        <v>21.524184982145631</v>
      </c>
    </row>
    <row r="109" spans="2:50" x14ac:dyDescent="0.25">
      <c r="AH109" s="108" t="s">
        <v>124</v>
      </c>
      <c r="AI109" s="110" t="s">
        <v>41</v>
      </c>
      <c r="AJ109" s="22" cm="1">
        <f t="array" ref="AJ109">SQRT(SUMSQ($AL57:$AL60-AY$38:AY$41)/COUNTA($AL57:$AL60-AY$38:AY$41))</f>
        <v>78.067186889423596</v>
      </c>
      <c r="AK109" s="20" cm="1">
        <f t="array" ref="AK109">SQRT(SUMSQ($AL57:$AL60-AZ$38:AZ$41)/COUNTA($AL57:$AL60-AZ$38:AZ$41))</f>
        <v>78.067186889423596</v>
      </c>
      <c r="AL109" s="112" cm="1">
        <f t="array" ref="AL109">SQRT(SUMSQ($AL57:$AL60-BA$38:BA$41)/COUNTA($AL57:$AL60-BA$38:BA$41))</f>
        <v>82.763802833724924</v>
      </c>
      <c r="AM109" s="112" cm="1">
        <f t="array" ref="AM109">SQRT(SUMSQ($AL57:$AL60-BB$38:BB$41)/COUNTA($AL57:$AL60-BB$38:BB$41))</f>
        <v>82.763802833724924</v>
      </c>
      <c r="AN109" s="20" cm="1">
        <f t="array" ref="AN109">SQRT(SUMSQ($AL57:$AL60-BC$38:BC$41)/COUNTA($AL57:$AL60-BC$38:BC$41))</f>
        <v>24.607852652226999</v>
      </c>
      <c r="AO109" s="112" cm="1">
        <f t="array" ref="AO109">SQRT(SUMSQ($AL57:$AL60-BD$38:BD$41)/COUNTA($AL57:$AL60-BD$38:BD$41))</f>
        <v>48.823854606322776</v>
      </c>
      <c r="AP109" s="22" cm="1">
        <f t="array" ref="AP109">SQRT(SUMSQ($AL57:$AL60-BE$38:BE$41)/COUNTA($AL57:$AL60-BE$38:BE$41))</f>
        <v>82.763802833724924</v>
      </c>
      <c r="AQ109" s="20" cm="1">
        <f t="array" ref="AQ109">SQRT(SUMSQ($AL57:$AL60-BF$38:BF$41)/COUNTA($AL57:$AL60-BF$38:BF$41))</f>
        <v>48.638920232859078</v>
      </c>
      <c r="AR109" s="112" cm="1">
        <f t="array" ref="AR109">SQRT(SUMSQ($AL57:$AL60-BG$38:BG$41)/COUNTA($AL57:$AL60-BG$38:BG$41))</f>
        <v>68.599990389213062</v>
      </c>
      <c r="AS109" s="22" cm="1">
        <f t="array" ref="AS109">SQRT(SUMSQ($AL57:$AL60-BH$38:BH$41)/COUNTA($AL57:$AL60-BH$38:BH$41))</f>
        <v>73.90074473286198</v>
      </c>
      <c r="AT109" s="20" cm="1">
        <f t="array" ref="AT109">SQRT(SUMSQ($AL57:$AL60-BI$38:BI$41)/COUNTA($AL57:$AL60-BI$38:BI$41))</f>
        <v>52.498227266096109</v>
      </c>
      <c r="AU109" s="118" cm="1">
        <f t="array" ref="AU109">SQRT(SUMSQ($AL57:$AL60-BJ$38:BJ$41)/COUNTA($AL57:$AL60-BJ$38:BJ$41))</f>
        <v>22.028787532927002</v>
      </c>
      <c r="AV109" s="22" cm="1">
        <f t="array" ref="AV109">SQRT(SUMSQ($AL57:$AL60-BK$38:BK$41)/COUNTA($AL57:$AL60-BK$38:BK$41))</f>
        <v>28.142459820798777</v>
      </c>
      <c r="AW109" s="22" cm="1">
        <f t="array" ref="AW109">SQRT(SUMSQ($AL57:$AL60-BL$38:BL$41)/COUNTA($AL57:$AL60-BL$38:BL$41))</f>
        <v>56.976354070339511</v>
      </c>
      <c r="AX109" s="116">
        <f t="shared" ref="AX109:AX119" si="158">MIN(AJ109:AW109)</f>
        <v>22.028787532927002</v>
      </c>
    </row>
    <row r="110" spans="2:50" x14ac:dyDescent="0.25">
      <c r="AH110" s="108"/>
      <c r="AI110" s="110" t="s">
        <v>40</v>
      </c>
      <c r="AJ110" s="22" cm="1">
        <f t="array" ref="AJ110">SQRT(SUMSQ($AM57:$AM60-AY$38:AY$41)/COUNTA($AM57:$AM60-AY$38:AY$41))</f>
        <v>60.532162627910147</v>
      </c>
      <c r="AK110" s="20" cm="1">
        <f t="array" ref="AK110">SQRT(SUMSQ($AM57:$AM60-AZ$38:AZ$41)/COUNTA($AM57:$AM60-AZ$38:AZ$41))</f>
        <v>60.532162627910147</v>
      </c>
      <c r="AL110" s="112" cm="1">
        <f t="array" ref="AL110">SQRT(SUMSQ($AM57:$AM60-BA$38:BA$41)/COUNTA($AM57:$AM60-BA$38:BA$41))</f>
        <v>60.60368346464719</v>
      </c>
      <c r="AM110" s="112" cm="1">
        <f t="array" ref="AM110">SQRT(SUMSQ($AM57:$AM60-BB$38:BB$41)/COUNTA($AM57:$AM60-BB$38:BB$41))</f>
        <v>60.60368346464719</v>
      </c>
      <c r="AN110" s="20" cm="1">
        <f t="array" ref="AN110">SQRT(SUMSQ($AM57:$AM60-BC$38:BC$41)/COUNTA($AM57:$AM60-BC$38:BC$41))</f>
        <v>40.595002743233081</v>
      </c>
      <c r="AO110" s="112" cm="1">
        <f t="array" ref="AO110">SQRT(SUMSQ($AM57:$AM60-BD$38:BD$41)/COUNTA($AM57:$AM60-BD$38:BD$41))</f>
        <v>53.616239889318251</v>
      </c>
      <c r="AP110" s="22" cm="1">
        <f t="array" ref="AP110">SQRT(SUMSQ($AM57:$AM60-BE$38:BE$41)/COUNTA($AM57:$AM60-BE$38:BE$41))</f>
        <v>60.60368346464719</v>
      </c>
      <c r="AQ110" s="20" cm="1">
        <f t="array" ref="AQ110">SQRT(SUMSQ($AM57:$AM60-BF$38:BF$41)/COUNTA($AM57:$AM60-BF$38:BF$41))</f>
        <v>31.822569957084252</v>
      </c>
      <c r="AR110" s="112" cm="1">
        <f t="array" ref="AR110">SQRT(SUMSQ($AM57:$AM60-BG$38:BG$41)/COUNTA($AM57:$AM60-BG$38:BG$41))</f>
        <v>49.452835519949915</v>
      </c>
      <c r="AS110" s="22" cm="1">
        <f t="array" ref="AS110">SQRT(SUMSQ($AM57:$AM60-BH$38:BH$41)/COUNTA($AM57:$AM60-BH$38:BH$41))</f>
        <v>49.540354036225963</v>
      </c>
      <c r="AT110" s="20" cm="1">
        <f t="array" ref="AT110">SQRT(SUMSQ($AM57:$AM60-BI$38:BI$41)/COUNTA($AM57:$AM60-BI$38:BI$41))</f>
        <v>42.146697262511879</v>
      </c>
      <c r="AU110" s="118" cm="1">
        <f t="array" ref="AU110">SQRT(SUMSQ($AM57:$AM60-BJ$38:BJ$41)/COUNTA($AM57:$AM60-BJ$38:BJ$41))</f>
        <v>31.175238635039932</v>
      </c>
      <c r="AV110" s="22" cm="1">
        <f t="array" ref="AV110">SQRT(SUMSQ($AM57:$AM60-BK$38:BK$41)/COUNTA($AM57:$AM60-BK$38:BK$41))</f>
        <v>38.57688522675906</v>
      </c>
      <c r="AW110" s="22" cm="1">
        <f t="array" ref="AW110">SQRT(SUMSQ($AM57:$AM60-BL$38:BL$41)/COUNTA($AM57:$AM60-BL$38:BL$41))</f>
        <v>43.745116527731163</v>
      </c>
      <c r="AX110" s="116">
        <f t="shared" si="158"/>
        <v>31.175238635039932</v>
      </c>
    </row>
    <row r="111" spans="2:50" x14ac:dyDescent="0.25">
      <c r="AH111" s="108"/>
      <c r="AI111" s="72" t="s">
        <v>39</v>
      </c>
      <c r="AJ111" s="22" cm="1">
        <f t="array" ref="AJ111">SQRT(SUMSQ($AN57:$AN60-AY$38:AY$41)/COUNTA($AN57:$AN60-AY$38:AY$41))</f>
        <v>76.489134870860255</v>
      </c>
      <c r="AK111" s="20" cm="1">
        <f t="array" ref="AK111">SQRT(SUMSQ($AN57:$AN60-AZ$38:AZ$41)/COUNTA($AN57:$AN60-AZ$38:AZ$41))</f>
        <v>76.489134870860255</v>
      </c>
      <c r="AL111" s="112" cm="1">
        <f t="array" ref="AL111">SQRT(SUMSQ($AN57:$AN60-BA$38:BA$41)/COUNTA($AN57:$AN60-BA$38:BA$41))</f>
        <v>89.036113355842289</v>
      </c>
      <c r="AM111" s="112" cm="1">
        <f t="array" ref="AM111">SQRT(SUMSQ($AN57:$AN60-BB$38:BB$41)/COUNTA($AN57:$AN60-BB$38:BB$41))</f>
        <v>89.036113355842289</v>
      </c>
      <c r="AN111" s="114" cm="1">
        <f t="array" ref="AN111">SQRT(SUMSQ($AN57:$AN60-BC$38:BC$41)/COUNTA($AN57:$AN60-BC$38:BC$41))</f>
        <v>12.590275383947663</v>
      </c>
      <c r="AO111" s="112" cm="1">
        <f t="array" ref="AO111">SQRT(SUMSQ($AN57:$AN60-BD$38:BD$41)/COUNTA($AN57:$AN60-BD$38:BD$41))</f>
        <v>42.799816113659872</v>
      </c>
      <c r="AP111" s="22" cm="1">
        <f t="array" ref="AP111">SQRT(SUMSQ($AN57:$AN60-BE$38:BE$41)/COUNTA($AN57:$AN60-BE$38:BE$41))</f>
        <v>89.036113355842289</v>
      </c>
      <c r="AQ111" s="20" cm="1">
        <f t="array" ref="AQ111">SQRT(SUMSQ($AN57:$AN60-BF$38:BF$41)/COUNTA($AN57:$AN60-BF$38:BF$41))</f>
        <v>46.799629213699504</v>
      </c>
      <c r="AR111" s="112" cm="1">
        <f t="array" ref="AR111">SQRT(SUMSQ($AN57:$AN60-BG$38:BG$41)/COUNTA($AN57:$AN60-BG$38:BG$41))</f>
        <v>67.895232190806723</v>
      </c>
      <c r="AS111" s="22" cm="1">
        <f t="array" ref="AS111">SQRT(SUMSQ($AN57:$AN60-BH$38:BH$41)/COUNTA($AN57:$AN60-BH$38:BH$41))</f>
        <v>81.771659408778703</v>
      </c>
      <c r="AT111" s="20" cm="1">
        <f t="array" ref="AT111">SQRT(SUMSQ($AN57:$AN60-BI$38:BI$41)/COUNTA($AN57:$AN60-BI$38:BI$41))</f>
        <v>43.815344691430681</v>
      </c>
      <c r="AU111" s="123" cm="1">
        <f t="array" ref="AU111">SQRT(SUMSQ($AN57:$AN60-BJ$38:BJ$41)/COUNTA($AN57:$AN60-BJ$38:BJ$41))</f>
        <v>12.22050461126655</v>
      </c>
      <c r="AV111" s="22" cm="1">
        <f t="array" ref="AV111">SQRT(SUMSQ($AN57:$AN60-BK$38:BK$41)/COUNTA($AN57:$AN60-BK$38:BK$41))</f>
        <v>29.206207314707317</v>
      </c>
      <c r="AW111" s="22" cm="1">
        <f t="array" ref="AW111">SQRT(SUMSQ($AN57:$AN60-BL$38:BL$41)/COUNTA($AN57:$AN60-BL$38:BL$41))</f>
        <v>50.03539915405635</v>
      </c>
      <c r="AX111" s="116">
        <f t="shared" si="158"/>
        <v>12.22050461126655</v>
      </c>
    </row>
    <row r="112" spans="2:50" x14ac:dyDescent="0.25">
      <c r="AH112" s="108" t="s">
        <v>125</v>
      </c>
      <c r="AI112" s="72" t="s">
        <v>41</v>
      </c>
      <c r="AJ112" s="22" cm="1">
        <f t="array" ref="AJ112">SQRT(SUMSQ($AO57:$AO60-AY$38:AY$41)/COUNTA($AO57:$AO60-AY$38:AY$41))</f>
        <v>66.810935199124287</v>
      </c>
      <c r="AK112" s="20" cm="1">
        <f t="array" ref="AK112">SQRT(SUMSQ($AO57:$AO60-AZ$38:AZ$41)/COUNTA($AO57:$AO60-AZ$38:AZ$41))</f>
        <v>66.810935199124287</v>
      </c>
      <c r="AL112" s="112" cm="1">
        <f t="array" ref="AL112">SQRT(SUMSQ($AO57:$AO60-BA$38:BA$41)/COUNTA($AO57:$AO60-BA$38:BA$41))</f>
        <v>67.334896546485467</v>
      </c>
      <c r="AM112" s="112" cm="1">
        <f t="array" ref="AM112">SQRT(SUMSQ($AO57:$AO60-BB$38:BB$41)/COUNTA($AO57:$AO60-BB$38:BB$41))</f>
        <v>67.334896546485467</v>
      </c>
      <c r="AN112" s="20" cm="1">
        <f t="array" ref="AN112">SQRT(SUMSQ($AO57:$AO60-BC$38:BC$41)/COUNTA($AO57:$AO60-BC$38:BC$41))</f>
        <v>33.250784543759394</v>
      </c>
      <c r="AO112" s="112" cm="1">
        <f t="array" ref="AO112">SQRT(SUMSQ($AO57:$AO60-BD$38:BD$41)/COUNTA($AO57:$AO60-BD$38:BD$41))</f>
        <v>46.98225367883731</v>
      </c>
      <c r="AP112" s="22" cm="1">
        <f t="array" ref="AP112">SQRT(SUMSQ($AO57:$AO60-BE$38:BE$41)/COUNTA($AO57:$AO60-BE$38:BE$41))</f>
        <v>67.334896546485467</v>
      </c>
      <c r="AQ112" s="20" cm="1">
        <f t="array" ref="AQ112">SQRT(SUMSQ($AO57:$AO60-BF$38:BF$41)/COUNTA($AO57:$AO60-BF$38:BF$41))</f>
        <v>42.237750655664506</v>
      </c>
      <c r="AR112" s="112" cm="1">
        <f t="array" ref="AR112">SQRT(SUMSQ($AO57:$AO60-BG$38:BG$41)/COUNTA($AO57:$AO60-BG$38:BG$41))</f>
        <v>58.124473025289959</v>
      </c>
      <c r="AS112" s="22" cm="1">
        <f t="array" ref="AS112">SQRT(SUMSQ($AO57:$AO60-BH$38:BH$41)/COUNTA($AO57:$AO60-BH$38:BH$41))</f>
        <v>58.725987392397045</v>
      </c>
      <c r="AT112" s="20" cm="1">
        <f t="array" ref="AT112">SQRT(SUMSQ($AO57:$AO60-BI$38:BI$41)/COUNTA($AO57:$AO60-BI$38:BI$41))</f>
        <v>50.168555541075023</v>
      </c>
      <c r="AU112" s="118" cm="1">
        <f t="array" ref="AU112">SQRT(SUMSQ($AO57:$AO60-BJ$38:BJ$41)/COUNTA($AO57:$AO60-BJ$38:BJ$41))</f>
        <v>28.594664093890145</v>
      </c>
      <c r="AV112" s="22" cm="1">
        <f t="array" ref="AV112">SQRT(SUMSQ($AO57:$AO60-BK$38:BK$41)/COUNTA($AO57:$AO60-BK$38:BK$41))</f>
        <v>28.645380648465856</v>
      </c>
      <c r="AW112" s="22" cm="1">
        <f t="array" ref="AW112">SQRT(SUMSQ($AO57:$AO60-BL$38:BL$41)/COUNTA($AO57:$AO60-BL$38:BL$41))</f>
        <v>50.088138535037885</v>
      </c>
      <c r="AX112" s="116">
        <f t="shared" si="158"/>
        <v>28.594664093890145</v>
      </c>
    </row>
    <row r="113" spans="34:50" x14ac:dyDescent="0.25">
      <c r="AH113" s="108"/>
      <c r="AI113" s="72" t="s">
        <v>40</v>
      </c>
      <c r="AJ113" s="115" cm="1">
        <f t="array" ref="AJ113">SQRT(SUMSQ($AP57:$AP60-AY$38:AY$41)/COUNTA($AP57:$AP60-AY$38:AY$41))</f>
        <v>49.607920007537594</v>
      </c>
      <c r="AK113" s="114" cm="1">
        <f t="array" ref="AK113">SQRT(SUMSQ($AP57:$AP60-AZ$38:AZ$41)/COUNTA($AP57:$AP60-AZ$38:AZ$41))</f>
        <v>49.607920007537594</v>
      </c>
      <c r="AL113" s="112" cm="1">
        <f t="array" ref="AL113">SQRT(SUMSQ($AP57:$AP60-BA$38:BA$41)/COUNTA($AP57:$AP60-BA$38:BA$41))</f>
        <v>47.809467382907592</v>
      </c>
      <c r="AM113" s="112" cm="1">
        <f t="array" ref="AM113">SQRT(SUMSQ($AP57:$AP60-BB$38:BB$41)/COUNTA($AP57:$AP60-BB$38:BB$41))</f>
        <v>47.809467382907592</v>
      </c>
      <c r="AN113" s="20" cm="1">
        <f t="array" ref="AN113">SQRT(SUMSQ($AP57:$AP60-BC$38:BC$41)/COUNTA($AP57:$AP60-BC$38:BC$41))</f>
        <v>46.727524093996621</v>
      </c>
      <c r="AO113" s="112" cm="1">
        <f t="array" ref="AO113">SQRT(SUMSQ($AP57:$AP60-BD$38:BD$41)/COUNTA($AP57:$AP60-BD$38:BD$41))</f>
        <v>51.679994648668149</v>
      </c>
      <c r="AP113" s="22" cm="1">
        <f t="array" ref="AP113">SQRT(SUMSQ($AP57:$AP60-BE$38:BE$41)/COUNTA($AP57:$AP60-BE$38:BE$41))</f>
        <v>47.809467382907592</v>
      </c>
      <c r="AQ113" s="129" cm="1">
        <f t="array" ref="AQ113">SQRT(SUMSQ($AP57:$AP60-BF$38:BF$41)/COUNTA($AP57:$AP60-BF$38:BF$41))</f>
        <v>30.063157363277309</v>
      </c>
      <c r="AR113" s="113" cm="1">
        <f t="array" ref="AR113">SQRT(SUMSQ($AP57:$AP60-BG$38:BG$41)/COUNTA($AP57:$AP60-BG$38:BG$41))</f>
        <v>40.418937760307301</v>
      </c>
      <c r="AS113" s="22" cm="1">
        <f t="array" ref="AS113">SQRT(SUMSQ($AP57:$AP60-BH$38:BH$41)/COUNTA($AP57:$AP60-BH$38:BH$41))</f>
        <v>38.190181639194272</v>
      </c>
      <c r="AT113" s="20" cm="1">
        <f t="array" ref="AT113">SQRT(SUMSQ($AP57:$AP60-BI$38:BI$41)/COUNTA($AP57:$AP60-BI$38:BI$41))</f>
        <v>41.945127353098435</v>
      </c>
      <c r="AU113" s="112" cm="1">
        <f t="array" ref="AU113">SQRT(SUMSQ($AP57:$AP60-BJ$38:BJ$41)/COUNTA($AP57:$AP60-BJ$38:BJ$41))</f>
        <v>38.583982701275659</v>
      </c>
      <c r="AV113" s="22" cm="1">
        <f t="array" ref="AV113">SQRT(SUMSQ($AP57:$AP60-BK$38:BK$41)/COUNTA($AP57:$AP60-BK$38:BK$41))</f>
        <v>41.384657523650482</v>
      </c>
      <c r="AW113" s="22" cm="1">
        <f t="array" ref="AW113">SQRT(SUMSQ($AP57:$AP60-BL$38:BL$41)/COUNTA($AP57:$AP60-BL$38:BL$41))</f>
        <v>37.36241974109808</v>
      </c>
      <c r="AX113" s="116">
        <f t="shared" si="158"/>
        <v>30.063157363277309</v>
      </c>
    </row>
    <row r="114" spans="34:50" x14ac:dyDescent="0.25">
      <c r="AH114" s="108"/>
      <c r="AI114" s="72" t="s">
        <v>39</v>
      </c>
      <c r="AJ114" s="22" cm="1">
        <f t="array" ref="AJ114">SQRT(SUMSQ($AQ57:$AQ60-AY$38:AY$41)/COUNTA($AQ57:$AQ60-AY$38:AY$41))</f>
        <v>56.937446483108097</v>
      </c>
      <c r="AK114" s="20" cm="1">
        <f t="array" ref="AK114">SQRT(SUMSQ($AQ57:$AQ60-AZ$38:AZ$41)/COUNTA($AQ57:$AQ60-AZ$38:AZ$41))</f>
        <v>56.937446483108097</v>
      </c>
      <c r="AL114" s="112" cm="1">
        <f t="array" ref="AL114">SQRT(SUMSQ($AQ57:$AQ60-BA$38:BA$41)/COUNTA($AQ57:$AQ60-BA$38:BA$41))</f>
        <v>66.861524339040514</v>
      </c>
      <c r="AM114" s="112" cm="1">
        <f t="array" ref="AM114">SQRT(SUMSQ($AQ57:$AQ60-BB$38:BB$41)/COUNTA($AQ57:$AQ60-BB$38:BB$41))</f>
        <v>66.861524339040514</v>
      </c>
      <c r="AN114" s="20" cm="1">
        <f t="array" ref="AN114">SQRT(SUMSQ($AQ57:$AQ60-BC$38:BC$41)/COUNTA($AQ57:$AQ60-BC$38:BC$41))</f>
        <v>22.21625050055497</v>
      </c>
      <c r="AO114" s="112" cm="1">
        <f t="array" ref="AO114">SQRT(SUMSQ($AQ57:$AQ60-BD$38:BD$41)/COUNTA($AQ57:$AQ60-BD$38:BD$41))</f>
        <v>35.850573174529096</v>
      </c>
      <c r="AP114" s="22" cm="1">
        <f t="array" ref="AP114">SQRT(SUMSQ($AQ57:$AQ60-BE$38:BE$41)/COUNTA($AQ57:$AQ60-BE$38:BE$41))</f>
        <v>66.861524339040514</v>
      </c>
      <c r="AQ114" s="20" cm="1">
        <f t="array" ref="AQ114">SQRT(SUMSQ($AQ57:$AQ60-BF$38:BF$41)/COUNTA($AQ57:$AQ60-BF$38:BF$41))</f>
        <v>32.704902901099452</v>
      </c>
      <c r="AR114" s="112" cm="1">
        <f t="array" ref="AR114">SQRT(SUMSQ($AQ57:$AQ60-BG$38:BG$41)/COUNTA($AQ57:$AQ60-BG$38:BG$41))</f>
        <v>49.082478317922877</v>
      </c>
      <c r="AS114" s="22" cm="1">
        <f t="array" ref="AS114">SQRT(SUMSQ($AQ57:$AQ60-BH$38:BH$41)/COUNTA($AQ57:$AQ60-BH$38:BH$41))</f>
        <v>60.313185148462161</v>
      </c>
      <c r="AT114" s="20" cm="1">
        <f t="array" ref="AT114">SQRT(SUMSQ($AQ57:$AQ60-BI$38:BI$41)/COUNTA($AQ57:$AQ60-BI$38:BI$41))</f>
        <v>34.975925453212668</v>
      </c>
      <c r="AU114" s="118" cm="1">
        <f t="array" ref="AU114">SQRT(SUMSQ($AQ57:$AQ60-BJ$38:BJ$41)/COUNTA($AQ57:$AQ60-BJ$38:BJ$41))</f>
        <v>16.869100115311451</v>
      </c>
      <c r="AV114" s="115" cm="1">
        <f t="array" ref="AV114">SQRT(SUMSQ($AQ57:$AQ60-BK$38:BK$41)/COUNTA($AQ57:$AQ60-BK$38:BK$41))</f>
        <v>24.616587904776789</v>
      </c>
      <c r="AW114" s="22" cm="1">
        <f t="array" ref="AW114">SQRT(SUMSQ($AQ57:$AQ60-BL$38:BL$41)/COUNTA($AQ57:$AQ60-BL$38:BL$41))</f>
        <v>33.934692950419418</v>
      </c>
      <c r="AX114" s="116">
        <f t="shared" si="158"/>
        <v>16.869100115311451</v>
      </c>
    </row>
    <row r="115" spans="34:50" x14ac:dyDescent="0.25">
      <c r="AH115" s="108" t="s">
        <v>126</v>
      </c>
      <c r="AI115" s="72" t="s">
        <v>41</v>
      </c>
      <c r="AJ115" s="22" cm="1">
        <f t="array" ref="AJ115">SQRT(SUMSQ($AR57:$AR60-AY$38:AY$41)/COUNTA($AR57:$AR60-AY$38:AY$41))</f>
        <v>71.997704464817033</v>
      </c>
      <c r="AK115" s="20" cm="1">
        <f t="array" ref="AK115">SQRT(SUMSQ($AR57:$AR60-AZ$38:AZ$41)/COUNTA($AR57:$AR60-AZ$38:AZ$41))</f>
        <v>71.997704464817033</v>
      </c>
      <c r="AL115" s="112" cm="1">
        <f t="array" ref="AL115">SQRT(SUMSQ($AR57:$AR60-BA$38:BA$41)/COUNTA($AR57:$AR60-BA$38:BA$41))</f>
        <v>73.654744851988099</v>
      </c>
      <c r="AM115" s="112" cm="1">
        <f t="array" ref="AM115">SQRT(SUMSQ($AR57:$AR60-BB$38:BB$41)/COUNTA($AR57:$AR60-BB$38:BB$41))</f>
        <v>73.654744851988099</v>
      </c>
      <c r="AN115" s="20" cm="1">
        <f t="array" ref="AN115">SQRT(SUMSQ($AR57:$AR60-BC$38:BC$41)/COUNTA($AR57:$AR60-BC$38:BC$41))</f>
        <v>30.371945449140529</v>
      </c>
      <c r="AO115" s="112" cm="1">
        <f t="array" ref="AO115">SQRT(SUMSQ($AR57:$AR60-BD$38:BD$41)/COUNTA($AR57:$AR60-BD$38:BD$41))</f>
        <v>47.686424000335208</v>
      </c>
      <c r="AP115" s="22" cm="1">
        <f t="array" ref="AP115">SQRT(SUMSQ($AR57:$AR60-BE$38:BE$41)/COUNTA($AR57:$AR60-BE$38:BE$41))</f>
        <v>73.654744851988099</v>
      </c>
      <c r="AQ115" s="20" cm="1">
        <f t="array" ref="AQ115">SQRT(SUMSQ($AR57:$AR60-BF$38:BF$41)/COUNTA($AR57:$AR60-BF$38:BF$41))</f>
        <v>44.813124519141397</v>
      </c>
      <c r="AR115" s="112" cm="1">
        <f t="array" ref="AR115">SQRT(SUMSQ($AR57:$AR60-BG$38:BG$41)/COUNTA($AR57:$AR60-BG$38:BG$41))</f>
        <v>63.01178555352643</v>
      </c>
      <c r="AS115" s="22" cm="1">
        <f t="array" ref="AS115">SQRT(SUMSQ($AR57:$AR60-BH$38:BH$41)/COUNTA($AR57:$AR60-BH$38:BH$41))</f>
        <v>64.898668011384743</v>
      </c>
      <c r="AT115" s="20" cm="1">
        <f t="array" ref="AT115">SQRT(SUMSQ($AR57:$AR60-BI$38:BI$41)/COUNTA($AR57:$AR60-BI$38:BI$41))</f>
        <v>51.531933145030628</v>
      </c>
      <c r="AU115" s="118" cm="1">
        <f t="array" ref="AU115">SQRT(SUMSQ($AR57:$AR60-BJ$38:BJ$41)/COUNTA($AR57:$AR60-BJ$38:BJ$41))</f>
        <v>25.855694753516801</v>
      </c>
      <c r="AV115" s="22" cm="1">
        <f t="array" ref="AV115">SQRT(SUMSQ($AR57:$AR60-BK$38:BK$41)/COUNTA($AR57:$AR60-BK$38:BK$41))</f>
        <v>27.686159143706096</v>
      </c>
      <c r="AW115" s="22" cm="1">
        <f t="array" ref="AW115">SQRT(SUMSQ($AR57:$AR60-BL$38:BL$41)/COUNTA($AR57:$AR60-BL$38:BL$41))</f>
        <v>53.232794499849774</v>
      </c>
      <c r="AX115" s="116">
        <f t="shared" si="158"/>
        <v>25.855694753516801</v>
      </c>
    </row>
    <row r="116" spans="34:50" x14ac:dyDescent="0.25">
      <c r="AH116" s="108"/>
      <c r="AI116" s="72" t="s">
        <v>40</v>
      </c>
      <c r="AJ116" s="22" cm="1">
        <f t="array" ref="AJ116">SQRT(SUMSQ($AS57:$AS60-AY$38:AY$41)/COUNTA($AS57:$AS60-AY$38:AY$41))</f>
        <v>54.107114080981503</v>
      </c>
      <c r="AK116" s="20" cm="1">
        <f t="array" ref="AK116">SQRT(SUMSQ($AS57:$AS60-AZ$38:AZ$41)/COUNTA($AS57:$AS60-AZ$38:AZ$41))</f>
        <v>54.107114080981503</v>
      </c>
      <c r="AL116" s="113" cm="1">
        <f t="array" ref="AL116">SQRT(SUMSQ($AS57:$AS60-BA$38:BA$41)/COUNTA($AS57:$AS60-BA$38:BA$41))</f>
        <v>45.133829812205335</v>
      </c>
      <c r="AM116" s="113" cm="1">
        <f t="array" ref="AM116">SQRT(SUMSQ($AS57:$AS60-BB$38:BB$41)/COUNTA($AS57:$AS60-BB$38:BB$41))</f>
        <v>45.133829812205335</v>
      </c>
      <c r="AN116" s="20" cm="1">
        <f t="array" ref="AN116">SQRT(SUMSQ($AS57:$AS60-BC$38:BC$41)/COUNTA($AS57:$AS60-BC$38:BC$41))</f>
        <v>58.289773598106969</v>
      </c>
      <c r="AO116" s="112" cm="1">
        <f t="array" ref="AO116">SQRT(SUMSQ($AS57:$AS60-BD$38:BD$41)/COUNTA($AS57:$AS60-BD$38:BD$41))</f>
        <v>61.74151446546238</v>
      </c>
      <c r="AP116" s="115" cm="1">
        <f t="array" ref="AP116">SQRT(SUMSQ($AS57:$AS60-BE$38:BE$41)/COUNTA($AS57:$AS60-BE$38:BE$41))</f>
        <v>45.133829812205335</v>
      </c>
      <c r="AQ116" s="20" cm="1">
        <f t="array" ref="AQ116">SQRT(SUMSQ($AS57:$AS60-BF$38:BF$41)/COUNTA($AS57:$AS60-BF$38:BF$41))</f>
        <v>35.205852218206708</v>
      </c>
      <c r="AR116" s="112" cm="1">
        <f t="array" ref="AR116">SQRT(SUMSQ($AS57:$AS60-BG$38:BG$41)/COUNTA($AS57:$AS60-BG$38:BG$41))</f>
        <v>44.987003924395438</v>
      </c>
      <c r="AS116" s="79" cm="1">
        <f t="array" ref="AS116">SQRT(SUMSQ($AS57:$AS60-BH$38:BH$41)/COUNTA($AS57:$AS60-BH$38:BH$41))</f>
        <v>33.664719238964977</v>
      </c>
      <c r="AT116" s="20" cm="1">
        <f t="array" ref="AT116">SQRT(SUMSQ($AS57:$AS60-BI$38:BI$41)/COUNTA($AS57:$AS60-BI$38:BI$41))</f>
        <v>49.524848619029882</v>
      </c>
      <c r="AU116" s="112" cm="1">
        <f t="array" ref="AU116">SQRT(SUMSQ($AS57:$AS60-BJ$38:BJ$41)/COUNTA($AS57:$AS60-BJ$38:BJ$41))</f>
        <v>48.67678879078251</v>
      </c>
      <c r="AV116" s="22" cm="1">
        <f t="array" ref="AV116">SQRT(SUMSQ($AS57:$AS60-BK$38:BK$41)/COUNTA($AS57:$AS60-BK$38:BK$41))</f>
        <v>51.273183713634033</v>
      </c>
      <c r="AW116" s="22" cm="1">
        <f t="array" ref="AW116">SQRT(SUMSQ($AS57:$AS60-BL$38:BL$41)/COUNTA($AS57:$AS60-BL$38:BL$41))</f>
        <v>45.106027596105733</v>
      </c>
      <c r="AX116" s="116">
        <f t="shared" si="158"/>
        <v>33.664719238964977</v>
      </c>
    </row>
    <row r="117" spans="34:50" x14ac:dyDescent="0.25">
      <c r="AH117" s="108"/>
      <c r="AI117" s="72" t="s">
        <v>39</v>
      </c>
      <c r="AJ117" s="22" cm="1">
        <f t="array" ref="AJ117">SQRT(SUMSQ($AT57:$AT60-AY$38:AY$41)/COUNTA($AT57:$AT60-AY$38:AY$41))</f>
        <v>59.037705272129912</v>
      </c>
      <c r="AK117" s="20" cm="1">
        <f t="array" ref="AK117">SQRT(SUMSQ($AT57:$AT60-AZ$38:AZ$41)/COUNTA($AT57:$AT60-AZ$38:AZ$41))</f>
        <v>59.037705272129912</v>
      </c>
      <c r="AL117" s="112" cm="1">
        <f t="array" ref="AL117">SQRT(SUMSQ($AT57:$AT60-BA$38:BA$41)/COUNTA($AT57:$AT60-BA$38:BA$41))</f>
        <v>70.420956611489416</v>
      </c>
      <c r="AM117" s="112" cm="1">
        <f t="array" ref="AM117">SQRT(SUMSQ($AT57:$AT60-BB$38:BB$41)/COUNTA($AT57:$AT60-BB$38:BB$41))</f>
        <v>70.420956611489416</v>
      </c>
      <c r="AN117" s="20" cm="1">
        <f t="array" ref="AN117">SQRT(SUMSQ($AT57:$AT60-BC$38:BC$41)/COUNTA($AT57:$AT60-BC$38:BC$41))</f>
        <v>21.243187842312039</v>
      </c>
      <c r="AO117" s="113" cm="1">
        <f t="array" ref="AO117">SQRT(SUMSQ($AT57:$AT60-BD$38:BD$41)/COUNTA($AT57:$AT60-BD$38:BD$41))</f>
        <v>34.00239718567866</v>
      </c>
      <c r="AP117" s="22" cm="1">
        <f t="array" ref="AP117">SQRT(SUMSQ($AT57:$AT60-BE$38:BE$41)/COUNTA($AT57:$AT60-BE$38:BE$41))</f>
        <v>70.420956611489416</v>
      </c>
      <c r="AQ117" s="20" cm="1">
        <f t="array" ref="AQ117">SQRT(SUMSQ($AT57:$AT60-BF$38:BF$41)/COUNTA($AT57:$AT60-BF$38:BF$41))</f>
        <v>32.798505619544301</v>
      </c>
      <c r="AR117" s="112" cm="1">
        <f t="array" ref="AR117">SQRT(SUMSQ($AT57:$AT60-BG$38:BG$41)/COUNTA($AT57:$AT60-BG$38:BG$41))</f>
        <v>51.795641692018997</v>
      </c>
      <c r="AS117" s="22" cm="1">
        <f t="array" ref="AS117">SQRT(SUMSQ($AT57:$AT60-BH$38:BH$41)/COUNTA($AT57:$AT60-BH$38:BH$41))</f>
        <v>64.470528030770893</v>
      </c>
      <c r="AT117" s="114" cm="1">
        <f t="array" ref="AT117">SQRT(SUMSQ($AT57:$AT60-BI$38:BI$41)/COUNTA($AT57:$AT60-BI$38:BI$41))</f>
        <v>33.270282952449904</v>
      </c>
      <c r="AU117" s="120" cm="1">
        <f t="array" ref="AU117">SQRT(SUMSQ($AT57:$AT60-BJ$38:BJ$41)/COUNTA($AT57:$AT60-BJ$38:BJ$41))</f>
        <v>13.630483839691509</v>
      </c>
      <c r="AV117" s="22" cm="1">
        <f t="array" ref="AV117">SQRT(SUMSQ($AT57:$AT60-BK$38:BK$41)/COUNTA($AT57:$AT60-BK$38:BK$41))</f>
        <v>24.576786559870147</v>
      </c>
      <c r="AW117" s="115" cm="1">
        <f t="array" ref="AW117">SQRT(SUMSQ($AT57:$AT60-BL$38:BL$41)/COUNTA($AT57:$AT60-BL$38:BL$41))</f>
        <v>32.392437015460175</v>
      </c>
      <c r="AX117" s="116">
        <f t="shared" si="158"/>
        <v>13.630483839691509</v>
      </c>
    </row>
    <row r="118" spans="34:50" x14ac:dyDescent="0.25">
      <c r="AI118" s="109" t="s">
        <v>68</v>
      </c>
      <c r="AJ118" s="22" cm="1">
        <f t="array" ref="AJ118">SQRT(SUMSQ($AU57:$AU60-AY$38:AY$41)/COUNTA($AU57:$AU60-AY$38:AY$41))</f>
        <v>84.050529009241686</v>
      </c>
      <c r="AK118" s="20" cm="1">
        <f t="array" ref="AK118">SQRT(SUMSQ($AU57:$AU60-AZ$38:AZ$41)/COUNTA($AU57:$AU60-AZ$38:AZ$41))</f>
        <v>84.050529009241686</v>
      </c>
      <c r="AL118" s="112" cm="1">
        <f t="array" ref="AL118">SQRT(SUMSQ($AU57:$AU60-BA$38:BA$41)/COUNTA($AU57:$AU60-BA$38:BA$41))</f>
        <v>91.953816458024662</v>
      </c>
      <c r="AM118" s="112" cm="1">
        <f t="array" ref="AM118">SQRT(SUMSQ($AU57:$AU60-BB$38:BB$41)/COUNTA($AU57:$AU60-BB$38:BB$41))</f>
        <v>91.953816458024662</v>
      </c>
      <c r="AN118" s="20" cm="1">
        <f t="array" ref="AN118">SQRT(SUMSQ($AU57:$AU60-BC$38:BC$41)/COUNTA($AU57:$AU60-BC$38:BC$41))</f>
        <v>22.009559159420991</v>
      </c>
      <c r="AO118" s="112" cm="1">
        <f t="array" ref="AO118">SQRT(SUMSQ($AU57:$AU60-BD$38:BD$41)/COUNTA($AU57:$AU60-BD$38:BD$41))</f>
        <v>52.121184652751268</v>
      </c>
      <c r="AP118" s="22" cm="1">
        <f t="array" ref="AP118">SQRT(SUMSQ($AU57:$AU60-BE$38:BE$41)/COUNTA($AU57:$AU60-BE$38:BE$41))</f>
        <v>91.953816458024662</v>
      </c>
      <c r="AQ118" s="20" cm="1">
        <f t="array" ref="AQ118">SQRT(SUMSQ($AU57:$AU60-BF$38:BF$41)/COUNTA($AU57:$AU60-BF$38:BF$41))</f>
        <v>52.255093006754443</v>
      </c>
      <c r="AR118" s="112" cm="1">
        <f t="array" ref="AR118">SQRT(SUMSQ($AU57:$AU60-BG$38:BG$41)/COUNTA($AU57:$AU60-BG$38:BG$41))</f>
        <v>74.021478674533171</v>
      </c>
      <c r="AS118" s="22" cm="1">
        <f t="array" ref="AS118">SQRT(SUMSQ($AU57:$AU60-BH$38:BH$41)/COUNTA($AU57:$AU60-BH$38:BH$41))</f>
        <v>82.886622802639735</v>
      </c>
      <c r="AT118" s="20" cm="1">
        <f t="array" ref="AT118">SQRT(SUMSQ($AU57:$AU60-BI$38:BI$41)/COUNTA($AU57:$AU60-BI$38:BI$41))</f>
        <v>52.944199662599509</v>
      </c>
      <c r="AU118" s="118" cm="1">
        <f t="array" ref="AU118">SQRT(SUMSQ($AU57:$AU60-BJ$38:BJ$41)/COUNTA($AU57:$AU60-BJ$38:BJ$41))</f>
        <v>20.754459154258903</v>
      </c>
      <c r="AV118" s="22" cm="1">
        <f t="array" ref="AV118">SQRT(SUMSQ($AU57:$AU60-BK$38:BK$41)/COUNTA($AU57:$AU60-BK$38:BK$41))</f>
        <v>32.980684549942701</v>
      </c>
      <c r="AW118" s="22" cm="1">
        <f t="array" ref="AW118">SQRT(SUMSQ($AU57:$AU60-BL$38:BL$41)/COUNTA($AU57:$AU60-BL$38:BL$41))</f>
        <v>60.460574609277216</v>
      </c>
      <c r="AX118" s="116">
        <f t="shared" si="158"/>
        <v>20.754459154258903</v>
      </c>
    </row>
    <row r="119" spans="34:50" x14ac:dyDescent="0.25">
      <c r="AI119" s="111" t="s">
        <v>67</v>
      </c>
      <c r="AJ119" s="45" cm="1">
        <f t="array" ref="AJ119">SQRT(SUMSQ($AV57:$AV60-AY$38:AY$41)/COUNTA($AV57:$AV60-AY$38:AY$41))</f>
        <v>80.640835555989398</v>
      </c>
      <c r="AK119" s="43" cm="1">
        <f t="array" ref="AK119">SQRT(SUMSQ($AV57:$AV60-AZ$38:AZ$41)/COUNTA($AV57:$AV60-AZ$38:AZ$41))</f>
        <v>80.640835555989398</v>
      </c>
      <c r="AL119" s="44" cm="1">
        <f t="array" ref="AL119">SQRT(SUMSQ($AV57:$AV60-BA$38:BA$41)/COUNTA($AV57:$AV60-BA$38:BA$41))</f>
        <v>87.032064366206058</v>
      </c>
      <c r="AM119" s="44" cm="1">
        <f t="array" ref="AM119">SQRT(SUMSQ($AV57:$AV60-BB$38:BB$41)/COUNTA($AV57:$AV60-BB$38:BB$41))</f>
        <v>87.032064366206058</v>
      </c>
      <c r="AN119" s="43" cm="1">
        <f t="array" ref="AN119">SQRT(SUMSQ($AV57:$AV60-BC$38:BC$41)/COUNTA($AV57:$AV60-BC$38:BC$41))</f>
        <v>23.351714476243227</v>
      </c>
      <c r="AO119" s="44" cm="1">
        <f t="array" ref="AO119">SQRT(SUMSQ($AV57:$AV60-BD$38:BD$41)/COUNTA($AV57:$AV60-BD$38:BD$41))</f>
        <v>51.217153259927066</v>
      </c>
      <c r="AP119" s="45" cm="1">
        <f t="array" ref="AP119">SQRT(SUMSQ($AV57:$AV60-BE$38:BE$41)/COUNTA($AV57:$AV60-BE$38:BE$41))</f>
        <v>87.032064366206058</v>
      </c>
      <c r="AQ119" s="43" cm="1">
        <f t="array" ref="AQ119">SQRT(SUMSQ($AV57:$AV60-BF$38:BF$41)/COUNTA($AV57:$AV60-BF$38:BF$41))</f>
        <v>49.514651179550015</v>
      </c>
      <c r="AR119" s="44" cm="1">
        <f t="array" ref="AR119">SQRT(SUMSQ($AV57:$AV60-BG$38:BG$41)/COUNTA($AV57:$AV60-BG$38:BG$41))</f>
        <v>70.542453983243661</v>
      </c>
      <c r="AS119" s="45" cm="1">
        <f t="array" ref="AS119">SQRT(SUMSQ($AV57:$AV60-BH$38:BH$41)/COUNTA($AV57:$AV60-BH$38:BH$41))</f>
        <v>77.768076243747714</v>
      </c>
      <c r="AT119" s="43" cm="1">
        <f t="array" ref="AT119">SQRT(SUMSQ($AV57:$AV60-BI$38:BI$41)/COUNTA($AV57:$AV60-BI$38:BI$41))</f>
        <v>51.806203751045679</v>
      </c>
      <c r="AU119" s="122" cm="1">
        <f t="array" ref="AU119">SQRT(SUMSQ($AV57:$AV60-BJ$38:BJ$41)/COUNTA($AV57:$AV60-BJ$38:BJ$41))</f>
        <v>20.808124502996126</v>
      </c>
      <c r="AV119" s="45" cm="1">
        <f t="array" ref="AV119">SQRT(SUMSQ($AV57:$AV60-BK$38:BK$41)/COUNTA($AV57:$AV60-BK$38:BK$41))</f>
        <v>31.308670192853246</v>
      </c>
      <c r="AW119" s="45" cm="1">
        <f t="array" ref="AW119">SQRT(SUMSQ($AV57:$AV60-BL$38:BL$41)/COUNTA($AV57:$AV60-BL$38:BL$41))</f>
        <v>58.326672666361084</v>
      </c>
      <c r="AX119" s="116">
        <f t="shared" si="158"/>
        <v>20.808124502996126</v>
      </c>
    </row>
    <row r="120" spans="34:50" x14ac:dyDescent="0.25">
      <c r="AJ120" s="116">
        <f>MIN(AJ108:AJ118)</f>
        <v>49.607920007537594</v>
      </c>
      <c r="AK120" s="116">
        <f>MIN(AK108:AK118)</f>
        <v>49.607920007537594</v>
      </c>
      <c r="AL120" s="116">
        <f>MIN(AL108:AL118)</f>
        <v>45.133829812205335</v>
      </c>
      <c r="AM120" s="116">
        <f>MIN(AM108:AM118)</f>
        <v>45.133829812205335</v>
      </c>
      <c r="AN120" s="116">
        <f>MIN(AN108:AN118)</f>
        <v>12.590275383947663</v>
      </c>
      <c r="AO120" s="116">
        <f>MIN(AO108:AO118)</f>
        <v>34.00239718567866</v>
      </c>
      <c r="AP120" s="116">
        <f>MIN(AP108:AP118)</f>
        <v>45.133829812205335</v>
      </c>
      <c r="AQ120" s="116">
        <f>MIN(AQ108:AQ118)</f>
        <v>30.063157363277309</v>
      </c>
      <c r="AR120" s="116">
        <f>MIN(AR108:AR118)</f>
        <v>40.418937760307301</v>
      </c>
      <c r="AS120" s="116">
        <f>MIN(AS108:AS118)</f>
        <v>33.664719238964977</v>
      </c>
      <c r="AT120" s="116">
        <f>MIN(AT108:AT118)</f>
        <v>33.270282952449904</v>
      </c>
      <c r="AU120" s="116">
        <f>MIN(AU108:AU118)</f>
        <v>12.22050461126655</v>
      </c>
      <c r="AV120" s="116">
        <f>MIN(AV108:AV118)</f>
        <v>24.576786559870147</v>
      </c>
      <c r="AW120" s="116">
        <f>MIN(AW108:AW118)</f>
        <v>32.392437015460175</v>
      </c>
    </row>
  </sheetData>
  <mergeCells count="125">
    <mergeCell ref="AH109:AH111"/>
    <mergeCell ref="AH112:AH114"/>
    <mergeCell ref="AH115:AH117"/>
    <mergeCell ref="AK105:AP105"/>
    <mergeCell ref="AQ105:AV105"/>
    <mergeCell ref="AK106:AM106"/>
    <mergeCell ref="AN106:AP106"/>
    <mergeCell ref="AQ106:AS106"/>
    <mergeCell ref="AT106:AV106"/>
    <mergeCell ref="AK87:AP87"/>
    <mergeCell ref="AQ87:AV87"/>
    <mergeCell ref="AK88:AM88"/>
    <mergeCell ref="AN88:AP88"/>
    <mergeCell ref="AQ88:AS88"/>
    <mergeCell ref="AT88:AV88"/>
    <mergeCell ref="AH91:AH93"/>
    <mergeCell ref="AH94:AH96"/>
    <mergeCell ref="AH97:AH99"/>
    <mergeCell ref="AH79:AH81"/>
    <mergeCell ref="AH73:AH75"/>
    <mergeCell ref="AH76:AH78"/>
    <mergeCell ref="AK69:AP69"/>
    <mergeCell ref="AQ69:AV69"/>
    <mergeCell ref="AK70:AM70"/>
    <mergeCell ref="AN70:AP70"/>
    <mergeCell ref="AQ70:AS70"/>
    <mergeCell ref="AT70:AV70"/>
    <mergeCell ref="AL55:AN55"/>
    <mergeCell ref="AO55:AQ55"/>
    <mergeCell ref="AR55:AT55"/>
    <mergeCell ref="AZ36:BB36"/>
    <mergeCell ref="BC36:BE36"/>
    <mergeCell ref="BF36:BH36"/>
    <mergeCell ref="BI36:BK36"/>
    <mergeCell ref="BC2:BE2"/>
    <mergeCell ref="BF2:BH2"/>
    <mergeCell ref="BI2:BK2"/>
    <mergeCell ref="AL45:AN45"/>
    <mergeCell ref="AO45:AQ45"/>
    <mergeCell ref="AR45:AT45"/>
    <mergeCell ref="AZ35:BE35"/>
    <mergeCell ref="BF35:BK35"/>
    <mergeCell ref="BC22:BE22"/>
    <mergeCell ref="BF22:BH22"/>
    <mergeCell ref="BI22:BK22"/>
    <mergeCell ref="BC12:BE12"/>
    <mergeCell ref="BF12:BH12"/>
    <mergeCell ref="BI12:BK12"/>
    <mergeCell ref="AV2:BA2"/>
    <mergeCell ref="AV12:BA12"/>
    <mergeCell ref="AV22:BA22"/>
    <mergeCell ref="AL35:AN35"/>
    <mergeCell ref="AO35:AQ35"/>
    <mergeCell ref="AR35:AT35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B40:C40"/>
    <mergeCell ref="D26:F26"/>
    <mergeCell ref="D40:F40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ignoredErrors>
    <ignoredError sqref="AS37" formula="1"/>
    <ignoredError sqref="AK108:AW108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>
      <selection activeCell="C22" sqref="C22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87" t="s">
        <v>51</v>
      </c>
      <c r="U1" s="87"/>
      <c r="V1" s="87"/>
      <c r="W1" s="87"/>
      <c r="X1" s="87"/>
      <c r="Y1" s="87"/>
      <c r="AC1" s="87" t="s">
        <v>55</v>
      </c>
      <c r="AD1" s="87"/>
      <c r="AE1" s="87"/>
      <c r="AF1" s="87"/>
      <c r="AG1" s="87"/>
      <c r="AH1" s="87"/>
      <c r="AL1" s="87" t="s">
        <v>58</v>
      </c>
      <c r="AM1" s="87"/>
      <c r="AN1" s="87"/>
      <c r="AO1" s="87"/>
      <c r="AP1" s="87"/>
      <c r="AQ1" s="87"/>
      <c r="BA1" s="91" t="s">
        <v>63</v>
      </c>
      <c r="BB1" s="89"/>
      <c r="BC1" s="89"/>
      <c r="BD1" s="89"/>
      <c r="BE1" s="89"/>
      <c r="BF1" s="92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3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3" si="8">E4/F4</f>
        <v>3.5872859620559958</v>
      </c>
      <c r="AB4" s="4">
        <f t="shared" ref="AB4:AB23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3" si="11">E4*G4</f>
        <v>3.7521037581370633E-4</v>
      </c>
      <c r="AJ4" s="58">
        <f t="shared" ref="AJ4:AJ23" si="12">E4*F4</f>
        <v>7.3711805643588205E-4</v>
      </c>
      <c r="AK4" s="58">
        <f t="shared" ref="AK4:AK23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3" si="15">G4/E4</f>
        <v>0.14189653541302394</v>
      </c>
      <c r="AS4" s="9">
        <f t="shared" ref="AS4:AS23" si="16">F4/E4</f>
        <v>0.27876227615455168</v>
      </c>
      <c r="AT4" s="9">
        <f t="shared" ref="AT4:AT23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3" si="20">AW4*AN4</f>
        <v>2.4928273110192231E-2</v>
      </c>
      <c r="BD4" s="58">
        <f t="shared" ref="BD4:BD23" si="21">AX4*AO4</f>
        <v>0.27603160920571362</v>
      </c>
      <c r="BE4" s="58">
        <f t="shared" ref="BE4:BE23" si="22">AY4*AP4</f>
        <v>3.30347225336845</v>
      </c>
      <c r="BF4" s="62">
        <f t="shared" ref="BF4:BF23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3" si="26">J19/$D19</f>
        <v>3.4</v>
      </c>
      <c r="Q19" s="10">
        <f t="shared" ref="Q19:Q23" si="27">K19/$D19</f>
        <v>12.25</v>
      </c>
      <c r="R19" s="10">
        <f t="shared" ref="R19:R23" si="28">L19/$D19</f>
        <v>57.75</v>
      </c>
      <c r="S19" s="22">
        <f t="shared" ref="S19:S23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3" si="31">P19*$E19</f>
        <v>0.17147405462389337</v>
      </c>
      <c r="W19" s="10">
        <f t="shared" ref="W19:W23" si="32">Q19*$E19</f>
        <v>0.6178109321007923</v>
      </c>
      <c r="X19" s="10">
        <f t="shared" ref="X19:Y23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3" si="35">P19*$G19</f>
        <v>1.4913772943934471E-2</v>
      </c>
      <c r="AF19">
        <f t="shared" ref="AF19:AF23" si="36">Q19*$G19</f>
        <v>5.3733446636234493E-2</v>
      </c>
      <c r="AG19">
        <f t="shared" ref="AG19:AG23" si="37">R19*$G19</f>
        <v>0.25331481985653403</v>
      </c>
      <c r="AH19" s="54">
        <f t="shared" ref="AH19:AH23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3" si="40">P20*$F20</f>
        <v>0.36669377099951034</v>
      </c>
      <c r="AO20">
        <f t="shared" ref="AO20:AO23" si="41">Q20*$F20</f>
        <v>0.96085533577411786</v>
      </c>
      <c r="AP20">
        <f t="shared" ref="AP20:AP23" si="42">R20*$F20</f>
        <v>1.998186912558829</v>
      </c>
      <c r="AQ20" s="54">
        <f t="shared" ref="AQ20:AQ23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>
        <v>60</v>
      </c>
      <c r="E23" s="39">
        <v>3.4734349552416499E-2</v>
      </c>
      <c r="F23" s="39">
        <v>1.59772775618169E-2</v>
      </c>
      <c r="G23" s="39">
        <v>1.5617522696591399E-2</v>
      </c>
      <c r="H23" s="40">
        <v>0</v>
      </c>
      <c r="I23" s="41">
        <v>0</v>
      </c>
      <c r="J23" s="41">
        <v>69.12</v>
      </c>
      <c r="K23" s="41">
        <v>1622.3999999999901</v>
      </c>
      <c r="L23" s="41">
        <v>12195.84</v>
      </c>
      <c r="M23" s="41">
        <v>18165.12</v>
      </c>
      <c r="N23" s="43"/>
      <c r="O23" s="44"/>
      <c r="P23" s="44">
        <f t="shared" si="26"/>
        <v>1.1520000000000001</v>
      </c>
      <c r="Q23" s="44">
        <f t="shared" si="27"/>
        <v>27.039999999999836</v>
      </c>
      <c r="R23" s="44">
        <f t="shared" si="28"/>
        <v>203.26400000000001</v>
      </c>
      <c r="S23" s="45">
        <f t="shared" si="29"/>
        <v>302.75200000000001</v>
      </c>
      <c r="T23" s="43"/>
      <c r="U23" s="44"/>
      <c r="V23" s="44">
        <f t="shared" si="31"/>
        <v>4.0013970684383809E-2</v>
      </c>
      <c r="W23" s="44">
        <f t="shared" si="32"/>
        <v>0.93921681189733641</v>
      </c>
      <c r="X23" s="44">
        <f t="shared" si="33"/>
        <v>7.0602428274223881</v>
      </c>
      <c r="Y23" s="45">
        <f t="shared" si="33"/>
        <v>10.5158937956932</v>
      </c>
      <c r="Z23" s="4">
        <f t="shared" si="2"/>
        <v>2.2240626908131493</v>
      </c>
      <c r="AA23" s="9">
        <f t="shared" si="8"/>
        <v>2.1739842359267736</v>
      </c>
      <c r="AB23" s="4">
        <f t="shared" si="9"/>
        <v>0.97748334384042646</v>
      </c>
      <c r="AC23" s="55"/>
      <c r="AD23" s="56"/>
      <c r="AE23" s="56">
        <f t="shared" si="35"/>
        <v>1.7991386146473293E-2</v>
      </c>
      <c r="AF23" s="56">
        <f t="shared" si="36"/>
        <v>0.42229781371582886</v>
      </c>
      <c r="AG23" s="56">
        <f t="shared" si="37"/>
        <v>3.1744801333999542</v>
      </c>
      <c r="AH23" s="57">
        <f t="shared" si="38"/>
        <v>4.7282362314384399</v>
      </c>
      <c r="AI23" s="58">
        <f t="shared" si="11"/>
        <v>5.4246449248620393E-4</v>
      </c>
      <c r="AJ23" s="58">
        <f t="shared" si="12"/>
        <v>5.5496034372812903E-4</v>
      </c>
      <c r="AK23" s="58">
        <f t="shared" si="13"/>
        <v>2.4952549495141591E-4</v>
      </c>
      <c r="AL23" s="55"/>
      <c r="AM23" s="56"/>
      <c r="AN23" s="56">
        <f t="shared" si="40"/>
        <v>1.8405823751213073E-2</v>
      </c>
      <c r="AO23" s="56">
        <f t="shared" si="41"/>
        <v>0.43202558527152635</v>
      </c>
      <c r="AP23" s="56">
        <f t="shared" si="42"/>
        <v>3.2476053463251504</v>
      </c>
      <c r="AQ23" s="57">
        <f t="shared" si="43"/>
        <v>4.8371527363951907</v>
      </c>
      <c r="AR23" s="9">
        <f t="shared" si="15"/>
        <v>0.4496276135248623</v>
      </c>
      <c r="AS23" s="9">
        <f t="shared" si="16"/>
        <v>0.45998493617121289</v>
      </c>
      <c r="AT23" s="9">
        <f t="shared" si="17"/>
        <v>1.0230353348744625</v>
      </c>
      <c r="AU23" s="10">
        <v>0</v>
      </c>
      <c r="AV23" s="10">
        <v>0</v>
      </c>
      <c r="AW23" s="10">
        <v>0.32654015746286202</v>
      </c>
      <c r="AX23" s="10">
        <v>1.0295343355653599</v>
      </c>
      <c r="AY23" s="10">
        <v>4.09018305582513</v>
      </c>
      <c r="AZ23" s="10">
        <v>16.360732223300499</v>
      </c>
      <c r="BA23" s="63"/>
      <c r="BB23" s="64"/>
      <c r="BC23" s="64">
        <f t="shared" si="20"/>
        <v>6.0102405859548029E-3</v>
      </c>
      <c r="BD23" s="64">
        <f t="shared" si="21"/>
        <v>0.44478517387975663</v>
      </c>
      <c r="BE23" s="64">
        <f t="shared" si="22"/>
        <v>13.283300359546233</v>
      </c>
      <c r="BF23" s="65">
        <f t="shared" si="23"/>
        <v>79.139360643366985</v>
      </c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A40" workbookViewId="0">
      <selection activeCell="E22" sqref="E22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87" t="s">
        <v>51</v>
      </c>
      <c r="U1" s="87"/>
      <c r="V1" s="87"/>
      <c r="W1" s="87"/>
      <c r="X1" s="87"/>
      <c r="Y1" s="87"/>
      <c r="Z1" s="87" t="s">
        <v>55</v>
      </c>
      <c r="AA1" s="87"/>
      <c r="AB1" s="87"/>
      <c r="AC1" s="87"/>
      <c r="AD1" s="87"/>
      <c r="AE1" s="87"/>
      <c r="AH1" s="87" t="s">
        <v>58</v>
      </c>
      <c r="AI1" s="87"/>
      <c r="AJ1" s="87"/>
      <c r="AK1" s="87"/>
      <c r="AL1" s="87"/>
      <c r="AM1" s="87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>
        <v>128</v>
      </c>
      <c r="C22" s="11">
        <v>128</v>
      </c>
      <c r="D22" s="23">
        <v>60</v>
      </c>
      <c r="E22" s="24">
        <v>6.3874222410114402E-3</v>
      </c>
      <c r="F22" s="24">
        <v>4.0872753866210698E-3</v>
      </c>
      <c r="G22" s="24">
        <v>4.1324979636846596E-3</v>
      </c>
      <c r="H22" s="30">
        <v>0</v>
      </c>
      <c r="I22" s="8">
        <v>0</v>
      </c>
      <c r="J22" s="8">
        <v>0</v>
      </c>
      <c r="K22" s="8">
        <v>32.479999999999997</v>
      </c>
      <c r="L22" s="8">
        <v>580</v>
      </c>
      <c r="M22" s="8">
        <v>8760.32</v>
      </c>
      <c r="N22" s="20">
        <f t="shared" si="5"/>
        <v>0</v>
      </c>
      <c r="O22" s="10">
        <f t="shared" si="5"/>
        <v>0</v>
      </c>
      <c r="P22" s="10">
        <f t="shared" si="5"/>
        <v>0</v>
      </c>
      <c r="Q22" s="10">
        <f t="shared" si="5"/>
        <v>0.54133333333333333</v>
      </c>
      <c r="R22" s="10">
        <f t="shared" si="5"/>
        <v>9.6666666666666661</v>
      </c>
      <c r="S22" s="22">
        <f t="shared" si="5"/>
        <v>146.00533333333334</v>
      </c>
      <c r="T22" s="20"/>
      <c r="U22" s="10"/>
      <c r="V22" s="10"/>
      <c r="W22" s="9">
        <f>Q22*$E22</f>
        <v>3.457724573134193E-3</v>
      </c>
      <c r="X22" s="9">
        <f t="shared" si="6"/>
        <v>6.1745081663110588E-2</v>
      </c>
      <c r="Y22" s="22">
        <f t="shared" si="6"/>
        <v>0.93259771343962239</v>
      </c>
      <c r="Z22" s="53">
        <f t="shared" si="7"/>
        <v>0</v>
      </c>
      <c r="AA22">
        <f t="shared" si="8"/>
        <v>0</v>
      </c>
      <c r="AB22">
        <f t="shared" si="9"/>
        <v>0</v>
      </c>
      <c r="AC22">
        <f>Q22*$G22</f>
        <v>2.2370588976746292E-3</v>
      </c>
      <c r="AD22">
        <f>R22*$G22</f>
        <v>3.9947480315618372E-2</v>
      </c>
      <c r="AE22" s="54">
        <f t="shared" si="12"/>
        <v>0.6033667426871</v>
      </c>
      <c r="AF22" s="46">
        <f t="shared" si="13"/>
        <v>2.6396009404173881E-5</v>
      </c>
      <c r="AG22" s="62">
        <f t="shared" si="3"/>
        <v>2.6107153709642053E-5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2.2125784092908727E-3</v>
      </c>
      <c r="AL22">
        <f t="shared" si="18"/>
        <v>3.9510328737337008E-2</v>
      </c>
      <c r="AM22" s="54">
        <f t="shared" si="19"/>
        <v>0.59676400524873818</v>
      </c>
    </row>
    <row r="23" spans="1:39" x14ac:dyDescent="0.25">
      <c r="A23" s="36" t="s">
        <v>43</v>
      </c>
      <c r="B23" s="37">
        <v>64</v>
      </c>
      <c r="C23" s="37">
        <v>64</v>
      </c>
      <c r="D23" s="38">
        <v>60</v>
      </c>
      <c r="E23" s="39">
        <v>2.3944348715607398E-3</v>
      </c>
      <c r="F23" s="39">
        <v>1.5049965491053801E-3</v>
      </c>
      <c r="G23" s="39">
        <v>1.48965533935772E-3</v>
      </c>
      <c r="H23" s="40">
        <v>0</v>
      </c>
      <c r="I23" s="41">
        <v>0</v>
      </c>
      <c r="J23" s="41">
        <v>0</v>
      </c>
      <c r="K23" s="41">
        <v>0</v>
      </c>
      <c r="L23" s="41">
        <v>23.2</v>
      </c>
      <c r="M23" s="41">
        <v>969.75999999999897</v>
      </c>
      <c r="N23" s="20">
        <f t="shared" si="5"/>
        <v>0</v>
      </c>
      <c r="O23" s="10">
        <f t="shared" si="5"/>
        <v>0</v>
      </c>
      <c r="P23" s="10">
        <f t="shared" si="5"/>
        <v>0</v>
      </c>
      <c r="Q23" s="10">
        <f t="shared" si="5"/>
        <v>0</v>
      </c>
      <c r="R23" s="10">
        <f t="shared" si="5"/>
        <v>0.38666666666666666</v>
      </c>
      <c r="S23" s="22">
        <f t="shared" si="5"/>
        <v>16.162666666666649</v>
      </c>
      <c r="T23" s="20"/>
      <c r="U23" s="10"/>
      <c r="V23" s="10"/>
      <c r="W23" s="9"/>
      <c r="X23" s="9">
        <f t="shared" si="6"/>
        <v>9.2584815033681933E-4</v>
      </c>
      <c r="Y23" s="22">
        <f t="shared" si="6"/>
        <v>3.8700452684079005E-2</v>
      </c>
      <c r="Z23" s="53">
        <f t="shared" si="7"/>
        <v>0</v>
      </c>
      <c r="AA23">
        <f t="shared" si="8"/>
        <v>0</v>
      </c>
      <c r="AB23">
        <f t="shared" si="9"/>
        <v>0</v>
      </c>
      <c r="AC23">
        <f t="shared" si="10"/>
        <v>0</v>
      </c>
      <c r="AD23">
        <f t="shared" si="11"/>
        <v>5.7600006455165169E-4</v>
      </c>
      <c r="AE23" s="54">
        <f t="shared" si="12"/>
        <v>2.4076802698259014E-2</v>
      </c>
      <c r="AF23" s="46">
        <f t="shared" si="13"/>
        <v>3.5668826911647726E-6</v>
      </c>
      <c r="AG23" s="62">
        <f t="shared" si="3"/>
        <v>3.6036162187564973E-6</v>
      </c>
      <c r="AH23">
        <f t="shared" si="14"/>
        <v>0</v>
      </c>
      <c r="AI23">
        <f>O23*$F23</f>
        <v>0</v>
      </c>
      <c r="AJ23">
        <f t="shared" si="16"/>
        <v>0</v>
      </c>
      <c r="AK23">
        <f t="shared" si="17"/>
        <v>0</v>
      </c>
      <c r="AL23">
        <f t="shared" si="18"/>
        <v>5.8193199898741357E-4</v>
      </c>
      <c r="AM23" s="54">
        <f t="shared" si="19"/>
        <v>2.4324757557673864E-2</v>
      </c>
    </row>
    <row r="24" spans="1:39" x14ac:dyDescent="0.25">
      <c r="A24" s="1" t="s">
        <v>44</v>
      </c>
      <c r="D24" s="1">
        <v>60</v>
      </c>
      <c r="E24" s="24">
        <v>3.4734349552416499E-2</v>
      </c>
      <c r="F24" s="24">
        <v>1.59772775618169E-2</v>
      </c>
      <c r="G24" s="24">
        <v>1.5617522696591399E-2</v>
      </c>
      <c r="H24" s="30">
        <v>0</v>
      </c>
      <c r="I24" s="8">
        <v>0</v>
      </c>
      <c r="J24" s="8">
        <v>69.12</v>
      </c>
      <c r="K24" s="8">
        <v>1622.3999999999901</v>
      </c>
      <c r="L24" s="8">
        <v>12195.84</v>
      </c>
      <c r="M24" s="8">
        <v>18165.12</v>
      </c>
      <c r="N24" s="10">
        <f>H24/$D24</f>
        <v>0</v>
      </c>
      <c r="O24" s="10">
        <f t="shared" si="5"/>
        <v>0</v>
      </c>
      <c r="P24" s="10">
        <f t="shared" si="5"/>
        <v>1.1520000000000001</v>
      </c>
      <c r="Q24" s="10">
        <f t="shared" si="5"/>
        <v>27.039999999999836</v>
      </c>
      <c r="R24" s="10">
        <f t="shared" si="5"/>
        <v>203.26400000000001</v>
      </c>
      <c r="S24" s="10">
        <f>M24/$D24</f>
        <v>302.75200000000001</v>
      </c>
      <c r="T24" s="10">
        <f t="shared" ref="T24:Y24" si="20">N24*$E24</f>
        <v>0</v>
      </c>
      <c r="U24" s="10">
        <f t="shared" si="20"/>
        <v>0</v>
      </c>
      <c r="V24" s="10">
        <f t="shared" si="20"/>
        <v>4.0013970684383809E-2</v>
      </c>
      <c r="W24" s="9">
        <f t="shared" si="20"/>
        <v>0.93921681189733641</v>
      </c>
      <c r="X24" s="9">
        <f t="shared" si="20"/>
        <v>7.0602428274223881</v>
      </c>
      <c r="Y24" s="10">
        <f t="shared" si="20"/>
        <v>10.5158937956932</v>
      </c>
      <c r="Z24">
        <f t="shared" ref="Z24" si="21">N24*$G24</f>
        <v>0</v>
      </c>
      <c r="AA24">
        <f t="shared" ref="AA24" si="22">O24*$G24</f>
        <v>0</v>
      </c>
      <c r="AB24">
        <f t="shared" ref="AB24" si="23">P24*$G24</f>
        <v>1.7991386146473293E-2</v>
      </c>
      <c r="AC24">
        <f t="shared" ref="AC24" si="24">Q24*$G24</f>
        <v>0.42229781371582886</v>
      </c>
      <c r="AD24">
        <f t="shared" ref="AD24" si="25">R24*$G24</f>
        <v>3.1744801333999542</v>
      </c>
      <c r="AE24">
        <f>S24*$G24</f>
        <v>4.7282362314384399</v>
      </c>
      <c r="AF24" s="58">
        <f t="shared" si="13"/>
        <v>5.4246449248620393E-4</v>
      </c>
      <c r="AG24" s="58">
        <f>E24*F24</f>
        <v>5.5496034372812903E-4</v>
      </c>
      <c r="AH24">
        <f t="shared" ref="AH24:AM24" si="26">T24*$F24</f>
        <v>0</v>
      </c>
      <c r="AI24">
        <f t="shared" si="26"/>
        <v>0</v>
      </c>
      <c r="AJ24">
        <f t="shared" si="26"/>
        <v>6.3931431597480468E-4</v>
      </c>
      <c r="AK24">
        <f t="shared" si="26"/>
        <v>1.5006127694408518E-2</v>
      </c>
      <c r="AL24">
        <f t="shared" si="26"/>
        <v>0.11280345930755444</v>
      </c>
      <c r="AM24" s="54">
        <f t="shared" si="26"/>
        <v>0.16801535398437853</v>
      </c>
    </row>
    <row r="25" spans="1:39" x14ac:dyDescent="0.25">
      <c r="A25" s="1" t="s">
        <v>72</v>
      </c>
      <c r="D25" s="1">
        <v>60</v>
      </c>
      <c r="E25" s="80">
        <v>2.3944348715607398E-3</v>
      </c>
      <c r="F25" s="80">
        <v>1.5049965491053801E-3</v>
      </c>
      <c r="G25" s="80">
        <v>1.48965533935772E-3</v>
      </c>
      <c r="H25" s="17">
        <v>0</v>
      </c>
      <c r="I25" s="17">
        <v>0</v>
      </c>
      <c r="J25" s="17">
        <v>0</v>
      </c>
      <c r="K25" s="17">
        <v>0</v>
      </c>
      <c r="L25" s="17">
        <v>23.2</v>
      </c>
      <c r="M25" s="17">
        <v>969.75999999999897</v>
      </c>
      <c r="N25" s="18">
        <f>H25/$D25</f>
        <v>0</v>
      </c>
      <c r="O25" s="18">
        <f t="shared" ref="O25" si="27">I25/$D25</f>
        <v>0</v>
      </c>
      <c r="P25" s="18">
        <f t="shared" ref="P25" si="28">J25/$D25</f>
        <v>0</v>
      </c>
      <c r="Q25" s="18">
        <f t="shared" ref="Q25" si="29">K25/$D25</f>
        <v>0</v>
      </c>
      <c r="R25" s="18">
        <f t="shared" ref="R25" si="30">L25/$D25</f>
        <v>0.38666666666666666</v>
      </c>
      <c r="S25" s="18">
        <f>M25/$D25</f>
        <v>16.162666666666649</v>
      </c>
      <c r="T25" s="18">
        <f t="shared" ref="T25:V26" si="31">N25*$E25</f>
        <v>0</v>
      </c>
      <c r="U25" s="18">
        <f t="shared" si="31"/>
        <v>0</v>
      </c>
      <c r="V25" s="18">
        <f t="shared" si="31"/>
        <v>0</v>
      </c>
      <c r="W25" s="81"/>
      <c r="X25" s="81">
        <f>R25*$E25</f>
        <v>9.2584815033681933E-4</v>
      </c>
      <c r="Y25" s="18">
        <f>S25*$E25</f>
        <v>3.8700452684079005E-2</v>
      </c>
      <c r="Z25" s="82">
        <f t="shared" ref="Z25" si="32">N25*$G25</f>
        <v>0</v>
      </c>
      <c r="AA25" s="82">
        <f t="shared" ref="AA25" si="33">O25*$G25</f>
        <v>0</v>
      </c>
      <c r="AB25" s="82">
        <f t="shared" ref="AB25" si="34">P25*$G25</f>
        <v>0</v>
      </c>
      <c r="AC25" s="82">
        <f t="shared" ref="AC25" si="35">Q25*$G25</f>
        <v>0</v>
      </c>
      <c r="AD25" s="82">
        <f t="shared" ref="AD25" si="36">R25*$G25</f>
        <v>5.7600006455165169E-4</v>
      </c>
      <c r="AE25" s="82">
        <f>S25*$G25</f>
        <v>2.4076802698259014E-2</v>
      </c>
      <c r="AF25" s="83">
        <f t="shared" ref="AF25" si="37">E25*G25</f>
        <v>3.5668826911647726E-6</v>
      </c>
      <c r="AG25" s="83">
        <f>E25*F25</f>
        <v>3.6036162187564973E-6</v>
      </c>
      <c r="AH25" s="82">
        <f t="shared" ref="AH25:AM26" si="38">T25*$F25</f>
        <v>0</v>
      </c>
      <c r="AI25" s="82">
        <f t="shared" si="38"/>
        <v>0</v>
      </c>
      <c r="AJ25" s="82">
        <f t="shared" si="38"/>
        <v>0</v>
      </c>
      <c r="AK25" s="82">
        <f t="shared" si="38"/>
        <v>0</v>
      </c>
      <c r="AL25" s="82">
        <f t="shared" si="38"/>
        <v>1.3933982712525122E-6</v>
      </c>
      <c r="AM25" s="84">
        <f t="shared" si="38"/>
        <v>5.8244047738354949E-5</v>
      </c>
    </row>
    <row r="26" spans="1:39" x14ac:dyDescent="0.25">
      <c r="A26" s="1" t="s">
        <v>100</v>
      </c>
      <c r="D26" s="1">
        <v>60</v>
      </c>
      <c r="E26" s="4">
        <v>1.8111308452651399E-2</v>
      </c>
      <c r="F26" s="4">
        <v>4.2458617585666601E-3</v>
      </c>
      <c r="G26" s="4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 t="shared" si="31"/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85" t="s">
        <v>64</v>
      </c>
      <c r="E27" s="85"/>
      <c r="F27" s="85"/>
      <c r="G27" s="85" t="s">
        <v>65</v>
      </c>
      <c r="H27" s="85"/>
      <c r="I27" s="85"/>
      <c r="J27" s="85" t="s">
        <v>66</v>
      </c>
      <c r="K27" s="85"/>
      <c r="L27" s="85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2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14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14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14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14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14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14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14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14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14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14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14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</row>
    <row r="44" spans="1:14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</row>
    <row r="45" spans="1:14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</row>
    <row r="46" spans="1:14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</row>
    <row r="47" spans="1:14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14" x14ac:dyDescent="0.25">
      <c r="A48" s="28" t="s">
        <v>42</v>
      </c>
      <c r="B48" s="66"/>
      <c r="C48" s="10">
        <f t="shared" si="49"/>
        <v>20.326828970179818</v>
      </c>
      <c r="D48" s="9">
        <f t="shared" si="50"/>
        <v>10.413880038878078</v>
      </c>
      <c r="E48" s="9">
        <f t="shared" si="51"/>
        <v>8.7235770181385206</v>
      </c>
      <c r="F48" s="9">
        <f t="shared" si="52"/>
        <v>16.191244363932022</v>
      </c>
      <c r="G48" s="10">
        <f t="shared" si="53"/>
        <v>18.016654794070547</v>
      </c>
      <c r="H48" s="10">
        <f t="shared" si="54"/>
        <v>24.846415036386741</v>
      </c>
      <c r="I48" s="10">
        <f t="shared" si="55"/>
        <v>42.234620416192008</v>
      </c>
      <c r="J48" s="10">
        <f t="shared" si="56"/>
        <v>13.787326381005839</v>
      </c>
      <c r="K48" s="10">
        <f t="shared" si="57"/>
        <v>13.899998366222087</v>
      </c>
      <c r="L48" s="10">
        <f t="shared" si="58"/>
        <v>24.587449440053295</v>
      </c>
      <c r="M48" s="10">
        <f t="shared" si="59"/>
        <v>21.449588919372982</v>
      </c>
      <c r="N48" s="10">
        <f t="shared" si="60"/>
        <v>23.058574227506274</v>
      </c>
    </row>
    <row r="49" spans="1:33" x14ac:dyDescent="0.25">
      <c r="A49" s="36" t="s">
        <v>43</v>
      </c>
      <c r="B49" s="67"/>
      <c r="C49" s="10">
        <f t="shared" si="49"/>
        <v>11.253514007053486</v>
      </c>
      <c r="D49" s="9">
        <f t="shared" si="50"/>
        <v>0</v>
      </c>
      <c r="E49" s="9">
        <f t="shared" si="51"/>
        <v>0.9525030774247405</v>
      </c>
      <c r="F49" s="9">
        <f t="shared" si="52"/>
        <v>1.8208565296873807</v>
      </c>
      <c r="G49" s="10">
        <f t="shared" si="53"/>
        <v>0</v>
      </c>
      <c r="H49" s="10">
        <f t="shared" si="54"/>
        <v>6.4399714308752509</v>
      </c>
      <c r="I49" s="10">
        <f t="shared" si="55"/>
        <v>14.35058288194206</v>
      </c>
      <c r="J49" s="10">
        <f t="shared" si="56"/>
        <v>0</v>
      </c>
      <c r="K49" s="10">
        <f t="shared" si="57"/>
        <v>1.8975963591862426</v>
      </c>
      <c r="L49" s="10">
        <f t="shared" si="58"/>
        <v>2.8692708932470516</v>
      </c>
      <c r="M49" s="10">
        <f t="shared" si="59"/>
        <v>10.419702497860031</v>
      </c>
      <c r="N49" s="10">
        <f t="shared" si="60"/>
        <v>10.245322861770958</v>
      </c>
    </row>
    <row r="50" spans="1:33" x14ac:dyDescent="0.25">
      <c r="A50" s="1" t="s">
        <v>44</v>
      </c>
      <c r="C50" s="10">
        <f t="shared" si="49"/>
        <v>56.395166976142171</v>
      </c>
      <c r="D50" s="9">
        <f t="shared" si="50"/>
        <v>72.567417928355312</v>
      </c>
      <c r="E50" s="9">
        <f t="shared" si="51"/>
        <v>106.16773828747354</v>
      </c>
      <c r="F50" s="9">
        <f t="shared" si="52"/>
        <v>85.465905708754335</v>
      </c>
      <c r="G50" s="10">
        <f t="shared" si="53"/>
        <v>84.100956134956419</v>
      </c>
      <c r="H50" s="10">
        <f t="shared" si="54"/>
        <v>100.10876222717894</v>
      </c>
      <c r="I50" s="10">
        <f t="shared" si="55"/>
        <v>84.195226477305326</v>
      </c>
      <c r="J50" s="10">
        <f t="shared" si="56"/>
        <v>25.807962616030665</v>
      </c>
      <c r="K50" s="10">
        <f t="shared" si="57"/>
        <v>22.809148264113979</v>
      </c>
      <c r="L50" s="10">
        <f t="shared" si="58"/>
        <v>10.500112336113647</v>
      </c>
      <c r="M50" s="10">
        <f t="shared" si="59"/>
        <v>65.377206136405107</v>
      </c>
      <c r="N50" s="10">
        <f t="shared" si="60"/>
        <v>78.509765847126801</v>
      </c>
    </row>
    <row r="51" spans="1:33" x14ac:dyDescent="0.25">
      <c r="A51" s="1" t="s">
        <v>72</v>
      </c>
      <c r="C51" s="10">
        <f t="shared" ref="C51" si="61">427.15*E25^0.6026</f>
        <v>11.253514007053486</v>
      </c>
      <c r="D51" s="9">
        <f t="shared" si="50"/>
        <v>0</v>
      </c>
      <c r="E51" s="9">
        <f t="shared" si="51"/>
        <v>0.9525030774247405</v>
      </c>
      <c r="F51" s="9">
        <f t="shared" si="52"/>
        <v>1.8208565296873807</v>
      </c>
      <c r="G51" s="10">
        <f t="shared" ref="G51" si="62">108.36*AC25^0.294</f>
        <v>0</v>
      </c>
      <c r="H51" s="10">
        <f t="shared" ref="H51" si="63">69.293*AD25^0.3185</f>
        <v>6.4399714308752509</v>
      </c>
      <c r="I51" s="10">
        <f t="shared" ref="I51" si="64">50.026*AE25^0.3351</f>
        <v>14.35058288194206</v>
      </c>
      <c r="J51" s="10">
        <f t="shared" ref="J51" si="65">102.1*AK25^0.3275</f>
        <v>0</v>
      </c>
      <c r="K51" s="10">
        <f t="shared" ref="K51" si="66">63.901*AL25^0.4721</f>
        <v>0.10988175527225597</v>
      </c>
      <c r="L51" s="10">
        <f t="shared" ref="L51" si="67">34.771*AM25^0.6713</f>
        <v>4.9937931115182868E-2</v>
      </c>
      <c r="M51" s="10">
        <f t="shared" ref="M51" si="68">1005.7*AG25^0.3646</f>
        <v>10.419702497860031</v>
      </c>
      <c r="N51" s="10">
        <f t="shared" ref="N51" si="69">1653.8*AF25^0.4053</f>
        <v>10.245322861770958</v>
      </c>
    </row>
    <row r="52" spans="1:33" x14ac:dyDescent="0.25">
      <c r="A52" s="1" t="s">
        <v>100</v>
      </c>
      <c r="C52" s="10">
        <f t="shared" ref="C52" si="70">427.15*E26^0.6026</f>
        <v>38.090877401267164</v>
      </c>
      <c r="D52" s="9">
        <f t="shared" si="50"/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1">108.36*AC26^0.294</f>
        <v>20.018414469847663</v>
      </c>
      <c r="H52" s="10">
        <f t="shared" ref="H52" si="72">69.293*AD26^0.3185</f>
        <v>60.571592306793953</v>
      </c>
      <c r="I52" s="10">
        <f t="shared" ref="I52" si="73">50.026*AE26^0.3351</f>
        <v>67.983638265854324</v>
      </c>
      <c r="J52" s="10">
        <f t="shared" ref="J52" si="74">102.1*AK26^0.3275</f>
        <v>0</v>
      </c>
      <c r="K52" s="10">
        <f t="shared" ref="K52" si="75">63.901*AL26^0.4721</f>
        <v>8.1030197496243286</v>
      </c>
      <c r="L52" s="10">
        <f t="shared" ref="L52" si="76">34.771*AM26^0.6713</f>
        <v>4.5281170916063544</v>
      </c>
      <c r="M52" s="10">
        <f t="shared" ref="M52" si="77">1005.7*AG26^0.3646</f>
        <v>31.803382016457103</v>
      </c>
      <c r="N52" s="10">
        <f t="shared" ref="N52" si="78">1653.8*AF26^0.4053</f>
        <v>34.722356383183225</v>
      </c>
    </row>
    <row r="53" spans="1:33" x14ac:dyDescent="0.25">
      <c r="A53" s="1"/>
      <c r="D53" s="85" t="s">
        <v>64</v>
      </c>
      <c r="E53" s="85"/>
      <c r="F53" s="85"/>
      <c r="G53" s="85" t="s">
        <v>65</v>
      </c>
      <c r="H53" s="85"/>
      <c r="I53" s="85"/>
      <c r="J53" s="85" t="s">
        <v>66</v>
      </c>
      <c r="K53" s="85"/>
      <c r="L53" s="85"/>
      <c r="M53" s="10"/>
      <c r="N53" s="10"/>
    </row>
    <row r="54" spans="1:33" x14ac:dyDescent="0.25">
      <c r="A54" s="31" t="s">
        <v>0</v>
      </c>
      <c r="B54" s="47" t="s">
        <v>45</v>
      </c>
      <c r="C54" s="1" t="s">
        <v>26</v>
      </c>
      <c r="D54" s="1" t="s">
        <v>41</v>
      </c>
      <c r="E54" s="1" t="s">
        <v>40</v>
      </c>
      <c r="F54" s="1" t="s">
        <v>39</v>
      </c>
      <c r="G54" s="1" t="s">
        <v>41</v>
      </c>
      <c r="H54" s="1" t="s">
        <v>40</v>
      </c>
      <c r="I54" s="1" t="s">
        <v>39</v>
      </c>
      <c r="J54" s="1" t="s">
        <v>41</v>
      </c>
      <c r="K54" s="1" t="s">
        <v>40</v>
      </c>
      <c r="L54" s="1" t="s">
        <v>39</v>
      </c>
      <c r="M54" s="1" t="s">
        <v>68</v>
      </c>
      <c r="N54" s="1" t="s">
        <v>67</v>
      </c>
    </row>
    <row r="55" spans="1:33" x14ac:dyDescent="0.25">
      <c r="A55" s="34">
        <v>8</v>
      </c>
      <c r="B55" s="11">
        <v>160</v>
      </c>
      <c r="C55" s="10">
        <f>438.62*E3^0.5202</f>
        <v>170.13788672321408</v>
      </c>
      <c r="D55" s="10">
        <f>96.548*W3^0.2837</f>
        <v>140.20478212125607</v>
      </c>
      <c r="E55" s="10">
        <f>55.977*X3^0.4232</f>
        <v>136.67736893781731</v>
      </c>
      <c r="F55" s="10">
        <f>27.89*Y3^0.5731</f>
        <v>173.09730121961513</v>
      </c>
      <c r="G55" s="10">
        <f>130.49*AC3^0.2126</f>
        <v>90.558089161382156</v>
      </c>
      <c r="H55" s="10">
        <f>96.485*AD3^0.2302</f>
        <v>77.999664550375968</v>
      </c>
      <c r="I55" s="10">
        <f>76.753*AE3^0.2418</f>
        <v>79.63007585891566</v>
      </c>
      <c r="J55" s="10">
        <f>124.18*AK3^0.244</f>
        <v>115.69055578308982</v>
      </c>
      <c r="K55" s="10">
        <f>88.414*AL3^0.3374</f>
        <v>104.80808060467875</v>
      </c>
      <c r="L55" s="10">
        <f>57.387*AM3^0.4719</f>
        <v>120.96917712180247</v>
      </c>
      <c r="M55" s="10">
        <f>815.51*AG3^0.299</f>
        <v>169.89765804922703</v>
      </c>
      <c r="N55" s="9">
        <f>1159*AF3^0.3242</f>
        <v>133.15514653210047</v>
      </c>
    </row>
    <row r="56" spans="1:33" x14ac:dyDescent="0.25">
      <c r="A56" s="34">
        <v>168</v>
      </c>
      <c r="B56" s="11">
        <v>196</v>
      </c>
      <c r="C56" s="10">
        <f>438.62*E4^0.5202</f>
        <v>124.91547576103727</v>
      </c>
      <c r="D56" s="10">
        <f>96.548*W4^0.2837</f>
        <v>121.98210161107866</v>
      </c>
      <c r="E56" s="10">
        <f>55.977*X4^0.4232</f>
        <v>104.51180930955813</v>
      </c>
      <c r="F56" s="10">
        <f>27.89*Y4^0.5731</f>
        <v>116.30139937718259</v>
      </c>
      <c r="G56" s="10">
        <f>130.49*AC4^0.2126</f>
        <v>96.895537258451341</v>
      </c>
      <c r="H56" s="10">
        <f>96.485*AD4^0.2302</f>
        <v>81.204079417039338</v>
      </c>
      <c r="I56" s="10">
        <f>76.753*AE4^0.2418</f>
        <v>81.876187704922387</v>
      </c>
      <c r="J56" s="10">
        <f>124.18*AK4^0.244</f>
        <v>106.70281022512167</v>
      </c>
      <c r="K56" s="10">
        <f>88.414*AL4^0.3374</f>
        <v>89.296616178066657</v>
      </c>
      <c r="L56" s="10">
        <f>57.387*AM4^0.4719</f>
        <v>93.997996446094717</v>
      </c>
      <c r="M56" s="10">
        <f>815.51*AG4^0.299</f>
        <v>124.9174203555213</v>
      </c>
      <c r="N56" s="9">
        <f>1159*AF4^0.3242</f>
        <v>117.7606062622298</v>
      </c>
    </row>
    <row r="57" spans="1:33" x14ac:dyDescent="0.25">
      <c r="A57" s="34">
        <v>152</v>
      </c>
      <c r="B57" s="11">
        <v>91.54</v>
      </c>
      <c r="C57" s="10">
        <f>438.62*E6^0.5202</f>
        <v>134.40542286030117</v>
      </c>
      <c r="D57" s="10">
        <f>96.548*W6^0.2837</f>
        <v>123.7435326874806</v>
      </c>
      <c r="E57" s="10">
        <f>55.977*X6^0.4232</f>
        <v>129.11186329273659</v>
      </c>
      <c r="F57" s="10">
        <f>27.89*Y6^0.5731</f>
        <v>140.83673665076495</v>
      </c>
      <c r="G57" s="10">
        <f>130.49*AC6^0.2126</f>
        <v>92.398085053033697</v>
      </c>
      <c r="H57" s="10">
        <f>96.485*AD6^0.2302</f>
        <v>85.52856559883972</v>
      </c>
      <c r="I57" s="10">
        <f>76.753*AE6^0.2418</f>
        <v>83.070980141291898</v>
      </c>
      <c r="J57" s="10">
        <f>124.18*AK6^0.244</f>
        <v>107.61723280836335</v>
      </c>
      <c r="K57" s="10">
        <f>88.414*AL6^0.3374</f>
        <v>105.13409920076676</v>
      </c>
      <c r="L57" s="10">
        <f>57.387*AM6^0.4719</f>
        <v>109.23972326455869</v>
      </c>
      <c r="M57" s="10">
        <f>815.51*AG6^0.299</f>
        <v>135.25667523440853</v>
      </c>
      <c r="N57" s="9">
        <f>1159*AF6^0.3242</f>
        <v>118.04472733890924</v>
      </c>
    </row>
    <row r="58" spans="1:33" x14ac:dyDescent="0.25">
      <c r="A58" s="34">
        <v>101</v>
      </c>
      <c r="B58" s="11">
        <v>108.92</v>
      </c>
      <c r="C58" s="10">
        <f>438.62*E7^0.5202</f>
        <v>70.873558375263997</v>
      </c>
      <c r="D58" s="10">
        <f>96.548*W7^0.2837</f>
        <v>85.876366520169782</v>
      </c>
      <c r="E58" s="10">
        <f>55.977*X7^0.4232</f>
        <v>85.586472711589053</v>
      </c>
      <c r="F58" s="10">
        <f>27.89*Y7^0.5731</f>
        <v>71.893116655880291</v>
      </c>
      <c r="G58" s="10">
        <f>130.49*AC7^0.2126</f>
        <v>92.955288674846088</v>
      </c>
      <c r="H58" s="10">
        <f>96.485*AD7^0.2302</f>
        <v>92.58507770149545</v>
      </c>
      <c r="I58" s="10">
        <f>76.753*AE7^0.2418</f>
        <v>85.985531528468286</v>
      </c>
      <c r="J58" s="10">
        <f>124.18*AK7^0.244</f>
        <v>94.80299551010917</v>
      </c>
      <c r="K58" s="10">
        <f>88.414*AL7^0.3374</f>
        <v>98.158274727852799</v>
      </c>
      <c r="L58" s="10">
        <f>57.387*AM7^0.4719</f>
        <v>90.224757524069048</v>
      </c>
      <c r="M58" s="10">
        <f>815.51*AG7^0.299</f>
        <v>81.544222883901099</v>
      </c>
      <c r="N58" s="9">
        <f>1159*AF7^0.3242</f>
        <v>81.451316313498111</v>
      </c>
    </row>
    <row r="59" spans="1:33" x14ac:dyDescent="0.25">
      <c r="A59" s="34">
        <v>24</v>
      </c>
      <c r="B59" s="11">
        <v>87.08</v>
      </c>
      <c r="C59" s="10">
        <f>438.62*E8^0.5202</f>
        <v>136.06092919482055</v>
      </c>
      <c r="D59" s="10">
        <f>96.548*W8^0.2837</f>
        <v>107.59112676666983</v>
      </c>
      <c r="E59" s="10">
        <f>55.977*X8^0.4232</f>
        <v>120.95398839044022</v>
      </c>
      <c r="F59" s="10">
        <f>27.89*Y8^0.5731</f>
        <v>147.23880222177817</v>
      </c>
      <c r="G59" s="10">
        <f>130.49*AC8^0.2126</f>
        <v>76.980272702208609</v>
      </c>
      <c r="H59" s="10">
        <f>96.485*AD8^0.2302</f>
        <v>75.881516004892859</v>
      </c>
      <c r="I59" s="10">
        <f>76.753*AE8^0.2418</f>
        <v>77.481226064024639</v>
      </c>
      <c r="J59" s="10">
        <f>124.18*AK8^0.244</f>
        <v>86.610215637846522</v>
      </c>
      <c r="K59" s="10">
        <f>88.414*AL8^0.3374</f>
        <v>87.292011909895805</v>
      </c>
      <c r="L59" s="10">
        <f>57.387*AM8^0.4719</f>
        <v>93.95480694722643</v>
      </c>
      <c r="M59" s="10">
        <f>815.51*AG8^0.299</f>
        <v>121.82064225228177</v>
      </c>
      <c r="N59" s="9">
        <f>1159*AF8^0.3242</f>
        <v>106.46078133472454</v>
      </c>
    </row>
    <row r="60" spans="1:33" x14ac:dyDescent="0.25">
      <c r="A60" s="34">
        <v>159</v>
      </c>
      <c r="B60" s="11">
        <v>54.11</v>
      </c>
      <c r="C60" s="10">
        <f>438.62*E9^0.5202</f>
        <v>41.912475789452458</v>
      </c>
      <c r="D60" s="10">
        <f>96.548*W9^0.2837</f>
        <v>41.867392792153687</v>
      </c>
      <c r="E60" s="10">
        <f>55.977*X9^0.4232</f>
        <v>44.047109053209546</v>
      </c>
      <c r="F60" s="10">
        <f>27.89*Y9^0.5731</f>
        <v>42.201092312198526</v>
      </c>
      <c r="G60" s="10">
        <f>130.49*AC9^0.2126</f>
        <v>57.948625611358082</v>
      </c>
      <c r="H60" s="10">
        <f>96.485*AD9^0.2302</f>
        <v>69.272092120439751</v>
      </c>
      <c r="I60" s="10">
        <f>76.753*AE9^0.2418</f>
        <v>74.013162125296461</v>
      </c>
      <c r="J60" s="10">
        <f>124.18*AK9^0.244</f>
        <v>49.960094706927862</v>
      </c>
      <c r="K60" s="10">
        <f>88.414*AL9^0.3374</f>
        <v>56.013395171549455</v>
      </c>
      <c r="L60" s="10">
        <f>57.387*AM9^0.4719</f>
        <v>55.685978848210318</v>
      </c>
      <c r="M60" s="10">
        <f>815.51*AG9^0.299</f>
        <v>43.355909359021467</v>
      </c>
      <c r="N60" s="9">
        <f>1159*AF9^0.3242</f>
        <v>46.785145713770142</v>
      </c>
    </row>
    <row r="61" spans="1:33" x14ac:dyDescent="0.25">
      <c r="A61" s="34">
        <v>35</v>
      </c>
      <c r="B61" s="11">
        <v>64.849999999999994</v>
      </c>
      <c r="C61" s="10">
        <f>438.62*E10^0.5202</f>
        <v>60.627392053336564</v>
      </c>
      <c r="D61" s="10">
        <f>96.548*W10^0.2837</f>
        <v>73.506287928936942</v>
      </c>
      <c r="E61" s="10">
        <f>55.977*X10^0.4232</f>
        <v>67.423521659794304</v>
      </c>
      <c r="F61" s="10">
        <f>27.89*Y10^0.5731</f>
        <v>63.733598177371995</v>
      </c>
      <c r="G61" s="10">
        <f>130.49*AC10^0.2126</f>
        <v>81.462904517616565</v>
      </c>
      <c r="H61" s="10">
        <f>96.485*AD10^0.2302</f>
        <v>79.972919849723922</v>
      </c>
      <c r="I61" s="10">
        <f>76.753*AE10^0.2418</f>
        <v>80.304116772503491</v>
      </c>
      <c r="J61" s="10">
        <f>124.18*AK10^0.244</f>
        <v>79.665124750219221</v>
      </c>
      <c r="K61" s="10">
        <f>88.414*AL10^0.3374</f>
        <v>76.770834106609485</v>
      </c>
      <c r="L61" s="10">
        <f>57.387*AM10^0.4719</f>
        <v>75.593228859414651</v>
      </c>
      <c r="M61" s="10">
        <f>815.51*AG10^0.299</f>
        <v>64.869902463333261</v>
      </c>
      <c r="N61" s="9">
        <f>1159*AF10^0.3242</f>
        <v>65.488072515951472</v>
      </c>
    </row>
    <row r="62" spans="1:33" x14ac:dyDescent="0.25">
      <c r="A62" s="34">
        <v>52</v>
      </c>
      <c r="B62" s="11">
        <v>45.6</v>
      </c>
      <c r="C62" s="10">
        <f t="shared" ref="C62:C71" si="79">438.62*E12^0.5202</f>
        <v>51.358325096727022</v>
      </c>
      <c r="D62" s="10">
        <f t="shared" ref="D62:D71" si="80">96.548*W12^0.2837</f>
        <v>64.379743608880574</v>
      </c>
      <c r="E62" s="10">
        <f t="shared" ref="E62:E71" si="81">55.977*X12^0.4232</f>
        <v>62.129436788269096</v>
      </c>
      <c r="F62" s="10">
        <f t="shared" ref="F62:F71" si="82">27.89*Y12^0.5731</f>
        <v>54.383387730375702</v>
      </c>
      <c r="G62" s="10">
        <f t="shared" ref="G62:G71" si="83">130.49*AC12^0.2126</f>
        <v>81.80061336729932</v>
      </c>
      <c r="H62" s="10">
        <f t="shared" ref="H62:H71" si="84">96.485*AD12^0.2302</f>
        <v>85.563436188246186</v>
      </c>
      <c r="I62" s="10">
        <f t="shared" ref="I62:I71" si="85">76.753*AE12^0.2418</f>
        <v>84.48550639804607</v>
      </c>
      <c r="J62" s="10">
        <f t="shared" ref="J62:J71" si="86">124.18*AK12^0.244</f>
        <v>75.483674105901798</v>
      </c>
      <c r="K62" s="10">
        <f t="shared" ref="K62:K71" si="87">88.414*AL12^0.3374</f>
        <v>78.15873008445007</v>
      </c>
      <c r="L62" s="10">
        <f t="shared" ref="L62:L71" si="88">57.387*AM12^0.4719</f>
        <v>74.512929386860364</v>
      </c>
      <c r="M62" s="10">
        <f t="shared" ref="M62:M71" si="89">815.51*AG12^0.299</f>
        <v>57.702606314755457</v>
      </c>
      <c r="N62" s="9">
        <f t="shared" ref="N62:N71" si="90">1159*AF12^0.3242</f>
        <v>62.35628112113158</v>
      </c>
    </row>
    <row r="63" spans="1:33" x14ac:dyDescent="0.25">
      <c r="A63" s="34">
        <v>53</v>
      </c>
      <c r="B63" s="11">
        <v>29.55</v>
      </c>
      <c r="C63" s="10">
        <f t="shared" si="79"/>
        <v>29.026175842484054</v>
      </c>
      <c r="D63" s="10">
        <f t="shared" si="80"/>
        <v>26.729741016254618</v>
      </c>
      <c r="E63" s="10">
        <f t="shared" si="81"/>
        <v>29.302780893158321</v>
      </c>
      <c r="F63" s="10">
        <f t="shared" si="82"/>
        <v>29.187314399682784</v>
      </c>
      <c r="G63" s="10">
        <f t="shared" si="83"/>
        <v>45.511536004395893</v>
      </c>
      <c r="H63" s="10">
        <f t="shared" si="84"/>
        <v>61.488992377664545</v>
      </c>
      <c r="I63" s="10">
        <f t="shared" si="85"/>
        <v>70.552815308484398</v>
      </c>
      <c r="J63" s="10">
        <f t="shared" si="86"/>
        <v>37.691234286028845</v>
      </c>
      <c r="K63" s="10">
        <f t="shared" si="87"/>
        <v>46.742281417232363</v>
      </c>
      <c r="L63" s="10">
        <f t="shared" si="88"/>
        <v>50.276244331853107</v>
      </c>
      <c r="M63" s="10">
        <f t="shared" si="89"/>
        <v>32.288976071603592</v>
      </c>
      <c r="N63" s="9">
        <f t="shared" si="90"/>
        <v>34.192994824386126</v>
      </c>
      <c r="T63" s="85" t="s">
        <v>64</v>
      </c>
      <c r="U63" s="85"/>
      <c r="V63" s="85"/>
      <c r="W63" s="85" t="s">
        <v>65</v>
      </c>
      <c r="X63" s="85"/>
      <c r="Y63" s="85"/>
      <c r="Z63" s="85" t="s">
        <v>66</v>
      </c>
      <c r="AA63" s="85"/>
      <c r="AB63" s="85"/>
      <c r="AF63">
        <v>20</v>
      </c>
      <c r="AG63">
        <v>20</v>
      </c>
    </row>
    <row r="64" spans="1:33" x14ac:dyDescent="0.25">
      <c r="A64" s="34">
        <v>45</v>
      </c>
      <c r="B64" s="11">
        <v>22.6</v>
      </c>
      <c r="C64" s="10">
        <f t="shared" si="79"/>
        <v>33.107523226039675</v>
      </c>
      <c r="D64" s="10">
        <f t="shared" si="80"/>
        <v>37.453358984566414</v>
      </c>
      <c r="E64" s="10">
        <f t="shared" si="81"/>
        <v>35.635181170070645</v>
      </c>
      <c r="F64" s="10">
        <f t="shared" si="82"/>
        <v>33.048679436080896</v>
      </c>
      <c r="G64" s="10">
        <f t="shared" si="83"/>
        <v>58.653446645596325</v>
      </c>
      <c r="H64" s="10">
        <f t="shared" si="84"/>
        <v>68.460436655574654</v>
      </c>
      <c r="I64" s="10">
        <f t="shared" si="85"/>
        <v>74.426043478554789</v>
      </c>
      <c r="J64" s="10">
        <f t="shared" si="86"/>
        <v>50.04726348600424</v>
      </c>
      <c r="K64" s="10">
        <f t="shared" si="87"/>
        <v>54.138224612073145</v>
      </c>
      <c r="L64" s="10">
        <f t="shared" si="88"/>
        <v>54.988390549281554</v>
      </c>
      <c r="M64" s="10">
        <f t="shared" si="89"/>
        <v>37.259478034019736</v>
      </c>
      <c r="N64" s="9">
        <f t="shared" si="90"/>
        <v>40.341343181762078</v>
      </c>
      <c r="Q64" t="s">
        <v>25</v>
      </c>
      <c r="S64" s="1" t="s">
        <v>26</v>
      </c>
      <c r="T64" s="1" t="s">
        <v>41</v>
      </c>
      <c r="U64" s="1" t="s">
        <v>40</v>
      </c>
      <c r="V64" s="1" t="s">
        <v>39</v>
      </c>
      <c r="W64" s="1" t="s">
        <v>41</v>
      </c>
      <c r="X64" s="1" t="s">
        <v>40</v>
      </c>
      <c r="Y64" s="1" t="s">
        <v>39</v>
      </c>
      <c r="Z64" s="1" t="s">
        <v>41</v>
      </c>
      <c r="AA64" s="1" t="s">
        <v>40</v>
      </c>
      <c r="AB64" s="1" t="s">
        <v>39</v>
      </c>
      <c r="AC64" s="1" t="s">
        <v>68</v>
      </c>
      <c r="AD64" s="1" t="s">
        <v>67</v>
      </c>
      <c r="AF64">
        <v>150</v>
      </c>
      <c r="AG64">
        <v>150</v>
      </c>
    </row>
    <row r="65" spans="1:30" x14ac:dyDescent="0.25">
      <c r="A65" s="7">
        <v>1.3</v>
      </c>
      <c r="B65" s="11">
        <v>42.84</v>
      </c>
      <c r="C65" s="10">
        <f t="shared" si="79"/>
        <v>61.914899095045953</v>
      </c>
      <c r="D65" s="10">
        <f t="shared" si="80"/>
        <v>73.268766251721431</v>
      </c>
      <c r="E65" s="10">
        <f t="shared" si="81"/>
        <v>72.256624432250675</v>
      </c>
      <c r="F65" s="10">
        <f t="shared" si="82"/>
        <v>62.234379279742342</v>
      </c>
      <c r="G65" s="10">
        <f t="shared" si="83"/>
        <v>79.986413618078387</v>
      </c>
      <c r="H65" s="10">
        <f t="shared" si="84"/>
        <v>81.627551845893223</v>
      </c>
      <c r="I65" s="10">
        <f t="shared" si="85"/>
        <v>78.079913187331982</v>
      </c>
      <c r="J65" s="10">
        <f t="shared" si="86"/>
        <v>78.041837468409682</v>
      </c>
      <c r="K65" s="10">
        <f t="shared" si="87"/>
        <v>79.154452898066978</v>
      </c>
      <c r="L65" s="10">
        <f t="shared" si="88"/>
        <v>71.617119934147027</v>
      </c>
      <c r="M65" s="10">
        <f t="shared" si="89"/>
        <v>65.021916199938758</v>
      </c>
      <c r="N65" s="9">
        <f t="shared" si="90"/>
        <v>65.619111872906714</v>
      </c>
      <c r="Q65" t="s">
        <v>46</v>
      </c>
      <c r="S65" s="18" cm="1">
        <f t="array" ref="S65">SQRT(SUMSQ($B29:$B47-C29:C47)/COUNTA($B29:$B47-C29:C47))</f>
        <v>21.564023601390119</v>
      </c>
      <c r="T65" s="18" cm="1">
        <f t="array" ref="T65">SQRT(SUMSQ($B29:$B47-D29:D47)/COUNTA($B29:$B47-D29:D47))</f>
        <v>21.392751826010102</v>
      </c>
      <c r="U65" s="18" cm="1">
        <f t="array" ref="U65">SQRT(SUMSQ($B29:$B47-E29:E47)/COUNTA($B29:$B47-E29:E47))</f>
        <v>22.320188271711306</v>
      </c>
      <c r="V65" s="10" cm="1">
        <f t="array" ref="V65">SQRT(SUMSQ($B29:$B47-F29:F47)/COUNTA($B29:$B47-F29:F47))</f>
        <v>26.631247640780277</v>
      </c>
      <c r="W65" s="10" cm="1">
        <f t="array" ref="W65">SQRT(SUMSQ($B29:$B47-G29:G47)/COUNTA($B29:$B47-G29:G47))</f>
        <v>31.979695521135802</v>
      </c>
      <c r="X65" s="10" cm="1">
        <f t="array" ref="X65">SQRT(SUMSQ($B29:$B47-H29:H47)/COUNTA($B29:$B47-H29:H47))</f>
        <v>35.813035399707694</v>
      </c>
      <c r="Y65" s="10" cm="1">
        <f t="array" ref="Y65">SQRT(SUMSQ($B29:$B47-I29:I47)/COUNTA($B29:$B47-I29:I47))</f>
        <v>36.031069989419287</v>
      </c>
      <c r="Z65" s="10" cm="1">
        <f t="array" ref="Z65">SQRT(SUMSQ($B29:$B47-J29:J47)/COUNTA($B29:$B47-J29:J47))</f>
        <v>27.154763263558049</v>
      </c>
      <c r="AA65" s="10" cm="1">
        <f t="array" ref="AA65">SQRT(SUMSQ($B29:$B47-K29:K47)/COUNTA($B29:$B47-K29:K47))</f>
        <v>29.941554570787808</v>
      </c>
      <c r="AB65" s="10" cm="1">
        <f t="array" ref="AB65">SQRT(SUMSQ($B29:$B47-L29:L47)/COUNTA($B29:$B47-L29:L47))</f>
        <v>28.156452438995675</v>
      </c>
      <c r="AC65" s="18" cm="1">
        <f t="array" ref="AC65">SQRT(SUMSQ($B29:$B47-M29:M47)/COUNTA($B29:$B47-M29:M47))</f>
        <v>21.458236337819734</v>
      </c>
      <c r="AD65" s="18" cm="1">
        <f t="array" ref="AD65">SQRT(SUMSQ($B29:$B47-N29:N47)/COUNTA($B29:$B47-N29:N47))</f>
        <v>18.801060982945444</v>
      </c>
    </row>
    <row r="66" spans="1:30" x14ac:dyDescent="0.25">
      <c r="A66" s="7">
        <v>2.1</v>
      </c>
      <c r="B66" s="11">
        <v>52.94</v>
      </c>
      <c r="C66" s="10">
        <f t="shared" si="79"/>
        <v>77.078732996643524</v>
      </c>
      <c r="D66" s="10">
        <f t="shared" si="80"/>
        <v>72.284807330425366</v>
      </c>
      <c r="E66" s="10">
        <f t="shared" si="81"/>
        <v>77.350588901142373</v>
      </c>
      <c r="F66" s="10">
        <f t="shared" si="82"/>
        <v>78.256930294095511</v>
      </c>
      <c r="G66" s="10">
        <f t="shared" si="83"/>
        <v>66.124691484964004</v>
      </c>
      <c r="H66" s="10">
        <f t="shared" si="84"/>
        <v>69.69469056896915</v>
      </c>
      <c r="I66" s="10">
        <f t="shared" si="85"/>
        <v>70.067518642076749</v>
      </c>
      <c r="J66" s="10">
        <f t="shared" si="86"/>
        <v>67.066904345316743</v>
      </c>
      <c r="K66" s="10">
        <f t="shared" si="87"/>
        <v>68.870360997997892</v>
      </c>
      <c r="L66" s="10">
        <f t="shared" si="88"/>
        <v>65.979985221891639</v>
      </c>
      <c r="M66" s="10">
        <f t="shared" si="89"/>
        <v>70.46297922844164</v>
      </c>
      <c r="N66" s="9">
        <f t="shared" si="90"/>
        <v>65.506894728831824</v>
      </c>
      <c r="Q66" t="s">
        <v>69</v>
      </c>
      <c r="S66" s="10" cm="1">
        <f t="array" ref="S66">SQRT(SUMSQ($B55:$B71-C55:C71)/COUNTA($B55:$B71-C55:C71))</f>
        <v>33.251673476989552</v>
      </c>
      <c r="T66" s="10" cm="1">
        <f t="array" ref="T66">SQRT(SUMSQ($B55:$B71-D55:D71)/COUNTA($B55:$B71-D55:D71))</f>
        <v>29.753004705285644</v>
      </c>
      <c r="U66" s="10" cm="1">
        <f t="array" ref="U66">SQRT(SUMSQ($B55:$B71-E55:E71)/COUNTA($B55:$B71-E55:E71))</f>
        <v>33.124462806448285</v>
      </c>
      <c r="V66" s="10" cm="1">
        <f t="array" ref="V66">SQRT(SUMSQ($B55:$B71-F55:F71)/COUNTA($B55:$B71-F55:F71))</f>
        <v>36.887123763377744</v>
      </c>
      <c r="W66" s="10" cm="1">
        <f t="array" ref="W66">SQRT(SUMSQ($B55:$B71-G55:G71)/COUNTA($B55:$B71-G55:G71))</f>
        <v>39.429953532938477</v>
      </c>
      <c r="X66" s="10" cm="1">
        <f t="array" ref="X66">SQRT(SUMSQ($B55:$B71-H55:H71)/COUNTA($B55:$B71-H55:H71))</f>
        <v>44.053293176696293</v>
      </c>
      <c r="Y66" s="10" cm="1">
        <f t="array" ref="Y66">SQRT(SUMSQ($B55:$B71-I55:I71)/COUNTA($B55:$B71-I55:I71))</f>
        <v>44.404372389710588</v>
      </c>
      <c r="Z66" s="10" cm="1">
        <f t="array" ref="Z66">SQRT(SUMSQ($B55:$B71-J55:J71)/COUNTA($B55:$B71-J55:J71))</f>
        <v>35.162114995419245</v>
      </c>
      <c r="AA66" s="10" cm="1">
        <f t="array" ref="AA66">SQRT(SUMSQ($B55:$B71-K55:K71)/COUNTA($B55:$B71-K55:K71))</f>
        <v>38.788225903695093</v>
      </c>
      <c r="AB66" s="10" cm="1">
        <f t="array" ref="AB66">SQRT(SUMSQ($B55:$B71-L55:L71)/COUNTA($B55:$B71-L55:L71))</f>
        <v>36.974887523374548</v>
      </c>
      <c r="AC66" s="10" cm="1">
        <f t="array" ref="AC66">SQRT(SUMSQ($B55:$B71-M55:M71)/COUNTA($B55:$B71-M55:M71))</f>
        <v>29.998540822162781</v>
      </c>
      <c r="AD66" s="10" cm="1">
        <f t="array" ref="AD66">SQRT(SUMSQ($B55:$B71-N55:N71)/COUNTA($B55:$B71-N55:N71))</f>
        <v>28.141500323433281</v>
      </c>
    </row>
    <row r="67" spans="1:30" x14ac:dyDescent="0.25">
      <c r="A67" s="7">
        <v>2.2999999999999998</v>
      </c>
      <c r="B67" s="11">
        <v>54.11</v>
      </c>
      <c r="C67" s="10">
        <f t="shared" si="79"/>
        <v>56.449533285085387</v>
      </c>
      <c r="D67" s="10">
        <f t="shared" si="80"/>
        <v>67.655167475049296</v>
      </c>
      <c r="E67" s="10">
        <f t="shared" si="81"/>
        <v>63.747368025548859</v>
      </c>
      <c r="F67" s="10">
        <f t="shared" si="82"/>
        <v>57.831937577403586</v>
      </c>
      <c r="G67" s="10">
        <f t="shared" si="83"/>
        <v>76.010456523730184</v>
      </c>
      <c r="H67" s="10">
        <f t="shared" si="84"/>
        <v>76.975260666647742</v>
      </c>
      <c r="I67" s="10">
        <f t="shared" si="85"/>
        <v>76.456951092625658</v>
      </c>
      <c r="J67" s="10">
        <f t="shared" si="86"/>
        <v>72.690837058612487</v>
      </c>
      <c r="K67" s="10">
        <f t="shared" si="87"/>
        <v>71.384966106981921</v>
      </c>
      <c r="L67" s="10">
        <f t="shared" si="88"/>
        <v>67.096997052975084</v>
      </c>
      <c r="M67" s="10">
        <f t="shared" si="89"/>
        <v>58.291618217022908</v>
      </c>
      <c r="N67" s="9">
        <f t="shared" si="90"/>
        <v>59.264969028968196</v>
      </c>
    </row>
    <row r="68" spans="1:30" x14ac:dyDescent="0.25">
      <c r="A68" s="7">
        <v>3.1</v>
      </c>
      <c r="B68" s="11">
        <v>84.98</v>
      </c>
      <c r="C68" s="10">
        <f t="shared" si="79"/>
        <v>149.64315802006493</v>
      </c>
      <c r="D68" s="10">
        <f t="shared" si="80"/>
        <v>117.0924919367006</v>
      </c>
      <c r="E68" s="10">
        <f t="shared" si="81"/>
        <v>132.55811613778886</v>
      </c>
      <c r="F68" s="10">
        <f t="shared" si="82"/>
        <v>159.30004816175179</v>
      </c>
      <c r="G68" s="10">
        <f t="shared" si="83"/>
        <v>74.202159869010288</v>
      </c>
      <c r="H68" s="10">
        <f t="shared" si="84"/>
        <v>71.560194144637038</v>
      </c>
      <c r="I68" s="10">
        <f t="shared" si="85"/>
        <v>71.473229623766159</v>
      </c>
      <c r="J68" s="10">
        <f t="shared" si="86"/>
        <v>87.437848887495022</v>
      </c>
      <c r="K68" s="10">
        <f t="shared" si="87"/>
        <v>86.039217466619931</v>
      </c>
      <c r="L68" s="10">
        <f t="shared" si="88"/>
        <v>88.701170121906443</v>
      </c>
      <c r="M68" s="10">
        <f t="shared" si="89"/>
        <v>125.76252797840286</v>
      </c>
      <c r="N68" s="9">
        <f t="shared" si="90"/>
        <v>102.88579655946292</v>
      </c>
    </row>
    <row r="69" spans="1:30" x14ac:dyDescent="0.25">
      <c r="A69" s="7">
        <v>4.2</v>
      </c>
      <c r="B69" s="11">
        <v>127.22</v>
      </c>
      <c r="C69" s="10">
        <f t="shared" si="79"/>
        <v>83.969288966265395</v>
      </c>
      <c r="D69" s="10">
        <f t="shared" si="80"/>
        <v>88.488861347019409</v>
      </c>
      <c r="E69" s="10">
        <f t="shared" si="81"/>
        <v>87.897176136653073</v>
      </c>
      <c r="F69" s="10">
        <f t="shared" si="82"/>
        <v>85.000856849137662</v>
      </c>
      <c r="G69" s="10">
        <f t="shared" si="83"/>
        <v>81.755105967722884</v>
      </c>
      <c r="H69" s="10">
        <f t="shared" si="84"/>
        <v>79.780835448751716</v>
      </c>
      <c r="I69" s="10">
        <f t="shared" si="85"/>
        <v>77.732656934099808</v>
      </c>
      <c r="J69" s="10">
        <f t="shared" si="86"/>
        <v>81.276705714295304</v>
      </c>
      <c r="K69" s="10">
        <f t="shared" si="87"/>
        <v>78.203287693511015</v>
      </c>
      <c r="L69" s="10">
        <f t="shared" si="88"/>
        <v>73.159115172823348</v>
      </c>
      <c r="M69" s="10">
        <f t="shared" si="89"/>
        <v>79.505927700595379</v>
      </c>
      <c r="N69" s="9">
        <f t="shared" si="90"/>
        <v>79.942871392242267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7">
        <v>4.3</v>
      </c>
      <c r="B70" s="11">
        <v>91.54</v>
      </c>
      <c r="C70" s="10">
        <f t="shared" si="79"/>
        <v>105.85472635571982</v>
      </c>
      <c r="D70" s="10">
        <f t="shared" si="80"/>
        <v>105.40601713155144</v>
      </c>
      <c r="E70" s="10">
        <f t="shared" si="81"/>
        <v>110.4174078246312</v>
      </c>
      <c r="F70" s="10">
        <f t="shared" si="82"/>
        <v>108.41016746365213</v>
      </c>
      <c r="G70" s="10">
        <f t="shared" si="83"/>
        <v>92.171816973530767</v>
      </c>
      <c r="H70" s="10">
        <f t="shared" si="84"/>
        <v>89.23384381157345</v>
      </c>
      <c r="I70" s="10">
        <f t="shared" si="85"/>
        <v>85.046921623305352</v>
      </c>
      <c r="J70" s="10">
        <f t="shared" si="86"/>
        <v>94.408157533348827</v>
      </c>
      <c r="K70" s="10">
        <f t="shared" si="87"/>
        <v>93.710176589200842</v>
      </c>
      <c r="L70" s="10">
        <f t="shared" si="88"/>
        <v>89.264074789187134</v>
      </c>
      <c r="M70" s="10">
        <f t="shared" si="89"/>
        <v>103.6725776856201</v>
      </c>
      <c r="N70" s="9">
        <f t="shared" si="90"/>
        <v>104.89615375820517</v>
      </c>
    </row>
    <row r="71" spans="1:30" x14ac:dyDescent="0.25">
      <c r="A71" s="35" t="s">
        <v>24</v>
      </c>
      <c r="B71" s="14">
        <v>108.42</v>
      </c>
      <c r="C71" s="10">
        <f t="shared" si="79"/>
        <v>129.33044418860459</v>
      </c>
      <c r="D71" s="10">
        <f t="shared" si="80"/>
        <v>61.766288223667409</v>
      </c>
      <c r="E71" s="10">
        <f t="shared" si="81"/>
        <v>89.345535764373693</v>
      </c>
      <c r="F71" s="10">
        <f t="shared" si="82"/>
        <v>123.80114333174559</v>
      </c>
      <c r="G71" s="10">
        <f t="shared" si="83"/>
        <v>44.733225611822647</v>
      </c>
      <c r="H71" s="10">
        <f t="shared" si="84"/>
        <v>56.090288670208452</v>
      </c>
      <c r="I71" s="10">
        <f t="shared" si="85"/>
        <v>62.334171751547679</v>
      </c>
      <c r="J71" s="10">
        <f t="shared" si="86"/>
        <v>39.393590301333894</v>
      </c>
      <c r="K71" s="10">
        <f t="shared" si="87"/>
        <v>44.630609217650075</v>
      </c>
      <c r="L71" s="10">
        <f t="shared" si="88"/>
        <v>44.680885331831441</v>
      </c>
      <c r="M71" s="10">
        <f t="shared" si="89"/>
        <v>78.550772858507528</v>
      </c>
      <c r="N71" s="9">
        <f t="shared" si="90"/>
        <v>82.349136083326442</v>
      </c>
    </row>
    <row r="72" spans="1:30" x14ac:dyDescent="0.25">
      <c r="A72" s="28" t="s">
        <v>42</v>
      </c>
      <c r="B72" s="1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36" t="s">
        <v>43</v>
      </c>
      <c r="B73" s="37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 t="s">
        <v>44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 t="s">
        <v>72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T63:V63"/>
    <mergeCell ref="W63:Y63"/>
    <mergeCell ref="Z63:AB63"/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2025-12-11T01:17:11Z</dcterms:modified>
</cp:coreProperties>
</file>