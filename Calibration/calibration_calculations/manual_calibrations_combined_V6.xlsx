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3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4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Calibration\calibration_calculations\"/>
    </mc:Choice>
  </mc:AlternateContent>
  <xr:revisionPtr revIDLastSave="0" documentId="13_ncr:1_{7C28031B-0503-489C-9816-00D899EE5AEC}" xr6:coauthVersionLast="47" xr6:coauthVersionMax="47" xr10:uidLastSave="{00000000-0000-0000-0000-000000000000}"/>
  <bookViews>
    <workbookView xWindow="-25320" yWindow="360" windowWidth="25440" windowHeight="15270" activeTab="2" xr2:uid="{00000000-000D-0000-FFFF-FFFF00000000}"/>
  </bookViews>
  <sheets>
    <sheet name="all_samples" sheetId="7" r:id="rId1"/>
    <sheet name="storm_amplification" sheetId="10" r:id="rId2"/>
    <sheet name="calibration" sheetId="8" r:id="rId3"/>
    <sheet name="validation" sheetId="9" r:id="rId4"/>
    <sheet name="Sheet2" sheetId="11" r:id="rId5"/>
    <sheet name="validation_ol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9" l="1"/>
  <c r="AA64" i="9" a="1"/>
  <c r="AA64" i="9"/>
  <c r="S64" i="9" a="1"/>
  <c r="S64" i="9" s="1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53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28" i="9"/>
  <c r="S63" i="9" s="1" a="1"/>
  <c r="S63" i="9" s="1"/>
  <c r="D44" i="11"/>
  <c r="E44" i="11" s="1"/>
  <c r="D41" i="11"/>
  <c r="E41" i="11" s="1"/>
  <c r="D37" i="11"/>
  <c r="E37" i="11" s="1"/>
  <c r="D35" i="11"/>
  <c r="E35" i="11" s="1"/>
  <c r="D33" i="11"/>
  <c r="E33" i="11" s="1"/>
  <c r="D32" i="11"/>
  <c r="E32" i="11" s="1"/>
  <c r="D38" i="11"/>
  <c r="E38" i="11" s="1"/>
  <c r="D29" i="11"/>
  <c r="E29" i="11" s="1"/>
  <c r="D30" i="11"/>
  <c r="E30" i="11" s="1"/>
  <c r="D31" i="11"/>
  <c r="E31" i="11" s="1"/>
  <c r="D34" i="11"/>
  <c r="E34" i="11" s="1"/>
  <c r="D36" i="11"/>
  <c r="E36" i="11" s="1"/>
  <c r="D39" i="11"/>
  <c r="E39" i="11" s="1"/>
  <c r="D40" i="11"/>
  <c r="E40" i="11" s="1"/>
  <c r="D42" i="11"/>
  <c r="E42" i="11" s="1"/>
  <c r="D43" i="11"/>
  <c r="E43" i="11" s="1"/>
  <c r="D45" i="11"/>
  <c r="E45" i="11" s="1"/>
  <c r="D46" i="11"/>
  <c r="E46" i="11" s="1"/>
  <c r="D28" i="11"/>
  <c r="E28" i="11" s="1"/>
  <c r="AD3" i="8"/>
  <c r="AE3" i="8"/>
  <c r="AF3" i="8"/>
  <c r="AG3" i="8"/>
  <c r="AH3" i="8"/>
  <c r="AD4" i="8"/>
  <c r="AE4" i="8"/>
  <c r="AF4" i="8"/>
  <c r="AG4" i="8"/>
  <c r="AH4" i="8"/>
  <c r="AD5" i="8"/>
  <c r="AE5" i="8"/>
  <c r="AF5" i="8"/>
  <c r="AG5" i="8"/>
  <c r="AH5" i="8"/>
  <c r="AD6" i="8"/>
  <c r="AE6" i="8"/>
  <c r="AF6" i="8"/>
  <c r="AG6" i="8"/>
  <c r="AH6" i="8"/>
  <c r="AD7" i="8"/>
  <c r="AE7" i="8"/>
  <c r="AF7" i="8"/>
  <c r="AG7" i="8"/>
  <c r="AH7" i="8"/>
  <c r="AD8" i="8"/>
  <c r="AE8" i="8"/>
  <c r="AF8" i="8"/>
  <c r="AG8" i="8"/>
  <c r="AH8" i="8"/>
  <c r="AD9" i="8"/>
  <c r="AE9" i="8"/>
  <c r="AF9" i="8"/>
  <c r="AG9" i="8"/>
  <c r="AH9" i="8"/>
  <c r="AD10" i="8"/>
  <c r="AE10" i="8"/>
  <c r="AF10" i="8"/>
  <c r="AG10" i="8"/>
  <c r="AH10" i="8"/>
  <c r="AD11" i="8"/>
  <c r="AE11" i="8"/>
  <c r="AF11" i="8"/>
  <c r="AG11" i="8"/>
  <c r="AH11" i="8"/>
  <c r="AD12" i="8"/>
  <c r="AE12" i="8"/>
  <c r="AF12" i="8"/>
  <c r="AG12" i="8"/>
  <c r="AH12" i="8"/>
  <c r="AD13" i="8"/>
  <c r="AE13" i="8"/>
  <c r="AF13" i="8"/>
  <c r="AG13" i="8"/>
  <c r="AH13" i="8"/>
  <c r="AE14" i="8"/>
  <c r="AF14" i="8"/>
  <c r="AG14" i="8"/>
  <c r="AH14" i="8"/>
  <c r="AD15" i="8"/>
  <c r="AE15" i="8"/>
  <c r="AF15" i="8"/>
  <c r="AG15" i="8"/>
  <c r="AH15" i="8"/>
  <c r="AD16" i="8"/>
  <c r="AE16" i="8"/>
  <c r="AF16" i="8"/>
  <c r="AG16" i="8"/>
  <c r="AH16" i="8"/>
  <c r="AD17" i="8"/>
  <c r="AE17" i="8"/>
  <c r="AF17" i="8"/>
  <c r="AG17" i="8"/>
  <c r="AH17" i="8"/>
  <c r="AD18" i="8"/>
  <c r="AE18" i="8"/>
  <c r="AF18" i="8"/>
  <c r="AG18" i="8"/>
  <c r="AH18" i="8"/>
  <c r="AD19" i="8"/>
  <c r="AE19" i="8"/>
  <c r="AF19" i="8"/>
  <c r="AG19" i="8"/>
  <c r="AH19" i="8"/>
  <c r="AD20" i="8"/>
  <c r="AE20" i="8"/>
  <c r="AF20" i="8"/>
  <c r="AG20" i="8"/>
  <c r="AH20" i="8"/>
  <c r="AD21" i="8"/>
  <c r="AE21" i="8"/>
  <c r="AF21" i="8"/>
  <c r="AG21" i="8"/>
  <c r="AH21" i="8"/>
  <c r="AD22" i="8"/>
  <c r="AE22" i="8"/>
  <c r="AF22" i="8"/>
  <c r="AG22" i="8"/>
  <c r="AH22" i="8"/>
  <c r="AE23" i="8"/>
  <c r="AF23" i="8"/>
  <c r="AG23" i="8"/>
  <c r="AH23" i="8"/>
  <c r="AC17" i="8"/>
  <c r="AC18" i="8"/>
  <c r="AC19" i="8"/>
  <c r="AC20" i="8"/>
  <c r="AC21" i="8"/>
  <c r="AC4" i="8"/>
  <c r="AC5" i="8"/>
  <c r="AC6" i="8"/>
  <c r="AC7" i="8"/>
  <c r="AC8" i="8"/>
  <c r="AC9" i="8"/>
  <c r="AC3" i="8"/>
  <c r="T3" i="8"/>
  <c r="AL3" i="8"/>
  <c r="AM3" i="8"/>
  <c r="AN3" i="8"/>
  <c r="AO3" i="8"/>
  <c r="AP3" i="8"/>
  <c r="AQ3" i="8"/>
  <c r="AM4" i="8"/>
  <c r="AN4" i="8"/>
  <c r="AO4" i="8"/>
  <c r="AP4" i="8"/>
  <c r="AQ4" i="8"/>
  <c r="AM5" i="8"/>
  <c r="AN5" i="8"/>
  <c r="AO5" i="8"/>
  <c r="AP5" i="8"/>
  <c r="AQ5" i="8"/>
  <c r="AM6" i="8"/>
  <c r="AN6" i="8"/>
  <c r="AO6" i="8"/>
  <c r="AP6" i="8"/>
  <c r="AQ6" i="8"/>
  <c r="AM7" i="8"/>
  <c r="AN7" i="8"/>
  <c r="AO7" i="8"/>
  <c r="AP7" i="8"/>
  <c r="AQ7" i="8"/>
  <c r="AM8" i="8"/>
  <c r="AN8" i="8"/>
  <c r="AO8" i="8"/>
  <c r="AP8" i="8"/>
  <c r="AQ8" i="8"/>
  <c r="AM9" i="8"/>
  <c r="AN9" i="8"/>
  <c r="AO9" i="8"/>
  <c r="AP9" i="8"/>
  <c r="AQ9" i="8"/>
  <c r="AM10" i="8"/>
  <c r="AN10" i="8"/>
  <c r="AO10" i="8"/>
  <c r="AP10" i="8"/>
  <c r="AQ10" i="8"/>
  <c r="AM11" i="8"/>
  <c r="AN11" i="8"/>
  <c r="AO11" i="8"/>
  <c r="AP11" i="8"/>
  <c r="AQ11" i="8"/>
  <c r="AM12" i="8"/>
  <c r="AN12" i="8"/>
  <c r="AO12" i="8"/>
  <c r="AP12" i="8"/>
  <c r="AQ12" i="8"/>
  <c r="AM13" i="8"/>
  <c r="AN13" i="8"/>
  <c r="AO13" i="8"/>
  <c r="AP13" i="8"/>
  <c r="AQ13" i="8"/>
  <c r="AN14" i="8"/>
  <c r="AO14" i="8"/>
  <c r="AP14" i="8"/>
  <c r="AQ14" i="8"/>
  <c r="AM15" i="8"/>
  <c r="AN15" i="8"/>
  <c r="AO15" i="8"/>
  <c r="AP15" i="8"/>
  <c r="AQ15" i="8"/>
  <c r="AM16" i="8"/>
  <c r="AN16" i="8"/>
  <c r="AO16" i="8"/>
  <c r="AP16" i="8"/>
  <c r="AQ16" i="8"/>
  <c r="AM17" i="8"/>
  <c r="AN17" i="8"/>
  <c r="AO17" i="8"/>
  <c r="AP17" i="8"/>
  <c r="AQ17" i="8"/>
  <c r="AM18" i="8"/>
  <c r="AN18" i="8"/>
  <c r="AO18" i="8"/>
  <c r="AP18" i="8"/>
  <c r="AQ18" i="8"/>
  <c r="AM19" i="8"/>
  <c r="AN19" i="8"/>
  <c r="AO19" i="8"/>
  <c r="AP19" i="8"/>
  <c r="AQ19" i="8"/>
  <c r="AM20" i="8"/>
  <c r="AN20" i="8"/>
  <c r="AO20" i="8"/>
  <c r="AP20" i="8"/>
  <c r="AQ20" i="8"/>
  <c r="AM21" i="8"/>
  <c r="AN21" i="8"/>
  <c r="AO21" i="8"/>
  <c r="AP21" i="8"/>
  <c r="AQ21" i="8"/>
  <c r="AM22" i="8"/>
  <c r="AN22" i="8"/>
  <c r="AO22" i="8"/>
  <c r="AP22" i="8"/>
  <c r="AQ22" i="8"/>
  <c r="AN23" i="8"/>
  <c r="AO23" i="8"/>
  <c r="AP23" i="8"/>
  <c r="AQ23" i="8"/>
  <c r="AL5" i="8"/>
  <c r="AL6" i="8"/>
  <c r="AL7" i="8"/>
  <c r="AL8" i="8"/>
  <c r="AL9" i="8"/>
  <c r="AL17" i="8"/>
  <c r="AL18" i="8"/>
  <c r="AL19" i="8"/>
  <c r="AL20" i="8"/>
  <c r="AL21" i="8"/>
  <c r="AL4" i="8"/>
  <c r="BA3" i="8"/>
  <c r="Z11" i="10"/>
  <c r="Z10" i="10"/>
  <c r="S11" i="10"/>
  <c r="T11" i="10"/>
  <c r="U11" i="10"/>
  <c r="V11" i="10"/>
  <c r="W11" i="10"/>
  <c r="D22" i="10"/>
  <c r="E22" i="10"/>
  <c r="T22" i="10" s="1"/>
  <c r="F22" i="10"/>
  <c r="G22" i="10"/>
  <c r="H22" i="10"/>
  <c r="I22" i="10"/>
  <c r="J22" i="10"/>
  <c r="K22" i="10"/>
  <c r="L22" i="10"/>
  <c r="M22" i="10"/>
  <c r="N22" i="10"/>
  <c r="O22" i="10"/>
  <c r="P22" i="10"/>
  <c r="C20" i="10"/>
  <c r="C21" i="10"/>
  <c r="C22" i="10"/>
  <c r="C19" i="10"/>
  <c r="S22" i="10"/>
  <c r="T40" i="10"/>
  <c r="S40" i="10"/>
  <c r="T58" i="10"/>
  <c r="S58" i="10"/>
  <c r="T76" i="10"/>
  <c r="S76" i="10"/>
  <c r="T82" i="10"/>
  <c r="S82" i="10"/>
  <c r="T88" i="10"/>
  <c r="S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C88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C82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C76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C64" i="10"/>
  <c r="C70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C58" i="10"/>
  <c r="C52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C46" i="10"/>
  <c r="P39" i="10"/>
  <c r="P40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C40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C34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AH25" i="9"/>
  <c r="AJ25" i="9"/>
  <c r="AF25" i="9"/>
  <c r="AG25" i="9"/>
  <c r="Z25" i="9"/>
  <c r="AB25" i="9"/>
  <c r="N25" i="9"/>
  <c r="T25" i="9" s="1"/>
  <c r="O25" i="9"/>
  <c r="U25" i="9" s="1"/>
  <c r="AI25" i="9" s="1"/>
  <c r="P25" i="9"/>
  <c r="V25" i="9" s="1"/>
  <c r="Q25" i="9"/>
  <c r="W25" i="9" s="1"/>
  <c r="AK25" i="9" s="1"/>
  <c r="R25" i="9"/>
  <c r="X25" i="9" s="1"/>
  <c r="AL25" i="9" s="1"/>
  <c r="S25" i="9"/>
  <c r="AE25" i="9" s="1"/>
  <c r="AA25" i="9" l="1"/>
  <c r="Y25" i="9"/>
  <c r="AM25" i="9" s="1"/>
  <c r="AD25" i="9"/>
  <c r="AC25" i="9"/>
  <c r="F28" i="11"/>
  <c r="N21" i="8" l="1"/>
  <c r="O21" i="8"/>
  <c r="P21" i="8"/>
  <c r="Q21" i="8"/>
  <c r="R21" i="8"/>
  <c r="S21" i="8"/>
  <c r="T21" i="8"/>
  <c r="U21" i="8"/>
  <c r="V21" i="8"/>
  <c r="W21" i="8"/>
  <c r="X21" i="8"/>
  <c r="Y21" i="8"/>
  <c r="O22" i="8"/>
  <c r="P22" i="8"/>
  <c r="Q22" i="8"/>
  <c r="W22" i="8" s="1"/>
  <c r="R22" i="8"/>
  <c r="S22" i="8"/>
  <c r="X22" i="8"/>
  <c r="Y22" i="8"/>
  <c r="P23" i="8"/>
  <c r="V23" i="8" s="1"/>
  <c r="Q23" i="8"/>
  <c r="W23" i="8" s="1"/>
  <c r="R23" i="8"/>
  <c r="X23" i="8" s="1"/>
  <c r="S23" i="8"/>
  <c r="Y23" i="8" s="1"/>
  <c r="P85" i="10"/>
  <c r="P86" i="10"/>
  <c r="P87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C86" i="10"/>
  <c r="C87" i="10"/>
  <c r="C85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C80" i="10"/>
  <c r="C81" i="10"/>
  <c r="C79" i="10"/>
  <c r="C73" i="10"/>
  <c r="C74" i="10"/>
  <c r="C75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C68" i="10"/>
  <c r="C69" i="10"/>
  <c r="C67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C62" i="10"/>
  <c r="C63" i="10"/>
  <c r="C61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C56" i="10"/>
  <c r="C57" i="10"/>
  <c r="C55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C50" i="10"/>
  <c r="C51" i="10"/>
  <c r="C49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C44" i="10"/>
  <c r="C45" i="10"/>
  <c r="C43" i="10"/>
  <c r="D37" i="10"/>
  <c r="D31" i="10"/>
  <c r="D25" i="10"/>
  <c r="D19" i="10"/>
  <c r="C25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C38" i="10"/>
  <c r="C39" i="10"/>
  <c r="C37" i="10"/>
  <c r="G33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D33" i="10"/>
  <c r="E33" i="10"/>
  <c r="F33" i="10"/>
  <c r="H33" i="10"/>
  <c r="I33" i="10"/>
  <c r="J33" i="10"/>
  <c r="K33" i="10"/>
  <c r="L33" i="10"/>
  <c r="M33" i="10"/>
  <c r="N33" i="10"/>
  <c r="O33" i="10"/>
  <c r="P33" i="10"/>
  <c r="C26" i="10"/>
  <c r="C32" i="10"/>
  <c r="C33" i="10"/>
  <c r="C31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C27" i="10"/>
  <c r="P19" i="10"/>
  <c r="P20" i="10"/>
  <c r="P21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F19" i="10"/>
  <c r="G19" i="10"/>
  <c r="H19" i="10"/>
  <c r="I19" i="10"/>
  <c r="J19" i="10"/>
  <c r="K19" i="10"/>
  <c r="L19" i="10"/>
  <c r="M19" i="10"/>
  <c r="N19" i="10"/>
  <c r="O19" i="10"/>
  <c r="E19" i="10"/>
  <c r="AG24" i="9"/>
  <c r="AF3" i="9"/>
  <c r="N28" i="9" s="1"/>
  <c r="S24" i="9"/>
  <c r="Y24" i="9" s="1"/>
  <c r="AM24" i="9" s="1"/>
  <c r="AF24" i="9"/>
  <c r="O24" i="9"/>
  <c r="U24" i="9" s="1"/>
  <c r="AI24" i="9" s="1"/>
  <c r="P24" i="9"/>
  <c r="Q24" i="9"/>
  <c r="AC24" i="9" s="1"/>
  <c r="R24" i="9"/>
  <c r="X24" i="9" s="1"/>
  <c r="N24" i="9"/>
  <c r="T24" i="9" s="1"/>
  <c r="AH24" i="9" s="1"/>
  <c r="S39" i="10" l="1"/>
  <c r="S38" i="10"/>
  <c r="T37" i="10"/>
  <c r="T57" i="10"/>
  <c r="T81" i="10"/>
  <c r="T79" i="10"/>
  <c r="T75" i="10"/>
  <c r="T73" i="10"/>
  <c r="T87" i="10"/>
  <c r="S75" i="10"/>
  <c r="T20" i="10"/>
  <c r="S74" i="10"/>
  <c r="T85" i="10"/>
  <c r="T55" i="10"/>
  <c r="S21" i="10"/>
  <c r="T56" i="10"/>
  <c r="S73" i="10"/>
  <c r="T80" i="10"/>
  <c r="T86" i="10"/>
  <c r="S87" i="10"/>
  <c r="S86" i="10"/>
  <c r="S85" i="10"/>
  <c r="T21" i="10"/>
  <c r="T19" i="10"/>
  <c r="S19" i="10"/>
  <c r="T39" i="10"/>
  <c r="S57" i="10"/>
  <c r="S81" i="10"/>
  <c r="T38" i="10"/>
  <c r="S56" i="10"/>
  <c r="T74" i="10"/>
  <c r="S80" i="10"/>
  <c r="S20" i="10"/>
  <c r="S37" i="10"/>
  <c r="S55" i="10"/>
  <c r="S79" i="10"/>
  <c r="AD24" i="9"/>
  <c r="AE24" i="9"/>
  <c r="AL24" i="9"/>
  <c r="AA24" i="9"/>
  <c r="Z24" i="9"/>
  <c r="AB24" i="9"/>
  <c r="V24" i="9"/>
  <c r="AJ24" i="9" s="1"/>
  <c r="W24" i="9"/>
  <c r="I44" i="6" a="1"/>
  <c r="I44" i="6" s="1"/>
  <c r="S13" i="10" l="1"/>
  <c r="Z13" i="10" s="1"/>
  <c r="T13" i="10"/>
  <c r="W13" i="10"/>
  <c r="U13" i="10"/>
  <c r="V13" i="10"/>
  <c r="T10" i="10"/>
  <c r="V10" i="10"/>
  <c r="U10" i="10"/>
  <c r="T12" i="10"/>
  <c r="S10" i="10"/>
  <c r="W12" i="10"/>
  <c r="U12" i="10"/>
  <c r="V12" i="10"/>
  <c r="S12" i="10"/>
  <c r="Z12" i="10" s="1"/>
  <c r="W10" i="10"/>
  <c r="AK24" i="9"/>
  <c r="O23" i="9"/>
  <c r="O14" i="9"/>
  <c r="AG23" i="9"/>
  <c r="AF23" i="9"/>
  <c r="AG22" i="9"/>
  <c r="AF22" i="9"/>
  <c r="AG21" i="9"/>
  <c r="AF21" i="9"/>
  <c r="AG20" i="9"/>
  <c r="AF20" i="9"/>
  <c r="AG19" i="9"/>
  <c r="AF19" i="9"/>
  <c r="AG18" i="9"/>
  <c r="AF18" i="9"/>
  <c r="AG17" i="9"/>
  <c r="AF17" i="9"/>
  <c r="AG16" i="9"/>
  <c r="AF16" i="9"/>
  <c r="AG15" i="9"/>
  <c r="AF15" i="9"/>
  <c r="AG14" i="9"/>
  <c r="AF14" i="9"/>
  <c r="AG13" i="9"/>
  <c r="AF13" i="9"/>
  <c r="AG12" i="9"/>
  <c r="AF12" i="9"/>
  <c r="AG11" i="9"/>
  <c r="AF11" i="9"/>
  <c r="AG10" i="9"/>
  <c r="AF10" i="9"/>
  <c r="AG9" i="9"/>
  <c r="AF9" i="9"/>
  <c r="AG8" i="9"/>
  <c r="AF8" i="9"/>
  <c r="AG7" i="9"/>
  <c r="AF7" i="9"/>
  <c r="AG6" i="9"/>
  <c r="AF6" i="9"/>
  <c r="AG5" i="9"/>
  <c r="AF5" i="9"/>
  <c r="AG4" i="9"/>
  <c r="AF4" i="9"/>
  <c r="AG3" i="9"/>
  <c r="M28" i="9" s="1"/>
  <c r="N22" i="9"/>
  <c r="N23" i="9"/>
  <c r="N10" i="9"/>
  <c r="N11" i="9"/>
  <c r="N12" i="9"/>
  <c r="N13" i="9"/>
  <c r="N14" i="9"/>
  <c r="N15" i="9"/>
  <c r="N16" i="9"/>
  <c r="N3" i="9"/>
  <c r="S23" i="9"/>
  <c r="R23" i="9"/>
  <c r="Q23" i="9"/>
  <c r="P23" i="9"/>
  <c r="S22" i="9"/>
  <c r="R22" i="9"/>
  <c r="Q22" i="9"/>
  <c r="P22" i="9"/>
  <c r="O22" i="9"/>
  <c r="S21" i="9"/>
  <c r="R21" i="9"/>
  <c r="Q21" i="9"/>
  <c r="P21" i="9"/>
  <c r="O21" i="9"/>
  <c r="N21" i="9"/>
  <c r="S20" i="9"/>
  <c r="R20" i="9"/>
  <c r="Q20" i="9"/>
  <c r="P20" i="9"/>
  <c r="O20" i="9"/>
  <c r="N20" i="9"/>
  <c r="S19" i="9"/>
  <c r="R19" i="9"/>
  <c r="Q19" i="9"/>
  <c r="P19" i="9"/>
  <c r="O19" i="9"/>
  <c r="N19" i="9"/>
  <c r="S18" i="9"/>
  <c r="R18" i="9"/>
  <c r="Q18" i="9"/>
  <c r="P18" i="9"/>
  <c r="O18" i="9"/>
  <c r="N18" i="9"/>
  <c r="S17" i="9"/>
  <c r="R17" i="9"/>
  <c r="Q17" i="9"/>
  <c r="P17" i="9"/>
  <c r="O17" i="9"/>
  <c r="N17" i="9"/>
  <c r="S16" i="9"/>
  <c r="R16" i="9"/>
  <c r="Q16" i="9"/>
  <c r="P16" i="9"/>
  <c r="O16" i="9"/>
  <c r="S15" i="9"/>
  <c r="R15" i="9"/>
  <c r="Q15" i="9"/>
  <c r="P15" i="9"/>
  <c r="O15" i="9"/>
  <c r="S14" i="9"/>
  <c r="R14" i="9"/>
  <c r="Q14" i="9"/>
  <c r="P14" i="9"/>
  <c r="S13" i="9"/>
  <c r="R13" i="9"/>
  <c r="Q13" i="9"/>
  <c r="P13" i="9"/>
  <c r="O13" i="9"/>
  <c r="S12" i="9"/>
  <c r="R12" i="9"/>
  <c r="Q12" i="9"/>
  <c r="P12" i="9"/>
  <c r="O12" i="9"/>
  <c r="S11" i="9"/>
  <c r="R11" i="9"/>
  <c r="Q11" i="9"/>
  <c r="P11" i="9"/>
  <c r="O11" i="9"/>
  <c r="S10" i="9"/>
  <c r="R10" i="9"/>
  <c r="Q10" i="9"/>
  <c r="P10" i="9"/>
  <c r="O10" i="9"/>
  <c r="S9" i="9"/>
  <c r="R9" i="9"/>
  <c r="Q9" i="9"/>
  <c r="P9" i="9"/>
  <c r="O9" i="9"/>
  <c r="N9" i="9"/>
  <c r="S8" i="9"/>
  <c r="R8" i="9"/>
  <c r="Q8" i="9"/>
  <c r="P8" i="9"/>
  <c r="O8" i="9"/>
  <c r="N8" i="9"/>
  <c r="S7" i="9"/>
  <c r="R7" i="9"/>
  <c r="Q7" i="9"/>
  <c r="P7" i="9"/>
  <c r="O7" i="9"/>
  <c r="N7" i="9"/>
  <c r="S6" i="9"/>
  <c r="R6" i="9"/>
  <c r="Q6" i="9"/>
  <c r="P6" i="9"/>
  <c r="O6" i="9"/>
  <c r="N6" i="9"/>
  <c r="S5" i="9"/>
  <c r="R5" i="9"/>
  <c r="Q5" i="9"/>
  <c r="P5" i="9"/>
  <c r="O5" i="9"/>
  <c r="N5" i="9"/>
  <c r="S4" i="9"/>
  <c r="R4" i="9"/>
  <c r="Q4" i="9"/>
  <c r="P4" i="9"/>
  <c r="O4" i="9"/>
  <c r="N4" i="9"/>
  <c r="S3" i="9"/>
  <c r="R3" i="9"/>
  <c r="Q3" i="9"/>
  <c r="P3" i="9"/>
  <c r="O3" i="9"/>
  <c r="BA4" i="8"/>
  <c r="BB4" i="8"/>
  <c r="BC4" i="8"/>
  <c r="BD4" i="8"/>
  <c r="BE4" i="8"/>
  <c r="BF4" i="8"/>
  <c r="BA5" i="8"/>
  <c r="BB5" i="8"/>
  <c r="BC5" i="8"/>
  <c r="BD5" i="8"/>
  <c r="BE5" i="8"/>
  <c r="BF5" i="8"/>
  <c r="BA6" i="8"/>
  <c r="BB6" i="8"/>
  <c r="BC6" i="8"/>
  <c r="BD6" i="8"/>
  <c r="BE6" i="8"/>
  <c r="BF6" i="8"/>
  <c r="BA7" i="8"/>
  <c r="BB7" i="8"/>
  <c r="BC7" i="8"/>
  <c r="BD7" i="8"/>
  <c r="BE7" i="8"/>
  <c r="BF7" i="8"/>
  <c r="BA8" i="8"/>
  <c r="BB8" i="8"/>
  <c r="BC8" i="8"/>
  <c r="BD8" i="8"/>
  <c r="BE8" i="8"/>
  <c r="BF8" i="8"/>
  <c r="BA9" i="8"/>
  <c r="BB9" i="8"/>
  <c r="BC9" i="8"/>
  <c r="BD9" i="8"/>
  <c r="BE9" i="8"/>
  <c r="BF9" i="8"/>
  <c r="BB10" i="8"/>
  <c r="BC10" i="8"/>
  <c r="BD10" i="8"/>
  <c r="BE10" i="8"/>
  <c r="BF10" i="8"/>
  <c r="BC11" i="8"/>
  <c r="BD11" i="8"/>
  <c r="BE11" i="8"/>
  <c r="BF11" i="8"/>
  <c r="BC12" i="8"/>
  <c r="BD12" i="8"/>
  <c r="BE12" i="8"/>
  <c r="BF12" i="8"/>
  <c r="BC13" i="8"/>
  <c r="BD13" i="8"/>
  <c r="BE13" i="8"/>
  <c r="BF13" i="8"/>
  <c r="BD14" i="8"/>
  <c r="BE14" i="8"/>
  <c r="BF14" i="8"/>
  <c r="BC15" i="8"/>
  <c r="BD15" i="8"/>
  <c r="BE15" i="8"/>
  <c r="BF15" i="8"/>
  <c r="BC16" i="8"/>
  <c r="BD16" i="8"/>
  <c r="BE16" i="8"/>
  <c r="BF16" i="8"/>
  <c r="BB17" i="8"/>
  <c r="BC17" i="8"/>
  <c r="BD17" i="8"/>
  <c r="BE17" i="8"/>
  <c r="BF17" i="8"/>
  <c r="BA18" i="8"/>
  <c r="BB18" i="8"/>
  <c r="BC18" i="8"/>
  <c r="BD18" i="8"/>
  <c r="BE18" i="8"/>
  <c r="BF18" i="8"/>
  <c r="BA19" i="8"/>
  <c r="BB19" i="8"/>
  <c r="BC19" i="8"/>
  <c r="BD19" i="8"/>
  <c r="BE19" i="8"/>
  <c r="BF19" i="8"/>
  <c r="BA20" i="8"/>
  <c r="BB20" i="8"/>
  <c r="BC20" i="8"/>
  <c r="BD20" i="8"/>
  <c r="BE20" i="8"/>
  <c r="BF20" i="8"/>
  <c r="BB3" i="8"/>
  <c r="BC3" i="8"/>
  <c r="BD3" i="8"/>
  <c r="BE3" i="8"/>
  <c r="BF3" i="8"/>
  <c r="AT4" i="8"/>
  <c r="AT5" i="8"/>
  <c r="AT6" i="8"/>
  <c r="AT7" i="8"/>
  <c r="AT8" i="8"/>
  <c r="AT9" i="8"/>
  <c r="AT10" i="8"/>
  <c r="AT11" i="8"/>
  <c r="AT12" i="8"/>
  <c r="AT13" i="8"/>
  <c r="AT14" i="8"/>
  <c r="AT15" i="8"/>
  <c r="AT16" i="8"/>
  <c r="AT17" i="8"/>
  <c r="AT18" i="8"/>
  <c r="AT19" i="8"/>
  <c r="AT20" i="8"/>
  <c r="AT21" i="8"/>
  <c r="AT22" i="8"/>
  <c r="AT23" i="8"/>
  <c r="AT3" i="8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3" i="8"/>
  <c r="AR4" i="8"/>
  <c r="AR5" i="8"/>
  <c r="AR6" i="8"/>
  <c r="AR7" i="8"/>
  <c r="AR8" i="8"/>
  <c r="AR9" i="8"/>
  <c r="AR10" i="8"/>
  <c r="AR11" i="8"/>
  <c r="AR12" i="8"/>
  <c r="AR13" i="8"/>
  <c r="AR14" i="8"/>
  <c r="AR15" i="8"/>
  <c r="AR16" i="8"/>
  <c r="AR17" i="8"/>
  <c r="AR18" i="8"/>
  <c r="AR19" i="8"/>
  <c r="AR20" i="8"/>
  <c r="AR21" i="8"/>
  <c r="AR22" i="8"/>
  <c r="AR23" i="8"/>
  <c r="AR3" i="8"/>
  <c r="AK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3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N3" i="8"/>
  <c r="O3" i="8"/>
  <c r="U3" i="8" s="1"/>
  <c r="P3" i="8"/>
  <c r="V3" i="8" s="1"/>
  <c r="Q3" i="8"/>
  <c r="W3" i="8" s="1"/>
  <c r="R3" i="8"/>
  <c r="X3" i="8" s="1"/>
  <c r="S3" i="8"/>
  <c r="Y3" i="8" s="1"/>
  <c r="O4" i="8"/>
  <c r="U4" i="8" s="1"/>
  <c r="P4" i="8"/>
  <c r="V4" i="8" s="1"/>
  <c r="Q4" i="8"/>
  <c r="W4" i="8" s="1"/>
  <c r="R4" i="8"/>
  <c r="X4" i="8" s="1"/>
  <c r="S4" i="8"/>
  <c r="Y4" i="8" s="1"/>
  <c r="O5" i="8"/>
  <c r="U5" i="8" s="1"/>
  <c r="P5" i="8"/>
  <c r="V5" i="8" s="1"/>
  <c r="Q5" i="8"/>
  <c r="W5" i="8" s="1"/>
  <c r="R5" i="8"/>
  <c r="X5" i="8" s="1"/>
  <c r="S5" i="8"/>
  <c r="Y5" i="8" s="1"/>
  <c r="O6" i="8"/>
  <c r="U6" i="8" s="1"/>
  <c r="P6" i="8"/>
  <c r="V6" i="8" s="1"/>
  <c r="Q6" i="8"/>
  <c r="W6" i="8" s="1"/>
  <c r="R6" i="8"/>
  <c r="X6" i="8" s="1"/>
  <c r="S6" i="8"/>
  <c r="Y6" i="8" s="1"/>
  <c r="O7" i="8"/>
  <c r="U7" i="8" s="1"/>
  <c r="P7" i="8"/>
  <c r="V7" i="8" s="1"/>
  <c r="Q7" i="8"/>
  <c r="W7" i="8" s="1"/>
  <c r="R7" i="8"/>
  <c r="X7" i="8" s="1"/>
  <c r="S7" i="8"/>
  <c r="Y7" i="8" s="1"/>
  <c r="O8" i="8"/>
  <c r="U8" i="8" s="1"/>
  <c r="P8" i="8"/>
  <c r="V8" i="8" s="1"/>
  <c r="Q8" i="8"/>
  <c r="W8" i="8" s="1"/>
  <c r="R8" i="8"/>
  <c r="X8" i="8" s="1"/>
  <c r="S8" i="8"/>
  <c r="Y8" i="8" s="1"/>
  <c r="O9" i="8"/>
  <c r="U9" i="8" s="1"/>
  <c r="P9" i="8"/>
  <c r="V9" i="8" s="1"/>
  <c r="Q9" i="8"/>
  <c r="W9" i="8" s="1"/>
  <c r="R9" i="8"/>
  <c r="X9" i="8" s="1"/>
  <c r="S9" i="8"/>
  <c r="Y9" i="8" s="1"/>
  <c r="O10" i="8"/>
  <c r="U10" i="8" s="1"/>
  <c r="P10" i="8"/>
  <c r="V10" i="8" s="1"/>
  <c r="Q10" i="8"/>
  <c r="W10" i="8" s="1"/>
  <c r="R10" i="8"/>
  <c r="X10" i="8" s="1"/>
  <c r="S10" i="8"/>
  <c r="Y10" i="8" s="1"/>
  <c r="O11" i="8"/>
  <c r="P11" i="8"/>
  <c r="V11" i="8" s="1"/>
  <c r="Q11" i="8"/>
  <c r="W11" i="8" s="1"/>
  <c r="R11" i="8"/>
  <c r="X11" i="8" s="1"/>
  <c r="S11" i="8"/>
  <c r="Y11" i="8" s="1"/>
  <c r="O12" i="8"/>
  <c r="P12" i="8"/>
  <c r="V12" i="8" s="1"/>
  <c r="Q12" i="8"/>
  <c r="W12" i="8" s="1"/>
  <c r="R12" i="8"/>
  <c r="X12" i="8" s="1"/>
  <c r="S12" i="8"/>
  <c r="Y12" i="8" s="1"/>
  <c r="O13" i="8"/>
  <c r="P13" i="8"/>
  <c r="V13" i="8" s="1"/>
  <c r="Q13" i="8"/>
  <c r="W13" i="8" s="1"/>
  <c r="R13" i="8"/>
  <c r="X13" i="8" s="1"/>
  <c r="S13" i="8"/>
  <c r="Y13" i="8" s="1"/>
  <c r="P14" i="8"/>
  <c r="V14" i="8" s="1"/>
  <c r="Q14" i="8"/>
  <c r="W14" i="8" s="1"/>
  <c r="R14" i="8"/>
  <c r="X14" i="8" s="1"/>
  <c r="S14" i="8"/>
  <c r="Y14" i="8" s="1"/>
  <c r="O15" i="8"/>
  <c r="P15" i="8"/>
  <c r="V15" i="8" s="1"/>
  <c r="Q15" i="8"/>
  <c r="W15" i="8" s="1"/>
  <c r="R15" i="8"/>
  <c r="X15" i="8" s="1"/>
  <c r="S15" i="8"/>
  <c r="Y15" i="8" s="1"/>
  <c r="O16" i="8"/>
  <c r="P16" i="8"/>
  <c r="V16" i="8" s="1"/>
  <c r="Q16" i="8"/>
  <c r="W16" i="8" s="1"/>
  <c r="R16" i="8"/>
  <c r="X16" i="8" s="1"/>
  <c r="S16" i="8"/>
  <c r="Y16" i="8" s="1"/>
  <c r="O17" i="8"/>
  <c r="U17" i="8" s="1"/>
  <c r="P17" i="8"/>
  <c r="V17" i="8" s="1"/>
  <c r="Q17" i="8"/>
  <c r="W17" i="8" s="1"/>
  <c r="R17" i="8"/>
  <c r="X17" i="8" s="1"/>
  <c r="S17" i="8"/>
  <c r="Y17" i="8" s="1"/>
  <c r="O18" i="8"/>
  <c r="U18" i="8" s="1"/>
  <c r="P18" i="8"/>
  <c r="V18" i="8" s="1"/>
  <c r="Q18" i="8"/>
  <c r="W18" i="8" s="1"/>
  <c r="R18" i="8"/>
  <c r="X18" i="8" s="1"/>
  <c r="S18" i="8"/>
  <c r="Y18" i="8" s="1"/>
  <c r="O19" i="8"/>
  <c r="U19" i="8" s="1"/>
  <c r="P19" i="8"/>
  <c r="V19" i="8" s="1"/>
  <c r="Q19" i="8"/>
  <c r="W19" i="8" s="1"/>
  <c r="R19" i="8"/>
  <c r="X19" i="8" s="1"/>
  <c r="S19" i="8"/>
  <c r="Y19" i="8" s="1"/>
  <c r="O20" i="8"/>
  <c r="U20" i="8" s="1"/>
  <c r="P20" i="8"/>
  <c r="V20" i="8" s="1"/>
  <c r="Q20" i="8"/>
  <c r="W20" i="8" s="1"/>
  <c r="R20" i="8"/>
  <c r="X20" i="8" s="1"/>
  <c r="S20" i="8"/>
  <c r="Y20" i="8" s="1"/>
  <c r="BC23" i="8"/>
  <c r="BD23" i="8"/>
  <c r="N4" i="8"/>
  <c r="T4" i="8" s="1"/>
  <c r="N5" i="8"/>
  <c r="T5" i="8" s="1"/>
  <c r="N6" i="8"/>
  <c r="T6" i="8" s="1"/>
  <c r="N7" i="8"/>
  <c r="T7" i="8" s="1"/>
  <c r="N8" i="8"/>
  <c r="T8" i="8" s="1"/>
  <c r="N9" i="8"/>
  <c r="T9" i="8" s="1"/>
  <c r="N17" i="8"/>
  <c r="N18" i="8"/>
  <c r="T18" i="8" s="1"/>
  <c r="N19" i="8"/>
  <c r="T19" i="8" s="1"/>
  <c r="N20" i="8"/>
  <c r="T20" i="8" s="1"/>
  <c r="BA21" i="8"/>
  <c r="T4" i="9" l="1"/>
  <c r="AH4" i="9"/>
  <c r="Z4" i="9"/>
  <c r="T5" i="9"/>
  <c r="AH5" i="9"/>
  <c r="Z5" i="9"/>
  <c r="Z6" i="9"/>
  <c r="T6" i="9"/>
  <c r="AH6" i="9"/>
  <c r="T7" i="9"/>
  <c r="AH7" i="9"/>
  <c r="Z7" i="9"/>
  <c r="T8" i="9"/>
  <c r="AH8" i="9"/>
  <c r="Z8" i="9"/>
  <c r="AH9" i="9"/>
  <c r="Z9" i="9"/>
  <c r="U10" i="9"/>
  <c r="AI10" i="9"/>
  <c r="AA10" i="9"/>
  <c r="V11" i="9"/>
  <c r="AJ11" i="9"/>
  <c r="AB11" i="9"/>
  <c r="W12" i="9"/>
  <c r="D60" i="9" s="1"/>
  <c r="AK12" i="9"/>
  <c r="AC12" i="9"/>
  <c r="X13" i="9"/>
  <c r="E38" i="9" s="1"/>
  <c r="AL13" i="9"/>
  <c r="AD13" i="9"/>
  <c r="U15" i="9"/>
  <c r="AI15" i="9"/>
  <c r="AA15" i="9"/>
  <c r="V16" i="9"/>
  <c r="AJ16" i="9"/>
  <c r="AB16" i="9"/>
  <c r="V17" i="9"/>
  <c r="AJ17" i="9"/>
  <c r="AB17" i="9"/>
  <c r="V18" i="9"/>
  <c r="AB18" i="9"/>
  <c r="AJ18" i="9"/>
  <c r="V19" i="9"/>
  <c r="AJ19" i="9"/>
  <c r="AB19" i="9"/>
  <c r="V20" i="9"/>
  <c r="AB20" i="9"/>
  <c r="AJ20" i="9"/>
  <c r="V21" i="9"/>
  <c r="AJ21" i="9"/>
  <c r="AB21" i="9"/>
  <c r="AC22" i="9"/>
  <c r="AK22" i="9"/>
  <c r="Y23" i="9"/>
  <c r="AM23" i="9"/>
  <c r="AE23" i="9"/>
  <c r="Z12" i="9"/>
  <c r="AH12" i="9"/>
  <c r="Y5" i="9"/>
  <c r="F30" i="9" s="1"/>
  <c r="AE5" i="9"/>
  <c r="I30" i="9" s="1"/>
  <c r="AM5" i="9"/>
  <c r="L30" i="9" s="1"/>
  <c r="Y8" i="9"/>
  <c r="F33" i="9" s="1"/>
  <c r="AM8" i="9"/>
  <c r="AE8" i="9"/>
  <c r="U11" i="9"/>
  <c r="AA11" i="9"/>
  <c r="AI11" i="9"/>
  <c r="W13" i="9"/>
  <c r="D38" i="9" s="1"/>
  <c r="AC13" i="9"/>
  <c r="AK13" i="9"/>
  <c r="U16" i="9"/>
  <c r="AI16" i="9"/>
  <c r="AA16" i="9"/>
  <c r="U19" i="9"/>
  <c r="AI19" i="9"/>
  <c r="AA19" i="9"/>
  <c r="AL23" i="9"/>
  <c r="AD23" i="9"/>
  <c r="U5" i="9"/>
  <c r="AI5" i="9"/>
  <c r="AA5" i="9"/>
  <c r="AI9" i="9"/>
  <c r="AA9" i="9"/>
  <c r="W11" i="9"/>
  <c r="D36" i="9" s="1"/>
  <c r="AC11" i="9"/>
  <c r="G36" i="9" s="1"/>
  <c r="AK11" i="9"/>
  <c r="J36" i="9" s="1"/>
  <c r="V15" i="9"/>
  <c r="AJ15" i="9"/>
  <c r="AB15" i="9"/>
  <c r="W17" i="9"/>
  <c r="D42" i="9" s="1"/>
  <c r="AC17" i="9"/>
  <c r="AK17" i="9"/>
  <c r="W19" i="9"/>
  <c r="D44" i="9" s="1"/>
  <c r="AC19" i="9"/>
  <c r="AK19" i="9"/>
  <c r="W21" i="9"/>
  <c r="D46" i="9" s="1"/>
  <c r="AC21" i="9"/>
  <c r="AK21" i="9"/>
  <c r="Z11" i="9"/>
  <c r="AH11" i="9"/>
  <c r="V3" i="9"/>
  <c r="AJ3" i="9"/>
  <c r="AB3" i="9"/>
  <c r="V4" i="9"/>
  <c r="AJ4" i="9"/>
  <c r="AB4" i="9"/>
  <c r="V5" i="9"/>
  <c r="AJ5" i="9"/>
  <c r="AB5" i="9"/>
  <c r="V6" i="9"/>
  <c r="AB6" i="9"/>
  <c r="AJ6" i="9"/>
  <c r="V7" i="9"/>
  <c r="AJ7" i="9"/>
  <c r="AB7" i="9"/>
  <c r="V8" i="9"/>
  <c r="AB8" i="9"/>
  <c r="AJ8" i="9"/>
  <c r="V9" i="9"/>
  <c r="AJ9" i="9"/>
  <c r="AB9" i="9"/>
  <c r="W10" i="9"/>
  <c r="D35" i="9" s="1"/>
  <c r="AC10" i="9"/>
  <c r="AK10" i="9"/>
  <c r="X11" i="9"/>
  <c r="E36" i="9" s="1"/>
  <c r="AL11" i="9"/>
  <c r="K36" i="9" s="1"/>
  <c r="AD11" i="9"/>
  <c r="H36" i="9" s="1"/>
  <c r="Y12" i="9"/>
  <c r="F60" i="9" s="1"/>
  <c r="AM12" i="9"/>
  <c r="AE12" i="9"/>
  <c r="AJ14" i="9"/>
  <c r="AB14" i="9"/>
  <c r="W15" i="9"/>
  <c r="D63" i="9" s="1"/>
  <c r="AC15" i="9"/>
  <c r="AK15" i="9"/>
  <c r="X16" i="9"/>
  <c r="E41" i="9" s="1"/>
  <c r="AD16" i="9"/>
  <c r="AL16" i="9"/>
  <c r="X17" i="9"/>
  <c r="E65" i="9" s="1"/>
  <c r="AL17" i="9"/>
  <c r="AD17" i="9"/>
  <c r="X18" i="9"/>
  <c r="E43" i="9" s="1"/>
  <c r="AL18" i="9"/>
  <c r="AD18" i="9"/>
  <c r="X19" i="9"/>
  <c r="E67" i="9" s="1"/>
  <c r="AL19" i="9"/>
  <c r="AD19" i="9"/>
  <c r="X20" i="9"/>
  <c r="E45" i="9" s="1"/>
  <c r="AD20" i="9"/>
  <c r="AL20" i="9"/>
  <c r="X21" i="9"/>
  <c r="E46" i="9" s="1"/>
  <c r="AD21" i="9"/>
  <c r="AL21" i="9"/>
  <c r="Y22" i="9"/>
  <c r="AM22" i="9"/>
  <c r="AE22" i="9"/>
  <c r="AH16" i="9"/>
  <c r="Z16" i="9"/>
  <c r="Z10" i="9"/>
  <c r="AH10" i="9"/>
  <c r="Y3" i="9"/>
  <c r="F53" i="9" s="1"/>
  <c r="AE3" i="9"/>
  <c r="AM3" i="9"/>
  <c r="Y7" i="9"/>
  <c r="F56" i="9" s="1"/>
  <c r="AE7" i="9"/>
  <c r="AM7" i="9"/>
  <c r="V12" i="9"/>
  <c r="AJ12" i="9"/>
  <c r="AB12" i="9"/>
  <c r="U17" i="9"/>
  <c r="AA17" i="9"/>
  <c r="AI17" i="9"/>
  <c r="AI21" i="9"/>
  <c r="AA21" i="9"/>
  <c r="AH13" i="9"/>
  <c r="Z13" i="9"/>
  <c r="AI23" i="9"/>
  <c r="AA23" i="9"/>
  <c r="U3" i="9"/>
  <c r="AI3" i="9"/>
  <c r="AA3" i="9"/>
  <c r="U7" i="9"/>
  <c r="AI7" i="9"/>
  <c r="AA7" i="9"/>
  <c r="X12" i="9"/>
  <c r="E60" i="9" s="1"/>
  <c r="AL12" i="9"/>
  <c r="AD12" i="9"/>
  <c r="W16" i="9"/>
  <c r="D64" i="9" s="1"/>
  <c r="AC16" i="9"/>
  <c r="AK16" i="9"/>
  <c r="W20" i="9"/>
  <c r="D68" i="9" s="1"/>
  <c r="AC20" i="9"/>
  <c r="AK20" i="9"/>
  <c r="T3" i="9"/>
  <c r="Z3" i="9"/>
  <c r="AH3" i="9"/>
  <c r="W3" i="9"/>
  <c r="D53" i="9" s="1"/>
  <c r="AC3" i="9"/>
  <c r="AK3" i="9"/>
  <c r="W4" i="9"/>
  <c r="D29" i="9" s="1"/>
  <c r="AC4" i="9"/>
  <c r="AK4" i="9"/>
  <c r="W5" i="9"/>
  <c r="AC5" i="9"/>
  <c r="G30" i="9" s="1"/>
  <c r="AK5" i="9"/>
  <c r="J30" i="9" s="1"/>
  <c r="W6" i="9"/>
  <c r="D31" i="9" s="1"/>
  <c r="AK6" i="9"/>
  <c r="AC6" i="9"/>
  <c r="W7" i="9"/>
  <c r="D56" i="9" s="1"/>
  <c r="AC7" i="9"/>
  <c r="AK7" i="9"/>
  <c r="W8" i="9"/>
  <c r="D33" i="9" s="1"/>
  <c r="AC8" i="9"/>
  <c r="AK8" i="9"/>
  <c r="W9" i="9"/>
  <c r="D58" i="9" s="1"/>
  <c r="AC9" i="9"/>
  <c r="AK9" i="9"/>
  <c r="X10" i="9"/>
  <c r="E35" i="9" s="1"/>
  <c r="AD10" i="9"/>
  <c r="AL10" i="9"/>
  <c r="Y11" i="9"/>
  <c r="F36" i="9" s="1"/>
  <c r="AE11" i="9"/>
  <c r="I36" i="9" s="1"/>
  <c r="AM11" i="9"/>
  <c r="L36" i="9" s="1"/>
  <c r="AI13" i="9"/>
  <c r="AA13" i="9"/>
  <c r="W14" i="9"/>
  <c r="D39" i="9" s="1"/>
  <c r="AC14" i="9"/>
  <c r="AK14" i="9"/>
  <c r="X15" i="9"/>
  <c r="E40" i="9" s="1"/>
  <c r="AD15" i="9"/>
  <c r="AL15" i="9"/>
  <c r="Y16" i="9"/>
  <c r="F64" i="9" s="1"/>
  <c r="AM16" i="9"/>
  <c r="AE16" i="9"/>
  <c r="Y17" i="9"/>
  <c r="F65" i="9" s="1"/>
  <c r="AM17" i="9"/>
  <c r="AE17" i="9"/>
  <c r="Y18" i="9"/>
  <c r="AM18" i="9"/>
  <c r="AE18" i="9"/>
  <c r="Y19" i="9"/>
  <c r="F44" i="9" s="1"/>
  <c r="AM19" i="9"/>
  <c r="AE19" i="9"/>
  <c r="Y20" i="9"/>
  <c r="F68" i="9" s="1"/>
  <c r="AM20" i="9"/>
  <c r="AE20" i="9"/>
  <c r="Y21" i="9"/>
  <c r="F46" i="9" s="1"/>
  <c r="AE21" i="9"/>
  <c r="AM21" i="9"/>
  <c r="AB23" i="9"/>
  <c r="AJ23" i="9"/>
  <c r="AH15" i="9"/>
  <c r="Z15" i="9"/>
  <c r="Z23" i="9"/>
  <c r="AH23" i="9"/>
  <c r="Y4" i="9"/>
  <c r="F29" i="9" s="1"/>
  <c r="AE4" i="9"/>
  <c r="AM4" i="9"/>
  <c r="Y6" i="9"/>
  <c r="F55" i="9" s="1"/>
  <c r="AM6" i="9"/>
  <c r="AE6" i="9"/>
  <c r="Y9" i="9"/>
  <c r="F58" i="9" s="1"/>
  <c r="AE9" i="9"/>
  <c r="AM9" i="9"/>
  <c r="Y14" i="9"/>
  <c r="F62" i="9" s="1"/>
  <c r="AM14" i="9"/>
  <c r="AE14" i="9"/>
  <c r="U18" i="9"/>
  <c r="AI18" i="9"/>
  <c r="AA18" i="9"/>
  <c r="U20" i="9"/>
  <c r="AI20" i="9"/>
  <c r="AA20" i="9"/>
  <c r="AJ22" i="9"/>
  <c r="AB22" i="9"/>
  <c r="U4" i="9"/>
  <c r="AI4" i="9"/>
  <c r="AA4" i="9"/>
  <c r="U6" i="9"/>
  <c r="AA6" i="9"/>
  <c r="AI6" i="9"/>
  <c r="U8" i="9"/>
  <c r="AI8" i="9"/>
  <c r="AA8" i="9"/>
  <c r="V10" i="9"/>
  <c r="AJ10" i="9"/>
  <c r="AB10" i="9"/>
  <c r="Y13" i="9"/>
  <c r="F38" i="9" s="1"/>
  <c r="AE13" i="9"/>
  <c r="AM13" i="9"/>
  <c r="W18" i="9"/>
  <c r="D66" i="9" s="1"/>
  <c r="AK18" i="9"/>
  <c r="AC18" i="9"/>
  <c r="X22" i="9"/>
  <c r="AD22" i="9"/>
  <c r="AL22" i="9"/>
  <c r="X3" i="9"/>
  <c r="E53" i="9" s="1"/>
  <c r="AD3" i="9"/>
  <c r="AL3" i="9"/>
  <c r="X4" i="9"/>
  <c r="E54" i="9" s="1"/>
  <c r="AD4" i="9"/>
  <c r="AL4" i="9"/>
  <c r="X5" i="9"/>
  <c r="E30" i="9" s="1"/>
  <c r="AL5" i="9"/>
  <c r="K30" i="9" s="1"/>
  <c r="AD5" i="9"/>
  <c r="H30" i="9" s="1"/>
  <c r="X6" i="9"/>
  <c r="E55" i="9" s="1"/>
  <c r="AL6" i="9"/>
  <c r="AD6" i="9"/>
  <c r="X7" i="9"/>
  <c r="E56" i="9" s="1"/>
  <c r="AL7" i="9"/>
  <c r="AD7" i="9"/>
  <c r="X8" i="9"/>
  <c r="E33" i="9" s="1"/>
  <c r="AD8" i="9"/>
  <c r="AL8" i="9"/>
  <c r="X9" i="9"/>
  <c r="E58" i="9" s="1"/>
  <c r="AD9" i="9"/>
  <c r="AL9" i="9"/>
  <c r="Y10" i="9"/>
  <c r="F35" i="9" s="1"/>
  <c r="AE10" i="9"/>
  <c r="AM10" i="9"/>
  <c r="U12" i="9"/>
  <c r="AI12" i="9"/>
  <c r="AA12" i="9"/>
  <c r="AJ13" i="9"/>
  <c r="AB13" i="9"/>
  <c r="X14" i="9"/>
  <c r="E62" i="9" s="1"/>
  <c r="AD14" i="9"/>
  <c r="AL14" i="9"/>
  <c r="Y15" i="9"/>
  <c r="F63" i="9" s="1"/>
  <c r="AE15" i="9"/>
  <c r="AM15" i="9"/>
  <c r="Z17" i="9"/>
  <c r="AH17" i="9"/>
  <c r="T18" i="9"/>
  <c r="AH18" i="9"/>
  <c r="Z18" i="9"/>
  <c r="T19" i="9"/>
  <c r="AH19" i="9"/>
  <c r="Z19" i="9"/>
  <c r="T20" i="9"/>
  <c r="AH20" i="9"/>
  <c r="Z20" i="9"/>
  <c r="AH21" i="9"/>
  <c r="Z21" i="9"/>
  <c r="AI22" i="9"/>
  <c r="AA22" i="9"/>
  <c r="AK23" i="9"/>
  <c r="AC23" i="9"/>
  <c r="AH14" i="9"/>
  <c r="Z14" i="9"/>
  <c r="Z22" i="9"/>
  <c r="AH22" i="9"/>
  <c r="AI14" i="9"/>
  <c r="AA14" i="9"/>
  <c r="F69" i="9"/>
  <c r="M53" i="9"/>
  <c r="M58" i="9"/>
  <c r="M34" i="9"/>
  <c r="M60" i="9"/>
  <c r="M37" i="9"/>
  <c r="M63" i="9"/>
  <c r="M40" i="9"/>
  <c r="M66" i="9"/>
  <c r="M43" i="9"/>
  <c r="M46" i="9"/>
  <c r="M69" i="9"/>
  <c r="E63" i="9"/>
  <c r="N30" i="9"/>
  <c r="N57" i="9"/>
  <c r="N33" i="9"/>
  <c r="N36" i="9"/>
  <c r="N62" i="9"/>
  <c r="N39" i="9"/>
  <c r="N65" i="9"/>
  <c r="N42" i="9"/>
  <c r="N68" i="9"/>
  <c r="N45" i="9"/>
  <c r="M30" i="9"/>
  <c r="M57" i="9"/>
  <c r="M33" i="9"/>
  <c r="M36" i="9"/>
  <c r="M62" i="9"/>
  <c r="M39" i="9"/>
  <c r="M65" i="9"/>
  <c r="M42" i="9"/>
  <c r="M68" i="9"/>
  <c r="M45" i="9"/>
  <c r="F61" i="9"/>
  <c r="N55" i="9"/>
  <c r="N31" i="9"/>
  <c r="N58" i="9"/>
  <c r="N34" i="9"/>
  <c r="N60" i="9"/>
  <c r="N37" i="9"/>
  <c r="N63" i="9"/>
  <c r="N40" i="9"/>
  <c r="N66" i="9"/>
  <c r="N43" i="9"/>
  <c r="N46" i="9"/>
  <c r="N69" i="9"/>
  <c r="N53" i="9"/>
  <c r="D40" i="9"/>
  <c r="E66" i="9"/>
  <c r="M55" i="9"/>
  <c r="M31" i="9"/>
  <c r="E42" i="9"/>
  <c r="E69" i="9"/>
  <c r="F66" i="9"/>
  <c r="F43" i="9"/>
  <c r="N54" i="9"/>
  <c r="N29" i="9"/>
  <c r="N56" i="9"/>
  <c r="N32" i="9"/>
  <c r="N59" i="9"/>
  <c r="N35" i="9"/>
  <c r="N38" i="9"/>
  <c r="N61" i="9"/>
  <c r="N64" i="9"/>
  <c r="N41" i="9"/>
  <c r="N44" i="9"/>
  <c r="N67" i="9"/>
  <c r="M54" i="9"/>
  <c r="M29" i="9"/>
  <c r="AC63" i="9" s="1" a="1"/>
  <c r="AC63" i="9" s="1"/>
  <c r="M56" i="9"/>
  <c r="M32" i="9"/>
  <c r="M59" i="9"/>
  <c r="M35" i="9"/>
  <c r="M38" i="9"/>
  <c r="M61" i="9"/>
  <c r="M64" i="9"/>
  <c r="M41" i="9"/>
  <c r="M44" i="9"/>
  <c r="M67" i="9"/>
  <c r="BD21" i="8"/>
  <c r="BF22" i="8"/>
  <c r="BE23" i="8"/>
  <c r="BE21" i="8"/>
  <c r="BC21" i="8"/>
  <c r="BF23" i="8"/>
  <c r="BD22" i="8"/>
  <c r="BB21" i="8"/>
  <c r="BF21" i="8"/>
  <c r="BE22" i="8"/>
  <c r="E57" i="9" l="1"/>
  <c r="E64" i="9"/>
  <c r="F45" i="9"/>
  <c r="E29" i="9"/>
  <c r="D59" i="9"/>
  <c r="D65" i="9"/>
  <c r="F34" i="9"/>
  <c r="L54" i="9"/>
  <c r="L29" i="9"/>
  <c r="I43" i="9"/>
  <c r="I66" i="9"/>
  <c r="I64" i="9"/>
  <c r="I41" i="9"/>
  <c r="G58" i="9"/>
  <c r="G34" i="9"/>
  <c r="G56" i="9"/>
  <c r="G32" i="9"/>
  <c r="G28" i="9"/>
  <c r="G53" i="9"/>
  <c r="G68" i="9"/>
  <c r="G45" i="9"/>
  <c r="K37" i="9"/>
  <c r="K60" i="9"/>
  <c r="I53" i="9"/>
  <c r="I28" i="9"/>
  <c r="K68" i="9"/>
  <c r="K45" i="9"/>
  <c r="H43" i="9"/>
  <c r="H66" i="9"/>
  <c r="K41" i="9"/>
  <c r="K64" i="9"/>
  <c r="H38" i="9"/>
  <c r="H61" i="9"/>
  <c r="F59" i="9"/>
  <c r="H32" i="9"/>
  <c r="H56" i="9"/>
  <c r="H45" i="9"/>
  <c r="H68" i="9"/>
  <c r="K43" i="9"/>
  <c r="K66" i="9"/>
  <c r="H64" i="9"/>
  <c r="H41" i="9"/>
  <c r="J44" i="9"/>
  <c r="J67" i="9"/>
  <c r="K61" i="9"/>
  <c r="K38" i="9"/>
  <c r="AD63" i="9" a="1"/>
  <c r="AD63" i="9" s="1"/>
  <c r="I63" i="9"/>
  <c r="I40" i="9"/>
  <c r="L34" i="9"/>
  <c r="L58" i="9"/>
  <c r="I45" i="9"/>
  <c r="I68" i="9"/>
  <c r="J39" i="9"/>
  <c r="J62" i="9"/>
  <c r="K34" i="9"/>
  <c r="K58" i="9"/>
  <c r="K28" i="9"/>
  <c r="K53" i="9"/>
  <c r="G66" i="9"/>
  <c r="G43" i="9"/>
  <c r="I58" i="9"/>
  <c r="I34" i="9"/>
  <c r="I54" i="9"/>
  <c r="I29" i="9"/>
  <c r="L68" i="9"/>
  <c r="L45" i="9"/>
  <c r="L66" i="9"/>
  <c r="L43" i="9"/>
  <c r="L41" i="9"/>
  <c r="L64" i="9"/>
  <c r="G62" i="9"/>
  <c r="G39" i="9"/>
  <c r="E34" i="9"/>
  <c r="D69" i="9"/>
  <c r="AD64" i="9" a="1"/>
  <c r="AD64" i="9" s="1"/>
  <c r="K62" i="9"/>
  <c r="K39" i="9"/>
  <c r="H58" i="9"/>
  <c r="H34" i="9"/>
  <c r="K56" i="9"/>
  <c r="K32" i="9"/>
  <c r="H28" i="9"/>
  <c r="H53" i="9"/>
  <c r="J66" i="9"/>
  <c r="J43" i="9"/>
  <c r="K35" i="9"/>
  <c r="K59" i="9"/>
  <c r="J57" i="9"/>
  <c r="J33" i="9"/>
  <c r="G55" i="9"/>
  <c r="G31" i="9"/>
  <c r="J29" i="9"/>
  <c r="J54" i="9"/>
  <c r="J64" i="9"/>
  <c r="J41" i="9"/>
  <c r="L56" i="9"/>
  <c r="L32" i="9"/>
  <c r="I60" i="9"/>
  <c r="I37" i="9"/>
  <c r="J59" i="9"/>
  <c r="J35" i="9"/>
  <c r="G67" i="9"/>
  <c r="G44" i="9"/>
  <c r="J38" i="9"/>
  <c r="J61" i="9"/>
  <c r="I33" i="9"/>
  <c r="I57" i="9"/>
  <c r="AC64" i="9" a="1"/>
  <c r="AC64" i="9" s="1"/>
  <c r="H39" i="9"/>
  <c r="H62" i="9"/>
  <c r="I39" i="9"/>
  <c r="I62" i="9"/>
  <c r="I31" i="9"/>
  <c r="I55" i="9"/>
  <c r="L46" i="9"/>
  <c r="L69" i="9"/>
  <c r="I44" i="9"/>
  <c r="I67" i="9"/>
  <c r="I65" i="9"/>
  <c r="I42" i="9"/>
  <c r="K40" i="9"/>
  <c r="K63" i="9"/>
  <c r="H59" i="9"/>
  <c r="H35" i="9"/>
  <c r="G57" i="9"/>
  <c r="G33" i="9"/>
  <c r="J55" i="9"/>
  <c r="J31" i="9"/>
  <c r="G54" i="9"/>
  <c r="G29" i="9"/>
  <c r="G64" i="9"/>
  <c r="G41" i="9"/>
  <c r="I32" i="9"/>
  <c r="I56" i="9"/>
  <c r="K46" i="9"/>
  <c r="K69" i="9"/>
  <c r="H44" i="9"/>
  <c r="H67" i="9"/>
  <c r="H65" i="9"/>
  <c r="H42" i="9"/>
  <c r="J63" i="9"/>
  <c r="J40" i="9"/>
  <c r="L60" i="9"/>
  <c r="L37" i="9"/>
  <c r="G59" i="9"/>
  <c r="G35" i="9"/>
  <c r="G61" i="9"/>
  <c r="G38" i="9"/>
  <c r="L57" i="9"/>
  <c r="L33" i="9"/>
  <c r="G60" i="9"/>
  <c r="G37" i="9"/>
  <c r="L35" i="9"/>
  <c r="L59" i="9"/>
  <c r="K33" i="9"/>
  <c r="K57" i="9"/>
  <c r="H31" i="9"/>
  <c r="H55" i="9"/>
  <c r="K29" i="9"/>
  <c r="K54" i="9"/>
  <c r="L61" i="9"/>
  <c r="L38" i="9"/>
  <c r="L62" i="9"/>
  <c r="L39" i="9"/>
  <c r="L55" i="9"/>
  <c r="L31" i="9"/>
  <c r="I46" i="9"/>
  <c r="I69" i="9"/>
  <c r="L67" i="9"/>
  <c r="L44" i="9"/>
  <c r="L42" i="9"/>
  <c r="L65" i="9"/>
  <c r="H40" i="9"/>
  <c r="H63" i="9"/>
  <c r="H46" i="9"/>
  <c r="H69" i="9"/>
  <c r="K67" i="9"/>
  <c r="K44" i="9"/>
  <c r="K42" i="9"/>
  <c r="K65" i="9"/>
  <c r="G63" i="9"/>
  <c r="G40" i="9"/>
  <c r="J69" i="9"/>
  <c r="J46" i="9"/>
  <c r="J65" i="9"/>
  <c r="J42" i="9"/>
  <c r="J60" i="9"/>
  <c r="J37" i="9"/>
  <c r="E31" i="9"/>
  <c r="L63" i="9"/>
  <c r="L40" i="9"/>
  <c r="I59" i="9"/>
  <c r="I35" i="9"/>
  <c r="H33" i="9"/>
  <c r="H57" i="9"/>
  <c r="K55" i="9"/>
  <c r="K31" i="9"/>
  <c r="H54" i="9"/>
  <c r="H29" i="9"/>
  <c r="I38" i="9"/>
  <c r="I61" i="9"/>
  <c r="J58" i="9"/>
  <c r="J34" i="9"/>
  <c r="J56" i="9"/>
  <c r="J32" i="9"/>
  <c r="J53" i="9"/>
  <c r="J28" i="9"/>
  <c r="J45" i="9"/>
  <c r="J68" i="9"/>
  <c r="H37" i="9"/>
  <c r="H60" i="9"/>
  <c r="L28" i="9"/>
  <c r="L53" i="9"/>
  <c r="G69" i="9"/>
  <c r="G46" i="9"/>
  <c r="G42" i="9"/>
  <c r="G65" i="9"/>
  <c r="F41" i="9"/>
  <c r="E68" i="9"/>
  <c r="F54" i="9"/>
  <c r="D67" i="9"/>
  <c r="F31" i="9"/>
  <c r="D41" i="9"/>
  <c r="D54" i="9"/>
  <c r="F32" i="9"/>
  <c r="D61" i="9"/>
  <c r="F57" i="9"/>
  <c r="D57" i="9"/>
  <c r="E59" i="9"/>
  <c r="F42" i="9"/>
  <c r="E44" i="9"/>
  <c r="E61" i="9"/>
  <c r="U64" i="9" s="1" a="1"/>
  <c r="U64" i="9" s="1"/>
  <c r="F67" i="9"/>
  <c r="F39" i="9"/>
  <c r="E39" i="9"/>
  <c r="E32" i="9"/>
  <c r="E28" i="9"/>
  <c r="D62" i="9"/>
  <c r="D55" i="9"/>
  <c r="F37" i="9"/>
  <c r="D37" i="9"/>
  <c r="D34" i="9"/>
  <c r="F40" i="9"/>
  <c r="D32" i="9"/>
  <c r="E37" i="9"/>
  <c r="F28" i="9"/>
  <c r="D30" i="9"/>
  <c r="D45" i="9"/>
  <c r="D43" i="9"/>
  <c r="S156" i="6" a="1"/>
  <c r="S156" i="6" s="1"/>
  <c r="AX20" i="6"/>
  <c r="BC32" i="6" a="1"/>
  <c r="BC32" i="6" s="1"/>
  <c r="F85" i="6"/>
  <c r="U129" i="6"/>
  <c r="U130" i="6"/>
  <c r="U131" i="6"/>
  <c r="U132" i="6"/>
  <c r="U133" i="6"/>
  <c r="U128" i="6"/>
  <c r="G85" i="6"/>
  <c r="U63" i="9" l="1" a="1"/>
  <c r="U63" i="9" s="1"/>
  <c r="V64" i="9" a="1"/>
  <c r="V64" i="9" s="1"/>
  <c r="T64" i="9" a="1"/>
  <c r="T64" i="9" s="1"/>
  <c r="Y63" i="9" a="1"/>
  <c r="Y63" i="9" s="1"/>
  <c r="W64" i="9" a="1"/>
  <c r="W64" i="9" s="1"/>
  <c r="AB64" i="9" a="1"/>
  <c r="AB64" i="9" s="1"/>
  <c r="Y64" i="9" a="1"/>
  <c r="Y64" i="9" s="1"/>
  <c r="X63" i="9" a="1"/>
  <c r="X63" i="9" s="1"/>
  <c r="W63" i="9" a="1"/>
  <c r="W63" i="9" s="1"/>
  <c r="T63" i="9" a="1"/>
  <c r="T63" i="9" s="1"/>
  <c r="AB63" i="9" a="1"/>
  <c r="AB63" i="9" s="1"/>
  <c r="V63" i="9" a="1"/>
  <c r="V63" i="9" s="1"/>
  <c r="Z63" i="9" a="1"/>
  <c r="Z63" i="9" s="1"/>
  <c r="Z64" i="9" a="1"/>
  <c r="Z64" i="9" s="1"/>
  <c r="AA63" i="9" a="1"/>
  <c r="AA63" i="9" s="1"/>
  <c r="X64" i="9" a="1"/>
  <c r="X64" i="9" s="1"/>
  <c r="AO3" i="6"/>
  <c r="AO4" i="6"/>
  <c r="AO5" i="6"/>
  <c r="AW20" i="6"/>
  <c r="BJ5" i="6"/>
  <c r="BI5" i="6"/>
  <c r="BD5" i="6"/>
  <c r="BC5" i="6"/>
  <c r="BB24" i="6"/>
  <c r="I10" i="6"/>
  <c r="Y23" i="6" s="1"/>
  <c r="J20" i="6"/>
  <c r="I20" i="6"/>
  <c r="H20" i="6"/>
  <c r="E20" i="6"/>
  <c r="D20" i="6"/>
  <c r="C20" i="6"/>
  <c r="F12" i="6"/>
  <c r="AP25" i="6" s="1"/>
  <c r="W23" i="6" l="1"/>
  <c r="AO25" i="6"/>
  <c r="B90" i="6"/>
  <c r="E88" i="6"/>
  <c r="E78" i="6"/>
  <c r="X23" i="6"/>
  <c r="AQ25" i="6"/>
  <c r="B80" i="6"/>
  <c r="C24" i="6"/>
  <c r="K11" i="6"/>
  <c r="H10" i="6"/>
  <c r="K10" i="6"/>
  <c r="F10" i="6"/>
  <c r="G10" i="6"/>
  <c r="J10" i="6"/>
  <c r="F88" i="6" s="1"/>
  <c r="T131" i="6" s="1"/>
  <c r="BY20" i="6"/>
  <c r="BP20" i="6"/>
  <c r="AP133" i="6" l="1"/>
  <c r="AO133" i="6"/>
  <c r="F78" i="6"/>
  <c r="AO80" i="6"/>
  <c r="AP80" i="6"/>
  <c r="C78" i="6"/>
  <c r="C88" i="6"/>
  <c r="Y78" i="6"/>
  <c r="X78" i="6"/>
  <c r="W78" i="6"/>
  <c r="D88" i="6"/>
  <c r="D78" i="6"/>
  <c r="M24" i="6"/>
  <c r="G79" i="6"/>
  <c r="G89" i="6"/>
  <c r="B88" i="6"/>
  <c r="B78" i="6"/>
  <c r="M23" i="6"/>
  <c r="G88" i="6"/>
  <c r="G78" i="6"/>
  <c r="X131" i="6"/>
  <c r="Y131" i="6"/>
  <c r="W131" i="6"/>
  <c r="T23" i="6"/>
  <c r="S23" i="6"/>
  <c r="R23" i="6"/>
  <c r="AK23" i="6"/>
  <c r="AJ23" i="6"/>
  <c r="AI23" i="6"/>
  <c r="AQ23" i="6"/>
  <c r="AP46" i="6" s="1" a="1"/>
  <c r="AP46" i="6" s="1"/>
  <c r="AP23" i="6"/>
  <c r="AP45" i="6" s="1" a="1"/>
  <c r="AP45" i="6" s="1"/>
  <c r="AO23" i="6"/>
  <c r="AE23" i="6"/>
  <c r="AD23" i="6"/>
  <c r="AC23" i="6"/>
  <c r="BF25" i="6"/>
  <c r="BF23" i="6"/>
  <c r="BF20" i="6"/>
  <c r="BB25" i="6"/>
  <c r="BB20" i="6"/>
  <c r="AW25" i="6"/>
  <c r="AW23" i="6"/>
  <c r="AU23" i="6"/>
  <c r="BD23" i="6" s="1"/>
  <c r="BW23" i="6" s="1"/>
  <c r="AU24" i="6"/>
  <c r="BD24" i="6" s="1"/>
  <c r="BW24" i="6" s="1"/>
  <c r="AU25" i="6"/>
  <c r="BD25" i="6" s="1"/>
  <c r="BW25" i="6" s="1"/>
  <c r="AU21" i="6"/>
  <c r="BD21" i="6" s="1"/>
  <c r="BW21" i="6" s="1"/>
  <c r="AU22" i="6"/>
  <c r="BD22" i="6" s="1"/>
  <c r="BW22" i="6" s="1"/>
  <c r="AU20" i="6"/>
  <c r="BD20" i="6" s="1"/>
  <c r="BW20" i="6" s="1"/>
  <c r="BN21" i="6"/>
  <c r="BN22" i="6"/>
  <c r="BN23" i="6"/>
  <c r="BN24" i="6"/>
  <c r="BN25" i="6"/>
  <c r="BN20" i="6"/>
  <c r="J24" i="6"/>
  <c r="H24" i="6"/>
  <c r="H25" i="6"/>
  <c r="H23" i="6"/>
  <c r="H21" i="6"/>
  <c r="H22" i="6"/>
  <c r="F11" i="6"/>
  <c r="G11" i="6"/>
  <c r="G12" i="6"/>
  <c r="H11" i="6"/>
  <c r="H12" i="6"/>
  <c r="I11" i="6"/>
  <c r="I12" i="6"/>
  <c r="J11" i="6"/>
  <c r="J12" i="6"/>
  <c r="N24" i="6"/>
  <c r="K12" i="6"/>
  <c r="F13" i="6"/>
  <c r="BY23" i="6"/>
  <c r="BZ23" i="6"/>
  <c r="CA23" i="6"/>
  <c r="CB23" i="6"/>
  <c r="CC23" i="6"/>
  <c r="CD23" i="6"/>
  <c r="BY24" i="6"/>
  <c r="BZ24" i="6"/>
  <c r="CA24" i="6"/>
  <c r="CB24" i="6"/>
  <c r="CC24" i="6"/>
  <c r="CD24" i="6"/>
  <c r="BY25" i="6"/>
  <c r="BZ25" i="6"/>
  <c r="CA25" i="6"/>
  <c r="CB25" i="6"/>
  <c r="CC25" i="6"/>
  <c r="CD25" i="6"/>
  <c r="BU23" i="6"/>
  <c r="BU24" i="6"/>
  <c r="BU25" i="6"/>
  <c r="BT23" i="6"/>
  <c r="BT24" i="6"/>
  <c r="BT25" i="6"/>
  <c r="BS23" i="6"/>
  <c r="BS24" i="6"/>
  <c r="BS25" i="6"/>
  <c r="BR23" i="6"/>
  <c r="BR24" i="6"/>
  <c r="BR25" i="6"/>
  <c r="BQ23" i="6"/>
  <c r="BQ24" i="6"/>
  <c r="BQ25" i="6"/>
  <c r="BP23" i="6"/>
  <c r="BP24" i="6"/>
  <c r="BP25" i="6"/>
  <c r="BK23" i="6"/>
  <c r="BK24" i="6"/>
  <c r="BK25" i="6"/>
  <c r="BJ23" i="6"/>
  <c r="BJ24" i="6"/>
  <c r="BJ25" i="6"/>
  <c r="BI23" i="6"/>
  <c r="BI24" i="6"/>
  <c r="BI25" i="6"/>
  <c r="BH23" i="6"/>
  <c r="BH24" i="6"/>
  <c r="BH25" i="6"/>
  <c r="BG23" i="6"/>
  <c r="BG24" i="6"/>
  <c r="BG25" i="6"/>
  <c r="BF24" i="6"/>
  <c r="BB23" i="6"/>
  <c r="BA23" i="6"/>
  <c r="BA24" i="6"/>
  <c r="BA25" i="6"/>
  <c r="AZ23" i="6"/>
  <c r="AZ24" i="6"/>
  <c r="AZ25" i="6"/>
  <c r="AY23" i="6"/>
  <c r="AY24" i="6"/>
  <c r="AY25" i="6"/>
  <c r="AX23" i="6"/>
  <c r="AX24" i="6"/>
  <c r="AX25" i="6"/>
  <c r="AX22" i="6"/>
  <c r="AW24" i="6"/>
  <c r="J23" i="6"/>
  <c r="J25" i="6"/>
  <c r="I23" i="6"/>
  <c r="I24" i="6"/>
  <c r="I25" i="6"/>
  <c r="E23" i="6"/>
  <c r="E24" i="6"/>
  <c r="E25" i="6"/>
  <c r="D23" i="6"/>
  <c r="C45" i="6" s="1" a="1"/>
  <c r="C45" i="6" s="1"/>
  <c r="D24" i="6"/>
  <c r="D25" i="6"/>
  <c r="C23" i="6"/>
  <c r="C25" i="6"/>
  <c r="C22" i="6"/>
  <c r="D22" i="6"/>
  <c r="E22" i="6"/>
  <c r="I22" i="6"/>
  <c r="J22" i="6"/>
  <c r="AW22" i="6"/>
  <c r="AY22" i="6"/>
  <c r="AZ22" i="6"/>
  <c r="BA22" i="6"/>
  <c r="BB22" i="6"/>
  <c r="BF22" i="6"/>
  <c r="BG22" i="6"/>
  <c r="BH22" i="6"/>
  <c r="BI22" i="6"/>
  <c r="BJ22" i="6"/>
  <c r="BK22" i="6"/>
  <c r="BP22" i="6"/>
  <c r="BQ22" i="6"/>
  <c r="BR22" i="6"/>
  <c r="BS22" i="6"/>
  <c r="BT22" i="6"/>
  <c r="BU22" i="6"/>
  <c r="BY22" i="6"/>
  <c r="BZ22" i="6"/>
  <c r="CA22" i="6"/>
  <c r="CB22" i="6"/>
  <c r="CC22" i="6"/>
  <c r="CD22" i="6"/>
  <c r="K9" i="6"/>
  <c r="K13" i="6"/>
  <c r="K14" i="6"/>
  <c r="K15" i="6"/>
  <c r="K16" i="6"/>
  <c r="J9" i="6"/>
  <c r="J13" i="6"/>
  <c r="J14" i="6"/>
  <c r="J15" i="6"/>
  <c r="J16" i="6"/>
  <c r="I9" i="6"/>
  <c r="I13" i="6"/>
  <c r="I14" i="6"/>
  <c r="I15" i="6"/>
  <c r="I16" i="6"/>
  <c r="H9" i="6"/>
  <c r="H13" i="6"/>
  <c r="H14" i="6"/>
  <c r="H15" i="6"/>
  <c r="H16" i="6"/>
  <c r="G9" i="6"/>
  <c r="G13" i="6"/>
  <c r="G14" i="6"/>
  <c r="G15" i="6"/>
  <c r="G16" i="6"/>
  <c r="F14" i="6"/>
  <c r="F15" i="6"/>
  <c r="F16" i="6"/>
  <c r="F9" i="6"/>
  <c r="F3" i="6"/>
  <c r="CD20" i="6"/>
  <c r="CD21" i="6"/>
  <c r="CC20" i="6"/>
  <c r="CC21" i="6"/>
  <c r="CB20" i="6"/>
  <c r="CB21" i="6"/>
  <c r="CA20" i="6"/>
  <c r="CA21" i="6"/>
  <c r="BZ20" i="6"/>
  <c r="BZ21" i="6"/>
  <c r="BY21" i="6"/>
  <c r="BU20" i="6"/>
  <c r="BU21" i="6"/>
  <c r="BT20" i="6"/>
  <c r="BT21" i="6"/>
  <c r="BS20" i="6"/>
  <c r="BS21" i="6"/>
  <c r="BR20" i="6"/>
  <c r="BR21" i="6"/>
  <c r="BQ20" i="6"/>
  <c r="BQ21" i="6"/>
  <c r="BP21" i="6"/>
  <c r="BK21" i="6"/>
  <c r="BK20" i="6"/>
  <c r="BJ20" i="6"/>
  <c r="BJ21" i="6"/>
  <c r="BI20" i="6"/>
  <c r="BI21" i="6"/>
  <c r="BH20" i="6"/>
  <c r="BH21" i="6"/>
  <c r="BG20" i="6"/>
  <c r="BG21" i="6"/>
  <c r="BF21" i="6"/>
  <c r="BB21" i="6"/>
  <c r="BA20" i="6"/>
  <c r="BA21" i="6"/>
  <c r="AZ20" i="6"/>
  <c r="AZ21" i="6"/>
  <c r="AY20" i="6"/>
  <c r="AY21" i="6"/>
  <c r="AX21" i="6"/>
  <c r="AW21" i="6"/>
  <c r="E90" i="6" l="1"/>
  <c r="W133" i="6" s="1"/>
  <c r="E80" i="6"/>
  <c r="G90" i="6"/>
  <c r="G80" i="6"/>
  <c r="E89" i="6"/>
  <c r="E79" i="6"/>
  <c r="O131" i="6"/>
  <c r="N131" i="6"/>
  <c r="M131" i="6"/>
  <c r="D80" i="6"/>
  <c r="D90" i="6"/>
  <c r="B89" i="6"/>
  <c r="B79" i="6"/>
  <c r="N78" i="6"/>
  <c r="O78" i="6"/>
  <c r="N98" i="6" s="1" a="1"/>
  <c r="N98" i="6" s="1"/>
  <c r="M78" i="6"/>
  <c r="N79" i="6"/>
  <c r="M79" i="6"/>
  <c r="O79" i="6"/>
  <c r="T24" i="6"/>
  <c r="F79" i="6"/>
  <c r="F89" i="6"/>
  <c r="AK25" i="6"/>
  <c r="C80" i="6"/>
  <c r="C90" i="6"/>
  <c r="W25" i="6"/>
  <c r="AP78" i="6"/>
  <c r="AO78" i="6"/>
  <c r="AI131" i="6"/>
  <c r="AJ131" i="6"/>
  <c r="R25" i="6"/>
  <c r="F90" i="6"/>
  <c r="F80" i="6"/>
  <c r="AO131" i="6"/>
  <c r="AP131" i="6"/>
  <c r="AC78" i="6"/>
  <c r="AD78" i="6"/>
  <c r="AE78" i="6"/>
  <c r="S155" i="6" a="1"/>
  <c r="S155" i="6" s="1"/>
  <c r="S131" i="6"/>
  <c r="R131" i="6"/>
  <c r="AJ24" i="6"/>
  <c r="C89" i="6"/>
  <c r="C79" i="6"/>
  <c r="AI78" i="6"/>
  <c r="AJ78" i="6"/>
  <c r="AC24" i="6"/>
  <c r="D89" i="6"/>
  <c r="D79" i="6"/>
  <c r="BC36" i="6" a="1"/>
  <c r="BC36" i="6" s="1"/>
  <c r="M132" i="6"/>
  <c r="O132" i="6"/>
  <c r="N132" i="6"/>
  <c r="AE131" i="6"/>
  <c r="AC131" i="6"/>
  <c r="AD131" i="6"/>
  <c r="T78" i="6"/>
  <c r="S78" i="6"/>
  <c r="R78" i="6"/>
  <c r="AD25" i="6"/>
  <c r="AE25" i="6"/>
  <c r="AC25" i="6"/>
  <c r="O25" i="6"/>
  <c r="M25" i="6"/>
  <c r="X24" i="6"/>
  <c r="W24" i="6"/>
  <c r="AP24" i="6"/>
  <c r="AO24" i="6"/>
  <c r="AQ24" i="6"/>
  <c r="BC34" i="6" a="1"/>
  <c r="BC34" i="6" s="1"/>
  <c r="BD31" i="6" a="1"/>
  <c r="BD31" i="6" s="1"/>
  <c r="BD33" i="6" a="1"/>
  <c r="BD33" i="6" s="1"/>
  <c r="BC33" i="6" a="1"/>
  <c r="BC33" i="6" s="1"/>
  <c r="BV35" i="6" a="1"/>
  <c r="BV35" i="6" s="1"/>
  <c r="BD36" i="6" a="1"/>
  <c r="BD36" i="6" s="1"/>
  <c r="BV33" i="6" a="1"/>
  <c r="BV33" i="6" s="1"/>
  <c r="BD34" i="6" a="1"/>
  <c r="BD34" i="6" s="1"/>
  <c r="BV36" i="6" a="1"/>
  <c r="BV36" i="6" s="1"/>
  <c r="BV31" i="6" a="1"/>
  <c r="BV31" i="6" s="1"/>
  <c r="BV34" i="6" a="1"/>
  <c r="BV34" i="6" s="1"/>
  <c r="BC31" i="6" a="1"/>
  <c r="BC31" i="6" s="1"/>
  <c r="BD35" i="6" a="1"/>
  <c r="BD35" i="6" s="1"/>
  <c r="BD32" i="6" a="1"/>
  <c r="BD32" i="6" s="1"/>
  <c r="BC35" i="6" a="1"/>
  <c r="BC35" i="6" s="1"/>
  <c r="BV32" i="6" a="1"/>
  <c r="BV32" i="6" s="1"/>
  <c r="AJ25" i="6"/>
  <c r="AI25" i="6"/>
  <c r="AK24" i="6"/>
  <c r="AR3" i="6"/>
  <c r="AI24" i="6"/>
  <c r="Y25" i="6"/>
  <c r="X25" i="6"/>
  <c r="Y24" i="6"/>
  <c r="S24" i="6"/>
  <c r="O24" i="6"/>
  <c r="N25" i="6"/>
  <c r="S25" i="6"/>
  <c r="T25" i="6"/>
  <c r="O23" i="6"/>
  <c r="R24" i="6"/>
  <c r="AE24" i="6"/>
  <c r="AD24" i="6"/>
  <c r="N23" i="6"/>
  <c r="BW32" i="6" a="1"/>
  <c r="BW32" i="6" s="1"/>
  <c r="BW33" i="6" a="1"/>
  <c r="BW33" i="6" s="1"/>
  <c r="BW36" i="6" a="1"/>
  <c r="BW36" i="6" s="1"/>
  <c r="BW31" i="6" a="1"/>
  <c r="BW31" i="6" s="1"/>
  <c r="BW35" i="6" a="1"/>
  <c r="BW35" i="6" s="1"/>
  <c r="BW34" i="6" a="1"/>
  <c r="BW34" i="6" s="1"/>
  <c r="G4" i="6"/>
  <c r="H4" i="6"/>
  <c r="I4" i="6"/>
  <c r="J4" i="6"/>
  <c r="K4" i="6"/>
  <c r="G5" i="6"/>
  <c r="H5" i="6"/>
  <c r="I5" i="6"/>
  <c r="J5" i="6"/>
  <c r="K5" i="6"/>
  <c r="G6" i="6"/>
  <c r="H6" i="6"/>
  <c r="I6" i="6"/>
  <c r="J6" i="6"/>
  <c r="K6" i="6"/>
  <c r="K3" i="6"/>
  <c r="J3" i="6"/>
  <c r="G3" i="6"/>
  <c r="H3" i="6"/>
  <c r="I3" i="6"/>
  <c r="F4" i="6"/>
  <c r="F5" i="6"/>
  <c r="F6" i="6"/>
  <c r="I21" i="6"/>
  <c r="J21" i="6"/>
  <c r="C21" i="6"/>
  <c r="C44" i="6" s="1" a="1"/>
  <c r="C44" i="6" s="1"/>
  <c r="E21" i="6"/>
  <c r="AO22" i="6" l="1"/>
  <c r="B77" i="6"/>
  <c r="B87" i="6"/>
  <c r="AC22" i="6"/>
  <c r="D77" i="6"/>
  <c r="D87" i="6"/>
  <c r="G75" i="6"/>
  <c r="AI79" i="6"/>
  <c r="AJ79" i="6"/>
  <c r="B86" i="6"/>
  <c r="B76" i="6"/>
  <c r="R21" i="6"/>
  <c r="F86" i="6"/>
  <c r="F76" i="6"/>
  <c r="E85" i="6"/>
  <c r="E75" i="6"/>
  <c r="AD132" i="6"/>
  <c r="AE132" i="6"/>
  <c r="AC132" i="6"/>
  <c r="T80" i="6"/>
  <c r="R80" i="6"/>
  <c r="S80" i="6"/>
  <c r="Y133" i="6"/>
  <c r="X133" i="6"/>
  <c r="S79" i="6"/>
  <c r="T79" i="6"/>
  <c r="R79" i="6"/>
  <c r="X79" i="6"/>
  <c r="W79" i="6"/>
  <c r="Y79" i="6"/>
  <c r="C87" i="6"/>
  <c r="C77" i="6"/>
  <c r="R20" i="6"/>
  <c r="F75" i="6"/>
  <c r="R132" i="6"/>
  <c r="S132" i="6"/>
  <c r="T132" i="6"/>
  <c r="AO20" i="6"/>
  <c r="B85" i="6"/>
  <c r="B75" i="6"/>
  <c r="M22" i="6"/>
  <c r="G87" i="6"/>
  <c r="G77" i="6"/>
  <c r="E76" i="6"/>
  <c r="E86" i="6"/>
  <c r="AC20" i="6"/>
  <c r="D85" i="6"/>
  <c r="D75" i="6"/>
  <c r="R133" i="6"/>
  <c r="S133" i="6"/>
  <c r="T133" i="6"/>
  <c r="Y132" i="6"/>
  <c r="W132" i="6"/>
  <c r="X132" i="6"/>
  <c r="Y22" i="6"/>
  <c r="E87" i="6"/>
  <c r="E77" i="6"/>
  <c r="C86" i="6"/>
  <c r="C76" i="6"/>
  <c r="AP132" i="6"/>
  <c r="AO132" i="6"/>
  <c r="G86" i="6"/>
  <c r="G76" i="6"/>
  <c r="AC79" i="6"/>
  <c r="AE79" i="6"/>
  <c r="AD79" i="6"/>
  <c r="AJ132" i="6"/>
  <c r="AI132" i="6"/>
  <c r="Y80" i="6"/>
  <c r="X80" i="6"/>
  <c r="W80" i="6"/>
  <c r="F87" i="6"/>
  <c r="F77" i="6"/>
  <c r="AC21" i="6"/>
  <c r="D76" i="6"/>
  <c r="D86" i="6"/>
  <c r="C75" i="6"/>
  <c r="C85" i="6"/>
  <c r="AJ133" i="6"/>
  <c r="AI133" i="6"/>
  <c r="AD133" i="6"/>
  <c r="AC133" i="6"/>
  <c r="AE133" i="6"/>
  <c r="M80" i="6"/>
  <c r="O80" i="6"/>
  <c r="N80" i="6"/>
  <c r="AJ80" i="6"/>
  <c r="AI80" i="6"/>
  <c r="AO79" i="6"/>
  <c r="AP79" i="6"/>
  <c r="AD80" i="6"/>
  <c r="AE80" i="6"/>
  <c r="AC80" i="6"/>
  <c r="M133" i="6"/>
  <c r="N133" i="6"/>
  <c r="O133" i="6"/>
  <c r="M20" i="6"/>
  <c r="O20" i="6"/>
  <c r="N20" i="6"/>
  <c r="N21" i="6"/>
  <c r="M21" i="6"/>
  <c r="AQ22" i="6"/>
  <c r="AQ21" i="6"/>
  <c r="AO21" i="6"/>
  <c r="AP20" i="6"/>
  <c r="AQ20" i="6"/>
  <c r="I45" i="6" a="1"/>
  <c r="I45" i="6" s="1"/>
  <c r="AR4" i="6" s="1"/>
  <c r="AR7" i="6" s="1"/>
  <c r="AK21" i="6"/>
  <c r="AI21" i="6"/>
  <c r="AI22" i="6"/>
  <c r="AK22" i="6"/>
  <c r="AJ20" i="6"/>
  <c r="AI20" i="6"/>
  <c r="AK20" i="6"/>
  <c r="AQ3" i="6"/>
  <c r="I46" i="6" a="1"/>
  <c r="I46" i="6" s="1"/>
  <c r="AR5" i="6" s="1"/>
  <c r="C46" i="6" a="1"/>
  <c r="C46" i="6" s="1"/>
  <c r="AQ5" i="6" s="1"/>
  <c r="X21" i="6"/>
  <c r="W21" i="6"/>
  <c r="W22" i="6"/>
  <c r="X20" i="6"/>
  <c r="W20" i="6"/>
  <c r="S20" i="6"/>
  <c r="T22" i="6"/>
  <c r="R22" i="6"/>
  <c r="N22" i="6"/>
  <c r="O22" i="6"/>
  <c r="AD22" i="6"/>
  <c r="AE22" i="6"/>
  <c r="AJ22" i="6"/>
  <c r="X22" i="6"/>
  <c r="S22" i="6"/>
  <c r="AP22" i="6"/>
  <c r="AJ21" i="6"/>
  <c r="AP21" i="6"/>
  <c r="AD20" i="6"/>
  <c r="AE20" i="6"/>
  <c r="AE21" i="6"/>
  <c r="AD21" i="6"/>
  <c r="O21" i="6"/>
  <c r="T21" i="6"/>
  <c r="S21" i="6"/>
  <c r="Y21" i="6"/>
  <c r="T20" i="6"/>
  <c r="Y20" i="6"/>
  <c r="D21" i="6"/>
  <c r="X44" i="6" l="1" a="1"/>
  <c r="X44" i="6" s="1"/>
  <c r="AU3" i="6" s="1"/>
  <c r="AJ46" i="6" a="1"/>
  <c r="AJ46" i="6" s="1"/>
  <c r="AW5" i="6" s="1"/>
  <c r="AC44" i="6" a="1"/>
  <c r="AC44" i="6" s="1"/>
  <c r="AV3" i="6" s="1"/>
  <c r="N46" i="6" a="1"/>
  <c r="N46" i="6" s="1"/>
  <c r="AS5" i="6" s="1"/>
  <c r="O128" i="6"/>
  <c r="N128" i="6"/>
  <c r="M128" i="6"/>
  <c r="AJ75" i="6"/>
  <c r="AI75" i="6"/>
  <c r="AP75" i="6"/>
  <c r="AO75" i="6"/>
  <c r="Y128" i="6"/>
  <c r="X128" i="6"/>
  <c r="W128" i="6"/>
  <c r="AP76" i="6"/>
  <c r="AO76" i="6"/>
  <c r="N75" i="6"/>
  <c r="O75" i="6"/>
  <c r="M75" i="6"/>
  <c r="AP130" i="6"/>
  <c r="AO130" i="6"/>
  <c r="AJ129" i="6"/>
  <c r="AI129" i="6"/>
  <c r="AD130" i="6"/>
  <c r="AE130" i="6"/>
  <c r="AC130" i="6"/>
  <c r="Y129" i="6"/>
  <c r="W129" i="6"/>
  <c r="X129" i="6"/>
  <c r="AJ77" i="6"/>
  <c r="AI77" i="6"/>
  <c r="AC77" i="6"/>
  <c r="AD77" i="6"/>
  <c r="AE77" i="6"/>
  <c r="AJ128" i="6"/>
  <c r="AI128" i="6"/>
  <c r="X76" i="6"/>
  <c r="Y76" i="6"/>
  <c r="W76" i="6"/>
  <c r="AJ130" i="6"/>
  <c r="AI130" i="6"/>
  <c r="W75" i="6"/>
  <c r="Y75" i="6"/>
  <c r="X75" i="6"/>
  <c r="AQ4" i="6"/>
  <c r="AQ7" i="6" s="1"/>
  <c r="AE129" i="6"/>
  <c r="AC129" i="6"/>
  <c r="AD129" i="6"/>
  <c r="T77" i="6"/>
  <c r="S77" i="6"/>
  <c r="R77" i="6"/>
  <c r="O76" i="6"/>
  <c r="M76" i="6"/>
  <c r="N76" i="6"/>
  <c r="W77" i="6"/>
  <c r="Y77" i="6"/>
  <c r="X77" i="6"/>
  <c r="AC75" i="6"/>
  <c r="AE75" i="6"/>
  <c r="AD75" i="6"/>
  <c r="AO128" i="6"/>
  <c r="AP128" i="6"/>
  <c r="S75" i="6"/>
  <c r="T75" i="6"/>
  <c r="R75" i="6"/>
  <c r="R76" i="6"/>
  <c r="T76" i="6"/>
  <c r="S76" i="6"/>
  <c r="AO129" i="6"/>
  <c r="AP129" i="6"/>
  <c r="AO77" i="6"/>
  <c r="AP77" i="6"/>
  <c r="O77" i="6"/>
  <c r="N77" i="6"/>
  <c r="M77" i="6"/>
  <c r="M130" i="6"/>
  <c r="O130" i="6"/>
  <c r="N130" i="6"/>
  <c r="AE76" i="6"/>
  <c r="AD76" i="6"/>
  <c r="AC76" i="6"/>
  <c r="R130" i="6"/>
  <c r="T130" i="6"/>
  <c r="S130" i="6"/>
  <c r="O129" i="6"/>
  <c r="N129" i="6"/>
  <c r="M129" i="6"/>
  <c r="AJ76" i="6"/>
  <c r="AI76" i="6"/>
  <c r="Y130" i="6"/>
  <c r="W130" i="6"/>
  <c r="X130" i="6"/>
  <c r="AE128" i="6"/>
  <c r="AC128" i="6"/>
  <c r="AD128" i="6"/>
  <c r="T128" i="6"/>
  <c r="S128" i="6"/>
  <c r="R128" i="6"/>
  <c r="T129" i="6"/>
  <c r="S129" i="6"/>
  <c r="R129" i="6"/>
  <c r="N45" i="6" a="1"/>
  <c r="N45" i="6" s="1"/>
  <c r="AS4" i="6" s="1"/>
  <c r="AC46" i="6" a="1"/>
  <c r="AC46" i="6" s="1"/>
  <c r="AV5" i="6" s="1"/>
  <c r="AX5" i="6"/>
  <c r="AC45" i="6" a="1"/>
  <c r="AC45" i="6" s="1"/>
  <c r="AV4" i="6" s="1"/>
  <c r="R45" i="6" a="1"/>
  <c r="R45" i="6" s="1"/>
  <c r="AT4" i="6" s="1"/>
  <c r="AJ44" i="6" a="1"/>
  <c r="AJ44" i="6" s="1"/>
  <c r="AW3" i="6" s="1"/>
  <c r="AW7" i="6" s="1"/>
  <c r="X45" i="6" a="1"/>
  <c r="X45" i="6" s="1"/>
  <c r="AU4" i="6" s="1"/>
  <c r="AJ45" i="6" a="1"/>
  <c r="AJ45" i="6" s="1"/>
  <c r="AW4" i="6" s="1"/>
  <c r="X46" i="6" a="1"/>
  <c r="X46" i="6" s="1"/>
  <c r="AU5" i="6" s="1"/>
  <c r="R46" i="6" a="1"/>
  <c r="R46" i="6" s="1"/>
  <c r="AT5" i="6" s="1"/>
  <c r="N44" i="6" a="1"/>
  <c r="N44" i="6" s="1"/>
  <c r="AS3" i="6" s="1"/>
  <c r="R44" i="6" a="1"/>
  <c r="R44" i="6" s="1"/>
  <c r="AT3" i="6" s="1"/>
  <c r="AT7" i="6" s="1"/>
  <c r="AX4" i="6"/>
  <c r="AX7" i="6" s="1"/>
  <c r="AP44" i="6" a="1"/>
  <c r="AP44" i="6" s="1"/>
  <c r="AX3" i="6" s="1"/>
  <c r="AS7" i="6" l="1"/>
  <c r="AV7" i="6"/>
  <c r="AU7" i="6"/>
  <c r="N96" i="6" a="1"/>
  <c r="N96" i="6" s="1"/>
  <c r="AY3" i="6" s="1"/>
  <c r="AD153" i="6" a="1"/>
  <c r="AD153" i="6" s="1"/>
  <c r="BH3" i="6" s="1"/>
  <c r="S98" i="6" a="1"/>
  <c r="S98" i="6" s="1"/>
  <c r="AZ5" i="6" s="1"/>
  <c r="BF5" i="6"/>
  <c r="AJ97" i="6" a="1"/>
  <c r="AJ97" i="6" s="1"/>
  <c r="BC4" i="6" s="1"/>
  <c r="AD155" i="6" a="1"/>
  <c r="AD155" i="6" s="1"/>
  <c r="BH5" i="6" s="1"/>
  <c r="S97" i="6" a="1"/>
  <c r="S97" i="6" s="1"/>
  <c r="AZ4" i="6" s="1"/>
  <c r="S154" i="6" a="1"/>
  <c r="S154" i="6" s="1"/>
  <c r="BF4" i="6" s="1"/>
  <c r="AJ154" i="6" a="1"/>
  <c r="AJ154" i="6" s="1"/>
  <c r="BI4" i="6" s="1"/>
  <c r="AP96" i="6" a="1"/>
  <c r="AP96" i="6" s="1"/>
  <c r="BD3" i="6" s="1"/>
  <c r="AP97" i="6" a="1"/>
  <c r="AP97" i="6" s="1"/>
  <c r="BD4" i="6" s="1"/>
  <c r="X96" i="6" a="1"/>
  <c r="X96" i="6" s="1"/>
  <c r="BA3" i="6" s="1"/>
  <c r="AP154" i="6" a="1"/>
  <c r="AP154" i="6" s="1"/>
  <c r="BJ4" i="6" s="1"/>
  <c r="AD98" i="6" a="1"/>
  <c r="AD98" i="6" s="1"/>
  <c r="BB5" i="6" s="1"/>
  <c r="AJ153" i="6" a="1"/>
  <c r="AJ153" i="6" s="1"/>
  <c r="BI3" i="6" s="1"/>
  <c r="X154" i="6" a="1"/>
  <c r="X154" i="6" s="1"/>
  <c r="BG4" i="6" s="1"/>
  <c r="N154" i="6" a="1"/>
  <c r="N154" i="6" s="1"/>
  <c r="BE4" i="6" s="1"/>
  <c r="N153" i="6" a="1"/>
  <c r="N153" i="6" s="1"/>
  <c r="BE3" i="6" s="1"/>
  <c r="AD96" i="6" a="1"/>
  <c r="AD96" i="6" s="1"/>
  <c r="BB3" i="6" s="1"/>
  <c r="AY5" i="6"/>
  <c r="X155" i="6" a="1"/>
  <c r="X155" i="6" s="1"/>
  <c r="BG5" i="6" s="1"/>
  <c r="N155" i="6" a="1"/>
  <c r="N155" i="6" s="1"/>
  <c r="BE5" i="6" s="1"/>
  <c r="X153" i="6" a="1"/>
  <c r="X153" i="6" s="1"/>
  <c r="BG3" i="6" s="1"/>
  <c r="AD154" i="6" a="1"/>
  <c r="AD154" i="6" s="1"/>
  <c r="BH4" i="6" s="1"/>
  <c r="N97" i="6" a="1"/>
  <c r="N97" i="6" s="1"/>
  <c r="AY4" i="6" s="1"/>
  <c r="AD97" i="6" a="1"/>
  <c r="AD97" i="6" s="1"/>
  <c r="BB4" i="6" s="1"/>
  <c r="S153" i="6" a="1"/>
  <c r="S153" i="6" s="1"/>
  <c r="BF3" i="6" s="1"/>
  <c r="AP153" i="6" a="1"/>
  <c r="AP153" i="6" s="1"/>
  <c r="BJ3" i="6" s="1"/>
  <c r="S96" i="6" a="1"/>
  <c r="S96" i="6" s="1"/>
  <c r="AZ3" i="6" s="1"/>
  <c r="X97" i="6" a="1"/>
  <c r="X97" i="6" s="1"/>
  <c r="BA4" i="6" s="1"/>
  <c r="X98" i="6" a="1"/>
  <c r="X98" i="6" s="1"/>
  <c r="BA5" i="6" s="1"/>
  <c r="AJ96" i="6" a="1"/>
  <c r="AJ96" i="6" s="1"/>
  <c r="BC3" i="6" s="1"/>
  <c r="BB7" i="6" l="1"/>
  <c r="AZ7" i="6"/>
  <c r="BG7" i="6"/>
  <c r="BA7" i="6"/>
  <c r="BF7" i="6"/>
  <c r="BD7" i="6"/>
  <c r="BC7" i="6"/>
  <c r="AY7" i="6"/>
  <c r="BH7" i="6"/>
  <c r="BE7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<sst xmlns="http://schemas.openxmlformats.org/spreadsheetml/2006/main" count="1196" uniqueCount="174">
  <si>
    <t>Particle #</t>
  </si>
  <si>
    <t>max_amp</t>
  </si>
  <si>
    <t>mean_amp</t>
  </si>
  <si>
    <t>median_amp</t>
  </si>
  <si>
    <t>ch6_imp</t>
  </si>
  <si>
    <t>ch5_imp</t>
  </si>
  <si>
    <t>ch4_imp</t>
  </si>
  <si>
    <t>ch3_imp</t>
  </si>
  <si>
    <t>ch2_imp</t>
  </si>
  <si>
    <t>ch1_imp</t>
  </si>
  <si>
    <t>ch6_mean</t>
  </si>
  <si>
    <t>ch5_mean</t>
  </si>
  <si>
    <t>ch4_mean</t>
  </si>
  <si>
    <t>ch3_mean</t>
  </si>
  <si>
    <t>ch2_mean</t>
  </si>
  <si>
    <t>ch1_mean</t>
  </si>
  <si>
    <t>Linear</t>
  </si>
  <si>
    <t>Power</t>
  </si>
  <si>
    <t>ch1</t>
  </si>
  <si>
    <t>ch2</t>
  </si>
  <si>
    <t>ch3</t>
  </si>
  <si>
    <t>ch4</t>
  </si>
  <si>
    <t>ch5</t>
  </si>
  <si>
    <t>ch6</t>
  </si>
  <si>
    <t>Hilbert Env</t>
  </si>
  <si>
    <t>ch6_median</t>
  </si>
  <si>
    <t>ch5_median</t>
  </si>
  <si>
    <t>ch4_median</t>
  </si>
  <si>
    <t>ch3_median</t>
  </si>
  <si>
    <t>ch2_median</t>
  </si>
  <si>
    <t>ch1_median</t>
  </si>
  <si>
    <t>flood1</t>
  </si>
  <si>
    <t>flood2</t>
  </si>
  <si>
    <t>flood3</t>
  </si>
  <si>
    <t>flood5</t>
  </si>
  <si>
    <t>time (s)</t>
  </si>
  <si>
    <t>Max Amp (V)</t>
  </si>
  <si>
    <t xml:space="preserve">Mean Amp (V) </t>
  </si>
  <si>
    <t>Med Amp (V)</t>
  </si>
  <si>
    <t>Experiment</t>
  </si>
  <si>
    <t>Measured Dmax</t>
  </si>
  <si>
    <t>Dmax - Max Amp (2)</t>
  </si>
  <si>
    <t>Dmax - Mean Amp (2)</t>
  </si>
  <si>
    <t>Dmax - Max Amp (3)</t>
  </si>
  <si>
    <t>Max Amp - Dmax (1)</t>
  </si>
  <si>
    <t xml:space="preserve">RMSE </t>
  </si>
  <si>
    <t>Max Amp</t>
  </si>
  <si>
    <t>linear</t>
  </si>
  <si>
    <t>power</t>
  </si>
  <si>
    <t>Over the whole sampling period</t>
  </si>
  <si>
    <t>ch6_max</t>
  </si>
  <si>
    <t>ch5_max</t>
  </si>
  <si>
    <t>ch4_max</t>
  </si>
  <si>
    <t>ch3_max</t>
  </si>
  <si>
    <t>ch2_max</t>
  </si>
  <si>
    <t>ch1_max</t>
  </si>
  <si>
    <t>Dmax - Mean Amp (3)</t>
  </si>
  <si>
    <t>Mean Amp - Dmax (1)</t>
  </si>
  <si>
    <t>Mean Amp</t>
  </si>
  <si>
    <t>ch6_imp/s</t>
  </si>
  <si>
    <t>ch5_imp/s</t>
  </si>
  <si>
    <t>ch4_imp/s</t>
  </si>
  <si>
    <t>ch3_imp/s</t>
  </si>
  <si>
    <t>ch2_imp/s</t>
  </si>
  <si>
    <t>ch1_imp/s</t>
  </si>
  <si>
    <t>Imp/s - Dmax (1)</t>
  </si>
  <si>
    <t>Dmax - Imp/s (2)</t>
  </si>
  <si>
    <t>Dmax - Imp/s (3)</t>
  </si>
  <si>
    <t>Ch1 (x1024)</t>
  </si>
  <si>
    <t>Ch2 (x256)</t>
  </si>
  <si>
    <t>Over the whole sampling period (Imp/s)</t>
  </si>
  <si>
    <t>Ch3 (x64)</t>
  </si>
  <si>
    <t>Ch4 (x16)</t>
  </si>
  <si>
    <t>Ch5 (x4)</t>
  </si>
  <si>
    <t>Ch6 (x1)</t>
  </si>
  <si>
    <t>Ch1</t>
  </si>
  <si>
    <t>Ch2</t>
  </si>
  <si>
    <t>Ch3</t>
  </si>
  <si>
    <t>Ch4</t>
  </si>
  <si>
    <t>Ch5</t>
  </si>
  <si>
    <t>Ch6</t>
  </si>
  <si>
    <t>RMSE</t>
  </si>
  <si>
    <t>Amplitude</t>
  </si>
  <si>
    <t>Max</t>
  </si>
  <si>
    <t>Mean</t>
  </si>
  <si>
    <t>Solve</t>
  </si>
  <si>
    <t>Max Amp by Channel</t>
  </si>
  <si>
    <t>Events</t>
  </si>
  <si>
    <t>ST1</t>
  </si>
  <si>
    <t>ST2</t>
  </si>
  <si>
    <t>ST4</t>
  </si>
  <si>
    <t>ST7</t>
  </si>
  <si>
    <t>SP1</t>
  </si>
  <si>
    <t>SP2</t>
  </si>
  <si>
    <t>SP3</t>
  </si>
  <si>
    <t>SP4</t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</si>
  <si>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Linear</t>
    </r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</si>
  <si>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</si>
  <si>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</si>
  <si>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Linear</t>
    </r>
  </si>
  <si>
    <t>Only during impulse (threshold exceedance)</t>
  </si>
  <si>
    <t>(Imp/s)/MaxAmp</t>
  </si>
  <si>
    <t>Imps/Amax - Dmax (1)</t>
  </si>
  <si>
    <t>Dmax - Imps/Amax (2)</t>
  </si>
  <si>
    <t>Dmax - Imps/Amax (3)</t>
  </si>
  <si>
    <t>Calibration</t>
  </si>
  <si>
    <t>Number of Impulses per second</t>
  </si>
  <si>
    <t>Number of Impulses per second / Max Amp</t>
  </si>
  <si>
    <t>(Imp/s) * MaxAmp</t>
  </si>
  <si>
    <t>(Imp/s)*MaxAmp</t>
  </si>
  <si>
    <t>Number of Impulses per second * Max Amp</t>
  </si>
  <si>
    <t>(Imp/s) * MaxAmp (individual time stamps instead of total)</t>
  </si>
  <si>
    <t>(Imp/s)*MaxAmp (total)</t>
  </si>
  <si>
    <t>Time Stamps (3)</t>
  </si>
  <si>
    <t>Imps*Amax - Dmax (1)</t>
  </si>
  <si>
    <t>Dmax - Imps*Amax (2)</t>
  </si>
  <si>
    <t>Dmax - Imps*Amax (3)</t>
  </si>
  <si>
    <t>individual</t>
  </si>
  <si>
    <t xml:space="preserve">solve </t>
  </si>
  <si>
    <t>B-axis (mm)</t>
  </si>
  <si>
    <t>Gravelometer</t>
  </si>
  <si>
    <t>Duration (s)</t>
  </si>
  <si>
    <t>No amplification</t>
  </si>
  <si>
    <t>Calibration Subsample</t>
  </si>
  <si>
    <t>Validation Subsample</t>
  </si>
  <si>
    <t>Imp/s * Max Amp</t>
  </si>
  <si>
    <t>Max/Med Amp</t>
  </si>
  <si>
    <t>Max/Mean Amp</t>
  </si>
  <si>
    <t>Med/ Mean Amp</t>
  </si>
  <si>
    <t>Imp/s * Median Amp</t>
  </si>
  <si>
    <t>Max*Med Amp</t>
  </si>
  <si>
    <t>Max*Mean Amp</t>
  </si>
  <si>
    <t>Imp/s * Mean Amp</t>
  </si>
  <si>
    <t>Med/Max Amp</t>
  </si>
  <si>
    <t>Mean/Max Amp</t>
  </si>
  <si>
    <t>Mean/Med Amp</t>
  </si>
  <si>
    <t>Med*Mean Amp</t>
  </si>
  <si>
    <t>Imp/s * Ch Mean Amp</t>
  </si>
  <si>
    <t>Imp/s * Amax</t>
  </si>
  <si>
    <t>Imp/s * Amedian</t>
  </si>
  <si>
    <t>Imp/s * Amean</t>
  </si>
  <si>
    <t>Max*Med</t>
  </si>
  <si>
    <t>Max*Mean</t>
  </si>
  <si>
    <t>B-axis</t>
  </si>
  <si>
    <t>Storms with tracer data</t>
  </si>
  <si>
    <t>Original Max Size</t>
  </si>
  <si>
    <t>ST3</t>
  </si>
  <si>
    <t>Using Radius, all measurements</t>
  </si>
  <si>
    <t xml:space="preserve">MinD </t>
  </si>
  <si>
    <t>D</t>
  </si>
  <si>
    <t>Dmax</t>
  </si>
  <si>
    <t>Max Size</t>
  </si>
  <si>
    <t>Largest % Moved</t>
  </si>
  <si>
    <t>D (def)</t>
  </si>
  <si>
    <t>&lt;50% moved</t>
  </si>
  <si>
    <t>Size ratio</t>
  </si>
  <si>
    <t>Imp/s * Amax: Ch1</t>
  </si>
  <si>
    <t>Imp/s * Amax: Ch2</t>
  </si>
  <si>
    <t>Imp/s * Amax: Ch3</t>
  </si>
  <si>
    <t>Imp/s * Amedian: Ch3</t>
  </si>
  <si>
    <t>Imp/s * Amedian: Ch2</t>
  </si>
  <si>
    <t>Imp/s * Amedian: Ch1</t>
  </si>
  <si>
    <t>Imp/s * Amean: Ch3</t>
  </si>
  <si>
    <t>Imp/s * Amean: Ch2</t>
  </si>
  <si>
    <t>Imp/s * Amean: Ch1</t>
  </si>
  <si>
    <t>std</t>
  </si>
  <si>
    <t>avg</t>
  </si>
  <si>
    <t xml:space="preserve">Amplification </t>
  </si>
  <si>
    <t>min</t>
  </si>
  <si>
    <t>max</t>
  </si>
  <si>
    <t>tau</t>
  </si>
  <si>
    <t>amp</t>
  </si>
  <si>
    <t>resta</t>
  </si>
  <si>
    <t>resta2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</si>
</sst>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"/>
    <numFmt numFmtId="165" formatCode="0.000"/>
    <numFmt numFmtId="166" formatCode="0.00000"/>
    <numFmt numFmtId="167" formatCode="0.000000"/>
    <numFmt numFmtId="169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 vertical="center" wrapText="1"/>
    </xf>
    <xf numFmtId="2" fontId="0" fillId="8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8" borderId="0" xfId="0" applyFill="1"/>
    <xf numFmtId="0" fontId="0" fillId="8" borderId="0" xfId="0" applyFill="1" applyAlignment="1">
      <alignment horizontal="center"/>
    </xf>
    <xf numFmtId="165" fontId="0" fillId="8" borderId="0" xfId="0" applyNumberFormat="1" applyFill="1" applyAlignment="1">
      <alignment horizontal="center"/>
    </xf>
    <xf numFmtId="2" fontId="0" fillId="0" borderId="0" xfId="0" applyNumberFormat="1"/>
    <xf numFmtId="11" fontId="0" fillId="4" borderId="0" xfId="0" applyNumberFormat="1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2" fontId="0" fillId="9" borderId="0" xfId="0" applyNumberForma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2" fillId="5" borderId="0" xfId="0" applyNumberFormat="1" applyFont="1" applyFill="1" applyAlignment="1">
      <alignment horizontal="center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6" fillId="11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4" fillId="9" borderId="0" xfId="0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166" fontId="0" fillId="0" borderId="0" xfId="0" applyNumberFormat="1" applyAlignment="1">
      <alignment horizontal="center"/>
    </xf>
    <xf numFmtId="2" fontId="2" fillId="6" borderId="0" xfId="0" applyNumberFormat="1" applyFont="1" applyFill="1" applyAlignment="1">
      <alignment horizontal="center"/>
    </xf>
    <xf numFmtId="11" fontId="5" fillId="0" borderId="0" xfId="0" applyNumberFormat="1" applyFont="1" applyAlignment="1">
      <alignment horizontal="center"/>
    </xf>
    <xf numFmtId="2" fontId="2" fillId="4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2" fontId="2" fillId="9" borderId="2" xfId="0" applyNumberFormat="1" applyFont="1" applyFill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2" fontId="2" fillId="9" borderId="0" xfId="0" applyNumberFormat="1" applyFont="1" applyFill="1" applyAlignment="1">
      <alignment horizontal="center"/>
    </xf>
    <xf numFmtId="2" fontId="0" fillId="0" borderId="2" xfId="0" applyNumberFormat="1" applyBorder="1" applyAlignment="1">
      <alignment horizontal="center"/>
    </xf>
    <xf numFmtId="2" fontId="2" fillId="9" borderId="1" xfId="0" applyNumberFormat="1" applyFont="1" applyFill="1" applyBorder="1" applyAlignment="1">
      <alignment horizontal="center"/>
    </xf>
    <xf numFmtId="1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6" borderId="1" xfId="0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" fontId="0" fillId="6" borderId="7" xfId="0" applyNumberFormat="1" applyFill="1" applyBorder="1" applyAlignment="1">
      <alignment horizontal="center"/>
    </xf>
    <xf numFmtId="165" fontId="0" fillId="6" borderId="7" xfId="0" applyNumberForma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7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7" fontId="0" fillId="0" borderId="0" xfId="0" applyNumberForma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7" fontId="0" fillId="0" borderId="2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0" xfId="0" applyNumberFormat="1"/>
    <xf numFmtId="16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0" fontId="0" fillId="0" borderId="8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/>
    <xf numFmtId="167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6" fontId="0" fillId="9" borderId="0" xfId="0" applyNumberFormat="1" applyFill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16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2"/>
            <c:dispRSqr val="1"/>
            <c:dispEq val="1"/>
            <c:trendlineLbl>
              <c:layout>
                <c:manualLayout>
                  <c:x val="-0.18638424771461262"/>
                  <c:y val="2.17328890207704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storm_amplification!$Y$10:$Y$11</c:f>
              <c:numCache>
                <c:formatCode>General</c:formatCode>
                <c:ptCount val="2"/>
                <c:pt idx="0">
                  <c:v>27</c:v>
                </c:pt>
                <c:pt idx="1">
                  <c:v>38</c:v>
                </c:pt>
              </c:numCache>
            </c:numRef>
          </c:xVal>
          <c:yVal>
            <c:numRef>
              <c:f>storm_amplification!$Z$10:$Z$11</c:f>
              <c:numCache>
                <c:formatCode>0.00</c:formatCode>
                <c:ptCount val="2"/>
                <c:pt idx="0">
                  <c:v>4.5993500165514591</c:v>
                </c:pt>
                <c:pt idx="1">
                  <c:v>8.6666469499482908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0D-4440-89B2-14BE777EF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614112"/>
        <c:axId val="1830616032"/>
      </c:scatterChart>
      <c:valAx>
        <c:axId val="1830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6032"/>
        <c:crosses val="autoZero"/>
        <c:crossBetween val="midCat"/>
      </c:valAx>
      <c:valAx>
        <c:axId val="18306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8594278217871741E-2"/>
                  <c:y val="3.29527329338982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storm_amplification!$Y$12:$Y$13</c:f>
              <c:numCache>
                <c:formatCode>General</c:formatCode>
                <c:ptCount val="2"/>
                <c:pt idx="0">
                  <c:v>24</c:v>
                </c:pt>
                <c:pt idx="1">
                  <c:v>7.5</c:v>
                </c:pt>
              </c:numCache>
            </c:numRef>
          </c:xVal>
          <c:yVal>
            <c:numRef>
              <c:f>storm_amplification!$Z$12:$Z$13</c:f>
              <c:numCache>
                <c:formatCode>0.00</c:formatCode>
                <c:ptCount val="2"/>
                <c:pt idx="0">
                  <c:v>16.730199127367339</c:v>
                </c:pt>
                <c:pt idx="1">
                  <c:v>1.0129166283157645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1E-4E2D-8AC9-6B4E10FBB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614112"/>
        <c:axId val="1830616032"/>
      </c:scatterChart>
      <c:valAx>
        <c:axId val="1830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6032"/>
        <c:crosses val="autoZero"/>
        <c:crossBetween val="midCat"/>
      </c:valAx>
      <c:valAx>
        <c:axId val="18306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591694882878894"/>
                  <c:y val="2.21230008014837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storm_amplification!$Y$10:$Y$13</c:f>
              <c:numCache>
                <c:formatCode>General</c:formatCode>
                <c:ptCount val="4"/>
                <c:pt idx="0">
                  <c:v>27</c:v>
                </c:pt>
                <c:pt idx="1">
                  <c:v>38</c:v>
                </c:pt>
                <c:pt idx="2">
                  <c:v>24</c:v>
                </c:pt>
                <c:pt idx="3">
                  <c:v>7.5</c:v>
                </c:pt>
              </c:numCache>
            </c:numRef>
          </c:xVal>
          <c:yVal>
            <c:numRef>
              <c:f>storm_amplification!$Z$10:$Z$13</c:f>
              <c:numCache>
                <c:formatCode>0.00</c:formatCode>
                <c:ptCount val="4"/>
                <c:pt idx="0">
                  <c:v>4.5993500165514591</c:v>
                </c:pt>
                <c:pt idx="1">
                  <c:v>8.6666469499482908</c:v>
                </c:pt>
                <c:pt idx="2">
                  <c:v>16.730199127367339</c:v>
                </c:pt>
                <c:pt idx="3">
                  <c:v>1.0129166283157645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85-4B34-8A03-1EFF00539E23}"/>
            </c:ext>
          </c:extLst>
        </c:ser>
        <c:ser>
          <c:idx val="1"/>
          <c:order val="1"/>
          <c:tx>
            <c:v>2023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storm_amplification!$Y$12:$Y$13</c:f>
              <c:numCache>
                <c:formatCode>General</c:formatCode>
                <c:ptCount val="2"/>
                <c:pt idx="0">
                  <c:v>24</c:v>
                </c:pt>
                <c:pt idx="1">
                  <c:v>7.5</c:v>
                </c:pt>
              </c:numCache>
            </c:numRef>
          </c:xVal>
          <c:yVal>
            <c:numRef>
              <c:f>storm_amplification!$Z$12:$Z$13</c:f>
              <c:numCache>
                <c:formatCode>0.00</c:formatCode>
                <c:ptCount val="2"/>
                <c:pt idx="0">
                  <c:v>16.730199127367339</c:v>
                </c:pt>
                <c:pt idx="1">
                  <c:v>1.0129166283157645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85-4B34-8A03-1EFF00539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614112"/>
        <c:axId val="1830616032"/>
      </c:scatterChart>
      <c:valAx>
        <c:axId val="1830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6032"/>
        <c:crosses val="autoZero"/>
        <c:crossBetween val="midCat"/>
      </c:valAx>
      <c:valAx>
        <c:axId val="18306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Gravelometer Sizes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8869925688569326"/>
                  <c:y val="8.402333041703120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calibration!$E$3:$E$23</c:f>
              <c:numCache>
                <c:formatCode>0.0000</c:formatCode>
                <c:ptCount val="21"/>
                <c:pt idx="0">
                  <c:v>0.104819100180613</c:v>
                </c:pt>
                <c:pt idx="1">
                  <c:v>5.1422303101187901E-2</c:v>
                </c:pt>
                <c:pt idx="2">
                  <c:v>4.68499378365069E-2</c:v>
                </c:pt>
                <c:pt idx="3">
                  <c:v>5.1754391722476999E-2</c:v>
                </c:pt>
                <c:pt idx="4">
                  <c:v>4.4543546788178297E-2</c:v>
                </c:pt>
                <c:pt idx="5">
                  <c:v>9.5639162401153693E-2</c:v>
                </c:pt>
                <c:pt idx="6">
                  <c:v>2.7724885205644801E-2</c:v>
                </c:pt>
                <c:pt idx="7">
                  <c:v>2.2481115003792299E-2</c:v>
                </c:pt>
                <c:pt idx="8">
                  <c:v>1.0897008883362201E-2</c:v>
                </c:pt>
                <c:pt idx="9">
                  <c:v>1.13162316396569E-2</c:v>
                </c:pt>
                <c:pt idx="10">
                  <c:v>1.06254875376059E-2</c:v>
                </c:pt>
                <c:pt idx="11">
                  <c:v>5.4104257016193398E-3</c:v>
                </c:pt>
                <c:pt idx="12">
                  <c:v>1.40031756933689E-2</c:v>
                </c:pt>
                <c:pt idx="13">
                  <c:v>1.0890800850407899E-2</c:v>
                </c:pt>
                <c:pt idx="14">
                  <c:v>2.4016207968108199E-2</c:v>
                </c:pt>
                <c:pt idx="15">
                  <c:v>5.1502950973667999E-2</c:v>
                </c:pt>
                <c:pt idx="16">
                  <c:v>5.04335454776157E-2</c:v>
                </c:pt>
                <c:pt idx="17">
                  <c:v>9.6840712231762202E-2</c:v>
                </c:pt>
                <c:pt idx="18" formatCode="0.000">
                  <c:v>0.103785400341108</c:v>
                </c:pt>
                <c:pt idx="19" formatCode="0.000">
                  <c:v>1.7343593585544201E-2</c:v>
                </c:pt>
                <c:pt idx="20" formatCode="0.000">
                  <c:v>3.4734349552416499E-2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3-4746-AD79-DBC6CD0EE50A}"/>
            </c:ext>
          </c:extLst>
        </c:ser>
        <c:ser>
          <c:idx val="1"/>
          <c:order val="1"/>
          <c:tx>
            <c:v>B-Axis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calibration!$E$3:$E$23</c:f>
              <c:numCache>
                <c:formatCode>0.0000</c:formatCode>
                <c:ptCount val="21"/>
                <c:pt idx="0">
                  <c:v>0.104819100180613</c:v>
                </c:pt>
                <c:pt idx="1">
                  <c:v>5.1422303101187901E-2</c:v>
                </c:pt>
                <c:pt idx="2">
                  <c:v>4.68499378365069E-2</c:v>
                </c:pt>
                <c:pt idx="3">
                  <c:v>5.1754391722476999E-2</c:v>
                </c:pt>
                <c:pt idx="4">
                  <c:v>4.4543546788178297E-2</c:v>
                </c:pt>
                <c:pt idx="5">
                  <c:v>9.5639162401153693E-2</c:v>
                </c:pt>
                <c:pt idx="6">
                  <c:v>2.7724885205644801E-2</c:v>
                </c:pt>
                <c:pt idx="7">
                  <c:v>2.2481115003792299E-2</c:v>
                </c:pt>
                <c:pt idx="8">
                  <c:v>1.0897008883362201E-2</c:v>
                </c:pt>
                <c:pt idx="9">
                  <c:v>1.13162316396569E-2</c:v>
                </c:pt>
                <c:pt idx="10">
                  <c:v>1.06254875376059E-2</c:v>
                </c:pt>
                <c:pt idx="11">
                  <c:v>5.4104257016193398E-3</c:v>
                </c:pt>
                <c:pt idx="12">
                  <c:v>1.40031756933689E-2</c:v>
                </c:pt>
                <c:pt idx="13">
                  <c:v>1.0890800850407899E-2</c:v>
                </c:pt>
                <c:pt idx="14">
                  <c:v>2.4016207968108199E-2</c:v>
                </c:pt>
                <c:pt idx="15">
                  <c:v>5.1502950973667999E-2</c:v>
                </c:pt>
                <c:pt idx="16">
                  <c:v>5.04335454776157E-2</c:v>
                </c:pt>
                <c:pt idx="17">
                  <c:v>9.6840712231762202E-2</c:v>
                </c:pt>
                <c:pt idx="18" formatCode="0.000">
                  <c:v>0.103785400341108</c:v>
                </c:pt>
                <c:pt idx="19" formatCode="0.000">
                  <c:v>1.7343593585544201E-2</c:v>
                </c:pt>
                <c:pt idx="20" formatCode="0.000">
                  <c:v>3.4734349552416499E-2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23-4746-AD79-DBC6CD0EE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6082432934096644"/>
                  <c:y val="0.2333831048896665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calibration!$F$3:$F$23</c:f>
              <c:numCache>
                <c:formatCode>0.0000</c:formatCode>
                <c:ptCount val="21"/>
                <c:pt idx="0">
                  <c:v>3.3154403752457901E-2</c:v>
                </c:pt>
                <c:pt idx="1">
                  <c:v>1.43345982575964E-2</c:v>
                </c:pt>
                <c:pt idx="2">
                  <c:v>1.9737041545963101E-2</c:v>
                </c:pt>
                <c:pt idx="3">
                  <c:v>2.3629413923689099E-2</c:v>
                </c:pt>
                <c:pt idx="4">
                  <c:v>2.3352349155409499E-2</c:v>
                </c:pt>
                <c:pt idx="5">
                  <c:v>1.9277468694701001E-2</c:v>
                </c:pt>
                <c:pt idx="6">
                  <c:v>1.4478880481023E-2</c:v>
                </c:pt>
                <c:pt idx="7">
                  <c:v>9.1860908476934702E-3</c:v>
                </c:pt>
                <c:pt idx="8">
                  <c:v>7.27047978157239E-3</c:v>
                </c:pt>
                <c:pt idx="9">
                  <c:v>6.77105129691932E-3</c:v>
                </c:pt>
                <c:pt idx="10">
                  <c:v>5.3979442955963304E-3</c:v>
                </c:pt>
                <c:pt idx="11">
                  <c:v>4.2237913969842902E-3</c:v>
                </c:pt>
                <c:pt idx="12">
                  <c:v>5.6784984243662398E-3</c:v>
                </c:pt>
                <c:pt idx="13">
                  <c:v>4.8212415579803897E-3</c:v>
                </c:pt>
                <c:pt idx="14">
                  <c:v>6.5149661727545603E-3</c:v>
                </c:pt>
                <c:pt idx="15">
                  <c:v>1.37528556522491E-2</c:v>
                </c:pt>
                <c:pt idx="16">
                  <c:v>9.8602655911611495E-3</c:v>
                </c:pt>
                <c:pt idx="17">
                  <c:v>2.94139388502281E-2</c:v>
                </c:pt>
                <c:pt idx="18" formatCode="0.000">
                  <c:v>9.3097685505032102E-3</c:v>
                </c:pt>
                <c:pt idx="19" formatCode="0.000">
                  <c:v>3.7541223526986601E-3</c:v>
                </c:pt>
                <c:pt idx="20" formatCode="0.000">
                  <c:v>1.59772775618169E-2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93-4C61-BDE4-B8AB06180A2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calibration!$F$3:$F$23</c:f>
              <c:numCache>
                <c:formatCode>0.0000</c:formatCode>
                <c:ptCount val="21"/>
                <c:pt idx="0">
                  <c:v>3.3154403752457901E-2</c:v>
                </c:pt>
                <c:pt idx="1">
                  <c:v>1.43345982575964E-2</c:v>
                </c:pt>
                <c:pt idx="2">
                  <c:v>1.9737041545963101E-2</c:v>
                </c:pt>
                <c:pt idx="3">
                  <c:v>2.3629413923689099E-2</c:v>
                </c:pt>
                <c:pt idx="4">
                  <c:v>2.3352349155409499E-2</c:v>
                </c:pt>
                <c:pt idx="5">
                  <c:v>1.9277468694701001E-2</c:v>
                </c:pt>
                <c:pt idx="6">
                  <c:v>1.4478880481023E-2</c:v>
                </c:pt>
                <c:pt idx="7">
                  <c:v>9.1860908476934702E-3</c:v>
                </c:pt>
                <c:pt idx="8">
                  <c:v>7.27047978157239E-3</c:v>
                </c:pt>
                <c:pt idx="9">
                  <c:v>6.77105129691932E-3</c:v>
                </c:pt>
                <c:pt idx="10">
                  <c:v>5.3979442955963304E-3</c:v>
                </c:pt>
                <c:pt idx="11">
                  <c:v>4.2237913969842902E-3</c:v>
                </c:pt>
                <c:pt idx="12">
                  <c:v>5.6784984243662398E-3</c:v>
                </c:pt>
                <c:pt idx="13">
                  <c:v>4.8212415579803897E-3</c:v>
                </c:pt>
                <c:pt idx="14">
                  <c:v>6.5149661727545603E-3</c:v>
                </c:pt>
                <c:pt idx="15">
                  <c:v>1.37528556522491E-2</c:v>
                </c:pt>
                <c:pt idx="16">
                  <c:v>9.8602655911611495E-3</c:v>
                </c:pt>
                <c:pt idx="17">
                  <c:v>2.94139388502281E-2</c:v>
                </c:pt>
                <c:pt idx="18" formatCode="0.000">
                  <c:v>9.3097685505032102E-3</c:v>
                </c:pt>
                <c:pt idx="19" formatCode="0.000">
                  <c:v>3.7541223526986601E-3</c:v>
                </c:pt>
                <c:pt idx="20" formatCode="0.000">
                  <c:v>1.59772775618169E-2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93-4C61-BDE4-B8AB06180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8.2255133741036712E-2"/>
                  <c:y val="0.1759937785554583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calibration!$G$3:$G$23</c:f>
              <c:numCache>
                <c:formatCode>0.0000</c:formatCode>
                <c:ptCount val="21"/>
                <c:pt idx="0">
                  <c:v>2.2914216154744201E-2</c:v>
                </c:pt>
                <c:pt idx="1">
                  <c:v>7.2966466530169603E-3</c:v>
                </c:pt>
                <c:pt idx="2">
                  <c:v>1.1301251811562101E-2</c:v>
                </c:pt>
                <c:pt idx="3">
                  <c:v>3.0143536797057099E-2</c:v>
                </c:pt>
                <c:pt idx="4">
                  <c:v>2.1759151907210301E-2</c:v>
                </c:pt>
                <c:pt idx="5">
                  <c:v>5.1627678565697001E-3</c:v>
                </c:pt>
                <c:pt idx="6">
                  <c:v>1.4642800293065399E-2</c:v>
                </c:pt>
                <c:pt idx="7">
                  <c:v>5.26397191560033E-3</c:v>
                </c:pt>
                <c:pt idx="8">
                  <c:v>6.8585843273274603E-3</c:v>
                </c:pt>
                <c:pt idx="9">
                  <c:v>5.0494700428746703E-3</c:v>
                </c:pt>
                <c:pt idx="10">
                  <c:v>5.0606462291010196E-3</c:v>
                </c:pt>
                <c:pt idx="11">
                  <c:v>4.0412722569313003E-3</c:v>
                </c:pt>
                <c:pt idx="12">
                  <c:v>4.6667095589632999E-3</c:v>
                </c:pt>
                <c:pt idx="13">
                  <c:v>4.1135640493545804E-3</c:v>
                </c:pt>
                <c:pt idx="14">
                  <c:v>4.26435563054003E-3</c:v>
                </c:pt>
                <c:pt idx="15">
                  <c:v>4.5700514622563203E-3</c:v>
                </c:pt>
                <c:pt idx="16">
                  <c:v>4.3864038070395503E-3</c:v>
                </c:pt>
                <c:pt idx="17">
                  <c:v>9.5407724532447606E-3</c:v>
                </c:pt>
                <c:pt idx="18" formatCode="0.000">
                  <c:v>2.6623638531804101E-3</c:v>
                </c:pt>
                <c:pt idx="19" formatCode="0.000">
                  <c:v>3.5652204100954199E-3</c:v>
                </c:pt>
                <c:pt idx="20" formatCode="0.000">
                  <c:v>1.5617522696591399E-2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EF-40B2-81D4-DFB3BC0AC13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calibration!$G$3:$G$23</c:f>
              <c:numCache>
                <c:formatCode>0.0000</c:formatCode>
                <c:ptCount val="21"/>
                <c:pt idx="0">
                  <c:v>2.2914216154744201E-2</c:v>
                </c:pt>
                <c:pt idx="1">
                  <c:v>7.2966466530169603E-3</c:v>
                </c:pt>
                <c:pt idx="2">
                  <c:v>1.1301251811562101E-2</c:v>
                </c:pt>
                <c:pt idx="3">
                  <c:v>3.0143536797057099E-2</c:v>
                </c:pt>
                <c:pt idx="4">
                  <c:v>2.1759151907210301E-2</c:v>
                </c:pt>
                <c:pt idx="5">
                  <c:v>5.1627678565697001E-3</c:v>
                </c:pt>
                <c:pt idx="6">
                  <c:v>1.4642800293065399E-2</c:v>
                </c:pt>
                <c:pt idx="7">
                  <c:v>5.26397191560033E-3</c:v>
                </c:pt>
                <c:pt idx="8">
                  <c:v>6.8585843273274603E-3</c:v>
                </c:pt>
                <c:pt idx="9">
                  <c:v>5.0494700428746703E-3</c:v>
                </c:pt>
                <c:pt idx="10">
                  <c:v>5.0606462291010196E-3</c:v>
                </c:pt>
                <c:pt idx="11">
                  <c:v>4.0412722569313003E-3</c:v>
                </c:pt>
                <c:pt idx="12">
                  <c:v>4.6667095589632999E-3</c:v>
                </c:pt>
                <c:pt idx="13">
                  <c:v>4.1135640493545804E-3</c:v>
                </c:pt>
                <c:pt idx="14">
                  <c:v>4.26435563054003E-3</c:v>
                </c:pt>
                <c:pt idx="15">
                  <c:v>4.5700514622563203E-3</c:v>
                </c:pt>
                <c:pt idx="16">
                  <c:v>4.3864038070395503E-3</c:v>
                </c:pt>
                <c:pt idx="17">
                  <c:v>9.5407724532447606E-3</c:v>
                </c:pt>
                <c:pt idx="18" formatCode="0.000">
                  <c:v>2.6623638531804101E-3</c:v>
                </c:pt>
                <c:pt idx="19" formatCode="0.000">
                  <c:v>3.5652204100954199E-3</c:v>
                </c:pt>
                <c:pt idx="20" formatCode="0.000">
                  <c:v>1.5617522696591399E-2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EF-40B2-81D4-DFB3BC0AC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calibration!$N$3:$N$23</c:f>
              <c:numCache>
                <c:formatCode>0.00</c:formatCode>
                <c:ptCount val="21"/>
                <c:pt idx="0">
                  <c:v>0.8571428571428571</c:v>
                </c:pt>
                <c:pt idx="1">
                  <c:v>0.2</c:v>
                </c:pt>
                <c:pt idx="2">
                  <c:v>0.4</c:v>
                </c:pt>
                <c:pt idx="3">
                  <c:v>0.75</c:v>
                </c:pt>
                <c:pt idx="4">
                  <c:v>1</c:v>
                </c:pt>
                <c:pt idx="5">
                  <c:v>0.375</c:v>
                </c:pt>
                <c:pt idx="6">
                  <c:v>0.2</c:v>
                </c:pt>
                <c:pt idx="14">
                  <c:v>6.6666666666666666E-2</c:v>
                </c:pt>
                <c:pt idx="15">
                  <c:v>0.13333333333333333</c:v>
                </c:pt>
                <c:pt idx="16">
                  <c:v>0.2</c:v>
                </c:pt>
                <c:pt idx="17">
                  <c:v>0.8</c:v>
                </c:pt>
                <c:pt idx="18">
                  <c:v>0.1400000634920924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52-451B-9FEB-BF00245CAA3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calibration!$N$3:$N$23</c:f>
              <c:numCache>
                <c:formatCode>0.00</c:formatCode>
                <c:ptCount val="21"/>
                <c:pt idx="0">
                  <c:v>0.8571428571428571</c:v>
                </c:pt>
                <c:pt idx="1">
                  <c:v>0.2</c:v>
                </c:pt>
                <c:pt idx="2">
                  <c:v>0.4</c:v>
                </c:pt>
                <c:pt idx="3">
                  <c:v>0.75</c:v>
                </c:pt>
                <c:pt idx="4">
                  <c:v>1</c:v>
                </c:pt>
                <c:pt idx="5">
                  <c:v>0.375</c:v>
                </c:pt>
                <c:pt idx="6">
                  <c:v>0.2</c:v>
                </c:pt>
                <c:pt idx="14">
                  <c:v>6.6666666666666666E-2</c:v>
                </c:pt>
                <c:pt idx="15">
                  <c:v>0.13333333333333333</c:v>
                </c:pt>
                <c:pt idx="16">
                  <c:v>0.2</c:v>
                </c:pt>
                <c:pt idx="17">
                  <c:v>0.8</c:v>
                </c:pt>
                <c:pt idx="18">
                  <c:v>0.1400000634920924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52-451B-9FEB-BF00245CA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calibration!$O$3:$O$23</c:f>
              <c:numCache>
                <c:formatCode>0.00</c:formatCode>
                <c:ptCount val="21"/>
                <c:pt idx="0">
                  <c:v>2.2857142857142856</c:v>
                </c:pt>
                <c:pt idx="1">
                  <c:v>0.8</c:v>
                </c:pt>
                <c:pt idx="2">
                  <c:v>3.2</c:v>
                </c:pt>
                <c:pt idx="3">
                  <c:v>3.625</c:v>
                </c:pt>
                <c:pt idx="4">
                  <c:v>4.666666666666667</c:v>
                </c:pt>
                <c:pt idx="5">
                  <c:v>2.75</c:v>
                </c:pt>
                <c:pt idx="6">
                  <c:v>2.6</c:v>
                </c:pt>
                <c:pt idx="7">
                  <c:v>0.8</c:v>
                </c:pt>
                <c:pt idx="8">
                  <c:v>0.25</c:v>
                </c:pt>
                <c:pt idx="9">
                  <c:v>0.16666666666666666</c:v>
                </c:pt>
                <c:pt idx="10">
                  <c:v>0.1</c:v>
                </c:pt>
                <c:pt idx="12">
                  <c:v>0.05</c:v>
                </c:pt>
                <c:pt idx="13">
                  <c:v>0.05</c:v>
                </c:pt>
                <c:pt idx="14">
                  <c:v>0.33333333333333331</c:v>
                </c:pt>
                <c:pt idx="15">
                  <c:v>2</c:v>
                </c:pt>
                <c:pt idx="16">
                  <c:v>1</c:v>
                </c:pt>
                <c:pt idx="17">
                  <c:v>4.0666666666666664</c:v>
                </c:pt>
                <c:pt idx="18">
                  <c:v>0.64000029024956528</c:v>
                </c:pt>
                <c:pt idx="19">
                  <c:v>3.0000006802722641E-2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41-448F-9398-BAE9519A9CD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calibration!$O$3:$O$23</c:f>
              <c:numCache>
                <c:formatCode>0.00</c:formatCode>
                <c:ptCount val="21"/>
                <c:pt idx="0">
                  <c:v>2.2857142857142856</c:v>
                </c:pt>
                <c:pt idx="1">
                  <c:v>0.8</c:v>
                </c:pt>
                <c:pt idx="2">
                  <c:v>3.2</c:v>
                </c:pt>
                <c:pt idx="3">
                  <c:v>3.625</c:v>
                </c:pt>
                <c:pt idx="4">
                  <c:v>4.666666666666667</c:v>
                </c:pt>
                <c:pt idx="5">
                  <c:v>2.75</c:v>
                </c:pt>
                <c:pt idx="6">
                  <c:v>2.6</c:v>
                </c:pt>
                <c:pt idx="7">
                  <c:v>0.8</c:v>
                </c:pt>
                <c:pt idx="8">
                  <c:v>0.25</c:v>
                </c:pt>
                <c:pt idx="9">
                  <c:v>0.16666666666666666</c:v>
                </c:pt>
                <c:pt idx="10">
                  <c:v>0.1</c:v>
                </c:pt>
                <c:pt idx="12">
                  <c:v>0.05</c:v>
                </c:pt>
                <c:pt idx="13">
                  <c:v>0.05</c:v>
                </c:pt>
                <c:pt idx="14">
                  <c:v>0.33333333333333331</c:v>
                </c:pt>
                <c:pt idx="15">
                  <c:v>2</c:v>
                </c:pt>
                <c:pt idx="16">
                  <c:v>1</c:v>
                </c:pt>
                <c:pt idx="17">
                  <c:v>4.0666666666666664</c:v>
                </c:pt>
                <c:pt idx="18">
                  <c:v>0.64000029024956528</c:v>
                </c:pt>
                <c:pt idx="19">
                  <c:v>3.0000006802722641E-2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41-448F-9398-BAE9519A9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calibration!$P$3:$P$23</c:f>
              <c:numCache>
                <c:formatCode>0.00</c:formatCode>
                <c:ptCount val="21"/>
                <c:pt idx="0">
                  <c:v>13.714285714285714</c:v>
                </c:pt>
                <c:pt idx="1">
                  <c:v>6.5</c:v>
                </c:pt>
                <c:pt idx="2">
                  <c:v>8.1999999999999993</c:v>
                </c:pt>
                <c:pt idx="3">
                  <c:v>12.75</c:v>
                </c:pt>
                <c:pt idx="4">
                  <c:v>13.666666666666666</c:v>
                </c:pt>
                <c:pt idx="5">
                  <c:v>7.25</c:v>
                </c:pt>
                <c:pt idx="6">
                  <c:v>7.8</c:v>
                </c:pt>
                <c:pt idx="7">
                  <c:v>4</c:v>
                </c:pt>
                <c:pt idx="8">
                  <c:v>3</c:v>
                </c:pt>
                <c:pt idx="9">
                  <c:v>2.8333333333333335</c:v>
                </c:pt>
                <c:pt idx="10">
                  <c:v>1.1000000000000001</c:v>
                </c:pt>
                <c:pt idx="11">
                  <c:v>0.2</c:v>
                </c:pt>
                <c:pt idx="12">
                  <c:v>0.9</c:v>
                </c:pt>
                <c:pt idx="13">
                  <c:v>0.55000000000000004</c:v>
                </c:pt>
                <c:pt idx="14">
                  <c:v>1.7333333333333334</c:v>
                </c:pt>
                <c:pt idx="15">
                  <c:v>7.333333333333333</c:v>
                </c:pt>
                <c:pt idx="16">
                  <c:v>3.4</c:v>
                </c:pt>
                <c:pt idx="17">
                  <c:v>12.466666666666667</c:v>
                </c:pt>
                <c:pt idx="18">
                  <c:v>2.9600013424042393</c:v>
                </c:pt>
                <c:pt idx="19">
                  <c:v>0.17000003854876164</c:v>
                </c:pt>
                <c:pt idx="20">
                  <c:v>1.1520000000000001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57-4BAB-9032-5DE494D45B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calibration!$P$3:$P$23</c:f>
              <c:numCache>
                <c:formatCode>0.00</c:formatCode>
                <c:ptCount val="21"/>
                <c:pt idx="0">
                  <c:v>13.714285714285714</c:v>
                </c:pt>
                <c:pt idx="1">
                  <c:v>6.5</c:v>
                </c:pt>
                <c:pt idx="2">
                  <c:v>8.1999999999999993</c:v>
                </c:pt>
                <c:pt idx="3">
                  <c:v>12.75</c:v>
                </c:pt>
                <c:pt idx="4">
                  <c:v>13.666666666666666</c:v>
                </c:pt>
                <c:pt idx="5">
                  <c:v>7.25</c:v>
                </c:pt>
                <c:pt idx="6">
                  <c:v>7.8</c:v>
                </c:pt>
                <c:pt idx="7">
                  <c:v>4</c:v>
                </c:pt>
                <c:pt idx="8">
                  <c:v>3</c:v>
                </c:pt>
                <c:pt idx="9">
                  <c:v>2.8333333333333335</c:v>
                </c:pt>
                <c:pt idx="10">
                  <c:v>1.1000000000000001</c:v>
                </c:pt>
                <c:pt idx="11">
                  <c:v>0.2</c:v>
                </c:pt>
                <c:pt idx="12">
                  <c:v>0.9</c:v>
                </c:pt>
                <c:pt idx="13">
                  <c:v>0.55000000000000004</c:v>
                </c:pt>
                <c:pt idx="14">
                  <c:v>1.7333333333333334</c:v>
                </c:pt>
                <c:pt idx="15">
                  <c:v>7.333333333333333</c:v>
                </c:pt>
                <c:pt idx="16">
                  <c:v>3.4</c:v>
                </c:pt>
                <c:pt idx="17">
                  <c:v>12.466666666666667</c:v>
                </c:pt>
                <c:pt idx="18">
                  <c:v>2.9600013424042393</c:v>
                </c:pt>
                <c:pt idx="19">
                  <c:v>0.17000003854876164</c:v>
                </c:pt>
                <c:pt idx="20">
                  <c:v>1.1520000000000001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57-4BAB-9032-5DE494D45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  <c:pt idx="20">
                  <c:v>27.039999999999836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23-4390-8FAE-A72D1997182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  <c:pt idx="20">
                  <c:v>27.039999999999836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23-4390-8FAE-A72D19971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calibration!$R$3:$R$23</c:f>
              <c:numCache>
                <c:formatCode>0.00</c:formatCode>
                <c:ptCount val="21"/>
                <c:pt idx="0">
                  <c:v>86.285714285714292</c:v>
                </c:pt>
                <c:pt idx="1">
                  <c:v>62.8</c:v>
                </c:pt>
                <c:pt idx="2">
                  <c:v>82.8</c:v>
                </c:pt>
                <c:pt idx="3">
                  <c:v>61.625</c:v>
                </c:pt>
                <c:pt idx="4">
                  <c:v>107.66666666666667</c:v>
                </c:pt>
                <c:pt idx="5">
                  <c:v>69.875</c:v>
                </c:pt>
                <c:pt idx="6">
                  <c:v>69</c:v>
                </c:pt>
                <c:pt idx="7">
                  <c:v>63.1</c:v>
                </c:pt>
                <c:pt idx="8">
                  <c:v>68.75</c:v>
                </c:pt>
                <c:pt idx="9">
                  <c:v>54.666666666666664</c:v>
                </c:pt>
                <c:pt idx="10">
                  <c:v>60.7</c:v>
                </c:pt>
                <c:pt idx="11">
                  <c:v>53.6</c:v>
                </c:pt>
                <c:pt idx="12">
                  <c:v>59.8</c:v>
                </c:pt>
                <c:pt idx="13">
                  <c:v>48.6</c:v>
                </c:pt>
                <c:pt idx="14">
                  <c:v>54.06666666666667</c:v>
                </c:pt>
                <c:pt idx="15">
                  <c:v>68.8</c:v>
                </c:pt>
                <c:pt idx="16">
                  <c:v>57.75</c:v>
                </c:pt>
                <c:pt idx="17">
                  <c:v>67.933333333333337</c:v>
                </c:pt>
                <c:pt idx="18">
                  <c:v>37.660017079372857</c:v>
                </c:pt>
                <c:pt idx="19">
                  <c:v>29.650006723357546</c:v>
                </c:pt>
                <c:pt idx="20">
                  <c:v>203.26400000000001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A4-45B8-B254-87973F1E7E5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calibration!$R$3:$R$23</c:f>
              <c:numCache>
                <c:formatCode>0.00</c:formatCode>
                <c:ptCount val="21"/>
                <c:pt idx="0">
                  <c:v>86.285714285714292</c:v>
                </c:pt>
                <c:pt idx="1">
                  <c:v>62.8</c:v>
                </c:pt>
                <c:pt idx="2">
                  <c:v>82.8</c:v>
                </c:pt>
                <c:pt idx="3">
                  <c:v>61.625</c:v>
                </c:pt>
                <c:pt idx="4">
                  <c:v>107.66666666666667</c:v>
                </c:pt>
                <c:pt idx="5">
                  <c:v>69.875</c:v>
                </c:pt>
                <c:pt idx="6">
                  <c:v>69</c:v>
                </c:pt>
                <c:pt idx="7">
                  <c:v>63.1</c:v>
                </c:pt>
                <c:pt idx="8">
                  <c:v>68.75</c:v>
                </c:pt>
                <c:pt idx="9">
                  <c:v>54.666666666666664</c:v>
                </c:pt>
                <c:pt idx="10">
                  <c:v>60.7</c:v>
                </c:pt>
                <c:pt idx="11">
                  <c:v>53.6</c:v>
                </c:pt>
                <c:pt idx="12">
                  <c:v>59.8</c:v>
                </c:pt>
                <c:pt idx="13">
                  <c:v>48.6</c:v>
                </c:pt>
                <c:pt idx="14">
                  <c:v>54.06666666666667</c:v>
                </c:pt>
                <c:pt idx="15">
                  <c:v>68.8</c:v>
                </c:pt>
                <c:pt idx="16">
                  <c:v>57.75</c:v>
                </c:pt>
                <c:pt idx="17">
                  <c:v>67.933333333333337</c:v>
                </c:pt>
                <c:pt idx="18">
                  <c:v>37.660017079372857</c:v>
                </c:pt>
                <c:pt idx="19">
                  <c:v>29.650006723357546</c:v>
                </c:pt>
                <c:pt idx="20">
                  <c:v>203.26400000000001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A4-45B8-B254-87973F1E7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calibration!$S$3:$S$23</c:f>
              <c:numCache>
                <c:formatCode>0.00</c:formatCode>
                <c:ptCount val="21"/>
                <c:pt idx="0">
                  <c:v>139.71428571428572</c:v>
                </c:pt>
                <c:pt idx="1">
                  <c:v>169</c:v>
                </c:pt>
                <c:pt idx="2">
                  <c:v>176.4</c:v>
                </c:pt>
                <c:pt idx="3">
                  <c:v>166.125</c:v>
                </c:pt>
                <c:pt idx="4">
                  <c:v>186.33333333333334</c:v>
                </c:pt>
                <c:pt idx="5">
                  <c:v>173</c:v>
                </c:pt>
                <c:pt idx="6">
                  <c:v>188.6</c:v>
                </c:pt>
                <c:pt idx="7">
                  <c:v>188.1</c:v>
                </c:pt>
                <c:pt idx="8">
                  <c:v>207.5</c:v>
                </c:pt>
                <c:pt idx="9">
                  <c:v>204.66666666666666</c:v>
                </c:pt>
                <c:pt idx="10">
                  <c:v>191.1</c:v>
                </c:pt>
                <c:pt idx="11">
                  <c:v>202</c:v>
                </c:pt>
                <c:pt idx="12">
                  <c:v>180.85</c:v>
                </c:pt>
                <c:pt idx="13">
                  <c:v>175.05</c:v>
                </c:pt>
                <c:pt idx="14">
                  <c:v>187.2</c:v>
                </c:pt>
                <c:pt idx="15">
                  <c:v>171.33333333333334</c:v>
                </c:pt>
                <c:pt idx="16">
                  <c:v>167.8</c:v>
                </c:pt>
                <c:pt idx="17">
                  <c:v>150.53333333333333</c:v>
                </c:pt>
                <c:pt idx="18">
                  <c:v>117.32005320637343</c:v>
                </c:pt>
                <c:pt idx="19">
                  <c:v>148.97003378005306</c:v>
                </c:pt>
                <c:pt idx="20">
                  <c:v>302.75200000000001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5F-4FB5-9059-56A920A2E4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5.6677282585334401E-2"/>
                  <c:y val="-0.135046011418382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calibration!$S$3:$S$23</c:f>
              <c:numCache>
                <c:formatCode>0.00</c:formatCode>
                <c:ptCount val="21"/>
                <c:pt idx="0">
                  <c:v>139.71428571428572</c:v>
                </c:pt>
                <c:pt idx="1">
                  <c:v>169</c:v>
                </c:pt>
                <c:pt idx="2">
                  <c:v>176.4</c:v>
                </c:pt>
                <c:pt idx="3">
                  <c:v>166.125</c:v>
                </c:pt>
                <c:pt idx="4">
                  <c:v>186.33333333333334</c:v>
                </c:pt>
                <c:pt idx="5">
                  <c:v>173</c:v>
                </c:pt>
                <c:pt idx="6">
                  <c:v>188.6</c:v>
                </c:pt>
                <c:pt idx="7">
                  <c:v>188.1</c:v>
                </c:pt>
                <c:pt idx="8">
                  <c:v>207.5</c:v>
                </c:pt>
                <c:pt idx="9">
                  <c:v>204.66666666666666</c:v>
                </c:pt>
                <c:pt idx="10">
                  <c:v>191.1</c:v>
                </c:pt>
                <c:pt idx="11">
                  <c:v>202</c:v>
                </c:pt>
                <c:pt idx="12">
                  <c:v>180.85</c:v>
                </c:pt>
                <c:pt idx="13">
                  <c:v>175.05</c:v>
                </c:pt>
                <c:pt idx="14">
                  <c:v>187.2</c:v>
                </c:pt>
                <c:pt idx="15">
                  <c:v>171.33333333333334</c:v>
                </c:pt>
                <c:pt idx="16">
                  <c:v>167.8</c:v>
                </c:pt>
                <c:pt idx="17">
                  <c:v>150.53333333333333</c:v>
                </c:pt>
                <c:pt idx="18">
                  <c:v>117.32005320637343</c:v>
                </c:pt>
                <c:pt idx="19">
                  <c:v>148.97003378005306</c:v>
                </c:pt>
                <c:pt idx="20">
                  <c:v>302.75200000000001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5F-4FB5-9059-56A920A2E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calibration!$T$3:$T$23</c:f>
              <c:numCache>
                <c:formatCode>0.00</c:formatCode>
                <c:ptCount val="21"/>
                <c:pt idx="0">
                  <c:v>8.984494301195399E-2</c:v>
                </c:pt>
                <c:pt idx="1">
                  <c:v>1.0284460620237581E-2</c:v>
                </c:pt>
                <c:pt idx="2">
                  <c:v>1.8739975134602762E-2</c:v>
                </c:pt>
                <c:pt idx="3">
                  <c:v>3.8815793791857747E-2</c:v>
                </c:pt>
                <c:pt idx="4">
                  <c:v>4.4543546788178297E-2</c:v>
                </c:pt>
                <c:pt idx="5">
                  <c:v>3.5864685900432638E-2</c:v>
                </c:pt>
                <c:pt idx="6">
                  <c:v>5.5449770411289609E-3</c:v>
                </c:pt>
                <c:pt idx="15">
                  <c:v>6.8670601298223997E-3</c:v>
                </c:pt>
                <c:pt idx="16">
                  <c:v>1.0086709095523141E-2</c:v>
                </c:pt>
                <c:pt idx="17">
                  <c:v>7.747256978540977E-2</c:v>
                </c:pt>
                <c:pt idx="18">
                  <c:v>1.452996263730735E-2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8A-44AE-98F4-018346AC825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calibration!$T$3:$T$23</c:f>
              <c:numCache>
                <c:formatCode>0.00</c:formatCode>
                <c:ptCount val="21"/>
                <c:pt idx="0">
                  <c:v>8.984494301195399E-2</c:v>
                </c:pt>
                <c:pt idx="1">
                  <c:v>1.0284460620237581E-2</c:v>
                </c:pt>
                <c:pt idx="2">
                  <c:v>1.8739975134602762E-2</c:v>
                </c:pt>
                <c:pt idx="3">
                  <c:v>3.8815793791857747E-2</c:v>
                </c:pt>
                <c:pt idx="4">
                  <c:v>4.4543546788178297E-2</c:v>
                </c:pt>
                <c:pt idx="5">
                  <c:v>3.5864685900432638E-2</c:v>
                </c:pt>
                <c:pt idx="6">
                  <c:v>5.5449770411289609E-3</c:v>
                </c:pt>
                <c:pt idx="15">
                  <c:v>6.8670601298223997E-3</c:v>
                </c:pt>
                <c:pt idx="16">
                  <c:v>1.0086709095523141E-2</c:v>
                </c:pt>
                <c:pt idx="17">
                  <c:v>7.747256978540977E-2</c:v>
                </c:pt>
                <c:pt idx="18">
                  <c:v>1.452996263730735E-2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8A-44AE-98F4-018346AC8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calibration!$U$3:$U$23</c:f>
              <c:numCache>
                <c:formatCode>0.00</c:formatCode>
                <c:ptCount val="21"/>
                <c:pt idx="0">
                  <c:v>0.23958651469854397</c:v>
                </c:pt>
                <c:pt idx="1">
                  <c:v>4.1137842480950322E-2</c:v>
                </c:pt>
                <c:pt idx="2">
                  <c:v>0.1499198010768221</c:v>
                </c:pt>
                <c:pt idx="3">
                  <c:v>0.18760966999397913</c:v>
                </c:pt>
                <c:pt idx="4">
                  <c:v>0.20786988501149872</c:v>
                </c:pt>
                <c:pt idx="5">
                  <c:v>0.26300769660317264</c:v>
                </c:pt>
                <c:pt idx="6">
                  <c:v>7.2084701534676485E-2</c:v>
                </c:pt>
                <c:pt idx="7">
                  <c:v>1.7984892003033839E-2</c:v>
                </c:pt>
                <c:pt idx="14">
                  <c:v>8.0054026560360658E-3</c:v>
                </c:pt>
                <c:pt idx="15">
                  <c:v>0.103005901947336</c:v>
                </c:pt>
                <c:pt idx="16">
                  <c:v>5.04335454776157E-2</c:v>
                </c:pt>
                <c:pt idx="17">
                  <c:v>0.39381889640916629</c:v>
                </c:pt>
                <c:pt idx="18">
                  <c:v>6.6422686341976456E-2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77-4914-84F6-08EDFF0DCD2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calibration!$U$3:$U$23</c:f>
              <c:numCache>
                <c:formatCode>0.00</c:formatCode>
                <c:ptCount val="21"/>
                <c:pt idx="0">
                  <c:v>0.23958651469854397</c:v>
                </c:pt>
                <c:pt idx="1">
                  <c:v>4.1137842480950322E-2</c:v>
                </c:pt>
                <c:pt idx="2">
                  <c:v>0.1499198010768221</c:v>
                </c:pt>
                <c:pt idx="3">
                  <c:v>0.18760966999397913</c:v>
                </c:pt>
                <c:pt idx="4">
                  <c:v>0.20786988501149872</c:v>
                </c:pt>
                <c:pt idx="5">
                  <c:v>0.26300769660317264</c:v>
                </c:pt>
                <c:pt idx="6">
                  <c:v>7.2084701534676485E-2</c:v>
                </c:pt>
                <c:pt idx="7">
                  <c:v>1.7984892003033839E-2</c:v>
                </c:pt>
                <c:pt idx="14">
                  <c:v>8.0054026560360658E-3</c:v>
                </c:pt>
                <c:pt idx="15">
                  <c:v>0.103005901947336</c:v>
                </c:pt>
                <c:pt idx="16">
                  <c:v>5.04335454776157E-2</c:v>
                </c:pt>
                <c:pt idx="17">
                  <c:v>0.39381889640916629</c:v>
                </c:pt>
                <c:pt idx="18">
                  <c:v>6.6422686341976456E-2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77-4914-84F6-08EDFF0D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calibration!$V$3:$V$23</c:f>
              <c:numCache>
                <c:formatCode>0.00</c:formatCode>
                <c:ptCount val="21"/>
                <c:pt idx="0">
                  <c:v>1.4375190881912638</c:v>
                </c:pt>
                <c:pt idx="1">
                  <c:v>0.33424497015772137</c:v>
                </c:pt>
                <c:pt idx="2">
                  <c:v>0.38416949025935654</c:v>
                </c:pt>
                <c:pt idx="3">
                  <c:v>0.65986849446158169</c:v>
                </c:pt>
                <c:pt idx="4">
                  <c:v>0.60876180610510333</c:v>
                </c:pt>
                <c:pt idx="5">
                  <c:v>0.6933839274083643</c:v>
                </c:pt>
                <c:pt idx="6">
                  <c:v>0.21625410460402944</c:v>
                </c:pt>
                <c:pt idx="7">
                  <c:v>8.9924460015169197E-2</c:v>
                </c:pt>
                <c:pt idx="8">
                  <c:v>3.2691026650086601E-2</c:v>
                </c:pt>
                <c:pt idx="9">
                  <c:v>3.2062656312361215E-2</c:v>
                </c:pt>
                <c:pt idx="10">
                  <c:v>1.1688036291366491E-2</c:v>
                </c:pt>
                <c:pt idx="11">
                  <c:v>1.082085140323868E-3</c:v>
                </c:pt>
                <c:pt idx="12">
                  <c:v>1.260285812403201E-2</c:v>
                </c:pt>
                <c:pt idx="13">
                  <c:v>5.9899404677243454E-3</c:v>
                </c:pt>
                <c:pt idx="14">
                  <c:v>4.1628093811387545E-2</c:v>
                </c:pt>
                <c:pt idx="15">
                  <c:v>0.37768830714023199</c:v>
                </c:pt>
                <c:pt idx="16">
                  <c:v>0.17147405462389337</c:v>
                </c:pt>
                <c:pt idx="17">
                  <c:v>1.2072808791559688</c:v>
                </c:pt>
                <c:pt idx="18">
                  <c:v>0.30720492433164109</c:v>
                </c:pt>
                <c:pt idx="20">
                  <c:v>4.0013970684383809E-2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26-478C-B192-486CB10221D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calibration!$V$3:$V$23</c:f>
              <c:numCache>
                <c:formatCode>0.00</c:formatCode>
                <c:ptCount val="21"/>
                <c:pt idx="0">
                  <c:v>1.4375190881912638</c:v>
                </c:pt>
                <c:pt idx="1">
                  <c:v>0.33424497015772137</c:v>
                </c:pt>
                <c:pt idx="2">
                  <c:v>0.38416949025935654</c:v>
                </c:pt>
                <c:pt idx="3">
                  <c:v>0.65986849446158169</c:v>
                </c:pt>
                <c:pt idx="4">
                  <c:v>0.60876180610510333</c:v>
                </c:pt>
                <c:pt idx="5">
                  <c:v>0.6933839274083643</c:v>
                </c:pt>
                <c:pt idx="6">
                  <c:v>0.21625410460402944</c:v>
                </c:pt>
                <c:pt idx="7">
                  <c:v>8.9924460015169197E-2</c:v>
                </c:pt>
                <c:pt idx="8">
                  <c:v>3.2691026650086601E-2</c:v>
                </c:pt>
                <c:pt idx="9">
                  <c:v>3.2062656312361215E-2</c:v>
                </c:pt>
                <c:pt idx="10">
                  <c:v>1.1688036291366491E-2</c:v>
                </c:pt>
                <c:pt idx="11">
                  <c:v>1.082085140323868E-3</c:v>
                </c:pt>
                <c:pt idx="12">
                  <c:v>1.260285812403201E-2</c:v>
                </c:pt>
                <c:pt idx="13">
                  <c:v>5.9899404677243454E-3</c:v>
                </c:pt>
                <c:pt idx="14">
                  <c:v>4.1628093811387545E-2</c:v>
                </c:pt>
                <c:pt idx="15">
                  <c:v>0.37768830714023199</c:v>
                </c:pt>
                <c:pt idx="16">
                  <c:v>0.17147405462389337</c:v>
                </c:pt>
                <c:pt idx="17">
                  <c:v>1.2072808791559688</c:v>
                </c:pt>
                <c:pt idx="18">
                  <c:v>0.30720492433164109</c:v>
                </c:pt>
                <c:pt idx="20">
                  <c:v>4.0013970684383809E-2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26-478C-B192-486CB1022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calibration!$W$3:$W$23</c:f>
              <c:numCache>
                <c:formatCode>0.00</c:formatCode>
                <c:ptCount val="21"/>
                <c:pt idx="0">
                  <c:v>3.9531774925259757</c:v>
                </c:pt>
                <c:pt idx="1">
                  <c:v>1.002734910473164</c:v>
                </c:pt>
                <c:pt idx="2">
                  <c:v>1.3024282718548919</c:v>
                </c:pt>
                <c:pt idx="3">
                  <c:v>1.5914475454661676</c:v>
                </c:pt>
                <c:pt idx="4">
                  <c:v>1.5293284397274549</c:v>
                </c:pt>
                <c:pt idx="5">
                  <c:v>1.9725577245237949</c:v>
                </c:pt>
                <c:pt idx="6">
                  <c:v>0.43250820920805888</c:v>
                </c:pt>
                <c:pt idx="7">
                  <c:v>0.27202149154588684</c:v>
                </c:pt>
                <c:pt idx="8">
                  <c:v>0.15528237658791136</c:v>
                </c:pt>
                <c:pt idx="9">
                  <c:v>0.14333893410232074</c:v>
                </c:pt>
                <c:pt idx="10">
                  <c:v>6.5878022733156585E-2</c:v>
                </c:pt>
                <c:pt idx="11">
                  <c:v>1.7313362245181887E-2</c:v>
                </c:pt>
                <c:pt idx="12">
                  <c:v>0.1057239764849352</c:v>
                </c:pt>
                <c:pt idx="13">
                  <c:v>5.6087624379600687E-2</c:v>
                </c:pt>
                <c:pt idx="14">
                  <c:v>0.1793210194952079</c:v>
                </c:pt>
                <c:pt idx="15">
                  <c:v>0.95795488811022489</c:v>
                </c:pt>
                <c:pt idx="16">
                  <c:v>0.6178109321007923</c:v>
                </c:pt>
                <c:pt idx="17">
                  <c:v>3.163463266237565</c:v>
                </c:pt>
                <c:pt idx="18">
                  <c:v>0.98596175038871292</c:v>
                </c:pt>
                <c:pt idx="19">
                  <c:v>3.8329350515515399E-2</c:v>
                </c:pt>
                <c:pt idx="20">
                  <c:v>0.93921681189733641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9-4083-A5FB-40E5EC1FE7E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calibration!$W$3:$W$23</c:f>
              <c:numCache>
                <c:formatCode>0.00</c:formatCode>
                <c:ptCount val="21"/>
                <c:pt idx="0">
                  <c:v>3.9531774925259757</c:v>
                </c:pt>
                <c:pt idx="1">
                  <c:v>1.002734910473164</c:v>
                </c:pt>
                <c:pt idx="2">
                  <c:v>1.3024282718548919</c:v>
                </c:pt>
                <c:pt idx="3">
                  <c:v>1.5914475454661676</c:v>
                </c:pt>
                <c:pt idx="4">
                  <c:v>1.5293284397274549</c:v>
                </c:pt>
                <c:pt idx="5">
                  <c:v>1.9725577245237949</c:v>
                </c:pt>
                <c:pt idx="6">
                  <c:v>0.43250820920805888</c:v>
                </c:pt>
                <c:pt idx="7">
                  <c:v>0.27202149154588684</c:v>
                </c:pt>
                <c:pt idx="8">
                  <c:v>0.15528237658791136</c:v>
                </c:pt>
                <c:pt idx="9">
                  <c:v>0.14333893410232074</c:v>
                </c:pt>
                <c:pt idx="10">
                  <c:v>6.5878022733156585E-2</c:v>
                </c:pt>
                <c:pt idx="11">
                  <c:v>1.7313362245181887E-2</c:v>
                </c:pt>
                <c:pt idx="12">
                  <c:v>0.1057239764849352</c:v>
                </c:pt>
                <c:pt idx="13">
                  <c:v>5.6087624379600687E-2</c:v>
                </c:pt>
                <c:pt idx="14">
                  <c:v>0.1793210194952079</c:v>
                </c:pt>
                <c:pt idx="15">
                  <c:v>0.95795488811022489</c:v>
                </c:pt>
                <c:pt idx="16">
                  <c:v>0.6178109321007923</c:v>
                </c:pt>
                <c:pt idx="17">
                  <c:v>3.163463266237565</c:v>
                </c:pt>
                <c:pt idx="18">
                  <c:v>0.98596175038871292</c:v>
                </c:pt>
                <c:pt idx="19">
                  <c:v>3.8329350515515399E-2</c:v>
                </c:pt>
                <c:pt idx="20">
                  <c:v>0.93921681189733641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39-4083-A5FB-40E5EC1FE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calibration!$X$3:$X$23</c:f>
              <c:numCache>
                <c:formatCode>0.00</c:formatCode>
                <c:ptCount val="21"/>
                <c:pt idx="0">
                  <c:v>9.0443909298700369</c:v>
                </c:pt>
                <c:pt idx="1">
                  <c:v>3.2293206347546</c:v>
                </c:pt>
                <c:pt idx="2">
                  <c:v>3.879174852862771</c:v>
                </c:pt>
                <c:pt idx="3">
                  <c:v>3.1893643898976451</c:v>
                </c:pt>
                <c:pt idx="4">
                  <c:v>4.7958552041938631</c:v>
                </c:pt>
                <c:pt idx="5">
                  <c:v>6.6827864727806139</c:v>
                </c:pt>
                <c:pt idx="6">
                  <c:v>1.9130170791894914</c:v>
                </c:pt>
                <c:pt idx="7">
                  <c:v>1.4185583567392941</c:v>
                </c:pt>
                <c:pt idx="8">
                  <c:v>0.74916936073115126</c:v>
                </c:pt>
                <c:pt idx="9">
                  <c:v>0.61862066296791052</c:v>
                </c:pt>
                <c:pt idx="10">
                  <c:v>0.64496709353267823</c:v>
                </c:pt>
                <c:pt idx="11">
                  <c:v>0.28999881760679663</c:v>
                </c:pt>
                <c:pt idx="12">
                  <c:v>0.83738990646346023</c:v>
                </c:pt>
                <c:pt idx="13">
                  <c:v>0.52929292132982397</c:v>
                </c:pt>
                <c:pt idx="14">
                  <c:v>1.29847631080905</c:v>
                </c:pt>
                <c:pt idx="15">
                  <c:v>3.5434030269883583</c:v>
                </c:pt>
                <c:pt idx="16">
                  <c:v>2.9125372513323069</c:v>
                </c:pt>
                <c:pt idx="17">
                  <c:v>6.5787123842777122</c:v>
                </c:pt>
                <c:pt idx="18">
                  <c:v>3.9085599494356771</c:v>
                </c:pt>
                <c:pt idx="19">
                  <c:v>0.51423766641856639</c:v>
                </c:pt>
                <c:pt idx="20">
                  <c:v>7.0602428274223881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DA-456F-BF87-60219BA5844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calibration!$X$3:$X$23</c:f>
              <c:numCache>
                <c:formatCode>0.00</c:formatCode>
                <c:ptCount val="21"/>
                <c:pt idx="0">
                  <c:v>9.0443909298700369</c:v>
                </c:pt>
                <c:pt idx="1">
                  <c:v>3.2293206347546</c:v>
                </c:pt>
                <c:pt idx="2">
                  <c:v>3.879174852862771</c:v>
                </c:pt>
                <c:pt idx="3">
                  <c:v>3.1893643898976451</c:v>
                </c:pt>
                <c:pt idx="4">
                  <c:v>4.7958552041938631</c:v>
                </c:pt>
                <c:pt idx="5">
                  <c:v>6.6827864727806139</c:v>
                </c:pt>
                <c:pt idx="6">
                  <c:v>1.9130170791894914</c:v>
                </c:pt>
                <c:pt idx="7">
                  <c:v>1.4185583567392941</c:v>
                </c:pt>
                <c:pt idx="8">
                  <c:v>0.74916936073115126</c:v>
                </c:pt>
                <c:pt idx="9">
                  <c:v>0.61862066296791052</c:v>
                </c:pt>
                <c:pt idx="10">
                  <c:v>0.64496709353267823</c:v>
                </c:pt>
                <c:pt idx="11">
                  <c:v>0.28999881760679663</c:v>
                </c:pt>
                <c:pt idx="12">
                  <c:v>0.83738990646346023</c:v>
                </c:pt>
                <c:pt idx="13">
                  <c:v>0.52929292132982397</c:v>
                </c:pt>
                <c:pt idx="14">
                  <c:v>1.29847631080905</c:v>
                </c:pt>
                <c:pt idx="15">
                  <c:v>3.5434030269883583</c:v>
                </c:pt>
                <c:pt idx="16">
                  <c:v>2.9125372513323069</c:v>
                </c:pt>
                <c:pt idx="17">
                  <c:v>6.5787123842777122</c:v>
                </c:pt>
                <c:pt idx="18">
                  <c:v>3.9085599494356771</c:v>
                </c:pt>
                <c:pt idx="19">
                  <c:v>0.51423766641856639</c:v>
                </c:pt>
                <c:pt idx="20">
                  <c:v>7.0602428274223881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DA-456F-BF87-60219BA58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calibration!$Y$3:$Y$23</c:f>
              <c:numCache>
                <c:formatCode>0.00</c:formatCode>
                <c:ptCount val="21"/>
                <c:pt idx="0">
                  <c:v>14.644725710948503</c:v>
                </c:pt>
                <c:pt idx="1">
                  <c:v>8.6903692241007544</c:v>
                </c:pt>
                <c:pt idx="2">
                  <c:v>8.2643290343598181</c:v>
                </c:pt>
                <c:pt idx="3">
                  <c:v>8.5976983248964913</c:v>
                </c:pt>
                <c:pt idx="4">
                  <c:v>8.2999475515305559</c:v>
                </c:pt>
                <c:pt idx="5">
                  <c:v>16.545575095399588</c:v>
                </c:pt>
                <c:pt idx="6">
                  <c:v>5.2289133497846096</c:v>
                </c:pt>
                <c:pt idx="7">
                  <c:v>4.2286977322133312</c:v>
                </c:pt>
                <c:pt idx="8">
                  <c:v>2.2611293432976565</c:v>
                </c:pt>
                <c:pt idx="9">
                  <c:v>2.3160554089164456</c:v>
                </c:pt>
                <c:pt idx="10">
                  <c:v>2.0305306684364877</c:v>
                </c:pt>
                <c:pt idx="11">
                  <c:v>1.0929059917271067</c:v>
                </c:pt>
                <c:pt idx="12">
                  <c:v>2.5324743241457655</c:v>
                </c:pt>
                <c:pt idx="13">
                  <c:v>1.906434688863903</c:v>
                </c:pt>
                <c:pt idx="14">
                  <c:v>4.4958341316298549</c:v>
                </c:pt>
                <c:pt idx="15">
                  <c:v>8.824172266821785</c:v>
                </c:pt>
                <c:pt idx="16">
                  <c:v>8.4627489311439152</c:v>
                </c:pt>
                <c:pt idx="17">
                  <c:v>14.57775521462127</c:v>
                </c:pt>
                <c:pt idx="18">
                  <c:v>12.176108690063558</c:v>
                </c:pt>
                <c:pt idx="19">
                  <c:v>2.5836757223060309</c:v>
                </c:pt>
                <c:pt idx="20">
                  <c:v>10.5158937956932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52-4982-B999-0A4314E18B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calibration!$Y$3:$Y$23</c:f>
              <c:numCache>
                <c:formatCode>0.00</c:formatCode>
                <c:ptCount val="21"/>
                <c:pt idx="0">
                  <c:v>14.644725710948503</c:v>
                </c:pt>
                <c:pt idx="1">
                  <c:v>8.6903692241007544</c:v>
                </c:pt>
                <c:pt idx="2">
                  <c:v>8.2643290343598181</c:v>
                </c:pt>
                <c:pt idx="3">
                  <c:v>8.5976983248964913</c:v>
                </c:pt>
                <c:pt idx="4">
                  <c:v>8.2999475515305559</c:v>
                </c:pt>
                <c:pt idx="5">
                  <c:v>16.545575095399588</c:v>
                </c:pt>
                <c:pt idx="6">
                  <c:v>5.2289133497846096</c:v>
                </c:pt>
                <c:pt idx="7">
                  <c:v>4.2286977322133312</c:v>
                </c:pt>
                <c:pt idx="8">
                  <c:v>2.2611293432976565</c:v>
                </c:pt>
                <c:pt idx="9">
                  <c:v>2.3160554089164456</c:v>
                </c:pt>
                <c:pt idx="10">
                  <c:v>2.0305306684364877</c:v>
                </c:pt>
                <c:pt idx="11">
                  <c:v>1.0929059917271067</c:v>
                </c:pt>
                <c:pt idx="12">
                  <c:v>2.5324743241457655</c:v>
                </c:pt>
                <c:pt idx="13">
                  <c:v>1.906434688863903</c:v>
                </c:pt>
                <c:pt idx="14">
                  <c:v>4.4958341316298549</c:v>
                </c:pt>
                <c:pt idx="15">
                  <c:v>8.824172266821785</c:v>
                </c:pt>
                <c:pt idx="16">
                  <c:v>8.4627489311439152</c:v>
                </c:pt>
                <c:pt idx="17">
                  <c:v>14.57775521462127</c:v>
                </c:pt>
                <c:pt idx="18">
                  <c:v>12.176108690063558</c:v>
                </c:pt>
                <c:pt idx="19">
                  <c:v>2.5836757223060309</c:v>
                </c:pt>
                <c:pt idx="20">
                  <c:v>10.5158937956932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52-4982-B999-0A4314E18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  <c:pt idx="20">
                  <c:v>2.2240626908131493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22-492C-870E-DAA7A0E715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  <c:pt idx="20">
                  <c:v>2.2240626908131493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22-492C-870E-DAA7A0E71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  <c:pt idx="20">
                  <c:v>2.1739842359267736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6-40E7-8224-B70A4CA6784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  <c:pt idx="20">
                  <c:v>2.1739842359267736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6-40E7-8224-B70A4CA6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Med/Mean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calibration!$AB$3:$AB$23</c:f>
              <c:numCache>
                <c:formatCode>0.0000</c:formatCode>
                <c:ptCount val="21"/>
                <c:pt idx="0">
                  <c:v>0.69113642717961588</c:v>
                </c:pt>
                <c:pt idx="1">
                  <c:v>0.50902344955152234</c:v>
                </c:pt>
                <c:pt idx="2">
                  <c:v>0.57259097242330081</c:v>
                </c:pt>
                <c:pt idx="3">
                  <c:v>1.2756785629303071</c:v>
                </c:pt>
                <c:pt idx="4">
                  <c:v>0.93177571825444638</c:v>
                </c:pt>
                <c:pt idx="5">
                  <c:v>0.26781357751543616</c:v>
                </c:pt>
                <c:pt idx="6">
                  <c:v>1.011321304313358</c:v>
                </c:pt>
                <c:pt idx="7">
                  <c:v>0.57303721494568682</c:v>
                </c:pt>
                <c:pt idx="8">
                  <c:v>0.9433468675218778</c:v>
                </c:pt>
                <c:pt idx="9">
                  <c:v>0.7457438766077682</c:v>
                </c:pt>
                <c:pt idx="10">
                  <c:v>0.9375136073985646</c:v>
                </c:pt>
                <c:pt idx="11">
                  <c:v>0.95678784227286762</c:v>
                </c:pt>
                <c:pt idx="12">
                  <c:v>0.82182105377340797</c:v>
                </c:pt>
                <c:pt idx="13">
                  <c:v>0.85321674923040902</c:v>
                </c:pt>
                <c:pt idx="14">
                  <c:v>0.65454762426449242</c:v>
                </c:pt>
                <c:pt idx="15">
                  <c:v>0.33229836608580621</c:v>
                </c:pt>
                <c:pt idx="16">
                  <c:v>0.4448565575121598</c:v>
                </c:pt>
                <c:pt idx="17">
                  <c:v>0.3243622862556802</c:v>
                </c:pt>
                <c:pt idx="18">
                  <c:v>0.28597529989470089</c:v>
                </c:pt>
                <c:pt idx="19">
                  <c:v>0.94968146350705707</c:v>
                </c:pt>
                <c:pt idx="20">
                  <c:v>0.97748334384042646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DC-4B67-BDDB-77C69E97279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calibration!$AB$3:$AB$23</c:f>
              <c:numCache>
                <c:formatCode>0.0000</c:formatCode>
                <c:ptCount val="21"/>
                <c:pt idx="0">
                  <c:v>0.69113642717961588</c:v>
                </c:pt>
                <c:pt idx="1">
                  <c:v>0.50902344955152234</c:v>
                </c:pt>
                <c:pt idx="2">
                  <c:v>0.57259097242330081</c:v>
                </c:pt>
                <c:pt idx="3">
                  <c:v>1.2756785629303071</c:v>
                </c:pt>
                <c:pt idx="4">
                  <c:v>0.93177571825444638</c:v>
                </c:pt>
                <c:pt idx="5">
                  <c:v>0.26781357751543616</c:v>
                </c:pt>
                <c:pt idx="6">
                  <c:v>1.011321304313358</c:v>
                </c:pt>
                <c:pt idx="7">
                  <c:v>0.57303721494568682</c:v>
                </c:pt>
                <c:pt idx="8">
                  <c:v>0.9433468675218778</c:v>
                </c:pt>
                <c:pt idx="9">
                  <c:v>0.7457438766077682</c:v>
                </c:pt>
                <c:pt idx="10">
                  <c:v>0.9375136073985646</c:v>
                </c:pt>
                <c:pt idx="11">
                  <c:v>0.95678784227286762</c:v>
                </c:pt>
                <c:pt idx="12">
                  <c:v>0.82182105377340797</c:v>
                </c:pt>
                <c:pt idx="13">
                  <c:v>0.85321674923040902</c:v>
                </c:pt>
                <c:pt idx="14">
                  <c:v>0.65454762426449242</c:v>
                </c:pt>
                <c:pt idx="15">
                  <c:v>0.33229836608580621</c:v>
                </c:pt>
                <c:pt idx="16">
                  <c:v>0.4448565575121598</c:v>
                </c:pt>
                <c:pt idx="17">
                  <c:v>0.3243622862556802</c:v>
                </c:pt>
                <c:pt idx="18">
                  <c:v>0.28597529989470089</c:v>
                </c:pt>
                <c:pt idx="19">
                  <c:v>0.94968146350705707</c:v>
                </c:pt>
                <c:pt idx="20">
                  <c:v>0.97748334384042646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DC-4B67-BDDB-77C69E972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2E-4239-BD95-2AB8E35E46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2E-4239-BD95-2AB8E35E4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8BC-A693-1F102596C1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8BC-A693-1F102596C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calibration!$AE$3:$AE$23</c:f>
              <c:numCache>
                <c:formatCode>General</c:formatCode>
                <c:ptCount val="21"/>
                <c:pt idx="0">
                  <c:v>0.31425210726506331</c:v>
                </c:pt>
                <c:pt idx="1">
                  <c:v>4.7428203244610244E-2</c:v>
                </c:pt>
                <c:pt idx="2">
                  <c:v>9.2670264854809212E-2</c:v>
                </c:pt>
                <c:pt idx="3">
                  <c:v>0.38433009416247804</c:v>
                </c:pt>
                <c:pt idx="4">
                  <c:v>0.29737507606520741</c:v>
                </c:pt>
                <c:pt idx="5">
                  <c:v>3.7430066960130327E-2</c:v>
                </c:pt>
                <c:pt idx="6">
                  <c:v>0.11421384228591011</c:v>
                </c:pt>
                <c:pt idx="7">
                  <c:v>2.105588766240132E-2</c:v>
                </c:pt>
                <c:pt idx="8">
                  <c:v>2.057575298198238E-2</c:v>
                </c:pt>
                <c:pt idx="9">
                  <c:v>1.4306831788144901E-2</c:v>
                </c:pt>
                <c:pt idx="10">
                  <c:v>5.5667108520111221E-3</c:v>
                </c:pt>
                <c:pt idx="11">
                  <c:v>8.0825445138626008E-4</c:v>
                </c:pt>
                <c:pt idx="12">
                  <c:v>4.2000386030669702E-3</c:v>
                </c:pt>
                <c:pt idx="13">
                  <c:v>2.2624602271450194E-3</c:v>
                </c:pt>
                <c:pt idx="14">
                  <c:v>7.3915497596027191E-3</c:v>
                </c:pt>
                <c:pt idx="15">
                  <c:v>3.3513710723213012E-2</c:v>
                </c:pt>
                <c:pt idx="16">
                  <c:v>1.4913772943934471E-2</c:v>
                </c:pt>
                <c:pt idx="17">
                  <c:v>0.11894162991711801</c:v>
                </c:pt>
                <c:pt idx="18">
                  <c:v>7.8806005793825365E-3</c:v>
                </c:pt>
                <c:pt idx="19">
                  <c:v>6.0608760715105312E-4</c:v>
                </c:pt>
                <c:pt idx="20">
                  <c:v>1.7991386146473293E-2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3C-451C-8908-23FAA195D6C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calibration!$AE$3:$AE$23</c:f>
              <c:numCache>
                <c:formatCode>General</c:formatCode>
                <c:ptCount val="21"/>
                <c:pt idx="0">
                  <c:v>0.31425210726506331</c:v>
                </c:pt>
                <c:pt idx="1">
                  <c:v>4.7428203244610244E-2</c:v>
                </c:pt>
                <c:pt idx="2">
                  <c:v>9.2670264854809212E-2</c:v>
                </c:pt>
                <c:pt idx="3">
                  <c:v>0.38433009416247804</c:v>
                </c:pt>
                <c:pt idx="4">
                  <c:v>0.29737507606520741</c:v>
                </c:pt>
                <c:pt idx="5">
                  <c:v>3.7430066960130327E-2</c:v>
                </c:pt>
                <c:pt idx="6">
                  <c:v>0.11421384228591011</c:v>
                </c:pt>
                <c:pt idx="7">
                  <c:v>2.105588766240132E-2</c:v>
                </c:pt>
                <c:pt idx="8">
                  <c:v>2.057575298198238E-2</c:v>
                </c:pt>
                <c:pt idx="9">
                  <c:v>1.4306831788144901E-2</c:v>
                </c:pt>
                <c:pt idx="10">
                  <c:v>5.5667108520111221E-3</c:v>
                </c:pt>
                <c:pt idx="11">
                  <c:v>8.0825445138626008E-4</c:v>
                </c:pt>
                <c:pt idx="12">
                  <c:v>4.2000386030669702E-3</c:v>
                </c:pt>
                <c:pt idx="13">
                  <c:v>2.2624602271450194E-3</c:v>
                </c:pt>
                <c:pt idx="14">
                  <c:v>7.3915497596027191E-3</c:v>
                </c:pt>
                <c:pt idx="15">
                  <c:v>3.3513710723213012E-2</c:v>
                </c:pt>
                <c:pt idx="16">
                  <c:v>1.4913772943934471E-2</c:v>
                </c:pt>
                <c:pt idx="17">
                  <c:v>0.11894162991711801</c:v>
                </c:pt>
                <c:pt idx="18">
                  <c:v>7.8806005793825365E-3</c:v>
                </c:pt>
                <c:pt idx="19">
                  <c:v>6.0608760715105312E-4</c:v>
                </c:pt>
                <c:pt idx="20">
                  <c:v>1.7991386146473293E-2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3C-451C-8908-23FAA195D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calibration!$AF$3:$AF$23</c:f>
              <c:numCache>
                <c:formatCode>General</c:formatCode>
                <c:ptCount val="21"/>
                <c:pt idx="0">
                  <c:v>0.86419329497892416</c:v>
                </c:pt>
                <c:pt idx="1">
                  <c:v>0.14228460973383072</c:v>
                </c:pt>
                <c:pt idx="2">
                  <c:v>0.31417480036142642</c:v>
                </c:pt>
                <c:pt idx="3">
                  <c:v>0.9269137565095058</c:v>
                </c:pt>
                <c:pt idx="4">
                  <c:v>0.74706421548088708</c:v>
                </c:pt>
                <c:pt idx="5">
                  <c:v>0.10648208704175006</c:v>
                </c:pt>
                <c:pt idx="6">
                  <c:v>0.22842768457182022</c:v>
                </c:pt>
                <c:pt idx="7">
                  <c:v>6.3694060178763987E-2</c:v>
                </c:pt>
                <c:pt idx="8">
                  <c:v>9.7734826664416311E-2</c:v>
                </c:pt>
                <c:pt idx="9">
                  <c:v>6.3959953876412484E-2</c:v>
                </c:pt>
                <c:pt idx="10">
                  <c:v>3.1376006620426319E-2</c:v>
                </c:pt>
                <c:pt idx="11">
                  <c:v>1.2932071222180161E-2</c:v>
                </c:pt>
                <c:pt idx="12">
                  <c:v>3.5233657170172912E-2</c:v>
                </c:pt>
                <c:pt idx="13">
                  <c:v>2.118485485417609E-2</c:v>
                </c:pt>
                <c:pt idx="14">
                  <c:v>3.184052204136556E-2</c:v>
                </c:pt>
                <c:pt idx="15">
                  <c:v>8.5002957197967563E-2</c:v>
                </c:pt>
                <c:pt idx="16">
                  <c:v>5.3733446636234493E-2</c:v>
                </c:pt>
                <c:pt idx="17">
                  <c:v>0.31166523347266217</c:v>
                </c:pt>
                <c:pt idx="18">
                  <c:v>2.529246807572098E-2</c:v>
                </c:pt>
                <c:pt idx="19">
                  <c:v>7.8791388929636916E-3</c:v>
                </c:pt>
                <c:pt idx="20">
                  <c:v>0.42229781371582886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60-4818-9ECF-7B96F5FAEC0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calibration!$AF$3:$AF$23</c:f>
              <c:numCache>
                <c:formatCode>General</c:formatCode>
                <c:ptCount val="21"/>
                <c:pt idx="0">
                  <c:v>0.86419329497892416</c:v>
                </c:pt>
                <c:pt idx="1">
                  <c:v>0.14228460973383072</c:v>
                </c:pt>
                <c:pt idx="2">
                  <c:v>0.31417480036142642</c:v>
                </c:pt>
                <c:pt idx="3">
                  <c:v>0.9269137565095058</c:v>
                </c:pt>
                <c:pt idx="4">
                  <c:v>0.74706421548088708</c:v>
                </c:pt>
                <c:pt idx="5">
                  <c:v>0.10648208704175006</c:v>
                </c:pt>
                <c:pt idx="6">
                  <c:v>0.22842768457182022</c:v>
                </c:pt>
                <c:pt idx="7">
                  <c:v>6.3694060178763987E-2</c:v>
                </c:pt>
                <c:pt idx="8">
                  <c:v>9.7734826664416311E-2</c:v>
                </c:pt>
                <c:pt idx="9">
                  <c:v>6.3959953876412484E-2</c:v>
                </c:pt>
                <c:pt idx="10">
                  <c:v>3.1376006620426319E-2</c:v>
                </c:pt>
                <c:pt idx="11">
                  <c:v>1.2932071222180161E-2</c:v>
                </c:pt>
                <c:pt idx="12">
                  <c:v>3.5233657170172912E-2</c:v>
                </c:pt>
                <c:pt idx="13">
                  <c:v>2.118485485417609E-2</c:v>
                </c:pt>
                <c:pt idx="14">
                  <c:v>3.184052204136556E-2</c:v>
                </c:pt>
                <c:pt idx="15">
                  <c:v>8.5002957197967563E-2</c:v>
                </c:pt>
                <c:pt idx="16">
                  <c:v>5.3733446636234493E-2</c:v>
                </c:pt>
                <c:pt idx="17">
                  <c:v>0.31166523347266217</c:v>
                </c:pt>
                <c:pt idx="18">
                  <c:v>2.529246807572098E-2</c:v>
                </c:pt>
                <c:pt idx="19">
                  <c:v>7.8791388929636916E-3</c:v>
                </c:pt>
                <c:pt idx="20">
                  <c:v>0.42229781371582886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60-4818-9ECF-7B96F5FAE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calibration!$AG$3:$AG$23</c:f>
              <c:numCache>
                <c:formatCode>General</c:formatCode>
                <c:ptCount val="21"/>
                <c:pt idx="0">
                  <c:v>1.977169508209357</c:v>
                </c:pt>
                <c:pt idx="1">
                  <c:v>0.45822940980946508</c:v>
                </c:pt>
                <c:pt idx="2">
                  <c:v>0.93574364999734194</c:v>
                </c:pt>
                <c:pt idx="3">
                  <c:v>1.8575954551186438</c:v>
                </c:pt>
                <c:pt idx="4">
                  <c:v>2.3427353553429757</c:v>
                </c:pt>
                <c:pt idx="5">
                  <c:v>0.36074840397780777</c:v>
                </c:pt>
                <c:pt idx="6">
                  <c:v>1.0103532202215126</c:v>
                </c:pt>
                <c:pt idx="7">
                  <c:v>0.33215662787438083</c:v>
                </c:pt>
                <c:pt idx="8">
                  <c:v>0.47152767250376287</c:v>
                </c:pt>
                <c:pt idx="9">
                  <c:v>0.27603769567714864</c:v>
                </c:pt>
                <c:pt idx="10">
                  <c:v>0.30718122610643189</c:v>
                </c:pt>
                <c:pt idx="11">
                  <c:v>0.21661219297151771</c:v>
                </c:pt>
                <c:pt idx="12">
                  <c:v>0.27906923162600533</c:v>
                </c:pt>
                <c:pt idx="13">
                  <c:v>0.19991921279863262</c:v>
                </c:pt>
                <c:pt idx="14">
                  <c:v>0.23055949442453097</c:v>
                </c:pt>
                <c:pt idx="15">
                  <c:v>0.31441954060323485</c:v>
                </c:pt>
                <c:pt idx="16">
                  <c:v>0.25331481985653403</c:v>
                </c:pt>
                <c:pt idx="17">
                  <c:v>0.64813647532376073</c:v>
                </c:pt>
                <c:pt idx="18">
                  <c:v>0.10026466818227917</c:v>
                </c:pt>
                <c:pt idx="19">
                  <c:v>0.10570880912958075</c:v>
                </c:pt>
                <c:pt idx="20">
                  <c:v>3.1744801333999542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83-4CA3-926E-2EB6613C005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calibration!$AG$3:$AG$23</c:f>
              <c:numCache>
                <c:formatCode>General</c:formatCode>
                <c:ptCount val="21"/>
                <c:pt idx="0">
                  <c:v>1.977169508209357</c:v>
                </c:pt>
                <c:pt idx="1">
                  <c:v>0.45822940980946508</c:v>
                </c:pt>
                <c:pt idx="2">
                  <c:v>0.93574364999734194</c:v>
                </c:pt>
                <c:pt idx="3">
                  <c:v>1.8575954551186438</c:v>
                </c:pt>
                <c:pt idx="4">
                  <c:v>2.3427353553429757</c:v>
                </c:pt>
                <c:pt idx="5">
                  <c:v>0.36074840397780777</c:v>
                </c:pt>
                <c:pt idx="6">
                  <c:v>1.0103532202215126</c:v>
                </c:pt>
                <c:pt idx="7">
                  <c:v>0.33215662787438083</c:v>
                </c:pt>
                <c:pt idx="8">
                  <c:v>0.47152767250376287</c:v>
                </c:pt>
                <c:pt idx="9">
                  <c:v>0.27603769567714864</c:v>
                </c:pt>
                <c:pt idx="10">
                  <c:v>0.30718122610643189</c:v>
                </c:pt>
                <c:pt idx="11">
                  <c:v>0.21661219297151771</c:v>
                </c:pt>
                <c:pt idx="12">
                  <c:v>0.27906923162600533</c:v>
                </c:pt>
                <c:pt idx="13">
                  <c:v>0.19991921279863262</c:v>
                </c:pt>
                <c:pt idx="14">
                  <c:v>0.23055949442453097</c:v>
                </c:pt>
                <c:pt idx="15">
                  <c:v>0.31441954060323485</c:v>
                </c:pt>
                <c:pt idx="16">
                  <c:v>0.25331481985653403</c:v>
                </c:pt>
                <c:pt idx="17">
                  <c:v>0.64813647532376073</c:v>
                </c:pt>
                <c:pt idx="18">
                  <c:v>0.10026466818227917</c:v>
                </c:pt>
                <c:pt idx="19">
                  <c:v>0.10570880912958075</c:v>
                </c:pt>
                <c:pt idx="20">
                  <c:v>3.1744801333999542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83-4CA3-926E-2EB6613C0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Med Amp</a:t>
            </a:r>
          </a:p>
        </c:rich>
      </c:tx>
      <c:layout>
        <c:manualLayout>
          <c:xMode val="edge"/>
          <c:yMode val="edge"/>
          <c:x val="0.23729696048058893"/>
          <c:y val="4.5329198418279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calibration!$AH$3:$AH$23</c:f>
              <c:numCache>
                <c:formatCode>General</c:formatCode>
                <c:ptCount val="21"/>
                <c:pt idx="0">
                  <c:v>3.201443342762833</c:v>
                </c:pt>
                <c:pt idx="1">
                  <c:v>1.2331332843598664</c:v>
                </c:pt>
                <c:pt idx="2">
                  <c:v>1.9935408195595545</c:v>
                </c:pt>
                <c:pt idx="3">
                  <c:v>5.0075950504111111</c:v>
                </c:pt>
                <c:pt idx="4">
                  <c:v>4.0544553053768526</c:v>
                </c:pt>
                <c:pt idx="5">
                  <c:v>0.89315883918655814</c:v>
                </c:pt>
                <c:pt idx="6">
                  <c:v>2.761632135272134</c:v>
                </c:pt>
                <c:pt idx="7">
                  <c:v>0.99015311732442202</c:v>
                </c:pt>
                <c:pt idx="8">
                  <c:v>1.423156247920448</c:v>
                </c:pt>
                <c:pt idx="9">
                  <c:v>1.0334582021083492</c:v>
                </c:pt>
                <c:pt idx="10">
                  <c:v>0.96708949438120484</c:v>
                </c:pt>
                <c:pt idx="11">
                  <c:v>0.81633699590012265</c:v>
                </c:pt>
                <c:pt idx="12">
                  <c:v>0.84397442373851272</c:v>
                </c:pt>
                <c:pt idx="13">
                  <c:v>0.72007938683951933</c:v>
                </c:pt>
                <c:pt idx="14">
                  <c:v>0.7982873740370936</c:v>
                </c:pt>
                <c:pt idx="15">
                  <c:v>0.78300215053324962</c:v>
                </c:pt>
                <c:pt idx="16">
                  <c:v>0.73603855882123659</c:v>
                </c:pt>
                <c:pt idx="17">
                  <c:v>1.436204279961778</c:v>
                </c:pt>
                <c:pt idx="18">
                  <c:v>0.31234866890985108</c:v>
                </c:pt>
                <c:pt idx="19">
                  <c:v>0.53111100492524932</c:v>
                </c:pt>
                <c:pt idx="20">
                  <c:v>4.7282362314384399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1-43B1-A1B7-22BFFABC51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calibration!$AH$3:$AH$23</c:f>
              <c:numCache>
                <c:formatCode>General</c:formatCode>
                <c:ptCount val="21"/>
                <c:pt idx="0">
                  <c:v>3.201443342762833</c:v>
                </c:pt>
                <c:pt idx="1">
                  <c:v>1.2331332843598664</c:v>
                </c:pt>
                <c:pt idx="2">
                  <c:v>1.9935408195595545</c:v>
                </c:pt>
                <c:pt idx="3">
                  <c:v>5.0075950504111111</c:v>
                </c:pt>
                <c:pt idx="4">
                  <c:v>4.0544553053768526</c:v>
                </c:pt>
                <c:pt idx="5">
                  <c:v>0.89315883918655814</c:v>
                </c:pt>
                <c:pt idx="6">
                  <c:v>2.761632135272134</c:v>
                </c:pt>
                <c:pt idx="7">
                  <c:v>0.99015311732442202</c:v>
                </c:pt>
                <c:pt idx="8">
                  <c:v>1.423156247920448</c:v>
                </c:pt>
                <c:pt idx="9">
                  <c:v>1.0334582021083492</c:v>
                </c:pt>
                <c:pt idx="10">
                  <c:v>0.96708949438120484</c:v>
                </c:pt>
                <c:pt idx="11">
                  <c:v>0.81633699590012265</c:v>
                </c:pt>
                <c:pt idx="12">
                  <c:v>0.84397442373851272</c:v>
                </c:pt>
                <c:pt idx="13">
                  <c:v>0.72007938683951933</c:v>
                </c:pt>
                <c:pt idx="14">
                  <c:v>0.7982873740370936</c:v>
                </c:pt>
                <c:pt idx="15">
                  <c:v>0.78300215053324962</c:v>
                </c:pt>
                <c:pt idx="16">
                  <c:v>0.73603855882123659</c:v>
                </c:pt>
                <c:pt idx="17">
                  <c:v>1.436204279961778</c:v>
                </c:pt>
                <c:pt idx="18">
                  <c:v>0.31234866890985108</c:v>
                </c:pt>
                <c:pt idx="19">
                  <c:v>0.53111100492524932</c:v>
                </c:pt>
                <c:pt idx="20">
                  <c:v>4.7282362314384399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41-43B1-A1B7-22BFFABC5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  <c:pt idx="20">
                  <c:v>2.2240626908131493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22-492C-870E-DAA7A0E715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  <c:pt idx="20">
                  <c:v>2.2240626908131493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22-492C-870E-DAA7A0E71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  <c:pt idx="20">
                  <c:v>2.1739842359267736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6-40E7-8224-B70A4CA6784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  <c:pt idx="20">
                  <c:v>2.1739842359267736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6-40E7-8224-B70A4CA6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Med*Mean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541320618550701E-2"/>
                  <c:y val="0.229080442543510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calibration!$AK$3:$AK$23</c:f>
              <c:numCache>
                <c:formatCode>0.000000</c:formatCode>
                <c:ptCount val="21"/>
                <c:pt idx="0">
                  <c:v>7.597071740654826E-4</c:v>
                </c:pt>
                <c:pt idx="1">
                  <c:v>1.0459449839863352E-4</c:v>
                </c:pt>
                <c:pt idx="2">
                  <c:v>2.2305327652619194E-4</c:v>
                </c:pt>
                <c:pt idx="3">
                  <c:v>7.122741081016157E-4</c:v>
                </c:pt>
                <c:pt idx="4">
                  <c:v>5.0812731266276941E-4</c:v>
                </c:pt>
                <c:pt idx="5">
                  <c:v>9.9525095733030979E-5</c:v>
                </c:pt>
                <c:pt idx="6">
                  <c:v>2.1201135535078248E-4</c:v>
                </c:pt>
                <c:pt idx="7">
                  <c:v>4.8355324236411653E-5</c:v>
                </c:pt>
                <c:pt idx="8">
                  <c:v>4.9865198682043573E-5</c:v>
                </c:pt>
                <c:pt idx="9">
                  <c:v>3.4190220682561793E-5</c:v>
                </c:pt>
                <c:pt idx="10">
                  <c:v>2.731708644440693E-5</c:v>
                </c:pt>
                <c:pt idx="11">
                  <c:v>1.7069490991697714E-5</c:v>
                </c:pt>
                <c:pt idx="12">
                  <c:v>2.6499902877547969E-5</c:v>
                </c:pt>
                <c:pt idx="13">
                  <c:v>1.9832485946162398E-5</c:v>
                </c:pt>
                <c:pt idx="14">
                  <c:v>2.778213268156374E-5</c:v>
                </c:pt>
                <c:pt idx="15">
                  <c:v>6.2851258083761093E-5</c:v>
                </c:pt>
                <c:pt idx="16">
                  <c:v>4.325110652749035E-5</c:v>
                </c:pt>
                <c:pt idx="17">
                  <c:v>2.8063169752368214E-4</c:v>
                </c:pt>
                <c:pt idx="18">
                  <c:v>2.4785991270335527E-5</c:v>
                </c:pt>
                <c:pt idx="19">
                  <c:v>1.33842736338367E-5</c:v>
                </c:pt>
                <c:pt idx="20">
                  <c:v>2.4952549495141591E-4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E5-430D-9A71-74A6BE11829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calibration!$AK$3:$AK$23</c:f>
              <c:numCache>
                <c:formatCode>0.000000</c:formatCode>
                <c:ptCount val="21"/>
                <c:pt idx="0">
                  <c:v>7.597071740654826E-4</c:v>
                </c:pt>
                <c:pt idx="1">
                  <c:v>1.0459449839863352E-4</c:v>
                </c:pt>
                <c:pt idx="2">
                  <c:v>2.2305327652619194E-4</c:v>
                </c:pt>
                <c:pt idx="3">
                  <c:v>7.122741081016157E-4</c:v>
                </c:pt>
                <c:pt idx="4">
                  <c:v>5.0812731266276941E-4</c:v>
                </c:pt>
                <c:pt idx="5">
                  <c:v>9.9525095733030979E-5</c:v>
                </c:pt>
                <c:pt idx="6">
                  <c:v>2.1201135535078248E-4</c:v>
                </c:pt>
                <c:pt idx="7">
                  <c:v>4.8355324236411653E-5</c:v>
                </c:pt>
                <c:pt idx="8">
                  <c:v>4.9865198682043573E-5</c:v>
                </c:pt>
                <c:pt idx="9">
                  <c:v>3.4190220682561793E-5</c:v>
                </c:pt>
                <c:pt idx="10">
                  <c:v>2.731708644440693E-5</c:v>
                </c:pt>
                <c:pt idx="11">
                  <c:v>1.7069490991697714E-5</c:v>
                </c:pt>
                <c:pt idx="12">
                  <c:v>2.6499902877547969E-5</c:v>
                </c:pt>
                <c:pt idx="13">
                  <c:v>1.9832485946162398E-5</c:v>
                </c:pt>
                <c:pt idx="14">
                  <c:v>2.778213268156374E-5</c:v>
                </c:pt>
                <c:pt idx="15">
                  <c:v>6.2851258083761093E-5</c:v>
                </c:pt>
                <c:pt idx="16">
                  <c:v>4.325110652749035E-5</c:v>
                </c:pt>
                <c:pt idx="17">
                  <c:v>2.8063169752368214E-4</c:v>
                </c:pt>
                <c:pt idx="18">
                  <c:v>2.4785991270335527E-5</c:v>
                </c:pt>
                <c:pt idx="19">
                  <c:v>1.33842736338367E-5</c:v>
                </c:pt>
                <c:pt idx="20">
                  <c:v>2.4952549495141591E-4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E5-430D-9A71-74A6BE118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calibration!$AI$3:$AI$23</c:f>
              <c:numCache>
                <c:formatCode>0.000000</c:formatCode>
                <c:ptCount val="21"/>
                <c:pt idx="0">
                  <c:v>2.4018475186843532E-3</c:v>
                </c:pt>
                <c:pt idx="1">
                  <c:v>3.7521037581370633E-4</c:v>
                </c:pt>
                <c:pt idx="2">
                  <c:v>5.2946294484639543E-4</c:v>
                </c:pt>
                <c:pt idx="3">
                  <c:v>1.5600604112957928E-3</c:v>
                </c:pt>
                <c:pt idx="4">
                  <c:v>9.6922980104990105E-4</c:v>
                </c:pt>
                <c:pt idx="5">
                  <c:v>4.9376279347392569E-4</c:v>
                </c:pt>
                <c:pt idx="6">
                  <c:v>4.0596995721442025E-4</c:v>
                </c:pt>
                <c:pt idx="7">
                  <c:v>1.1833995801134387E-4</c:v>
                </c:pt>
                <c:pt idx="8">
                  <c:v>7.4738054342176106E-5</c:v>
                </c:pt>
                <c:pt idx="9">
                  <c:v>5.7140972662678026E-5</c:v>
                </c:pt>
                <c:pt idx="10">
                  <c:v>5.3771833439545179E-5</c:v>
                </c:pt>
                <c:pt idx="11">
                  <c:v>2.1865003286142305E-5</c:v>
                </c:pt>
                <c:pt idx="12">
                  <c:v>6.5348753864087188E-5</c:v>
                </c:pt>
                <c:pt idx="13">
                  <c:v>4.4800006846918226E-5</c:v>
                </c:pt>
                <c:pt idx="14">
                  <c:v>1.0241365167302253E-4</c:v>
                </c:pt>
                <c:pt idx="15">
                  <c:v>2.3537113640772703E-4</c:v>
                </c:pt>
                <c:pt idx="16">
                  <c:v>2.212218958855158E-4</c:v>
                </c:pt>
                <c:pt idx="17">
                  <c:v>9.2393519961339978E-4</c:v>
                </c:pt>
                <c:pt idx="18">
                  <c:v>2.7631449835602376E-4</c:v>
                </c:pt>
                <c:pt idx="19">
                  <c:v>6.1833733835582188E-5</c:v>
                </c:pt>
                <c:pt idx="20">
                  <c:v>5.4246449248620393E-4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19-44C1-986D-DC882FD8255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calibration!$AI$3:$AI$23</c:f>
              <c:numCache>
                <c:formatCode>0.000000</c:formatCode>
                <c:ptCount val="21"/>
                <c:pt idx="0">
                  <c:v>2.4018475186843532E-3</c:v>
                </c:pt>
                <c:pt idx="1">
                  <c:v>3.7521037581370633E-4</c:v>
                </c:pt>
                <c:pt idx="2">
                  <c:v>5.2946294484639543E-4</c:v>
                </c:pt>
                <c:pt idx="3">
                  <c:v>1.5600604112957928E-3</c:v>
                </c:pt>
                <c:pt idx="4">
                  <c:v>9.6922980104990105E-4</c:v>
                </c:pt>
                <c:pt idx="5">
                  <c:v>4.9376279347392569E-4</c:v>
                </c:pt>
                <c:pt idx="6">
                  <c:v>4.0596995721442025E-4</c:v>
                </c:pt>
                <c:pt idx="7">
                  <c:v>1.1833995801134387E-4</c:v>
                </c:pt>
                <c:pt idx="8">
                  <c:v>7.4738054342176106E-5</c:v>
                </c:pt>
                <c:pt idx="9">
                  <c:v>5.7140972662678026E-5</c:v>
                </c:pt>
                <c:pt idx="10">
                  <c:v>5.3771833439545179E-5</c:v>
                </c:pt>
                <c:pt idx="11">
                  <c:v>2.1865003286142305E-5</c:v>
                </c:pt>
                <c:pt idx="12">
                  <c:v>6.5348753864087188E-5</c:v>
                </c:pt>
                <c:pt idx="13">
                  <c:v>4.4800006846918226E-5</c:v>
                </c:pt>
                <c:pt idx="14">
                  <c:v>1.0241365167302253E-4</c:v>
                </c:pt>
                <c:pt idx="15">
                  <c:v>2.3537113640772703E-4</c:v>
                </c:pt>
                <c:pt idx="16">
                  <c:v>2.212218958855158E-4</c:v>
                </c:pt>
                <c:pt idx="17">
                  <c:v>9.2393519961339978E-4</c:v>
                </c:pt>
                <c:pt idx="18">
                  <c:v>2.7631449835602376E-4</c:v>
                </c:pt>
                <c:pt idx="19">
                  <c:v>6.1833733835582188E-5</c:v>
                </c:pt>
                <c:pt idx="20">
                  <c:v>5.4246449248620393E-4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19-44C1-986D-DC882FD82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calibration!$AJ$3:$AJ$23</c:f>
              <c:numCache>
                <c:formatCode>0.000000</c:formatCode>
                <c:ptCount val="21"/>
                <c:pt idx="0">
                  <c:v>3.4752147683573759E-3</c:v>
                </c:pt>
                <c:pt idx="1">
                  <c:v>7.3711805643588205E-4</c:v>
                </c:pt>
                <c:pt idx="2">
                  <c:v>9.2467916950492537E-4</c:v>
                </c:pt>
                <c:pt idx="3">
                  <c:v>1.2229259443791579E-3</c:v>
                </c:pt>
                <c:pt idx="4">
                  <c:v>1.040196457217859E-3</c:v>
                </c:pt>
                <c:pt idx="5">
                  <c:v>1.8436809591756652E-3</c:v>
                </c:pt>
                <c:pt idx="6">
                  <c:v>4.0142529924261388E-4</c:v>
                </c:pt>
                <c:pt idx="7">
                  <c:v>2.065135647822808E-4</c:v>
                </c:pt>
                <c:pt idx="8">
                  <c:v>7.9226482766099602E-5</c:v>
                </c:pt>
                <c:pt idx="9">
                  <c:v>7.662278491993829E-5</c:v>
                </c:pt>
                <c:pt idx="10">
                  <c:v>5.735578984154967E-5</c:v>
                </c:pt>
                <c:pt idx="11">
                  <c:v>2.2852509532522461E-5</c:v>
                </c:pt>
                <c:pt idx="12">
                  <c:v>7.9517011110918925E-5</c:v>
                </c:pt>
                <c:pt idx="13">
                  <c:v>5.2507181659674734E-5</c:v>
                </c:pt>
                <c:pt idx="14">
                  <c:v>1.5646478251006346E-4</c:v>
                </c:pt>
                <c:pt idx="15">
                  <c:v>7.0831265040571822E-4</c:v>
                </c:pt>
                <c:pt idx="16">
                  <c:v>4.9728815311319511E-4</c:v>
                </c:pt>
                <c:pt idx="17">
                  <c:v>2.8484667877975898E-3</c:v>
                </c:pt>
                <c:pt idx="18">
                  <c:v>9.6621805609703243E-4</c:v>
                </c:pt>
                <c:pt idx="19">
                  <c:v>6.5109972355612588E-5</c:v>
                </c:pt>
                <c:pt idx="20">
                  <c:v>5.5496034372812903E-4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85-4342-8BAA-3C1AAD4D3AA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calibration!$AJ$3:$AJ$23</c:f>
              <c:numCache>
                <c:formatCode>0.000000</c:formatCode>
                <c:ptCount val="21"/>
                <c:pt idx="0">
                  <c:v>3.4752147683573759E-3</c:v>
                </c:pt>
                <c:pt idx="1">
                  <c:v>7.3711805643588205E-4</c:v>
                </c:pt>
                <c:pt idx="2">
                  <c:v>9.2467916950492537E-4</c:v>
                </c:pt>
                <c:pt idx="3">
                  <c:v>1.2229259443791579E-3</c:v>
                </c:pt>
                <c:pt idx="4">
                  <c:v>1.040196457217859E-3</c:v>
                </c:pt>
                <c:pt idx="5">
                  <c:v>1.8436809591756652E-3</c:v>
                </c:pt>
                <c:pt idx="6">
                  <c:v>4.0142529924261388E-4</c:v>
                </c:pt>
                <c:pt idx="7">
                  <c:v>2.065135647822808E-4</c:v>
                </c:pt>
                <c:pt idx="8">
                  <c:v>7.9226482766099602E-5</c:v>
                </c:pt>
                <c:pt idx="9">
                  <c:v>7.662278491993829E-5</c:v>
                </c:pt>
                <c:pt idx="10">
                  <c:v>5.735578984154967E-5</c:v>
                </c:pt>
                <c:pt idx="11">
                  <c:v>2.2852509532522461E-5</c:v>
                </c:pt>
                <c:pt idx="12">
                  <c:v>7.9517011110918925E-5</c:v>
                </c:pt>
                <c:pt idx="13">
                  <c:v>5.2507181659674734E-5</c:v>
                </c:pt>
                <c:pt idx="14">
                  <c:v>1.5646478251006346E-4</c:v>
                </c:pt>
                <c:pt idx="15">
                  <c:v>7.0831265040571822E-4</c:v>
                </c:pt>
                <c:pt idx="16">
                  <c:v>4.9728815311319511E-4</c:v>
                </c:pt>
                <c:pt idx="17">
                  <c:v>2.8484667877975898E-3</c:v>
                </c:pt>
                <c:pt idx="18">
                  <c:v>9.6621805609703243E-4</c:v>
                </c:pt>
                <c:pt idx="19">
                  <c:v>6.5109972355612588E-5</c:v>
                </c:pt>
                <c:pt idx="20">
                  <c:v>5.5496034372812903E-4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85-4342-8BAA-3C1AAD4D3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2E-4239-BD95-2AB8E35E46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2E-4239-BD95-2AB8E35E4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8BC-A693-1F102596C1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8BC-A693-1F102596C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calibration!$AL$3:$AL$23</c:f>
              <c:numCache>
                <c:formatCode>General</c:formatCode>
                <c:ptCount val="21"/>
                <c:pt idx="0">
                  <c:v>2.8418060359249629E-2</c:v>
                </c:pt>
                <c:pt idx="1">
                  <c:v>2.8669196515192803E-3</c:v>
                </c:pt>
                <c:pt idx="2">
                  <c:v>7.8948166183852413E-3</c:v>
                </c:pt>
                <c:pt idx="3">
                  <c:v>1.7722060442766824E-2</c:v>
                </c:pt>
                <c:pt idx="4">
                  <c:v>2.3352349155409499E-2</c:v>
                </c:pt>
                <c:pt idx="5">
                  <c:v>7.2290507605128757E-3</c:v>
                </c:pt>
                <c:pt idx="6">
                  <c:v>2.8957760962046004E-3</c:v>
                </c:pt>
                <c:pt idx="14">
                  <c:v>4.3433107818363734E-4</c:v>
                </c:pt>
                <c:pt idx="15">
                  <c:v>1.8337140869665466E-3</c:v>
                </c:pt>
                <c:pt idx="16">
                  <c:v>1.9720531182322301E-3</c:v>
                </c:pt>
                <c:pt idx="17">
                  <c:v>2.3531151080182482E-2</c:v>
                </c:pt>
                <c:pt idx="18">
                  <c:v>1.3033681881671345E-3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AB-4873-9DAD-9F4EB04D798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calibration!$AL$3:$AL$23</c:f>
              <c:numCache>
                <c:formatCode>General</c:formatCode>
                <c:ptCount val="21"/>
                <c:pt idx="0">
                  <c:v>2.8418060359249629E-2</c:v>
                </c:pt>
                <c:pt idx="1">
                  <c:v>2.8669196515192803E-3</c:v>
                </c:pt>
                <c:pt idx="2">
                  <c:v>7.8948166183852413E-3</c:v>
                </c:pt>
                <c:pt idx="3">
                  <c:v>1.7722060442766824E-2</c:v>
                </c:pt>
                <c:pt idx="4">
                  <c:v>2.3352349155409499E-2</c:v>
                </c:pt>
                <c:pt idx="5">
                  <c:v>7.2290507605128757E-3</c:v>
                </c:pt>
                <c:pt idx="6">
                  <c:v>2.8957760962046004E-3</c:v>
                </c:pt>
                <c:pt idx="14">
                  <c:v>4.3433107818363734E-4</c:v>
                </c:pt>
                <c:pt idx="15">
                  <c:v>1.8337140869665466E-3</c:v>
                </c:pt>
                <c:pt idx="16">
                  <c:v>1.9720531182322301E-3</c:v>
                </c:pt>
                <c:pt idx="17">
                  <c:v>2.3531151080182482E-2</c:v>
                </c:pt>
                <c:pt idx="18">
                  <c:v>1.3033681881671345E-3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AB-4873-9DAD-9F4EB04D7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calibration!$AM$3:$AM$23</c:f>
              <c:numCache>
                <c:formatCode>General</c:formatCode>
                <c:ptCount val="21"/>
                <c:pt idx="0">
                  <c:v>7.5781494291332338E-2</c:v>
                </c:pt>
                <c:pt idx="1">
                  <c:v>1.1467678606077121E-2</c:v>
                </c:pt>
                <c:pt idx="2">
                  <c:v>6.315853294708193E-2</c:v>
                </c:pt>
                <c:pt idx="3">
                  <c:v>8.565662547337298E-2</c:v>
                </c:pt>
                <c:pt idx="4">
                  <c:v>0.108977629391911</c:v>
                </c:pt>
                <c:pt idx="5">
                  <c:v>5.3013038910427752E-2</c:v>
                </c:pt>
                <c:pt idx="6">
                  <c:v>3.7645089250659805E-2</c:v>
                </c:pt>
                <c:pt idx="7">
                  <c:v>7.3488726781547765E-3</c:v>
                </c:pt>
                <c:pt idx="8">
                  <c:v>1.8176199453930975E-3</c:v>
                </c:pt>
                <c:pt idx="9">
                  <c:v>1.1285085494865533E-3</c:v>
                </c:pt>
                <c:pt idx="10">
                  <c:v>5.3979442955963311E-4</c:v>
                </c:pt>
                <c:pt idx="12">
                  <c:v>2.8392492121831199E-4</c:v>
                </c:pt>
                <c:pt idx="13">
                  <c:v>2.4106207789901949E-4</c:v>
                </c:pt>
                <c:pt idx="14">
                  <c:v>2.1716553909181865E-3</c:v>
                </c:pt>
                <c:pt idx="15">
                  <c:v>2.75057113044982E-2</c:v>
                </c:pt>
                <c:pt idx="16">
                  <c:v>9.8602655911611495E-3</c:v>
                </c:pt>
                <c:pt idx="17">
                  <c:v>0.11961668465759427</c:v>
                </c:pt>
                <c:pt idx="18">
                  <c:v>5.9582545744783291E-3</c:v>
                </c:pt>
                <c:pt idx="19">
                  <c:v>1.1262369611921293E-4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5-4879-9D06-99824DF9D93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calibration!$AM$3:$AM$23</c:f>
              <c:numCache>
                <c:formatCode>General</c:formatCode>
                <c:ptCount val="21"/>
                <c:pt idx="0">
                  <c:v>7.5781494291332338E-2</c:v>
                </c:pt>
                <c:pt idx="1">
                  <c:v>1.1467678606077121E-2</c:v>
                </c:pt>
                <c:pt idx="2">
                  <c:v>6.315853294708193E-2</c:v>
                </c:pt>
                <c:pt idx="3">
                  <c:v>8.565662547337298E-2</c:v>
                </c:pt>
                <c:pt idx="4">
                  <c:v>0.108977629391911</c:v>
                </c:pt>
                <c:pt idx="5">
                  <c:v>5.3013038910427752E-2</c:v>
                </c:pt>
                <c:pt idx="6">
                  <c:v>3.7645089250659805E-2</c:v>
                </c:pt>
                <c:pt idx="7">
                  <c:v>7.3488726781547765E-3</c:v>
                </c:pt>
                <c:pt idx="8">
                  <c:v>1.8176199453930975E-3</c:v>
                </c:pt>
                <c:pt idx="9">
                  <c:v>1.1285085494865533E-3</c:v>
                </c:pt>
                <c:pt idx="10">
                  <c:v>5.3979442955963311E-4</c:v>
                </c:pt>
                <c:pt idx="12">
                  <c:v>2.8392492121831199E-4</c:v>
                </c:pt>
                <c:pt idx="13">
                  <c:v>2.4106207789901949E-4</c:v>
                </c:pt>
                <c:pt idx="14">
                  <c:v>2.1716553909181865E-3</c:v>
                </c:pt>
                <c:pt idx="15">
                  <c:v>2.75057113044982E-2</c:v>
                </c:pt>
                <c:pt idx="16">
                  <c:v>9.8602655911611495E-3</c:v>
                </c:pt>
                <c:pt idx="17">
                  <c:v>0.11961668465759427</c:v>
                </c:pt>
                <c:pt idx="18">
                  <c:v>5.9582545744783291E-3</c:v>
                </c:pt>
                <c:pt idx="19">
                  <c:v>1.1262369611921293E-4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55-4879-9D06-99824DF9D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calibration!$AN$3:$AN$23</c:f>
              <c:numCache>
                <c:formatCode>General</c:formatCode>
                <c:ptCount val="21"/>
                <c:pt idx="0">
                  <c:v>0.45468896574799406</c:v>
                </c:pt>
                <c:pt idx="1">
                  <c:v>9.3174888674376594E-2</c:v>
                </c:pt>
                <c:pt idx="2">
                  <c:v>0.16184374067689741</c:v>
                </c:pt>
                <c:pt idx="3">
                  <c:v>0.301275027527036</c:v>
                </c:pt>
                <c:pt idx="4">
                  <c:v>0.31914877179059647</c:v>
                </c:pt>
                <c:pt idx="5">
                  <c:v>0.13976164803658225</c:v>
                </c:pt>
                <c:pt idx="6">
                  <c:v>0.1129352677519794</c:v>
                </c:pt>
                <c:pt idx="7">
                  <c:v>3.6744363390773881E-2</c:v>
                </c:pt>
                <c:pt idx="8">
                  <c:v>2.181143934471717E-2</c:v>
                </c:pt>
                <c:pt idx="9">
                  <c:v>1.9184645341271407E-2</c:v>
                </c:pt>
                <c:pt idx="10">
                  <c:v>5.9377387251559636E-3</c:v>
                </c:pt>
                <c:pt idx="11">
                  <c:v>8.4475827939685811E-4</c:v>
                </c:pt>
                <c:pt idx="12">
                  <c:v>5.1106485819296162E-3</c:v>
                </c:pt>
                <c:pt idx="13">
                  <c:v>2.6516828568892144E-3</c:v>
                </c:pt>
                <c:pt idx="14">
                  <c:v>1.1292608032774572E-2</c:v>
                </c:pt>
                <c:pt idx="15">
                  <c:v>0.10085427478316006</c:v>
                </c:pt>
                <c:pt idx="16">
                  <c:v>3.3524903009947905E-2</c:v>
                </c:pt>
                <c:pt idx="17">
                  <c:v>0.36669377099951034</c:v>
                </c:pt>
                <c:pt idx="18">
                  <c:v>2.7556927406962271E-2</c:v>
                </c:pt>
                <c:pt idx="19">
                  <c:v>6.3820094467553995E-4</c:v>
                </c:pt>
                <c:pt idx="20">
                  <c:v>1.8405823751213073E-2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41-46D6-AF6A-DBC132FF92D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calibration!$AN$3:$AN$23</c:f>
              <c:numCache>
                <c:formatCode>General</c:formatCode>
                <c:ptCount val="21"/>
                <c:pt idx="0">
                  <c:v>0.45468896574799406</c:v>
                </c:pt>
                <c:pt idx="1">
                  <c:v>9.3174888674376594E-2</c:v>
                </c:pt>
                <c:pt idx="2">
                  <c:v>0.16184374067689741</c:v>
                </c:pt>
                <c:pt idx="3">
                  <c:v>0.301275027527036</c:v>
                </c:pt>
                <c:pt idx="4">
                  <c:v>0.31914877179059647</c:v>
                </c:pt>
                <c:pt idx="5">
                  <c:v>0.13976164803658225</c:v>
                </c:pt>
                <c:pt idx="6">
                  <c:v>0.1129352677519794</c:v>
                </c:pt>
                <c:pt idx="7">
                  <c:v>3.6744363390773881E-2</c:v>
                </c:pt>
                <c:pt idx="8">
                  <c:v>2.181143934471717E-2</c:v>
                </c:pt>
                <c:pt idx="9">
                  <c:v>1.9184645341271407E-2</c:v>
                </c:pt>
                <c:pt idx="10">
                  <c:v>5.9377387251559636E-3</c:v>
                </c:pt>
                <c:pt idx="11">
                  <c:v>8.4475827939685811E-4</c:v>
                </c:pt>
                <c:pt idx="12">
                  <c:v>5.1106485819296162E-3</c:v>
                </c:pt>
                <c:pt idx="13">
                  <c:v>2.6516828568892144E-3</c:v>
                </c:pt>
                <c:pt idx="14">
                  <c:v>1.1292608032774572E-2</c:v>
                </c:pt>
                <c:pt idx="15">
                  <c:v>0.10085427478316006</c:v>
                </c:pt>
                <c:pt idx="16">
                  <c:v>3.3524903009947905E-2</c:v>
                </c:pt>
                <c:pt idx="17">
                  <c:v>0.36669377099951034</c:v>
                </c:pt>
                <c:pt idx="18">
                  <c:v>2.7556927406962271E-2</c:v>
                </c:pt>
                <c:pt idx="19">
                  <c:v>6.3820094467553995E-4</c:v>
                </c:pt>
                <c:pt idx="20">
                  <c:v>1.8405823751213073E-2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41-46D6-AF6A-DBC132FF9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calibration!$AO$3:$AO$23</c:f>
              <c:numCache>
                <c:formatCode>General</c:formatCode>
                <c:ptCount val="21"/>
                <c:pt idx="0">
                  <c:v>1.2503946558069836</c:v>
                </c:pt>
                <c:pt idx="1">
                  <c:v>0.27952466602312981</c:v>
                </c:pt>
                <c:pt idx="2">
                  <c:v>0.54868975497777428</c:v>
                </c:pt>
                <c:pt idx="3">
                  <c:v>0.72660447815343976</c:v>
                </c:pt>
                <c:pt idx="4">
                  <c:v>0.80176398766905954</c:v>
                </c:pt>
                <c:pt idx="5">
                  <c:v>0.39759779182820815</c:v>
                </c:pt>
                <c:pt idx="6">
                  <c:v>0.2258705355039588</c:v>
                </c:pt>
                <c:pt idx="7">
                  <c:v>0.11115169925709098</c:v>
                </c:pt>
                <c:pt idx="8">
                  <c:v>0.10360433688740656</c:v>
                </c:pt>
                <c:pt idx="9">
                  <c:v>8.5766649760978045E-2</c:v>
                </c:pt>
                <c:pt idx="10">
                  <c:v>3.3467254632697251E-2</c:v>
                </c:pt>
                <c:pt idx="11">
                  <c:v>1.351613247034973E-2</c:v>
                </c:pt>
                <c:pt idx="12">
                  <c:v>4.2872663103965113E-2</c:v>
                </c:pt>
                <c:pt idx="13">
                  <c:v>2.4829394023599009E-2</c:v>
                </c:pt>
                <c:pt idx="14">
                  <c:v>4.8645080756567385E-2</c:v>
                </c:pt>
                <c:pt idx="15">
                  <c:v>0.25580311513183329</c:v>
                </c:pt>
                <c:pt idx="16">
                  <c:v>0.12078825349172408</c:v>
                </c:pt>
                <c:pt idx="17">
                  <c:v>0.96085533577411786</c:v>
                </c:pt>
                <c:pt idx="18">
                  <c:v>8.8442841339912703E-2</c:v>
                </c:pt>
                <c:pt idx="19">
                  <c:v>8.2966122807820192E-3</c:v>
                </c:pt>
                <c:pt idx="20">
                  <c:v>0.43202558527152635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6E-45EA-AA79-F9321E0B30C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calibration!$AO$3:$AO$23</c:f>
              <c:numCache>
                <c:formatCode>General</c:formatCode>
                <c:ptCount val="21"/>
                <c:pt idx="0">
                  <c:v>1.2503946558069836</c:v>
                </c:pt>
                <c:pt idx="1">
                  <c:v>0.27952466602312981</c:v>
                </c:pt>
                <c:pt idx="2">
                  <c:v>0.54868975497777428</c:v>
                </c:pt>
                <c:pt idx="3">
                  <c:v>0.72660447815343976</c:v>
                </c:pt>
                <c:pt idx="4">
                  <c:v>0.80176398766905954</c:v>
                </c:pt>
                <c:pt idx="5">
                  <c:v>0.39759779182820815</c:v>
                </c:pt>
                <c:pt idx="6">
                  <c:v>0.2258705355039588</c:v>
                </c:pt>
                <c:pt idx="7">
                  <c:v>0.11115169925709098</c:v>
                </c:pt>
                <c:pt idx="8">
                  <c:v>0.10360433688740656</c:v>
                </c:pt>
                <c:pt idx="9">
                  <c:v>8.5766649760978045E-2</c:v>
                </c:pt>
                <c:pt idx="10">
                  <c:v>3.3467254632697251E-2</c:v>
                </c:pt>
                <c:pt idx="11">
                  <c:v>1.351613247034973E-2</c:v>
                </c:pt>
                <c:pt idx="12">
                  <c:v>4.2872663103965113E-2</c:v>
                </c:pt>
                <c:pt idx="13">
                  <c:v>2.4829394023599009E-2</c:v>
                </c:pt>
                <c:pt idx="14">
                  <c:v>4.8645080756567385E-2</c:v>
                </c:pt>
                <c:pt idx="15">
                  <c:v>0.25580311513183329</c:v>
                </c:pt>
                <c:pt idx="16">
                  <c:v>0.12078825349172408</c:v>
                </c:pt>
                <c:pt idx="17">
                  <c:v>0.96085533577411786</c:v>
                </c:pt>
                <c:pt idx="18">
                  <c:v>8.8442841339912703E-2</c:v>
                </c:pt>
                <c:pt idx="19">
                  <c:v>8.2966122807820192E-3</c:v>
                </c:pt>
                <c:pt idx="20">
                  <c:v>0.43202558527152635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6E-45EA-AA79-F9321E0B3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calibration!$AP$3:$AP$23</c:f>
              <c:numCache>
                <c:formatCode>General</c:formatCode>
                <c:ptCount val="21"/>
                <c:pt idx="0">
                  <c:v>2.8607514094977962</c:v>
                </c:pt>
                <c:pt idx="1">
                  <c:v>0.90021277057705384</c:v>
                </c:pt>
                <c:pt idx="2">
                  <c:v>1.6342270400057448</c:v>
                </c:pt>
                <c:pt idx="3">
                  <c:v>1.4561626330473407</c:v>
                </c:pt>
                <c:pt idx="4">
                  <c:v>2.5142695923990894</c:v>
                </c:pt>
                <c:pt idx="5">
                  <c:v>1.3470131250422324</c:v>
                </c:pt>
                <c:pt idx="6">
                  <c:v>0.999042753190587</c:v>
                </c:pt>
                <c:pt idx="7">
                  <c:v>0.57964233248945796</c:v>
                </c:pt>
                <c:pt idx="8">
                  <c:v>0.49984548498310183</c:v>
                </c:pt>
                <c:pt idx="9">
                  <c:v>0.37015080423158947</c:v>
                </c:pt>
                <c:pt idx="10">
                  <c:v>0.32765521874269726</c:v>
                </c:pt>
                <c:pt idx="11">
                  <c:v>0.22639521887835795</c:v>
                </c:pt>
                <c:pt idx="12">
                  <c:v>0.33957420577710112</c:v>
                </c:pt>
                <c:pt idx="13">
                  <c:v>0.23431233971784696</c:v>
                </c:pt>
                <c:pt idx="14">
                  <c:v>0.35224250440692989</c:v>
                </c:pt>
                <c:pt idx="15">
                  <c:v>0.94619646887473807</c:v>
                </c:pt>
                <c:pt idx="16">
                  <c:v>0.56943033788955644</c:v>
                </c:pt>
                <c:pt idx="17">
                  <c:v>1.998186912558829</c:v>
                </c:pt>
                <c:pt idx="18">
                  <c:v>0.35060604261695916</c:v>
                </c:pt>
                <c:pt idx="19">
                  <c:v>0.11130975299782211</c:v>
                </c:pt>
                <c:pt idx="20">
                  <c:v>3.2476053463251504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40-4D12-959C-8476D2C4DE7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calibration!$AP$3:$AP$23</c:f>
              <c:numCache>
                <c:formatCode>General</c:formatCode>
                <c:ptCount val="21"/>
                <c:pt idx="0">
                  <c:v>2.8607514094977962</c:v>
                </c:pt>
                <c:pt idx="1">
                  <c:v>0.90021277057705384</c:v>
                </c:pt>
                <c:pt idx="2">
                  <c:v>1.6342270400057448</c:v>
                </c:pt>
                <c:pt idx="3">
                  <c:v>1.4561626330473407</c:v>
                </c:pt>
                <c:pt idx="4">
                  <c:v>2.5142695923990894</c:v>
                </c:pt>
                <c:pt idx="5">
                  <c:v>1.3470131250422324</c:v>
                </c:pt>
                <c:pt idx="6">
                  <c:v>0.999042753190587</c:v>
                </c:pt>
                <c:pt idx="7">
                  <c:v>0.57964233248945796</c:v>
                </c:pt>
                <c:pt idx="8">
                  <c:v>0.49984548498310183</c:v>
                </c:pt>
                <c:pt idx="9">
                  <c:v>0.37015080423158947</c:v>
                </c:pt>
                <c:pt idx="10">
                  <c:v>0.32765521874269726</c:v>
                </c:pt>
                <c:pt idx="11">
                  <c:v>0.22639521887835795</c:v>
                </c:pt>
                <c:pt idx="12">
                  <c:v>0.33957420577710112</c:v>
                </c:pt>
                <c:pt idx="13">
                  <c:v>0.23431233971784696</c:v>
                </c:pt>
                <c:pt idx="14">
                  <c:v>0.35224250440692989</c:v>
                </c:pt>
                <c:pt idx="15">
                  <c:v>0.94619646887473807</c:v>
                </c:pt>
                <c:pt idx="16">
                  <c:v>0.56943033788955644</c:v>
                </c:pt>
                <c:pt idx="17">
                  <c:v>1.998186912558829</c:v>
                </c:pt>
                <c:pt idx="18">
                  <c:v>0.35060604261695916</c:v>
                </c:pt>
                <c:pt idx="19">
                  <c:v>0.11130975299782211</c:v>
                </c:pt>
                <c:pt idx="20">
                  <c:v>3.2476053463251504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40-4D12-959C-8476D2C4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calibration!$AQ$3:$AQ$23</c:f>
              <c:numCache>
                <c:formatCode>General</c:formatCode>
                <c:ptCount val="21"/>
                <c:pt idx="0">
                  <c:v>4.6321438385576901</c:v>
                </c:pt>
                <c:pt idx="1">
                  <c:v>2.4225471055337917</c:v>
                </c:pt>
                <c:pt idx="2">
                  <c:v>3.481614128707891</c:v>
                </c:pt>
                <c:pt idx="3">
                  <c:v>3.9254363880728516</c:v>
                </c:pt>
                <c:pt idx="4">
                  <c:v>4.3513210592913039</c:v>
                </c:pt>
                <c:pt idx="5">
                  <c:v>3.335002084183273</c:v>
                </c:pt>
                <c:pt idx="6">
                  <c:v>2.7307168587209376</c:v>
                </c:pt>
                <c:pt idx="7">
                  <c:v>1.7279036884511416</c:v>
                </c:pt>
                <c:pt idx="8">
                  <c:v>1.5086245546762709</c:v>
                </c:pt>
                <c:pt idx="9">
                  <c:v>1.3858084987694874</c:v>
                </c:pt>
                <c:pt idx="10">
                  <c:v>1.0315471548884587</c:v>
                </c:pt>
                <c:pt idx="11">
                  <c:v>0.85320586219082661</c:v>
                </c:pt>
                <c:pt idx="12">
                  <c:v>1.0269564400466344</c:v>
                </c:pt>
                <c:pt idx="13">
                  <c:v>0.84395833472446724</c:v>
                </c:pt>
                <c:pt idx="14">
                  <c:v>1.2196016675396537</c:v>
                </c:pt>
                <c:pt idx="15">
                  <c:v>2.3563226017520127</c:v>
                </c:pt>
                <c:pt idx="16">
                  <c:v>1.654552566196841</c:v>
                </c:pt>
                <c:pt idx="17">
                  <c:v>4.4277782615876697</c:v>
                </c:pt>
                <c:pt idx="18">
                  <c:v>1.0922225416840587</c:v>
                </c:pt>
                <c:pt idx="19">
                  <c:v>0.5592517336959717</c:v>
                </c:pt>
                <c:pt idx="20">
                  <c:v>4.8371527363951907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43-461F-9ECF-1CA71720356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calibration!$AQ$3:$AQ$23</c:f>
              <c:numCache>
                <c:formatCode>General</c:formatCode>
                <c:ptCount val="21"/>
                <c:pt idx="0">
                  <c:v>4.6321438385576901</c:v>
                </c:pt>
                <c:pt idx="1">
                  <c:v>2.4225471055337917</c:v>
                </c:pt>
                <c:pt idx="2">
                  <c:v>3.481614128707891</c:v>
                </c:pt>
                <c:pt idx="3">
                  <c:v>3.9254363880728516</c:v>
                </c:pt>
                <c:pt idx="4">
                  <c:v>4.3513210592913039</c:v>
                </c:pt>
                <c:pt idx="5">
                  <c:v>3.335002084183273</c:v>
                </c:pt>
                <c:pt idx="6">
                  <c:v>2.7307168587209376</c:v>
                </c:pt>
                <c:pt idx="7">
                  <c:v>1.7279036884511416</c:v>
                </c:pt>
                <c:pt idx="8">
                  <c:v>1.5086245546762709</c:v>
                </c:pt>
                <c:pt idx="9">
                  <c:v>1.3858084987694874</c:v>
                </c:pt>
                <c:pt idx="10">
                  <c:v>1.0315471548884587</c:v>
                </c:pt>
                <c:pt idx="11">
                  <c:v>0.85320586219082661</c:v>
                </c:pt>
                <c:pt idx="12">
                  <c:v>1.0269564400466344</c:v>
                </c:pt>
                <c:pt idx="13">
                  <c:v>0.84395833472446724</c:v>
                </c:pt>
                <c:pt idx="14">
                  <c:v>1.2196016675396537</c:v>
                </c:pt>
                <c:pt idx="15">
                  <c:v>2.3563226017520127</c:v>
                </c:pt>
                <c:pt idx="16">
                  <c:v>1.654552566196841</c:v>
                </c:pt>
                <c:pt idx="17">
                  <c:v>4.4277782615876697</c:v>
                </c:pt>
                <c:pt idx="18">
                  <c:v>1.0922225416840587</c:v>
                </c:pt>
                <c:pt idx="19">
                  <c:v>0.5592517336959717</c:v>
                </c:pt>
                <c:pt idx="20">
                  <c:v>4.8371527363951907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43-461F-9ECF-1CA717203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Mean/Med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541320618550701E-2"/>
                  <c:y val="0.229080442543510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calibration!$AT$3:$AT$23</c:f>
              <c:numCache>
                <c:formatCode>0.000</c:formatCode>
                <c:ptCount val="21"/>
                <c:pt idx="0">
                  <c:v>1.4468923365547266</c:v>
                </c:pt>
                <c:pt idx="1">
                  <c:v>1.9645460359067055</c:v>
                </c:pt>
                <c:pt idx="2">
                  <c:v>1.7464473737122201</c:v>
                </c:pt>
                <c:pt idx="3">
                  <c:v>0.78389653088074351</c:v>
                </c:pt>
                <c:pt idx="4">
                  <c:v>1.0732196390279007</c:v>
                </c:pt>
                <c:pt idx="5">
                  <c:v>3.7339406361589802</c:v>
                </c:pt>
                <c:pt idx="6">
                  <c:v>0.98880543278869759</c:v>
                </c:pt>
                <c:pt idx="7">
                  <c:v>1.745087358933191</c:v>
                </c:pt>
                <c:pt idx="8">
                  <c:v>1.0600554625542427</c:v>
                </c:pt>
                <c:pt idx="9">
                  <c:v>1.3409429582563779</c:v>
                </c:pt>
                <c:pt idx="10">
                  <c:v>1.0666511846956803</c:v>
                </c:pt>
                <c:pt idx="11">
                  <c:v>1.0451637822074338</c:v>
                </c:pt>
                <c:pt idx="12">
                  <c:v>1.2168099069845921</c:v>
                </c:pt>
                <c:pt idx="13">
                  <c:v>1.1720351257778141</c:v>
                </c:pt>
                <c:pt idx="14">
                  <c:v>1.5277727134426444</c:v>
                </c:pt>
                <c:pt idx="15">
                  <c:v>3.0093437165495409</c:v>
                </c:pt>
                <c:pt idx="16">
                  <c:v>2.2479156103541662</c:v>
                </c:pt>
                <c:pt idx="17">
                  <c:v>3.082972473599304</c:v>
                </c:pt>
                <c:pt idx="18">
                  <c:v>3.4968054946291187</c:v>
                </c:pt>
                <c:pt idx="19">
                  <c:v>1.0529846463540762</c:v>
                </c:pt>
                <c:pt idx="20">
                  <c:v>1.0230353348744625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0E-436B-BAEA-B62C351E0D8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calibration!$AT$3:$AT$23</c:f>
              <c:numCache>
                <c:formatCode>0.000</c:formatCode>
                <c:ptCount val="21"/>
                <c:pt idx="0">
                  <c:v>1.4468923365547266</c:v>
                </c:pt>
                <c:pt idx="1">
                  <c:v>1.9645460359067055</c:v>
                </c:pt>
                <c:pt idx="2">
                  <c:v>1.7464473737122201</c:v>
                </c:pt>
                <c:pt idx="3">
                  <c:v>0.78389653088074351</c:v>
                </c:pt>
                <c:pt idx="4">
                  <c:v>1.0732196390279007</c:v>
                </c:pt>
                <c:pt idx="5">
                  <c:v>3.7339406361589802</c:v>
                </c:pt>
                <c:pt idx="6">
                  <c:v>0.98880543278869759</c:v>
                </c:pt>
                <c:pt idx="7">
                  <c:v>1.745087358933191</c:v>
                </c:pt>
                <c:pt idx="8">
                  <c:v>1.0600554625542427</c:v>
                </c:pt>
                <c:pt idx="9">
                  <c:v>1.3409429582563779</c:v>
                </c:pt>
                <c:pt idx="10">
                  <c:v>1.0666511846956803</c:v>
                </c:pt>
                <c:pt idx="11">
                  <c:v>1.0451637822074338</c:v>
                </c:pt>
                <c:pt idx="12">
                  <c:v>1.2168099069845921</c:v>
                </c:pt>
                <c:pt idx="13">
                  <c:v>1.1720351257778141</c:v>
                </c:pt>
                <c:pt idx="14">
                  <c:v>1.5277727134426444</c:v>
                </c:pt>
                <c:pt idx="15">
                  <c:v>3.0093437165495409</c:v>
                </c:pt>
                <c:pt idx="16">
                  <c:v>2.2479156103541662</c:v>
                </c:pt>
                <c:pt idx="17">
                  <c:v>3.082972473599304</c:v>
                </c:pt>
                <c:pt idx="18">
                  <c:v>3.4968054946291187</c:v>
                </c:pt>
                <c:pt idx="19">
                  <c:v>1.0529846463540762</c:v>
                </c:pt>
                <c:pt idx="20">
                  <c:v>1.0230353348744625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0E-436B-BAEA-B62C351E0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Med/Max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calibration!$AR$3:$AR$23</c:f>
              <c:numCache>
                <c:formatCode>0.000</c:formatCode>
                <c:ptCount val="21"/>
                <c:pt idx="0">
                  <c:v>0.21860725874636291</c:v>
                </c:pt>
                <c:pt idx="1">
                  <c:v>0.14189653541302394</c:v>
                </c:pt>
                <c:pt idx="2">
                  <c:v>0.24122234379478344</c:v>
                </c:pt>
                <c:pt idx="3">
                  <c:v>0.5824343750129658</c:v>
                </c:pt>
                <c:pt idx="4">
                  <c:v>0.48849167783345676</c:v>
                </c:pt>
                <c:pt idx="5">
                  <c:v>5.3981734332999784E-2</c:v>
                </c:pt>
                <c:pt idx="6">
                  <c:v>0.52814647146254434</c:v>
                </c:pt>
                <c:pt idx="7">
                  <c:v>0.23415083792384675</c:v>
                </c:pt>
                <c:pt idx="8">
                  <c:v>0.62940063651772382</c:v>
                </c:pt>
                <c:pt idx="9">
                  <c:v>0.44621480044462636</c:v>
                </c:pt>
                <c:pt idx="10">
                  <c:v>0.47627426141062207</c:v>
                </c:pt>
                <c:pt idx="11">
                  <c:v>0.74694164189737378</c:v>
                </c:pt>
                <c:pt idx="12">
                  <c:v>0.33326080177464212</c:v>
                </c:pt>
                <c:pt idx="13">
                  <c:v>0.3777099687944907</c:v>
                </c:pt>
                <c:pt idx="14">
                  <c:v>0.17756157159376651</c:v>
                </c:pt>
                <c:pt idx="15">
                  <c:v>8.8733778858474693E-2</c:v>
                </c:pt>
                <c:pt idx="16">
                  <c:v>8.6973933034043799E-2</c:v>
                </c:pt>
                <c:pt idx="17">
                  <c:v>9.85202631555568E-2</c:v>
                </c:pt>
                <c:pt idx="18">
                  <c:v>2.5652585473776735E-2</c:v>
                </c:pt>
                <c:pt idx="19">
                  <c:v>0.20556411175749723</c:v>
                </c:pt>
                <c:pt idx="20">
                  <c:v>0.4496276135248623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79-432D-B543-B9A158CCE9B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calibration!$AR$3:$AR$23</c:f>
              <c:numCache>
                <c:formatCode>0.000</c:formatCode>
                <c:ptCount val="21"/>
                <c:pt idx="0">
                  <c:v>0.21860725874636291</c:v>
                </c:pt>
                <c:pt idx="1">
                  <c:v>0.14189653541302394</c:v>
                </c:pt>
                <c:pt idx="2">
                  <c:v>0.24122234379478344</c:v>
                </c:pt>
                <c:pt idx="3">
                  <c:v>0.5824343750129658</c:v>
                </c:pt>
                <c:pt idx="4">
                  <c:v>0.48849167783345676</c:v>
                </c:pt>
                <c:pt idx="5">
                  <c:v>5.3981734332999784E-2</c:v>
                </c:pt>
                <c:pt idx="6">
                  <c:v>0.52814647146254434</c:v>
                </c:pt>
                <c:pt idx="7">
                  <c:v>0.23415083792384675</c:v>
                </c:pt>
                <c:pt idx="8">
                  <c:v>0.62940063651772382</c:v>
                </c:pt>
                <c:pt idx="9">
                  <c:v>0.44621480044462636</c:v>
                </c:pt>
                <c:pt idx="10">
                  <c:v>0.47627426141062207</c:v>
                </c:pt>
                <c:pt idx="11">
                  <c:v>0.74694164189737378</c:v>
                </c:pt>
                <c:pt idx="12">
                  <c:v>0.33326080177464212</c:v>
                </c:pt>
                <c:pt idx="13">
                  <c:v>0.3777099687944907</c:v>
                </c:pt>
                <c:pt idx="14">
                  <c:v>0.17756157159376651</c:v>
                </c:pt>
                <c:pt idx="15">
                  <c:v>8.8733778858474693E-2</c:v>
                </c:pt>
                <c:pt idx="16">
                  <c:v>8.6973933034043799E-2</c:v>
                </c:pt>
                <c:pt idx="17">
                  <c:v>9.85202631555568E-2</c:v>
                </c:pt>
                <c:pt idx="18">
                  <c:v>2.5652585473776735E-2</c:v>
                </c:pt>
                <c:pt idx="19">
                  <c:v>0.20556411175749723</c:v>
                </c:pt>
                <c:pt idx="20">
                  <c:v>0.4496276135248623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79-432D-B543-B9A158CCE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Mean/Max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calibration!$AS$3:$AS$23</c:f>
              <c:numCache>
                <c:formatCode>0.000</c:formatCode>
                <c:ptCount val="21"/>
                <c:pt idx="0">
                  <c:v>0.31630116739534875</c:v>
                </c:pt>
                <c:pt idx="1">
                  <c:v>0.27876227615455168</c:v>
                </c:pt>
                <c:pt idx="2">
                  <c:v>0.42128212880110583</c:v>
                </c:pt>
                <c:pt idx="3">
                  <c:v>0.45656828603835786</c:v>
                </c:pt>
                <c:pt idx="4">
                  <c:v>0.52425886215255613</c:v>
                </c:pt>
                <c:pt idx="5">
                  <c:v>0.20156459143632627</c:v>
                </c:pt>
                <c:pt idx="6">
                  <c:v>0.52223410029034467</c:v>
                </c:pt>
                <c:pt idx="7">
                  <c:v>0.40861366734451937</c:v>
                </c:pt>
                <c:pt idx="8">
                  <c:v>0.66719958287573045</c:v>
                </c:pt>
                <c:pt idx="9">
                  <c:v>0.59834859452599665</c:v>
                </c:pt>
                <c:pt idx="10">
                  <c:v>0.50801850517370029</c:v>
                </c:pt>
                <c:pt idx="11">
                  <c:v>0.78067635153368986</c:v>
                </c:pt>
                <c:pt idx="12">
                  <c:v>0.40551504520901288</c:v>
                </c:pt>
                <c:pt idx="13">
                  <c:v>0.44268935078358512</c:v>
                </c:pt>
                <c:pt idx="14">
                  <c:v>0.27127372403694905</c:v>
                </c:pt>
                <c:pt idx="15">
                  <c:v>0.26703043985344732</c:v>
                </c:pt>
                <c:pt idx="16">
                  <c:v>0.19551006176112495</c:v>
                </c:pt>
                <c:pt idx="17">
                  <c:v>0.30373525940034135</c:v>
                </c:pt>
                <c:pt idx="18">
                  <c:v>8.9702101836145604E-2</c:v>
                </c:pt>
                <c:pt idx="19">
                  <c:v>0.21645585352205798</c:v>
                </c:pt>
                <c:pt idx="20">
                  <c:v>0.45998493617121289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3-4260-B0D9-7C6C5C503C6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calibration!$AS$3:$AS$23</c:f>
              <c:numCache>
                <c:formatCode>0.000</c:formatCode>
                <c:ptCount val="21"/>
                <c:pt idx="0">
                  <c:v>0.31630116739534875</c:v>
                </c:pt>
                <c:pt idx="1">
                  <c:v>0.27876227615455168</c:v>
                </c:pt>
                <c:pt idx="2">
                  <c:v>0.42128212880110583</c:v>
                </c:pt>
                <c:pt idx="3">
                  <c:v>0.45656828603835786</c:v>
                </c:pt>
                <c:pt idx="4">
                  <c:v>0.52425886215255613</c:v>
                </c:pt>
                <c:pt idx="5">
                  <c:v>0.20156459143632627</c:v>
                </c:pt>
                <c:pt idx="6">
                  <c:v>0.52223410029034467</c:v>
                </c:pt>
                <c:pt idx="7">
                  <c:v>0.40861366734451937</c:v>
                </c:pt>
                <c:pt idx="8">
                  <c:v>0.66719958287573045</c:v>
                </c:pt>
                <c:pt idx="9">
                  <c:v>0.59834859452599665</c:v>
                </c:pt>
                <c:pt idx="10">
                  <c:v>0.50801850517370029</c:v>
                </c:pt>
                <c:pt idx="11">
                  <c:v>0.78067635153368986</c:v>
                </c:pt>
                <c:pt idx="12">
                  <c:v>0.40551504520901288</c:v>
                </c:pt>
                <c:pt idx="13">
                  <c:v>0.44268935078358512</c:v>
                </c:pt>
                <c:pt idx="14">
                  <c:v>0.27127372403694905</c:v>
                </c:pt>
                <c:pt idx="15">
                  <c:v>0.26703043985344732</c:v>
                </c:pt>
                <c:pt idx="16">
                  <c:v>0.19551006176112495</c:v>
                </c:pt>
                <c:pt idx="17">
                  <c:v>0.30373525940034135</c:v>
                </c:pt>
                <c:pt idx="18">
                  <c:v>8.9702101836145604E-2</c:v>
                </c:pt>
                <c:pt idx="19">
                  <c:v>0.21645585352205798</c:v>
                </c:pt>
                <c:pt idx="20">
                  <c:v>0.45998493617121289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3-4260-B0D9-7C6C5C503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Ch6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calibration!$BA$3:$BA$23</c:f>
              <c:numCache>
                <c:formatCode>0.000000</c:formatCode>
                <c:ptCount val="21"/>
                <c:pt idx="0">
                  <c:v>1.8207238150363132E-3</c:v>
                </c:pt>
                <c:pt idx="1">
                  <c:v>1.4742361276493072E-4</c:v>
                </c:pt>
                <c:pt idx="2">
                  <c:v>3.6987167073013237E-4</c:v>
                </c:pt>
                <c:pt idx="3">
                  <c:v>6.9835699924031681E-4</c:v>
                </c:pt>
                <c:pt idx="4">
                  <c:v>9.0105684124097045E-4</c:v>
                </c:pt>
                <c:pt idx="5">
                  <c:v>6.913803619169386E-4</c:v>
                </c:pt>
                <c:pt idx="6">
                  <c:v>8.0285061388412523E-5</c:v>
                </c:pt>
                <c:pt idx="15">
                  <c:v>5.2660054790256215E-5</c:v>
                </c:pt>
                <c:pt idx="16">
                  <c:v>8.3022729956097811E-5</c:v>
                </c:pt>
                <c:pt idx="17">
                  <c:v>1.6394029560580711E-3</c:v>
                </c:pt>
                <c:pt idx="18">
                  <c:v>1.140334715236959E-4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51-4147-A6E1-B847D98D01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calibration!$BA$3:$BA$23</c:f>
              <c:numCache>
                <c:formatCode>0.000000</c:formatCode>
                <c:ptCount val="21"/>
                <c:pt idx="0">
                  <c:v>1.8207238150363132E-3</c:v>
                </c:pt>
                <c:pt idx="1">
                  <c:v>1.4742361276493072E-4</c:v>
                </c:pt>
                <c:pt idx="2">
                  <c:v>3.6987167073013237E-4</c:v>
                </c:pt>
                <c:pt idx="3">
                  <c:v>6.9835699924031681E-4</c:v>
                </c:pt>
                <c:pt idx="4">
                  <c:v>9.0105684124097045E-4</c:v>
                </c:pt>
                <c:pt idx="5">
                  <c:v>6.913803619169386E-4</c:v>
                </c:pt>
                <c:pt idx="6">
                  <c:v>8.0285061388412523E-5</c:v>
                </c:pt>
                <c:pt idx="15">
                  <c:v>5.2660054790256215E-5</c:v>
                </c:pt>
                <c:pt idx="16">
                  <c:v>8.3022729956097811E-5</c:v>
                </c:pt>
                <c:pt idx="17">
                  <c:v>1.6394029560580711E-3</c:v>
                </c:pt>
                <c:pt idx="18">
                  <c:v>1.140334715236959E-4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51-4147-A6E1-B847D98D0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Ch5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calibration!$BB$3:$BB$23</c:f>
              <c:numCache>
                <c:formatCode>0.000000</c:formatCode>
                <c:ptCount val="21"/>
                <c:pt idx="0">
                  <c:v>1.3595731882182523E-2</c:v>
                </c:pt>
                <c:pt idx="1">
                  <c:v>1.5653941384754174E-3</c:v>
                </c:pt>
                <c:pt idx="2">
                  <c:v>7.9172145055472695E-3</c:v>
                </c:pt>
                <c:pt idx="3">
                  <c:v>1.3185769947201612E-2</c:v>
                </c:pt>
                <c:pt idx="4">
                  <c:v>1.279569555756015E-2</c:v>
                </c:pt>
                <c:pt idx="5">
                  <c:v>9.8507558094203581E-3</c:v>
                </c:pt>
                <c:pt idx="6">
                  <c:v>2.9618387416505579E-3</c:v>
                </c:pt>
                <c:pt idx="7">
                  <c:v>5.7291188973186062E-4</c:v>
                </c:pt>
                <c:pt idx="14">
                  <c:v>1.3396305149770212E-4</c:v>
                </c:pt>
                <c:pt idx="15">
                  <c:v>3.1872428437725985E-3</c:v>
                </c:pt>
                <c:pt idx="16">
                  <c:v>1.0595779053355556E-3</c:v>
                </c:pt>
                <c:pt idx="17">
                  <c:v>2.533750009233569E-2</c:v>
                </c:pt>
                <c:pt idx="18">
                  <c:v>1.2469509770945588E-3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6-4D25-B969-1301F7359E4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calibration!$BB$3:$BB$23</c:f>
              <c:numCache>
                <c:formatCode>0.000000</c:formatCode>
                <c:ptCount val="21"/>
                <c:pt idx="0">
                  <c:v>1.3595731882182523E-2</c:v>
                </c:pt>
                <c:pt idx="1">
                  <c:v>1.5653941384754174E-3</c:v>
                </c:pt>
                <c:pt idx="2">
                  <c:v>7.9172145055472695E-3</c:v>
                </c:pt>
                <c:pt idx="3">
                  <c:v>1.3185769947201612E-2</c:v>
                </c:pt>
                <c:pt idx="4">
                  <c:v>1.279569555756015E-2</c:v>
                </c:pt>
                <c:pt idx="5">
                  <c:v>9.8507558094203581E-3</c:v>
                </c:pt>
                <c:pt idx="6">
                  <c:v>2.9618387416505579E-3</c:v>
                </c:pt>
                <c:pt idx="7">
                  <c:v>5.7291188973186062E-4</c:v>
                </c:pt>
                <c:pt idx="14">
                  <c:v>1.3396305149770212E-4</c:v>
                </c:pt>
                <c:pt idx="15">
                  <c:v>3.1872428437725985E-3</c:v>
                </c:pt>
                <c:pt idx="16">
                  <c:v>1.0595779053355556E-3</c:v>
                </c:pt>
                <c:pt idx="17">
                  <c:v>2.533750009233569E-2</c:v>
                </c:pt>
                <c:pt idx="18">
                  <c:v>1.2469509770945588E-3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86-4D25-B969-1301F7359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Ch4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calibration!$BC$3:$BC$23</c:f>
              <c:numCache>
                <c:formatCode>0.000000</c:formatCode>
                <c:ptCount val="21"/>
                <c:pt idx="0">
                  <c:v>0.27157622493165545</c:v>
                </c:pt>
                <c:pt idx="1">
                  <c:v>2.4928273110192231E-2</c:v>
                </c:pt>
                <c:pt idx="2">
                  <c:v>7.1314268782948373E-2</c:v>
                </c:pt>
                <c:pt idx="3">
                  <c:v>0.14137896816355472</c:v>
                </c:pt>
                <c:pt idx="4">
                  <c:v>0.14989243367427635</c:v>
                </c:pt>
                <c:pt idx="5">
                  <c:v>8.4606287463909344E-2</c:v>
                </c:pt>
                <c:pt idx="6">
                  <c:v>2.9939799712359102E-2</c:v>
                </c:pt>
                <c:pt idx="7">
                  <c:v>8.8684191608701911E-3</c:v>
                </c:pt>
                <c:pt idx="8">
                  <c:v>2.8586148488777556E-3</c:v>
                </c:pt>
                <c:pt idx="9">
                  <c:v>2.4378441184649468E-3</c:v>
                </c:pt>
                <c:pt idx="10">
                  <c:v>6.9100157689060691E-4</c:v>
                </c:pt>
                <c:pt idx="12">
                  <c:v>9.0266449333367574E-4</c:v>
                </c:pt>
                <c:pt idx="13">
                  <c:v>3.8922699090874552E-4</c:v>
                </c:pt>
                <c:pt idx="14">
                  <c:v>2.2232297425665896E-3</c:v>
                </c:pt>
                <c:pt idx="15">
                  <c:v>4.2795587014884444E-2</c:v>
                </c:pt>
                <c:pt idx="16">
                  <c:v>1.1498414924353792E-2</c:v>
                </c:pt>
                <c:pt idx="17">
                  <c:v>0.26356734157705508</c:v>
                </c:pt>
                <c:pt idx="18">
                  <c:v>1.4634773420707379E-2</c:v>
                </c:pt>
                <c:pt idx="20">
                  <c:v>6.0102405859548029E-3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EA-42A5-9E26-E385C36AD2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calibration!$BC$3:$BC$23</c:f>
              <c:numCache>
                <c:formatCode>0.000000</c:formatCode>
                <c:ptCount val="21"/>
                <c:pt idx="0">
                  <c:v>0.27157622493165545</c:v>
                </c:pt>
                <c:pt idx="1">
                  <c:v>2.4928273110192231E-2</c:v>
                </c:pt>
                <c:pt idx="2">
                  <c:v>7.1314268782948373E-2</c:v>
                </c:pt>
                <c:pt idx="3">
                  <c:v>0.14137896816355472</c:v>
                </c:pt>
                <c:pt idx="4">
                  <c:v>0.14989243367427635</c:v>
                </c:pt>
                <c:pt idx="5">
                  <c:v>8.4606287463909344E-2</c:v>
                </c:pt>
                <c:pt idx="6">
                  <c:v>2.9939799712359102E-2</c:v>
                </c:pt>
                <c:pt idx="7">
                  <c:v>8.8684191608701911E-3</c:v>
                </c:pt>
                <c:pt idx="8">
                  <c:v>2.8586148488777556E-3</c:v>
                </c:pt>
                <c:pt idx="9">
                  <c:v>2.4378441184649468E-3</c:v>
                </c:pt>
                <c:pt idx="10">
                  <c:v>6.9100157689060691E-4</c:v>
                </c:pt>
                <c:pt idx="12">
                  <c:v>9.0266449333367574E-4</c:v>
                </c:pt>
                <c:pt idx="13">
                  <c:v>3.8922699090874552E-4</c:v>
                </c:pt>
                <c:pt idx="14">
                  <c:v>2.2232297425665896E-3</c:v>
                </c:pt>
                <c:pt idx="15">
                  <c:v>4.2795587014884444E-2</c:v>
                </c:pt>
                <c:pt idx="16">
                  <c:v>1.1498414924353792E-2</c:v>
                </c:pt>
                <c:pt idx="17">
                  <c:v>0.26356734157705508</c:v>
                </c:pt>
                <c:pt idx="18">
                  <c:v>1.4634773420707379E-2</c:v>
                </c:pt>
                <c:pt idx="20">
                  <c:v>6.0102405859548029E-3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EA-42A5-9E26-E385C36AD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Ch3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calibration!$BD$3:$BD$23</c:f>
              <c:numCache>
                <c:formatCode>0.000000</c:formatCode>
                <c:ptCount val="21"/>
                <c:pt idx="0">
                  <c:v>2.653189713845872</c:v>
                </c:pt>
                <c:pt idx="1">
                  <c:v>0.27603160920571362</c:v>
                </c:pt>
                <c:pt idx="2">
                  <c:v>0.8074245362077126</c:v>
                </c:pt>
                <c:pt idx="3">
                  <c:v>1.2119294228748561</c:v>
                </c:pt>
                <c:pt idx="4">
                  <c:v>1.1982766392565218</c:v>
                </c:pt>
                <c:pt idx="5">
                  <c:v>0.4905394557709713</c:v>
                </c:pt>
                <c:pt idx="6">
                  <c:v>0.20930256111477435</c:v>
                </c:pt>
                <c:pt idx="7">
                  <c:v>6.9171066217892055E-2</c:v>
                </c:pt>
                <c:pt idx="8">
                  <c:v>5.431368212867746E-2</c:v>
                </c:pt>
                <c:pt idx="9">
                  <c:v>3.7166744589754337E-2</c:v>
                </c:pt>
                <c:pt idx="10">
                  <c:v>1.2333836441003014E-2</c:v>
                </c:pt>
                <c:pt idx="11">
                  <c:v>3.8660650791375421E-3</c:v>
                </c:pt>
                <c:pt idx="12">
                  <c:v>1.594854842025039E-2</c:v>
                </c:pt>
                <c:pt idx="13">
                  <c:v>8.1462471518383098E-3</c:v>
                </c:pt>
                <c:pt idx="14">
                  <c:v>2.2544421625052324E-2</c:v>
                </c:pt>
                <c:pt idx="15">
                  <c:v>0.2639315208580415</c:v>
                </c:pt>
                <c:pt idx="16">
                  <c:v>9.1782118936434981E-2</c:v>
                </c:pt>
                <c:pt idx="17">
                  <c:v>2.3398999957462618</c:v>
                </c:pt>
                <c:pt idx="18">
                  <c:v>0.10107115599242855</c:v>
                </c:pt>
                <c:pt idx="19">
                  <c:v>2.4994925843965211E-3</c:v>
                </c:pt>
                <c:pt idx="20">
                  <c:v>0.44478517387975663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25-471D-9296-C341269C16E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calibration!$BD$3:$BD$23</c:f>
              <c:numCache>
                <c:formatCode>0.000000</c:formatCode>
                <c:ptCount val="21"/>
                <c:pt idx="0">
                  <c:v>2.653189713845872</c:v>
                </c:pt>
                <c:pt idx="1">
                  <c:v>0.27603160920571362</c:v>
                </c:pt>
                <c:pt idx="2">
                  <c:v>0.8074245362077126</c:v>
                </c:pt>
                <c:pt idx="3">
                  <c:v>1.2119294228748561</c:v>
                </c:pt>
                <c:pt idx="4">
                  <c:v>1.1982766392565218</c:v>
                </c:pt>
                <c:pt idx="5">
                  <c:v>0.4905394557709713</c:v>
                </c:pt>
                <c:pt idx="6">
                  <c:v>0.20930256111477435</c:v>
                </c:pt>
                <c:pt idx="7">
                  <c:v>6.9171066217892055E-2</c:v>
                </c:pt>
                <c:pt idx="8">
                  <c:v>5.431368212867746E-2</c:v>
                </c:pt>
                <c:pt idx="9">
                  <c:v>3.7166744589754337E-2</c:v>
                </c:pt>
                <c:pt idx="10">
                  <c:v>1.2333836441003014E-2</c:v>
                </c:pt>
                <c:pt idx="11">
                  <c:v>3.8660650791375421E-3</c:v>
                </c:pt>
                <c:pt idx="12">
                  <c:v>1.594854842025039E-2</c:v>
                </c:pt>
                <c:pt idx="13">
                  <c:v>8.1462471518383098E-3</c:v>
                </c:pt>
                <c:pt idx="14">
                  <c:v>2.2544421625052324E-2</c:v>
                </c:pt>
                <c:pt idx="15">
                  <c:v>0.2639315208580415</c:v>
                </c:pt>
                <c:pt idx="16">
                  <c:v>9.1782118936434981E-2</c:v>
                </c:pt>
                <c:pt idx="17">
                  <c:v>2.3398999957462618</c:v>
                </c:pt>
                <c:pt idx="18">
                  <c:v>0.10107115599242855</c:v>
                </c:pt>
                <c:pt idx="19">
                  <c:v>2.4994925843965211E-3</c:v>
                </c:pt>
                <c:pt idx="20">
                  <c:v>0.44478517387975663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25-471D-9296-C341269C1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Ch2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calibration!$BE$3:$BE$23</c:f>
              <c:numCache>
                <c:formatCode>0.000000</c:formatCode>
                <c:ptCount val="21"/>
                <c:pt idx="0">
                  <c:v>24.280705866104647</c:v>
                </c:pt>
                <c:pt idx="1">
                  <c:v>3.30347225336845</c:v>
                </c:pt>
                <c:pt idx="2">
                  <c:v>8.2572306069583874</c:v>
                </c:pt>
                <c:pt idx="3">
                  <c:v>8.8085170177106527</c:v>
                </c:pt>
                <c:pt idx="4">
                  <c:v>15.030809882712923</c:v>
                </c:pt>
                <c:pt idx="5">
                  <c:v>6.6475528672963282</c:v>
                </c:pt>
                <c:pt idx="6">
                  <c:v>3.703045312030619</c:v>
                </c:pt>
                <c:pt idx="7">
                  <c:v>1.3631096639136489</c:v>
                </c:pt>
                <c:pt idx="8">
                  <c:v>0.93033382443093693</c:v>
                </c:pt>
                <c:pt idx="9">
                  <c:v>0.64161538028628318</c:v>
                </c:pt>
                <c:pt idx="10">
                  <c:v>0.45277814259728422</c:v>
                </c:pt>
                <c:pt idx="11">
                  <c:v>0.24479902187834415</c:v>
                </c:pt>
                <c:pt idx="12">
                  <c:v>0.49363752766993313</c:v>
                </c:pt>
                <c:pt idx="13">
                  <c:v>0.28919715578759758</c:v>
                </c:pt>
                <c:pt idx="14">
                  <c:v>0.58748108820927669</c:v>
                </c:pt>
                <c:pt idx="15">
                  <c:v>3.331303284506133</c:v>
                </c:pt>
                <c:pt idx="16">
                  <c:v>1.4373719980174464</c:v>
                </c:pt>
                <c:pt idx="17">
                  <c:v>15.04628420027689</c:v>
                </c:pt>
                <c:pt idx="18">
                  <c:v>0.85066727643562667</c:v>
                </c:pt>
                <c:pt idx="19">
                  <c:v>0.10697483054143762</c:v>
                </c:pt>
                <c:pt idx="20">
                  <c:v>13.283300359546233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41-4792-BC7F-FED4A6648BA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calibration!$BE$3:$BE$23</c:f>
              <c:numCache>
                <c:formatCode>0.000000</c:formatCode>
                <c:ptCount val="21"/>
                <c:pt idx="0">
                  <c:v>24.280705866104647</c:v>
                </c:pt>
                <c:pt idx="1">
                  <c:v>3.30347225336845</c:v>
                </c:pt>
                <c:pt idx="2">
                  <c:v>8.2572306069583874</c:v>
                </c:pt>
                <c:pt idx="3">
                  <c:v>8.8085170177106527</c:v>
                </c:pt>
                <c:pt idx="4">
                  <c:v>15.030809882712923</c:v>
                </c:pt>
                <c:pt idx="5">
                  <c:v>6.6475528672963282</c:v>
                </c:pt>
                <c:pt idx="6">
                  <c:v>3.703045312030619</c:v>
                </c:pt>
                <c:pt idx="7">
                  <c:v>1.3631096639136489</c:v>
                </c:pt>
                <c:pt idx="8">
                  <c:v>0.93033382443093693</c:v>
                </c:pt>
                <c:pt idx="9">
                  <c:v>0.64161538028628318</c:v>
                </c:pt>
                <c:pt idx="10">
                  <c:v>0.45277814259728422</c:v>
                </c:pt>
                <c:pt idx="11">
                  <c:v>0.24479902187834415</c:v>
                </c:pt>
                <c:pt idx="12">
                  <c:v>0.49363752766993313</c:v>
                </c:pt>
                <c:pt idx="13">
                  <c:v>0.28919715578759758</c:v>
                </c:pt>
                <c:pt idx="14">
                  <c:v>0.58748108820927669</c:v>
                </c:pt>
                <c:pt idx="15">
                  <c:v>3.331303284506133</c:v>
                </c:pt>
                <c:pt idx="16">
                  <c:v>1.4373719980174464</c:v>
                </c:pt>
                <c:pt idx="17">
                  <c:v>15.04628420027689</c:v>
                </c:pt>
                <c:pt idx="18">
                  <c:v>0.85066727643562667</c:v>
                </c:pt>
                <c:pt idx="19">
                  <c:v>0.10697483054143762</c:v>
                </c:pt>
                <c:pt idx="20">
                  <c:v>13.283300359546233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41-4792-BC7F-FED4A6648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Ch1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calibration!$BF$3:$BF$23</c:f>
              <c:numCache>
                <c:formatCode>0.000000</c:formatCode>
                <c:ptCount val="21"/>
                <c:pt idx="0">
                  <c:v>157.2617903115916</c:v>
                </c:pt>
                <c:pt idx="1">
                  <c:v>35.559669478934083</c:v>
                </c:pt>
                <c:pt idx="2">
                  <c:v>70.365965172340893</c:v>
                </c:pt>
                <c:pt idx="3">
                  <c:v>94.981899525658974</c:v>
                </c:pt>
                <c:pt idx="4">
                  <c:v>104.05229380107126</c:v>
                </c:pt>
                <c:pt idx="5">
                  <c:v>65.833367930862963</c:v>
                </c:pt>
                <c:pt idx="6">
                  <c:v>40.486628744867993</c:v>
                </c:pt>
                <c:pt idx="7">
                  <c:v>16.253624582070231</c:v>
                </c:pt>
                <c:pt idx="8">
                  <c:v>11.231666534948083</c:v>
                </c:pt>
                <c:pt idx="9">
                  <c:v>9.6085815486775505</c:v>
                </c:pt>
                <c:pt idx="10">
                  <c:v>5.701871700187227</c:v>
                </c:pt>
                <c:pt idx="11">
                  <c:v>3.6902539118974436</c:v>
                </c:pt>
                <c:pt idx="12">
                  <c:v>5.9715282193383086</c:v>
                </c:pt>
                <c:pt idx="13">
                  <c:v>4.1665812444953874</c:v>
                </c:pt>
                <c:pt idx="14">
                  <c:v>8.136359534854039</c:v>
                </c:pt>
                <c:pt idx="15">
                  <c:v>33.183912562715946</c:v>
                </c:pt>
                <c:pt idx="16">
                  <c:v>16.705871602931776</c:v>
                </c:pt>
                <c:pt idx="17">
                  <c:v>133.36412060539811</c:v>
                </c:pt>
                <c:pt idx="18">
                  <c:v>10.412379206370238</c:v>
                </c:pt>
                <c:pt idx="19">
                  <c:v>2.149887420675606</c:v>
                </c:pt>
                <c:pt idx="20">
                  <c:v>79.139360643366985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AC-41AE-AA5B-C5A0B17E6EA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calibration!$BF$3:$BF$23</c:f>
              <c:numCache>
                <c:formatCode>0.000000</c:formatCode>
                <c:ptCount val="21"/>
                <c:pt idx="0">
                  <c:v>157.2617903115916</c:v>
                </c:pt>
                <c:pt idx="1">
                  <c:v>35.559669478934083</c:v>
                </c:pt>
                <c:pt idx="2">
                  <c:v>70.365965172340893</c:v>
                </c:pt>
                <c:pt idx="3">
                  <c:v>94.981899525658974</c:v>
                </c:pt>
                <c:pt idx="4">
                  <c:v>104.05229380107126</c:v>
                </c:pt>
                <c:pt idx="5">
                  <c:v>65.833367930862963</c:v>
                </c:pt>
                <c:pt idx="6">
                  <c:v>40.486628744867993</c:v>
                </c:pt>
                <c:pt idx="7">
                  <c:v>16.253624582070231</c:v>
                </c:pt>
                <c:pt idx="8">
                  <c:v>11.231666534948083</c:v>
                </c:pt>
                <c:pt idx="9">
                  <c:v>9.6085815486775505</c:v>
                </c:pt>
                <c:pt idx="10">
                  <c:v>5.701871700187227</c:v>
                </c:pt>
                <c:pt idx="11">
                  <c:v>3.6902539118974436</c:v>
                </c:pt>
                <c:pt idx="12">
                  <c:v>5.9715282193383086</c:v>
                </c:pt>
                <c:pt idx="13">
                  <c:v>4.1665812444953874</c:v>
                </c:pt>
                <c:pt idx="14">
                  <c:v>8.136359534854039</c:v>
                </c:pt>
                <c:pt idx="15">
                  <c:v>33.183912562715946</c:v>
                </c:pt>
                <c:pt idx="16">
                  <c:v>16.705871602931776</c:v>
                </c:pt>
                <c:pt idx="17">
                  <c:v>133.36412060539811</c:v>
                </c:pt>
                <c:pt idx="18">
                  <c:v>10.412379206370238</c:v>
                </c:pt>
                <c:pt idx="19">
                  <c:v>2.149887420675606</c:v>
                </c:pt>
                <c:pt idx="20">
                  <c:v>79.139360643366985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AC-41AE-AA5B-C5A0B17E6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  <c:pt idx="20">
                  <c:v>27.039999999999836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23-4390-8FAE-A72D1997182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  <c:pt idx="20">
                  <c:v>27.039999999999836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23-4390-8FAE-A72D19971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 Amplitude Based 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validation!$C$27</c:f>
              <c:strCache>
                <c:ptCount val="1"/>
                <c:pt idx="0">
                  <c:v>Max Amp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470862473751931"/>
                  <c:y val="-0.125085865524486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validation!$C$28:$C$48</c:f>
              <c:numCache>
                <c:formatCode>0.00</c:formatCode>
                <c:ptCount val="21"/>
                <c:pt idx="0">
                  <c:v>142.60831146005137</c:v>
                </c:pt>
                <c:pt idx="1">
                  <c:v>99.702281630840119</c:v>
                </c:pt>
                <c:pt idx="2">
                  <c:v>80.494299517891292</c:v>
                </c:pt>
                <c:pt idx="3">
                  <c:v>108.52826698393112</c:v>
                </c:pt>
                <c:pt idx="4">
                  <c:v>51.711320397363707</c:v>
                </c:pt>
                <c:pt idx="5">
                  <c:v>110.07828843908854</c:v>
                </c:pt>
                <c:pt idx="6">
                  <c:v>28.138895212995983</c:v>
                </c:pt>
                <c:pt idx="7">
                  <c:v>43.154717980702401</c:v>
                </c:pt>
                <c:pt idx="8">
                  <c:v>45.758265516180927</c:v>
                </c:pt>
                <c:pt idx="9">
                  <c:v>35.608707540523334</c:v>
                </c:pt>
                <c:pt idx="10">
                  <c:v>18.385700320150519</c:v>
                </c:pt>
                <c:pt idx="11">
                  <c:v>21.41250921689856</c:v>
                </c:pt>
                <c:pt idx="12">
                  <c:v>44.21810982361545</c:v>
                </c:pt>
                <c:pt idx="13">
                  <c:v>56.991450556743601</c:v>
                </c:pt>
                <c:pt idx="14">
                  <c:v>39.729031757563774</c:v>
                </c:pt>
                <c:pt idx="15">
                  <c:v>122.90534144639936</c:v>
                </c:pt>
                <c:pt idx="16">
                  <c:v>62.934080327892111</c:v>
                </c:pt>
                <c:pt idx="17">
                  <c:v>82.301765378972704</c:v>
                </c:pt>
                <c:pt idx="18">
                  <c:v>103.79561762782475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2-4E5F-9E53-C5D60AD46CF2}"/>
            </c:ext>
          </c:extLst>
        </c:ser>
        <c:ser>
          <c:idx val="1"/>
          <c:order val="1"/>
          <c:tx>
            <c:strRef>
              <c:f>validation!$M$27</c:f>
              <c:strCache>
                <c:ptCount val="1"/>
                <c:pt idx="0">
                  <c:v>Max*Mean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000177003250678"/>
                  <c:y val="8.892637788912236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validation!$M$28:$M$48</c:f>
              <c:numCache>
                <c:formatCode>0.00</c:formatCode>
                <c:ptCount val="21"/>
                <c:pt idx="0">
                  <c:v>148.51264954109695</c:v>
                </c:pt>
                <c:pt idx="1">
                  <c:v>102.06933912439833</c:v>
                </c:pt>
                <c:pt idx="2">
                  <c:v>85.292131472281028</c:v>
                </c:pt>
                <c:pt idx="3">
                  <c:v>112.46258633271916</c:v>
                </c:pt>
                <c:pt idx="4">
                  <c:v>60.677327684459591</c:v>
                </c:pt>
                <c:pt idx="5">
                  <c:v>98.992268531121866</c:v>
                </c:pt>
                <c:pt idx="6">
                  <c:v>28.086060484113897</c:v>
                </c:pt>
                <c:pt idx="7">
                  <c:v>45.907042188380011</c:v>
                </c:pt>
                <c:pt idx="8">
                  <c:v>45.322803330337265</c:v>
                </c:pt>
                <c:pt idx="9">
                  <c:v>39.799314160287572</c:v>
                </c:pt>
                <c:pt idx="10">
                  <c:v>19.607181438968368</c:v>
                </c:pt>
                <c:pt idx="11">
                  <c:v>23.347499534220773</c:v>
                </c:pt>
                <c:pt idx="12">
                  <c:v>46.038254907884948</c:v>
                </c:pt>
                <c:pt idx="13">
                  <c:v>50.778205890389032</c:v>
                </c:pt>
                <c:pt idx="14">
                  <c:v>40.295260239584771</c:v>
                </c:pt>
                <c:pt idx="15">
                  <c:v>102.91199725897496</c:v>
                </c:pt>
                <c:pt idx="16">
                  <c:v>58.832968719528274</c:v>
                </c:pt>
                <c:pt idx="17">
                  <c:v>81.315610363652823</c:v>
                </c:pt>
                <c:pt idx="18">
                  <c:v>57.972240615240565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02-4E5F-9E53-C5D60AD46CF2}"/>
            </c:ext>
          </c:extLst>
        </c:ser>
        <c:ser>
          <c:idx val="2"/>
          <c:order val="2"/>
          <c:tx>
            <c:strRef>
              <c:f>validation!$N$27</c:f>
              <c:strCache>
                <c:ptCount val="1"/>
                <c:pt idx="0">
                  <c:v>Max*Med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400165112892049"/>
                  <c:y val="-3.7576990348426424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validation!$B$28:$B$46</c:f>
              <c:numCache>
                <c:formatCode>General</c:formatCode>
                <c:ptCount val="19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validation!$N$28:$N$46</c:f>
              <c:numCache>
                <c:formatCode>0.00</c:formatCode>
                <c:ptCount val="19"/>
                <c:pt idx="0">
                  <c:v>110.58117716759436</c:v>
                </c:pt>
                <c:pt idx="1">
                  <c:v>94.836512436415049</c:v>
                </c:pt>
                <c:pt idx="2">
                  <c:v>64.555212382437986</c:v>
                </c:pt>
                <c:pt idx="3">
                  <c:v>95.122649124916435</c:v>
                </c:pt>
                <c:pt idx="4">
                  <c:v>59.81684128500595</c:v>
                </c:pt>
                <c:pt idx="5">
                  <c:v>83.599915485968992</c:v>
                </c:pt>
                <c:pt idx="6">
                  <c:v>29.908779346397502</c:v>
                </c:pt>
                <c:pt idx="7">
                  <c:v>45.539576890893976</c:v>
                </c:pt>
                <c:pt idx="8">
                  <c:v>40.378282611221621</c:v>
                </c:pt>
                <c:pt idx="9">
                  <c:v>42.833464874460979</c:v>
                </c:pt>
                <c:pt idx="10">
                  <c:v>20.209898403573217</c:v>
                </c:pt>
                <c:pt idx="11">
                  <c:v>24.850877167472145</c:v>
                </c:pt>
                <c:pt idx="12">
                  <c:v>45.653523329179976</c:v>
                </c:pt>
                <c:pt idx="13">
                  <c:v>45.55594040850918</c:v>
                </c:pt>
                <c:pt idx="14">
                  <c:v>40.195470850604011</c:v>
                </c:pt>
                <c:pt idx="15">
                  <c:v>80.105211136678733</c:v>
                </c:pt>
                <c:pt idx="16">
                  <c:v>58.43516419455667</c:v>
                </c:pt>
                <c:pt idx="17">
                  <c:v>82.06675104088508</c:v>
                </c:pt>
                <c:pt idx="18">
                  <c:v>60.642260994368897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02-4E5F-9E53-C5D60AD46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validation!$AF$61:$AF$62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xVal>
          <c:yVal>
            <c:numRef>
              <c:f>validation!$AG$61:$AG$62</c:f>
              <c:numCache>
                <c:formatCode>General</c:formatCode>
                <c:ptCount val="2"/>
                <c:pt idx="0">
                  <c:v>20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ED-4A9A-BB65-0196B2942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logBase val="10"/>
          <c:orientation val="minMax"/>
          <c:max val="150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logBase val="10"/>
          <c:orientation val="minMax"/>
          <c:max val="2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Amax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validation!$D$27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456077634212639"/>
                  <c:y val="-0.1611959263663441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validation!$D$28:$D$48</c:f>
              <c:numCache>
                <c:formatCode>0.000</c:formatCode>
                <c:ptCount val="21"/>
                <c:pt idx="0">
                  <c:v>116.95068108498626</c:v>
                </c:pt>
                <c:pt idx="1">
                  <c:v>98.667109532910658</c:v>
                </c:pt>
                <c:pt idx="2">
                  <c:v>81.839656470222096</c:v>
                </c:pt>
                <c:pt idx="3">
                  <c:v>100.40951956926615</c:v>
                </c:pt>
                <c:pt idx="4">
                  <c:v>64.278148375633563</c:v>
                </c:pt>
                <c:pt idx="5">
                  <c:v>84.645419959614827</c:v>
                </c:pt>
                <c:pt idx="6">
                  <c:v>26.736932705849615</c:v>
                </c:pt>
                <c:pt idx="7">
                  <c:v>53.16003696048103</c:v>
                </c:pt>
                <c:pt idx="8">
                  <c:v>46.625545153582543</c:v>
                </c:pt>
                <c:pt idx="9">
                  <c:v>45.215301267981694</c:v>
                </c:pt>
                <c:pt idx="10">
                  <c:v>15.458241908347745</c:v>
                </c:pt>
                <c:pt idx="11">
                  <c:v>23.336350030250173</c:v>
                </c:pt>
                <c:pt idx="12">
                  <c:v>52.950371279609229</c:v>
                </c:pt>
                <c:pt idx="13">
                  <c:v>52.083412584564385</c:v>
                </c:pt>
                <c:pt idx="14">
                  <c:v>48.039697797790794</c:v>
                </c:pt>
                <c:pt idx="15">
                  <c:v>93.859595433595302</c:v>
                </c:pt>
                <c:pt idx="16">
                  <c:v>66.673723886903545</c:v>
                </c:pt>
                <c:pt idx="17">
                  <c:v>82.551125132717345</c:v>
                </c:pt>
                <c:pt idx="18">
                  <c:v>42.984318298384501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9E-456A-A305-3D3B59D10220}"/>
            </c:ext>
          </c:extLst>
        </c:ser>
        <c:ser>
          <c:idx val="1"/>
          <c:order val="1"/>
          <c:tx>
            <c:strRef>
              <c:f>validation!$E$27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2256127479614"/>
                  <c:y val="-6.2337649218407259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validation!$E$28:$E$48</c:f>
              <c:numCache>
                <c:formatCode>0.000</c:formatCode>
                <c:ptCount val="21"/>
                <c:pt idx="0">
                  <c:v>115.20235701400605</c:v>
                </c:pt>
                <c:pt idx="1">
                  <c:v>82.464193841089326</c:v>
                </c:pt>
                <c:pt idx="2">
                  <c:v>80.096224013454005</c:v>
                </c:pt>
                <c:pt idx="3">
                  <c:v>107.31183736382886</c:v>
                </c:pt>
                <c:pt idx="4">
                  <c:v>64.292992001684325</c:v>
                </c:pt>
                <c:pt idx="5">
                  <c:v>98.930237776466655</c:v>
                </c:pt>
                <c:pt idx="6">
                  <c:v>28.10042237838346</c:v>
                </c:pt>
                <c:pt idx="7">
                  <c:v>47.762566472643172</c:v>
                </c:pt>
                <c:pt idx="8">
                  <c:v>46.738237285038721</c:v>
                </c:pt>
                <c:pt idx="9">
                  <c:v>43.135793875140585</c:v>
                </c:pt>
                <c:pt idx="10">
                  <c:v>16.910762054923712</c:v>
                </c:pt>
                <c:pt idx="11">
                  <c:v>21.579159215396679</c:v>
                </c:pt>
                <c:pt idx="12">
                  <c:v>52.065455706577225</c:v>
                </c:pt>
                <c:pt idx="13">
                  <c:v>56.677837419095475</c:v>
                </c:pt>
                <c:pt idx="14">
                  <c:v>44.539875444295852</c:v>
                </c:pt>
                <c:pt idx="15">
                  <c:v>110.89242834341546</c:v>
                </c:pt>
                <c:pt idx="16">
                  <c:v>66.462917937619366</c:v>
                </c:pt>
                <c:pt idx="17">
                  <c:v>88.309972427913436</c:v>
                </c:pt>
                <c:pt idx="18">
                  <c:v>67.830233196402276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9E-456A-A305-3D3B59D10220}"/>
            </c:ext>
          </c:extLst>
        </c:ser>
        <c:ser>
          <c:idx val="2"/>
          <c:order val="2"/>
          <c:tx>
            <c:strRef>
              <c:f>validation!$F$27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851725507605318"/>
                  <c:y val="-0.1860648190907201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validation!$F$28:$F$48</c:f>
              <c:numCache>
                <c:formatCode>0.000</c:formatCode>
                <c:ptCount val="21"/>
                <c:pt idx="0">
                  <c:v>151.38755107192091</c:v>
                </c:pt>
                <c:pt idx="1">
                  <c:v>94.005035092273431</c:v>
                </c:pt>
                <c:pt idx="2">
                  <c:v>82.058911589663026</c:v>
                </c:pt>
                <c:pt idx="3">
                  <c:v>118.23889856838431</c:v>
                </c:pt>
                <c:pt idx="4">
                  <c:v>52.825760217034208</c:v>
                </c:pt>
                <c:pt idx="5">
                  <c:v>124.70779520648537</c:v>
                </c:pt>
                <c:pt idx="6">
                  <c:v>27.901091442354769</c:v>
                </c:pt>
                <c:pt idx="7">
                  <c:v>45.725264313361798</c:v>
                </c:pt>
                <c:pt idx="8">
                  <c:v>50.693872679641075</c:v>
                </c:pt>
                <c:pt idx="9">
                  <c:v>37.809091337666921</c:v>
                </c:pt>
                <c:pt idx="10">
                  <c:v>17.937037785470327</c:v>
                </c:pt>
                <c:pt idx="11">
                  <c:v>20.816449369009678</c:v>
                </c:pt>
                <c:pt idx="12">
                  <c:v>44.439476416146661</c:v>
                </c:pt>
                <c:pt idx="13">
                  <c:v>58.476691429138036</c:v>
                </c:pt>
                <c:pt idx="14">
                  <c:v>40.699633570833882</c:v>
                </c:pt>
                <c:pt idx="15">
                  <c:v>137.04560139288705</c:v>
                </c:pt>
                <c:pt idx="16">
                  <c:v>64.565347307891471</c:v>
                </c:pt>
                <c:pt idx="17">
                  <c:v>86.414678018681897</c:v>
                </c:pt>
                <c:pt idx="18">
                  <c:v>101.31423534097813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9E-456A-A305-3D3B59D10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Amedian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validation!$G$27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77405235324813"/>
                  <c:y val="-8.49430112678657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validation!$G$28:$G$48</c:f>
              <c:numCache>
                <c:formatCode>0.00</c:formatCode>
                <c:ptCount val="21"/>
                <c:pt idx="0">
                  <c:v>65.384578047646713</c:v>
                </c:pt>
                <c:pt idx="1">
                  <c:v>71.795875306103753</c:v>
                </c:pt>
                <c:pt idx="2">
                  <c:v>57.107285520757799</c:v>
                </c:pt>
                <c:pt idx="3">
                  <c:v>67.228863069123221</c:v>
                </c:pt>
                <c:pt idx="4">
                  <c:v>67.790158190567425</c:v>
                </c:pt>
                <c:pt idx="5">
                  <c:v>52.229548635315865</c:v>
                </c:pt>
                <c:pt idx="6">
                  <c:v>35.266075271003764</c:v>
                </c:pt>
                <c:pt idx="7">
                  <c:v>56.481737181745252</c:v>
                </c:pt>
                <c:pt idx="8">
                  <c:v>43.736421375108904</c:v>
                </c:pt>
                <c:pt idx="9">
                  <c:v>56.805792312904344</c:v>
                </c:pt>
                <c:pt idx="10">
                  <c:v>25.250107129129805</c:v>
                </c:pt>
                <c:pt idx="11">
                  <c:v>35.860619902777074</c:v>
                </c:pt>
                <c:pt idx="12">
                  <c:v>55.070994541852556</c:v>
                </c:pt>
                <c:pt idx="13">
                  <c:v>42.327678645468538</c:v>
                </c:pt>
                <c:pt idx="14">
                  <c:v>51.321814032058477</c:v>
                </c:pt>
                <c:pt idx="15">
                  <c:v>49.641114279051997</c:v>
                </c:pt>
                <c:pt idx="16">
                  <c:v>56.762094883418058</c:v>
                </c:pt>
                <c:pt idx="17">
                  <c:v>67.001302816277274</c:v>
                </c:pt>
                <c:pt idx="18">
                  <c:v>24.654925635784203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1-4096-ACAF-78E4BC985C8B}"/>
            </c:ext>
          </c:extLst>
        </c:ser>
        <c:ser>
          <c:idx val="1"/>
          <c:order val="1"/>
          <c:tx>
            <c:strRef>
              <c:f>validation!$H$27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7730756017913423"/>
                  <c:y val="0.281630261608441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validation!$H$28:$H$48</c:f>
              <c:numCache>
                <c:formatCode>0.00</c:formatCode>
                <c:ptCount val="21"/>
                <c:pt idx="0">
                  <c:v>51.628818352445393</c:v>
                </c:pt>
                <c:pt idx="1">
                  <c:v>54.586371705837585</c:v>
                </c:pt>
                <c:pt idx="2">
                  <c:v>49.706959685477116</c:v>
                </c:pt>
                <c:pt idx="3">
                  <c:v>58.649038570468207</c:v>
                </c:pt>
                <c:pt idx="4">
                  <c:v>65.448134471991892</c:v>
                </c:pt>
                <c:pt idx="5">
                  <c:v>49.69916480382139</c:v>
                </c:pt>
                <c:pt idx="6">
                  <c:v>43.811709923510548</c:v>
                </c:pt>
                <c:pt idx="7">
                  <c:v>53.444660669019079</c:v>
                </c:pt>
                <c:pt idx="8">
                  <c:v>45.109768952226155</c:v>
                </c:pt>
                <c:pt idx="9">
                  <c:v>58.682124784073622</c:v>
                </c:pt>
                <c:pt idx="10">
                  <c:v>37.151370987424627</c:v>
                </c:pt>
                <c:pt idx="11">
                  <c:v>43.103065572380601</c:v>
                </c:pt>
                <c:pt idx="12">
                  <c:v>54.980619547343714</c:v>
                </c:pt>
                <c:pt idx="13">
                  <c:v>44.18193950713075</c:v>
                </c:pt>
                <c:pt idx="14">
                  <c:v>50.693032441828286</c:v>
                </c:pt>
                <c:pt idx="15">
                  <c:v>45.826527086844514</c:v>
                </c:pt>
                <c:pt idx="16">
                  <c:v>53.267136543491972</c:v>
                </c:pt>
                <c:pt idx="17">
                  <c:v>62.193390742230939</c:v>
                </c:pt>
                <c:pt idx="18">
                  <c:v>32.715728904805879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E1-4096-ACAF-78E4BC985C8B}"/>
            </c:ext>
          </c:extLst>
        </c:ser>
        <c:ser>
          <c:idx val="2"/>
          <c:order val="2"/>
          <c:tx>
            <c:strRef>
              <c:f>validation!$I$27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391263035740711"/>
                  <c:y val="-0.1220008398947101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validation!$I$28:$I$48</c:f>
              <c:numCache>
                <c:formatCode>0.00</c:formatCode>
                <c:ptCount val="21"/>
                <c:pt idx="0">
                  <c:v>52.643434084458356</c:v>
                </c:pt>
                <c:pt idx="1">
                  <c:v>54.712432439892552</c:v>
                </c:pt>
                <c:pt idx="2">
                  <c:v>47.264726179696602</c:v>
                </c:pt>
                <c:pt idx="3">
                  <c:v>55.822006645722404</c:v>
                </c:pt>
                <c:pt idx="4">
                  <c:v>58.554474525039957</c:v>
                </c:pt>
                <c:pt idx="5">
                  <c:v>50.684987955350557</c:v>
                </c:pt>
                <c:pt idx="6">
                  <c:v>47.568351400075024</c:v>
                </c:pt>
                <c:pt idx="7">
                  <c:v>53.261989913258184</c:v>
                </c:pt>
                <c:pt idx="8">
                  <c:v>47.5106298842461</c:v>
                </c:pt>
                <c:pt idx="9">
                  <c:v>57.143620920571067</c:v>
                </c:pt>
                <c:pt idx="10">
                  <c:v>44.514321903194059</c:v>
                </c:pt>
                <c:pt idx="11">
                  <c:v>47.936496620170558</c:v>
                </c:pt>
                <c:pt idx="12">
                  <c:v>51.228547124253282</c:v>
                </c:pt>
                <c:pt idx="13">
                  <c:v>44.090548863460931</c:v>
                </c:pt>
                <c:pt idx="14">
                  <c:v>49.75878646363784</c:v>
                </c:pt>
                <c:pt idx="15">
                  <c:v>45.321140149968969</c:v>
                </c:pt>
                <c:pt idx="16">
                  <c:v>50.913070065770825</c:v>
                </c:pt>
                <c:pt idx="17">
                  <c:v>57.670539519757106</c:v>
                </c:pt>
                <c:pt idx="18">
                  <c:v>37.493598149762107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E1-4096-ACAF-78E4BC985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Amean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validation!$J$27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859649035506979"/>
                  <c:y val="-0.118533387979403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validation!$J$28:$J$48</c:f>
              <c:numCache>
                <c:formatCode>0.00</c:formatCode>
                <c:ptCount val="21"/>
                <c:pt idx="0">
                  <c:v>92.842677817177901</c:v>
                </c:pt>
                <c:pt idx="1">
                  <c:v>83.292592946891432</c:v>
                </c:pt>
                <c:pt idx="2">
                  <c:v>74.954810960620108</c:v>
                </c:pt>
                <c:pt idx="3">
                  <c:v>84.252068948159007</c:v>
                </c:pt>
                <c:pt idx="4">
                  <c:v>71.06874423077123</c:v>
                </c:pt>
                <c:pt idx="5">
                  <c:v>62.949579087623313</c:v>
                </c:pt>
                <c:pt idx="6">
                  <c:v>30.079911506948299</c:v>
                </c:pt>
                <c:pt idx="7">
                  <c:v>56.269015182775313</c:v>
                </c:pt>
                <c:pt idx="8">
                  <c:v>46.106882454418574</c:v>
                </c:pt>
                <c:pt idx="9">
                  <c:v>52.340891171179685</c:v>
                </c:pt>
                <c:pt idx="10">
                  <c:v>20.606898398021112</c:v>
                </c:pt>
                <c:pt idx="11">
                  <c:v>30.150375188185901</c:v>
                </c:pt>
                <c:pt idx="12">
                  <c:v>54.735478167433257</c:v>
                </c:pt>
                <c:pt idx="13">
                  <c:v>44.660696204200569</c:v>
                </c:pt>
                <c:pt idx="14">
                  <c:v>49.758189863230243</c:v>
                </c:pt>
                <c:pt idx="15">
                  <c:v>63.758286007908318</c:v>
                </c:pt>
                <c:pt idx="16">
                  <c:v>57.802109090072939</c:v>
                </c:pt>
                <c:pt idx="17">
                  <c:v>70.67174735147897</c:v>
                </c:pt>
                <c:pt idx="18">
                  <c:v>21.865693822315428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3B-4D72-AAB6-8E1C6C02382F}"/>
            </c:ext>
          </c:extLst>
        </c:ser>
        <c:ser>
          <c:idx val="1"/>
          <c:order val="1"/>
          <c:tx>
            <c:strRef>
              <c:f>validation!$K$27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565348100033489"/>
                  <c:y val="9.1060749497794916E-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validation!$K$28:$K$48</c:f>
              <c:numCache>
                <c:formatCode>0.00</c:formatCode>
                <c:ptCount val="21"/>
                <c:pt idx="0">
                  <c:v>81.072571300785981</c:v>
                </c:pt>
                <c:pt idx="1">
                  <c:v>64.795355664056643</c:v>
                </c:pt>
                <c:pt idx="2">
                  <c:v>69.961722164412535</c:v>
                </c:pt>
                <c:pt idx="3">
                  <c:v>81.425656805169879</c:v>
                </c:pt>
                <c:pt idx="4">
                  <c:v>73.967491919762509</c:v>
                </c:pt>
                <c:pt idx="5">
                  <c:v>62.769226707154601</c:v>
                </c:pt>
                <c:pt idx="6">
                  <c:v>33.739575287705421</c:v>
                </c:pt>
                <c:pt idx="7">
                  <c:v>52.444532611877179</c:v>
                </c:pt>
                <c:pt idx="8">
                  <c:v>46.153491480304773</c:v>
                </c:pt>
                <c:pt idx="9">
                  <c:v>53.775932795362614</c:v>
                </c:pt>
                <c:pt idx="10">
                  <c:v>26.193008149886403</c:v>
                </c:pt>
                <c:pt idx="11">
                  <c:v>32.169770578692088</c:v>
                </c:pt>
                <c:pt idx="12">
                  <c:v>54.736965281607354</c:v>
                </c:pt>
                <c:pt idx="13">
                  <c:v>45.05127682505821</c:v>
                </c:pt>
                <c:pt idx="14">
                  <c:v>47.369550102291711</c:v>
                </c:pt>
                <c:pt idx="15">
                  <c:v>61.512353564056511</c:v>
                </c:pt>
                <c:pt idx="16">
                  <c:v>53.818834117110711</c:v>
                </c:pt>
                <c:pt idx="17">
                  <c:v>69.320260916444269</c:v>
                </c:pt>
                <c:pt idx="18">
                  <c:v>24.552341859803199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3B-4D72-AAB6-8E1C6C02382F}"/>
            </c:ext>
          </c:extLst>
        </c:ser>
        <c:ser>
          <c:idx val="2"/>
          <c:order val="2"/>
          <c:tx>
            <c:strRef>
              <c:f>validation!$L$27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391263035740711"/>
                  <c:y val="-0.1220008398947101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validation!$L$28:$L$48</c:f>
              <c:numCache>
                <c:formatCode>0.00</c:formatCode>
                <c:ptCount val="21"/>
                <c:pt idx="0">
                  <c:v>100.44423476914439</c:v>
                </c:pt>
                <c:pt idx="1">
                  <c:v>70.157847245573649</c:v>
                </c:pt>
                <c:pt idx="2">
                  <c:v>71.098076504051448</c:v>
                </c:pt>
                <c:pt idx="3">
                  <c:v>86.878941050514186</c:v>
                </c:pt>
                <c:pt idx="4">
                  <c:v>66.185835174744469</c:v>
                </c:pt>
                <c:pt idx="5">
                  <c:v>70.11199502976369</c:v>
                </c:pt>
                <c:pt idx="6">
                  <c:v>33.314079141418567</c:v>
                </c:pt>
                <c:pt idx="7">
                  <c:v>51.457953253671036</c:v>
                </c:pt>
                <c:pt idx="8">
                  <c:v>48.788996478358897</c:v>
                </c:pt>
                <c:pt idx="9">
                  <c:v>50.415003086487374</c:v>
                </c:pt>
                <c:pt idx="10">
                  <c:v>28.806524264497664</c:v>
                </c:pt>
                <c:pt idx="11">
                  <c:v>32.721980499652865</c:v>
                </c:pt>
                <c:pt idx="12">
                  <c:v>47.65088313560797</c:v>
                </c:pt>
                <c:pt idx="13">
                  <c:v>42.405450139647805</c:v>
                </c:pt>
                <c:pt idx="14">
                  <c:v>43.4303454246649</c:v>
                </c:pt>
                <c:pt idx="15">
                  <c:v>64.601613003966577</c:v>
                </c:pt>
                <c:pt idx="16">
                  <c:v>49.116994051864594</c:v>
                </c:pt>
                <c:pt idx="17">
                  <c:v>65.18559131526824</c:v>
                </c:pt>
                <c:pt idx="18">
                  <c:v>24.355555477494292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3B-4D72-AAB6-8E1C6C023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B-axis Measured</a:t>
            </a:r>
            <a:r>
              <a:rPr lang="en-US" sz="1200" baseline="0"/>
              <a:t> vs Predicted - Amplitude Based 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validation!$C$27</c:f>
              <c:strCache>
                <c:ptCount val="1"/>
                <c:pt idx="0">
                  <c:v>Max Amp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193781786178804"/>
                  <c:y val="-9.3537140086356191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validation!$B$53:$B$71</c:f>
              <c:numCache>
                <c:formatCode>General</c:formatCode>
                <c:ptCount val="19"/>
                <c:pt idx="0">
                  <c:v>160</c:v>
                </c:pt>
                <c:pt idx="1">
                  <c:v>196</c:v>
                </c:pt>
                <c:pt idx="2">
                  <c:v>91.54</c:v>
                </c:pt>
                <c:pt idx="3">
                  <c:v>108.92</c:v>
                </c:pt>
                <c:pt idx="4">
                  <c:v>87.08</c:v>
                </c:pt>
                <c:pt idx="5">
                  <c:v>54.11</c:v>
                </c:pt>
                <c:pt idx="6">
                  <c:v>64.849999999999994</c:v>
                </c:pt>
                <c:pt idx="7">
                  <c:v>45.6</c:v>
                </c:pt>
                <c:pt idx="8">
                  <c:v>29.55</c:v>
                </c:pt>
                <c:pt idx="9">
                  <c:v>22.6</c:v>
                </c:pt>
                <c:pt idx="10">
                  <c:v>42.84</c:v>
                </c:pt>
                <c:pt idx="11">
                  <c:v>52.94</c:v>
                </c:pt>
                <c:pt idx="12">
                  <c:v>54.11</c:v>
                </c:pt>
                <c:pt idx="13">
                  <c:v>84.98</c:v>
                </c:pt>
                <c:pt idx="14">
                  <c:v>127.22</c:v>
                </c:pt>
                <c:pt idx="15">
                  <c:v>91.54</c:v>
                </c:pt>
                <c:pt idx="16">
                  <c:v>108.42</c:v>
                </c:pt>
              </c:numCache>
            </c:numRef>
          </c:xVal>
          <c:yVal>
            <c:numRef>
              <c:f>validation!$C$53:$C$71</c:f>
              <c:numCache>
                <c:formatCode>0.00</c:formatCode>
                <c:ptCount val="19"/>
                <c:pt idx="0">
                  <c:v>170.13788672321408</c:v>
                </c:pt>
                <c:pt idx="1">
                  <c:v>124.91547576103727</c:v>
                </c:pt>
                <c:pt idx="2">
                  <c:v>134.40542286030117</c:v>
                </c:pt>
                <c:pt idx="3">
                  <c:v>70.873558375263997</c:v>
                </c:pt>
                <c:pt idx="4">
                  <c:v>136.06092919482055</c:v>
                </c:pt>
                <c:pt idx="5">
                  <c:v>41.912475789452458</c:v>
                </c:pt>
                <c:pt idx="6">
                  <c:v>60.627392053336564</c:v>
                </c:pt>
                <c:pt idx="7">
                  <c:v>51.358325096727022</c:v>
                </c:pt>
                <c:pt idx="8">
                  <c:v>29.026175842484054</c:v>
                </c:pt>
                <c:pt idx="9">
                  <c:v>33.107523226039675</c:v>
                </c:pt>
                <c:pt idx="10">
                  <c:v>61.914899095045953</c:v>
                </c:pt>
                <c:pt idx="11">
                  <c:v>77.078732996643524</c:v>
                </c:pt>
                <c:pt idx="12">
                  <c:v>56.449533285085387</c:v>
                </c:pt>
                <c:pt idx="13">
                  <c:v>149.64315802006493</c:v>
                </c:pt>
                <c:pt idx="14">
                  <c:v>83.969288966265395</c:v>
                </c:pt>
                <c:pt idx="15">
                  <c:v>105.85472635571982</c:v>
                </c:pt>
                <c:pt idx="16">
                  <c:v>129.33044418860459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85-4C2D-9B39-5122095266EE}"/>
            </c:ext>
          </c:extLst>
        </c:ser>
        <c:ser>
          <c:idx val="1"/>
          <c:order val="1"/>
          <c:tx>
            <c:strRef>
              <c:f>validation!$M$27</c:f>
              <c:strCache>
                <c:ptCount val="1"/>
                <c:pt idx="0">
                  <c:v>Max*Mean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96331689992757"/>
                  <c:y val="3.7710478768847124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validation!$B$53:$B$71</c:f>
              <c:numCache>
                <c:formatCode>General</c:formatCode>
                <c:ptCount val="19"/>
                <c:pt idx="0">
                  <c:v>160</c:v>
                </c:pt>
                <c:pt idx="1">
                  <c:v>196</c:v>
                </c:pt>
                <c:pt idx="2">
                  <c:v>91.54</c:v>
                </c:pt>
                <c:pt idx="3">
                  <c:v>108.92</c:v>
                </c:pt>
                <c:pt idx="4">
                  <c:v>87.08</c:v>
                </c:pt>
                <c:pt idx="5">
                  <c:v>54.11</c:v>
                </c:pt>
                <c:pt idx="6">
                  <c:v>64.849999999999994</c:v>
                </c:pt>
                <c:pt idx="7">
                  <c:v>45.6</c:v>
                </c:pt>
                <c:pt idx="8">
                  <c:v>29.55</c:v>
                </c:pt>
                <c:pt idx="9">
                  <c:v>22.6</c:v>
                </c:pt>
                <c:pt idx="10">
                  <c:v>42.84</c:v>
                </c:pt>
                <c:pt idx="11">
                  <c:v>52.94</c:v>
                </c:pt>
                <c:pt idx="12">
                  <c:v>54.11</c:v>
                </c:pt>
                <c:pt idx="13">
                  <c:v>84.98</c:v>
                </c:pt>
                <c:pt idx="14">
                  <c:v>127.22</c:v>
                </c:pt>
                <c:pt idx="15">
                  <c:v>91.54</c:v>
                </c:pt>
                <c:pt idx="16">
                  <c:v>108.42</c:v>
                </c:pt>
              </c:numCache>
            </c:numRef>
          </c:xVal>
          <c:yVal>
            <c:numRef>
              <c:f>validation!$M$53:$M$71</c:f>
              <c:numCache>
                <c:formatCode>0.00</c:formatCode>
                <c:ptCount val="19"/>
                <c:pt idx="0">
                  <c:v>169.89765804922703</c:v>
                </c:pt>
                <c:pt idx="1">
                  <c:v>124.9174203555213</c:v>
                </c:pt>
                <c:pt idx="2">
                  <c:v>135.25667523440853</c:v>
                </c:pt>
                <c:pt idx="3">
                  <c:v>81.544222883901099</c:v>
                </c:pt>
                <c:pt idx="4">
                  <c:v>121.82064225228177</c:v>
                </c:pt>
                <c:pt idx="5">
                  <c:v>43.355909359021467</c:v>
                </c:pt>
                <c:pt idx="6">
                  <c:v>64.869902463333261</c:v>
                </c:pt>
                <c:pt idx="7">
                  <c:v>57.702606314755457</c:v>
                </c:pt>
                <c:pt idx="8">
                  <c:v>32.288976071603592</c:v>
                </c:pt>
                <c:pt idx="9">
                  <c:v>37.259478034019736</c:v>
                </c:pt>
                <c:pt idx="10">
                  <c:v>65.021916199938758</c:v>
                </c:pt>
                <c:pt idx="11">
                  <c:v>70.46297922844164</c:v>
                </c:pt>
                <c:pt idx="12">
                  <c:v>58.291618217022908</c:v>
                </c:pt>
                <c:pt idx="13">
                  <c:v>125.76252797840286</c:v>
                </c:pt>
                <c:pt idx="14">
                  <c:v>79.505927700595379</c:v>
                </c:pt>
                <c:pt idx="15">
                  <c:v>103.6725776856201</c:v>
                </c:pt>
                <c:pt idx="16">
                  <c:v>78.550772858507528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85-4C2D-9B39-5122095266EE}"/>
            </c:ext>
          </c:extLst>
        </c:ser>
        <c:ser>
          <c:idx val="2"/>
          <c:order val="2"/>
          <c:tx>
            <c:strRef>
              <c:f>validation!$N$27</c:f>
              <c:strCache>
                <c:ptCount val="1"/>
                <c:pt idx="0">
                  <c:v>Max*Med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776373279749527"/>
                  <c:y val="-8.2282983906347404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validation!$B$53:$B$71</c:f>
              <c:numCache>
                <c:formatCode>General</c:formatCode>
                <c:ptCount val="19"/>
                <c:pt idx="0">
                  <c:v>160</c:v>
                </c:pt>
                <c:pt idx="1">
                  <c:v>196</c:v>
                </c:pt>
                <c:pt idx="2">
                  <c:v>91.54</c:v>
                </c:pt>
                <c:pt idx="3">
                  <c:v>108.92</c:v>
                </c:pt>
                <c:pt idx="4">
                  <c:v>87.08</c:v>
                </c:pt>
                <c:pt idx="5">
                  <c:v>54.11</c:v>
                </c:pt>
                <c:pt idx="6">
                  <c:v>64.849999999999994</c:v>
                </c:pt>
                <c:pt idx="7">
                  <c:v>45.6</c:v>
                </c:pt>
                <c:pt idx="8">
                  <c:v>29.55</c:v>
                </c:pt>
                <c:pt idx="9">
                  <c:v>22.6</c:v>
                </c:pt>
                <c:pt idx="10">
                  <c:v>42.84</c:v>
                </c:pt>
                <c:pt idx="11">
                  <c:v>52.94</c:v>
                </c:pt>
                <c:pt idx="12">
                  <c:v>54.11</c:v>
                </c:pt>
                <c:pt idx="13">
                  <c:v>84.98</c:v>
                </c:pt>
                <c:pt idx="14">
                  <c:v>127.22</c:v>
                </c:pt>
                <c:pt idx="15">
                  <c:v>91.54</c:v>
                </c:pt>
                <c:pt idx="16">
                  <c:v>108.42</c:v>
                </c:pt>
              </c:numCache>
            </c:numRef>
          </c:xVal>
          <c:yVal>
            <c:numRef>
              <c:f>validation!$N$53:$N$71</c:f>
              <c:numCache>
                <c:formatCode>0.000</c:formatCode>
                <c:ptCount val="19"/>
                <c:pt idx="0">
                  <c:v>133.15514653210047</c:v>
                </c:pt>
                <c:pt idx="1">
                  <c:v>117.7606062622298</c:v>
                </c:pt>
                <c:pt idx="2">
                  <c:v>118.04472733890924</c:v>
                </c:pt>
                <c:pt idx="3">
                  <c:v>81.451316313498111</c:v>
                </c:pt>
                <c:pt idx="4">
                  <c:v>106.46078133472454</c:v>
                </c:pt>
                <c:pt idx="5">
                  <c:v>46.785145713770142</c:v>
                </c:pt>
                <c:pt idx="6">
                  <c:v>65.488072515951472</c:v>
                </c:pt>
                <c:pt idx="7">
                  <c:v>62.35628112113158</c:v>
                </c:pt>
                <c:pt idx="8">
                  <c:v>34.192994824386126</c:v>
                </c:pt>
                <c:pt idx="9">
                  <c:v>40.341343181762078</c:v>
                </c:pt>
                <c:pt idx="10">
                  <c:v>65.619111872906714</c:v>
                </c:pt>
                <c:pt idx="11">
                  <c:v>65.506894728831824</c:v>
                </c:pt>
                <c:pt idx="12">
                  <c:v>59.264969028968196</c:v>
                </c:pt>
                <c:pt idx="13">
                  <c:v>102.88579655946292</c:v>
                </c:pt>
                <c:pt idx="14">
                  <c:v>79.942871392242267</c:v>
                </c:pt>
                <c:pt idx="15">
                  <c:v>104.89615375820517</c:v>
                </c:pt>
                <c:pt idx="16">
                  <c:v>82.349136083326442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85-4C2D-9B39-512209526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B-axis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Amax</a:t>
            </a:r>
            <a:endParaRPr lang="en-US" sz="1200"/>
          </a:p>
        </c:rich>
      </c:tx>
      <c:layout>
        <c:manualLayout>
          <c:xMode val="edge"/>
          <c:yMode val="edge"/>
          <c:x val="0.2528821912709619"/>
          <c:y val="2.78824121980121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validation!$D$27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456077634212639"/>
                  <c:y val="-0.1611959263663441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validation!$D$53:$D$71</c:f>
              <c:numCache>
                <c:formatCode>0.00</c:formatCode>
                <c:ptCount val="19"/>
                <c:pt idx="0">
                  <c:v>140.20478212125607</c:v>
                </c:pt>
                <c:pt idx="1">
                  <c:v>121.98210161107866</c:v>
                </c:pt>
                <c:pt idx="2">
                  <c:v>123.7435326874806</c:v>
                </c:pt>
                <c:pt idx="3">
                  <c:v>85.876366520169782</c:v>
                </c:pt>
                <c:pt idx="4">
                  <c:v>107.59112676666983</c:v>
                </c:pt>
                <c:pt idx="5">
                  <c:v>41.867392792153687</c:v>
                </c:pt>
                <c:pt idx="6">
                  <c:v>73.506287928936942</c:v>
                </c:pt>
                <c:pt idx="7">
                  <c:v>64.379743608880574</c:v>
                </c:pt>
                <c:pt idx="8">
                  <c:v>26.729741016254618</c:v>
                </c:pt>
                <c:pt idx="9">
                  <c:v>37.453358984566414</c:v>
                </c:pt>
                <c:pt idx="10">
                  <c:v>73.268766251721431</c:v>
                </c:pt>
                <c:pt idx="11">
                  <c:v>72.284807330425366</c:v>
                </c:pt>
                <c:pt idx="12">
                  <c:v>67.655167475049296</c:v>
                </c:pt>
                <c:pt idx="13">
                  <c:v>117.0924919367006</c:v>
                </c:pt>
                <c:pt idx="14">
                  <c:v>88.488861347019409</c:v>
                </c:pt>
                <c:pt idx="15">
                  <c:v>105.40601713155144</c:v>
                </c:pt>
                <c:pt idx="16">
                  <c:v>61.766288223667409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34-42E4-86F0-EB14C235C500}"/>
            </c:ext>
          </c:extLst>
        </c:ser>
        <c:ser>
          <c:idx val="1"/>
          <c:order val="1"/>
          <c:tx>
            <c:strRef>
              <c:f>validation!$E$52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2256127479614"/>
                  <c:y val="-6.2337649218407259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validation!$E$53:$E$71</c:f>
              <c:numCache>
                <c:formatCode>0.00</c:formatCode>
                <c:ptCount val="19"/>
                <c:pt idx="0">
                  <c:v>136.67736893781731</c:v>
                </c:pt>
                <c:pt idx="1">
                  <c:v>104.51180930955813</c:v>
                </c:pt>
                <c:pt idx="2">
                  <c:v>129.11186329273659</c:v>
                </c:pt>
                <c:pt idx="3">
                  <c:v>85.586472711589053</c:v>
                </c:pt>
                <c:pt idx="4">
                  <c:v>120.95398839044022</c:v>
                </c:pt>
                <c:pt idx="5">
                  <c:v>44.047109053209546</c:v>
                </c:pt>
                <c:pt idx="6">
                  <c:v>67.423521659794304</c:v>
                </c:pt>
                <c:pt idx="7">
                  <c:v>62.129436788269096</c:v>
                </c:pt>
                <c:pt idx="8">
                  <c:v>29.302780893158321</c:v>
                </c:pt>
                <c:pt idx="9">
                  <c:v>35.635181170070645</c:v>
                </c:pt>
                <c:pt idx="10">
                  <c:v>72.256624432250675</c:v>
                </c:pt>
                <c:pt idx="11">
                  <c:v>77.350588901142373</c:v>
                </c:pt>
                <c:pt idx="12">
                  <c:v>63.747368025548859</c:v>
                </c:pt>
                <c:pt idx="13">
                  <c:v>132.55811613778886</c:v>
                </c:pt>
                <c:pt idx="14">
                  <c:v>87.897176136653073</c:v>
                </c:pt>
                <c:pt idx="15">
                  <c:v>110.4174078246312</c:v>
                </c:pt>
                <c:pt idx="16">
                  <c:v>89.345535764373693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34-42E4-86F0-EB14C235C500}"/>
            </c:ext>
          </c:extLst>
        </c:ser>
        <c:ser>
          <c:idx val="2"/>
          <c:order val="2"/>
          <c:tx>
            <c:strRef>
              <c:f>validation!$F$52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851725507605318"/>
                  <c:y val="-0.1860648190907201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validation!$F$53:$F$71</c:f>
              <c:numCache>
                <c:formatCode>0.00</c:formatCode>
                <c:ptCount val="19"/>
                <c:pt idx="0">
                  <c:v>173.09730121961513</c:v>
                </c:pt>
                <c:pt idx="1">
                  <c:v>116.30139937718259</c:v>
                </c:pt>
                <c:pt idx="2">
                  <c:v>140.83673665076495</c:v>
                </c:pt>
                <c:pt idx="3">
                  <c:v>71.893116655880291</c:v>
                </c:pt>
                <c:pt idx="4">
                  <c:v>147.23880222177817</c:v>
                </c:pt>
                <c:pt idx="5">
                  <c:v>42.201092312198526</c:v>
                </c:pt>
                <c:pt idx="6">
                  <c:v>63.733598177371995</c:v>
                </c:pt>
                <c:pt idx="7">
                  <c:v>54.383387730375702</c:v>
                </c:pt>
                <c:pt idx="8">
                  <c:v>29.187314399682784</c:v>
                </c:pt>
                <c:pt idx="9">
                  <c:v>33.048679436080896</c:v>
                </c:pt>
                <c:pt idx="10">
                  <c:v>62.234379279742342</c:v>
                </c:pt>
                <c:pt idx="11">
                  <c:v>78.256930294095511</c:v>
                </c:pt>
                <c:pt idx="12">
                  <c:v>57.831937577403586</c:v>
                </c:pt>
                <c:pt idx="13">
                  <c:v>159.30004816175179</c:v>
                </c:pt>
                <c:pt idx="14">
                  <c:v>85.000856849137662</c:v>
                </c:pt>
                <c:pt idx="15">
                  <c:v>108.41016746365213</c:v>
                </c:pt>
                <c:pt idx="16">
                  <c:v>123.80114333174559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34-42E4-86F0-EB14C235C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B-axis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Amedian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validation!$G$52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654071056131391"/>
                  <c:y val="-1.970216929506568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validation!$G$53:$G$71</c:f>
              <c:numCache>
                <c:formatCode>0.00</c:formatCode>
                <c:ptCount val="19"/>
                <c:pt idx="0">
                  <c:v>90.558089161382156</c:v>
                </c:pt>
                <c:pt idx="1">
                  <c:v>96.895537258451341</c:v>
                </c:pt>
                <c:pt idx="2">
                  <c:v>92.398085053033697</c:v>
                </c:pt>
                <c:pt idx="3">
                  <c:v>92.955288674846088</c:v>
                </c:pt>
                <c:pt idx="4">
                  <c:v>76.980272702208609</c:v>
                </c:pt>
                <c:pt idx="5">
                  <c:v>57.948625611358082</c:v>
                </c:pt>
                <c:pt idx="6">
                  <c:v>81.462904517616565</c:v>
                </c:pt>
                <c:pt idx="7">
                  <c:v>81.80061336729932</c:v>
                </c:pt>
                <c:pt idx="8">
                  <c:v>45.511536004395893</c:v>
                </c:pt>
                <c:pt idx="9">
                  <c:v>58.653446645596325</c:v>
                </c:pt>
                <c:pt idx="10">
                  <c:v>79.986413618078387</c:v>
                </c:pt>
                <c:pt idx="11">
                  <c:v>66.124691484964004</c:v>
                </c:pt>
                <c:pt idx="12">
                  <c:v>76.010456523730184</c:v>
                </c:pt>
                <c:pt idx="13">
                  <c:v>74.202159869010288</c:v>
                </c:pt>
                <c:pt idx="14">
                  <c:v>81.755105967722884</c:v>
                </c:pt>
                <c:pt idx="15">
                  <c:v>92.171816973530767</c:v>
                </c:pt>
                <c:pt idx="16">
                  <c:v>44.733225611822647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E3-46D5-80F1-E6F85CE3711F}"/>
            </c:ext>
          </c:extLst>
        </c:ser>
        <c:ser>
          <c:idx val="1"/>
          <c:order val="1"/>
          <c:tx>
            <c:strRef>
              <c:f>validation!$H$52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74343656104649"/>
                  <c:y val="6.4839655152508668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validation!$H$53:$H$71</c:f>
              <c:numCache>
                <c:formatCode>0.00</c:formatCode>
                <c:ptCount val="19"/>
                <c:pt idx="0">
                  <c:v>77.999664550375968</c:v>
                </c:pt>
                <c:pt idx="1">
                  <c:v>81.204079417039338</c:v>
                </c:pt>
                <c:pt idx="2">
                  <c:v>85.52856559883972</c:v>
                </c:pt>
                <c:pt idx="3">
                  <c:v>92.58507770149545</c:v>
                </c:pt>
                <c:pt idx="4">
                  <c:v>75.881516004892859</c:v>
                </c:pt>
                <c:pt idx="5">
                  <c:v>69.272092120439751</c:v>
                </c:pt>
                <c:pt idx="6">
                  <c:v>79.972919849723922</c:v>
                </c:pt>
                <c:pt idx="7">
                  <c:v>85.563436188246186</c:v>
                </c:pt>
                <c:pt idx="8">
                  <c:v>61.488992377664545</c:v>
                </c:pt>
                <c:pt idx="9">
                  <c:v>68.460436655574654</c:v>
                </c:pt>
                <c:pt idx="10">
                  <c:v>81.627551845893223</c:v>
                </c:pt>
                <c:pt idx="11">
                  <c:v>69.69469056896915</c:v>
                </c:pt>
                <c:pt idx="12">
                  <c:v>76.975260666647742</c:v>
                </c:pt>
                <c:pt idx="13">
                  <c:v>71.560194144637038</c:v>
                </c:pt>
                <c:pt idx="14">
                  <c:v>79.780835448751716</c:v>
                </c:pt>
                <c:pt idx="15">
                  <c:v>89.23384381157345</c:v>
                </c:pt>
                <c:pt idx="16">
                  <c:v>56.090288670208452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E3-46D5-80F1-E6F85CE3711F}"/>
            </c:ext>
          </c:extLst>
        </c:ser>
        <c:ser>
          <c:idx val="2"/>
          <c:order val="2"/>
          <c:tx>
            <c:strRef>
              <c:f>validation!$I$52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391263035740711"/>
                  <c:y val="-0.1220008398947101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validation!$I$53:$I$71</c:f>
              <c:numCache>
                <c:formatCode>0.00</c:formatCode>
                <c:ptCount val="19"/>
                <c:pt idx="0">
                  <c:v>79.63007585891566</c:v>
                </c:pt>
                <c:pt idx="1">
                  <c:v>81.876187704922387</c:v>
                </c:pt>
                <c:pt idx="2">
                  <c:v>83.070980141291898</c:v>
                </c:pt>
                <c:pt idx="3">
                  <c:v>85.985531528468286</c:v>
                </c:pt>
                <c:pt idx="4">
                  <c:v>77.481226064024639</c:v>
                </c:pt>
                <c:pt idx="5">
                  <c:v>74.013162125296461</c:v>
                </c:pt>
                <c:pt idx="6">
                  <c:v>80.304116772503491</c:v>
                </c:pt>
                <c:pt idx="7">
                  <c:v>84.48550639804607</c:v>
                </c:pt>
                <c:pt idx="8">
                  <c:v>70.552815308484398</c:v>
                </c:pt>
                <c:pt idx="9">
                  <c:v>74.426043478554789</c:v>
                </c:pt>
                <c:pt idx="10">
                  <c:v>78.079913187331982</c:v>
                </c:pt>
                <c:pt idx="11">
                  <c:v>70.067518642076749</c:v>
                </c:pt>
                <c:pt idx="12">
                  <c:v>76.456951092625658</c:v>
                </c:pt>
                <c:pt idx="13">
                  <c:v>71.473229623766159</c:v>
                </c:pt>
                <c:pt idx="14">
                  <c:v>77.732656934099808</c:v>
                </c:pt>
                <c:pt idx="15">
                  <c:v>85.046921623305352</c:v>
                </c:pt>
                <c:pt idx="16">
                  <c:v>62.334171751547679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E3-46D5-80F1-E6F85CE37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Amean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validation!$J$52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77405235324813"/>
                  <c:y val="-8.49430112678657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validation!$J$53:$J$71</c:f>
              <c:numCache>
                <c:formatCode>0.00</c:formatCode>
                <c:ptCount val="19"/>
                <c:pt idx="0">
                  <c:v>115.69055578308982</c:v>
                </c:pt>
                <c:pt idx="1">
                  <c:v>106.70281022512167</c:v>
                </c:pt>
                <c:pt idx="2">
                  <c:v>107.61723280836335</c:v>
                </c:pt>
                <c:pt idx="3">
                  <c:v>94.80299551010917</c:v>
                </c:pt>
                <c:pt idx="4">
                  <c:v>86.610215637846522</c:v>
                </c:pt>
                <c:pt idx="5">
                  <c:v>49.960094706927862</c:v>
                </c:pt>
                <c:pt idx="6">
                  <c:v>79.665124750219221</c:v>
                </c:pt>
                <c:pt idx="7">
                  <c:v>75.483674105901798</c:v>
                </c:pt>
                <c:pt idx="8">
                  <c:v>37.691234286028845</c:v>
                </c:pt>
                <c:pt idx="9">
                  <c:v>50.04726348600424</c:v>
                </c:pt>
                <c:pt idx="10">
                  <c:v>78.041837468409682</c:v>
                </c:pt>
                <c:pt idx="11">
                  <c:v>67.066904345316743</c:v>
                </c:pt>
                <c:pt idx="12">
                  <c:v>72.690837058612487</c:v>
                </c:pt>
                <c:pt idx="13">
                  <c:v>87.437848887495022</c:v>
                </c:pt>
                <c:pt idx="14">
                  <c:v>81.276705714295304</c:v>
                </c:pt>
                <c:pt idx="15">
                  <c:v>94.408157533348827</c:v>
                </c:pt>
                <c:pt idx="16">
                  <c:v>39.393590301333894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AD-45BA-96E0-894B08976D18}"/>
            </c:ext>
          </c:extLst>
        </c:ser>
        <c:ser>
          <c:idx val="1"/>
          <c:order val="1"/>
          <c:tx>
            <c:strRef>
              <c:f>validation!$K$52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565348100033489"/>
                  <c:y val="9.1060749497794916E-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validation!$K$53:$K$71</c:f>
              <c:numCache>
                <c:formatCode>0.00</c:formatCode>
                <c:ptCount val="19"/>
                <c:pt idx="0">
                  <c:v>104.80808060467875</c:v>
                </c:pt>
                <c:pt idx="1">
                  <c:v>89.296616178066657</c:v>
                </c:pt>
                <c:pt idx="2">
                  <c:v>105.13409920076676</c:v>
                </c:pt>
                <c:pt idx="3">
                  <c:v>98.158274727852799</c:v>
                </c:pt>
                <c:pt idx="4">
                  <c:v>87.292011909895805</c:v>
                </c:pt>
                <c:pt idx="5">
                  <c:v>56.013395171549455</c:v>
                </c:pt>
                <c:pt idx="6">
                  <c:v>76.770834106609485</c:v>
                </c:pt>
                <c:pt idx="7">
                  <c:v>78.15873008445007</c:v>
                </c:pt>
                <c:pt idx="8">
                  <c:v>46.742281417232363</c:v>
                </c:pt>
                <c:pt idx="9">
                  <c:v>54.138224612073145</c:v>
                </c:pt>
                <c:pt idx="10">
                  <c:v>79.154452898066978</c:v>
                </c:pt>
                <c:pt idx="11">
                  <c:v>68.870360997997892</c:v>
                </c:pt>
                <c:pt idx="12">
                  <c:v>71.384966106981921</c:v>
                </c:pt>
                <c:pt idx="13">
                  <c:v>86.039217466619931</c:v>
                </c:pt>
                <c:pt idx="14">
                  <c:v>78.203287693511015</c:v>
                </c:pt>
                <c:pt idx="15">
                  <c:v>93.710176589200842</c:v>
                </c:pt>
                <c:pt idx="16">
                  <c:v>44.630609217650075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AD-45BA-96E0-894B08976D18}"/>
            </c:ext>
          </c:extLst>
        </c:ser>
        <c:ser>
          <c:idx val="2"/>
          <c:order val="2"/>
          <c:tx>
            <c:strRef>
              <c:f>validation!$L$52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391263035740711"/>
                  <c:y val="-0.1220008398947101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validation!$B$28:$B$48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validation!$L$53:$L$71</c:f>
              <c:numCache>
                <c:formatCode>0.00</c:formatCode>
                <c:ptCount val="19"/>
                <c:pt idx="0">
                  <c:v>120.96917712180247</c:v>
                </c:pt>
                <c:pt idx="1">
                  <c:v>93.997996446094717</c:v>
                </c:pt>
                <c:pt idx="2">
                  <c:v>109.23972326455869</c:v>
                </c:pt>
                <c:pt idx="3">
                  <c:v>90.224757524069048</c:v>
                </c:pt>
                <c:pt idx="4">
                  <c:v>93.95480694722643</c:v>
                </c:pt>
                <c:pt idx="5">
                  <c:v>55.685978848210318</c:v>
                </c:pt>
                <c:pt idx="6">
                  <c:v>75.593228859414651</c:v>
                </c:pt>
                <c:pt idx="7">
                  <c:v>74.512929386860364</c:v>
                </c:pt>
                <c:pt idx="8">
                  <c:v>50.276244331853107</c:v>
                </c:pt>
                <c:pt idx="9">
                  <c:v>54.988390549281554</c:v>
                </c:pt>
                <c:pt idx="10">
                  <c:v>71.617119934147027</c:v>
                </c:pt>
                <c:pt idx="11">
                  <c:v>65.979985221891639</c:v>
                </c:pt>
                <c:pt idx="12">
                  <c:v>67.096997052975084</c:v>
                </c:pt>
                <c:pt idx="13">
                  <c:v>88.701170121906443</c:v>
                </c:pt>
                <c:pt idx="14">
                  <c:v>73.159115172823348</c:v>
                </c:pt>
                <c:pt idx="15">
                  <c:v>89.264074789187134</c:v>
                </c:pt>
                <c:pt idx="16">
                  <c:v>44.680885331831441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AD-45BA-96E0-894B08976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Max Amp (2)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05109370187007E-2"/>
                  <c:y val="-7.40164326435705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3-47D8-99B4-2DCAEC38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Max Amp</a:t>
            </a:r>
            <a:endParaRPr lang="en-US" sz="1000"/>
          </a:p>
        </c:rich>
      </c:tx>
      <c:layout>
        <c:manualLayout>
          <c:xMode val="edge"/>
          <c:yMode val="edge"/>
          <c:x val="0.17507209239921237"/>
          <c:y val="5.0547058920484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21652570323999"/>
          <c:y val="0.19893559983040865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validation_old!$C$19</c:f>
              <c:strCache>
                <c:ptCount val="1"/>
                <c:pt idx="0">
                  <c:v>Max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validation_old!$C$20:$C$25</c:f>
              <c:numCache>
                <c:formatCode>0.00</c:formatCode>
                <c:ptCount val="6"/>
                <c:pt idx="0">
                  <c:v>124.98377815678667</c:v>
                </c:pt>
                <c:pt idx="1">
                  <c:v>28.937326206160222</c:v>
                </c:pt>
                <c:pt idx="2">
                  <c:v>115.87861276600501</c:v>
                </c:pt>
                <c:pt idx="3">
                  <c:v>39.77851092597556</c:v>
                </c:pt>
                <c:pt idx="4">
                  <c:v>47.327378278646002</c:v>
                </c:pt>
                <c:pt idx="5">
                  <c:v>144.65324145357667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2-42FA-B61E-83431FBF0FBD}"/>
            </c:ext>
          </c:extLst>
        </c:ser>
        <c:ser>
          <c:idx val="1"/>
          <c:order val="1"/>
          <c:tx>
            <c:strRef>
              <c:f>validation_old!$D$19</c:f>
              <c:strCache>
                <c:ptCount val="1"/>
                <c:pt idx="0">
                  <c:v>Dmax - Max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985548045311981"/>
                  <c:y val="1.2726541379144673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validation_old!$D$20:$D$25</c:f>
              <c:numCache>
                <c:formatCode>0.00</c:formatCode>
                <c:ptCount val="6"/>
                <c:pt idx="0">
                  <c:v>97.695517607575738</c:v>
                </c:pt>
                <c:pt idx="1">
                  <c:v>42.558611168539372</c:v>
                </c:pt>
                <c:pt idx="2">
                  <c:v>92.468560837516662</c:v>
                </c:pt>
                <c:pt idx="3">
                  <c:v>48.782155874720161</c:v>
                </c:pt>
                <c:pt idx="4">
                  <c:v>53.115696411530919</c:v>
                </c:pt>
                <c:pt idx="5">
                  <c:v>108.98706805504749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2-42FA-B61E-83431FBF0FBD}"/>
            </c:ext>
          </c:extLst>
        </c:ser>
        <c:ser>
          <c:idx val="2"/>
          <c:order val="2"/>
          <c:tx>
            <c:strRef>
              <c:f>validation_old!$E$19</c:f>
              <c:strCache>
                <c:ptCount val="1"/>
                <c:pt idx="0">
                  <c:v>Dmax - Max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217570298525435"/>
                  <c:y val="8.8849424570255617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validation_old!$E$20:$E$25</c:f>
              <c:numCache>
                <c:formatCode>0.00</c:formatCode>
                <c:ptCount val="6"/>
                <c:pt idx="0">
                  <c:v>99.727167764153535</c:v>
                </c:pt>
                <c:pt idx="1">
                  <c:v>37.904529640463622</c:v>
                </c:pt>
                <c:pt idx="2">
                  <c:v>95.389258082839561</c:v>
                </c:pt>
                <c:pt idx="3">
                  <c:v>48.250389095614111</c:v>
                </c:pt>
                <c:pt idx="4">
                  <c:v>54.454083821996328</c:v>
                </c:pt>
                <c:pt idx="5">
                  <c:v>108.59145369385539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5007563972066935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Amax </a:t>
            </a:r>
            <a:r>
              <a:rPr lang="en-US" sz="1200" baseline="0"/>
              <a:t>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590-4CAE-B85D-C78266EC17FD}"/>
              </c:ext>
            </c:extLst>
          </c:dPt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90-4CAE-B85D-C78266EC17FD}"/>
            </c:ext>
          </c:extLst>
        </c:ser>
        <c:ser>
          <c:idx val="0"/>
          <c:order val="1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69185378729667"/>
                  <c:y val="0.29112383679312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90-4CAE-B85D-C78266EC1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AmpMax (3)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354414750415284"/>
                  <c:y val="0.335636206287156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6A-47B2-9771-08E1478CB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layout>
            <c:manualLayout>
              <c:xMode val="edge"/>
              <c:yMode val="edge"/>
              <c:x val="0.44311466486788836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layout>
            <c:manualLayout>
              <c:xMode val="edge"/>
              <c:yMode val="edge"/>
              <c:x val="2.7282426009174521E-2"/>
              <c:y val="0.34314049285505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Mean</a:t>
            </a:r>
            <a:r>
              <a:rPr lang="en-US" sz="1200" baseline="0"/>
              <a:t> Amp 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333813268357513E-3"/>
                  <c:y val="-3.565203827005300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D1-430C-A6BF-C571D974A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21335759661133"/>
                  <c:y val="0.3227510411538512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B7-462A-A02E-21BD21F2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5476682782639339"/>
                  <c:y val="0.2852000183319953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1B-41AF-A521-486DB53B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Mean Amp</a:t>
            </a:r>
            <a:endParaRPr lang="en-US" sz="1000"/>
          </a:p>
        </c:rich>
      </c:tx>
      <c:layout>
        <c:manualLayout>
          <c:xMode val="edge"/>
          <c:yMode val="edge"/>
          <c:x val="0.16164697254213425"/>
          <c:y val="7.1161179113053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validation_old!$H$19</c:f>
              <c:strCache>
                <c:ptCount val="1"/>
                <c:pt idx="0">
                  <c:v>Mean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validation_old!$H$20:$H$25</c:f>
              <c:numCache>
                <c:formatCode>0.00</c:formatCode>
                <c:ptCount val="6"/>
                <c:pt idx="0">
                  <c:v>42.048842752516052</c:v>
                </c:pt>
                <c:pt idx="1">
                  <c:v>14.270611763493299</c:v>
                </c:pt>
                <c:pt idx="2">
                  <c:v>16.375086362494351</c:v>
                </c:pt>
                <c:pt idx="3">
                  <c:v>82.207795538651993</c:v>
                </c:pt>
                <c:pt idx="4">
                  <c:v>118.23583380553599</c:v>
                </c:pt>
                <c:pt idx="5">
                  <c:v>312.02028594886252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66-4134-9857-C6ECB4B29A54}"/>
            </c:ext>
          </c:extLst>
        </c:ser>
        <c:ser>
          <c:idx val="1"/>
          <c:order val="1"/>
          <c:tx>
            <c:strRef>
              <c:f>validation_old!$I$19</c:f>
              <c:strCache>
                <c:ptCount val="1"/>
                <c:pt idx="0">
                  <c:v>Dmax - Mean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44074885133918"/>
                  <c:y val="-0.23043210335076003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validation_old!$I$20:$I$25</c:f>
              <c:numCache>
                <c:formatCode>0.000</c:formatCode>
                <c:ptCount val="6"/>
                <c:pt idx="0">
                  <c:v>47.470032741532719</c:v>
                </c:pt>
                <c:pt idx="1">
                  <c:v>28.836950958716034</c:v>
                </c:pt>
                <c:pt idx="2">
                  <c:v>30.248590430233961</c:v>
                </c:pt>
                <c:pt idx="3">
                  <c:v>74.407855091416991</c:v>
                </c:pt>
                <c:pt idx="4">
                  <c:v>98.574742600077442</c:v>
                </c:pt>
                <c:pt idx="5">
                  <c:v>228.56147740877799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66-4134-9857-C6ECB4B29A54}"/>
            </c:ext>
          </c:extLst>
        </c:ser>
        <c:ser>
          <c:idx val="2"/>
          <c:order val="2"/>
          <c:tx>
            <c:strRef>
              <c:f>validation_old!$J$19</c:f>
              <c:strCache>
                <c:ptCount val="1"/>
                <c:pt idx="0">
                  <c:v>Dmax - Mean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496459626968406"/>
                  <c:y val="-0.1393972112397159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validation_old!$J$20:$J$25</c:f>
              <c:numCache>
                <c:formatCode>0.000</c:formatCode>
                <c:ptCount val="6"/>
                <c:pt idx="0">
                  <c:v>45.304341949768059</c:v>
                </c:pt>
                <c:pt idx="1">
                  <c:v>21.723372749373084</c:v>
                </c:pt>
                <c:pt idx="2">
                  <c:v>23.674255529249351</c:v>
                </c:pt>
                <c:pt idx="3">
                  <c:v>74.9499969978107</c:v>
                </c:pt>
                <c:pt idx="4">
                  <c:v>99.290043013447303</c:v>
                </c:pt>
                <c:pt idx="5">
                  <c:v>213.73524192239634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458854748087055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3562381995838E-2"/>
                  <c:y val="0.2175323436616371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30-4322-84DF-253B9DA8F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9-4938-8ACD-7FE60D85A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9A-4645-988D-5882A2A8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validation_old!$M$19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42734336135598"/>
                  <c:y val="-8.636554854057407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validation_old!$M$20:$M$25</c:f>
              <c:numCache>
                <c:formatCode>0.00</c:formatCode>
                <c:ptCount val="6"/>
                <c:pt idx="0">
                  <c:v>192.24182948416956</c:v>
                </c:pt>
                <c:pt idx="1">
                  <c:v>122.8796103877864</c:v>
                </c:pt>
                <c:pt idx="2">
                  <c:v>140.49231944235979</c:v>
                </c:pt>
                <c:pt idx="3">
                  <c:v>-102.87822339104389</c:v>
                </c:pt>
                <c:pt idx="4">
                  <c:v>62.619621593980547</c:v>
                </c:pt>
                <c:pt idx="5">
                  <c:v>110.76046460661844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F-4FFA-82F7-6A1A84147B7E}"/>
            </c:ext>
          </c:extLst>
        </c:ser>
        <c:ser>
          <c:idx val="3"/>
          <c:order val="1"/>
          <c:tx>
            <c:strRef>
              <c:f>validation_old!$P$19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058619669012524"/>
                  <c:y val="5.6337321809480291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validation_old!$B$20:$B$22</c:f>
              <c:numCache>
                <c:formatCode>General</c:formatCode>
                <c:ptCount val="3"/>
                <c:pt idx="0">
                  <c:v>90</c:v>
                </c:pt>
                <c:pt idx="1">
                  <c:v>45</c:v>
                </c:pt>
                <c:pt idx="2">
                  <c:v>90</c:v>
                </c:pt>
              </c:numCache>
            </c:numRef>
          </c:xVal>
          <c:yVal>
            <c:numRef>
              <c:f>validation_old!$P$20:$P$22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"/>
          <c:y val="0.86683680792130169"/>
          <c:w val="1"/>
          <c:h val="0.115561655858242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843078649342395E-2"/>
                  <c:y val="0.2243760784641366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2-4E00-ACFE-7A22BD942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5AE-9364-5AA0BF44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(3) </a:t>
            </a:r>
          </a:p>
        </c:rich>
      </c:tx>
      <c:layout>
        <c:manualLayout>
          <c:xMode val="edge"/>
          <c:yMode val="edge"/>
          <c:x val="0.14062777575390364"/>
          <c:y val="3.6799985318641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84-4E34-82A2-C130F7C5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validation_old!$S$19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744832022455484"/>
                  <c:y val="9.6408850792385134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validation_old!$S$20:$S$25</c:f>
              <c:numCache>
                <c:formatCode>0.00</c:formatCode>
                <c:ptCount val="6"/>
                <c:pt idx="0">
                  <c:v>47.011462828327836</c:v>
                </c:pt>
                <c:pt idx="1">
                  <c:v>42.871088475303516</c:v>
                </c:pt>
                <c:pt idx="2">
                  <c:v>43.868704467680203</c:v>
                </c:pt>
                <c:pt idx="3">
                  <c:v>129.64998</c:v>
                </c:pt>
                <c:pt idx="4">
                  <c:v>116.184735</c:v>
                </c:pt>
                <c:pt idx="5">
                  <c:v>106.346405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F6-4A00-BCCF-E061E6DFFF7D}"/>
            </c:ext>
          </c:extLst>
        </c:ser>
        <c:ser>
          <c:idx val="2"/>
          <c:order val="1"/>
          <c:tx>
            <c:strRef>
              <c:f>validation_old!$T$19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744832022455484"/>
                  <c:y val="4.0635901524967648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validation_old!$T$20:$T$25</c:f>
              <c:numCache>
                <c:formatCode>0.00</c:formatCode>
                <c:ptCount val="6"/>
                <c:pt idx="0">
                  <c:v>32.342147494732167</c:v>
                </c:pt>
                <c:pt idx="1">
                  <c:v>25.960620247950711</c:v>
                </c:pt>
                <c:pt idx="2">
                  <c:v>27.509761120953833</c:v>
                </c:pt>
                <c:pt idx="3">
                  <c:v>148.35430688486392</c:v>
                </c:pt>
                <c:pt idx="4">
                  <c:v>130.27180720268166</c:v>
                </c:pt>
                <c:pt idx="5">
                  <c:v>116.92018501445042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322545690962942"/>
                  <c:y val="0.2608809877850127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96-4460-A41F-7B3CE2D5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860010297765156E-2"/>
                  <c:y val="-7.010397203201115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61-4403-AA7E-6163766DB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3600715496747323"/>
                  <c:y val="-9.121422082792239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C-4305-987A-649B4053A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validation_old!$X$19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validation_old!$X$20:$X$25</c:f>
              <c:numCache>
                <c:formatCode>0.000</c:formatCode>
                <c:ptCount val="6"/>
                <c:pt idx="0">
                  <c:v>41.207262199211904</c:v>
                </c:pt>
                <c:pt idx="1">
                  <c:v>20.565616418960641</c:v>
                </c:pt>
                <c:pt idx="2">
                  <c:v>20.442917594091853</c:v>
                </c:pt>
                <c:pt idx="3">
                  <c:v>138.28050833333333</c:v>
                </c:pt>
                <c:pt idx="4">
                  <c:v>247.19887500000002</c:v>
                </c:pt>
                <c:pt idx="5">
                  <c:v>471.12333333333339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04-4350-9F56-E4B73081FB03}"/>
            </c:ext>
          </c:extLst>
        </c:ser>
        <c:ser>
          <c:idx val="2"/>
          <c:order val="1"/>
          <c:tx>
            <c:strRef>
              <c:f>validation_old!$Y$19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189953126024896"/>
                  <c:y val="-7.747817006316783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validation_old!$Y$20:$Y$25</c:f>
              <c:numCache>
                <c:formatCode>0.00</c:formatCode>
                <c:ptCount val="6"/>
                <c:pt idx="0">
                  <c:v>40.923634346381888</c:v>
                </c:pt>
                <c:pt idx="1">
                  <c:v>15.263430355503798</c:v>
                </c:pt>
                <c:pt idx="2">
                  <c:v>15.060376567986314</c:v>
                </c:pt>
                <c:pt idx="3">
                  <c:v>115.01559877164919</c:v>
                </c:pt>
                <c:pt idx="4">
                  <c:v>176.17569838163556</c:v>
                </c:pt>
                <c:pt idx="5">
                  <c:v>277.85831750426343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62161915687112"/>
                  <c:y val="0.266806654712305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5-455A-8A11-AE469CEA2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72791399919537"/>
                  <c:y val="0.2917625502679589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A-4EB0-B546-45FAD41A8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2D-4C45-BB18-140095FA6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</a:t>
            </a:r>
            <a:endParaRPr lang="en-US" sz="1000"/>
          </a:p>
        </c:rich>
      </c:tx>
      <c:layout>
        <c:manualLayout>
          <c:xMode val="edge"/>
          <c:yMode val="edge"/>
          <c:x val="0.10468539009637413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validation_old!$AC$19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validation_old!$AC$20:$AC$25</c:f>
              <c:numCache>
                <c:formatCode>0.00</c:formatCode>
                <c:ptCount val="6"/>
                <c:pt idx="0">
                  <c:v>34.055752376002616</c:v>
                </c:pt>
                <c:pt idx="1">
                  <c:v>3.5639348475274497</c:v>
                </c:pt>
                <c:pt idx="2">
                  <c:v>4.8389804371860778</c:v>
                </c:pt>
                <c:pt idx="3">
                  <c:v>37.953734061930788</c:v>
                </c:pt>
                <c:pt idx="4">
                  <c:v>23.017486338797816</c:v>
                </c:pt>
                <c:pt idx="5">
                  <c:v>376.02295081967219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0-4452-B562-3B029DF7F529}"/>
            </c:ext>
          </c:extLst>
        </c:ser>
        <c:ser>
          <c:idx val="1"/>
          <c:order val="1"/>
          <c:tx>
            <c:strRef>
              <c:f>validation_old!$AD$19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validation_old!$AD$20:$AD$25</c:f>
              <c:numCache>
                <c:formatCode>0.00</c:formatCode>
                <c:ptCount val="6"/>
                <c:pt idx="0">
                  <c:v>45.44043253352951</c:v>
                </c:pt>
                <c:pt idx="1">
                  <c:v>27.704673245050621</c:v>
                </c:pt>
                <c:pt idx="2">
                  <c:v>28.446311608815058</c:v>
                </c:pt>
                <c:pt idx="3">
                  <c:v>47.707718333333332</c:v>
                </c:pt>
                <c:pt idx="4">
                  <c:v>39.019954999999996</c:v>
                </c:pt>
                <c:pt idx="5">
                  <c:v>244.347825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10-4452-B562-3B029DF7F529}"/>
            </c:ext>
          </c:extLst>
        </c:ser>
        <c:ser>
          <c:idx val="2"/>
          <c:order val="2"/>
          <c:tx>
            <c:strRef>
              <c:f>validation_old!$AE$19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26990537771267"/>
                  <c:y val="-0.1668336734508704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validation_old!$AE$20:$AE$25</c:f>
              <c:numCache>
                <c:formatCode>0.00</c:formatCode>
                <c:ptCount val="6"/>
                <c:pt idx="0">
                  <c:v>49.260837883196288</c:v>
                </c:pt>
                <c:pt idx="1">
                  <c:v>16.178763293074105</c:v>
                </c:pt>
                <c:pt idx="2">
                  <c:v>19.832581929011742</c:v>
                </c:pt>
                <c:pt idx="3">
                  <c:v>51.494025006246446</c:v>
                </c:pt>
                <c:pt idx="4">
                  <c:v>41.866420008767221</c:v>
                </c:pt>
                <c:pt idx="5">
                  <c:v>127.90766310578329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10-4452-B562-3B029DF7F529}"/>
            </c:ext>
          </c:extLst>
        </c:ser>
        <c:ser>
          <c:idx val="3"/>
          <c:order val="3"/>
          <c:tx>
            <c:strRef>
              <c:f>validation_old!$AF$19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901395983816476"/>
                  <c:y val="-0.167276788586568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validation_old!$B$20:$B$22</c:f>
              <c:numCache>
                <c:formatCode>General</c:formatCode>
                <c:ptCount val="3"/>
                <c:pt idx="0">
                  <c:v>90</c:v>
                </c:pt>
                <c:pt idx="1">
                  <c:v>45</c:v>
                </c:pt>
                <c:pt idx="2">
                  <c:v>90</c:v>
                </c:pt>
              </c:numCache>
            </c:numRef>
          </c:xVal>
          <c:yVal>
            <c:numRef>
              <c:f>validation_old!$AF$20:$AF$22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280496349475523E-2"/>
                  <c:y val="-0.1099822133404293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B1-4E1F-916B-F08D1CDA9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AD-4AC8-A01D-FCC0367BF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3312493678850255E-2"/>
                  <c:y val="-4.5570648486250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6E-4B9C-AEB2-AAE57B290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</a:t>
            </a:r>
            <a:endParaRPr lang="en-US" sz="1000"/>
          </a:p>
        </c:rich>
      </c:tx>
      <c:layout>
        <c:manualLayout>
          <c:xMode val="edge"/>
          <c:yMode val="edge"/>
          <c:x val="0.13263486986456194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D0-4C7F-9EEA-355AD8F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validation_old!$AI$19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validation_old!$AI$20:$AI$25</c:f>
              <c:numCache>
                <c:formatCode>0.00</c:formatCode>
                <c:ptCount val="6"/>
                <c:pt idx="0">
                  <c:v>29.615074905839549</c:v>
                </c:pt>
                <c:pt idx="1">
                  <c:v>4.0920504938377666</c:v>
                </c:pt>
                <c:pt idx="2">
                  <c:v>4.7894005741147057</c:v>
                </c:pt>
                <c:pt idx="3">
                  <c:v>10.507670850767084</c:v>
                </c:pt>
                <c:pt idx="4">
                  <c:v>4.2315202231520219</c:v>
                </c:pt>
                <c:pt idx="5">
                  <c:v>90.702928870292894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0-4C7F-9EEA-355AD8FB458F}"/>
            </c:ext>
          </c:extLst>
        </c:ser>
        <c:ser>
          <c:idx val="1"/>
          <c:order val="1"/>
          <c:tx>
            <c:strRef>
              <c:f>validation_old!$AJ$19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0215695827785504"/>
                  <c:y val="-0.23292579718656534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validation_old!$AJ$20:$AJ$25</c:f>
              <c:numCache>
                <c:formatCode>0.00</c:formatCode>
                <c:ptCount val="6"/>
                <c:pt idx="0">
                  <c:v>49.598324488129023</c:v>
                </c:pt>
                <c:pt idx="1">
                  <c:v>40.165890105190499</c:v>
                </c:pt>
                <c:pt idx="2">
                  <c:v>40.4236067757531</c:v>
                </c:pt>
                <c:pt idx="3">
                  <c:v>42.536883333333328</c:v>
                </c:pt>
                <c:pt idx="4">
                  <c:v>40.217433333333332</c:v>
                </c:pt>
                <c:pt idx="5">
                  <c:v>72.174299999999988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D0-4C7F-9EEA-355AD8FB458F}"/>
            </c:ext>
          </c:extLst>
        </c:ser>
        <c:ser>
          <c:idx val="2"/>
          <c:order val="2"/>
          <c:tx>
            <c:strRef>
              <c:f>validation_old!$AK$19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805558241654704"/>
                  <c:y val="-0.2011498557318741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validation_old!$AK$20:$AK$25</c:f>
              <c:numCache>
                <c:formatCode>0.00</c:formatCode>
                <c:ptCount val="6"/>
                <c:pt idx="0">
                  <c:v>42.159524335536283</c:v>
                </c:pt>
                <c:pt idx="1">
                  <c:v>35.224946476263852</c:v>
                </c:pt>
                <c:pt idx="2">
                  <c:v>35.398326265143709</c:v>
                </c:pt>
                <c:pt idx="3">
                  <c:v>36.852613408536079</c:v>
                </c:pt>
                <c:pt idx="4">
                  <c:v>35.259554292731977</c:v>
                </c:pt>
                <c:pt idx="5">
                  <c:v>64.817558833022787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EF-4B00-AAF4-A7F30E8F2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9.4642433766248361E-3"/>
          <c:y val="0.84588534767051127"/>
          <c:w val="0.8999999294288179"/>
          <c:h val="6.5650658321276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631580019503511E-2"/>
                  <c:y val="-5.8751514618818314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52-4FD3-9131-0CBF70184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D4-4ABE-8A40-6EBB1C631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994155208210914"/>
                  <c:y val="0.34696252824592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08-4A80-82DF-3DEF83227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Ch6 Imp/s</a:t>
            </a:r>
            <a:endParaRPr lang="en-US" sz="1000"/>
          </a:p>
        </c:rich>
      </c:tx>
      <c:layout>
        <c:manualLayout>
          <c:xMode val="edge"/>
          <c:yMode val="edge"/>
          <c:x val="0.21392399120841601"/>
          <c:y val="7.123496485268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AE-4E26-AE78-1A6101C89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validation_old!$AO$19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validation_old!$AO$20:$AO$25</c:f>
              <c:numCache>
                <c:formatCode>0.00</c:formatCode>
                <c:ptCount val="6"/>
                <c:pt idx="0">
                  <c:v>44.637690361172815</c:v>
                </c:pt>
                <c:pt idx="1">
                  <c:v>24.347826086956523</c:v>
                </c:pt>
                <c:pt idx="2">
                  <c:v>28.212560970711511</c:v>
                </c:pt>
                <c:pt idx="3">
                  <c:v>24.347826086956523</c:v>
                </c:pt>
                <c:pt idx="4">
                  <c:v>24.347826086956523</c:v>
                </c:pt>
                <c:pt idx="5">
                  <c:v>29.178743961352659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AE-4E26-AE78-1A6101C895C9}"/>
            </c:ext>
          </c:extLst>
        </c:ser>
        <c:ser>
          <c:idx val="1"/>
          <c:order val="1"/>
          <c:tx>
            <c:strRef>
              <c:f>validation_old!$AP$19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87950177302272"/>
                  <c:y val="-0.2318788840625376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validation_old!$AP$20:$AP$25</c:f>
              <c:numCache>
                <c:formatCode>0.00</c:formatCode>
                <c:ptCount val="6"/>
                <c:pt idx="0">
                  <c:v>53.097644481017909</c:v>
                </c:pt>
                <c:pt idx="1">
                  <c:v>43.216999999999999</c:v>
                </c:pt>
                <c:pt idx="2">
                  <c:v>45.099026951175652</c:v>
                </c:pt>
                <c:pt idx="3">
                  <c:v>43.216999999999999</c:v>
                </c:pt>
                <c:pt idx="4">
                  <c:v>43.216999999999999</c:v>
                </c:pt>
                <c:pt idx="5">
                  <c:v>45.569533333333332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AE-4E26-AE78-1A6101C895C9}"/>
            </c:ext>
          </c:extLst>
        </c:ser>
        <c:ser>
          <c:idx val="2"/>
          <c:order val="2"/>
          <c:tx>
            <c:strRef>
              <c:f>validation_old!$AQ$19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076771494949153"/>
                  <c:y val="-0.12536528953433318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validation_old!$AQ$20:$AQ$25</c:f>
              <c:numCache>
                <c:formatCode>0.00</c:formatCode>
                <c:ptCount val="6"/>
                <c:pt idx="0">
                  <c:v>45.769097662017188</c:v>
                </c:pt>
                <c:pt idx="1">
                  <c:v>38.631</c:v>
                </c:pt>
                <c:pt idx="2">
                  <c:v>39.898992296177823</c:v>
                </c:pt>
                <c:pt idx="3">
                  <c:v>38.631</c:v>
                </c:pt>
                <c:pt idx="4">
                  <c:v>38.631</c:v>
                </c:pt>
                <c:pt idx="5">
                  <c:v>40.222440567949768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1E-4E55-BD16-159A5CB06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9.4642433766248361E-3"/>
          <c:y val="0.84588534767051127"/>
          <c:w val="0.6166132312372542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layout>
        <c:manualLayout>
          <c:xMode val="edge"/>
          <c:yMode val="edge"/>
          <c:x val="0.12862585664133244"/>
          <c:y val="5.5979695524734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F-4FB0-A26B-5F14CB8882D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4F-4FB0-A26B-5F14CB8882D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4F-4FB0-A26B-5F14CB8882D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4F-4FB0-A26B-5F14CB8882D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4F-4FB0-A26B-5F14CB8882D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04F-4FB0-A26B-5F14CB88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9-42B1-9990-6E2E7D02ED63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C9-42B1-9990-6E2E7D02ED63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C9-42B1-9990-6E2E7D02ED63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C9-42B1-9990-6E2E7D02ED63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C9-42B1-9990-6E2E7D02ED63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C9-42B1-9990-6E2E7D02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92924053061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6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validation_old!$AW$19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298244549697313"/>
                  <c:y val="-0.26383233552691271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validation_old!$AW$20:$AW$25</c:f>
              <c:numCache>
                <c:formatCode>0.00</c:formatCode>
                <c:ptCount val="6"/>
                <c:pt idx="0">
                  <c:v>97.695476093415863</c:v>
                </c:pt>
                <c:pt idx="1">
                  <c:v>42.55860423110196</c:v>
                </c:pt>
                <c:pt idx="2">
                  <c:v>92.468522601216051</c:v>
                </c:pt>
                <c:pt idx="3">
                  <c:v>54.677139393466177</c:v>
                </c:pt>
                <c:pt idx="4">
                  <c:v>53.115682853674762</c:v>
                </c:pt>
                <c:pt idx="5">
                  <c:v>108.98701945988103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E25-43BD-B4CB-7FC317EF7AE1}"/>
            </c:ext>
          </c:extLst>
        </c:ser>
        <c:ser>
          <c:idx val="2"/>
          <c:order val="1"/>
          <c:tx>
            <c:strRef>
              <c:f>validation_old!$AX$19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665136985213077"/>
                  <c:y val="-0.1716459104234339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validation_old!$AX$20:$AX$25</c:f>
              <c:numCache>
                <c:formatCode>0.00</c:formatCode>
                <c:ptCount val="6"/>
                <c:pt idx="0">
                  <c:v>97.695476093415976</c:v>
                </c:pt>
                <c:pt idx="1">
                  <c:v>42.558604231101967</c:v>
                </c:pt>
                <c:pt idx="2">
                  <c:v>92.468522601215938</c:v>
                </c:pt>
                <c:pt idx="3">
                  <c:v>54.677139393466206</c:v>
                </c:pt>
                <c:pt idx="4">
                  <c:v>53.115682853674762</c:v>
                </c:pt>
                <c:pt idx="5">
                  <c:v>108.9870194598809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25-43BD-B4CB-7FC317EF7AE1}"/>
            </c:ext>
          </c:extLst>
        </c:ser>
        <c:ser>
          <c:idx val="1"/>
          <c:order val="2"/>
          <c:tx>
            <c:strRef>
              <c:f>validation_old!$AY$19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298244549697313"/>
                  <c:y val="-8.7840069420271449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validation_old!$AY$20:$AY$25</c:f>
              <c:numCache>
                <c:formatCode>0.00</c:formatCode>
                <c:ptCount val="6"/>
                <c:pt idx="0">
                  <c:v>97.695476093415976</c:v>
                </c:pt>
                <c:pt idx="1">
                  <c:v>42.558604231101945</c:v>
                </c:pt>
                <c:pt idx="2">
                  <c:v>92.468522601215994</c:v>
                </c:pt>
                <c:pt idx="3">
                  <c:v>54.677139393466177</c:v>
                </c:pt>
                <c:pt idx="4">
                  <c:v>53.115682853674741</c:v>
                </c:pt>
                <c:pt idx="5">
                  <c:v>108.9870194598811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25-43BD-B4CB-7FC317EF7AE1}"/>
            </c:ext>
          </c:extLst>
        </c:ser>
        <c:ser>
          <c:idx val="0"/>
          <c:order val="3"/>
          <c:tx>
            <c:strRef>
              <c:f>validation_old!$AZ$19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901158600088688"/>
                  <c:y val="-0.1207477196727612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validation_old!$AZ$20:$AZ$25</c:f>
              <c:numCache>
                <c:formatCode>0.00</c:formatCode>
                <c:ptCount val="6"/>
                <c:pt idx="0">
                  <c:v>97.695819187166947</c:v>
                </c:pt>
                <c:pt idx="1">
                  <c:v>42.561160235106172</c:v>
                </c:pt>
                <c:pt idx="2">
                  <c:v>92.469075477977853</c:v>
                </c:pt>
                <c:pt idx="3">
                  <c:v>48.784451257564484</c:v>
                </c:pt>
                <c:pt idx="4">
                  <c:v>53.117815150879217</c:v>
                </c:pt>
                <c:pt idx="5">
                  <c:v>108.9869093691977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5-43BD-B4CB-7FC317EF7AE1}"/>
            </c:ext>
          </c:extLst>
        </c:ser>
        <c:ser>
          <c:idx val="5"/>
          <c:order val="4"/>
          <c:tx>
            <c:strRef>
              <c:f>validation_old!$BA$19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433588858025625"/>
                  <c:y val="-0.2070485991391754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validation_old!$BA$20:$BA$25</c:f>
              <c:numCache>
                <c:formatCode>0.00</c:formatCode>
                <c:ptCount val="6"/>
                <c:pt idx="0">
                  <c:v>97.20996129768622</c:v>
                </c:pt>
                <c:pt idx="1">
                  <c:v>44.072453848905766</c:v>
                </c:pt>
                <c:pt idx="2">
                  <c:v>92.172546755566742</c:v>
                </c:pt>
                <c:pt idx="3">
                  <c:v>50.070317612774126</c:v>
                </c:pt>
                <c:pt idx="4">
                  <c:v>50.95799155206047</c:v>
                </c:pt>
                <c:pt idx="5">
                  <c:v>108.09205252770886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25-43BD-B4CB-7FC317EF7AE1}"/>
            </c:ext>
          </c:extLst>
        </c:ser>
        <c:ser>
          <c:idx val="6"/>
          <c:order val="5"/>
          <c:tx>
            <c:strRef>
              <c:f>validation_old!$BB$19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0836298084214814"/>
                  <c:y val="7.8384856878430387E-3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validation_old!$BB$20:$BB$25</c:f>
              <c:numCache>
                <c:formatCode>0.000</c:formatCode>
                <c:ptCount val="6"/>
                <c:pt idx="0">
                  <c:v>94.751502888379235</c:v>
                </c:pt>
                <c:pt idx="1">
                  <c:v>59.341999999999999</c:v>
                </c:pt>
                <c:pt idx="2">
                  <c:v>91.955652593155037</c:v>
                </c:pt>
                <c:pt idx="3">
                  <c:v>59.341999999999999</c:v>
                </c:pt>
                <c:pt idx="4">
                  <c:v>59.341999999999999</c:v>
                </c:pt>
                <c:pt idx="5">
                  <c:v>86.294423220422289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9.4642433766248361E-3"/>
          <c:y val="0.84588534767051127"/>
          <c:w val="0.78838153210983952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Power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validation_old!$BF$19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validation_old!$BF$20:$BF$25</c:f>
              <c:numCache>
                <c:formatCode>0.00</c:formatCode>
                <c:ptCount val="6"/>
                <c:pt idx="0">
                  <c:v>99.694232599765229</c:v>
                </c:pt>
                <c:pt idx="1">
                  <c:v>37.892011567978848</c:v>
                </c:pt>
                <c:pt idx="2">
                  <c:v>95.357755524747361</c:v>
                </c:pt>
                <c:pt idx="3">
                  <c:v>56.527835068229642</c:v>
                </c:pt>
                <c:pt idx="4">
                  <c:v>54.43610021489598</c:v>
                </c:pt>
                <c:pt idx="5">
                  <c:v>108.55559107528565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81-4B72-AB57-760E8D33B874}"/>
            </c:ext>
          </c:extLst>
        </c:ser>
        <c:ser>
          <c:idx val="2"/>
          <c:order val="1"/>
          <c:tx>
            <c:strRef>
              <c:f>validation_old!$BG$19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validation_old!$BG$20:$BG$25</c:f>
              <c:numCache>
                <c:formatCode>0.00</c:formatCode>
                <c:ptCount val="6"/>
                <c:pt idx="0">
                  <c:v>99.698564460136211</c:v>
                </c:pt>
                <c:pt idx="1">
                  <c:v>37.89365803135999</c:v>
                </c:pt>
                <c:pt idx="2">
                  <c:v>95.361898958840129</c:v>
                </c:pt>
                <c:pt idx="3">
                  <c:v>56.530291285426998</c:v>
                </c:pt>
                <c:pt idx="4">
                  <c:v>54.438465543151352</c:v>
                </c:pt>
                <c:pt idx="5">
                  <c:v>108.56030797465634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81-4B72-AB57-760E8D33B874}"/>
            </c:ext>
          </c:extLst>
        </c:ser>
        <c:ser>
          <c:idx val="1"/>
          <c:order val="2"/>
          <c:tx>
            <c:strRef>
              <c:f>validation_old!$BH$19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validation_old!$BH$20:$BH$25</c:f>
              <c:numCache>
                <c:formatCode>0.00</c:formatCode>
                <c:ptCount val="6"/>
                <c:pt idx="0">
                  <c:v>99.707475964800153</c:v>
                </c:pt>
                <c:pt idx="1">
                  <c:v>37.897045136401111</c:v>
                </c:pt>
                <c:pt idx="2">
                  <c:v>95.37042283289928</c:v>
                </c:pt>
                <c:pt idx="3">
                  <c:v>56.535344216300857</c:v>
                </c:pt>
                <c:pt idx="4">
                  <c:v>54.443331497262228</c:v>
                </c:pt>
                <c:pt idx="5">
                  <c:v>108.57001158168504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81-4B72-AB57-760E8D33B874}"/>
            </c:ext>
          </c:extLst>
        </c:ser>
        <c:ser>
          <c:idx val="0"/>
          <c:order val="3"/>
          <c:tx>
            <c:strRef>
              <c:f>validation_old!$BI$19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validation_old!$BI$20:$BI$25</c:f>
              <c:numCache>
                <c:formatCode>0.00</c:formatCode>
                <c:ptCount val="6"/>
                <c:pt idx="0">
                  <c:v>99.679486561846588</c:v>
                </c:pt>
                <c:pt idx="1">
                  <c:v>37.920313348849398</c:v>
                </c:pt>
                <c:pt idx="2">
                  <c:v>95.347571958453543</c:v>
                </c:pt>
                <c:pt idx="3">
                  <c:v>48.259709693663041</c:v>
                </c:pt>
                <c:pt idx="4">
                  <c:v>54.458511303586427</c:v>
                </c:pt>
                <c:pt idx="5">
                  <c:v>108.53098774822755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4642433766248361E-3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validation_old!$BU$19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2-4C9F-AB90-A94DE6202D24}"/>
            </c:ext>
          </c:extLst>
        </c:ser>
        <c:ser>
          <c:idx val="0"/>
          <c:order val="1"/>
          <c:tx>
            <c:strRef>
              <c:f>validation_old!$BT$19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C2-4C9F-AB90-A94DE6202D24}"/>
            </c:ext>
          </c:extLst>
        </c:ser>
        <c:ser>
          <c:idx val="2"/>
          <c:order val="2"/>
          <c:tx>
            <c:strRef>
              <c:f>validation_old!$BS$19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C2-4C9F-AB90-A94DE6202D24}"/>
            </c:ext>
          </c:extLst>
        </c:ser>
        <c:ser>
          <c:idx val="3"/>
          <c:order val="3"/>
          <c:tx>
            <c:strRef>
              <c:f>validation_old!$BR$19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C2-4C9F-AB90-A94DE6202D24}"/>
            </c:ext>
          </c:extLst>
        </c:ser>
        <c:ser>
          <c:idx val="4"/>
          <c:order val="4"/>
          <c:tx>
            <c:strRef>
              <c:f>validation_old!$BQ$19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2C2-4C9F-AB90-A94DE6202D24}"/>
            </c:ext>
          </c:extLst>
        </c:ser>
        <c:ser>
          <c:idx val="5"/>
          <c:order val="5"/>
          <c:tx>
            <c:strRef>
              <c:f>validation_old!$BP$19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2C2-4C9F-AB90-A94DE6202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</a:t>
            </a:r>
            <a:r>
              <a:rPr lang="en-US" baseline="0"/>
              <a:t>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6-4E2B-A503-C9C9EB7F7CF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56-4E2B-A503-C9C9EB7F7CF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56-4E2B-A503-C9C9EB7F7CF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56-4E2B-A503-C9C9EB7F7CF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56-4E2B-A503-C9C9EB7F7CF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E56-4E2B-A503-C9C9EB7F7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validation_old!$BP$19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validation_old!$BP$20:$BP$25</c:f>
              <c:numCache>
                <c:formatCode>0.00</c:formatCode>
                <c:ptCount val="6"/>
                <c:pt idx="0">
                  <c:v>364.33260145892592</c:v>
                </c:pt>
                <c:pt idx="1">
                  <c:v>74.414803400430642</c:v>
                </c:pt>
                <c:pt idx="2">
                  <c:v>336.84850967372444</c:v>
                </c:pt>
                <c:pt idx="3">
                  <c:v>138.13584725544999</c:v>
                </c:pt>
                <c:pt idx="4">
                  <c:v>129.92547864928713</c:v>
                </c:pt>
                <c:pt idx="5">
                  <c:v>423.70520057304276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D6-4E1F-A2CA-DB9124D77184}"/>
            </c:ext>
          </c:extLst>
        </c:ser>
        <c:ser>
          <c:idx val="2"/>
          <c:order val="1"/>
          <c:tx>
            <c:strRef>
              <c:f>validation_old!$BQ$19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validation_old!$BQ$20:$BQ$25</c:f>
              <c:numCache>
                <c:formatCode>0.00</c:formatCode>
                <c:ptCount val="6"/>
                <c:pt idx="0">
                  <c:v>364.32728764642911</c:v>
                </c:pt>
                <c:pt idx="1">
                  <c:v>74.413915408439124</c:v>
                </c:pt>
                <c:pt idx="2">
                  <c:v>336.84361542724753</c:v>
                </c:pt>
                <c:pt idx="3">
                  <c:v>138.13398651220135</c:v>
                </c:pt>
                <c:pt idx="4">
                  <c:v>129.92374324369607</c:v>
                </c:pt>
                <c:pt idx="5">
                  <c:v>423.69898039167595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D6-4E1F-A2CA-DB9124D77184}"/>
            </c:ext>
          </c:extLst>
        </c:ser>
        <c:ser>
          <c:idx val="1"/>
          <c:order val="2"/>
          <c:tx>
            <c:strRef>
              <c:f>validation_old!$BR$19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validation_old!$BR$20:$BR$25</c:f>
              <c:numCache>
                <c:formatCode>0.00</c:formatCode>
                <c:ptCount val="6"/>
                <c:pt idx="0">
                  <c:v>319.96390759037655</c:v>
                </c:pt>
                <c:pt idx="1">
                  <c:v>68.582835131746805</c:v>
                </c:pt>
                <c:pt idx="2">
                  <c:v>296.13308204333094</c:v>
                </c:pt>
                <c:pt idx="3">
                  <c:v>123.83389060239504</c:v>
                </c:pt>
                <c:pt idx="4">
                  <c:v>116.71486831635562</c:v>
                </c:pt>
                <c:pt idx="5">
                  <c:v>371.44452637236492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D6-4E1F-A2CA-DB9124D77184}"/>
            </c:ext>
          </c:extLst>
        </c:ser>
        <c:ser>
          <c:idx val="0"/>
          <c:order val="3"/>
          <c:tx>
            <c:strRef>
              <c:f>validation_old!$BS$19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validation_old!$BS$20:$BS$25</c:f>
              <c:numCache>
                <c:formatCode>0.00</c:formatCode>
                <c:ptCount val="6"/>
                <c:pt idx="0">
                  <c:v>234.71949110814046</c:v>
                </c:pt>
                <c:pt idx="1">
                  <c:v>55.266300283589857</c:v>
                </c:pt>
                <c:pt idx="2">
                  <c:v>217.7074000920035</c:v>
                </c:pt>
                <c:pt idx="3">
                  <c:v>75.521969814092728</c:v>
                </c:pt>
                <c:pt idx="4">
                  <c:v>89.626273575822253</c:v>
                </c:pt>
                <c:pt idx="5">
                  <c:v>271.46991633186343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169505562035296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validation_old!$BY$19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validation_old!$BY$20:$BY$25</c:f>
              <c:numCache>
                <c:formatCode>0.00</c:formatCode>
                <c:ptCount val="6"/>
                <c:pt idx="0">
                  <c:v>318.9670548214167</c:v>
                </c:pt>
                <c:pt idx="1">
                  <c:v>74.975956194233888</c:v>
                </c:pt>
                <c:pt idx="2">
                  <c:v>298.42645328901642</c:v>
                </c:pt>
                <c:pt idx="3">
                  <c:v>136.43689124312615</c:v>
                </c:pt>
                <c:pt idx="4">
                  <c:v>128.95013253278273</c:v>
                </c:pt>
                <c:pt idx="5">
                  <c:v>362.32589731034267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29-452F-8D61-B468F33E002F}"/>
            </c:ext>
          </c:extLst>
        </c:ser>
        <c:ser>
          <c:idx val="2"/>
          <c:order val="1"/>
          <c:tx>
            <c:strRef>
              <c:f>validation_old!$BZ$19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validation_old!$BZ$20:$BZ$25</c:f>
              <c:numCache>
                <c:formatCode>0.00</c:formatCode>
                <c:ptCount val="6"/>
                <c:pt idx="0">
                  <c:v>318.95677155946009</c:v>
                </c:pt>
                <c:pt idx="1">
                  <c:v>74.973539024854261</c:v>
                </c:pt>
                <c:pt idx="2">
                  <c:v>298.41683224086142</c:v>
                </c:pt>
                <c:pt idx="3">
                  <c:v>136.43249261865367</c:v>
                </c:pt>
                <c:pt idx="4">
                  <c:v>128.94597527587422</c:v>
                </c:pt>
                <c:pt idx="5">
                  <c:v>362.31421619136893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29-452F-8D61-B468F33E002F}"/>
            </c:ext>
          </c:extLst>
        </c:ser>
        <c:ser>
          <c:idx val="1"/>
          <c:order val="2"/>
          <c:tx>
            <c:strRef>
              <c:f>validation_old!$CA$19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validation_old!$CA$21:$CA$26</c:f>
              <c:numCache>
                <c:formatCode>0.00</c:formatCode>
                <c:ptCount val="6"/>
                <c:pt idx="0">
                  <c:v>69.413766763516179</c:v>
                </c:pt>
                <c:pt idx="1">
                  <c:v>267.19719303270881</c:v>
                </c:pt>
                <c:pt idx="2">
                  <c:v>124.49685404636813</c:v>
                </c:pt>
                <c:pt idx="3">
                  <c:v>117.82622122727562</c:v>
                </c:pt>
                <c:pt idx="4">
                  <c:v>322.88900229882751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29-452F-8D61-B468F33E002F}"/>
            </c:ext>
          </c:extLst>
        </c:ser>
        <c:ser>
          <c:idx val="0"/>
          <c:order val="3"/>
          <c:tx>
            <c:strRef>
              <c:f>validation_old!$CB$19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validation_old!$CB$20:$CB$25</c:f>
              <c:numCache>
                <c:formatCode>0.00</c:formatCode>
                <c:ptCount val="6"/>
                <c:pt idx="0">
                  <c:v>213.30081318545697</c:v>
                </c:pt>
                <c:pt idx="1">
                  <c:v>53.94458799502717</c:v>
                </c:pt>
                <c:pt idx="2">
                  <c:v>200.23729242898125</c:v>
                </c:pt>
                <c:pt idx="3">
                  <c:v>76.014270757012255</c:v>
                </c:pt>
                <c:pt idx="4">
                  <c:v>90.270550237634694</c:v>
                </c:pt>
                <c:pt idx="5">
                  <c:v>240.74020676375775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DC-447C-86B2-766B0468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validation_old!$M$19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validation_old!$N$75:$N$80</c:f>
              <c:numCache>
                <c:formatCode>0.00</c:formatCode>
                <c:ptCount val="6"/>
                <c:pt idx="0">
                  <c:v>80.679975028742447</c:v>
                </c:pt>
                <c:pt idx="1">
                  <c:v>62.032648320418033</c:v>
                </c:pt>
                <c:pt idx="2">
                  <c:v>79.820147748538403</c:v>
                </c:pt>
                <c:pt idx="3">
                  <c:v>60.260871017662183</c:v>
                </c:pt>
                <c:pt idx="4">
                  <c:v>70.490176235553008</c:v>
                </c:pt>
                <c:pt idx="5">
                  <c:v>80.326671482744487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DC-447C-86B2-766B04681BB4}"/>
            </c:ext>
          </c:extLst>
        </c:ser>
        <c:ser>
          <c:idx val="1"/>
          <c:order val="1"/>
          <c:tx>
            <c:strRef>
              <c:f>validation_old!$N$74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validation_old!$N$75:$N$80</c:f>
              <c:numCache>
                <c:formatCode>0.00</c:formatCode>
                <c:ptCount val="6"/>
                <c:pt idx="0">
                  <c:v>80.679975028742447</c:v>
                </c:pt>
                <c:pt idx="1">
                  <c:v>62.032648320418033</c:v>
                </c:pt>
                <c:pt idx="2">
                  <c:v>79.820147748538403</c:v>
                </c:pt>
                <c:pt idx="3">
                  <c:v>60.260871017662183</c:v>
                </c:pt>
                <c:pt idx="4">
                  <c:v>70.490176235553008</c:v>
                </c:pt>
                <c:pt idx="5">
                  <c:v>80.326671482744487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DC-447C-86B2-766B04681BB4}"/>
            </c:ext>
          </c:extLst>
        </c:ser>
        <c:ser>
          <c:idx val="2"/>
          <c:order val="2"/>
          <c:tx>
            <c:strRef>
              <c:f>validation_old!$O$74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validation_old!$O$75:$O$80</c:f>
              <c:numCache>
                <c:formatCode>0.000</c:formatCode>
                <c:ptCount val="6"/>
                <c:pt idx="0">
                  <c:v>116.90913542084283</c:v>
                </c:pt>
                <c:pt idx="1">
                  <c:v>42.325861261741807</c:v>
                </c:pt>
                <c:pt idx="2">
                  <c:v>102.3415813265044</c:v>
                </c:pt>
                <c:pt idx="3">
                  <c:v>40.677598947644611</c:v>
                </c:pt>
                <c:pt idx="4">
                  <c:v>54.392287140951076</c:v>
                </c:pt>
                <c:pt idx="5">
                  <c:v>110.20913256007236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3DC-447C-86B2-766B0468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79788687230288169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38-4473-9568-269A7A08F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0-4E2C-B39A-5A87E5F21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FB-4D56-A5AB-DC7580071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6B-4B0B-989E-E5E5DA0A3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validation_old!$M$19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validation_old!$R$75:$R$80</c:f>
              <c:numCache>
                <c:formatCode>0.00</c:formatCode>
                <c:ptCount val="6"/>
                <c:pt idx="0">
                  <c:v>108.03160497575749</c:v>
                </c:pt>
                <c:pt idx="1">
                  <c:v>82.631736044839428</c:v>
                </c:pt>
                <c:pt idx="2">
                  <c:v>108.64453530319376</c:v>
                </c:pt>
                <c:pt idx="3">
                  <c:v>-22.598555644979001</c:v>
                </c:pt>
                <c:pt idx="4">
                  <c:v>19.45293703996408</c:v>
                </c:pt>
                <c:pt idx="5">
                  <c:v>91.207897003848942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6B-4B0B-989E-E5E5DA0A33AE}"/>
            </c:ext>
          </c:extLst>
        </c:ser>
        <c:ser>
          <c:idx val="1"/>
          <c:order val="1"/>
          <c:tx>
            <c:strRef>
              <c:f>validation_old!$S$74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validation_old!$S$75:$S$80</c:f>
              <c:numCache>
                <c:formatCode>0.00</c:formatCode>
                <c:ptCount val="6"/>
                <c:pt idx="0">
                  <c:v>88.28677908437983</c:v>
                </c:pt>
                <c:pt idx="1">
                  <c:v>73.60773763156152</c:v>
                </c:pt>
                <c:pt idx="2">
                  <c:v>88.641002553351143</c:v>
                </c:pt>
                <c:pt idx="3">
                  <c:v>12.793257918765036</c:v>
                </c:pt>
                <c:pt idx="4">
                  <c:v>37.09557246826197</c:v>
                </c:pt>
                <c:pt idx="5">
                  <c:v>78.564055420670371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6B-4B0B-989E-E5E5DA0A33AE}"/>
            </c:ext>
          </c:extLst>
        </c:ser>
        <c:ser>
          <c:idx val="2"/>
          <c:order val="2"/>
          <c:tx>
            <c:strRef>
              <c:f>validation_old!$T$74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validation_old!$T$75:$T$80</c:f>
              <c:numCache>
                <c:formatCode>0.00</c:formatCode>
                <c:ptCount val="6"/>
                <c:pt idx="0">
                  <c:v>136.12849358890662</c:v>
                </c:pt>
                <c:pt idx="1">
                  <c:v>57.680453938178793</c:v>
                </c:pt>
                <c:pt idx="2">
                  <c:v>143.39149511170848</c:v>
                </c:pt>
                <c:pt idx="3">
                  <c:v>25.830536088725225</c:v>
                </c:pt>
                <c:pt idx="4">
                  <c:v>31.621393256387424</c:v>
                </c:pt>
                <c:pt idx="5">
                  <c:v>68.458296254959976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6B-4B0B-989E-E5E5DA0A3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AA-4573-85B4-FFBC71D5C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D-480E-8F43-FB2FBFA63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B3-4BFC-8776-C08BD4801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1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F1-4F9A-8FD1-C2326E29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2"/>
          <c:order val="0"/>
          <c:tx>
            <c:strRef>
              <c:f>validation_old!$Y$74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validation_old!$Y$75:$Y$80</c:f>
              <c:numCache>
                <c:formatCode>0.000</c:formatCode>
                <c:ptCount val="6"/>
                <c:pt idx="0">
                  <c:v>114.44561832326148</c:v>
                </c:pt>
                <c:pt idx="1">
                  <c:v>97.062981620254732</c:v>
                </c:pt>
                <c:pt idx="2">
                  <c:v>229.34663378511158</c:v>
                </c:pt>
                <c:pt idx="3">
                  <c:v>27.398194391633513</c:v>
                </c:pt>
                <c:pt idx="4">
                  <c:v>22.37367553379746</c:v>
                </c:pt>
                <c:pt idx="5">
                  <c:v>30.207906996492675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F1-4F9A-8FD1-C2326E29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8F-43D5-85BB-E972F28DC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0B-4231-A04D-006AF504E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14-4ABA-BCFA-CCBCA80A0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36-4BBF-A739-F33B316B7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E-4B68-B30B-F02077CB2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85-406D-BC08-B3186DD99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A3-4535-B611-2354C4880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</a:t>
            </a:r>
            <a:r>
              <a:rPr lang="en-US" sz="1100" baseline="0"/>
              <a:t> 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576777691618859"/>
                  <c:y val="-0.2146549904788489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C7-481C-8A6A-BD979C4D0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FC-4645-857C-4757FC04D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1E-4BF0-AD4B-86E196E3D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1"/>
          <c:order val="0"/>
          <c:tx>
            <c:strRef>
              <c:f>validation_old!$AD$74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validation_old!$AD$75:$AD$80</c:f>
              <c:numCache>
                <c:formatCode>0.00</c:formatCode>
                <c:ptCount val="6"/>
                <c:pt idx="0">
                  <c:v>62.36109189931058</c:v>
                </c:pt>
                <c:pt idx="1">
                  <c:v>62.552020697288327</c:v>
                </c:pt>
                <c:pt idx="2">
                  <c:v>62.621411262109916</c:v>
                </c:pt>
                <c:pt idx="3">
                  <c:v>61.403690910553628</c:v>
                </c:pt>
                <c:pt idx="4">
                  <c:v>62.065181560993921</c:v>
                </c:pt>
                <c:pt idx="5">
                  <c:v>59.776405391577441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1E-4BF0-AD4B-86E196E3D380}"/>
            </c:ext>
          </c:extLst>
        </c:ser>
        <c:ser>
          <c:idx val="2"/>
          <c:order val="1"/>
          <c:tx>
            <c:strRef>
              <c:f>validation_old!$AE$74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validation_old!$AE$75:$AE$80</c:f>
              <c:numCache>
                <c:formatCode>0.00</c:formatCode>
                <c:ptCount val="6"/>
                <c:pt idx="0">
                  <c:v>43.002843805323621</c:v>
                </c:pt>
                <c:pt idx="1">
                  <c:v>36.637035051611903</c:v>
                </c:pt>
                <c:pt idx="2">
                  <c:v>30.673832251441233</c:v>
                </c:pt>
                <c:pt idx="3">
                  <c:v>53.503491561932265</c:v>
                </c:pt>
                <c:pt idx="4">
                  <c:v>47.775953927503508</c:v>
                </c:pt>
                <c:pt idx="5">
                  <c:v>60.637732603021483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1E-4BF0-AD4B-86E196E3D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71-4F06-9150-10B74D0E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validation_old!$M$19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validation_old!$AI$75:$AI$80</c:f>
              <c:numCache>
                <c:formatCode>0.00</c:formatCode>
                <c:ptCount val="6"/>
                <c:pt idx="0">
                  <c:v>-100.35322092238862</c:v>
                </c:pt>
                <c:pt idx="1">
                  <c:v>-132.71520261374724</c:v>
                </c:pt>
                <c:pt idx="2">
                  <c:v>-141.77102588485073</c:v>
                </c:pt>
                <c:pt idx="3">
                  <c:v>-95.989037650063992</c:v>
                </c:pt>
                <c:pt idx="4">
                  <c:v>-138.15871882020107</c:v>
                </c:pt>
                <c:pt idx="5">
                  <c:v>-19.25113341809282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71-4F06-9150-10B74D0EFAD1}"/>
            </c:ext>
          </c:extLst>
        </c:ser>
        <c:ser>
          <c:idx val="1"/>
          <c:order val="1"/>
          <c:tx>
            <c:strRef>
              <c:f>validation_old!$AJ$74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validation_old!$AJ$75:$AJ$80</c:f>
              <c:numCache>
                <c:formatCode>0.00</c:formatCode>
                <c:ptCount val="6"/>
                <c:pt idx="0">
                  <c:v>55.625326191966295</c:v>
                </c:pt>
                <c:pt idx="1">
                  <c:v>54.492604082738588</c:v>
                </c:pt>
                <c:pt idx="2">
                  <c:v>54.175635507258036</c:v>
                </c:pt>
                <c:pt idx="3">
                  <c:v>55.778079720116395</c:v>
                </c:pt>
                <c:pt idx="4">
                  <c:v>54.302072142581288</c:v>
                </c:pt>
                <c:pt idx="5">
                  <c:v>58.464031451019281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71-4F06-9150-10B74D0EFAD1}"/>
            </c:ext>
          </c:extLst>
        </c:ser>
        <c:ser>
          <c:idx val="2"/>
          <c:order val="2"/>
          <c:tx>
            <c:strRef>
              <c:f>validation_old!$AK$74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validation_old!$AK$75:$AK$80</c:f>
              <c:numCache>
                <c:formatCode>0.00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71-4F06-9150-10B74D0E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DA-4C19-8C92-11E6F44C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validation_old!$M$19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validation_old!$AO$75:$AO$80</c:f>
              <c:numCache>
                <c:formatCode>0.00</c:formatCode>
                <c:ptCount val="6"/>
                <c:pt idx="0">
                  <c:v>29.556057325059385</c:v>
                </c:pt>
                <c:pt idx="1">
                  <c:v>11.712962962962962</c:v>
                </c:pt>
                <c:pt idx="2">
                  <c:v>15.403003410332328</c:v>
                </c:pt>
                <c:pt idx="3">
                  <c:v>11.712962962962962</c:v>
                </c:pt>
                <c:pt idx="4">
                  <c:v>11.712962962962962</c:v>
                </c:pt>
                <c:pt idx="5">
                  <c:v>15.342271270760786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DA-4C19-8C92-11E6F44CE740}"/>
            </c:ext>
          </c:extLst>
        </c:ser>
        <c:ser>
          <c:idx val="1"/>
          <c:order val="1"/>
          <c:tx>
            <c:strRef>
              <c:f>validation_old!$AP$74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validation_old!$AP$75:$AP$80</c:f>
              <c:numCache>
                <c:formatCode>0.00</c:formatCode>
                <c:ptCount val="6"/>
                <c:pt idx="0">
                  <c:v>53.245933148499503</c:v>
                </c:pt>
                <c:pt idx="1">
                  <c:v>48.722000000000001</c:v>
                </c:pt>
                <c:pt idx="2">
                  <c:v>49.657571821814706</c:v>
                </c:pt>
                <c:pt idx="3">
                  <c:v>48.722000000000001</c:v>
                </c:pt>
                <c:pt idx="4">
                  <c:v>48.722000000000001</c:v>
                </c:pt>
                <c:pt idx="5">
                  <c:v>49.642173812152734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DA-4C19-8C92-11E6F44CE740}"/>
            </c:ext>
          </c:extLst>
        </c:ser>
        <c:ser>
          <c:idx val="2"/>
          <c:order val="2"/>
          <c:tx>
            <c:strRef>
              <c:f>validation_old!$AK$74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validation_old!$K$75:$K$80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validation_old!$AK$75:$AK$80</c:f>
              <c:numCache>
                <c:formatCode>0.00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DA-4C19-8C92-11E6F44C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D-4AAC-BA59-E86D5F3D3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</a:t>
            </a:r>
            <a:r>
              <a:rPr lang="en-US" sz="1100" baseline="0"/>
              <a:t> 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576777691618859"/>
                  <c:y val="-0.2146549904788489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44-45F5-AD8F-300377432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C7-4FCF-BA02-A19685318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73-4975-9BF3-3E2EFC68D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validation_old!$M$19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413143537440474"/>
                  <c:y val="-6.097475497780140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validation_old!$M$128:$M$133</c:f>
              <c:numCache>
                <c:formatCode>0.00</c:formatCode>
                <c:ptCount val="6"/>
                <c:pt idx="0">
                  <c:v>95.227895183972151</c:v>
                </c:pt>
                <c:pt idx="1">
                  <c:v>21.891251699587393</c:v>
                </c:pt>
                <c:pt idx="2">
                  <c:v>105.13474984565981</c:v>
                </c:pt>
                <c:pt idx="3">
                  <c:v>54.347206424674056</c:v>
                </c:pt>
                <c:pt idx="4">
                  <c:v>47.866775368612835</c:v>
                </c:pt>
                <c:pt idx="5">
                  <c:v>145.6390154749223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73-4975-9BF3-3E2EFC68DE76}"/>
            </c:ext>
          </c:extLst>
        </c:ser>
        <c:ser>
          <c:idx val="1"/>
          <c:order val="1"/>
          <c:tx>
            <c:strRef>
              <c:f>validation_old!$N$74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946314072518657"/>
                  <c:y val="-3.735723065508499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validation_old!$N$128:$N$133</c:f>
              <c:numCache>
                <c:formatCode>0.00</c:formatCode>
                <c:ptCount val="6"/>
                <c:pt idx="0">
                  <c:v>78.907068495194437</c:v>
                </c:pt>
                <c:pt idx="1">
                  <c:v>40.807843233855095</c:v>
                </c:pt>
                <c:pt idx="2">
                  <c:v>84.053792826358517</c:v>
                </c:pt>
                <c:pt idx="3">
                  <c:v>57.669083009659673</c:v>
                </c:pt>
                <c:pt idx="4">
                  <c:v>54.302424939904583</c:v>
                </c:pt>
                <c:pt idx="5">
                  <c:v>105.09622218955917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73-4975-9BF3-3E2EFC68DE76}"/>
            </c:ext>
          </c:extLst>
        </c:ser>
        <c:ser>
          <c:idx val="2"/>
          <c:order val="2"/>
          <c:tx>
            <c:strRef>
              <c:f>validation_old!$O$127</c:f>
              <c:strCache>
                <c:ptCount val="1"/>
                <c:pt idx="0">
                  <c:v>Dmax - Imps*Amax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436841463871912"/>
                  <c:y val="-0.19707768396111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validation_old!$O$128:$O$133</c:f>
              <c:numCache>
                <c:formatCode>0.000</c:formatCode>
                <c:ptCount val="6"/>
                <c:pt idx="0">
                  <c:v>82.59702247449286</c:v>
                </c:pt>
                <c:pt idx="1">
                  <c:v>33.537054468443031</c:v>
                </c:pt>
                <c:pt idx="2">
                  <c:v>87.599201607786554</c:v>
                </c:pt>
                <c:pt idx="3">
                  <c:v>59.012200349879429</c:v>
                </c:pt>
                <c:pt idx="4">
                  <c:v>54.635837614422663</c:v>
                </c:pt>
                <c:pt idx="5">
                  <c:v>106.2283162144093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73-4975-9BF3-3E2EFC68D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79788687230288169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Ch1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0459972523426"/>
                  <c:y val="-0.2512226819269090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32-4BC4-8431-C194014D7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Ch1 </a:t>
            </a:r>
            <a:r>
              <a:rPr lang="en-US" sz="1050" baseline="0"/>
              <a:t>Dmax </a:t>
            </a:r>
            <a:r>
              <a:rPr lang="en-US" sz="105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50" baseline="0"/>
              <a:t>(2)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043944691239879"/>
                  <c:y val="-7.2495971077722821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C7-4F93-ADAA-8CD82298B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Ch1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64682388095806"/>
                  <c:y val="0.127542374313803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40-45F5-82F6-B23E0C9BB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1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FE-4520-A6E1-16099A6A4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2"/>
          <c:order val="0"/>
          <c:tx>
            <c:strRef>
              <c:f>validation_old!$T$127</c:f>
              <c:strCache>
                <c:ptCount val="1"/>
                <c:pt idx="0">
                  <c:v>Dmax - Imps*Amax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43864895020478"/>
                  <c:y val="-6.7589371344754318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validation_old!$T$128:$T$133</c:f>
              <c:numCache>
                <c:formatCode>0.00</c:formatCode>
                <c:ptCount val="6"/>
                <c:pt idx="0">
                  <c:v>72.404274907409402</c:v>
                </c:pt>
                <c:pt idx="1">
                  <c:v>26.817021909960893</c:v>
                </c:pt>
                <c:pt idx="2">
                  <c:v>63.800693168592431</c:v>
                </c:pt>
                <c:pt idx="3">
                  <c:v>84.461527753027383</c:v>
                </c:pt>
                <c:pt idx="4">
                  <c:v>87.934081462076819</c:v>
                </c:pt>
                <c:pt idx="5">
                  <c:v>155.10541040664523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FE-4520-A6E1-16099A6A4A35}"/>
            </c:ext>
          </c:extLst>
        </c:ser>
        <c:ser>
          <c:idx val="0"/>
          <c:order val="2"/>
          <c:tx>
            <c:strRef>
              <c:f>validation_old!$U$127</c:f>
              <c:strCache>
                <c:ptCount val="1"/>
                <c:pt idx="0">
                  <c:v>Time Stamps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740421728145006"/>
                  <c:y val="-3.011247172820785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validation_old!$U$128:$U$133</c:f>
              <c:numCache>
                <c:formatCode>0.000</c:formatCode>
                <c:ptCount val="6"/>
                <c:pt idx="0">
                  <c:v>72.404274907409402</c:v>
                </c:pt>
                <c:pt idx="1">
                  <c:v>26.817021909960893</c:v>
                </c:pt>
                <c:pt idx="2">
                  <c:v>63.800693168592431</c:v>
                </c:pt>
                <c:pt idx="3">
                  <c:v>80.273877098790663</c:v>
                </c:pt>
                <c:pt idx="4">
                  <c:v>75.463396074733694</c:v>
                </c:pt>
                <c:pt idx="5">
                  <c:v>124.59799853071195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0E-4BC2-99EF-18B78CE95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"/>
          <c:y val="0.86683680792130169"/>
          <c:w val="0.80686775820808154"/>
          <c:h val="0.12955019856499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Ch2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4D-4B2A-873A-B838309E5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Ch2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410101515390429"/>
                  <c:y val="-6.872421405228205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36-4FB2-BE86-FC233129A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Ch2 </a:t>
            </a:r>
            <a:r>
              <a:rPr lang="en-US" sz="1000" b="1" baseline="0"/>
              <a:t>Dmax vs </a:t>
            </a:r>
            <a:r>
              <a:rPr lang="en-US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="1" baseline="0"/>
              <a:t> (3) 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8.4429047623457182E-2"/>
                  <c:y val="0.274741751319456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AE-4A80-85A8-78A367F2F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 / Max Amplitude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logBase val="10"/>
          <c:orientation val="minMax"/>
          <c:max val="5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6A-4479-B2F3-7EA2F16A5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validation_old!$M$19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validation_old!$W$128:$W$133</c:f>
              <c:numCache>
                <c:formatCode>0.00</c:formatCode>
                <c:ptCount val="6"/>
                <c:pt idx="0">
                  <c:v>61.217424542970299</c:v>
                </c:pt>
                <c:pt idx="1">
                  <c:v>25.457711340208132</c:v>
                </c:pt>
                <c:pt idx="2">
                  <c:v>31.826917969938059</c:v>
                </c:pt>
                <c:pt idx="3">
                  <c:v>68.787065020304397</c:v>
                </c:pt>
                <c:pt idx="4">
                  <c:v>129.21261045572717</c:v>
                </c:pt>
                <c:pt idx="5">
                  <c:v>763.63587392676732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6A-4479-B2F3-7EA2F16A509D}"/>
            </c:ext>
          </c:extLst>
        </c:ser>
        <c:ser>
          <c:idx val="1"/>
          <c:order val="1"/>
          <c:tx>
            <c:strRef>
              <c:f>validation_old!$N$74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validation_old!$X$128:$X$133</c:f>
              <c:numCache>
                <c:formatCode>0.00</c:formatCode>
                <c:ptCount val="6"/>
                <c:pt idx="0">
                  <c:v>61.310210416434721</c:v>
                </c:pt>
                <c:pt idx="1">
                  <c:v>37.090621540475539</c:v>
                </c:pt>
                <c:pt idx="2">
                  <c:v>41.404402391105435</c:v>
                </c:pt>
                <c:pt idx="3">
                  <c:v>66.437029506406901</c:v>
                </c:pt>
                <c:pt idx="4">
                  <c:v>107.3624658977281</c:v>
                </c:pt>
                <c:pt idx="5">
                  <c:v>537.04909474423846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6A-4479-B2F3-7EA2F16A509D}"/>
            </c:ext>
          </c:extLst>
        </c:ser>
        <c:ser>
          <c:idx val="2"/>
          <c:order val="2"/>
          <c:tx>
            <c:strRef>
              <c:f>validation_old!$Y$127</c:f>
              <c:strCache>
                <c:ptCount val="1"/>
                <c:pt idx="0">
                  <c:v>Dmax - Imps*Amax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02549638889762"/>
                  <c:y val="-0.2166562098788437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validation_old!$Y$128:$Y$133</c:f>
              <c:numCache>
                <c:formatCode>0.00</c:formatCode>
                <c:ptCount val="6"/>
                <c:pt idx="0">
                  <c:v>68.957807295619332</c:v>
                </c:pt>
                <c:pt idx="1">
                  <c:v>23.324683235913156</c:v>
                </c:pt>
                <c:pt idx="2">
                  <c:v>40.962192851694532</c:v>
                </c:pt>
                <c:pt idx="3">
                  <c:v>73.355134355888808</c:v>
                </c:pt>
                <c:pt idx="4">
                  <c:v>97.558037849240151</c:v>
                </c:pt>
                <c:pt idx="5">
                  <c:v>187.0632193798823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6A-4479-B2F3-7EA2F16A5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Ch3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C3-4F07-9526-8674AC59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Ch3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AB-4555-91EA-9B7CFF9FC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Ch3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26-49D9-B4A3-0BDA8D918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DF-4AC1-8564-5CB989CFD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validation_old!$M$19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validation_old!$AC$128:$AC$133</c:f>
              <c:numCache>
                <c:formatCode>0.00</c:formatCode>
                <c:ptCount val="6"/>
                <c:pt idx="0">
                  <c:v>56.931180626895156</c:v>
                </c:pt>
                <c:pt idx="1">
                  <c:v>26.806773423575901</c:v>
                </c:pt>
                <c:pt idx="2">
                  <c:v>29.227988736251156</c:v>
                </c:pt>
                <c:pt idx="3">
                  <c:v>35.414243080597721</c:v>
                </c:pt>
                <c:pt idx="4">
                  <c:v>33.058866225645914</c:v>
                </c:pt>
                <c:pt idx="5">
                  <c:v>438.49120473331692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DF-4AC1-8564-5CB989CFD0F9}"/>
            </c:ext>
          </c:extLst>
        </c:ser>
        <c:ser>
          <c:idx val="1"/>
          <c:order val="1"/>
          <c:tx>
            <c:strRef>
              <c:f>validation_old!$N$74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validation_old!$AD$128:$AD$133</c:f>
              <c:numCache>
                <c:formatCode>0.00</c:formatCode>
                <c:ptCount val="6"/>
                <c:pt idx="0">
                  <c:v>58.36712909719234</c:v>
                </c:pt>
                <c:pt idx="1">
                  <c:v>38.231128826651336</c:v>
                </c:pt>
                <c:pt idx="2">
                  <c:v>39.849537177793763</c:v>
                </c:pt>
                <c:pt idx="3">
                  <c:v>43.98460341530209</c:v>
                </c:pt>
                <c:pt idx="4">
                  <c:v>42.410203339362667</c:v>
                </c:pt>
                <c:pt idx="5">
                  <c:v>313.41257104660201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DF-4AC1-8564-5CB989CFD0F9}"/>
            </c:ext>
          </c:extLst>
        </c:ser>
        <c:ser>
          <c:idx val="2"/>
          <c:order val="2"/>
          <c:tx>
            <c:strRef>
              <c:f>validation_old!$AE$127</c:f>
              <c:strCache>
                <c:ptCount val="1"/>
                <c:pt idx="0">
                  <c:v>Dmax - Imps*Amax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02549638889762"/>
                  <c:y val="-0.2166562098788437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validation_old!$AE$128:$AE$133</c:f>
              <c:numCache>
                <c:formatCode>0.00</c:formatCode>
                <c:ptCount val="6"/>
                <c:pt idx="0">
                  <c:v>67.628114502869821</c:v>
                </c:pt>
                <c:pt idx="1">
                  <c:v>21.384864913798921</c:v>
                </c:pt>
                <c:pt idx="2">
                  <c:v>37.155894206812931</c:v>
                </c:pt>
                <c:pt idx="3">
                  <c:v>49.872932023099864</c:v>
                </c:pt>
                <c:pt idx="4">
                  <c:v>46.214645317182772</c:v>
                </c:pt>
                <c:pt idx="5">
                  <c:v>128.99674971720674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2DF-4AC1-8564-5CB989CFD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Ch4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F-4989-BE2F-8E8E3ECD4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Ch4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E8-497B-AB34-BDB81E8EB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Ch4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3A-43F3-AF79-7550616BE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8A-41F7-8640-643ABE52E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validation_old!$M$19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validation_old!$AI$128:$AI$133</c:f>
              <c:numCache>
                <c:formatCode>0.00</c:formatCode>
                <c:ptCount val="6"/>
                <c:pt idx="0">
                  <c:v>48.085648593067866</c:v>
                </c:pt>
                <c:pt idx="1">
                  <c:v>22.738579971365379</c:v>
                </c:pt>
                <c:pt idx="2">
                  <c:v>24.254193234820722</c:v>
                </c:pt>
                <c:pt idx="3">
                  <c:v>24.449405501071524</c:v>
                </c:pt>
                <c:pt idx="4">
                  <c:v>22.973008210907455</c:v>
                </c:pt>
                <c:pt idx="5">
                  <c:v>120.6633178258692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8A-41F7-8640-643ABE52E141}"/>
            </c:ext>
          </c:extLst>
        </c:ser>
        <c:ser>
          <c:idx val="1"/>
          <c:order val="1"/>
          <c:tx>
            <c:strRef>
              <c:f>validation_old!$N$74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validation_old!$AJ$128:$AJ$133</c:f>
              <c:numCache>
                <c:formatCode>0.00</c:formatCode>
                <c:ptCount val="6"/>
                <c:pt idx="0">
                  <c:v>55.600917954266201</c:v>
                </c:pt>
                <c:pt idx="1">
                  <c:v>43.963875973493614</c:v>
                </c:pt>
                <c:pt idx="2">
                  <c:v>44.659706147652074</c:v>
                </c:pt>
                <c:pt idx="3">
                  <c:v>44.749329660785946</c:v>
                </c:pt>
                <c:pt idx="4">
                  <c:v>44.071503853693301</c:v>
                </c:pt>
                <c:pt idx="5">
                  <c:v>88.921906520399148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8A-41F7-8640-643ABE52E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Ch5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08-4768-870B-5FF6E1CDD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Ch5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6E-4C2A-89DC-EB9BC71F3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Ch5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23-47D7-A398-5ECAA32D3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Ch6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validation_old!$B$37:$B$38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validation_old!$C$37:$C$38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C-4B45-A00B-005CFC281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validation_old!$M$19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validation_old!$AO$128:$AO$133</c:f>
              <c:numCache>
                <c:formatCode>0.00</c:formatCode>
                <c:ptCount val="6"/>
                <c:pt idx="0">
                  <c:v>52.757089481867645</c:v>
                </c:pt>
                <c:pt idx="1">
                  <c:v>32</c:v>
                </c:pt>
                <c:pt idx="2">
                  <c:v>35.641552988190917</c:v>
                </c:pt>
                <c:pt idx="3">
                  <c:v>32</c:v>
                </c:pt>
                <c:pt idx="4">
                  <c:v>32</c:v>
                </c:pt>
                <c:pt idx="5">
                  <c:v>37.785138919438999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0C-4B45-A00B-005CFC281156}"/>
            </c:ext>
          </c:extLst>
        </c:ser>
        <c:ser>
          <c:idx val="1"/>
          <c:order val="1"/>
          <c:tx>
            <c:strRef>
              <c:f>validation_old!$N$74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validation_old!$K$128:$K$133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validation_old!$AP$128:$AP$133</c:f>
              <c:numCache>
                <c:formatCode>0.00</c:formatCode>
                <c:ptCount val="6"/>
                <c:pt idx="0">
                  <c:v>56.664046591065002</c:v>
                </c:pt>
                <c:pt idx="1">
                  <c:v>47.755000000000003</c:v>
                </c:pt>
                <c:pt idx="2">
                  <c:v>49.317972750296484</c:v>
                </c:pt>
                <c:pt idx="3">
                  <c:v>47.755000000000003</c:v>
                </c:pt>
                <c:pt idx="4">
                  <c:v>47.755000000000003</c:v>
                </c:pt>
                <c:pt idx="5">
                  <c:v>50.238010549917817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0C-4B45-A00B-005CFC281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Ch6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7-47CA-B099-10EDA0C14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Ch6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72-49C2-9594-7F8D50B6B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Ch6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B3-4FF9-A04E-168281BE7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26" Type="http://schemas.openxmlformats.org/officeDocument/2006/relationships/chart" Target="../charts/chart29.xml"/><Relationship Id="rId39" Type="http://schemas.openxmlformats.org/officeDocument/2006/relationships/chart" Target="../charts/chart42.xml"/><Relationship Id="rId21" Type="http://schemas.openxmlformats.org/officeDocument/2006/relationships/chart" Target="../charts/chart24.xml"/><Relationship Id="rId34" Type="http://schemas.openxmlformats.org/officeDocument/2006/relationships/chart" Target="../charts/chart37.xml"/><Relationship Id="rId42" Type="http://schemas.openxmlformats.org/officeDocument/2006/relationships/chart" Target="../charts/chart45.xml"/><Relationship Id="rId47" Type="http://schemas.openxmlformats.org/officeDocument/2006/relationships/chart" Target="../charts/chart50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9" Type="http://schemas.openxmlformats.org/officeDocument/2006/relationships/chart" Target="../charts/chart32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32" Type="http://schemas.openxmlformats.org/officeDocument/2006/relationships/chart" Target="../charts/chart35.xml"/><Relationship Id="rId37" Type="http://schemas.openxmlformats.org/officeDocument/2006/relationships/chart" Target="../charts/chart40.xml"/><Relationship Id="rId40" Type="http://schemas.openxmlformats.org/officeDocument/2006/relationships/chart" Target="../charts/chart43.xml"/><Relationship Id="rId45" Type="http://schemas.openxmlformats.org/officeDocument/2006/relationships/chart" Target="../charts/chart48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36" Type="http://schemas.openxmlformats.org/officeDocument/2006/relationships/chart" Target="../charts/chart39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31" Type="http://schemas.openxmlformats.org/officeDocument/2006/relationships/chart" Target="../charts/chart34.xml"/><Relationship Id="rId44" Type="http://schemas.openxmlformats.org/officeDocument/2006/relationships/chart" Target="../charts/chart47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Relationship Id="rId35" Type="http://schemas.openxmlformats.org/officeDocument/2006/relationships/chart" Target="../charts/chart38.xml"/><Relationship Id="rId43" Type="http://schemas.openxmlformats.org/officeDocument/2006/relationships/chart" Target="../charts/chart46.xml"/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33" Type="http://schemas.openxmlformats.org/officeDocument/2006/relationships/chart" Target="../charts/chart36.xml"/><Relationship Id="rId38" Type="http://schemas.openxmlformats.org/officeDocument/2006/relationships/chart" Target="../charts/chart41.xml"/><Relationship Id="rId46" Type="http://schemas.openxmlformats.org/officeDocument/2006/relationships/chart" Target="../charts/chart49.xml"/><Relationship Id="rId20" Type="http://schemas.openxmlformats.org/officeDocument/2006/relationships/chart" Target="../charts/chart23.xml"/><Relationship Id="rId41" Type="http://schemas.openxmlformats.org/officeDocument/2006/relationships/chart" Target="../charts/chart4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8.xml"/><Relationship Id="rId3" Type="http://schemas.openxmlformats.org/officeDocument/2006/relationships/chart" Target="../charts/chart53.xml"/><Relationship Id="rId7" Type="http://schemas.openxmlformats.org/officeDocument/2006/relationships/chart" Target="../charts/chart57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6" Type="http://schemas.openxmlformats.org/officeDocument/2006/relationships/chart" Target="../charts/chart56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84.xml"/><Relationship Id="rId21" Type="http://schemas.openxmlformats.org/officeDocument/2006/relationships/chart" Target="../charts/chart79.xml"/><Relationship Id="rId42" Type="http://schemas.openxmlformats.org/officeDocument/2006/relationships/chart" Target="../charts/chart100.xml"/><Relationship Id="rId47" Type="http://schemas.openxmlformats.org/officeDocument/2006/relationships/chart" Target="../charts/chart105.xml"/><Relationship Id="rId63" Type="http://schemas.openxmlformats.org/officeDocument/2006/relationships/chart" Target="../charts/chart121.xml"/><Relationship Id="rId68" Type="http://schemas.openxmlformats.org/officeDocument/2006/relationships/chart" Target="../charts/chart126.xml"/><Relationship Id="rId84" Type="http://schemas.openxmlformats.org/officeDocument/2006/relationships/chart" Target="../charts/chart142.xml"/><Relationship Id="rId16" Type="http://schemas.openxmlformats.org/officeDocument/2006/relationships/chart" Target="../charts/chart74.xml"/><Relationship Id="rId11" Type="http://schemas.openxmlformats.org/officeDocument/2006/relationships/chart" Target="../charts/chart69.xml"/><Relationship Id="rId32" Type="http://schemas.openxmlformats.org/officeDocument/2006/relationships/chart" Target="../charts/chart90.xml"/><Relationship Id="rId37" Type="http://schemas.openxmlformats.org/officeDocument/2006/relationships/chart" Target="../charts/chart95.xml"/><Relationship Id="rId53" Type="http://schemas.openxmlformats.org/officeDocument/2006/relationships/chart" Target="../charts/chart111.xml"/><Relationship Id="rId58" Type="http://schemas.openxmlformats.org/officeDocument/2006/relationships/chart" Target="../charts/chart116.xml"/><Relationship Id="rId74" Type="http://schemas.openxmlformats.org/officeDocument/2006/relationships/chart" Target="../charts/chart132.xml"/><Relationship Id="rId79" Type="http://schemas.openxmlformats.org/officeDocument/2006/relationships/chart" Target="../charts/chart137.xml"/><Relationship Id="rId5" Type="http://schemas.openxmlformats.org/officeDocument/2006/relationships/chart" Target="../charts/chart63.xml"/><Relationship Id="rId19" Type="http://schemas.openxmlformats.org/officeDocument/2006/relationships/chart" Target="../charts/chart77.xml"/><Relationship Id="rId14" Type="http://schemas.openxmlformats.org/officeDocument/2006/relationships/chart" Target="../charts/chart72.xml"/><Relationship Id="rId22" Type="http://schemas.openxmlformats.org/officeDocument/2006/relationships/chart" Target="../charts/chart80.xml"/><Relationship Id="rId27" Type="http://schemas.openxmlformats.org/officeDocument/2006/relationships/chart" Target="../charts/chart85.xml"/><Relationship Id="rId30" Type="http://schemas.openxmlformats.org/officeDocument/2006/relationships/chart" Target="../charts/chart88.xml"/><Relationship Id="rId35" Type="http://schemas.openxmlformats.org/officeDocument/2006/relationships/chart" Target="../charts/chart93.xml"/><Relationship Id="rId43" Type="http://schemas.openxmlformats.org/officeDocument/2006/relationships/chart" Target="../charts/chart101.xml"/><Relationship Id="rId48" Type="http://schemas.openxmlformats.org/officeDocument/2006/relationships/chart" Target="../charts/chart106.xml"/><Relationship Id="rId56" Type="http://schemas.openxmlformats.org/officeDocument/2006/relationships/chart" Target="../charts/chart114.xml"/><Relationship Id="rId64" Type="http://schemas.openxmlformats.org/officeDocument/2006/relationships/chart" Target="../charts/chart122.xml"/><Relationship Id="rId69" Type="http://schemas.openxmlformats.org/officeDocument/2006/relationships/chart" Target="../charts/chart127.xml"/><Relationship Id="rId77" Type="http://schemas.openxmlformats.org/officeDocument/2006/relationships/chart" Target="../charts/chart135.xml"/><Relationship Id="rId8" Type="http://schemas.openxmlformats.org/officeDocument/2006/relationships/chart" Target="../charts/chart66.xml"/><Relationship Id="rId51" Type="http://schemas.openxmlformats.org/officeDocument/2006/relationships/chart" Target="../charts/chart109.xml"/><Relationship Id="rId72" Type="http://schemas.openxmlformats.org/officeDocument/2006/relationships/chart" Target="../charts/chart130.xml"/><Relationship Id="rId80" Type="http://schemas.openxmlformats.org/officeDocument/2006/relationships/chart" Target="../charts/chart138.xml"/><Relationship Id="rId85" Type="http://schemas.openxmlformats.org/officeDocument/2006/relationships/chart" Target="../charts/chart143.xml"/><Relationship Id="rId3" Type="http://schemas.openxmlformats.org/officeDocument/2006/relationships/chart" Target="../charts/chart61.xml"/><Relationship Id="rId12" Type="http://schemas.openxmlformats.org/officeDocument/2006/relationships/chart" Target="../charts/chart70.xml"/><Relationship Id="rId17" Type="http://schemas.openxmlformats.org/officeDocument/2006/relationships/chart" Target="../charts/chart75.xml"/><Relationship Id="rId25" Type="http://schemas.openxmlformats.org/officeDocument/2006/relationships/chart" Target="../charts/chart83.xml"/><Relationship Id="rId33" Type="http://schemas.openxmlformats.org/officeDocument/2006/relationships/chart" Target="../charts/chart91.xml"/><Relationship Id="rId38" Type="http://schemas.openxmlformats.org/officeDocument/2006/relationships/chart" Target="../charts/chart96.xml"/><Relationship Id="rId46" Type="http://schemas.openxmlformats.org/officeDocument/2006/relationships/chart" Target="../charts/chart104.xml"/><Relationship Id="rId59" Type="http://schemas.openxmlformats.org/officeDocument/2006/relationships/chart" Target="../charts/chart117.xml"/><Relationship Id="rId67" Type="http://schemas.openxmlformats.org/officeDocument/2006/relationships/chart" Target="../charts/chart125.xml"/><Relationship Id="rId20" Type="http://schemas.openxmlformats.org/officeDocument/2006/relationships/chart" Target="../charts/chart78.xml"/><Relationship Id="rId41" Type="http://schemas.openxmlformats.org/officeDocument/2006/relationships/chart" Target="../charts/chart99.xml"/><Relationship Id="rId54" Type="http://schemas.openxmlformats.org/officeDocument/2006/relationships/chart" Target="../charts/chart112.xml"/><Relationship Id="rId62" Type="http://schemas.openxmlformats.org/officeDocument/2006/relationships/chart" Target="../charts/chart120.xml"/><Relationship Id="rId70" Type="http://schemas.openxmlformats.org/officeDocument/2006/relationships/chart" Target="../charts/chart128.xml"/><Relationship Id="rId75" Type="http://schemas.openxmlformats.org/officeDocument/2006/relationships/chart" Target="../charts/chart133.xml"/><Relationship Id="rId83" Type="http://schemas.openxmlformats.org/officeDocument/2006/relationships/chart" Target="../charts/chart141.xml"/><Relationship Id="rId88" Type="http://schemas.openxmlformats.org/officeDocument/2006/relationships/chart" Target="../charts/chart146.xml"/><Relationship Id="rId1" Type="http://schemas.openxmlformats.org/officeDocument/2006/relationships/chart" Target="../charts/chart59.xml"/><Relationship Id="rId6" Type="http://schemas.openxmlformats.org/officeDocument/2006/relationships/chart" Target="../charts/chart64.xml"/><Relationship Id="rId15" Type="http://schemas.openxmlformats.org/officeDocument/2006/relationships/chart" Target="../charts/chart73.xml"/><Relationship Id="rId23" Type="http://schemas.openxmlformats.org/officeDocument/2006/relationships/chart" Target="../charts/chart81.xml"/><Relationship Id="rId28" Type="http://schemas.openxmlformats.org/officeDocument/2006/relationships/chart" Target="../charts/chart86.xml"/><Relationship Id="rId36" Type="http://schemas.openxmlformats.org/officeDocument/2006/relationships/chart" Target="../charts/chart94.xml"/><Relationship Id="rId49" Type="http://schemas.openxmlformats.org/officeDocument/2006/relationships/chart" Target="../charts/chart107.xml"/><Relationship Id="rId57" Type="http://schemas.openxmlformats.org/officeDocument/2006/relationships/chart" Target="../charts/chart115.xml"/><Relationship Id="rId10" Type="http://schemas.openxmlformats.org/officeDocument/2006/relationships/chart" Target="../charts/chart68.xml"/><Relationship Id="rId31" Type="http://schemas.openxmlformats.org/officeDocument/2006/relationships/chart" Target="../charts/chart89.xml"/><Relationship Id="rId44" Type="http://schemas.openxmlformats.org/officeDocument/2006/relationships/chart" Target="../charts/chart102.xml"/><Relationship Id="rId52" Type="http://schemas.openxmlformats.org/officeDocument/2006/relationships/chart" Target="../charts/chart110.xml"/><Relationship Id="rId60" Type="http://schemas.openxmlformats.org/officeDocument/2006/relationships/chart" Target="../charts/chart118.xml"/><Relationship Id="rId65" Type="http://schemas.openxmlformats.org/officeDocument/2006/relationships/chart" Target="../charts/chart123.xml"/><Relationship Id="rId73" Type="http://schemas.openxmlformats.org/officeDocument/2006/relationships/chart" Target="../charts/chart131.xml"/><Relationship Id="rId78" Type="http://schemas.openxmlformats.org/officeDocument/2006/relationships/chart" Target="../charts/chart136.xml"/><Relationship Id="rId81" Type="http://schemas.openxmlformats.org/officeDocument/2006/relationships/chart" Target="../charts/chart139.xml"/><Relationship Id="rId86" Type="http://schemas.openxmlformats.org/officeDocument/2006/relationships/chart" Target="../charts/chart144.xml"/><Relationship Id="rId4" Type="http://schemas.openxmlformats.org/officeDocument/2006/relationships/chart" Target="../charts/chart62.xml"/><Relationship Id="rId9" Type="http://schemas.openxmlformats.org/officeDocument/2006/relationships/chart" Target="../charts/chart67.xml"/><Relationship Id="rId13" Type="http://schemas.openxmlformats.org/officeDocument/2006/relationships/chart" Target="../charts/chart71.xml"/><Relationship Id="rId18" Type="http://schemas.openxmlformats.org/officeDocument/2006/relationships/chart" Target="../charts/chart76.xml"/><Relationship Id="rId39" Type="http://schemas.openxmlformats.org/officeDocument/2006/relationships/chart" Target="../charts/chart97.xml"/><Relationship Id="rId34" Type="http://schemas.openxmlformats.org/officeDocument/2006/relationships/chart" Target="../charts/chart92.xml"/><Relationship Id="rId50" Type="http://schemas.openxmlformats.org/officeDocument/2006/relationships/chart" Target="../charts/chart108.xml"/><Relationship Id="rId55" Type="http://schemas.openxmlformats.org/officeDocument/2006/relationships/chart" Target="../charts/chart113.xml"/><Relationship Id="rId76" Type="http://schemas.openxmlformats.org/officeDocument/2006/relationships/chart" Target="../charts/chart134.xml"/><Relationship Id="rId7" Type="http://schemas.openxmlformats.org/officeDocument/2006/relationships/chart" Target="../charts/chart65.xml"/><Relationship Id="rId71" Type="http://schemas.openxmlformats.org/officeDocument/2006/relationships/chart" Target="../charts/chart129.xml"/><Relationship Id="rId2" Type="http://schemas.openxmlformats.org/officeDocument/2006/relationships/chart" Target="../charts/chart60.xml"/><Relationship Id="rId29" Type="http://schemas.openxmlformats.org/officeDocument/2006/relationships/chart" Target="../charts/chart87.xml"/><Relationship Id="rId24" Type="http://schemas.openxmlformats.org/officeDocument/2006/relationships/chart" Target="../charts/chart82.xml"/><Relationship Id="rId40" Type="http://schemas.openxmlformats.org/officeDocument/2006/relationships/chart" Target="../charts/chart98.xml"/><Relationship Id="rId45" Type="http://schemas.openxmlformats.org/officeDocument/2006/relationships/chart" Target="../charts/chart103.xml"/><Relationship Id="rId66" Type="http://schemas.openxmlformats.org/officeDocument/2006/relationships/chart" Target="../charts/chart124.xml"/><Relationship Id="rId87" Type="http://schemas.openxmlformats.org/officeDocument/2006/relationships/chart" Target="../charts/chart145.xml"/><Relationship Id="rId61" Type="http://schemas.openxmlformats.org/officeDocument/2006/relationships/chart" Target="../charts/chart119.xml"/><Relationship Id="rId82" Type="http://schemas.openxmlformats.org/officeDocument/2006/relationships/chart" Target="../charts/chart1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61070</xdr:colOff>
      <xdr:row>13</xdr:row>
      <xdr:rowOff>149039</xdr:rowOff>
    </xdr:from>
    <xdr:to>
      <xdr:col>24</xdr:col>
      <xdr:colOff>217953</xdr:colOff>
      <xdr:row>25</xdr:row>
      <xdr:rowOff>147917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B7AA4D-BED0-9D57-D359-AEE6A9F9E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296884</xdr:colOff>
      <xdr:row>13</xdr:row>
      <xdr:rowOff>146603</xdr:rowOff>
    </xdr:from>
    <xdr:to>
      <xdr:col>28</xdr:col>
      <xdr:colOff>335859</xdr:colOff>
      <xdr:row>25</xdr:row>
      <xdr:rowOff>138320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A238D9-3A35-4F7E-9840-0705A3DDF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387627</xdr:colOff>
      <xdr:row>13</xdr:row>
      <xdr:rowOff>149087</xdr:rowOff>
    </xdr:from>
    <xdr:to>
      <xdr:col>32</xdr:col>
      <xdr:colOff>426602</xdr:colOff>
      <xdr:row>25</xdr:row>
      <xdr:rowOff>140804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6BB611F-E2FA-48C6-A183-9A3538871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23</xdr:row>
      <xdr:rowOff>156210</xdr:rowOff>
    </xdr:from>
    <xdr:to>
      <xdr:col>4</xdr:col>
      <xdr:colOff>45720</xdr:colOff>
      <xdr:row>37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E12F54-842E-EF26-944B-4B77362E3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137160</xdr:colOff>
      <xdr:row>23</xdr:row>
      <xdr:rowOff>175260</xdr:rowOff>
    </xdr:from>
    <xdr:to>
      <xdr:col>8</xdr:col>
      <xdr:colOff>30480</xdr:colOff>
      <xdr:row>38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04AAA3-2378-4168-B3EF-25EC477C1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129540</xdr:colOff>
      <xdr:row>23</xdr:row>
      <xdr:rowOff>175260</xdr:rowOff>
    </xdr:from>
    <xdr:to>
      <xdr:col>13</xdr:col>
      <xdr:colOff>152400</xdr:colOff>
      <xdr:row>38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DC9181-5B24-470C-8BFB-A77E52D80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270734</xdr:colOff>
      <xdr:row>38</xdr:row>
      <xdr:rowOff>53340</xdr:rowOff>
    </xdr:from>
    <xdr:to>
      <xdr:col>4</xdr:col>
      <xdr:colOff>118334</xdr:colOff>
      <xdr:row>52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171632-65DB-447A-8A32-D5C3EEA4F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137160</xdr:colOff>
      <xdr:row>38</xdr:row>
      <xdr:rowOff>45720</xdr:rowOff>
    </xdr:from>
    <xdr:to>
      <xdr:col>8</xdr:col>
      <xdr:colOff>30480</xdr:colOff>
      <xdr:row>52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E96E72-9F15-4FFC-850F-CBEC6BA62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182880</xdr:colOff>
      <xdr:row>38</xdr:row>
      <xdr:rowOff>53340</xdr:rowOff>
    </xdr:from>
    <xdr:to>
      <xdr:col>13</xdr:col>
      <xdr:colOff>205740</xdr:colOff>
      <xdr:row>52</xdr:row>
      <xdr:rowOff>64770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1845B7-E4E4-49B3-B2AE-9CE31D0DF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179294</xdr:colOff>
      <xdr:row>52</xdr:row>
      <xdr:rowOff>161364</xdr:rowOff>
    </xdr:from>
    <xdr:to>
      <xdr:col>4</xdr:col>
      <xdr:colOff>22860</xdr:colOff>
      <xdr:row>66</xdr:row>
      <xdr:rowOff>172794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E4F3F8-6C68-4AFF-B12B-A5579477A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143435</xdr:colOff>
      <xdr:row>53</xdr:row>
      <xdr:rowOff>17929</xdr:rowOff>
    </xdr:from>
    <xdr:to>
      <xdr:col>8</xdr:col>
      <xdr:colOff>40789</xdr:colOff>
      <xdr:row>67</xdr:row>
      <xdr:rowOff>29359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4FA16C-A787-4881-861F-26E6CE3C2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161365</xdr:colOff>
      <xdr:row>53</xdr:row>
      <xdr:rowOff>26895</xdr:rowOff>
    </xdr:from>
    <xdr:to>
      <xdr:col>13</xdr:col>
      <xdr:colOff>184225</xdr:colOff>
      <xdr:row>67</xdr:row>
      <xdr:rowOff>38325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2C539D5-F45E-41F2-A080-D27CE4D76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30154</xdr:colOff>
      <xdr:row>38</xdr:row>
      <xdr:rowOff>110836</xdr:rowOff>
    </xdr:from>
    <xdr:to>
      <xdr:col>19</xdr:col>
      <xdr:colOff>57048</xdr:colOff>
      <xdr:row>52</xdr:row>
      <xdr:rowOff>122266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D0D5BE-3C4B-425C-90F5-981D1204E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200484</xdr:colOff>
      <xdr:row>38</xdr:row>
      <xdr:rowOff>110836</xdr:rowOff>
    </xdr:from>
    <xdr:to>
      <xdr:col>24</xdr:col>
      <xdr:colOff>227378</xdr:colOff>
      <xdr:row>52</xdr:row>
      <xdr:rowOff>122266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4BE2079-652B-4F91-979C-AE9883268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299096</xdr:colOff>
      <xdr:row>38</xdr:row>
      <xdr:rowOff>119800</xdr:rowOff>
    </xdr:from>
    <xdr:to>
      <xdr:col>27</xdr:col>
      <xdr:colOff>137730</xdr:colOff>
      <xdr:row>52</xdr:row>
      <xdr:rowOff>131230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6F47B4-1641-41A6-AB09-41B0EB345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12224</xdr:colOff>
      <xdr:row>53</xdr:row>
      <xdr:rowOff>21189</xdr:rowOff>
    </xdr:from>
    <xdr:to>
      <xdr:col>19</xdr:col>
      <xdr:colOff>39118</xdr:colOff>
      <xdr:row>67</xdr:row>
      <xdr:rowOff>32620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1523273-9254-4417-A708-41BBFBB89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164625</xdr:colOff>
      <xdr:row>53</xdr:row>
      <xdr:rowOff>30152</xdr:rowOff>
    </xdr:from>
    <xdr:to>
      <xdr:col>24</xdr:col>
      <xdr:colOff>191519</xdr:colOff>
      <xdr:row>67</xdr:row>
      <xdr:rowOff>41583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69AEE9B-5B4C-4A1C-9538-99805345C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343920</xdr:colOff>
      <xdr:row>53</xdr:row>
      <xdr:rowOff>48083</xdr:rowOff>
    </xdr:from>
    <xdr:to>
      <xdr:col>27</xdr:col>
      <xdr:colOff>182554</xdr:colOff>
      <xdr:row>67</xdr:row>
      <xdr:rowOff>59514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7219C6F-924E-4CDA-A182-2B92BC5DA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27709</xdr:colOff>
      <xdr:row>23</xdr:row>
      <xdr:rowOff>124691</xdr:rowOff>
    </xdr:from>
    <xdr:to>
      <xdr:col>19</xdr:col>
      <xdr:colOff>55418</xdr:colOff>
      <xdr:row>37</xdr:row>
      <xdr:rowOff>136121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663C2EF-ED15-4F57-B5E2-7CB0F57E8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152400</xdr:colOff>
      <xdr:row>23</xdr:row>
      <xdr:rowOff>108857</xdr:rowOff>
    </xdr:from>
    <xdr:to>
      <xdr:col>24</xdr:col>
      <xdr:colOff>180109</xdr:colOff>
      <xdr:row>37</xdr:row>
      <xdr:rowOff>120287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36E0EE8-2E82-4DF8-B509-65ED3CEE4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283030</xdr:colOff>
      <xdr:row>23</xdr:row>
      <xdr:rowOff>97972</xdr:rowOff>
    </xdr:from>
    <xdr:to>
      <xdr:col>27</xdr:col>
      <xdr:colOff>97973</xdr:colOff>
      <xdr:row>37</xdr:row>
      <xdr:rowOff>109402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28888A6-39CD-40D4-8E04-AEBBD5F87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27</xdr:col>
      <xdr:colOff>489858</xdr:colOff>
      <xdr:row>38</xdr:row>
      <xdr:rowOff>108857</xdr:rowOff>
    </xdr:from>
    <xdr:to>
      <xdr:col>31</xdr:col>
      <xdr:colOff>527637</xdr:colOff>
      <xdr:row>52</xdr:row>
      <xdr:rowOff>120287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5E06319-2CAA-4596-96A7-4E2E13B8D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32</xdr:col>
      <xdr:colOff>10885</xdr:colOff>
      <xdr:row>38</xdr:row>
      <xdr:rowOff>97972</xdr:rowOff>
    </xdr:from>
    <xdr:to>
      <xdr:col>35</xdr:col>
      <xdr:colOff>405038</xdr:colOff>
      <xdr:row>52</xdr:row>
      <xdr:rowOff>109402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934E58C-6D96-4E02-9FE9-7E8B0F5CF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35</xdr:col>
      <xdr:colOff>544285</xdr:colOff>
      <xdr:row>38</xdr:row>
      <xdr:rowOff>87086</xdr:rowOff>
    </xdr:from>
    <xdr:to>
      <xdr:col>39</xdr:col>
      <xdr:colOff>130629</xdr:colOff>
      <xdr:row>52</xdr:row>
      <xdr:rowOff>98516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AFACF81-F117-4E0D-BB6C-557A1BCB0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27</xdr:col>
      <xdr:colOff>468086</xdr:colOff>
      <xdr:row>53</xdr:row>
      <xdr:rowOff>-1</xdr:rowOff>
    </xdr:from>
    <xdr:to>
      <xdr:col>31</xdr:col>
      <xdr:colOff>505865</xdr:colOff>
      <xdr:row>67</xdr:row>
      <xdr:rowOff>11429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BBF4E2F-E10D-414C-9FA7-ACF84ADF2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555172</xdr:colOff>
      <xdr:row>52</xdr:row>
      <xdr:rowOff>130629</xdr:rowOff>
    </xdr:from>
    <xdr:to>
      <xdr:col>35</xdr:col>
      <xdr:colOff>435428</xdr:colOff>
      <xdr:row>66</xdr:row>
      <xdr:rowOff>142059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87C153C-20DF-48A3-8A95-8C020B51B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35</xdr:col>
      <xdr:colOff>511627</xdr:colOff>
      <xdr:row>52</xdr:row>
      <xdr:rowOff>174173</xdr:rowOff>
    </xdr:from>
    <xdr:to>
      <xdr:col>39</xdr:col>
      <xdr:colOff>97971</xdr:colOff>
      <xdr:row>67</xdr:row>
      <xdr:rowOff>545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81C30A8-137C-4778-88D5-F48C4F908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14</xdr:col>
      <xdr:colOff>60366</xdr:colOff>
      <xdr:row>23</xdr:row>
      <xdr:rowOff>135577</xdr:rowOff>
    </xdr:from>
    <xdr:to>
      <xdr:col>19</xdr:col>
      <xdr:colOff>88075</xdr:colOff>
      <xdr:row>37</xdr:row>
      <xdr:rowOff>147007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5602EC0-7454-282B-11EC-EDACE2A84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19</xdr:col>
      <xdr:colOff>185057</xdr:colOff>
      <xdr:row>23</xdr:row>
      <xdr:rowOff>119743</xdr:rowOff>
    </xdr:from>
    <xdr:to>
      <xdr:col>24</xdr:col>
      <xdr:colOff>212766</xdr:colOff>
      <xdr:row>37</xdr:row>
      <xdr:rowOff>131173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DE58B64-FF7B-D759-9984-E90B94496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35</xdr:col>
      <xdr:colOff>777836</xdr:colOff>
      <xdr:row>23</xdr:row>
      <xdr:rowOff>87086</xdr:rowOff>
    </xdr:from>
    <xdr:to>
      <xdr:col>39</xdr:col>
      <xdr:colOff>141515</xdr:colOff>
      <xdr:row>37</xdr:row>
      <xdr:rowOff>98516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C59D53C-5826-4C5F-B355-5722A1BED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27</xdr:col>
      <xdr:colOff>489858</xdr:colOff>
      <xdr:row>23</xdr:row>
      <xdr:rowOff>124691</xdr:rowOff>
    </xdr:from>
    <xdr:to>
      <xdr:col>31</xdr:col>
      <xdr:colOff>528452</xdr:colOff>
      <xdr:row>37</xdr:row>
      <xdr:rowOff>136121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853300DD-952C-409B-AF41-E0FCAB1AB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15834</xdr:colOff>
      <xdr:row>23</xdr:row>
      <xdr:rowOff>108857</xdr:rowOff>
    </xdr:from>
    <xdr:to>
      <xdr:col>35</xdr:col>
      <xdr:colOff>707572</xdr:colOff>
      <xdr:row>37</xdr:row>
      <xdr:rowOff>120287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69B0290-B576-4BDC-8B7A-AC3496FDC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27</xdr:col>
      <xdr:colOff>566059</xdr:colOff>
      <xdr:row>38</xdr:row>
      <xdr:rowOff>141514</xdr:rowOff>
    </xdr:from>
    <xdr:to>
      <xdr:col>31</xdr:col>
      <xdr:colOff>435428</xdr:colOff>
      <xdr:row>52</xdr:row>
      <xdr:rowOff>152944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4CB5930-32E0-729F-C9E7-921D16625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32</xdr:col>
      <xdr:colOff>43543</xdr:colOff>
      <xdr:row>38</xdr:row>
      <xdr:rowOff>97972</xdr:rowOff>
    </xdr:from>
    <xdr:to>
      <xdr:col>35</xdr:col>
      <xdr:colOff>437696</xdr:colOff>
      <xdr:row>52</xdr:row>
      <xdr:rowOff>109402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3A2A6BA-CB15-B323-C6E4-4C97F191E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39</xdr:col>
      <xdr:colOff>555170</xdr:colOff>
      <xdr:row>38</xdr:row>
      <xdr:rowOff>97972</xdr:rowOff>
    </xdr:from>
    <xdr:to>
      <xdr:col>44</xdr:col>
      <xdr:colOff>87086</xdr:colOff>
      <xdr:row>52</xdr:row>
      <xdr:rowOff>109402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E2332F8-03E8-4992-8175-2C2016A94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44</xdr:col>
      <xdr:colOff>119742</xdr:colOff>
      <xdr:row>38</xdr:row>
      <xdr:rowOff>87085</xdr:rowOff>
    </xdr:from>
    <xdr:to>
      <xdr:col>47</xdr:col>
      <xdr:colOff>76200</xdr:colOff>
      <xdr:row>52</xdr:row>
      <xdr:rowOff>98515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DEE3052-068B-4009-BFC5-A6D18A61F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47</xdr:col>
      <xdr:colOff>206828</xdr:colOff>
      <xdr:row>38</xdr:row>
      <xdr:rowOff>108857</xdr:rowOff>
    </xdr:from>
    <xdr:to>
      <xdr:col>52</xdr:col>
      <xdr:colOff>65312</xdr:colOff>
      <xdr:row>52</xdr:row>
      <xdr:rowOff>120287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3022863-8246-4D3F-8E30-4F8DDF59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39</xdr:col>
      <xdr:colOff>533399</xdr:colOff>
      <xdr:row>53</xdr:row>
      <xdr:rowOff>0</xdr:rowOff>
    </xdr:from>
    <xdr:to>
      <xdr:col>44</xdr:col>
      <xdr:colOff>65315</xdr:colOff>
      <xdr:row>67</xdr:row>
      <xdr:rowOff>11430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C0D94379-44AE-474F-8173-A0FF030E9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44</xdr:col>
      <xdr:colOff>141514</xdr:colOff>
      <xdr:row>53</xdr:row>
      <xdr:rowOff>65313</xdr:rowOff>
    </xdr:from>
    <xdr:to>
      <xdr:col>47</xdr:col>
      <xdr:colOff>97972</xdr:colOff>
      <xdr:row>67</xdr:row>
      <xdr:rowOff>76743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47398B51-C732-42A2-91DB-0938EF00B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47</xdr:col>
      <xdr:colOff>283028</xdr:colOff>
      <xdr:row>53</xdr:row>
      <xdr:rowOff>43541</xdr:rowOff>
    </xdr:from>
    <xdr:to>
      <xdr:col>52</xdr:col>
      <xdr:colOff>141512</xdr:colOff>
      <xdr:row>67</xdr:row>
      <xdr:rowOff>54971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23D5905-2C00-443F-AE5A-D157B25B2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47</xdr:col>
      <xdr:colOff>298864</xdr:colOff>
      <xdr:row>23</xdr:row>
      <xdr:rowOff>65315</xdr:rowOff>
    </xdr:from>
    <xdr:to>
      <xdr:col>52</xdr:col>
      <xdr:colOff>0</xdr:colOff>
      <xdr:row>37</xdr:row>
      <xdr:rowOff>76745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7A49CD4C-89CB-49C7-BC39-BF6ED0691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39</xdr:col>
      <xdr:colOff>500743</xdr:colOff>
      <xdr:row>23</xdr:row>
      <xdr:rowOff>102920</xdr:rowOff>
    </xdr:from>
    <xdr:to>
      <xdr:col>44</xdr:col>
      <xdr:colOff>71252</xdr:colOff>
      <xdr:row>37</xdr:row>
      <xdr:rowOff>114350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E73737D3-D367-4513-8B53-435D7E9D8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44</xdr:col>
      <xdr:colOff>168234</xdr:colOff>
      <xdr:row>23</xdr:row>
      <xdr:rowOff>87086</xdr:rowOff>
    </xdr:from>
    <xdr:to>
      <xdr:col>47</xdr:col>
      <xdr:colOff>228600</xdr:colOff>
      <xdr:row>37</xdr:row>
      <xdr:rowOff>98516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40517A88-8DB0-4DBF-9FE8-9E76900A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52</xdr:col>
      <xdr:colOff>239486</xdr:colOff>
      <xdr:row>23</xdr:row>
      <xdr:rowOff>87087</xdr:rowOff>
    </xdr:from>
    <xdr:to>
      <xdr:col>55</xdr:col>
      <xdr:colOff>533398</xdr:colOff>
      <xdr:row>37</xdr:row>
      <xdr:rowOff>98517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36BAC01-7C0D-4EC1-B782-8785655513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55</xdr:col>
      <xdr:colOff>609600</xdr:colOff>
      <xdr:row>23</xdr:row>
      <xdr:rowOff>97972</xdr:rowOff>
    </xdr:from>
    <xdr:to>
      <xdr:col>59</xdr:col>
      <xdr:colOff>217713</xdr:colOff>
      <xdr:row>37</xdr:row>
      <xdr:rowOff>109402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99641584-D13B-4A0C-9189-A43049023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59</xdr:col>
      <xdr:colOff>337457</xdr:colOff>
      <xdr:row>23</xdr:row>
      <xdr:rowOff>141515</xdr:rowOff>
    </xdr:from>
    <xdr:to>
      <xdr:col>64</xdr:col>
      <xdr:colOff>195941</xdr:colOff>
      <xdr:row>37</xdr:row>
      <xdr:rowOff>152945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5FD475E9-9980-4407-9596-7C8886837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52</xdr:col>
      <xdr:colOff>233083</xdr:colOff>
      <xdr:row>38</xdr:row>
      <xdr:rowOff>98612</xdr:rowOff>
    </xdr:from>
    <xdr:to>
      <xdr:col>55</xdr:col>
      <xdr:colOff>530837</xdr:colOff>
      <xdr:row>52</xdr:row>
      <xdr:rowOff>110041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BCD78710-6C80-4856-80AB-D2F9876BB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55</xdr:col>
      <xdr:colOff>645458</xdr:colOff>
      <xdr:row>38</xdr:row>
      <xdr:rowOff>71718</xdr:rowOff>
    </xdr:from>
    <xdr:to>
      <xdr:col>59</xdr:col>
      <xdr:colOff>261895</xdr:colOff>
      <xdr:row>52</xdr:row>
      <xdr:rowOff>83147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202B030-A520-4FC6-B522-EB28B07A9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59</xdr:col>
      <xdr:colOff>340659</xdr:colOff>
      <xdr:row>38</xdr:row>
      <xdr:rowOff>80683</xdr:rowOff>
    </xdr:from>
    <xdr:to>
      <xdr:col>64</xdr:col>
      <xdr:colOff>199143</xdr:colOff>
      <xdr:row>52</xdr:row>
      <xdr:rowOff>92112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F58B7479-A9F0-41EE-AA25-F70FE94D2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0</xdr:col>
      <xdr:colOff>206188</xdr:colOff>
      <xdr:row>52</xdr:row>
      <xdr:rowOff>161364</xdr:rowOff>
    </xdr:from>
    <xdr:to>
      <xdr:col>4</xdr:col>
      <xdr:colOff>49754</xdr:colOff>
      <xdr:row>66</xdr:row>
      <xdr:rowOff>172794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88961E-EAEE-4CBA-FAC5-AF5DEF146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180975</xdr:colOff>
      <xdr:row>25</xdr:row>
      <xdr:rowOff>95250</xdr:rowOff>
    </xdr:from>
    <xdr:to>
      <xdr:col>19</xdr:col>
      <xdr:colOff>219075</xdr:colOff>
      <xdr:row>40</xdr:row>
      <xdr:rowOff>9526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408D55-643D-7DFD-3250-199073F33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314325</xdr:colOff>
      <xdr:row>25</xdr:row>
      <xdr:rowOff>123826</xdr:rowOff>
    </xdr:from>
    <xdr:to>
      <xdr:col>24</xdr:col>
      <xdr:colOff>476250</xdr:colOff>
      <xdr:row>40</xdr:row>
      <xdr:rowOff>38102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0EB16E-A7A9-4A1D-87F6-63F22479F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552450</xdr:colOff>
      <xdr:row>25</xdr:row>
      <xdr:rowOff>142875</xdr:rowOff>
    </xdr:from>
    <xdr:to>
      <xdr:col>30</xdr:col>
      <xdr:colOff>104775</xdr:colOff>
      <xdr:row>40</xdr:row>
      <xdr:rowOff>57151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ADF5D6-A90C-4624-A3FC-71D9FA238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180975</xdr:colOff>
      <xdr:row>25</xdr:row>
      <xdr:rowOff>123825</xdr:rowOff>
    </xdr:from>
    <xdr:to>
      <xdr:col>34</xdr:col>
      <xdr:colOff>171450</xdr:colOff>
      <xdr:row>40</xdr:row>
      <xdr:rowOff>38101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B5AEBA-D4A6-435E-A92F-8538DBD35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247650</xdr:colOff>
      <xdr:row>41</xdr:row>
      <xdr:rowOff>9525</xdr:rowOff>
    </xdr:from>
    <xdr:to>
      <xdr:col>19</xdr:col>
      <xdr:colOff>285750</xdr:colOff>
      <xdr:row>57</xdr:row>
      <xdr:rowOff>114301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ADDAC1B-E4AB-40CA-A02A-E0CDC179E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381000</xdr:colOff>
      <xdr:row>41</xdr:row>
      <xdr:rowOff>38101</xdr:rowOff>
    </xdr:from>
    <xdr:to>
      <xdr:col>24</xdr:col>
      <xdr:colOff>542925</xdr:colOff>
      <xdr:row>57</xdr:row>
      <xdr:rowOff>142877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EB17C26-35E6-42F3-B5C9-470540069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9525</xdr:colOff>
      <xdr:row>41</xdr:row>
      <xdr:rowOff>57150</xdr:rowOff>
    </xdr:from>
    <xdr:to>
      <xdr:col>30</xdr:col>
      <xdr:colOff>171450</xdr:colOff>
      <xdr:row>57</xdr:row>
      <xdr:rowOff>161926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DBC6944-7821-413A-A180-0C8678F0B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247650</xdr:colOff>
      <xdr:row>41</xdr:row>
      <xdr:rowOff>38100</xdr:rowOff>
    </xdr:from>
    <xdr:to>
      <xdr:col>34</xdr:col>
      <xdr:colOff>238125</xdr:colOff>
      <xdr:row>57</xdr:row>
      <xdr:rowOff>142876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6867BB3-99A3-4514-A3D0-B6B79F3CF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752061</xdr:colOff>
      <xdr:row>47</xdr:row>
      <xdr:rowOff>135835</xdr:rowOff>
    </xdr:from>
    <xdr:to>
      <xdr:col>5</xdr:col>
      <xdr:colOff>95250</xdr:colOff>
      <xdr:row>58</xdr:row>
      <xdr:rowOff>39283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4C65D-0C9E-474C-AF01-DFDCBA30C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274985</xdr:colOff>
      <xdr:row>25</xdr:row>
      <xdr:rowOff>144322</xdr:rowOff>
    </xdr:from>
    <xdr:to>
      <xdr:col>4</xdr:col>
      <xdr:colOff>339588</xdr:colOff>
      <xdr:row>41</xdr:row>
      <xdr:rowOff>127137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567D33-46DD-B248-80E9-7E624FAC0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66265</xdr:colOff>
      <xdr:row>47</xdr:row>
      <xdr:rowOff>107675</xdr:rowOff>
    </xdr:from>
    <xdr:to>
      <xdr:col>2</xdr:col>
      <xdr:colOff>657226</xdr:colOff>
      <xdr:row>58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679F5B-0A51-4FF8-8D60-72BCCB5E9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131281</xdr:colOff>
      <xdr:row>58</xdr:row>
      <xdr:rowOff>128795</xdr:rowOff>
    </xdr:from>
    <xdr:to>
      <xdr:col>3</xdr:col>
      <xdr:colOff>571501</xdr:colOff>
      <xdr:row>69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B65CE5-9526-43D6-ABD1-C44A7C402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345682</xdr:colOff>
      <xdr:row>47</xdr:row>
      <xdr:rowOff>152399</xdr:rowOff>
    </xdr:from>
    <xdr:to>
      <xdr:col>8</xdr:col>
      <xdr:colOff>19471</xdr:colOff>
      <xdr:row>58</xdr:row>
      <xdr:rowOff>127552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C64D8-E0C0-4279-AB72-44432ED8F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64131</xdr:colOff>
      <xdr:row>47</xdr:row>
      <xdr:rowOff>176362</xdr:rowOff>
    </xdr:from>
    <xdr:to>
      <xdr:col>10</xdr:col>
      <xdr:colOff>190501</xdr:colOff>
      <xdr:row>58</xdr:row>
      <xdr:rowOff>110101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4982CB-C70B-4177-BD99-1DC496FC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356568</xdr:colOff>
      <xdr:row>58</xdr:row>
      <xdr:rowOff>185532</xdr:rowOff>
    </xdr:from>
    <xdr:to>
      <xdr:col>9</xdr:col>
      <xdr:colOff>276226</xdr:colOff>
      <xdr:row>69</xdr:row>
      <xdr:rowOff>119271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50F4C8-B8EC-4990-BFEC-421978A88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660596</xdr:colOff>
      <xdr:row>25</xdr:row>
      <xdr:rowOff>115246</xdr:rowOff>
    </xdr:from>
    <xdr:to>
      <xdr:col>10</xdr:col>
      <xdr:colOff>20410</xdr:colOff>
      <xdr:row>40</xdr:row>
      <xdr:rowOff>125185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BB64E0-EDBC-4B17-810E-FD05C69E9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775920</xdr:colOff>
      <xdr:row>47</xdr:row>
      <xdr:rowOff>136583</xdr:rowOff>
    </xdr:from>
    <xdr:to>
      <xdr:col>13</xdr:col>
      <xdr:colOff>44826</xdr:colOff>
      <xdr:row>58</xdr:row>
      <xdr:rowOff>111736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3319BF-52EF-43D2-8924-6D16394DD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85165</xdr:colOff>
      <xdr:row>47</xdr:row>
      <xdr:rowOff>135591</xdr:rowOff>
    </xdr:from>
    <xdr:to>
      <xdr:col>15</xdr:col>
      <xdr:colOff>359856</xdr:colOff>
      <xdr:row>58</xdr:row>
      <xdr:rowOff>110744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E5AEBEE-6E3D-4399-907E-467572355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666190</xdr:colOff>
      <xdr:row>58</xdr:row>
      <xdr:rowOff>161365</xdr:rowOff>
    </xdr:from>
    <xdr:to>
      <xdr:col>14</xdr:col>
      <xdr:colOff>228600</xdr:colOff>
      <xdr:row>69</xdr:row>
      <xdr:rowOff>136518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1F470B-22AC-49C7-AFD5-F5C204871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300118</xdr:colOff>
      <xdr:row>25</xdr:row>
      <xdr:rowOff>75468</xdr:rowOff>
    </xdr:from>
    <xdr:to>
      <xdr:col>15</xdr:col>
      <xdr:colOff>140804</xdr:colOff>
      <xdr:row>41</xdr:row>
      <xdr:rowOff>58283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1892222-A218-484E-A2A4-938C7BCAD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378619</xdr:colOff>
      <xdr:row>47</xdr:row>
      <xdr:rowOff>181334</xdr:rowOff>
    </xdr:from>
    <xdr:to>
      <xdr:col>18</xdr:col>
      <xdr:colOff>233343</xdr:colOff>
      <xdr:row>58</xdr:row>
      <xdr:rowOff>156487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47A7BB-F638-44E4-8C72-EA3D36215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179871</xdr:colOff>
      <xdr:row>47</xdr:row>
      <xdr:rowOff>178163</xdr:rowOff>
    </xdr:from>
    <xdr:to>
      <xdr:col>21</xdr:col>
      <xdr:colOff>66675</xdr:colOff>
      <xdr:row>58</xdr:row>
      <xdr:rowOff>153316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F102C2-87AA-4436-AC98-CAABFAC09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448148</xdr:colOff>
      <xdr:row>59</xdr:row>
      <xdr:rowOff>34964</xdr:rowOff>
    </xdr:from>
    <xdr:to>
      <xdr:col>19</xdr:col>
      <xdr:colOff>511186</xdr:colOff>
      <xdr:row>70</xdr:row>
      <xdr:rowOff>10117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8580FA6-F121-4BCC-B9EC-A44C38A45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668821</xdr:colOff>
      <xdr:row>25</xdr:row>
      <xdr:rowOff>95250</xdr:rowOff>
    </xdr:from>
    <xdr:to>
      <xdr:col>20</xdr:col>
      <xdr:colOff>247650</xdr:colOff>
      <xdr:row>41</xdr:row>
      <xdr:rowOff>57150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EC3E3EF-B9EC-40C3-967D-6F88E620E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257175</xdr:colOff>
      <xdr:row>47</xdr:row>
      <xdr:rowOff>176833</xdr:rowOff>
    </xdr:from>
    <xdr:to>
      <xdr:col>23</xdr:col>
      <xdr:colOff>705216</xdr:colOff>
      <xdr:row>58</xdr:row>
      <xdr:rowOff>151986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836AD4C-804C-4441-9011-25A9F83C8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725557</xdr:colOff>
      <xdr:row>48</xdr:row>
      <xdr:rowOff>15323</xdr:rowOff>
    </xdr:from>
    <xdr:to>
      <xdr:col>26</xdr:col>
      <xdr:colOff>581026</xdr:colOff>
      <xdr:row>58</xdr:row>
      <xdr:rowOff>180976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80A632E-1A4D-4666-83F3-7B182213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447674</xdr:colOff>
      <xdr:row>59</xdr:row>
      <xdr:rowOff>50938</xdr:rowOff>
    </xdr:from>
    <xdr:to>
      <xdr:col>25</xdr:col>
      <xdr:colOff>76199</xdr:colOff>
      <xdr:row>70</xdr:row>
      <xdr:rowOff>26091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84FFF3D-43CF-44E2-BE84-90253C99D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454715</xdr:colOff>
      <xdr:row>25</xdr:row>
      <xdr:rowOff>125896</xdr:rowOff>
    </xdr:from>
    <xdr:to>
      <xdr:col>25</xdr:col>
      <xdr:colOff>256761</xdr:colOff>
      <xdr:row>41</xdr:row>
      <xdr:rowOff>108711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F7CD427-0B1B-4F9C-AE22-52B179A81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949779</xdr:colOff>
      <xdr:row>47</xdr:row>
      <xdr:rowOff>168728</xdr:rowOff>
    </xdr:from>
    <xdr:to>
      <xdr:col>29</xdr:col>
      <xdr:colOff>68035</xdr:colOff>
      <xdr:row>58</xdr:row>
      <xdr:rowOff>143881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135D72B-C3C8-4BDD-8237-829090942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29</xdr:col>
      <xdr:colOff>84896</xdr:colOff>
      <xdr:row>48</xdr:row>
      <xdr:rowOff>22777</xdr:rowOff>
    </xdr:from>
    <xdr:to>
      <xdr:col>31</xdr:col>
      <xdr:colOff>389282</xdr:colOff>
      <xdr:row>58</xdr:row>
      <xdr:rowOff>188430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C679499-0B14-401B-A504-B15509000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27</xdr:col>
      <xdr:colOff>704850</xdr:colOff>
      <xdr:row>58</xdr:row>
      <xdr:rowOff>188430</xdr:rowOff>
    </xdr:from>
    <xdr:to>
      <xdr:col>30</xdr:col>
      <xdr:colOff>165239</xdr:colOff>
      <xdr:row>69</xdr:row>
      <xdr:rowOff>163583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438959-0346-45B7-B179-1EB802BD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26</xdr:col>
      <xdr:colOff>1046093</xdr:colOff>
      <xdr:row>25</xdr:row>
      <xdr:rowOff>163582</xdr:rowOff>
    </xdr:from>
    <xdr:to>
      <xdr:col>31</xdr:col>
      <xdr:colOff>33130</xdr:colOff>
      <xdr:row>41</xdr:row>
      <xdr:rowOff>146397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0AD29C6-2C56-4909-993B-C325584D9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31</xdr:col>
      <xdr:colOff>781886</xdr:colOff>
      <xdr:row>48</xdr:row>
      <xdr:rowOff>9998</xdr:rowOff>
    </xdr:from>
    <xdr:to>
      <xdr:col>34</xdr:col>
      <xdr:colOff>590527</xdr:colOff>
      <xdr:row>58</xdr:row>
      <xdr:rowOff>175651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EF839A9-87F1-498A-889E-8EFE3EB36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35</xdr:col>
      <xdr:colOff>30878</xdr:colOff>
      <xdr:row>48</xdr:row>
      <xdr:rowOff>8755</xdr:rowOff>
    </xdr:from>
    <xdr:to>
      <xdr:col>37</xdr:col>
      <xdr:colOff>657329</xdr:colOff>
      <xdr:row>58</xdr:row>
      <xdr:rowOff>174408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C70BDB8-D0C3-409F-A04F-1AC55A08F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32</xdr:col>
      <xdr:colOff>595954</xdr:colOff>
      <xdr:row>59</xdr:row>
      <xdr:rowOff>11781</xdr:rowOff>
    </xdr:from>
    <xdr:to>
      <xdr:col>36</xdr:col>
      <xdr:colOff>454882</xdr:colOff>
      <xdr:row>69</xdr:row>
      <xdr:rowOff>177434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1888C49-6687-410B-BA9B-5153E1D14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32</xdr:col>
      <xdr:colOff>211907</xdr:colOff>
      <xdr:row>25</xdr:row>
      <xdr:rowOff>158135</xdr:rowOff>
    </xdr:from>
    <xdr:to>
      <xdr:col>37</xdr:col>
      <xdr:colOff>244719</xdr:colOff>
      <xdr:row>41</xdr:row>
      <xdr:rowOff>140950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916C93B-7B2F-441E-827C-4214460BB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38</xdr:col>
      <xdr:colOff>171450</xdr:colOff>
      <xdr:row>48</xdr:row>
      <xdr:rowOff>9525</xdr:rowOff>
    </xdr:from>
    <xdr:to>
      <xdr:col>41</xdr:col>
      <xdr:colOff>257177</xdr:colOff>
      <xdr:row>58</xdr:row>
      <xdr:rowOff>175178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E4F7EEA-64FD-4641-A554-3667E76B6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41</xdr:col>
      <xdr:colOff>295275</xdr:colOff>
      <xdr:row>48</xdr:row>
      <xdr:rowOff>28575</xdr:rowOff>
    </xdr:from>
    <xdr:to>
      <xdr:col>44</xdr:col>
      <xdr:colOff>381000</xdr:colOff>
      <xdr:row>59</xdr:row>
      <xdr:rowOff>3728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7139D7C-DB7B-42F9-AFD3-7C247E00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39</xdr:col>
      <xdr:colOff>361950</xdr:colOff>
      <xdr:row>59</xdr:row>
      <xdr:rowOff>85725</xdr:rowOff>
    </xdr:from>
    <xdr:to>
      <xdr:col>42</xdr:col>
      <xdr:colOff>447675</xdr:colOff>
      <xdr:row>70</xdr:row>
      <xdr:rowOff>60878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24FE031-1A3A-4D42-BFF9-BC2C0DF5E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38</xdr:col>
      <xdr:colOff>209550</xdr:colOff>
      <xdr:row>25</xdr:row>
      <xdr:rowOff>133350</xdr:rowOff>
    </xdr:from>
    <xdr:to>
      <xdr:col>44</xdr:col>
      <xdr:colOff>66675</xdr:colOff>
      <xdr:row>41</xdr:row>
      <xdr:rowOff>116165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CE9466D-1416-43A7-9CCE-8001FA47E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46</xdr:col>
      <xdr:colOff>164784</xdr:colOff>
      <xdr:row>39</xdr:row>
      <xdr:rowOff>76460</xdr:rowOff>
    </xdr:from>
    <xdr:to>
      <xdr:col>53</xdr:col>
      <xdr:colOff>451863</xdr:colOff>
      <xdr:row>55</xdr:row>
      <xdr:rowOff>76458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A40C958-90D4-40B0-942B-B613B6925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54</xdr:col>
      <xdr:colOff>33064</xdr:colOff>
      <xdr:row>39</xdr:row>
      <xdr:rowOff>155281</xdr:rowOff>
    </xdr:from>
    <xdr:to>
      <xdr:col>61</xdr:col>
      <xdr:colOff>467446</xdr:colOff>
      <xdr:row>55</xdr:row>
      <xdr:rowOff>91432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311CECD-BD2C-4F6A-947C-58427DE78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46</xdr:col>
      <xdr:colOff>478964</xdr:colOff>
      <xdr:row>25</xdr:row>
      <xdr:rowOff>135339</xdr:rowOff>
    </xdr:from>
    <xdr:to>
      <xdr:col>52</xdr:col>
      <xdr:colOff>309763</xdr:colOff>
      <xdr:row>41</xdr:row>
      <xdr:rowOff>118154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7D8167C-2C3B-468E-A996-0E49B8CB4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56</xdr:col>
      <xdr:colOff>304348</xdr:colOff>
      <xdr:row>25</xdr:row>
      <xdr:rowOff>129802</xdr:rowOff>
    </xdr:from>
    <xdr:to>
      <xdr:col>62</xdr:col>
      <xdr:colOff>257248</xdr:colOff>
      <xdr:row>41</xdr:row>
      <xdr:rowOff>112617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E551408-1201-44CB-B573-A323F013F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65</xdr:col>
      <xdr:colOff>141604</xdr:colOff>
      <xdr:row>41</xdr:row>
      <xdr:rowOff>181332</xdr:rowOff>
    </xdr:from>
    <xdr:to>
      <xdr:col>73</xdr:col>
      <xdr:colOff>314785</xdr:colOff>
      <xdr:row>57</xdr:row>
      <xdr:rowOff>181332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5CCFD7D-2D20-4DFA-A230-E2A147AE9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74</xdr:col>
      <xdr:colOff>220757</xdr:colOff>
      <xdr:row>42</xdr:row>
      <xdr:rowOff>1121</xdr:rowOff>
    </xdr:from>
    <xdr:to>
      <xdr:col>82</xdr:col>
      <xdr:colOff>511549</xdr:colOff>
      <xdr:row>57</xdr:row>
      <xdr:rowOff>172571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1AA83BC-59C6-4A44-AFD5-6F2A18135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65</xdr:col>
      <xdr:colOff>526677</xdr:colOff>
      <xdr:row>26</xdr:row>
      <xdr:rowOff>11206</xdr:rowOff>
    </xdr:from>
    <xdr:to>
      <xdr:col>71</xdr:col>
      <xdr:colOff>479576</xdr:colOff>
      <xdr:row>41</xdr:row>
      <xdr:rowOff>184521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6FD278D-0046-44E3-94C7-D80F9E405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75</xdr:col>
      <xdr:colOff>358588</xdr:colOff>
      <xdr:row>25</xdr:row>
      <xdr:rowOff>100853</xdr:rowOff>
    </xdr:from>
    <xdr:to>
      <xdr:col>81</xdr:col>
      <xdr:colOff>311487</xdr:colOff>
      <xdr:row>41</xdr:row>
      <xdr:rowOff>83668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1BC811A-C878-4772-80A4-82143A683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10</xdr:col>
      <xdr:colOff>843643</xdr:colOff>
      <xdr:row>80</xdr:row>
      <xdr:rowOff>145677</xdr:rowOff>
    </xdr:from>
    <xdr:to>
      <xdr:col>15</xdr:col>
      <xdr:colOff>31186</xdr:colOff>
      <xdr:row>92</xdr:row>
      <xdr:rowOff>128492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B58192C1-FF7C-49A3-BF33-4F70D8F7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11</xdr:col>
      <xdr:colOff>0</xdr:colOff>
      <xdr:row>100</xdr:row>
      <xdr:rowOff>992</xdr:rowOff>
    </xdr:from>
    <xdr:to>
      <xdr:col>13</xdr:col>
      <xdr:colOff>165377</xdr:colOff>
      <xdr:row>110</xdr:row>
      <xdr:rowOff>166645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B8CCECBF-E2C9-4A05-9C5F-E433B3413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13</xdr:col>
      <xdr:colOff>205716</xdr:colOff>
      <xdr:row>100</xdr:row>
      <xdr:rowOff>0</xdr:rowOff>
    </xdr:from>
    <xdr:to>
      <xdr:col>15</xdr:col>
      <xdr:colOff>480407</xdr:colOff>
      <xdr:row>110</xdr:row>
      <xdr:rowOff>165653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B8D2C96-57F1-4800-BD2D-6DAAA9BCF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11</xdr:col>
      <xdr:colOff>786741</xdr:colOff>
      <xdr:row>111</xdr:row>
      <xdr:rowOff>25774</xdr:rowOff>
    </xdr:from>
    <xdr:to>
      <xdr:col>14</xdr:col>
      <xdr:colOff>349151</xdr:colOff>
      <xdr:row>122</xdr:row>
      <xdr:rowOff>927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430110D-07FC-4132-84C5-72F11BEED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16</xdr:col>
      <xdr:colOff>122465</xdr:colOff>
      <xdr:row>80</xdr:row>
      <xdr:rowOff>81643</xdr:rowOff>
    </xdr:from>
    <xdr:to>
      <xdr:col>20</xdr:col>
      <xdr:colOff>68035</xdr:colOff>
      <xdr:row>92</xdr:row>
      <xdr:rowOff>64458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A3AC4DA8-EA6B-4C94-9557-FF2976082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15</xdr:col>
      <xdr:colOff>653143</xdr:colOff>
      <xdr:row>99</xdr:row>
      <xdr:rowOff>177885</xdr:rowOff>
    </xdr:from>
    <xdr:to>
      <xdr:col>18</xdr:col>
      <xdr:colOff>151770</xdr:colOff>
      <xdr:row>110</xdr:row>
      <xdr:rowOff>153038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9BE8457A-39C6-4821-A8F8-D077FBDEB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18</xdr:col>
      <xdr:colOff>192109</xdr:colOff>
      <xdr:row>99</xdr:row>
      <xdr:rowOff>176893</xdr:rowOff>
    </xdr:from>
    <xdr:to>
      <xdr:col>20</xdr:col>
      <xdr:colOff>126621</xdr:colOff>
      <xdr:row>110</xdr:row>
      <xdr:rowOff>152046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1D654E15-1754-4BFE-A85D-35DE0892F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16</xdr:col>
      <xdr:colOff>664277</xdr:colOff>
      <xdr:row>111</xdr:row>
      <xdr:rowOff>12167</xdr:rowOff>
    </xdr:from>
    <xdr:to>
      <xdr:col>19</xdr:col>
      <xdr:colOff>267508</xdr:colOff>
      <xdr:row>121</xdr:row>
      <xdr:rowOff>177820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5500CB0D-0E71-4D4A-9DE0-959A32BE8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21</xdr:col>
      <xdr:colOff>95249</xdr:colOff>
      <xdr:row>80</xdr:row>
      <xdr:rowOff>108858</xdr:rowOff>
    </xdr:from>
    <xdr:to>
      <xdr:col>25</xdr:col>
      <xdr:colOff>285748</xdr:colOff>
      <xdr:row>92</xdr:row>
      <xdr:rowOff>91673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A1E7AA5-36CA-4E14-A543-1F6ABF3B1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20</xdr:col>
      <xdr:colOff>408215</xdr:colOff>
      <xdr:row>100</xdr:row>
      <xdr:rowOff>41813</xdr:rowOff>
    </xdr:from>
    <xdr:to>
      <xdr:col>22</xdr:col>
      <xdr:colOff>628021</xdr:colOff>
      <xdr:row>111</xdr:row>
      <xdr:rowOff>16966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C447CE7E-81D0-4152-8272-865A47955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22</xdr:col>
      <xdr:colOff>668360</xdr:colOff>
      <xdr:row>100</xdr:row>
      <xdr:rowOff>40821</xdr:rowOff>
    </xdr:from>
    <xdr:to>
      <xdr:col>25</xdr:col>
      <xdr:colOff>126622</xdr:colOff>
      <xdr:row>111</xdr:row>
      <xdr:rowOff>15974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2BF7FF3D-F84A-48FA-A241-2AAA13747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21</xdr:col>
      <xdr:colOff>419349</xdr:colOff>
      <xdr:row>111</xdr:row>
      <xdr:rowOff>66595</xdr:rowOff>
    </xdr:from>
    <xdr:to>
      <xdr:col>24</xdr:col>
      <xdr:colOff>63402</xdr:colOff>
      <xdr:row>122</xdr:row>
      <xdr:rowOff>41748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7329C409-2E4F-4558-9D4A-2B64A06E9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27</xdr:col>
      <xdr:colOff>553811</xdr:colOff>
      <xdr:row>100</xdr:row>
      <xdr:rowOff>150671</xdr:rowOff>
    </xdr:from>
    <xdr:to>
      <xdr:col>29</xdr:col>
      <xdr:colOff>410306</xdr:colOff>
      <xdr:row>111</xdr:row>
      <xdr:rowOff>125824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C6A2F9C-598D-4469-AD29-FE3B8B5F2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29</xdr:col>
      <xdr:colOff>450645</xdr:colOff>
      <xdr:row>100</xdr:row>
      <xdr:rowOff>149679</xdr:rowOff>
    </xdr:from>
    <xdr:to>
      <xdr:col>31</xdr:col>
      <xdr:colOff>254529</xdr:colOff>
      <xdr:row>111</xdr:row>
      <xdr:rowOff>124832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51ACCE6D-87E6-48B3-82B0-8DCA0B3D4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28</xdr:col>
      <xdr:colOff>407102</xdr:colOff>
      <xdr:row>111</xdr:row>
      <xdr:rowOff>175453</xdr:rowOff>
    </xdr:from>
    <xdr:to>
      <xdr:col>30</xdr:col>
      <xdr:colOff>383170</xdr:colOff>
      <xdr:row>122</xdr:row>
      <xdr:rowOff>150606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8D78F3E1-F9C0-4ECB-817F-1D2CC4B8B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33</xdr:col>
      <xdr:colOff>435428</xdr:colOff>
      <xdr:row>99</xdr:row>
      <xdr:rowOff>177885</xdr:rowOff>
    </xdr:from>
    <xdr:to>
      <xdr:col>35</xdr:col>
      <xdr:colOff>713745</xdr:colOff>
      <xdr:row>110</xdr:row>
      <xdr:rowOff>153038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8A2311F0-276B-476D-B909-5818F5508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35</xdr:col>
      <xdr:colOff>754084</xdr:colOff>
      <xdr:row>99</xdr:row>
      <xdr:rowOff>176893</xdr:rowOff>
    </xdr:from>
    <xdr:to>
      <xdr:col>37</xdr:col>
      <xdr:colOff>530753</xdr:colOff>
      <xdr:row>110</xdr:row>
      <xdr:rowOff>152046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446538B-76F3-4530-8361-4BADFDCFE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34</xdr:col>
      <xdr:colOff>615291</xdr:colOff>
      <xdr:row>111</xdr:row>
      <xdr:rowOff>12167</xdr:rowOff>
    </xdr:from>
    <xdr:to>
      <xdr:col>36</xdr:col>
      <xdr:colOff>645787</xdr:colOff>
      <xdr:row>121</xdr:row>
      <xdr:rowOff>177820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61535E65-C22E-41DA-B2CC-9F36A17AD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27</xdr:col>
      <xdr:colOff>446314</xdr:colOff>
      <xdr:row>80</xdr:row>
      <xdr:rowOff>108858</xdr:rowOff>
    </xdr:from>
    <xdr:to>
      <xdr:col>30</xdr:col>
      <xdr:colOff>854527</xdr:colOff>
      <xdr:row>92</xdr:row>
      <xdr:rowOff>91673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B5DB8F79-5978-41DD-8F54-4C2586660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32</xdr:col>
      <xdr:colOff>598714</xdr:colOff>
      <xdr:row>80</xdr:row>
      <xdr:rowOff>76199</xdr:rowOff>
    </xdr:from>
    <xdr:to>
      <xdr:col>36</xdr:col>
      <xdr:colOff>832756</xdr:colOff>
      <xdr:row>92</xdr:row>
      <xdr:rowOff>59014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37412962-E3D7-44BE-856D-A760ACE0F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39</xdr:col>
      <xdr:colOff>43542</xdr:colOff>
      <xdr:row>80</xdr:row>
      <xdr:rowOff>54429</xdr:rowOff>
    </xdr:from>
    <xdr:to>
      <xdr:col>43</xdr:col>
      <xdr:colOff>59870</xdr:colOff>
      <xdr:row>92</xdr:row>
      <xdr:rowOff>37244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BA2D9127-A34A-46DF-9A8B-A0B8E846B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38</xdr:col>
      <xdr:colOff>522514</xdr:colOff>
      <xdr:row>99</xdr:row>
      <xdr:rowOff>175163</xdr:rowOff>
    </xdr:from>
    <xdr:to>
      <xdr:col>41</xdr:col>
      <xdr:colOff>169460</xdr:colOff>
      <xdr:row>110</xdr:row>
      <xdr:rowOff>150316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892ED8B-D6FB-4C1D-AAB3-4F7EF949B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41</xdr:col>
      <xdr:colOff>209799</xdr:colOff>
      <xdr:row>99</xdr:row>
      <xdr:rowOff>174171</xdr:rowOff>
    </xdr:from>
    <xdr:to>
      <xdr:col>43</xdr:col>
      <xdr:colOff>204182</xdr:colOff>
      <xdr:row>110</xdr:row>
      <xdr:rowOff>149324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9F91764F-5FA1-4A27-BB49-3E49CE060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40</xdr:col>
      <xdr:colOff>92777</xdr:colOff>
      <xdr:row>111</xdr:row>
      <xdr:rowOff>9445</xdr:rowOff>
    </xdr:from>
    <xdr:to>
      <xdr:col>42</xdr:col>
      <xdr:colOff>221244</xdr:colOff>
      <xdr:row>121</xdr:row>
      <xdr:rowOff>175098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B0A05607-2B5D-4443-BC4E-5DD5EE4E6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10</xdr:col>
      <xdr:colOff>560294</xdr:colOff>
      <xdr:row>134</xdr:row>
      <xdr:rowOff>22412</xdr:rowOff>
    </xdr:from>
    <xdr:to>
      <xdr:col>14</xdr:col>
      <xdr:colOff>593911</xdr:colOff>
      <xdr:row>149</xdr:row>
      <xdr:rowOff>89647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4ADB7710-0BD1-46FE-9962-7A13A5B6F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10</xdr:col>
      <xdr:colOff>324971</xdr:colOff>
      <xdr:row>156</xdr:row>
      <xdr:rowOff>79433</xdr:rowOff>
    </xdr:from>
    <xdr:to>
      <xdr:col>12</xdr:col>
      <xdr:colOff>411906</xdr:colOff>
      <xdr:row>167</xdr:row>
      <xdr:rowOff>54586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E5CF2DCE-3D74-433A-97AB-4F973F04B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12</xdr:col>
      <xdr:colOff>452245</xdr:colOff>
      <xdr:row>156</xdr:row>
      <xdr:rowOff>78441</xdr:rowOff>
    </xdr:from>
    <xdr:to>
      <xdr:col>14</xdr:col>
      <xdr:colOff>659701</xdr:colOff>
      <xdr:row>167</xdr:row>
      <xdr:rowOff>53594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74790321-51D5-4C7A-A8CC-B3C48DBAD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11</xdr:col>
      <xdr:colOff>215241</xdr:colOff>
      <xdr:row>167</xdr:row>
      <xdr:rowOff>104215</xdr:rowOff>
    </xdr:from>
    <xdr:to>
      <xdr:col>13</xdr:col>
      <xdr:colOff>584475</xdr:colOff>
      <xdr:row>178</xdr:row>
      <xdr:rowOff>79368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94FE698D-4AC4-4B79-8937-E06710CAE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15</xdr:col>
      <xdr:colOff>770281</xdr:colOff>
      <xdr:row>134</xdr:row>
      <xdr:rowOff>24848</xdr:rowOff>
    </xdr:from>
    <xdr:to>
      <xdr:col>20</xdr:col>
      <xdr:colOff>24847</xdr:colOff>
      <xdr:row>149</xdr:row>
      <xdr:rowOff>92083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F30F663C-7EDA-4485-8B21-F7323A175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15</xdr:col>
      <xdr:colOff>496957</xdr:colOff>
      <xdr:row>156</xdr:row>
      <xdr:rowOff>92102</xdr:rowOff>
    </xdr:from>
    <xdr:to>
      <xdr:col>17</xdr:col>
      <xdr:colOff>799240</xdr:colOff>
      <xdr:row>167</xdr:row>
      <xdr:rowOff>67255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7EC8C45B-CA4A-41D3-B9FA-300203B52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18</xdr:col>
      <xdr:colOff>36166</xdr:colOff>
      <xdr:row>156</xdr:row>
      <xdr:rowOff>91110</xdr:rowOff>
    </xdr:from>
    <xdr:to>
      <xdr:col>19</xdr:col>
      <xdr:colOff>989057</xdr:colOff>
      <xdr:row>167</xdr:row>
      <xdr:rowOff>66263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7458DA2B-C21E-4ECD-BECA-0CC30DF35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15</xdr:col>
      <xdr:colOff>683656</xdr:colOff>
      <xdr:row>167</xdr:row>
      <xdr:rowOff>136936</xdr:rowOff>
    </xdr:from>
    <xdr:to>
      <xdr:col>19</xdr:col>
      <xdr:colOff>606592</xdr:colOff>
      <xdr:row>181</xdr:row>
      <xdr:rowOff>150395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BB3D283B-195C-4037-9D9A-D47800A79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20</xdr:col>
      <xdr:colOff>695739</xdr:colOff>
      <xdr:row>133</xdr:row>
      <xdr:rowOff>190499</xdr:rowOff>
    </xdr:from>
    <xdr:to>
      <xdr:col>25</xdr:col>
      <xdr:colOff>49696</xdr:colOff>
      <xdr:row>149</xdr:row>
      <xdr:rowOff>67234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8338D415-379B-42E6-9D9A-7DB0F9954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20</xdr:col>
      <xdr:colOff>438977</xdr:colOff>
      <xdr:row>156</xdr:row>
      <xdr:rowOff>150079</xdr:rowOff>
    </xdr:from>
    <xdr:to>
      <xdr:col>22</xdr:col>
      <xdr:colOff>658434</xdr:colOff>
      <xdr:row>167</xdr:row>
      <xdr:rowOff>125232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B2BA3CB6-D458-40B3-8927-AA3DF7286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22</xdr:col>
      <xdr:colOff>698773</xdr:colOff>
      <xdr:row>156</xdr:row>
      <xdr:rowOff>149087</xdr:rowOff>
    </xdr:from>
    <xdr:to>
      <xdr:col>25</xdr:col>
      <xdr:colOff>160795</xdr:colOff>
      <xdr:row>167</xdr:row>
      <xdr:rowOff>124240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2288AE0D-9625-4316-AF19-514D7CA87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21</xdr:col>
      <xdr:colOff>445204</xdr:colOff>
      <xdr:row>167</xdr:row>
      <xdr:rowOff>174861</xdr:rowOff>
    </xdr:from>
    <xdr:to>
      <xdr:col>24</xdr:col>
      <xdr:colOff>93852</xdr:colOff>
      <xdr:row>178</xdr:row>
      <xdr:rowOff>150014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31370B79-058A-480D-B07B-A4C6A5BBC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27</xdr:col>
      <xdr:colOff>248478</xdr:colOff>
      <xdr:row>133</xdr:row>
      <xdr:rowOff>157370</xdr:rowOff>
    </xdr:from>
    <xdr:to>
      <xdr:col>30</xdr:col>
      <xdr:colOff>588065</xdr:colOff>
      <xdr:row>149</xdr:row>
      <xdr:rowOff>34105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E084A1BF-46C0-47D2-83AC-5B5923222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27</xdr:col>
      <xdr:colOff>74543</xdr:colOff>
      <xdr:row>156</xdr:row>
      <xdr:rowOff>17557</xdr:rowOff>
    </xdr:from>
    <xdr:to>
      <xdr:col>28</xdr:col>
      <xdr:colOff>956609</xdr:colOff>
      <xdr:row>166</xdr:row>
      <xdr:rowOff>183210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913902C5-C0C2-4707-9290-7621A4B3E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28</xdr:col>
      <xdr:colOff>996948</xdr:colOff>
      <xdr:row>156</xdr:row>
      <xdr:rowOff>16565</xdr:rowOff>
    </xdr:from>
    <xdr:to>
      <xdr:col>30</xdr:col>
      <xdr:colOff>781991</xdr:colOff>
      <xdr:row>166</xdr:row>
      <xdr:rowOff>182218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4381E360-B2CA-4E15-9AE3-AA655301F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27</xdr:col>
      <xdr:colOff>859335</xdr:colOff>
      <xdr:row>167</xdr:row>
      <xdr:rowOff>42339</xdr:rowOff>
    </xdr:from>
    <xdr:to>
      <xdr:col>29</xdr:col>
      <xdr:colOff>913831</xdr:colOff>
      <xdr:row>178</xdr:row>
      <xdr:rowOff>17492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D8B40EAB-38DE-470F-B672-A107F5F30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33</xdr:col>
      <xdr:colOff>107674</xdr:colOff>
      <xdr:row>133</xdr:row>
      <xdr:rowOff>140804</xdr:rowOff>
    </xdr:from>
    <xdr:to>
      <xdr:col>36</xdr:col>
      <xdr:colOff>836543</xdr:colOff>
      <xdr:row>149</xdr:row>
      <xdr:rowOff>17539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A0281706-C995-485D-80E7-6050D4BEC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32</xdr:col>
      <xdr:colOff>455544</xdr:colOff>
      <xdr:row>156</xdr:row>
      <xdr:rowOff>17557</xdr:rowOff>
    </xdr:from>
    <xdr:to>
      <xdr:col>35</xdr:col>
      <xdr:colOff>120066</xdr:colOff>
      <xdr:row>166</xdr:row>
      <xdr:rowOff>183210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FE1E378B-DF7C-4A27-BD48-6F1DE9E64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35</xdr:col>
      <xdr:colOff>160405</xdr:colOff>
      <xdr:row>156</xdr:row>
      <xdr:rowOff>16565</xdr:rowOff>
    </xdr:from>
    <xdr:to>
      <xdr:col>36</xdr:col>
      <xdr:colOff>939361</xdr:colOff>
      <xdr:row>166</xdr:row>
      <xdr:rowOff>182218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ED2EA3DB-C905-4FDC-80FC-B91F3A082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34</xdr:col>
      <xdr:colOff>14510</xdr:colOff>
      <xdr:row>167</xdr:row>
      <xdr:rowOff>42339</xdr:rowOff>
    </xdr:from>
    <xdr:to>
      <xdr:col>36</xdr:col>
      <xdr:colOff>52440</xdr:colOff>
      <xdr:row>178</xdr:row>
      <xdr:rowOff>17492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633ECD9D-33E5-4696-BB97-F7FC469C8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39</xdr:col>
      <xdr:colOff>157370</xdr:colOff>
      <xdr:row>133</xdr:row>
      <xdr:rowOff>165653</xdr:rowOff>
    </xdr:from>
    <xdr:to>
      <xdr:col>43</xdr:col>
      <xdr:colOff>91109</xdr:colOff>
      <xdr:row>149</xdr:row>
      <xdr:rowOff>42388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85606281-A2F5-4F6C-91A0-148A09B9F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38</xdr:col>
      <xdr:colOff>356152</xdr:colOff>
      <xdr:row>156</xdr:row>
      <xdr:rowOff>9275</xdr:rowOff>
    </xdr:from>
    <xdr:to>
      <xdr:col>41</xdr:col>
      <xdr:colOff>4109</xdr:colOff>
      <xdr:row>166</xdr:row>
      <xdr:rowOff>174928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EAAC29B2-6A3F-459C-B445-E97241F05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41</xdr:col>
      <xdr:colOff>44448</xdr:colOff>
      <xdr:row>156</xdr:row>
      <xdr:rowOff>8283</xdr:rowOff>
    </xdr:from>
    <xdr:to>
      <xdr:col>43</xdr:col>
      <xdr:colOff>44839</xdr:colOff>
      <xdr:row>166</xdr:row>
      <xdr:rowOff>173936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D0849E7F-E310-454B-A62D-B5C0F3A87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39</xdr:col>
      <xdr:colOff>528031</xdr:colOff>
      <xdr:row>167</xdr:row>
      <xdr:rowOff>34057</xdr:rowOff>
    </xdr:from>
    <xdr:to>
      <xdr:col>42</xdr:col>
      <xdr:colOff>52440</xdr:colOff>
      <xdr:row>178</xdr:row>
      <xdr:rowOff>9210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13BC985B-7A06-405D-980C-6F4127764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D673-A6E9-4A50-ABDD-A71D46703B35}">
  <dimension ref="A1:BF44"/>
  <sheetViews>
    <sheetView topLeftCell="A19" zoomScaleNormal="100" workbookViewId="0">
      <selection activeCell="E42" sqref="E42"/>
    </sheetView>
  </sheetViews>
  <sheetFormatPr defaultRowHeight="15" x14ac:dyDescent="0.25"/>
  <cols>
    <col min="2" max="2" width="13.7109375" customWidth="1"/>
    <col min="3" max="3" width="12.5703125" customWidth="1"/>
    <col min="4" max="4" width="13" customWidth="1"/>
    <col min="5" max="6" width="12.28515625" customWidth="1"/>
    <col min="7" max="7" width="13.7109375" customWidth="1"/>
    <col min="10" max="11" width="9" bestFit="1" customWidth="1"/>
    <col min="12" max="13" width="9.5703125" bestFit="1" customWidth="1"/>
  </cols>
  <sheetData>
    <row r="1" spans="1:58" x14ac:dyDescent="0.25">
      <c r="E1" s="108" t="s">
        <v>122</v>
      </c>
      <c r="F1" s="108"/>
      <c r="G1" s="108"/>
      <c r="O1" t="s">
        <v>123</v>
      </c>
      <c r="AC1" t="s">
        <v>124</v>
      </c>
    </row>
    <row r="2" spans="1:58" x14ac:dyDescent="0.25">
      <c r="A2" s="1" t="s">
        <v>0</v>
      </c>
      <c r="B2" s="1" t="s">
        <v>120</v>
      </c>
      <c r="C2" s="1" t="s">
        <v>119</v>
      </c>
      <c r="D2" s="1" t="s">
        <v>121</v>
      </c>
      <c r="E2" s="1" t="s">
        <v>1</v>
      </c>
      <c r="F2" s="1" t="s">
        <v>2</v>
      </c>
      <c r="G2" s="1" t="s">
        <v>3</v>
      </c>
      <c r="H2" s="5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6" t="s">
        <v>9</v>
      </c>
      <c r="O2" s="71" t="s">
        <v>0</v>
      </c>
      <c r="P2" s="72" t="s">
        <v>120</v>
      </c>
      <c r="Q2" s="72" t="s">
        <v>119</v>
      </c>
      <c r="R2" s="72" t="s">
        <v>121</v>
      </c>
      <c r="S2" s="72" t="s">
        <v>1</v>
      </c>
      <c r="T2" s="72" t="s">
        <v>2</v>
      </c>
      <c r="U2" s="72" t="s">
        <v>3</v>
      </c>
      <c r="V2" s="71" t="s">
        <v>4</v>
      </c>
      <c r="W2" s="72" t="s">
        <v>5</v>
      </c>
      <c r="X2" s="72" t="s">
        <v>6</v>
      </c>
      <c r="Y2" s="72" t="s">
        <v>7</v>
      </c>
      <c r="Z2" s="72" t="s">
        <v>8</v>
      </c>
      <c r="AA2" s="73" t="s">
        <v>9</v>
      </c>
      <c r="AC2" s="71" t="s">
        <v>0</v>
      </c>
      <c r="AD2" s="72" t="s">
        <v>120</v>
      </c>
      <c r="AE2" s="72" t="s">
        <v>119</v>
      </c>
      <c r="AF2" s="72" t="s">
        <v>121</v>
      </c>
      <c r="AG2" s="72" t="s">
        <v>1</v>
      </c>
      <c r="AH2" s="72" t="s">
        <v>2</v>
      </c>
      <c r="AI2" s="72" t="s">
        <v>3</v>
      </c>
      <c r="AJ2" s="71" t="s">
        <v>4</v>
      </c>
      <c r="AK2" s="72" t="s">
        <v>5</v>
      </c>
      <c r="AL2" s="72" t="s">
        <v>6</v>
      </c>
      <c r="AM2" s="72" t="s">
        <v>7</v>
      </c>
      <c r="AN2" s="72" t="s">
        <v>8</v>
      </c>
      <c r="AO2" s="73" t="s">
        <v>9</v>
      </c>
      <c r="AS2" s="1" t="s">
        <v>0</v>
      </c>
      <c r="AT2" t="s">
        <v>10</v>
      </c>
      <c r="AU2" t="s">
        <v>11</v>
      </c>
      <c r="AV2" t="s">
        <v>12</v>
      </c>
      <c r="AW2" t="s">
        <v>13</v>
      </c>
      <c r="AX2" t="s">
        <v>14</v>
      </c>
      <c r="AY2" t="s">
        <v>15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</row>
    <row r="3" spans="1:58" x14ac:dyDescent="0.25">
      <c r="A3" s="2">
        <v>167</v>
      </c>
      <c r="B3" s="2">
        <v>128</v>
      </c>
      <c r="C3" s="2">
        <v>220</v>
      </c>
      <c r="D3" s="2">
        <v>7</v>
      </c>
      <c r="E3" s="67">
        <v>0.104819100180613</v>
      </c>
      <c r="F3" s="67">
        <v>3.3154403752457901E-2</v>
      </c>
      <c r="G3" s="67">
        <v>2.2914216154744201E-2</v>
      </c>
      <c r="H3" s="70">
        <v>6</v>
      </c>
      <c r="I3" s="8">
        <v>16</v>
      </c>
      <c r="J3" s="8">
        <v>96</v>
      </c>
      <c r="K3" s="8">
        <v>264</v>
      </c>
      <c r="L3" s="8">
        <v>604</v>
      </c>
      <c r="M3" s="69">
        <v>978</v>
      </c>
      <c r="O3" s="74">
        <v>167</v>
      </c>
      <c r="P3" s="2">
        <v>128</v>
      </c>
      <c r="Q3" s="2">
        <v>220</v>
      </c>
      <c r="R3" s="2">
        <v>7</v>
      </c>
      <c r="S3" s="67">
        <v>0.104819100180613</v>
      </c>
      <c r="T3" s="67">
        <v>3.3154403752457901E-2</v>
      </c>
      <c r="U3" s="67">
        <v>2.2914216154744201E-2</v>
      </c>
      <c r="V3" s="70">
        <v>6</v>
      </c>
      <c r="W3" s="8">
        <v>16</v>
      </c>
      <c r="X3" s="8">
        <v>96</v>
      </c>
      <c r="Y3" s="8">
        <v>264</v>
      </c>
      <c r="Z3" s="8">
        <v>604</v>
      </c>
      <c r="AA3" s="69">
        <v>978</v>
      </c>
      <c r="AC3" s="74">
        <v>8</v>
      </c>
      <c r="AD3" s="2">
        <v>128</v>
      </c>
      <c r="AE3" s="2">
        <v>160</v>
      </c>
      <c r="AF3" s="2">
        <v>10</v>
      </c>
      <c r="AG3" s="67">
        <v>0.161944718485239</v>
      </c>
      <c r="AH3" s="67">
        <v>3.2526116479269097E-2</v>
      </c>
      <c r="AI3" s="67">
        <v>7.7989329746457701E-3</v>
      </c>
      <c r="AJ3" s="70">
        <v>10</v>
      </c>
      <c r="AK3" s="8">
        <v>31</v>
      </c>
      <c r="AL3" s="8">
        <v>89</v>
      </c>
      <c r="AM3" s="8">
        <v>230</v>
      </c>
      <c r="AN3" s="8">
        <v>509</v>
      </c>
      <c r="AO3" s="69">
        <v>1493</v>
      </c>
      <c r="AS3" s="2">
        <v>167</v>
      </c>
      <c r="AT3">
        <v>6.4069250048013796E-2</v>
      </c>
      <c r="AU3">
        <v>0.17940701762775299</v>
      </c>
      <c r="AV3">
        <v>0.59727911911144405</v>
      </c>
      <c r="AW3">
        <v>2.1218818406845701</v>
      </c>
      <c r="AX3">
        <v>8.4875273627382803</v>
      </c>
      <c r="AY3">
        <v>33.9501094509531</v>
      </c>
      <c r="BA3">
        <v>0.104819100180613</v>
      </c>
      <c r="BB3">
        <v>0.41927640072245398</v>
      </c>
      <c r="BC3">
        <v>1.6771056028898099</v>
      </c>
      <c r="BD3">
        <v>6.7084224115592699</v>
      </c>
      <c r="BE3">
        <v>26.833689646237001</v>
      </c>
      <c r="BF3">
        <v>107.33475858494801</v>
      </c>
    </row>
    <row r="4" spans="1:58" x14ac:dyDescent="0.25">
      <c r="A4" s="2">
        <v>6</v>
      </c>
      <c r="B4" s="2">
        <v>128</v>
      </c>
      <c r="C4" s="2">
        <v>150</v>
      </c>
      <c r="D4" s="2">
        <v>10</v>
      </c>
      <c r="E4" s="67">
        <v>5.1422303101187901E-2</v>
      </c>
      <c r="F4" s="67">
        <v>1.43345982575964E-2</v>
      </c>
      <c r="G4" s="67">
        <v>7.2966466530169603E-3</v>
      </c>
      <c r="H4" s="70">
        <v>2</v>
      </c>
      <c r="I4" s="8">
        <v>8</v>
      </c>
      <c r="J4" s="8">
        <v>65</v>
      </c>
      <c r="K4" s="8">
        <v>195</v>
      </c>
      <c r="L4" s="8">
        <v>628</v>
      </c>
      <c r="M4" s="69">
        <v>1690</v>
      </c>
      <c r="O4" s="74">
        <v>6</v>
      </c>
      <c r="P4" s="2">
        <v>128</v>
      </c>
      <c r="Q4" s="2">
        <v>150</v>
      </c>
      <c r="R4" s="2">
        <v>10</v>
      </c>
      <c r="S4" s="67">
        <v>5.1422303101187901E-2</v>
      </c>
      <c r="T4" s="67">
        <v>1.43345982575964E-2</v>
      </c>
      <c r="U4" s="67">
        <v>7.2966466530169603E-3</v>
      </c>
      <c r="V4" s="70">
        <v>2</v>
      </c>
      <c r="W4" s="8">
        <v>8</v>
      </c>
      <c r="X4" s="8">
        <v>65</v>
      </c>
      <c r="Y4" s="8">
        <v>195</v>
      </c>
      <c r="Z4" s="8">
        <v>628</v>
      </c>
      <c r="AA4" s="69">
        <v>1690</v>
      </c>
      <c r="AC4" s="74">
        <v>168</v>
      </c>
      <c r="AD4" s="2">
        <v>128</v>
      </c>
      <c r="AE4" s="2">
        <v>196</v>
      </c>
      <c r="AF4" s="2">
        <v>10</v>
      </c>
      <c r="AG4" s="67">
        <v>8.9416636847151898E-2</v>
      </c>
      <c r="AH4" s="67">
        <v>2.1060905578879598E-2</v>
      </c>
      <c r="AI4" s="67">
        <v>9.6694169987568603E-3</v>
      </c>
      <c r="AJ4" s="70">
        <v>4</v>
      </c>
      <c r="AK4" s="8">
        <v>16</v>
      </c>
      <c r="AL4" s="8">
        <v>110</v>
      </c>
      <c r="AM4" s="8">
        <v>255</v>
      </c>
      <c r="AN4" s="8">
        <v>489</v>
      </c>
      <c r="AO4" s="69">
        <v>1351</v>
      </c>
      <c r="AS4" s="2">
        <v>6</v>
      </c>
      <c r="AT4">
        <v>5.1422303616638097E-2</v>
      </c>
      <c r="AU4">
        <v>0.136504884052633</v>
      </c>
      <c r="AV4">
        <v>0.26754282688021702</v>
      </c>
      <c r="AW4">
        <v>0.98750358289623297</v>
      </c>
      <c r="AX4">
        <v>3.6696571758817198</v>
      </c>
      <c r="AY4">
        <v>14.678628703526799</v>
      </c>
      <c r="BA4">
        <v>5.1422303101187901E-2</v>
      </c>
      <c r="BB4">
        <v>0.20568921240475099</v>
      </c>
      <c r="BC4">
        <v>0.82275684961900697</v>
      </c>
      <c r="BD4">
        <v>3.2910273984760301</v>
      </c>
      <c r="BE4">
        <v>13.164109593904101</v>
      </c>
      <c r="BF4">
        <v>52.656438375616403</v>
      </c>
    </row>
    <row r="5" spans="1:58" x14ac:dyDescent="0.25">
      <c r="A5" s="2">
        <v>8</v>
      </c>
      <c r="B5" s="2">
        <v>128</v>
      </c>
      <c r="C5" s="2">
        <v>160</v>
      </c>
      <c r="D5" s="2">
        <v>10</v>
      </c>
      <c r="E5" s="67">
        <v>0.161944718485239</v>
      </c>
      <c r="F5" s="67">
        <v>3.2526116479269097E-2</v>
      </c>
      <c r="G5" s="67">
        <v>7.7989329746457701E-3</v>
      </c>
      <c r="H5" s="70">
        <v>10</v>
      </c>
      <c r="I5" s="8">
        <v>31</v>
      </c>
      <c r="J5" s="8">
        <v>89</v>
      </c>
      <c r="K5" s="8">
        <v>230</v>
      </c>
      <c r="L5" s="8">
        <v>509</v>
      </c>
      <c r="M5" s="69">
        <v>1493</v>
      </c>
      <c r="O5" s="74">
        <v>150</v>
      </c>
      <c r="P5" s="2">
        <v>90</v>
      </c>
      <c r="Q5" s="2">
        <v>108.42</v>
      </c>
      <c r="R5" s="2">
        <v>5</v>
      </c>
      <c r="S5" s="67">
        <v>4.68499378365069E-2</v>
      </c>
      <c r="T5" s="67">
        <v>1.9737041545963101E-2</v>
      </c>
      <c r="U5" s="67">
        <v>1.1301251811562101E-2</v>
      </c>
      <c r="V5" s="70">
        <v>2</v>
      </c>
      <c r="W5" s="8">
        <v>16</v>
      </c>
      <c r="X5" s="8">
        <v>41</v>
      </c>
      <c r="Y5" s="8">
        <v>139</v>
      </c>
      <c r="Z5" s="8">
        <v>414</v>
      </c>
      <c r="AA5" s="69">
        <v>882</v>
      </c>
      <c r="AC5" s="74">
        <v>22</v>
      </c>
      <c r="AD5" s="2">
        <v>90</v>
      </c>
      <c r="AE5" s="2"/>
      <c r="AF5" s="2">
        <v>10</v>
      </c>
      <c r="AG5" s="67">
        <v>6.2688332148029005E-2</v>
      </c>
      <c r="AH5" s="67">
        <v>1.8357479777712401E-2</v>
      </c>
      <c r="AI5" s="67">
        <v>5.3392743586913897E-3</v>
      </c>
      <c r="AJ5" s="70">
        <v>3</v>
      </c>
      <c r="AK5" s="8">
        <v>21</v>
      </c>
      <c r="AL5" s="8">
        <v>91</v>
      </c>
      <c r="AM5" s="8">
        <v>212</v>
      </c>
      <c r="AN5" s="8">
        <v>660</v>
      </c>
      <c r="AO5" s="69">
        <v>1581</v>
      </c>
      <c r="AS5" s="2">
        <v>8</v>
      </c>
      <c r="AT5">
        <v>9.4968206718967205E-2</v>
      </c>
      <c r="AU5">
        <v>0.31788484763340902</v>
      </c>
      <c r="AV5">
        <v>0.78149567271952003</v>
      </c>
      <c r="AW5">
        <v>2.2740324054836099</v>
      </c>
      <c r="AX5">
        <v>8.3266858207082599</v>
      </c>
      <c r="AY5">
        <v>33.306743282832997</v>
      </c>
      <c r="BA5">
        <v>0.161944718485239</v>
      </c>
      <c r="BB5">
        <v>0.64777887394095901</v>
      </c>
      <c r="BC5">
        <v>2.5911154957638298</v>
      </c>
      <c r="BD5">
        <v>10.3644619830553</v>
      </c>
      <c r="BE5">
        <v>41.457847932221398</v>
      </c>
      <c r="BF5">
        <v>165.831391728885</v>
      </c>
    </row>
    <row r="6" spans="1:58" x14ac:dyDescent="0.25">
      <c r="A6" s="2">
        <v>168</v>
      </c>
      <c r="B6" s="2">
        <v>128</v>
      </c>
      <c r="C6" s="2">
        <v>196</v>
      </c>
      <c r="D6" s="2">
        <v>10</v>
      </c>
      <c r="E6" s="67">
        <v>8.9416636847151898E-2</v>
      </c>
      <c r="F6" s="67">
        <v>2.1060905578879598E-2</v>
      </c>
      <c r="G6" s="67">
        <v>9.6694169987568603E-3</v>
      </c>
      <c r="H6" s="70">
        <v>4</v>
      </c>
      <c r="I6" s="8">
        <v>16</v>
      </c>
      <c r="J6" s="8">
        <v>110</v>
      </c>
      <c r="K6" s="8">
        <v>255</v>
      </c>
      <c r="L6" s="8">
        <v>489</v>
      </c>
      <c r="M6" s="69">
        <v>1351</v>
      </c>
      <c r="O6" s="74">
        <v>11</v>
      </c>
      <c r="P6" s="2">
        <v>90</v>
      </c>
      <c r="Q6" s="2">
        <v>127.22</v>
      </c>
      <c r="R6" s="2">
        <v>8</v>
      </c>
      <c r="S6" s="67">
        <v>5.1754391722476999E-2</v>
      </c>
      <c r="T6" s="67">
        <v>2.3629413923689099E-2</v>
      </c>
      <c r="U6" s="67">
        <v>3.0143536797057099E-2</v>
      </c>
      <c r="V6" s="70">
        <v>6</v>
      </c>
      <c r="W6" s="8">
        <v>29</v>
      </c>
      <c r="X6" s="8">
        <v>102</v>
      </c>
      <c r="Y6" s="8">
        <v>246</v>
      </c>
      <c r="Z6" s="8">
        <v>493</v>
      </c>
      <c r="AA6" s="69">
        <v>1329</v>
      </c>
      <c r="AC6" s="74">
        <v>152</v>
      </c>
      <c r="AD6" s="2">
        <v>90</v>
      </c>
      <c r="AE6" s="2">
        <v>91.54</v>
      </c>
      <c r="AF6" s="2">
        <v>10</v>
      </c>
      <c r="AG6" s="67">
        <v>0.10293183462706799</v>
      </c>
      <c r="AH6" s="67">
        <v>2.3869849132825499E-2</v>
      </c>
      <c r="AI6" s="67">
        <v>8.4624680045280194E-3</v>
      </c>
      <c r="AJ6" s="70">
        <v>9</v>
      </c>
      <c r="AK6" s="8">
        <v>32</v>
      </c>
      <c r="AL6" s="8">
        <v>75</v>
      </c>
      <c r="AM6" s="8">
        <v>233</v>
      </c>
      <c r="AN6" s="8">
        <v>700</v>
      </c>
      <c r="AO6" s="69">
        <v>1639</v>
      </c>
      <c r="AS6" s="2">
        <v>168</v>
      </c>
      <c r="AT6">
        <v>5.6005964760614799E-2</v>
      </c>
      <c r="AU6">
        <v>0.16309275016740199</v>
      </c>
      <c r="AV6">
        <v>0.449858505678978</v>
      </c>
      <c r="AW6">
        <v>1.61414237742101</v>
      </c>
      <c r="AX6">
        <v>5.3915917727487104</v>
      </c>
      <c r="AY6">
        <v>21.566367090994799</v>
      </c>
      <c r="BA6">
        <v>8.9416636847151898E-2</v>
      </c>
      <c r="BB6">
        <v>0.35766654738860698</v>
      </c>
      <c r="BC6">
        <v>1.4306661895544299</v>
      </c>
      <c r="BD6">
        <v>5.7226647582177197</v>
      </c>
      <c r="BE6">
        <v>22.890659032870801</v>
      </c>
      <c r="BF6">
        <v>91.562636131483501</v>
      </c>
    </row>
    <row r="7" spans="1:58" x14ac:dyDescent="0.25">
      <c r="A7" s="2">
        <v>150</v>
      </c>
      <c r="B7" s="2">
        <v>90</v>
      </c>
      <c r="C7" s="2">
        <v>108.42</v>
      </c>
      <c r="D7" s="2">
        <v>5</v>
      </c>
      <c r="E7" s="67">
        <v>4.68499378365069E-2</v>
      </c>
      <c r="F7" s="67">
        <v>1.9737041545963101E-2</v>
      </c>
      <c r="G7" s="67">
        <v>1.1301251811562101E-2</v>
      </c>
      <c r="H7" s="70">
        <v>2</v>
      </c>
      <c r="I7" s="8">
        <v>16</v>
      </c>
      <c r="J7" s="8">
        <v>41</v>
      </c>
      <c r="K7" s="8">
        <v>139</v>
      </c>
      <c r="L7" s="8">
        <v>414</v>
      </c>
      <c r="M7" s="69">
        <v>882</v>
      </c>
      <c r="O7" s="74">
        <v>12</v>
      </c>
      <c r="P7" s="2">
        <v>64</v>
      </c>
      <c r="Q7" s="2">
        <v>84.2</v>
      </c>
      <c r="R7" s="2">
        <v>3</v>
      </c>
      <c r="S7" s="67">
        <v>4.4543546788178297E-2</v>
      </c>
      <c r="T7" s="67">
        <v>2.3352349155409499E-2</v>
      </c>
      <c r="U7" s="67">
        <v>2.1759151907210301E-2</v>
      </c>
      <c r="V7" s="70">
        <v>3</v>
      </c>
      <c r="W7" s="8">
        <v>14</v>
      </c>
      <c r="X7" s="8">
        <v>41</v>
      </c>
      <c r="Y7" s="8">
        <v>103</v>
      </c>
      <c r="Z7" s="8">
        <v>323</v>
      </c>
      <c r="AA7" s="69">
        <v>559</v>
      </c>
      <c r="AC7" s="74">
        <v>101</v>
      </c>
      <c r="AD7" s="2">
        <v>64</v>
      </c>
      <c r="AE7" s="2">
        <v>108.92</v>
      </c>
      <c r="AF7" s="2">
        <v>6</v>
      </c>
      <c r="AG7" s="67">
        <v>3.00794247374499E-2</v>
      </c>
      <c r="AH7" s="67">
        <v>1.50358559887077E-2</v>
      </c>
      <c r="AI7" s="67">
        <v>9.2196022769056602E-3</v>
      </c>
      <c r="AJ7" s="70">
        <v>2</v>
      </c>
      <c r="AK7" s="8">
        <v>9</v>
      </c>
      <c r="AL7" s="8">
        <v>49</v>
      </c>
      <c r="AM7" s="8">
        <v>132</v>
      </c>
      <c r="AN7" s="8">
        <v>544</v>
      </c>
      <c r="AO7" s="69">
        <v>1041</v>
      </c>
      <c r="AS7" s="2">
        <v>150</v>
      </c>
      <c r="AT7">
        <v>4.6849938207403699E-2</v>
      </c>
      <c r="AU7">
        <v>0.12535462962986799</v>
      </c>
      <c r="AV7">
        <v>0.44063655773576799</v>
      </c>
      <c r="AW7">
        <v>1.4715502319528799</v>
      </c>
      <c r="AX7">
        <v>5.0526826474058097</v>
      </c>
      <c r="AY7">
        <v>20.2107305896232</v>
      </c>
      <c r="BA7">
        <v>4.68499378365069E-2</v>
      </c>
      <c r="BB7">
        <v>0.18739975134602699</v>
      </c>
      <c r="BC7">
        <v>0.74959900538411095</v>
      </c>
      <c r="BD7">
        <v>2.9983960215364398</v>
      </c>
      <c r="BE7">
        <v>11.993584086145701</v>
      </c>
      <c r="BF7">
        <v>47.974336344583101</v>
      </c>
    </row>
    <row r="8" spans="1:58" x14ac:dyDescent="0.25">
      <c r="A8" s="2">
        <v>11</v>
      </c>
      <c r="B8" s="2">
        <v>90</v>
      </c>
      <c r="C8" s="2">
        <v>127.22</v>
      </c>
      <c r="D8" s="2">
        <v>8</v>
      </c>
      <c r="E8" s="67">
        <v>5.1754391722476999E-2</v>
      </c>
      <c r="F8" s="67">
        <v>2.3629413923689099E-2</v>
      </c>
      <c r="G8" s="67">
        <v>3.0143536797057099E-2</v>
      </c>
      <c r="H8" s="70">
        <v>6</v>
      </c>
      <c r="I8" s="8">
        <v>29</v>
      </c>
      <c r="J8" s="8">
        <v>102</v>
      </c>
      <c r="K8" s="8">
        <v>246</v>
      </c>
      <c r="L8" s="8">
        <v>493</v>
      </c>
      <c r="M8" s="69">
        <v>1329</v>
      </c>
      <c r="O8" s="74">
        <v>96</v>
      </c>
      <c r="P8" s="2">
        <v>64</v>
      </c>
      <c r="Q8" s="2">
        <v>86.98</v>
      </c>
      <c r="R8" s="2">
        <v>8</v>
      </c>
      <c r="S8" s="67">
        <v>9.5639162401153693E-2</v>
      </c>
      <c r="T8" s="67">
        <v>1.9277468694701001E-2</v>
      </c>
      <c r="U8" s="67">
        <v>5.1627678565697001E-3</v>
      </c>
      <c r="V8" s="70">
        <v>3</v>
      </c>
      <c r="W8" s="8">
        <v>22</v>
      </c>
      <c r="X8" s="8">
        <v>58</v>
      </c>
      <c r="Y8" s="8">
        <v>165</v>
      </c>
      <c r="Z8" s="8">
        <v>559</v>
      </c>
      <c r="AA8" s="69">
        <v>1384</v>
      </c>
      <c r="AC8" s="74">
        <v>24</v>
      </c>
      <c r="AD8" s="2">
        <v>64</v>
      </c>
      <c r="AE8" s="2">
        <v>87.08</v>
      </c>
      <c r="AF8" s="2">
        <v>10</v>
      </c>
      <c r="AG8" s="67">
        <v>0.10538288704710901</v>
      </c>
      <c r="AH8" s="67">
        <v>1.6430974908246999E-2</v>
      </c>
      <c r="AI8" s="67">
        <v>6.0105568763227698E-3</v>
      </c>
      <c r="AJ8" s="70">
        <v>5</v>
      </c>
      <c r="AK8" s="8">
        <v>18</v>
      </c>
      <c r="AL8" s="8">
        <v>43</v>
      </c>
      <c r="AM8" s="8">
        <v>139</v>
      </c>
      <c r="AN8" s="8">
        <v>586</v>
      </c>
      <c r="AO8" s="69">
        <v>1730</v>
      </c>
      <c r="AS8" s="2">
        <v>11</v>
      </c>
      <c r="AT8">
        <v>3.9406083818281298E-2</v>
      </c>
      <c r="AU8">
        <v>0.15393753693111001</v>
      </c>
      <c r="AV8">
        <v>0.46926879178815301</v>
      </c>
      <c r="AW8">
        <v>1.6679355265670801</v>
      </c>
      <c r="AX8">
        <v>6.0491299651584196</v>
      </c>
      <c r="AY8">
        <v>24.1965198606337</v>
      </c>
      <c r="BA8">
        <v>5.1754391722476999E-2</v>
      </c>
      <c r="BB8">
        <v>0.20701756688990799</v>
      </c>
      <c r="BC8">
        <v>0.82807026755963298</v>
      </c>
      <c r="BD8">
        <v>3.3122810702385301</v>
      </c>
      <c r="BE8">
        <v>13.249124280954099</v>
      </c>
      <c r="BF8">
        <v>52.996497123816503</v>
      </c>
    </row>
    <row r="9" spans="1:58" x14ac:dyDescent="0.25">
      <c r="A9" s="2">
        <v>22</v>
      </c>
      <c r="B9" s="2">
        <v>90</v>
      </c>
      <c r="C9" s="2"/>
      <c r="D9" s="2">
        <v>10</v>
      </c>
      <c r="E9" s="67">
        <v>6.2688332148029005E-2</v>
      </c>
      <c r="F9" s="67">
        <v>1.8357479777712401E-2</v>
      </c>
      <c r="G9" s="67">
        <v>5.3392743586913897E-3</v>
      </c>
      <c r="H9" s="70">
        <v>3</v>
      </c>
      <c r="I9" s="8">
        <v>21</v>
      </c>
      <c r="J9" s="8">
        <v>91</v>
      </c>
      <c r="K9" s="8">
        <v>212</v>
      </c>
      <c r="L9" s="8">
        <v>660</v>
      </c>
      <c r="M9" s="69">
        <v>1581</v>
      </c>
      <c r="O9" s="74">
        <v>107</v>
      </c>
      <c r="P9" s="2">
        <v>45</v>
      </c>
      <c r="Q9" s="2">
        <v>52.94</v>
      </c>
      <c r="R9" s="2">
        <v>5</v>
      </c>
      <c r="S9" s="67">
        <v>2.7724885205644801E-2</v>
      </c>
      <c r="T9" s="67">
        <v>1.4478880481023E-2</v>
      </c>
      <c r="U9" s="67">
        <v>1.4642800293065399E-2</v>
      </c>
      <c r="V9" s="70">
        <v>1</v>
      </c>
      <c r="W9" s="8">
        <v>13</v>
      </c>
      <c r="X9" s="8">
        <v>39</v>
      </c>
      <c r="Y9" s="8">
        <v>78</v>
      </c>
      <c r="Z9" s="8">
        <v>345</v>
      </c>
      <c r="AA9" s="69">
        <v>943</v>
      </c>
      <c r="AC9" s="74">
        <v>159</v>
      </c>
      <c r="AD9" s="2">
        <v>45</v>
      </c>
      <c r="AE9" s="2">
        <v>54.11</v>
      </c>
      <c r="AF9" s="2">
        <v>15</v>
      </c>
      <c r="AG9" s="67">
        <v>1.09573532088619E-2</v>
      </c>
      <c r="AH9" s="67">
        <v>4.9905746416529098E-3</v>
      </c>
      <c r="AI9" s="67">
        <v>4.5767283517164602E-3</v>
      </c>
      <c r="AJ9" s="70">
        <v>0</v>
      </c>
      <c r="AK9" s="8">
        <v>0</v>
      </c>
      <c r="AL9" s="8">
        <v>11</v>
      </c>
      <c r="AM9" s="8">
        <v>72</v>
      </c>
      <c r="AN9" s="8">
        <v>777</v>
      </c>
      <c r="AO9" s="69">
        <v>2820</v>
      </c>
      <c r="AS9" s="2">
        <v>22</v>
      </c>
      <c r="AT9">
        <v>4.5463397559226001E-2</v>
      </c>
      <c r="AU9">
        <v>0.16338445100562901</v>
      </c>
      <c r="AV9">
        <v>0.426009200925964</v>
      </c>
      <c r="AW9">
        <v>1.2687679005852299</v>
      </c>
      <c r="AX9">
        <v>4.6995148199797203</v>
      </c>
      <c r="AY9">
        <v>18.7980592799188</v>
      </c>
      <c r="BA9">
        <v>4.5463397884194803E-2</v>
      </c>
      <c r="BB9">
        <v>0.25075332859211602</v>
      </c>
      <c r="BC9">
        <v>1.0030133143684601</v>
      </c>
      <c r="BD9">
        <v>4.0120532574738599</v>
      </c>
      <c r="BE9">
        <v>16.0482130298954</v>
      </c>
      <c r="BF9">
        <v>64.192852119581701</v>
      </c>
    </row>
    <row r="10" spans="1:58" x14ac:dyDescent="0.25">
      <c r="A10" s="2">
        <v>152</v>
      </c>
      <c r="B10" s="2">
        <v>90</v>
      </c>
      <c r="C10" s="2">
        <v>91.54</v>
      </c>
      <c r="D10" s="2">
        <v>10</v>
      </c>
      <c r="E10" s="67">
        <v>0.10293183462706799</v>
      </c>
      <c r="F10" s="67">
        <v>2.3869849132825499E-2</v>
      </c>
      <c r="G10" s="67">
        <v>8.4624680045280194E-3</v>
      </c>
      <c r="H10" s="70">
        <v>9</v>
      </c>
      <c r="I10" s="8">
        <v>32</v>
      </c>
      <c r="J10" s="8">
        <v>75</v>
      </c>
      <c r="K10" s="8">
        <v>233</v>
      </c>
      <c r="L10" s="8">
        <v>700</v>
      </c>
      <c r="M10" s="69">
        <v>1639</v>
      </c>
      <c r="O10" s="74">
        <v>162</v>
      </c>
      <c r="P10" s="2">
        <v>45</v>
      </c>
      <c r="Q10" s="2">
        <v>54.05</v>
      </c>
      <c r="R10" s="2">
        <v>10</v>
      </c>
      <c r="S10" s="67">
        <v>2.2481115003792299E-2</v>
      </c>
      <c r="T10" s="67">
        <v>9.1860908476934702E-3</v>
      </c>
      <c r="U10" s="67">
        <v>5.26397191560033E-3</v>
      </c>
      <c r="V10" s="70">
        <v>0</v>
      </c>
      <c r="W10" s="8">
        <v>8</v>
      </c>
      <c r="X10" s="8">
        <v>40</v>
      </c>
      <c r="Y10" s="8">
        <v>121</v>
      </c>
      <c r="Z10" s="8">
        <v>631</v>
      </c>
      <c r="AA10" s="69">
        <v>1881</v>
      </c>
      <c r="AC10" s="74">
        <v>35</v>
      </c>
      <c r="AD10" s="2">
        <v>45</v>
      </c>
      <c r="AE10" s="2">
        <v>64.849999999999994</v>
      </c>
      <c r="AF10" s="2">
        <v>6</v>
      </c>
      <c r="AG10" s="67">
        <v>2.2279504588702301E-2</v>
      </c>
      <c r="AH10" s="67">
        <v>9.4453501582737708E-3</v>
      </c>
      <c r="AI10" s="67">
        <v>6.3512880877902899E-3</v>
      </c>
      <c r="AJ10" s="70">
        <v>0</v>
      </c>
      <c r="AK10" s="8">
        <v>6</v>
      </c>
      <c r="AL10" s="8">
        <v>24</v>
      </c>
      <c r="AM10" s="8">
        <v>103</v>
      </c>
      <c r="AN10" s="8">
        <v>418</v>
      </c>
      <c r="AO10" s="69">
        <v>1139</v>
      </c>
      <c r="AS10" s="2">
        <v>152</v>
      </c>
      <c r="AT10">
        <v>9.5743592288179996E-2</v>
      </c>
      <c r="AU10">
        <v>0.18723147718286101</v>
      </c>
      <c r="AV10">
        <v>0.64667150537108198</v>
      </c>
      <c r="AW10">
        <v>1.81287477386409</v>
      </c>
      <c r="AX10">
        <v>6.1106814199081896</v>
      </c>
      <c r="AY10">
        <v>24.442725679632701</v>
      </c>
      <c r="BA10">
        <v>0.10293183462706799</v>
      </c>
      <c r="BB10">
        <v>0.41172733850827198</v>
      </c>
      <c r="BC10">
        <v>1.6469093540330899</v>
      </c>
      <c r="BD10">
        <v>6.5876374161323596</v>
      </c>
      <c r="BE10">
        <v>26.3505496645294</v>
      </c>
      <c r="BF10">
        <v>105.402198658117</v>
      </c>
    </row>
    <row r="11" spans="1:58" x14ac:dyDescent="0.25">
      <c r="A11" s="2">
        <v>12</v>
      </c>
      <c r="B11" s="2">
        <v>64</v>
      </c>
      <c r="C11" s="2">
        <v>84.2</v>
      </c>
      <c r="D11" s="2">
        <v>3</v>
      </c>
      <c r="E11" s="67">
        <v>4.4543546788178297E-2</v>
      </c>
      <c r="F11" s="67">
        <v>2.3352349155409499E-2</v>
      </c>
      <c r="G11" s="67">
        <v>2.1759151907210301E-2</v>
      </c>
      <c r="H11" s="70">
        <v>3</v>
      </c>
      <c r="I11" s="8">
        <v>14</v>
      </c>
      <c r="J11" s="8">
        <v>41</v>
      </c>
      <c r="K11" s="8">
        <v>103</v>
      </c>
      <c r="L11" s="8">
        <v>323</v>
      </c>
      <c r="M11" s="69">
        <v>559</v>
      </c>
      <c r="O11" s="74">
        <v>69</v>
      </c>
      <c r="P11" s="2">
        <v>32</v>
      </c>
      <c r="Q11" s="2"/>
      <c r="R11" s="2">
        <v>4</v>
      </c>
      <c r="S11" s="67">
        <v>1.0897008883362201E-2</v>
      </c>
      <c r="T11" s="67">
        <v>7.27047978157239E-3</v>
      </c>
      <c r="U11" s="67">
        <v>6.8585843273274603E-3</v>
      </c>
      <c r="V11" s="70">
        <v>0</v>
      </c>
      <c r="W11" s="8">
        <v>1</v>
      </c>
      <c r="X11" s="8">
        <v>12</v>
      </c>
      <c r="Y11" s="8">
        <v>57</v>
      </c>
      <c r="Z11" s="8">
        <v>275</v>
      </c>
      <c r="AA11" s="69">
        <v>830</v>
      </c>
      <c r="AC11" s="74">
        <v>61</v>
      </c>
      <c r="AD11" s="2">
        <v>32</v>
      </c>
      <c r="AE11" s="2"/>
      <c r="AF11" s="2">
        <v>6</v>
      </c>
      <c r="AG11" s="67">
        <v>2.4554138346802101E-2</v>
      </c>
      <c r="AH11" s="67">
        <v>8.2745106205033593E-3</v>
      </c>
      <c r="AI11" s="67">
        <v>4.2829956428710502E-3</v>
      </c>
      <c r="AJ11" s="70">
        <v>0</v>
      </c>
      <c r="AK11" s="8">
        <v>6</v>
      </c>
      <c r="AL11" s="8">
        <v>27</v>
      </c>
      <c r="AM11" s="8">
        <v>64</v>
      </c>
      <c r="AN11" s="8">
        <v>364</v>
      </c>
      <c r="AO11" s="69">
        <v>1201</v>
      </c>
      <c r="AS11" s="2">
        <v>12</v>
      </c>
      <c r="AT11">
        <v>3.8585276164057498E-2</v>
      </c>
      <c r="AU11">
        <v>0.117415800187244</v>
      </c>
      <c r="AV11">
        <v>0.46966320074897699</v>
      </c>
      <c r="AW11">
        <v>1.4945503386105301</v>
      </c>
      <c r="AX11">
        <v>5.97820135444214</v>
      </c>
      <c r="AY11">
        <v>23.912805417768499</v>
      </c>
      <c r="BA11">
        <v>4.4543546788178297E-2</v>
      </c>
      <c r="BB11">
        <v>0.17817418715271299</v>
      </c>
      <c r="BC11">
        <v>0.71269674861085297</v>
      </c>
      <c r="BD11">
        <v>2.8507869944434101</v>
      </c>
      <c r="BE11">
        <v>11.4031479777736</v>
      </c>
      <c r="BF11">
        <v>45.612591911094597</v>
      </c>
    </row>
    <row r="12" spans="1:58" x14ac:dyDescent="0.25">
      <c r="A12" s="2">
        <v>96</v>
      </c>
      <c r="B12" s="2">
        <v>64</v>
      </c>
      <c r="C12" s="2">
        <v>86.98</v>
      </c>
      <c r="D12" s="2">
        <v>8</v>
      </c>
      <c r="E12" s="67">
        <v>9.5639162401153693E-2</v>
      </c>
      <c r="F12" s="67">
        <v>1.9277468694701001E-2</v>
      </c>
      <c r="G12" s="67">
        <v>5.1627678565697001E-3</v>
      </c>
      <c r="H12" s="70">
        <v>3</v>
      </c>
      <c r="I12" s="8">
        <v>22</v>
      </c>
      <c r="J12" s="8">
        <v>58</v>
      </c>
      <c r="K12" s="8">
        <v>165</v>
      </c>
      <c r="L12" s="8">
        <v>559</v>
      </c>
      <c r="M12" s="69">
        <v>1384</v>
      </c>
      <c r="O12" s="74">
        <v>85</v>
      </c>
      <c r="P12" s="2">
        <v>32</v>
      </c>
      <c r="Q12" s="2">
        <v>43.73</v>
      </c>
      <c r="R12" s="2">
        <v>6</v>
      </c>
      <c r="S12" s="67">
        <v>1.13162316396569E-2</v>
      </c>
      <c r="T12" s="67">
        <v>6.77105129691932E-3</v>
      </c>
      <c r="U12" s="67">
        <v>5.0494700428746703E-3</v>
      </c>
      <c r="V12" s="70">
        <v>0</v>
      </c>
      <c r="W12" s="8">
        <v>1</v>
      </c>
      <c r="X12" s="8">
        <v>17</v>
      </c>
      <c r="Y12" s="8">
        <v>76</v>
      </c>
      <c r="Z12" s="8">
        <v>328</v>
      </c>
      <c r="AA12" s="69">
        <v>1228</v>
      </c>
      <c r="AC12" s="74">
        <v>52</v>
      </c>
      <c r="AD12" s="2">
        <v>32</v>
      </c>
      <c r="AE12" s="2">
        <v>45.6</v>
      </c>
      <c r="AF12" s="2">
        <v>5</v>
      </c>
      <c r="AG12" s="67">
        <v>1.6195175632876601E-2</v>
      </c>
      <c r="AH12" s="67">
        <v>8.7837172608482301E-3</v>
      </c>
      <c r="AI12" s="67">
        <v>7.5116788153303899E-3</v>
      </c>
      <c r="AJ12" s="70">
        <v>0</v>
      </c>
      <c r="AK12" s="8">
        <v>3</v>
      </c>
      <c r="AL12" s="8">
        <v>21</v>
      </c>
      <c r="AM12" s="8">
        <v>74</v>
      </c>
      <c r="AN12" s="8">
        <v>395</v>
      </c>
      <c r="AO12" s="69">
        <v>990</v>
      </c>
      <c r="AS12" s="2">
        <v>96</v>
      </c>
      <c r="AT12">
        <v>9.5639162709086803E-2</v>
      </c>
      <c r="AU12">
        <v>0.18581760283662399</v>
      </c>
      <c r="AV12">
        <v>0.60536126077852104</v>
      </c>
      <c r="AW12">
        <v>1.2337579982911999</v>
      </c>
      <c r="AX12">
        <v>4.9350319931648103</v>
      </c>
      <c r="AY12">
        <v>19.740127972659199</v>
      </c>
      <c r="BA12">
        <v>9.5639162401153693E-2</v>
      </c>
      <c r="BB12">
        <v>0.382556649604614</v>
      </c>
      <c r="BC12">
        <v>1.53022659841845</v>
      </c>
      <c r="BD12">
        <v>6.1209063936738302</v>
      </c>
      <c r="BE12">
        <v>24.483625574695299</v>
      </c>
      <c r="BF12">
        <v>97.934502298781396</v>
      </c>
    </row>
    <row r="13" spans="1:58" x14ac:dyDescent="0.25">
      <c r="A13" s="2">
        <v>101</v>
      </c>
      <c r="B13" s="2">
        <v>64</v>
      </c>
      <c r="C13" s="2">
        <v>108.92</v>
      </c>
      <c r="D13" s="2">
        <v>6</v>
      </c>
      <c r="E13" s="67">
        <v>3.00794247374499E-2</v>
      </c>
      <c r="F13" s="67">
        <v>1.50358559887077E-2</v>
      </c>
      <c r="G13" s="67">
        <v>9.2196022769056602E-3</v>
      </c>
      <c r="H13" s="70">
        <v>2</v>
      </c>
      <c r="I13" s="8">
        <v>9</v>
      </c>
      <c r="J13" s="8">
        <v>49</v>
      </c>
      <c r="K13" s="8">
        <v>132</v>
      </c>
      <c r="L13" s="8">
        <v>544</v>
      </c>
      <c r="M13" s="69">
        <v>1041</v>
      </c>
      <c r="O13" s="74">
        <v>165</v>
      </c>
      <c r="P13" s="2">
        <v>16</v>
      </c>
      <c r="Q13" s="2"/>
      <c r="R13" s="2">
        <v>10</v>
      </c>
      <c r="S13" s="67">
        <v>1.06254875376059E-2</v>
      </c>
      <c r="T13" s="67">
        <v>5.3979442955963304E-3</v>
      </c>
      <c r="U13" s="67">
        <v>5.0606462291010196E-3</v>
      </c>
      <c r="V13" s="70">
        <v>0</v>
      </c>
      <c r="W13" s="8">
        <v>1</v>
      </c>
      <c r="X13" s="8">
        <v>11</v>
      </c>
      <c r="Y13" s="8">
        <v>62</v>
      </c>
      <c r="Z13" s="8">
        <v>607</v>
      </c>
      <c r="AA13" s="69">
        <v>1911</v>
      </c>
      <c r="AC13" s="74">
        <v>53</v>
      </c>
      <c r="AD13" s="2">
        <v>22.6</v>
      </c>
      <c r="AE13" s="2">
        <v>29.55</v>
      </c>
      <c r="AF13" s="2">
        <v>15</v>
      </c>
      <c r="AG13" s="67">
        <v>5.4074185586351197E-3</v>
      </c>
      <c r="AH13" s="67">
        <v>3.7739188928974099E-3</v>
      </c>
      <c r="AI13" s="67">
        <v>3.5257352179030601E-3</v>
      </c>
      <c r="AJ13" s="70">
        <v>0</v>
      </c>
      <c r="AK13" s="8">
        <v>0</v>
      </c>
      <c r="AL13" s="8">
        <v>2</v>
      </c>
      <c r="AM13" s="8">
        <v>30</v>
      </c>
      <c r="AN13" s="8">
        <v>601</v>
      </c>
      <c r="AO13" s="69">
        <v>3003</v>
      </c>
      <c r="AS13" s="2">
        <v>101</v>
      </c>
      <c r="AT13">
        <v>2.85197693561322E-2</v>
      </c>
      <c r="AU13">
        <v>0.101347429024516</v>
      </c>
      <c r="AV13">
        <v>0.24057369702033901</v>
      </c>
      <c r="AW13">
        <v>0.96229478808135804</v>
      </c>
      <c r="AX13">
        <v>3.84917915232543</v>
      </c>
      <c r="AY13">
        <v>15.3967166093017</v>
      </c>
      <c r="BA13">
        <v>3.00794247374499E-2</v>
      </c>
      <c r="BB13">
        <v>0.120317698949799</v>
      </c>
      <c r="BC13">
        <v>0.48127079579919901</v>
      </c>
      <c r="BD13">
        <v>1.9250831831967901</v>
      </c>
      <c r="BE13">
        <v>7.7003327327871904</v>
      </c>
      <c r="BF13">
        <v>30.801330931148701</v>
      </c>
    </row>
    <row r="14" spans="1:58" x14ac:dyDescent="0.25">
      <c r="A14" s="2">
        <v>24</v>
      </c>
      <c r="B14" s="2">
        <v>64</v>
      </c>
      <c r="C14" s="2">
        <v>87.08</v>
      </c>
      <c r="D14" s="2">
        <v>10</v>
      </c>
      <c r="E14" s="67">
        <v>0.10538288704710901</v>
      </c>
      <c r="F14" s="67">
        <v>1.6430974908246999E-2</v>
      </c>
      <c r="G14" s="67">
        <v>6.0105568763227698E-3</v>
      </c>
      <c r="H14" s="70">
        <v>5</v>
      </c>
      <c r="I14" s="8">
        <v>18</v>
      </c>
      <c r="J14" s="8">
        <v>43</v>
      </c>
      <c r="K14" s="8">
        <v>139</v>
      </c>
      <c r="L14" s="8">
        <v>586</v>
      </c>
      <c r="M14" s="69">
        <v>1730</v>
      </c>
      <c r="O14" s="74">
        <v>166</v>
      </c>
      <c r="P14" s="2">
        <v>16</v>
      </c>
      <c r="Q14" s="2"/>
      <c r="R14" s="2">
        <v>10</v>
      </c>
      <c r="S14" s="67">
        <v>5.4104257016193398E-3</v>
      </c>
      <c r="T14" s="67">
        <v>4.2237913969842902E-3</v>
      </c>
      <c r="U14" s="67">
        <v>4.0412722569313003E-3</v>
      </c>
      <c r="V14" s="70">
        <v>0</v>
      </c>
      <c r="W14" s="8">
        <v>0</v>
      </c>
      <c r="X14" s="8">
        <v>2</v>
      </c>
      <c r="Y14" s="8">
        <v>32</v>
      </c>
      <c r="Z14" s="8">
        <v>536</v>
      </c>
      <c r="AA14" s="69">
        <v>2020</v>
      </c>
      <c r="AC14" s="74">
        <v>45</v>
      </c>
      <c r="AD14" s="2">
        <v>22.6</v>
      </c>
      <c r="AE14" s="2">
        <v>22.6</v>
      </c>
      <c r="AF14" s="2">
        <v>10</v>
      </c>
      <c r="AG14" s="67">
        <v>6.9634801117522301E-3</v>
      </c>
      <c r="AH14" s="67">
        <v>4.7306891897243297E-3</v>
      </c>
      <c r="AI14" s="67">
        <v>4.5595536316889104E-3</v>
      </c>
      <c r="AJ14" s="70">
        <v>0</v>
      </c>
      <c r="AK14" s="8">
        <v>1</v>
      </c>
      <c r="AL14" s="8">
        <v>4</v>
      </c>
      <c r="AM14" s="8">
        <v>51</v>
      </c>
      <c r="AN14" s="8">
        <v>494</v>
      </c>
      <c r="AO14" s="69">
        <v>1931</v>
      </c>
      <c r="AS14" s="2">
        <v>24</v>
      </c>
      <c r="AT14">
        <v>0.10538288717717199</v>
      </c>
      <c r="AU14">
        <v>0.15056990486005101</v>
      </c>
      <c r="AV14">
        <v>0.50129083006757003</v>
      </c>
      <c r="AW14">
        <v>1.0515823951961401</v>
      </c>
      <c r="AX14">
        <v>4.2063295807845602</v>
      </c>
      <c r="AY14">
        <v>16.825318323138202</v>
      </c>
      <c r="BA14">
        <v>0.10538288704710901</v>
      </c>
      <c r="BB14">
        <v>0.42153154818843802</v>
      </c>
      <c r="BC14">
        <v>1.6861261927537501</v>
      </c>
      <c r="BD14">
        <v>6.7445047710150003</v>
      </c>
      <c r="BE14">
        <v>26.978019084060001</v>
      </c>
      <c r="BF14">
        <v>107.91207633624001</v>
      </c>
    </row>
    <row r="15" spans="1:58" x14ac:dyDescent="0.25">
      <c r="A15" s="2">
        <v>107</v>
      </c>
      <c r="B15" s="2">
        <v>45</v>
      </c>
      <c r="C15" s="2">
        <v>52.94</v>
      </c>
      <c r="D15" s="2">
        <v>5</v>
      </c>
      <c r="E15" s="67">
        <v>2.7724885205644801E-2</v>
      </c>
      <c r="F15" s="67">
        <v>1.4478880481023E-2</v>
      </c>
      <c r="G15" s="67">
        <v>1.4642800293065399E-2</v>
      </c>
      <c r="H15" s="70">
        <v>1</v>
      </c>
      <c r="I15" s="8">
        <v>13</v>
      </c>
      <c r="J15" s="8">
        <v>39</v>
      </c>
      <c r="K15" s="8">
        <v>78</v>
      </c>
      <c r="L15" s="8">
        <v>345</v>
      </c>
      <c r="M15" s="69">
        <v>943</v>
      </c>
      <c r="O15" s="7">
        <v>1.1000000000000001</v>
      </c>
      <c r="P15" s="3">
        <v>32</v>
      </c>
      <c r="Q15" s="3">
        <v>45.6</v>
      </c>
      <c r="R15" s="3">
        <v>20</v>
      </c>
      <c r="S15" s="66">
        <v>1.40031756933689E-2</v>
      </c>
      <c r="T15" s="66">
        <v>5.6784984243662398E-3</v>
      </c>
      <c r="U15" s="66">
        <v>4.6667095589632999E-3</v>
      </c>
      <c r="V15" s="70">
        <v>0</v>
      </c>
      <c r="W15" s="8">
        <v>1</v>
      </c>
      <c r="X15" s="8">
        <v>18</v>
      </c>
      <c r="Y15" s="8">
        <v>151</v>
      </c>
      <c r="Z15" s="8">
        <v>1196</v>
      </c>
      <c r="AA15" s="69">
        <v>3617</v>
      </c>
      <c r="AC15" s="7">
        <v>1.3</v>
      </c>
      <c r="AD15" s="3">
        <v>32</v>
      </c>
      <c r="AE15" s="3">
        <v>42.84</v>
      </c>
      <c r="AF15" s="3">
        <v>10</v>
      </c>
      <c r="AG15" s="66">
        <v>2.3197934886697399E-2</v>
      </c>
      <c r="AH15" s="66">
        <v>9.1426900455134907E-3</v>
      </c>
      <c r="AI15" s="66">
        <v>6.1375608082080103E-3</v>
      </c>
      <c r="AJ15" s="70">
        <v>0</v>
      </c>
      <c r="AK15" s="8">
        <v>4</v>
      </c>
      <c r="AL15" s="8">
        <v>35</v>
      </c>
      <c r="AM15" s="8">
        <v>163</v>
      </c>
      <c r="AN15" s="8">
        <v>788</v>
      </c>
      <c r="AO15" s="69">
        <v>1749</v>
      </c>
      <c r="AS15" s="2">
        <v>107</v>
      </c>
      <c r="AT15">
        <v>2.77248857374158E-2</v>
      </c>
      <c r="AU15">
        <v>7.8677957752448305E-2</v>
      </c>
      <c r="AV15">
        <v>0.26510584610390098</v>
      </c>
      <c r="AW15">
        <v>0.92664835919294097</v>
      </c>
      <c r="AX15">
        <v>3.7065934367717599</v>
      </c>
      <c r="AY15">
        <v>14.826373747087001</v>
      </c>
      <c r="BA15">
        <v>2.7724885205644801E-2</v>
      </c>
      <c r="BB15">
        <v>0.110899540822579</v>
      </c>
      <c r="BC15">
        <v>0.44359816329031698</v>
      </c>
      <c r="BD15">
        <v>1.7743926531612599</v>
      </c>
      <c r="BE15">
        <v>7.0975706126450699</v>
      </c>
      <c r="BF15">
        <v>28.390282450580202</v>
      </c>
    </row>
    <row r="16" spans="1:58" x14ac:dyDescent="0.25">
      <c r="A16" s="2">
        <v>162</v>
      </c>
      <c r="B16" s="2">
        <v>45</v>
      </c>
      <c r="C16" s="2">
        <v>54.05</v>
      </c>
      <c r="D16" s="2">
        <v>10</v>
      </c>
      <c r="E16" s="67">
        <v>2.2481115003792299E-2</v>
      </c>
      <c r="F16" s="67">
        <v>9.1860908476934702E-3</v>
      </c>
      <c r="G16" s="67">
        <v>5.26397191560033E-3</v>
      </c>
      <c r="H16" s="70">
        <v>0</v>
      </c>
      <c r="I16" s="8">
        <v>8</v>
      </c>
      <c r="J16" s="8">
        <v>40</v>
      </c>
      <c r="K16" s="8">
        <v>121</v>
      </c>
      <c r="L16" s="8">
        <v>631</v>
      </c>
      <c r="M16" s="69">
        <v>1881</v>
      </c>
      <c r="O16" s="7">
        <v>1.2</v>
      </c>
      <c r="P16" s="3">
        <v>32</v>
      </c>
      <c r="Q16" s="3">
        <v>44.2</v>
      </c>
      <c r="R16" s="3">
        <v>20</v>
      </c>
      <c r="S16" s="66">
        <v>1.0890800850407899E-2</v>
      </c>
      <c r="T16" s="66">
        <v>4.8212415579803897E-3</v>
      </c>
      <c r="U16" s="66">
        <v>4.1135640493545804E-3</v>
      </c>
      <c r="V16" s="70">
        <v>0</v>
      </c>
      <c r="W16" s="8">
        <v>1</v>
      </c>
      <c r="X16" s="8">
        <v>11</v>
      </c>
      <c r="Y16" s="8">
        <v>103</v>
      </c>
      <c r="Z16" s="8">
        <v>972</v>
      </c>
      <c r="AA16" s="69">
        <v>3501</v>
      </c>
      <c r="AC16" s="7">
        <v>2.1</v>
      </c>
      <c r="AD16" s="3">
        <v>45</v>
      </c>
      <c r="AE16" s="3">
        <v>52.94</v>
      </c>
      <c r="AF16" s="3">
        <v>20</v>
      </c>
      <c r="AG16" s="66">
        <v>3.5345925929864103E-2</v>
      </c>
      <c r="AH16" s="66">
        <v>7.8507383881498607E-3</v>
      </c>
      <c r="AI16" s="66">
        <v>4.0069409325786598E-3</v>
      </c>
      <c r="AJ16" s="70">
        <v>0</v>
      </c>
      <c r="AK16" s="8">
        <v>11</v>
      </c>
      <c r="AL16" s="8">
        <v>56</v>
      </c>
      <c r="AM16" s="8">
        <v>204</v>
      </c>
      <c r="AN16" s="8">
        <v>1215</v>
      </c>
      <c r="AO16" s="69">
        <v>3424</v>
      </c>
      <c r="AS16" s="2">
        <v>162</v>
      </c>
      <c r="AU16">
        <v>7.7959153032395798E-2</v>
      </c>
      <c r="AV16">
        <v>0.24135454645261201</v>
      </c>
      <c r="AW16">
        <v>0.62231226944989104</v>
      </c>
      <c r="AX16">
        <v>2.3516392566763402</v>
      </c>
      <c r="AY16">
        <v>9.4065570267053804</v>
      </c>
      <c r="BB16">
        <v>8.9924460015169197E-2</v>
      </c>
      <c r="BC16">
        <v>0.35969784006067601</v>
      </c>
      <c r="BD16">
        <v>1.4387913602427</v>
      </c>
      <c r="BE16">
        <v>5.7551654409708304</v>
      </c>
      <c r="BF16">
        <v>23.0206617638833</v>
      </c>
    </row>
    <row r="17" spans="1:58" x14ac:dyDescent="0.25">
      <c r="A17" s="2">
        <v>159</v>
      </c>
      <c r="B17" s="2">
        <v>45</v>
      </c>
      <c r="C17" s="2">
        <v>54.11</v>
      </c>
      <c r="D17" s="2">
        <v>15</v>
      </c>
      <c r="E17" s="67">
        <v>1.09573532088619E-2</v>
      </c>
      <c r="F17" s="67">
        <v>4.9905746416529098E-3</v>
      </c>
      <c r="G17" s="67">
        <v>4.5767283517164602E-3</v>
      </c>
      <c r="H17" s="70">
        <v>0</v>
      </c>
      <c r="I17" s="8">
        <v>0</v>
      </c>
      <c r="J17" s="8">
        <v>11</v>
      </c>
      <c r="K17" s="8">
        <v>72</v>
      </c>
      <c r="L17" s="8">
        <v>777</v>
      </c>
      <c r="M17" s="69">
        <v>2820</v>
      </c>
      <c r="O17" s="7">
        <v>2.2000000000000002</v>
      </c>
      <c r="P17" s="3">
        <v>45</v>
      </c>
      <c r="Q17" s="3">
        <v>54.05</v>
      </c>
      <c r="R17" s="3">
        <v>15</v>
      </c>
      <c r="S17" s="66">
        <v>2.4016207968108199E-2</v>
      </c>
      <c r="T17" s="66">
        <v>6.5149661727545603E-3</v>
      </c>
      <c r="U17" s="66">
        <v>4.26435563054003E-3</v>
      </c>
      <c r="V17" s="70">
        <v>1</v>
      </c>
      <c r="W17" s="8">
        <v>5</v>
      </c>
      <c r="X17" s="8">
        <v>26</v>
      </c>
      <c r="Y17" s="8">
        <v>112</v>
      </c>
      <c r="Z17" s="8">
        <v>811</v>
      </c>
      <c r="AA17" s="69">
        <v>2808</v>
      </c>
      <c r="AC17" s="7">
        <v>2.2999999999999998</v>
      </c>
      <c r="AD17" s="3">
        <v>45</v>
      </c>
      <c r="AE17" s="3">
        <v>54.11</v>
      </c>
      <c r="AF17" s="3">
        <v>10</v>
      </c>
      <c r="AG17" s="66">
        <v>1.9422121419342901E-2</v>
      </c>
      <c r="AH17" s="66">
        <v>7.5773751595888898E-3</v>
      </c>
      <c r="AI17" s="66">
        <v>5.3544304928017398E-3</v>
      </c>
      <c r="AJ17" s="70">
        <v>0</v>
      </c>
      <c r="AK17" s="8">
        <v>3</v>
      </c>
      <c r="AL17" s="8">
        <v>28</v>
      </c>
      <c r="AM17" s="8">
        <v>147</v>
      </c>
      <c r="AN17" s="8">
        <v>700</v>
      </c>
      <c r="AO17" s="69">
        <v>1838</v>
      </c>
      <c r="AS17" s="2">
        <v>159</v>
      </c>
      <c r="AV17">
        <v>0.12254395097085501</v>
      </c>
      <c r="AW17">
        <v>0.35900970208783201</v>
      </c>
      <c r="AX17">
        <v>1.2775871078584</v>
      </c>
      <c r="AY17">
        <v>5.1103484314336303</v>
      </c>
      <c r="BC17">
        <v>0.175317651341791</v>
      </c>
      <c r="BD17">
        <v>0.70127060536716501</v>
      </c>
      <c r="BE17">
        <v>2.80508242146866</v>
      </c>
      <c r="BF17">
        <v>11.220329685874599</v>
      </c>
    </row>
    <row r="18" spans="1:58" x14ac:dyDescent="0.25">
      <c r="A18" s="2">
        <v>35</v>
      </c>
      <c r="B18" s="2">
        <v>45</v>
      </c>
      <c r="C18" s="2">
        <v>64.849999999999994</v>
      </c>
      <c r="D18" s="2">
        <v>6</v>
      </c>
      <c r="E18" s="67">
        <v>2.2279504588702301E-2</v>
      </c>
      <c r="F18" s="67">
        <v>9.4453501582737708E-3</v>
      </c>
      <c r="G18" s="67">
        <v>6.3512880877902899E-3</v>
      </c>
      <c r="H18" s="70">
        <v>0</v>
      </c>
      <c r="I18" s="8">
        <v>6</v>
      </c>
      <c r="J18" s="8">
        <v>24</v>
      </c>
      <c r="K18" s="8">
        <v>103</v>
      </c>
      <c r="L18" s="8">
        <v>418</v>
      </c>
      <c r="M18" s="69">
        <v>1139</v>
      </c>
      <c r="O18" s="7">
        <v>3.2</v>
      </c>
      <c r="P18" s="3">
        <v>64</v>
      </c>
      <c r="Q18" s="3">
        <v>86.98</v>
      </c>
      <c r="R18" s="3">
        <v>15</v>
      </c>
      <c r="S18" s="66">
        <v>5.1502950973667999E-2</v>
      </c>
      <c r="T18" s="66">
        <v>1.37528556522491E-2</v>
      </c>
      <c r="U18" s="66">
        <v>4.5700514622563203E-3</v>
      </c>
      <c r="V18" s="70">
        <v>2</v>
      </c>
      <c r="W18" s="8">
        <v>30</v>
      </c>
      <c r="X18" s="8">
        <v>110</v>
      </c>
      <c r="Y18" s="8">
        <v>279</v>
      </c>
      <c r="Z18" s="8">
        <v>1032</v>
      </c>
      <c r="AA18" s="69">
        <v>2570</v>
      </c>
      <c r="AC18" s="7">
        <v>3.1</v>
      </c>
      <c r="AD18" s="3">
        <v>64</v>
      </c>
      <c r="AE18" s="3">
        <v>84.98</v>
      </c>
      <c r="AF18" s="3">
        <v>20</v>
      </c>
      <c r="AG18" s="66">
        <v>0.12653412852816501</v>
      </c>
      <c r="AH18" s="66">
        <v>1.5222331559222001E-2</v>
      </c>
      <c r="AI18" s="66">
        <v>4.5052689799184196E-3</v>
      </c>
      <c r="AJ18" s="70">
        <v>10</v>
      </c>
      <c r="AK18" s="8">
        <v>38</v>
      </c>
      <c r="AL18" s="8">
        <v>113</v>
      </c>
      <c r="AM18" s="8">
        <v>312</v>
      </c>
      <c r="AN18" s="8">
        <v>1212</v>
      </c>
      <c r="AO18" s="69">
        <v>3306</v>
      </c>
      <c r="AS18" s="2">
        <v>35</v>
      </c>
      <c r="AU18">
        <v>7.2703926665255297E-2</v>
      </c>
      <c r="AV18">
        <v>0.21382124817687001</v>
      </c>
      <c r="AW18">
        <v>0.60450240905165797</v>
      </c>
      <c r="AX18">
        <v>2.4180096362066301</v>
      </c>
      <c r="AY18">
        <v>9.6720385448265294</v>
      </c>
      <c r="BB18">
        <v>8.9118018354809397E-2</v>
      </c>
      <c r="BC18">
        <v>0.35647207341923698</v>
      </c>
      <c r="BD18">
        <v>1.4258882936769499</v>
      </c>
      <c r="BE18">
        <v>5.7035531747077997</v>
      </c>
      <c r="BF18">
        <v>22.814212698831199</v>
      </c>
    </row>
    <row r="19" spans="1:58" x14ac:dyDescent="0.25">
      <c r="A19" s="2">
        <v>69</v>
      </c>
      <c r="B19" s="2">
        <v>32</v>
      </c>
      <c r="C19" s="2"/>
      <c r="D19" s="2">
        <v>4</v>
      </c>
      <c r="E19" s="67">
        <v>1.0897008883362201E-2</v>
      </c>
      <c r="F19" s="67">
        <v>7.27047978157239E-3</v>
      </c>
      <c r="G19" s="67">
        <v>6.8585843273274603E-3</v>
      </c>
      <c r="H19" s="70">
        <v>0</v>
      </c>
      <c r="I19" s="8">
        <v>1</v>
      </c>
      <c r="J19" s="8">
        <v>12</v>
      </c>
      <c r="K19" s="8">
        <v>57</v>
      </c>
      <c r="L19" s="8">
        <v>275</v>
      </c>
      <c r="M19" s="69">
        <v>830</v>
      </c>
      <c r="O19" s="7">
        <v>3.3</v>
      </c>
      <c r="P19" s="3">
        <v>64</v>
      </c>
      <c r="Q19" s="3">
        <v>87.98</v>
      </c>
      <c r="R19" s="3">
        <v>20</v>
      </c>
      <c r="S19" s="66">
        <v>5.04335454776157E-2</v>
      </c>
      <c r="T19" s="66">
        <v>9.8602655911611495E-3</v>
      </c>
      <c r="U19" s="66">
        <v>4.3864038070395503E-3</v>
      </c>
      <c r="V19" s="70">
        <v>4</v>
      </c>
      <c r="W19" s="8">
        <v>20</v>
      </c>
      <c r="X19" s="8">
        <v>68</v>
      </c>
      <c r="Y19" s="8">
        <v>245</v>
      </c>
      <c r="Z19" s="8">
        <v>1155</v>
      </c>
      <c r="AA19" s="69">
        <v>3356</v>
      </c>
      <c r="AC19" s="7">
        <v>4.2</v>
      </c>
      <c r="AD19" s="3">
        <v>90</v>
      </c>
      <c r="AE19" s="3">
        <v>127.22</v>
      </c>
      <c r="AF19" s="3">
        <v>20</v>
      </c>
      <c r="AG19" s="66">
        <v>4.1669974213015902E-2</v>
      </c>
      <c r="AH19" s="66">
        <v>9.9725509064199202E-3</v>
      </c>
      <c r="AI19" s="66">
        <v>6.2822795747625101E-3</v>
      </c>
      <c r="AJ19" s="70">
        <v>0</v>
      </c>
      <c r="AK19" s="8">
        <v>15</v>
      </c>
      <c r="AL19" s="8">
        <v>82</v>
      </c>
      <c r="AM19" s="8">
        <v>353</v>
      </c>
      <c r="AN19" s="8">
        <v>1394</v>
      </c>
      <c r="AO19" s="69">
        <v>3355</v>
      </c>
      <c r="AS19" s="2">
        <v>69</v>
      </c>
      <c r="AU19">
        <v>4.3588035701968897E-2</v>
      </c>
      <c r="AV19">
        <v>0.13106034882425699</v>
      </c>
      <c r="AW19">
        <v>0.52424139529702896</v>
      </c>
      <c r="AX19">
        <v>1.86124282879616</v>
      </c>
      <c r="AY19">
        <v>7.4449713151846701</v>
      </c>
      <c r="BB19">
        <v>4.3588035533449102E-2</v>
      </c>
      <c r="BC19">
        <v>0.17435214213379599</v>
      </c>
      <c r="BD19">
        <v>0.69740856853518496</v>
      </c>
      <c r="BE19">
        <v>2.7896342741407398</v>
      </c>
      <c r="BF19">
        <v>11.158537096562901</v>
      </c>
    </row>
    <row r="20" spans="1:58" x14ac:dyDescent="0.25">
      <c r="A20" s="2">
        <v>85</v>
      </c>
      <c r="B20" s="2">
        <v>32</v>
      </c>
      <c r="C20" s="2">
        <v>43.73</v>
      </c>
      <c r="D20" s="2">
        <v>6</v>
      </c>
      <c r="E20" s="67">
        <v>1.13162316396569E-2</v>
      </c>
      <c r="F20" s="67">
        <v>6.77105129691932E-3</v>
      </c>
      <c r="G20" s="67">
        <v>5.0494700428746703E-3</v>
      </c>
      <c r="H20" s="70">
        <v>0</v>
      </c>
      <c r="I20" s="8">
        <v>1</v>
      </c>
      <c r="J20" s="8">
        <v>17</v>
      </c>
      <c r="K20" s="8">
        <v>76</v>
      </c>
      <c r="L20" s="8">
        <v>328</v>
      </c>
      <c r="M20" s="69">
        <v>1228</v>
      </c>
      <c r="O20" s="7">
        <v>4.0999999999999996</v>
      </c>
      <c r="P20" s="3">
        <v>90</v>
      </c>
      <c r="Q20" s="3">
        <v>108.42</v>
      </c>
      <c r="R20" s="3">
        <v>15</v>
      </c>
      <c r="S20" s="66">
        <v>9.6840712231762202E-2</v>
      </c>
      <c r="T20" s="66">
        <v>2.94139388502281E-2</v>
      </c>
      <c r="U20" s="66">
        <v>9.5407724532447606E-3</v>
      </c>
      <c r="V20" s="70">
        <v>12</v>
      </c>
      <c r="W20" s="8">
        <v>61</v>
      </c>
      <c r="X20" s="8">
        <v>187</v>
      </c>
      <c r="Y20" s="8">
        <v>490</v>
      </c>
      <c r="Z20" s="8">
        <v>1019</v>
      </c>
      <c r="AA20" s="69">
        <v>2258</v>
      </c>
      <c r="AC20" s="7">
        <v>4.3</v>
      </c>
      <c r="AD20" s="3">
        <v>90</v>
      </c>
      <c r="AE20" s="3">
        <v>91.54</v>
      </c>
      <c r="AF20" s="3">
        <v>20</v>
      </c>
      <c r="AG20" s="66">
        <v>6.5041528765672305E-2</v>
      </c>
      <c r="AH20" s="66">
        <v>1.5521667521925899E-2</v>
      </c>
      <c r="AI20" s="66">
        <v>9.3037999635866304E-3</v>
      </c>
      <c r="AJ20" s="70">
        <v>6</v>
      </c>
      <c r="AK20" s="8">
        <v>32</v>
      </c>
      <c r="AL20" s="8">
        <v>142</v>
      </c>
      <c r="AM20" s="8">
        <v>419</v>
      </c>
      <c r="AN20" s="8">
        <v>1531</v>
      </c>
      <c r="AO20" s="69">
        <v>3286</v>
      </c>
      <c r="AS20" s="2">
        <v>85</v>
      </c>
      <c r="AU20">
        <v>4.5264926352280903E-2</v>
      </c>
      <c r="AV20">
        <v>0.12707267062271299</v>
      </c>
      <c r="AW20">
        <v>0.43334728234498898</v>
      </c>
      <c r="AX20">
        <v>1.7333891293799499</v>
      </c>
      <c r="AY20">
        <v>6.9335565175198299</v>
      </c>
      <c r="BB20">
        <v>4.5264926558627801E-2</v>
      </c>
      <c r="BC20">
        <v>0.18105970623451101</v>
      </c>
      <c r="BD20">
        <v>0.72423882493804503</v>
      </c>
      <c r="BE20">
        <v>2.8969552997521801</v>
      </c>
      <c r="BF20">
        <v>11.587821199008699</v>
      </c>
    </row>
    <row r="21" spans="1:58" x14ac:dyDescent="0.25">
      <c r="A21" s="2">
        <v>61</v>
      </c>
      <c r="B21" s="2">
        <v>32</v>
      </c>
      <c r="C21" s="2"/>
      <c r="D21" s="2">
        <v>6</v>
      </c>
      <c r="E21" s="67">
        <v>2.4554138346802101E-2</v>
      </c>
      <c r="F21" s="67">
        <v>8.2745106205033593E-3</v>
      </c>
      <c r="G21" s="67">
        <v>4.2829956428710502E-3</v>
      </c>
      <c r="H21" s="70">
        <v>0</v>
      </c>
      <c r="I21" s="8">
        <v>6</v>
      </c>
      <c r="J21" s="8">
        <v>27</v>
      </c>
      <c r="K21" s="8">
        <v>64</v>
      </c>
      <c r="L21" s="8">
        <v>364</v>
      </c>
      <c r="M21" s="69">
        <v>1201</v>
      </c>
      <c r="O21" s="75" t="s">
        <v>32</v>
      </c>
      <c r="P21" s="27">
        <v>90</v>
      </c>
      <c r="Q21" s="27">
        <v>113.98</v>
      </c>
      <c r="R21" s="65">
        <v>49.999977324263</v>
      </c>
      <c r="S21" s="28">
        <v>0.103785400341108</v>
      </c>
      <c r="T21" s="28">
        <v>9.3097685505032102E-3</v>
      </c>
      <c r="U21" s="28">
        <v>2.6623638531804101E-3</v>
      </c>
      <c r="V21" s="70">
        <v>7</v>
      </c>
      <c r="W21" s="8">
        <v>32</v>
      </c>
      <c r="X21" s="8">
        <v>148</v>
      </c>
      <c r="Y21" s="8">
        <v>475</v>
      </c>
      <c r="Z21" s="8">
        <v>1883</v>
      </c>
      <c r="AA21" s="69">
        <v>5866</v>
      </c>
      <c r="AC21" s="75" t="s">
        <v>34</v>
      </c>
      <c r="AD21" s="27">
        <v>90</v>
      </c>
      <c r="AE21" s="27">
        <v>108.42</v>
      </c>
      <c r="AF21" s="65">
        <v>149.999977324263</v>
      </c>
      <c r="AG21" s="28">
        <v>9.5590751489404505E-2</v>
      </c>
      <c r="AH21" s="28">
        <v>4.1750172724988703E-3</v>
      </c>
      <c r="AI21" s="28">
        <v>3.0008966016067001E-3</v>
      </c>
      <c r="AJ21" s="70">
        <v>4</v>
      </c>
      <c r="AK21" s="8">
        <v>7</v>
      </c>
      <c r="AL21" s="8">
        <v>43</v>
      </c>
      <c r="AM21" s="8">
        <v>325</v>
      </c>
      <c r="AN21" s="8">
        <v>4737</v>
      </c>
      <c r="AO21" s="69">
        <v>21140</v>
      </c>
      <c r="AS21" s="2">
        <v>61</v>
      </c>
      <c r="AU21">
        <v>6.4224427234734496E-2</v>
      </c>
      <c r="AV21">
        <v>0.22893530246709601</v>
      </c>
      <c r="AW21">
        <v>0.58198300914003198</v>
      </c>
      <c r="AX21">
        <v>2.1182747223488398</v>
      </c>
      <c r="AY21">
        <v>8.4730988893953594</v>
      </c>
      <c r="BB21">
        <v>9.8216553387208499E-2</v>
      </c>
      <c r="BC21">
        <v>0.392866213548834</v>
      </c>
      <c r="BD21">
        <v>1.57146485419533</v>
      </c>
      <c r="BE21">
        <v>6.2858594167813404</v>
      </c>
      <c r="BF21">
        <v>25.143437667125301</v>
      </c>
    </row>
    <row r="22" spans="1:58" x14ac:dyDescent="0.25">
      <c r="A22" s="2">
        <v>52</v>
      </c>
      <c r="B22" s="2">
        <v>32</v>
      </c>
      <c r="C22" s="2">
        <v>45.6</v>
      </c>
      <c r="D22" s="2">
        <v>5</v>
      </c>
      <c r="E22" s="67">
        <v>1.6195175632876601E-2</v>
      </c>
      <c r="F22" s="67">
        <v>8.7837172608482301E-3</v>
      </c>
      <c r="G22" s="67">
        <v>7.5116788153303899E-3</v>
      </c>
      <c r="H22" s="70">
        <v>0</v>
      </c>
      <c r="I22" s="8">
        <v>3</v>
      </c>
      <c r="J22" s="8">
        <v>21</v>
      </c>
      <c r="K22" s="8">
        <v>74</v>
      </c>
      <c r="L22" s="8">
        <v>395</v>
      </c>
      <c r="M22" s="69">
        <v>990</v>
      </c>
      <c r="O22" s="75" t="s">
        <v>33</v>
      </c>
      <c r="P22" s="27">
        <v>45</v>
      </c>
      <c r="Q22" s="27">
        <v>56.56</v>
      </c>
      <c r="R22" s="65">
        <v>99.999977324263</v>
      </c>
      <c r="S22" s="28">
        <v>1.7343593585544201E-2</v>
      </c>
      <c r="T22" s="28">
        <v>3.7541223526986601E-3</v>
      </c>
      <c r="U22" s="28">
        <v>3.5652204100954199E-3</v>
      </c>
      <c r="V22" s="70">
        <v>0</v>
      </c>
      <c r="W22" s="8">
        <v>3</v>
      </c>
      <c r="X22" s="8">
        <v>17</v>
      </c>
      <c r="Y22" s="8">
        <v>221</v>
      </c>
      <c r="Z22" s="8">
        <v>2965</v>
      </c>
      <c r="AA22" s="69">
        <v>14897</v>
      </c>
      <c r="AC22" s="68" t="s">
        <v>89</v>
      </c>
      <c r="AD22" s="16">
        <v>128</v>
      </c>
      <c r="AE22" s="16">
        <v>128</v>
      </c>
      <c r="AF22" s="63">
        <v>60</v>
      </c>
      <c r="AG22" s="64">
        <v>6.3874222410114402E-3</v>
      </c>
      <c r="AH22" s="64">
        <v>4.0872753866210698E-3</v>
      </c>
      <c r="AI22" s="64">
        <v>4.1324979636846596E-3</v>
      </c>
      <c r="AJ22" s="70">
        <v>0</v>
      </c>
      <c r="AK22" s="8">
        <v>0</v>
      </c>
      <c r="AL22" s="8">
        <v>0</v>
      </c>
      <c r="AM22" s="8">
        <v>32.479999999999997</v>
      </c>
      <c r="AN22" s="8">
        <v>580</v>
      </c>
      <c r="AO22" s="69">
        <v>8760.32</v>
      </c>
      <c r="AS22" s="2">
        <v>52</v>
      </c>
      <c r="AU22">
        <v>5.66060042990124E-2</v>
      </c>
      <c r="AV22">
        <v>0.173305439270318</v>
      </c>
      <c r="AW22">
        <v>0.56215790367475604</v>
      </c>
      <c r="AX22">
        <v>2.2486316146990202</v>
      </c>
      <c r="AY22">
        <v>8.9945264587960896</v>
      </c>
      <c r="BB22">
        <v>6.4780702531506598E-2</v>
      </c>
      <c r="BC22">
        <v>0.259122810126026</v>
      </c>
      <c r="BD22">
        <v>1.0364912405041</v>
      </c>
      <c r="BE22">
        <v>4.1459649620164196</v>
      </c>
      <c r="BF22">
        <v>16.5838598480656</v>
      </c>
    </row>
    <row r="23" spans="1:58" x14ac:dyDescent="0.25">
      <c r="A23" s="2">
        <v>165</v>
      </c>
      <c r="B23" s="2">
        <v>16</v>
      </c>
      <c r="C23" s="2"/>
      <c r="D23" s="2">
        <v>10</v>
      </c>
      <c r="E23" s="67">
        <v>1.06254875376059E-2</v>
      </c>
      <c r="F23" s="67">
        <v>5.3979442955963304E-3</v>
      </c>
      <c r="G23" s="67">
        <v>5.0606462291010196E-3</v>
      </c>
      <c r="H23" s="70">
        <v>0</v>
      </c>
      <c r="I23" s="8">
        <v>1</v>
      </c>
      <c r="J23" s="8">
        <v>11</v>
      </c>
      <c r="K23" s="8">
        <v>62</v>
      </c>
      <c r="L23" s="8">
        <v>607</v>
      </c>
      <c r="M23" s="69">
        <v>1911</v>
      </c>
      <c r="O23" s="76" t="s">
        <v>91</v>
      </c>
      <c r="P23" s="77">
        <v>128</v>
      </c>
      <c r="Q23" s="77">
        <v>128</v>
      </c>
      <c r="R23" s="78">
        <v>60</v>
      </c>
      <c r="S23" s="79">
        <v>3.4734349552416499E-2</v>
      </c>
      <c r="T23" s="79">
        <v>1.59772775618169E-2</v>
      </c>
      <c r="U23" s="79">
        <v>1.5617522696591399E-2</v>
      </c>
      <c r="V23" s="80">
        <v>0</v>
      </c>
      <c r="W23" s="81">
        <v>0</v>
      </c>
      <c r="X23" s="81">
        <v>69.12</v>
      </c>
      <c r="Y23" s="81">
        <v>1622.3999999999901</v>
      </c>
      <c r="Z23" s="81">
        <v>12195.84</v>
      </c>
      <c r="AA23" s="82">
        <v>18165.12</v>
      </c>
      <c r="AC23" s="76" t="s">
        <v>90</v>
      </c>
      <c r="AD23" s="77">
        <v>64</v>
      </c>
      <c r="AE23" s="77">
        <v>64</v>
      </c>
      <c r="AF23" s="78">
        <v>60</v>
      </c>
      <c r="AG23" s="79">
        <v>2.3944348715607398E-3</v>
      </c>
      <c r="AH23" s="79">
        <v>1.5049965491053801E-3</v>
      </c>
      <c r="AI23" s="79">
        <v>1.48965533935772E-3</v>
      </c>
      <c r="AJ23" s="80">
        <v>0</v>
      </c>
      <c r="AK23" s="81">
        <v>0</v>
      </c>
      <c r="AL23" s="81">
        <v>0</v>
      </c>
      <c r="AM23" s="81">
        <v>0</v>
      </c>
      <c r="AN23" s="81">
        <v>23.2</v>
      </c>
      <c r="AO23" s="82">
        <v>969.75999999999897</v>
      </c>
      <c r="AS23" s="2">
        <v>165</v>
      </c>
      <c r="AU23">
        <v>4.2501949944915698E-2</v>
      </c>
      <c r="AV23">
        <v>0.116374533955678</v>
      </c>
      <c r="AW23">
        <v>0.36853445483851999</v>
      </c>
      <c r="AX23">
        <v>1.38187374013061</v>
      </c>
      <c r="AY23">
        <v>5.5274949605224499</v>
      </c>
      <c r="BB23">
        <v>4.2501950150423698E-2</v>
      </c>
      <c r="BC23">
        <v>0.17000780060169399</v>
      </c>
      <c r="BD23">
        <v>0.68003120240677895</v>
      </c>
      <c r="BE23">
        <v>2.72012480962711</v>
      </c>
      <c r="BF23">
        <v>10.880499238508399</v>
      </c>
    </row>
    <row r="24" spans="1:58" x14ac:dyDescent="0.25">
      <c r="A24" s="2">
        <v>166</v>
      </c>
      <c r="B24" s="2">
        <v>16</v>
      </c>
      <c r="C24" s="2"/>
      <c r="D24" s="2">
        <v>10</v>
      </c>
      <c r="E24" s="67">
        <v>5.4104257016193398E-3</v>
      </c>
      <c r="F24" s="67">
        <v>4.2237913969842902E-3</v>
      </c>
      <c r="G24" s="67">
        <v>4.0412722569313003E-3</v>
      </c>
      <c r="H24" s="70">
        <v>0</v>
      </c>
      <c r="I24" s="8">
        <v>0</v>
      </c>
      <c r="J24" s="8">
        <v>2</v>
      </c>
      <c r="K24" s="8">
        <v>32</v>
      </c>
      <c r="L24" s="8">
        <v>536</v>
      </c>
      <c r="M24" s="69">
        <v>2020</v>
      </c>
      <c r="AS24" s="2">
        <v>166</v>
      </c>
      <c r="AV24">
        <v>7.8663658425102104E-2</v>
      </c>
      <c r="AW24">
        <v>0.286033381784213</v>
      </c>
      <c r="AX24">
        <v>1.08129059920596</v>
      </c>
      <c r="AY24">
        <v>4.3251623968238597</v>
      </c>
      <c r="BC24">
        <v>8.56390953438151E-2</v>
      </c>
      <c r="BD24">
        <v>0.34626724490363803</v>
      </c>
      <c r="BE24">
        <v>1.3850689796145501</v>
      </c>
      <c r="BF24">
        <v>5.5402759184582102</v>
      </c>
    </row>
    <row r="25" spans="1:58" x14ac:dyDescent="0.25">
      <c r="A25" s="2">
        <v>53</v>
      </c>
      <c r="B25" s="2">
        <v>22.6</v>
      </c>
      <c r="C25" s="2">
        <v>29.55</v>
      </c>
      <c r="D25" s="2">
        <v>15</v>
      </c>
      <c r="E25" s="67">
        <v>5.4074185586351197E-3</v>
      </c>
      <c r="F25" s="67">
        <v>3.7739188928974099E-3</v>
      </c>
      <c r="G25" s="67">
        <v>3.5257352179030601E-3</v>
      </c>
      <c r="H25" s="70">
        <v>0</v>
      </c>
      <c r="I25" s="8">
        <v>0</v>
      </c>
      <c r="J25" s="8">
        <v>2</v>
      </c>
      <c r="K25" s="8">
        <v>30</v>
      </c>
      <c r="L25" s="8">
        <v>601</v>
      </c>
      <c r="M25" s="69">
        <v>3003</v>
      </c>
      <c r="AS25" s="2">
        <v>53</v>
      </c>
      <c r="AV25">
        <v>8.5713068849887802E-2</v>
      </c>
      <c r="AW25">
        <v>0.28274257889141102</v>
      </c>
      <c r="AX25">
        <v>0.96612323561066804</v>
      </c>
      <c r="AY25">
        <v>3.8644929424426699</v>
      </c>
      <c r="BC25">
        <v>8.5713069200916994E-2</v>
      </c>
      <c r="BD25">
        <v>0.346074787752647</v>
      </c>
      <c r="BE25">
        <v>1.38429915101059</v>
      </c>
      <c r="BF25">
        <v>5.5371966040423599</v>
      </c>
    </row>
    <row r="26" spans="1:58" x14ac:dyDescent="0.25">
      <c r="A26" s="2">
        <v>45</v>
      </c>
      <c r="B26" s="2">
        <v>22.6</v>
      </c>
      <c r="C26" s="2">
        <v>22.6</v>
      </c>
      <c r="D26" s="2">
        <v>10</v>
      </c>
      <c r="E26" s="67">
        <v>6.9634801117522301E-3</v>
      </c>
      <c r="F26" s="67">
        <v>4.7306891897243297E-3</v>
      </c>
      <c r="G26" s="67">
        <v>4.5595536316889104E-3</v>
      </c>
      <c r="H26" s="70">
        <v>0</v>
      </c>
      <c r="I26" s="8">
        <v>1</v>
      </c>
      <c r="J26" s="8">
        <v>4</v>
      </c>
      <c r="K26" s="8">
        <v>51</v>
      </c>
      <c r="L26" s="8">
        <v>494</v>
      </c>
      <c r="M26" s="69">
        <v>1931</v>
      </c>
      <c r="AS26" s="2">
        <v>45</v>
      </c>
      <c r="AU26">
        <v>2.7853920384742901E-2</v>
      </c>
      <c r="AV26">
        <v>0.102227488893629</v>
      </c>
      <c r="AW26">
        <v>0.312084224737535</v>
      </c>
      <c r="AX26">
        <v>1.21105643309446</v>
      </c>
      <c r="AY26">
        <v>4.8442257323778604</v>
      </c>
      <c r="BB26">
        <v>2.7853920447008899E-2</v>
      </c>
      <c r="BC26">
        <v>0.111415681788035</v>
      </c>
      <c r="BD26">
        <v>0.445662727152142</v>
      </c>
      <c r="BE26">
        <v>1.78265090860857</v>
      </c>
      <c r="BF26">
        <v>7.13060363443428</v>
      </c>
    </row>
    <row r="27" spans="1:58" x14ac:dyDescent="0.25">
      <c r="A27" s="3">
        <v>1.1000000000000001</v>
      </c>
      <c r="B27" s="3">
        <v>32</v>
      </c>
      <c r="C27" s="3">
        <v>45.6</v>
      </c>
      <c r="D27" s="3">
        <v>20</v>
      </c>
      <c r="E27" s="66">
        <v>1.40031756933689E-2</v>
      </c>
      <c r="F27" s="66">
        <v>5.6784984243662398E-3</v>
      </c>
      <c r="G27" s="66">
        <v>4.6667095589632999E-3</v>
      </c>
      <c r="H27" s="70">
        <v>0</v>
      </c>
      <c r="I27" s="8">
        <v>1</v>
      </c>
      <c r="J27" s="8">
        <v>18</v>
      </c>
      <c r="K27" s="8">
        <v>151</v>
      </c>
      <c r="L27" s="8">
        <v>1196</v>
      </c>
      <c r="M27" s="69">
        <v>3617</v>
      </c>
      <c r="AS27" s="3">
        <v>1.1000000000000001</v>
      </c>
      <c r="AU27">
        <v>5.6012702773475899E-2</v>
      </c>
      <c r="AV27">
        <v>0.17662425401843199</v>
      </c>
      <c r="AW27">
        <v>0.371998081424883</v>
      </c>
      <c r="AX27">
        <v>1.4536955966377501</v>
      </c>
      <c r="AY27">
        <v>5.8147823865510198</v>
      </c>
      <c r="BB27">
        <v>5.6012702773475899E-2</v>
      </c>
      <c r="BC27">
        <v>0.22405081109390301</v>
      </c>
      <c r="BD27">
        <v>0.89620324437561405</v>
      </c>
      <c r="BE27">
        <v>3.58481297750245</v>
      </c>
      <c r="BF27">
        <v>14.3392519100098</v>
      </c>
    </row>
    <row r="28" spans="1:58" x14ac:dyDescent="0.25">
      <c r="A28" s="3">
        <v>1.2</v>
      </c>
      <c r="B28" s="3">
        <v>32</v>
      </c>
      <c r="C28" s="3">
        <v>44.2</v>
      </c>
      <c r="D28" s="3">
        <v>20</v>
      </c>
      <c r="E28" s="66">
        <v>1.0890800850407899E-2</v>
      </c>
      <c r="F28" s="66">
        <v>4.8212415579803897E-3</v>
      </c>
      <c r="G28" s="66">
        <v>4.1135640493545804E-3</v>
      </c>
      <c r="H28" s="70">
        <v>0</v>
      </c>
      <c r="I28" s="8">
        <v>1</v>
      </c>
      <c r="J28" s="8">
        <v>11</v>
      </c>
      <c r="K28" s="8">
        <v>103</v>
      </c>
      <c r="L28" s="8">
        <v>972</v>
      </c>
      <c r="M28" s="69">
        <v>3501</v>
      </c>
      <c r="AS28" s="3">
        <v>1.2</v>
      </c>
      <c r="AU28">
        <v>4.3563203401631702E-2</v>
      </c>
      <c r="AV28">
        <v>0.14678489544762599</v>
      </c>
      <c r="AW28">
        <v>0.32808884276820199</v>
      </c>
      <c r="AX28">
        <v>1.23423783884298</v>
      </c>
      <c r="AY28">
        <v>4.93695135537192</v>
      </c>
      <c r="BB28">
        <v>4.3563203401631702E-2</v>
      </c>
      <c r="BC28">
        <v>0.174252813606527</v>
      </c>
      <c r="BD28">
        <v>0.69701125442610801</v>
      </c>
      <c r="BE28">
        <v>2.7880450177044298</v>
      </c>
      <c r="BF28">
        <v>11.1521800708177</v>
      </c>
    </row>
    <row r="29" spans="1:58" x14ac:dyDescent="0.25">
      <c r="A29" s="3">
        <v>1.3</v>
      </c>
      <c r="B29" s="3">
        <v>32</v>
      </c>
      <c r="C29" s="3">
        <v>42.84</v>
      </c>
      <c r="D29" s="3">
        <v>10</v>
      </c>
      <c r="E29" s="66">
        <v>2.3197934886697399E-2</v>
      </c>
      <c r="F29" s="66">
        <v>9.1426900455134907E-3</v>
      </c>
      <c r="G29" s="66">
        <v>6.1375608082080103E-3</v>
      </c>
      <c r="H29" s="70">
        <v>0</v>
      </c>
      <c r="I29" s="8">
        <v>4</v>
      </c>
      <c r="J29" s="8">
        <v>35</v>
      </c>
      <c r="K29" s="8">
        <v>163</v>
      </c>
      <c r="L29" s="8">
        <v>788</v>
      </c>
      <c r="M29" s="69">
        <v>1749</v>
      </c>
      <c r="AS29" s="3">
        <v>1.3</v>
      </c>
      <c r="AU29">
        <v>9.2791739546789598E-2</v>
      </c>
      <c r="AV29">
        <v>0.222368887754927</v>
      </c>
      <c r="AW29">
        <v>0.58513216291286296</v>
      </c>
      <c r="AX29">
        <v>2.3405286516514501</v>
      </c>
      <c r="AY29">
        <v>9.3621146066058198</v>
      </c>
      <c r="BB29">
        <v>9.2791739546789598E-2</v>
      </c>
      <c r="BC29">
        <v>0.371166958187158</v>
      </c>
      <c r="BD29">
        <v>1.48466783274863</v>
      </c>
      <c r="BE29">
        <v>5.9386713309945298</v>
      </c>
      <c r="BF29">
        <v>23.754685323978102</v>
      </c>
    </row>
    <row r="30" spans="1:58" x14ac:dyDescent="0.25">
      <c r="A30" s="3">
        <v>2.1</v>
      </c>
      <c r="B30" s="3">
        <v>45</v>
      </c>
      <c r="C30" s="3">
        <v>52.94</v>
      </c>
      <c r="D30" s="3">
        <v>20</v>
      </c>
      <c r="E30" s="66">
        <v>3.5345925929864103E-2</v>
      </c>
      <c r="F30" s="66">
        <v>7.8507383881498607E-3</v>
      </c>
      <c r="G30" s="66">
        <v>4.0069409325786598E-3</v>
      </c>
      <c r="H30" s="70">
        <v>0</v>
      </c>
      <c r="I30" s="8">
        <v>11</v>
      </c>
      <c r="J30" s="8">
        <v>56</v>
      </c>
      <c r="K30" s="8">
        <v>204</v>
      </c>
      <c r="L30" s="8">
        <v>1215</v>
      </c>
      <c r="M30" s="69">
        <v>3424</v>
      </c>
      <c r="AS30" s="3">
        <v>2.1</v>
      </c>
      <c r="AU30">
        <v>8.2766257918429495E-2</v>
      </c>
      <c r="AV30">
        <v>0.28137760228112102</v>
      </c>
      <c r="AW30">
        <v>0.60837215584300797</v>
      </c>
      <c r="AX30">
        <v>2.0097890273663599</v>
      </c>
      <c r="AY30">
        <v>8.0391561094654609</v>
      </c>
      <c r="BB30">
        <v>0.14138370371945599</v>
      </c>
      <c r="BC30">
        <v>0.56553481487782498</v>
      </c>
      <c r="BD30">
        <v>2.2621392595112999</v>
      </c>
      <c r="BE30">
        <v>9.0485570380452103</v>
      </c>
      <c r="BF30">
        <v>36.194228152180798</v>
      </c>
    </row>
    <row r="31" spans="1:58" x14ac:dyDescent="0.25">
      <c r="A31" s="3">
        <v>2.2000000000000002</v>
      </c>
      <c r="B31" s="3">
        <v>45</v>
      </c>
      <c r="C31" s="3">
        <v>54.05</v>
      </c>
      <c r="D31" s="3">
        <v>15</v>
      </c>
      <c r="E31" s="66">
        <v>2.4016207968108199E-2</v>
      </c>
      <c r="F31" s="66">
        <v>6.5149661727545603E-3</v>
      </c>
      <c r="G31" s="66">
        <v>4.26435563054003E-3</v>
      </c>
      <c r="H31" s="70">
        <v>1</v>
      </c>
      <c r="I31" s="8">
        <v>5</v>
      </c>
      <c r="J31" s="8">
        <v>26</v>
      </c>
      <c r="K31" s="8">
        <v>112</v>
      </c>
      <c r="L31" s="8">
        <v>811</v>
      </c>
      <c r="M31" s="69">
        <v>2808</v>
      </c>
      <c r="AS31" s="3">
        <v>2.2000000000000002</v>
      </c>
      <c r="AT31">
        <v>2.4016207968108199E-2</v>
      </c>
      <c r="AU31">
        <v>6.1687066952672398E-2</v>
      </c>
      <c r="AV31">
        <v>0.19687478181427201</v>
      </c>
      <c r="AW31">
        <v>0.46344710039377801</v>
      </c>
      <c r="AX31">
        <v>1.6678313402251601</v>
      </c>
      <c r="AY31">
        <v>6.6713253609006697</v>
      </c>
      <c r="BA31">
        <v>2.4016207968108199E-2</v>
      </c>
      <c r="BB31">
        <v>9.6064831872432796E-2</v>
      </c>
      <c r="BC31">
        <v>0.38425932748973102</v>
      </c>
      <c r="BD31">
        <v>1.5370373099589201</v>
      </c>
      <c r="BE31">
        <v>6.1481492398356998</v>
      </c>
      <c r="BF31">
        <v>24.592596959342799</v>
      </c>
    </row>
    <row r="32" spans="1:58" x14ac:dyDescent="0.25">
      <c r="A32" s="3">
        <v>2.2999999999999998</v>
      </c>
      <c r="B32" s="3">
        <v>45</v>
      </c>
      <c r="C32" s="3">
        <v>54.11</v>
      </c>
      <c r="D32" s="3">
        <v>10</v>
      </c>
      <c r="E32" s="66">
        <v>1.9422121419342901E-2</v>
      </c>
      <c r="F32" s="66">
        <v>7.5773751595888898E-3</v>
      </c>
      <c r="G32" s="66">
        <v>5.3544304928017398E-3</v>
      </c>
      <c r="H32" s="70">
        <v>0</v>
      </c>
      <c r="I32" s="8">
        <v>3</v>
      </c>
      <c r="J32" s="8">
        <v>28</v>
      </c>
      <c r="K32" s="8">
        <v>147</v>
      </c>
      <c r="L32" s="8">
        <v>700</v>
      </c>
      <c r="M32" s="69">
        <v>1838</v>
      </c>
      <c r="AS32" s="3">
        <v>2.2999999999999998</v>
      </c>
      <c r="AU32">
        <v>6.6744949341475304E-2</v>
      </c>
      <c r="AV32">
        <v>0.16107374150092801</v>
      </c>
      <c r="AW32">
        <v>0.484952010213689</v>
      </c>
      <c r="AX32">
        <v>1.93980804085475</v>
      </c>
      <c r="AY32">
        <v>7.7592321634190196</v>
      </c>
      <c r="BB32">
        <v>7.7688485677371896E-2</v>
      </c>
      <c r="BC32">
        <v>0.31075394270948697</v>
      </c>
      <c r="BD32">
        <v>1.2430157708379499</v>
      </c>
      <c r="BE32">
        <v>4.9720630833517996</v>
      </c>
      <c r="BF32">
        <v>19.888252333407198</v>
      </c>
    </row>
    <row r="33" spans="1:58" x14ac:dyDescent="0.25">
      <c r="A33" s="3">
        <v>3.1</v>
      </c>
      <c r="B33" s="3">
        <v>64</v>
      </c>
      <c r="C33" s="3">
        <v>84.98</v>
      </c>
      <c r="D33" s="3">
        <v>20</v>
      </c>
      <c r="E33" s="66">
        <v>0.12653412852816501</v>
      </c>
      <c r="F33" s="66">
        <v>1.5222331559222001E-2</v>
      </c>
      <c r="G33" s="66">
        <v>4.5052689799184196E-3</v>
      </c>
      <c r="H33" s="70">
        <v>10</v>
      </c>
      <c r="I33" s="8">
        <v>38</v>
      </c>
      <c r="J33" s="8">
        <v>113</v>
      </c>
      <c r="K33" s="8">
        <v>312</v>
      </c>
      <c r="L33" s="8">
        <v>1212</v>
      </c>
      <c r="M33" s="69">
        <v>3306</v>
      </c>
      <c r="AS33" s="3">
        <v>3.1</v>
      </c>
      <c r="AT33">
        <v>9.5477972807156197E-2</v>
      </c>
      <c r="AU33">
        <v>0.192484405703403</v>
      </c>
      <c r="AV33">
        <v>0.54260603351381897</v>
      </c>
      <c r="AW33">
        <v>1.4445985101020999</v>
      </c>
      <c r="AX33">
        <v>3.8969168791608402</v>
      </c>
      <c r="AY33">
        <v>15.5876675166433</v>
      </c>
      <c r="BA33">
        <v>0.12653412852816501</v>
      </c>
      <c r="BB33">
        <v>0.50613651411266203</v>
      </c>
      <c r="BC33">
        <v>2.0245460564506401</v>
      </c>
      <c r="BD33">
        <v>8.0981842258025907</v>
      </c>
      <c r="BE33">
        <v>32.392736903210299</v>
      </c>
      <c r="BF33">
        <v>129.570947612841</v>
      </c>
    </row>
    <row r="34" spans="1:58" x14ac:dyDescent="0.25">
      <c r="A34" s="3">
        <v>3.2</v>
      </c>
      <c r="B34" s="3">
        <v>64</v>
      </c>
      <c r="C34" s="3">
        <v>86.98</v>
      </c>
      <c r="D34" s="3">
        <v>15</v>
      </c>
      <c r="E34" s="66">
        <v>5.1502950973667999E-2</v>
      </c>
      <c r="F34" s="66">
        <v>1.37528556522491E-2</v>
      </c>
      <c r="G34" s="66">
        <v>4.5700514622563203E-3</v>
      </c>
      <c r="H34" s="70">
        <v>2</v>
      </c>
      <c r="I34" s="8">
        <v>30</v>
      </c>
      <c r="J34" s="8">
        <v>110</v>
      </c>
      <c r="K34" s="8">
        <v>279</v>
      </c>
      <c r="L34" s="8">
        <v>1032</v>
      </c>
      <c r="M34" s="69">
        <v>2570</v>
      </c>
      <c r="AS34" s="3">
        <v>3.2</v>
      </c>
      <c r="AT34">
        <v>2.8717702047744001E-2</v>
      </c>
      <c r="AU34">
        <v>0.11587567427319601</v>
      </c>
      <c r="AV34">
        <v>0.424330918118209</v>
      </c>
      <c r="AW34">
        <v>1.0317760232201201</v>
      </c>
      <c r="AX34">
        <v>3.52073104697577</v>
      </c>
      <c r="AY34">
        <v>14.082924187903</v>
      </c>
      <c r="BA34">
        <v>3.4786896818932399E-2</v>
      </c>
      <c r="BB34">
        <v>0.206011803894672</v>
      </c>
      <c r="BC34">
        <v>0.82404721557868799</v>
      </c>
      <c r="BD34">
        <v>3.2961888623147502</v>
      </c>
      <c r="BE34">
        <v>13.184755449259001</v>
      </c>
      <c r="BF34">
        <v>52.739021797036003</v>
      </c>
    </row>
    <row r="35" spans="1:58" x14ac:dyDescent="0.25">
      <c r="A35" s="3">
        <v>3.3</v>
      </c>
      <c r="B35" s="3">
        <v>64</v>
      </c>
      <c r="C35" s="3">
        <v>87.98</v>
      </c>
      <c r="D35" s="3">
        <v>20</v>
      </c>
      <c r="E35" s="66">
        <v>5.04335454776157E-2</v>
      </c>
      <c r="F35" s="66">
        <v>9.8602655911611495E-3</v>
      </c>
      <c r="G35" s="66">
        <v>4.3864038070395503E-3</v>
      </c>
      <c r="H35" s="70">
        <v>4</v>
      </c>
      <c r="I35" s="8">
        <v>20</v>
      </c>
      <c r="J35" s="8">
        <v>68</v>
      </c>
      <c r="K35" s="8">
        <v>245</v>
      </c>
      <c r="L35" s="8">
        <v>1155</v>
      </c>
      <c r="M35" s="69">
        <v>3356</v>
      </c>
      <c r="AS35" s="3">
        <v>3.3</v>
      </c>
      <c r="AT35">
        <v>4.2099641834455401E-2</v>
      </c>
      <c r="AU35">
        <v>0.10745936765490099</v>
      </c>
      <c r="AV35">
        <v>0.342981303210388</v>
      </c>
      <c r="AW35">
        <v>0.759859641009906</v>
      </c>
      <c r="AX35">
        <v>2.5242279913372498</v>
      </c>
      <c r="AY35">
        <v>10.096911965348999</v>
      </c>
      <c r="BA35">
        <v>5.04335454776157E-2</v>
      </c>
      <c r="BB35">
        <v>0.201734181910463</v>
      </c>
      <c r="BC35">
        <v>0.80693672764185198</v>
      </c>
      <c r="BD35">
        <v>3.2277469105674101</v>
      </c>
      <c r="BE35">
        <v>12.9109876422696</v>
      </c>
      <c r="BF35">
        <v>51.643950569078498</v>
      </c>
    </row>
    <row r="36" spans="1:58" x14ac:dyDescent="0.25">
      <c r="A36" s="3">
        <v>4.0999999999999996</v>
      </c>
      <c r="B36" s="3">
        <v>90</v>
      </c>
      <c r="C36" s="3">
        <v>108.42</v>
      </c>
      <c r="D36" s="3">
        <v>15</v>
      </c>
      <c r="E36" s="66">
        <v>9.6840712231762202E-2</v>
      </c>
      <c r="F36" s="66">
        <v>2.94139388502281E-2</v>
      </c>
      <c r="G36" s="66">
        <v>9.5407724532447606E-3</v>
      </c>
      <c r="H36" s="70">
        <v>12</v>
      </c>
      <c r="I36" s="8">
        <v>61</v>
      </c>
      <c r="J36" s="8">
        <v>187</v>
      </c>
      <c r="K36" s="8">
        <v>490</v>
      </c>
      <c r="L36" s="8">
        <v>1019</v>
      </c>
      <c r="M36" s="69">
        <v>2258</v>
      </c>
      <c r="AS36" s="3">
        <v>4.0999999999999996</v>
      </c>
      <c r="AT36">
        <v>6.9669475601588704E-2</v>
      </c>
      <c r="AU36">
        <v>0.21182245741774999</v>
      </c>
      <c r="AV36">
        <v>0.71876689058186105</v>
      </c>
      <c r="AW36">
        <v>2.4352261038974299</v>
      </c>
      <c r="AX36">
        <v>7.5299683456584097</v>
      </c>
      <c r="AY36">
        <v>30.1198733826336</v>
      </c>
      <c r="BA36">
        <v>9.6840712231762202E-2</v>
      </c>
      <c r="BB36">
        <v>0.38736284892704798</v>
      </c>
      <c r="BC36">
        <v>1.5494513957081899</v>
      </c>
      <c r="BD36">
        <v>6.19780558283278</v>
      </c>
      <c r="BE36">
        <v>24.791222331331099</v>
      </c>
      <c r="BF36">
        <v>99.164889325324495</v>
      </c>
    </row>
    <row r="37" spans="1:58" x14ac:dyDescent="0.25">
      <c r="A37" s="3">
        <v>4.2</v>
      </c>
      <c r="B37" s="3">
        <v>90</v>
      </c>
      <c r="C37" s="3">
        <v>127.22</v>
      </c>
      <c r="D37" s="3">
        <v>20</v>
      </c>
      <c r="E37" s="66">
        <v>4.1669974213015902E-2</v>
      </c>
      <c r="F37" s="66">
        <v>9.9725509064199202E-3</v>
      </c>
      <c r="G37" s="66">
        <v>6.2822795747625101E-3</v>
      </c>
      <c r="H37" s="70">
        <v>0</v>
      </c>
      <c r="I37" s="8">
        <v>15</v>
      </c>
      <c r="J37" s="8">
        <v>82</v>
      </c>
      <c r="K37" s="8">
        <v>353</v>
      </c>
      <c r="L37" s="8">
        <v>1394</v>
      </c>
      <c r="M37" s="69">
        <v>3355</v>
      </c>
      <c r="AS37" s="3">
        <v>4.2</v>
      </c>
      <c r="AU37">
        <v>7.9120500982877304E-2</v>
      </c>
      <c r="AV37">
        <v>0.25286216921415</v>
      </c>
      <c r="AW37">
        <v>0.66084681493743003</v>
      </c>
      <c r="AX37">
        <v>2.5529730320435</v>
      </c>
      <c r="AY37">
        <v>10.211892128174</v>
      </c>
      <c r="BB37">
        <v>0.166679896852063</v>
      </c>
      <c r="BC37">
        <v>0.66671958740825399</v>
      </c>
      <c r="BD37">
        <v>2.6668783496330102</v>
      </c>
      <c r="BE37">
        <v>10.667513398532</v>
      </c>
      <c r="BF37">
        <v>42.670053594128298</v>
      </c>
    </row>
    <row r="38" spans="1:58" x14ac:dyDescent="0.25">
      <c r="A38" s="3">
        <v>4.3</v>
      </c>
      <c r="B38" s="3">
        <v>90</v>
      </c>
      <c r="C38" s="3">
        <v>91.54</v>
      </c>
      <c r="D38" s="3">
        <v>20</v>
      </c>
      <c r="E38" s="66">
        <v>6.5041528765672305E-2</v>
      </c>
      <c r="F38" s="66">
        <v>1.5521667521925899E-2</v>
      </c>
      <c r="G38" s="66">
        <v>9.3037999635866304E-3</v>
      </c>
      <c r="H38" s="70">
        <v>6</v>
      </c>
      <c r="I38" s="8">
        <v>32</v>
      </c>
      <c r="J38" s="8">
        <v>142</v>
      </c>
      <c r="K38" s="8">
        <v>419</v>
      </c>
      <c r="L38" s="8">
        <v>1531</v>
      </c>
      <c r="M38" s="69">
        <v>3286</v>
      </c>
      <c r="AS38" s="3">
        <v>4.3</v>
      </c>
      <c r="AT38">
        <v>6.2038722824561902E-2</v>
      </c>
      <c r="AU38">
        <v>0.13350547172294899</v>
      </c>
      <c r="AV38">
        <v>0.41039439745539202</v>
      </c>
      <c r="AW38">
        <v>1.17781242915115</v>
      </c>
      <c r="AX38">
        <v>3.97354688561304</v>
      </c>
      <c r="AY38">
        <v>15.8941875424521</v>
      </c>
      <c r="BA38">
        <v>6.5041528765672305E-2</v>
      </c>
      <c r="BB38">
        <v>0.260166115062689</v>
      </c>
      <c r="BC38">
        <v>1.04066446025075</v>
      </c>
      <c r="BD38">
        <v>4.1626578410030204</v>
      </c>
      <c r="BE38">
        <v>16.650631364012099</v>
      </c>
      <c r="BF38">
        <v>66.602525456048397</v>
      </c>
    </row>
    <row r="39" spans="1:58" x14ac:dyDescent="0.25">
      <c r="A39" s="27" t="s">
        <v>32</v>
      </c>
      <c r="B39" s="27">
        <v>90</v>
      </c>
      <c r="C39" s="27">
        <v>113.98</v>
      </c>
      <c r="D39" s="65">
        <v>49.999977324263</v>
      </c>
      <c r="E39" s="28">
        <v>0.103785400341108</v>
      </c>
      <c r="F39" s="28">
        <v>9.3097685505032102E-3</v>
      </c>
      <c r="G39" s="28">
        <v>2.6623638531804101E-3</v>
      </c>
      <c r="H39" s="70">
        <v>7</v>
      </c>
      <c r="I39" s="8">
        <v>32</v>
      </c>
      <c r="J39" s="8">
        <v>148</v>
      </c>
      <c r="K39" s="8">
        <v>475</v>
      </c>
      <c r="L39" s="8">
        <v>1883</v>
      </c>
      <c r="M39" s="69">
        <v>5866</v>
      </c>
      <c r="AS39" s="27" t="s">
        <v>32</v>
      </c>
    </row>
    <row r="40" spans="1:58" x14ac:dyDescent="0.25">
      <c r="A40" s="27" t="s">
        <v>33</v>
      </c>
      <c r="B40" s="27">
        <v>45</v>
      </c>
      <c r="C40" s="27">
        <v>56.56</v>
      </c>
      <c r="D40" s="65">
        <v>99.999977324263</v>
      </c>
      <c r="E40" s="28">
        <v>1.7343593585544201E-2</v>
      </c>
      <c r="F40" s="28">
        <v>3.7541223526986601E-3</v>
      </c>
      <c r="G40" s="28">
        <v>3.5652204100954199E-3</v>
      </c>
      <c r="H40" s="70">
        <v>0</v>
      </c>
      <c r="I40" s="8">
        <v>3</v>
      </c>
      <c r="J40" s="8">
        <v>17</v>
      </c>
      <c r="K40" s="8">
        <v>221</v>
      </c>
      <c r="L40" s="8">
        <v>2965</v>
      </c>
      <c r="M40" s="69">
        <v>14897</v>
      </c>
      <c r="AS40" s="27" t="s">
        <v>33</v>
      </c>
    </row>
    <row r="41" spans="1:58" x14ac:dyDescent="0.25">
      <c r="A41" s="27" t="s">
        <v>34</v>
      </c>
      <c r="B41" s="27">
        <v>90</v>
      </c>
      <c r="C41" s="27">
        <v>108.42</v>
      </c>
      <c r="D41" s="65">
        <v>149.999977324263</v>
      </c>
      <c r="E41" s="28">
        <v>9.5590751489404505E-2</v>
      </c>
      <c r="F41" s="28">
        <v>4.1750172724988703E-3</v>
      </c>
      <c r="G41" s="28">
        <v>3.0008966016067001E-3</v>
      </c>
      <c r="H41" s="70">
        <v>4</v>
      </c>
      <c r="I41" s="8">
        <v>7</v>
      </c>
      <c r="J41" s="8">
        <v>43</v>
      </c>
      <c r="K41" s="8">
        <v>325</v>
      </c>
      <c r="L41" s="8">
        <v>4737</v>
      </c>
      <c r="M41" s="69">
        <v>21140</v>
      </c>
      <c r="AS41" s="27" t="s">
        <v>34</v>
      </c>
    </row>
    <row r="42" spans="1:58" x14ac:dyDescent="0.25">
      <c r="A42" s="16" t="s">
        <v>89</v>
      </c>
      <c r="B42" s="16">
        <v>128</v>
      </c>
      <c r="C42" s="16">
        <v>128</v>
      </c>
      <c r="D42" s="63">
        <v>60</v>
      </c>
      <c r="E42" s="64">
        <v>6.3874222410114402E-3</v>
      </c>
      <c r="F42" s="64">
        <v>4.0872753866210698E-3</v>
      </c>
      <c r="G42" s="64">
        <v>4.1324979636846596E-3</v>
      </c>
      <c r="H42" s="70">
        <v>0</v>
      </c>
      <c r="I42" s="8">
        <v>0</v>
      </c>
      <c r="J42" s="8">
        <v>0</v>
      </c>
      <c r="K42" s="8">
        <v>32.479999999999997</v>
      </c>
      <c r="L42" s="8">
        <v>580</v>
      </c>
      <c r="M42" s="69">
        <v>8760.32</v>
      </c>
      <c r="AS42" s="16" t="s">
        <v>89</v>
      </c>
    </row>
    <row r="43" spans="1:58" x14ac:dyDescent="0.25">
      <c r="A43" s="16" t="s">
        <v>90</v>
      </c>
      <c r="B43" s="16">
        <v>64</v>
      </c>
      <c r="C43" s="16">
        <v>64</v>
      </c>
      <c r="D43" s="63">
        <v>60</v>
      </c>
      <c r="E43" s="64">
        <v>2.3944348715607398E-3</v>
      </c>
      <c r="F43" s="64">
        <v>1.5049965491053801E-3</v>
      </c>
      <c r="G43" s="64">
        <v>1.48965533935772E-3</v>
      </c>
      <c r="H43" s="70">
        <v>0</v>
      </c>
      <c r="I43" s="8">
        <v>0</v>
      </c>
      <c r="J43" s="8">
        <v>0</v>
      </c>
      <c r="K43" s="8">
        <v>0</v>
      </c>
      <c r="L43" s="8">
        <v>23.2</v>
      </c>
      <c r="M43" s="69">
        <v>969.75999999999897</v>
      </c>
      <c r="AS43" s="16" t="s">
        <v>90</v>
      </c>
    </row>
    <row r="44" spans="1:58" x14ac:dyDescent="0.25">
      <c r="A44" s="16" t="s">
        <v>91</v>
      </c>
      <c r="B44" s="16">
        <v>128</v>
      </c>
      <c r="C44" s="16">
        <v>128</v>
      </c>
      <c r="D44" s="63">
        <v>60</v>
      </c>
      <c r="E44" s="64">
        <v>3.4734349552416499E-2</v>
      </c>
      <c r="F44" s="64">
        <v>1.59772775618169E-2</v>
      </c>
      <c r="G44" s="64">
        <v>1.5617522696591399E-2</v>
      </c>
      <c r="H44" s="70">
        <v>0</v>
      </c>
      <c r="I44" s="8">
        <v>0</v>
      </c>
      <c r="J44" s="8">
        <v>69.12</v>
      </c>
      <c r="K44" s="8">
        <v>1622.3999999999901</v>
      </c>
      <c r="L44" s="8">
        <v>12195.84</v>
      </c>
      <c r="M44" s="69">
        <v>18165.12</v>
      </c>
      <c r="AS44" s="16" t="s">
        <v>91</v>
      </c>
    </row>
  </sheetData>
  <mergeCells count="1"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0307-38BE-4A59-A990-DF65022A51E1}">
  <dimension ref="B1:Z88"/>
  <sheetViews>
    <sheetView topLeftCell="K1" zoomScaleNormal="100" workbookViewId="0">
      <selection activeCell="AB10" sqref="AB10"/>
    </sheetView>
  </sheetViews>
  <sheetFormatPr defaultRowHeight="15" x14ac:dyDescent="0.25"/>
  <cols>
    <col min="3" max="3" width="17.42578125" customWidth="1"/>
    <col min="4" max="4" width="15.5703125" customWidth="1"/>
    <col min="5" max="5" width="13.28515625" customWidth="1"/>
    <col min="6" max="6" width="10.7109375" customWidth="1"/>
    <col min="7" max="7" width="10.42578125" customWidth="1"/>
    <col min="8" max="8" width="11.5703125" customWidth="1"/>
    <col min="9" max="10" width="10.7109375" customWidth="1"/>
    <col min="11" max="11" width="12.140625" customWidth="1"/>
    <col min="12" max="12" width="11.7109375" bestFit="1" customWidth="1"/>
    <col min="13" max="13" width="13.28515625" customWidth="1"/>
    <col min="14" max="14" width="13.140625" customWidth="1"/>
  </cols>
  <sheetData>
    <row r="1" spans="2:26" x14ac:dyDescent="0.25">
      <c r="B1" t="s">
        <v>144</v>
      </c>
      <c r="D1" s="122" t="s">
        <v>147</v>
      </c>
      <c r="E1" s="123"/>
      <c r="F1" s="123"/>
      <c r="G1" s="123"/>
      <c r="H1" s="123"/>
      <c r="I1" s="124"/>
      <c r="J1" s="122" t="s">
        <v>147</v>
      </c>
      <c r="K1" s="123"/>
      <c r="L1" s="123"/>
      <c r="M1" s="123"/>
      <c r="N1" s="123"/>
      <c r="O1" s="124"/>
      <c r="P1" s="125"/>
    </row>
    <row r="2" spans="2:26" x14ac:dyDescent="0.25">
      <c r="D2" s="122" t="s">
        <v>151</v>
      </c>
      <c r="E2" s="123"/>
      <c r="F2" s="123"/>
      <c r="G2" s="123" t="s">
        <v>152</v>
      </c>
      <c r="H2" s="123"/>
      <c r="I2" s="124"/>
      <c r="J2" s="122" t="s">
        <v>151</v>
      </c>
      <c r="K2" s="123"/>
      <c r="L2" s="123"/>
      <c r="M2" s="123" t="s">
        <v>152</v>
      </c>
      <c r="N2" s="123"/>
      <c r="O2" s="124"/>
      <c r="P2" s="125" t="s">
        <v>154</v>
      </c>
    </row>
    <row r="3" spans="2:26" x14ac:dyDescent="0.25">
      <c r="C3" s="1" t="s">
        <v>145</v>
      </c>
      <c r="D3" s="5" t="s">
        <v>148</v>
      </c>
      <c r="E3" s="117" t="s">
        <v>149</v>
      </c>
      <c r="F3" s="117" t="s">
        <v>150</v>
      </c>
      <c r="G3" s="117" t="s">
        <v>148</v>
      </c>
      <c r="H3" s="117" t="s">
        <v>149</v>
      </c>
      <c r="I3" s="6" t="s">
        <v>150</v>
      </c>
      <c r="J3" s="5" t="s">
        <v>148</v>
      </c>
      <c r="K3" s="117" t="s">
        <v>149</v>
      </c>
      <c r="L3" s="117" t="s">
        <v>150</v>
      </c>
      <c r="M3" s="117" t="s">
        <v>148</v>
      </c>
      <c r="N3" s="117" t="s">
        <v>149</v>
      </c>
      <c r="O3" s="6" t="s">
        <v>150</v>
      </c>
      <c r="P3" s="118" t="s">
        <v>153</v>
      </c>
    </row>
    <row r="4" spans="2:26" x14ac:dyDescent="0.25">
      <c r="B4" s="18" t="s">
        <v>89</v>
      </c>
      <c r="C4" s="18">
        <v>128</v>
      </c>
      <c r="D4" s="119">
        <v>128</v>
      </c>
      <c r="E4" s="117">
        <v>128</v>
      </c>
      <c r="F4" s="117">
        <v>128</v>
      </c>
      <c r="G4" s="117">
        <v>64</v>
      </c>
      <c r="H4" s="117">
        <v>128</v>
      </c>
      <c r="I4" s="6">
        <v>128</v>
      </c>
      <c r="J4" s="119">
        <v>45</v>
      </c>
      <c r="K4" s="117">
        <v>90</v>
      </c>
      <c r="L4" s="117">
        <v>90</v>
      </c>
      <c r="M4" s="117">
        <v>45</v>
      </c>
      <c r="N4" s="117">
        <v>45</v>
      </c>
      <c r="O4" s="6">
        <v>90</v>
      </c>
      <c r="P4" s="118">
        <v>90</v>
      </c>
    </row>
    <row r="5" spans="2:26" x14ac:dyDescent="0.25">
      <c r="B5" s="18" t="s">
        <v>90</v>
      </c>
      <c r="C5" s="18">
        <v>64</v>
      </c>
      <c r="D5" s="119">
        <v>64</v>
      </c>
      <c r="E5" s="117">
        <v>128</v>
      </c>
      <c r="F5" s="117">
        <v>128</v>
      </c>
      <c r="G5" s="117">
        <v>32</v>
      </c>
      <c r="H5" s="117">
        <v>45</v>
      </c>
      <c r="I5" s="6">
        <v>128</v>
      </c>
      <c r="J5" s="119">
        <v>64</v>
      </c>
      <c r="K5" s="117">
        <v>64</v>
      </c>
      <c r="L5" s="117">
        <v>128</v>
      </c>
      <c r="M5" s="117">
        <v>32</v>
      </c>
      <c r="N5" s="117">
        <v>45</v>
      </c>
      <c r="O5" s="6">
        <v>64</v>
      </c>
      <c r="P5" s="118">
        <v>45</v>
      </c>
    </row>
    <row r="6" spans="2:26" x14ac:dyDescent="0.25">
      <c r="B6" s="18" t="s">
        <v>91</v>
      </c>
      <c r="C6" s="18">
        <v>128</v>
      </c>
      <c r="D6" s="119">
        <v>128</v>
      </c>
      <c r="E6" s="117">
        <v>128</v>
      </c>
      <c r="F6" s="117">
        <v>128</v>
      </c>
      <c r="G6" s="117">
        <v>45</v>
      </c>
      <c r="H6" s="117">
        <v>32</v>
      </c>
      <c r="I6" s="6">
        <v>128</v>
      </c>
      <c r="J6" s="119">
        <v>64</v>
      </c>
      <c r="K6" s="117">
        <v>128</v>
      </c>
      <c r="L6" s="117">
        <v>128</v>
      </c>
      <c r="M6" s="117">
        <v>64</v>
      </c>
      <c r="N6" s="117">
        <v>32</v>
      </c>
      <c r="O6" s="6">
        <v>32</v>
      </c>
      <c r="P6" s="118">
        <v>64</v>
      </c>
    </row>
    <row r="7" spans="2:26" x14ac:dyDescent="0.25">
      <c r="B7" s="131" t="s">
        <v>146</v>
      </c>
      <c r="C7" s="131">
        <v>128</v>
      </c>
      <c r="D7" s="132">
        <v>128</v>
      </c>
      <c r="E7" s="131">
        <v>128</v>
      </c>
      <c r="F7" s="131">
        <v>128</v>
      </c>
      <c r="G7" s="131">
        <v>32</v>
      </c>
      <c r="H7" s="131">
        <v>45</v>
      </c>
      <c r="I7" s="126">
        <v>128</v>
      </c>
      <c r="J7" s="132">
        <v>128</v>
      </c>
      <c r="K7" s="131">
        <v>128</v>
      </c>
      <c r="L7" s="131">
        <v>128</v>
      </c>
      <c r="M7" s="131">
        <v>128</v>
      </c>
      <c r="N7" s="131">
        <v>64</v>
      </c>
      <c r="O7" s="126">
        <v>32</v>
      </c>
      <c r="P7" s="133">
        <v>128</v>
      </c>
    </row>
    <row r="9" spans="2:26" x14ac:dyDescent="0.25">
      <c r="B9" s="99"/>
      <c r="C9" s="141"/>
      <c r="D9" s="114" t="s">
        <v>138</v>
      </c>
      <c r="E9" s="114"/>
      <c r="F9" s="114"/>
      <c r="G9" s="114" t="s">
        <v>139</v>
      </c>
      <c r="H9" s="114"/>
      <c r="I9" s="114"/>
      <c r="J9" s="114" t="s">
        <v>140</v>
      </c>
      <c r="K9" s="114"/>
      <c r="L9" s="114"/>
      <c r="M9" s="141"/>
      <c r="N9" s="142"/>
      <c r="R9" s="1" t="s">
        <v>167</v>
      </c>
      <c r="S9" s="1"/>
      <c r="T9" s="1" t="s">
        <v>165</v>
      </c>
      <c r="U9" s="1"/>
      <c r="V9" s="1" t="s">
        <v>168</v>
      </c>
      <c r="W9" s="1" t="s">
        <v>169</v>
      </c>
      <c r="Y9" s="1" t="s">
        <v>170</v>
      </c>
      <c r="Z9" s="1" t="s">
        <v>171</v>
      </c>
    </row>
    <row r="10" spans="2:26" x14ac:dyDescent="0.25">
      <c r="B10" s="93"/>
      <c r="C10" s="143" t="s">
        <v>46</v>
      </c>
      <c r="D10" s="143" t="s">
        <v>77</v>
      </c>
      <c r="E10" s="143" t="s">
        <v>76</v>
      </c>
      <c r="F10" s="143" t="s">
        <v>75</v>
      </c>
      <c r="G10" s="143" t="s">
        <v>77</v>
      </c>
      <c r="H10" s="143" t="s">
        <v>76</v>
      </c>
      <c r="I10" s="143" t="s">
        <v>75</v>
      </c>
      <c r="J10" s="143" t="s">
        <v>77</v>
      </c>
      <c r="K10" s="143" t="s">
        <v>76</v>
      </c>
      <c r="L10" s="143" t="s">
        <v>75</v>
      </c>
      <c r="M10" s="143" t="s">
        <v>142</v>
      </c>
      <c r="N10" s="139" t="s">
        <v>141</v>
      </c>
      <c r="R10" s="18" t="s">
        <v>89</v>
      </c>
      <c r="S10" s="12">
        <f>AVERAGE(S19,S37,S55,S73,S79,S85)</f>
        <v>4.5993500165514591</v>
      </c>
      <c r="T10" s="12">
        <f>AVERAGE(T19,T37,T55,T73,T79,T85)</f>
        <v>1.6374344501669686</v>
      </c>
      <c r="U10" s="12">
        <f>_xlfn.STDEV.P(S19,S37,S55,S73,S79,S85)</f>
        <v>0.54693751429087534</v>
      </c>
      <c r="V10" s="12">
        <f>MIN(S19,S37,S55,S73,S79,S85)</f>
        <v>3.9998470122557848</v>
      </c>
      <c r="W10" s="12">
        <f>MAX(S19,S37,S55,S73,S79,S85)</f>
        <v>5.6963360664375235</v>
      </c>
      <c r="Y10">
        <v>27</v>
      </c>
      <c r="Z10" s="12">
        <f>S10</f>
        <v>4.5993500165514591</v>
      </c>
    </row>
    <row r="11" spans="2:26" x14ac:dyDescent="0.25">
      <c r="B11" s="144" t="s">
        <v>89</v>
      </c>
      <c r="C11" s="145">
        <v>20.898678661347589</v>
      </c>
      <c r="D11" s="145">
        <v>0</v>
      </c>
      <c r="E11" s="145">
        <v>8.7235770181385206</v>
      </c>
      <c r="F11" s="128">
        <v>16.191244363932022</v>
      </c>
      <c r="G11" s="128">
        <v>0</v>
      </c>
      <c r="H11" s="128">
        <v>14.23776691246661</v>
      </c>
      <c r="I11" s="128">
        <v>21.147190679746913</v>
      </c>
      <c r="J11" s="128">
        <v>0</v>
      </c>
      <c r="K11" s="128">
        <v>13.064623882125165</v>
      </c>
      <c r="L11" s="128">
        <v>19.113501009846686</v>
      </c>
      <c r="M11" s="128">
        <v>21.449588919372982</v>
      </c>
      <c r="N11" s="61">
        <v>23.058574227506274</v>
      </c>
      <c r="R11" s="1" t="s">
        <v>146</v>
      </c>
      <c r="S11" s="128">
        <f>AVERAGE(S22,S40,S58,S76,S82,S88)</f>
        <v>8.6666469499482908</v>
      </c>
      <c r="T11" s="128">
        <f>AVERAGE(T22,T40,T58,T76,T82,T88)</f>
        <v>8.4818674961097713</v>
      </c>
      <c r="U11" s="128">
        <f>_xlfn.STDEV.P(S22,S40,S58,S76,S82,S88)</f>
        <v>7.2508050022341397</v>
      </c>
      <c r="V11" s="128">
        <f>MIN(S22,S40,S58,S76,S82,S88)</f>
        <v>1.5588980365455829</v>
      </c>
      <c r="W11" s="128">
        <f>MAX(S22,S40,S58,S76,S82,S88)</f>
        <v>23.561554834083704</v>
      </c>
      <c r="Y11">
        <v>38</v>
      </c>
      <c r="Z11" s="12">
        <f>S11</f>
        <v>8.6666469499482908</v>
      </c>
    </row>
    <row r="12" spans="2:26" x14ac:dyDescent="0.25">
      <c r="B12" s="144" t="s">
        <v>90</v>
      </c>
      <c r="C12" s="145">
        <v>11.489784432043704</v>
      </c>
      <c r="D12" s="145">
        <v>0</v>
      </c>
      <c r="E12" s="145">
        <v>0</v>
      </c>
      <c r="F12" s="128">
        <v>1.8208565296873807</v>
      </c>
      <c r="G12" s="128">
        <v>0</v>
      </c>
      <c r="H12" s="128">
        <v>0</v>
      </c>
      <c r="I12" s="128">
        <v>3.8024389302654735</v>
      </c>
      <c r="J12" s="128">
        <v>0</v>
      </c>
      <c r="K12" s="128">
        <v>0</v>
      </c>
      <c r="L12" s="128">
        <v>3.8956573281295408</v>
      </c>
      <c r="M12" s="128">
        <v>10.419702497860031</v>
      </c>
      <c r="N12" s="61">
        <v>10.245322861770958</v>
      </c>
      <c r="R12" s="134" t="s">
        <v>90</v>
      </c>
      <c r="S12" s="128">
        <f>AVERAGE(S20,S38,S56,S74,S80,S86)</f>
        <v>16.730199127367339</v>
      </c>
      <c r="T12" s="128">
        <f>AVERAGE(T20,T38,T56,T74,T80,T86)</f>
        <v>8.1123610108966329</v>
      </c>
      <c r="U12" s="128">
        <f>_xlfn.STDEV.P(S20,S38,S56,S74,S80,S86)</f>
        <v>12.126461111150668</v>
      </c>
      <c r="V12" s="128">
        <f>MIN(S20,S38,S56,S74,S80,S86)</f>
        <v>6.4739783261002835</v>
      </c>
      <c r="W12" s="128">
        <f>MAX(S20,S38,S56,S74,S80,S86)</f>
        <v>40.851442259092394</v>
      </c>
      <c r="Y12">
        <v>24</v>
      </c>
      <c r="Z12" s="12">
        <f>S12</f>
        <v>16.730199127367339</v>
      </c>
    </row>
    <row r="13" spans="2:26" x14ac:dyDescent="0.25">
      <c r="B13" s="144" t="s">
        <v>91</v>
      </c>
      <c r="C13" s="128">
        <v>58.683047630728147</v>
      </c>
      <c r="D13" s="128">
        <v>72.567417928355312</v>
      </c>
      <c r="E13" s="128">
        <v>106.16773828747354</v>
      </c>
      <c r="F13" s="128">
        <v>85.465905708754335</v>
      </c>
      <c r="G13" s="128">
        <v>190.15305633508055</v>
      </c>
      <c r="H13" s="128">
        <v>330.11662871537879</v>
      </c>
      <c r="I13" s="128">
        <v>385.83935692790845</v>
      </c>
      <c r="J13" s="128">
        <v>72.728193983989996</v>
      </c>
      <c r="K13" s="128">
        <v>92.141124385847021</v>
      </c>
      <c r="L13" s="128">
        <v>80.68667287022754</v>
      </c>
      <c r="M13" s="128">
        <v>65.377206136405107</v>
      </c>
      <c r="N13" s="61">
        <v>78.509765847126801</v>
      </c>
      <c r="R13" s="134" t="s">
        <v>91</v>
      </c>
      <c r="S13" s="128">
        <f>AVERAGE(S21,S39,S57,S75,S81,S87)</f>
        <v>1.0129166283157645</v>
      </c>
      <c r="T13" s="128">
        <f>AVERAGE(T21,T39,T57,T75,T81,T87)</f>
        <v>0.49708766907674229</v>
      </c>
      <c r="U13" s="128">
        <f>_xlfn.STDEV.P(S21,S39,S57,S75,S81,S87)</f>
        <v>0.38743825986286762</v>
      </c>
      <c r="V13" s="128">
        <f>MIN(S21,S39,S57,S75,S81,S87)</f>
        <v>0.21950147430950623</v>
      </c>
      <c r="W13" s="128">
        <f>MAX(S21,S39,S57,S75,S81,S87)</f>
        <v>1.4432159049619695</v>
      </c>
      <c r="Y13">
        <v>7.5</v>
      </c>
      <c r="Z13" s="12">
        <f>S13</f>
        <v>1.0129166283157645</v>
      </c>
    </row>
    <row r="14" spans="2:26" x14ac:dyDescent="0.25">
      <c r="B14" s="132" t="s">
        <v>146</v>
      </c>
      <c r="C14" s="84">
        <v>19.78249633699625</v>
      </c>
      <c r="D14" s="84">
        <v>0</v>
      </c>
      <c r="E14" s="84">
        <v>2.9123880958166386</v>
      </c>
      <c r="F14" s="84">
        <v>4.3258213492615916</v>
      </c>
      <c r="G14" s="84">
        <v>0</v>
      </c>
      <c r="H14" s="84">
        <v>33.936159253673146</v>
      </c>
      <c r="I14" s="84">
        <v>65.381490343609556</v>
      </c>
      <c r="J14" s="84">
        <v>0</v>
      </c>
      <c r="K14" s="84">
        <v>6.6363681330566413</v>
      </c>
      <c r="L14" s="84">
        <v>9.0250151226791484</v>
      </c>
      <c r="M14" s="84">
        <v>19.226229060476054</v>
      </c>
      <c r="N14" s="85">
        <v>19.857998495966733</v>
      </c>
    </row>
    <row r="16" spans="2:26" x14ac:dyDescent="0.25">
      <c r="D16" s="148" t="s">
        <v>147</v>
      </c>
      <c r="E16" s="148"/>
      <c r="F16" s="148"/>
      <c r="G16" s="148"/>
      <c r="H16" s="148"/>
      <c r="I16" s="148"/>
      <c r="J16" s="148" t="s">
        <v>147</v>
      </c>
      <c r="K16" s="148"/>
      <c r="L16" s="148"/>
      <c r="M16" s="148"/>
      <c r="N16" s="148"/>
      <c r="O16" s="148"/>
    </row>
    <row r="17" spans="2:20" x14ac:dyDescent="0.25">
      <c r="B17" s="113" t="s">
        <v>46</v>
      </c>
      <c r="C17" s="115"/>
      <c r="D17" s="136" t="s">
        <v>151</v>
      </c>
      <c r="E17" s="137"/>
      <c r="F17" s="137"/>
      <c r="G17" s="137" t="s">
        <v>152</v>
      </c>
      <c r="H17" s="137"/>
      <c r="I17" s="138"/>
      <c r="J17" s="136" t="s">
        <v>151</v>
      </c>
      <c r="K17" s="137"/>
      <c r="L17" s="137"/>
      <c r="M17" s="137" t="s">
        <v>152</v>
      </c>
      <c r="N17" s="137"/>
      <c r="O17" s="138"/>
      <c r="P17" s="101"/>
    </row>
    <row r="18" spans="2:20" x14ac:dyDescent="0.25">
      <c r="B18" s="93" t="s">
        <v>155</v>
      </c>
      <c r="C18" s="117" t="s">
        <v>145</v>
      </c>
      <c r="D18" s="5" t="s">
        <v>148</v>
      </c>
      <c r="E18" s="117" t="s">
        <v>149</v>
      </c>
      <c r="F18" s="117" t="s">
        <v>150</v>
      </c>
      <c r="G18" s="117" t="s">
        <v>148</v>
      </c>
      <c r="H18" s="117" t="s">
        <v>149</v>
      </c>
      <c r="I18" s="6" t="s">
        <v>150</v>
      </c>
      <c r="J18" s="5" t="s">
        <v>148</v>
      </c>
      <c r="K18" s="117" t="s">
        <v>149</v>
      </c>
      <c r="L18" s="117" t="s">
        <v>150</v>
      </c>
      <c r="M18" s="117" t="s">
        <v>148</v>
      </c>
      <c r="N18" s="117" t="s">
        <v>149</v>
      </c>
      <c r="O18" s="6" t="s">
        <v>150</v>
      </c>
      <c r="P18" s="146" t="s">
        <v>153</v>
      </c>
      <c r="R18" s="1"/>
      <c r="S18" s="118" t="s">
        <v>166</v>
      </c>
      <c r="T18" s="1" t="s">
        <v>165</v>
      </c>
    </row>
    <row r="19" spans="2:20" x14ac:dyDescent="0.25">
      <c r="B19" s="144" t="s">
        <v>89</v>
      </c>
      <c r="C19" s="128">
        <f>C4/$C11</f>
        <v>6.124789134957985</v>
      </c>
      <c r="D19" s="128">
        <f>D4/$C11</f>
        <v>6.124789134957985</v>
      </c>
      <c r="E19" s="128">
        <f>E4/$C11</f>
        <v>6.124789134957985</v>
      </c>
      <c r="F19" s="128">
        <f t="shared" ref="F19:O19" si="0">F4/$C11</f>
        <v>6.124789134957985</v>
      </c>
      <c r="G19" s="128">
        <f t="shared" si="0"/>
        <v>3.0623945674789925</v>
      </c>
      <c r="H19" s="128">
        <f t="shared" si="0"/>
        <v>6.124789134957985</v>
      </c>
      <c r="I19" s="128">
        <f t="shared" si="0"/>
        <v>6.124789134957985</v>
      </c>
      <c r="J19" s="128">
        <f t="shared" si="0"/>
        <v>2.1532461802586669</v>
      </c>
      <c r="K19" s="128">
        <f t="shared" si="0"/>
        <v>4.3064923605173338</v>
      </c>
      <c r="L19" s="128">
        <f t="shared" si="0"/>
        <v>4.3064923605173338</v>
      </c>
      <c r="M19" s="128">
        <f t="shared" si="0"/>
        <v>2.1532461802586669</v>
      </c>
      <c r="N19" s="128">
        <f t="shared" si="0"/>
        <v>2.1532461802586669</v>
      </c>
      <c r="O19" s="128">
        <f t="shared" si="0"/>
        <v>4.3064923605173338</v>
      </c>
      <c r="P19" s="61">
        <f t="shared" ref="P19" si="1">P4/$C11</f>
        <v>4.3064923605173338</v>
      </c>
      <c r="R19" s="18" t="s">
        <v>89</v>
      </c>
      <c r="S19" s="12">
        <f>AVERAGE(D19:P19)</f>
        <v>4.4132344788549425</v>
      </c>
      <c r="T19" s="12">
        <f>_xlfn.STDEV.P(C19:P19)</f>
        <v>1.5711746543177876</v>
      </c>
    </row>
    <row r="20" spans="2:20" x14ac:dyDescent="0.25">
      <c r="B20" s="144" t="s">
        <v>90</v>
      </c>
      <c r="C20" s="128">
        <f t="shared" ref="C20:P22" si="2">C5/$C12</f>
        <v>5.5701654263861791</v>
      </c>
      <c r="D20" s="128">
        <f t="shared" ref="D20:O20" si="3">D5/$C12</f>
        <v>5.5701654263861791</v>
      </c>
      <c r="E20" s="128">
        <f t="shared" si="3"/>
        <v>11.140330852772358</v>
      </c>
      <c r="F20" s="128">
        <f t="shared" si="3"/>
        <v>11.140330852772358</v>
      </c>
      <c r="G20" s="128">
        <f t="shared" si="3"/>
        <v>2.7850827131930895</v>
      </c>
      <c r="H20" s="128">
        <f t="shared" si="3"/>
        <v>3.916522565427782</v>
      </c>
      <c r="I20" s="128">
        <f t="shared" si="3"/>
        <v>11.140330852772358</v>
      </c>
      <c r="J20" s="128">
        <f t="shared" si="3"/>
        <v>5.5701654263861791</v>
      </c>
      <c r="K20" s="128">
        <f t="shared" si="3"/>
        <v>5.5701654263861791</v>
      </c>
      <c r="L20" s="128">
        <f t="shared" si="3"/>
        <v>11.140330852772358</v>
      </c>
      <c r="M20" s="128">
        <f t="shared" si="3"/>
        <v>2.7850827131930895</v>
      </c>
      <c r="N20" s="128">
        <f t="shared" si="3"/>
        <v>3.916522565427782</v>
      </c>
      <c r="O20" s="128">
        <f t="shared" si="3"/>
        <v>5.5701654263861791</v>
      </c>
      <c r="P20" s="61">
        <f t="shared" ref="P20" si="4">P5/$C12</f>
        <v>3.916522565427782</v>
      </c>
      <c r="R20" s="18" t="s">
        <v>90</v>
      </c>
      <c r="S20" s="12">
        <f t="shared" ref="S20:T22" si="5">AVERAGE(D20:P20)</f>
        <v>6.4739783261002835</v>
      </c>
      <c r="T20" s="12">
        <f t="shared" ref="T20:T21" si="6">_xlfn.STDEV.P(C20:P20)</f>
        <v>3.1391885391330758</v>
      </c>
    </row>
    <row r="21" spans="2:20" x14ac:dyDescent="0.25">
      <c r="B21" s="144" t="s">
        <v>91</v>
      </c>
      <c r="C21" s="128">
        <f t="shared" si="2"/>
        <v>2.1812091424675</v>
      </c>
      <c r="D21" s="128">
        <f t="shared" ref="D21:O21" si="7">D6/$C13</f>
        <v>2.1812091424675</v>
      </c>
      <c r="E21" s="128">
        <f t="shared" si="7"/>
        <v>2.1812091424675</v>
      </c>
      <c r="F21" s="128">
        <f t="shared" si="7"/>
        <v>2.1812091424675</v>
      </c>
      <c r="G21" s="128">
        <f t="shared" si="7"/>
        <v>0.76683133914873047</v>
      </c>
      <c r="H21" s="128">
        <f t="shared" si="7"/>
        <v>0.54530228561687499</v>
      </c>
      <c r="I21" s="128">
        <f t="shared" si="7"/>
        <v>2.1812091424675</v>
      </c>
      <c r="J21" s="128">
        <f t="shared" si="7"/>
        <v>1.09060457123375</v>
      </c>
      <c r="K21" s="128">
        <f t="shared" si="7"/>
        <v>2.1812091424675</v>
      </c>
      <c r="L21" s="128">
        <f t="shared" si="7"/>
        <v>2.1812091424675</v>
      </c>
      <c r="M21" s="128">
        <f t="shared" si="7"/>
        <v>1.09060457123375</v>
      </c>
      <c r="N21" s="128">
        <f t="shared" si="7"/>
        <v>0.54530228561687499</v>
      </c>
      <c r="O21" s="128">
        <f t="shared" si="7"/>
        <v>0.54530228561687499</v>
      </c>
      <c r="P21" s="61">
        <f t="shared" ref="P21" si="8">P6/$C13</f>
        <v>1.09060457123375</v>
      </c>
      <c r="R21" s="134" t="s">
        <v>91</v>
      </c>
      <c r="S21" s="12">
        <f t="shared" si="5"/>
        <v>1.4432159049619695</v>
      </c>
      <c r="T21" s="12">
        <f t="shared" si="6"/>
        <v>0.70825654364554869</v>
      </c>
    </row>
    <row r="22" spans="2:20" x14ac:dyDescent="0.25">
      <c r="B22" s="147" t="s">
        <v>146</v>
      </c>
      <c r="C22" s="128">
        <f t="shared" si="2"/>
        <v>6.4703664198648534</v>
      </c>
      <c r="D22" s="128">
        <f t="shared" si="2"/>
        <v>6.4703664198648534</v>
      </c>
      <c r="E22" s="128">
        <f t="shared" si="2"/>
        <v>6.4703664198648534</v>
      </c>
      <c r="F22" s="128">
        <f t="shared" si="2"/>
        <v>6.4703664198648534</v>
      </c>
      <c r="G22" s="128">
        <f t="shared" si="2"/>
        <v>1.6175916049662133</v>
      </c>
      <c r="H22" s="128">
        <f t="shared" si="2"/>
        <v>2.2747381944837377</v>
      </c>
      <c r="I22" s="128">
        <f t="shared" si="2"/>
        <v>6.4703664198648534</v>
      </c>
      <c r="J22" s="128">
        <f t="shared" si="2"/>
        <v>6.4703664198648534</v>
      </c>
      <c r="K22" s="128">
        <f t="shared" si="2"/>
        <v>6.4703664198648534</v>
      </c>
      <c r="L22" s="128">
        <f t="shared" si="2"/>
        <v>6.4703664198648534</v>
      </c>
      <c r="M22" s="128">
        <f t="shared" si="2"/>
        <v>6.4703664198648534</v>
      </c>
      <c r="N22" s="128">
        <f t="shared" si="2"/>
        <v>3.2351832099324267</v>
      </c>
      <c r="O22" s="128">
        <f t="shared" si="2"/>
        <v>1.6175916049662133</v>
      </c>
      <c r="P22" s="128">
        <f t="shared" si="2"/>
        <v>6.4703664198648534</v>
      </c>
      <c r="R22" s="134" t="s">
        <v>146</v>
      </c>
      <c r="S22" s="12">
        <f t="shared" si="5"/>
        <v>5.1521847994717138</v>
      </c>
      <c r="T22" s="12">
        <f t="shared" si="5"/>
        <v>5.0423363311056182</v>
      </c>
    </row>
    <row r="23" spans="2:20" x14ac:dyDescent="0.25">
      <c r="B23" s="113" t="s">
        <v>158</v>
      </c>
      <c r="C23" s="114"/>
      <c r="D23" s="136" t="s">
        <v>151</v>
      </c>
      <c r="E23" s="137"/>
      <c r="F23" s="137"/>
      <c r="G23" s="137" t="s">
        <v>152</v>
      </c>
      <c r="H23" s="137"/>
      <c r="I23" s="138"/>
      <c r="J23" s="136" t="s">
        <v>151</v>
      </c>
      <c r="K23" s="137"/>
      <c r="L23" s="137"/>
      <c r="M23" s="137" t="s">
        <v>152</v>
      </c>
      <c r="N23" s="137"/>
      <c r="O23" s="138"/>
      <c r="P23" s="101"/>
      <c r="R23" s="129"/>
    </row>
    <row r="24" spans="2:20" x14ac:dyDescent="0.25">
      <c r="B24" s="93" t="s">
        <v>155</v>
      </c>
      <c r="C24" s="117" t="s">
        <v>145</v>
      </c>
      <c r="D24" s="5" t="s">
        <v>148</v>
      </c>
      <c r="E24" s="117" t="s">
        <v>149</v>
      </c>
      <c r="F24" s="117" t="s">
        <v>150</v>
      </c>
      <c r="G24" s="117" t="s">
        <v>148</v>
      </c>
      <c r="H24" s="117" t="s">
        <v>149</v>
      </c>
      <c r="I24" s="6" t="s">
        <v>150</v>
      </c>
      <c r="J24" s="5" t="s">
        <v>148</v>
      </c>
      <c r="K24" s="117" t="s">
        <v>149</v>
      </c>
      <c r="L24" s="117" t="s">
        <v>150</v>
      </c>
      <c r="M24" s="117" t="s">
        <v>148</v>
      </c>
      <c r="N24" s="117" t="s">
        <v>149</v>
      </c>
      <c r="O24" s="6" t="s">
        <v>150</v>
      </c>
      <c r="P24" s="146" t="s">
        <v>153</v>
      </c>
      <c r="R24" s="117"/>
      <c r="S24" s="118"/>
      <c r="T24" s="1"/>
    </row>
    <row r="25" spans="2:20" x14ac:dyDescent="0.25">
      <c r="B25" s="144" t="s">
        <v>89</v>
      </c>
      <c r="C25" s="128" t="e">
        <f>C4/$D11</f>
        <v>#DIV/0!</v>
      </c>
      <c r="D25" s="128" t="e">
        <f>D4/$D11</f>
        <v>#DIV/0!</v>
      </c>
      <c r="E25" s="128" t="e">
        <f t="shared" ref="D25:P25" si="9">E4/$D11</f>
        <v>#DIV/0!</v>
      </c>
      <c r="F25" s="128" t="e">
        <f t="shared" si="9"/>
        <v>#DIV/0!</v>
      </c>
      <c r="G25" s="128" t="e">
        <f t="shared" si="9"/>
        <v>#DIV/0!</v>
      </c>
      <c r="H25" s="128" t="e">
        <f t="shared" si="9"/>
        <v>#DIV/0!</v>
      </c>
      <c r="I25" s="128" t="e">
        <f t="shared" si="9"/>
        <v>#DIV/0!</v>
      </c>
      <c r="J25" s="128" t="e">
        <f t="shared" si="9"/>
        <v>#DIV/0!</v>
      </c>
      <c r="K25" s="128" t="e">
        <f t="shared" si="9"/>
        <v>#DIV/0!</v>
      </c>
      <c r="L25" s="128" t="e">
        <f t="shared" si="9"/>
        <v>#DIV/0!</v>
      </c>
      <c r="M25" s="128" t="e">
        <f t="shared" si="9"/>
        <v>#DIV/0!</v>
      </c>
      <c r="N25" s="128" t="e">
        <f t="shared" si="9"/>
        <v>#DIV/0!</v>
      </c>
      <c r="O25" s="128" t="e">
        <f t="shared" si="9"/>
        <v>#DIV/0!</v>
      </c>
      <c r="P25" s="61" t="e">
        <f t="shared" si="9"/>
        <v>#DIV/0!</v>
      </c>
      <c r="R25" s="134"/>
      <c r="S25" s="12"/>
      <c r="T25" s="12"/>
    </row>
    <row r="26" spans="2:20" x14ac:dyDescent="0.25">
      <c r="B26" s="144" t="s">
        <v>90</v>
      </c>
      <c r="C26" s="128" t="e">
        <f>C5/$D12</f>
        <v>#DIV/0!</v>
      </c>
      <c r="D26" s="128" t="e">
        <f t="shared" ref="D26:P26" si="10">D5/$D12</f>
        <v>#DIV/0!</v>
      </c>
      <c r="E26" s="128" t="e">
        <f t="shared" si="10"/>
        <v>#DIV/0!</v>
      </c>
      <c r="F26" s="128" t="e">
        <f t="shared" si="10"/>
        <v>#DIV/0!</v>
      </c>
      <c r="G26" s="128" t="e">
        <f t="shared" si="10"/>
        <v>#DIV/0!</v>
      </c>
      <c r="H26" s="128" t="e">
        <f t="shared" si="10"/>
        <v>#DIV/0!</v>
      </c>
      <c r="I26" s="128" t="e">
        <f t="shared" si="10"/>
        <v>#DIV/0!</v>
      </c>
      <c r="J26" s="128" t="e">
        <f t="shared" si="10"/>
        <v>#DIV/0!</v>
      </c>
      <c r="K26" s="128" t="e">
        <f t="shared" si="10"/>
        <v>#DIV/0!</v>
      </c>
      <c r="L26" s="128" t="e">
        <f t="shared" si="10"/>
        <v>#DIV/0!</v>
      </c>
      <c r="M26" s="128" t="e">
        <f t="shared" si="10"/>
        <v>#DIV/0!</v>
      </c>
      <c r="N26" s="128" t="e">
        <f t="shared" si="10"/>
        <v>#DIV/0!</v>
      </c>
      <c r="O26" s="128" t="e">
        <f t="shared" si="10"/>
        <v>#DIV/0!</v>
      </c>
      <c r="P26" s="61" t="e">
        <f t="shared" si="10"/>
        <v>#DIV/0!</v>
      </c>
      <c r="R26" s="134"/>
      <c r="S26" s="12"/>
      <c r="T26" s="12"/>
    </row>
    <row r="27" spans="2:20" x14ac:dyDescent="0.25">
      <c r="B27" s="144" t="s">
        <v>91</v>
      </c>
      <c r="C27" s="128">
        <f>C6/$D13</f>
        <v>1.7638770078104806</v>
      </c>
      <c r="D27" s="128">
        <f t="shared" ref="D27:P27" si="11">D6/$D13</f>
        <v>1.7638770078104806</v>
      </c>
      <c r="E27" s="128">
        <f t="shared" si="11"/>
        <v>1.7638770078104806</v>
      </c>
      <c r="F27" s="128">
        <f t="shared" si="11"/>
        <v>1.7638770078104806</v>
      </c>
      <c r="G27" s="128">
        <f t="shared" si="11"/>
        <v>0.62011301055837209</v>
      </c>
      <c r="H27" s="128">
        <f t="shared" si="11"/>
        <v>0.44096925195262016</v>
      </c>
      <c r="I27" s="128">
        <f t="shared" si="11"/>
        <v>1.7638770078104806</v>
      </c>
      <c r="J27" s="128">
        <f t="shared" si="11"/>
        <v>0.88193850390524031</v>
      </c>
      <c r="K27" s="128">
        <f t="shared" si="11"/>
        <v>1.7638770078104806</v>
      </c>
      <c r="L27" s="128">
        <f t="shared" si="11"/>
        <v>1.7638770078104806</v>
      </c>
      <c r="M27" s="128">
        <f t="shared" si="11"/>
        <v>0.88193850390524031</v>
      </c>
      <c r="N27" s="128">
        <f t="shared" si="11"/>
        <v>0.44096925195262016</v>
      </c>
      <c r="O27" s="128">
        <f t="shared" si="11"/>
        <v>0.44096925195262016</v>
      </c>
      <c r="P27" s="61">
        <f t="shared" si="11"/>
        <v>0.88193850390524031</v>
      </c>
      <c r="R27" s="134"/>
      <c r="S27" s="12"/>
      <c r="T27" s="12"/>
    </row>
    <row r="28" spans="2:20" x14ac:dyDescent="0.25">
      <c r="B28" s="147" t="s">
        <v>146</v>
      </c>
      <c r="C28" s="128" t="e">
        <f>C7/$D14</f>
        <v>#DIV/0!</v>
      </c>
      <c r="D28" s="128" t="e">
        <f t="shared" ref="D28:P28" si="12">D7/$D14</f>
        <v>#DIV/0!</v>
      </c>
      <c r="E28" s="128" t="e">
        <f t="shared" si="12"/>
        <v>#DIV/0!</v>
      </c>
      <c r="F28" s="128" t="e">
        <f t="shared" si="12"/>
        <v>#DIV/0!</v>
      </c>
      <c r="G28" s="128" t="e">
        <f t="shared" si="12"/>
        <v>#DIV/0!</v>
      </c>
      <c r="H28" s="128" t="e">
        <f t="shared" si="12"/>
        <v>#DIV/0!</v>
      </c>
      <c r="I28" s="128" t="e">
        <f t="shared" si="12"/>
        <v>#DIV/0!</v>
      </c>
      <c r="J28" s="128" t="e">
        <f t="shared" si="12"/>
        <v>#DIV/0!</v>
      </c>
      <c r="K28" s="128" t="e">
        <f t="shared" si="12"/>
        <v>#DIV/0!</v>
      </c>
      <c r="L28" s="128" t="e">
        <f t="shared" si="12"/>
        <v>#DIV/0!</v>
      </c>
      <c r="M28" s="128" t="e">
        <f t="shared" si="12"/>
        <v>#DIV/0!</v>
      </c>
      <c r="N28" s="128" t="e">
        <f t="shared" si="12"/>
        <v>#DIV/0!</v>
      </c>
      <c r="O28" s="128" t="e">
        <f t="shared" si="12"/>
        <v>#DIV/0!</v>
      </c>
      <c r="P28" s="61" t="e">
        <f t="shared" si="12"/>
        <v>#DIV/0!</v>
      </c>
      <c r="R28" s="134"/>
      <c r="S28" s="12"/>
      <c r="T28" s="12"/>
    </row>
    <row r="29" spans="2:20" x14ac:dyDescent="0.25">
      <c r="B29" s="113" t="s">
        <v>157</v>
      </c>
      <c r="C29" s="114"/>
      <c r="D29" s="136" t="s">
        <v>151</v>
      </c>
      <c r="E29" s="137"/>
      <c r="F29" s="137"/>
      <c r="G29" s="137" t="s">
        <v>152</v>
      </c>
      <c r="H29" s="137"/>
      <c r="I29" s="138"/>
      <c r="J29" s="136" t="s">
        <v>151</v>
      </c>
      <c r="K29" s="137"/>
      <c r="L29" s="137"/>
      <c r="M29" s="137" t="s">
        <v>152</v>
      </c>
      <c r="N29" s="137"/>
      <c r="O29" s="138"/>
      <c r="P29" s="101"/>
      <c r="R29" s="129"/>
    </row>
    <row r="30" spans="2:20" x14ac:dyDescent="0.25">
      <c r="B30" s="93" t="s">
        <v>155</v>
      </c>
      <c r="C30" s="117" t="s">
        <v>145</v>
      </c>
      <c r="D30" s="5" t="s">
        <v>148</v>
      </c>
      <c r="E30" s="117" t="s">
        <v>149</v>
      </c>
      <c r="F30" s="117" t="s">
        <v>150</v>
      </c>
      <c r="G30" s="117" t="s">
        <v>148</v>
      </c>
      <c r="H30" s="117" t="s">
        <v>149</v>
      </c>
      <c r="I30" s="6" t="s">
        <v>150</v>
      </c>
      <c r="J30" s="5" t="s">
        <v>148</v>
      </c>
      <c r="K30" s="117" t="s">
        <v>149</v>
      </c>
      <c r="L30" s="117" t="s">
        <v>150</v>
      </c>
      <c r="M30" s="117" t="s">
        <v>148</v>
      </c>
      <c r="N30" s="117" t="s">
        <v>149</v>
      </c>
      <c r="O30" s="6" t="s">
        <v>150</v>
      </c>
      <c r="P30" s="146" t="s">
        <v>153</v>
      </c>
      <c r="R30" s="117"/>
      <c r="S30" s="118"/>
      <c r="T30" s="1"/>
    </row>
    <row r="31" spans="2:20" x14ac:dyDescent="0.25">
      <c r="B31" s="144" t="s">
        <v>89</v>
      </c>
      <c r="C31" s="128">
        <f>C4/$E11</f>
        <v>14.672880142383756</v>
      </c>
      <c r="D31" s="128">
        <f>D4/$E11</f>
        <v>14.672880142383756</v>
      </c>
      <c r="E31" s="128">
        <f t="shared" ref="D31:P31" si="13">E4/$E11</f>
        <v>14.672880142383756</v>
      </c>
      <c r="F31" s="128">
        <f t="shared" si="13"/>
        <v>14.672880142383756</v>
      </c>
      <c r="G31" s="128">
        <f t="shared" si="13"/>
        <v>7.3364400711918778</v>
      </c>
      <c r="H31" s="128">
        <f t="shared" si="13"/>
        <v>14.672880142383756</v>
      </c>
      <c r="I31" s="128">
        <f t="shared" si="13"/>
        <v>14.672880142383756</v>
      </c>
      <c r="J31" s="128">
        <f t="shared" si="13"/>
        <v>5.1584344250567895</v>
      </c>
      <c r="K31" s="128">
        <f t="shared" si="13"/>
        <v>10.316868850113579</v>
      </c>
      <c r="L31" s="128">
        <f t="shared" si="13"/>
        <v>10.316868850113579</v>
      </c>
      <c r="M31" s="128">
        <f t="shared" si="13"/>
        <v>5.1584344250567895</v>
      </c>
      <c r="N31" s="128">
        <f t="shared" si="13"/>
        <v>5.1584344250567895</v>
      </c>
      <c r="O31" s="128">
        <f t="shared" si="13"/>
        <v>10.316868850113579</v>
      </c>
      <c r="P31" s="61">
        <f t="shared" si="13"/>
        <v>10.316868850113579</v>
      </c>
      <c r="R31" s="134"/>
      <c r="S31" s="12"/>
      <c r="T31" s="12"/>
    </row>
    <row r="32" spans="2:20" x14ac:dyDescent="0.25">
      <c r="B32" s="144" t="s">
        <v>90</v>
      </c>
      <c r="C32" s="128" t="e">
        <f>C5/$E12</f>
        <v>#DIV/0!</v>
      </c>
      <c r="D32" s="128" t="e">
        <f t="shared" ref="D32:P32" si="14">D5/$E12</f>
        <v>#DIV/0!</v>
      </c>
      <c r="E32" s="128" t="e">
        <f t="shared" si="14"/>
        <v>#DIV/0!</v>
      </c>
      <c r="F32" s="128" t="e">
        <f t="shared" si="14"/>
        <v>#DIV/0!</v>
      </c>
      <c r="G32" s="128" t="e">
        <f t="shared" si="14"/>
        <v>#DIV/0!</v>
      </c>
      <c r="H32" s="128" t="e">
        <f t="shared" si="14"/>
        <v>#DIV/0!</v>
      </c>
      <c r="I32" s="128" t="e">
        <f t="shared" si="14"/>
        <v>#DIV/0!</v>
      </c>
      <c r="J32" s="128" t="e">
        <f t="shared" si="14"/>
        <v>#DIV/0!</v>
      </c>
      <c r="K32" s="128" t="e">
        <f t="shared" si="14"/>
        <v>#DIV/0!</v>
      </c>
      <c r="L32" s="128" t="e">
        <f t="shared" si="14"/>
        <v>#DIV/0!</v>
      </c>
      <c r="M32" s="128" t="e">
        <f t="shared" si="14"/>
        <v>#DIV/0!</v>
      </c>
      <c r="N32" s="128" t="e">
        <f t="shared" si="14"/>
        <v>#DIV/0!</v>
      </c>
      <c r="O32" s="128" t="e">
        <f t="shared" si="14"/>
        <v>#DIV/0!</v>
      </c>
      <c r="P32" s="61" t="e">
        <f t="shared" si="14"/>
        <v>#DIV/0!</v>
      </c>
      <c r="R32" s="134"/>
      <c r="S32" s="12"/>
      <c r="T32" s="12"/>
    </row>
    <row r="33" spans="2:20" x14ac:dyDescent="0.25">
      <c r="B33" s="144" t="s">
        <v>91</v>
      </c>
      <c r="C33" s="128">
        <f>C6/$E13</f>
        <v>1.2056393219323425</v>
      </c>
      <c r="D33" s="128">
        <f t="shared" ref="D33:P33" si="15">D6/$E13</f>
        <v>1.2056393219323425</v>
      </c>
      <c r="E33" s="128">
        <f t="shared" si="15"/>
        <v>1.2056393219323425</v>
      </c>
      <c r="F33" s="128">
        <f t="shared" si="15"/>
        <v>1.2056393219323425</v>
      </c>
      <c r="G33" s="128">
        <f>G6/$E13</f>
        <v>0.42385757411683916</v>
      </c>
      <c r="H33" s="128">
        <f t="shared" si="15"/>
        <v>0.30140983048308562</v>
      </c>
      <c r="I33" s="128">
        <f t="shared" si="15"/>
        <v>1.2056393219323425</v>
      </c>
      <c r="J33" s="128">
        <f t="shared" si="15"/>
        <v>0.60281966096617123</v>
      </c>
      <c r="K33" s="128">
        <f t="shared" si="15"/>
        <v>1.2056393219323425</v>
      </c>
      <c r="L33" s="128">
        <f t="shared" si="15"/>
        <v>1.2056393219323425</v>
      </c>
      <c r="M33" s="128">
        <f t="shared" si="15"/>
        <v>0.60281966096617123</v>
      </c>
      <c r="N33" s="128">
        <f t="shared" si="15"/>
        <v>0.30140983048308562</v>
      </c>
      <c r="O33" s="128">
        <f t="shared" si="15"/>
        <v>0.30140983048308562</v>
      </c>
      <c r="P33" s="61">
        <f t="shared" si="15"/>
        <v>0.60281966096617123</v>
      </c>
      <c r="R33" s="134"/>
      <c r="S33" s="12"/>
      <c r="T33" s="12"/>
    </row>
    <row r="34" spans="2:20" x14ac:dyDescent="0.25">
      <c r="B34" s="147" t="s">
        <v>146</v>
      </c>
      <c r="C34" s="128">
        <f>C7/$E14</f>
        <v>43.950186509778526</v>
      </c>
      <c r="D34" s="128">
        <f t="shared" ref="D34:P34" si="16">D7/$E14</f>
        <v>43.950186509778526</v>
      </c>
      <c r="E34" s="128">
        <f t="shared" si="16"/>
        <v>43.950186509778526</v>
      </c>
      <c r="F34" s="128">
        <f t="shared" si="16"/>
        <v>43.950186509778526</v>
      </c>
      <c r="G34" s="128">
        <f t="shared" si="16"/>
        <v>10.987546627444631</v>
      </c>
      <c r="H34" s="128">
        <f t="shared" si="16"/>
        <v>15.451237444844013</v>
      </c>
      <c r="I34" s="128">
        <f t="shared" si="16"/>
        <v>43.950186509778526</v>
      </c>
      <c r="J34" s="128">
        <f t="shared" si="16"/>
        <v>43.950186509778526</v>
      </c>
      <c r="K34" s="128">
        <f t="shared" si="16"/>
        <v>43.950186509778526</v>
      </c>
      <c r="L34" s="128">
        <f t="shared" si="16"/>
        <v>43.950186509778526</v>
      </c>
      <c r="M34" s="128">
        <f t="shared" si="16"/>
        <v>43.950186509778526</v>
      </c>
      <c r="N34" s="128">
        <f t="shared" si="16"/>
        <v>21.975093254889263</v>
      </c>
      <c r="O34" s="128">
        <f t="shared" si="16"/>
        <v>10.987546627444631</v>
      </c>
      <c r="P34" s="61">
        <f t="shared" si="16"/>
        <v>43.950186509778526</v>
      </c>
      <c r="R34" s="134"/>
      <c r="S34" s="12"/>
      <c r="T34" s="12"/>
    </row>
    <row r="35" spans="2:20" x14ac:dyDescent="0.25">
      <c r="B35" s="113" t="s">
        <v>156</v>
      </c>
      <c r="C35" s="114"/>
      <c r="D35" s="136" t="s">
        <v>151</v>
      </c>
      <c r="E35" s="137"/>
      <c r="F35" s="137"/>
      <c r="G35" s="137" t="s">
        <v>152</v>
      </c>
      <c r="H35" s="137"/>
      <c r="I35" s="138"/>
      <c r="J35" s="136" t="s">
        <v>151</v>
      </c>
      <c r="K35" s="137"/>
      <c r="L35" s="137"/>
      <c r="M35" s="137" t="s">
        <v>152</v>
      </c>
      <c r="N35" s="137"/>
      <c r="O35" s="138"/>
      <c r="P35" s="101"/>
      <c r="R35" s="129"/>
    </row>
    <row r="36" spans="2:20" x14ac:dyDescent="0.25">
      <c r="B36" s="93" t="s">
        <v>155</v>
      </c>
      <c r="C36" s="117" t="s">
        <v>145</v>
      </c>
      <c r="D36" s="5" t="s">
        <v>148</v>
      </c>
      <c r="E36" s="117" t="s">
        <v>149</v>
      </c>
      <c r="F36" s="117" t="s">
        <v>150</v>
      </c>
      <c r="G36" s="117" t="s">
        <v>148</v>
      </c>
      <c r="H36" s="117" t="s">
        <v>149</v>
      </c>
      <c r="I36" s="6" t="s">
        <v>150</v>
      </c>
      <c r="J36" s="5" t="s">
        <v>148</v>
      </c>
      <c r="K36" s="117" t="s">
        <v>149</v>
      </c>
      <c r="L36" s="117" t="s">
        <v>150</v>
      </c>
      <c r="M36" s="117" t="s">
        <v>148</v>
      </c>
      <c r="N36" s="117" t="s">
        <v>149</v>
      </c>
      <c r="O36" s="6" t="s">
        <v>150</v>
      </c>
      <c r="P36" s="146" t="s">
        <v>153</v>
      </c>
      <c r="R36" s="117"/>
      <c r="S36" s="118" t="s">
        <v>166</v>
      </c>
      <c r="T36" s="1" t="s">
        <v>165</v>
      </c>
    </row>
    <row r="37" spans="2:20" x14ac:dyDescent="0.25">
      <c r="B37" s="144" t="s">
        <v>89</v>
      </c>
      <c r="C37" s="128">
        <f>C4/$F11</f>
        <v>7.9055072681835172</v>
      </c>
      <c r="D37" s="128">
        <f>D4/$F11</f>
        <v>7.9055072681835172</v>
      </c>
      <c r="E37" s="128">
        <f t="shared" ref="D37:P37" si="17">E4/$F11</f>
        <v>7.9055072681835172</v>
      </c>
      <c r="F37" s="128">
        <f t="shared" si="17"/>
        <v>7.9055072681835172</v>
      </c>
      <c r="G37" s="128">
        <f t="shared" si="17"/>
        <v>3.9527536340917586</v>
      </c>
      <c r="H37" s="128">
        <f t="shared" si="17"/>
        <v>7.9055072681835172</v>
      </c>
      <c r="I37" s="128">
        <f t="shared" si="17"/>
        <v>7.9055072681835172</v>
      </c>
      <c r="J37" s="128">
        <f t="shared" si="17"/>
        <v>2.7792798989707674</v>
      </c>
      <c r="K37" s="128">
        <f t="shared" si="17"/>
        <v>5.5585597979415349</v>
      </c>
      <c r="L37" s="128">
        <f t="shared" si="17"/>
        <v>5.5585597979415349</v>
      </c>
      <c r="M37" s="128">
        <f t="shared" si="17"/>
        <v>2.7792798989707674</v>
      </c>
      <c r="N37" s="128">
        <f t="shared" si="17"/>
        <v>2.7792798989707674</v>
      </c>
      <c r="O37" s="128">
        <f t="shared" si="17"/>
        <v>5.5585597979415349</v>
      </c>
      <c r="P37" s="61">
        <f t="shared" si="17"/>
        <v>5.5585597979415349</v>
      </c>
      <c r="R37" s="134" t="s">
        <v>89</v>
      </c>
      <c r="S37" s="12">
        <f>AVERAGE(D37:P37)</f>
        <v>5.6963360664375235</v>
      </c>
      <c r="T37" s="12">
        <f>_xlfn.STDEV.P(C37:P37)</f>
        <v>2.0279771883738782</v>
      </c>
    </row>
    <row r="38" spans="2:20" x14ac:dyDescent="0.25">
      <c r="B38" s="144" t="s">
        <v>90</v>
      </c>
      <c r="C38" s="128">
        <f t="shared" ref="C38:P40" si="18">C5/$F12</f>
        <v>35.148293650015376</v>
      </c>
      <c r="D38" s="128">
        <f t="shared" si="18"/>
        <v>35.148293650015376</v>
      </c>
      <c r="E38" s="128">
        <f t="shared" si="18"/>
        <v>70.296587300030751</v>
      </c>
      <c r="F38" s="128">
        <f t="shared" si="18"/>
        <v>70.296587300030751</v>
      </c>
      <c r="G38" s="128">
        <f t="shared" si="18"/>
        <v>17.574146825007688</v>
      </c>
      <c r="H38" s="128">
        <f t="shared" si="18"/>
        <v>24.713643972667064</v>
      </c>
      <c r="I38" s="128">
        <f t="shared" si="18"/>
        <v>70.296587300030751</v>
      </c>
      <c r="J38" s="128">
        <f t="shared" si="18"/>
        <v>35.148293650015376</v>
      </c>
      <c r="K38" s="128">
        <f t="shared" si="18"/>
        <v>35.148293650015376</v>
      </c>
      <c r="L38" s="128">
        <f t="shared" si="18"/>
        <v>70.296587300030751</v>
      </c>
      <c r="M38" s="128">
        <f t="shared" si="18"/>
        <v>17.574146825007688</v>
      </c>
      <c r="N38" s="128">
        <f t="shared" si="18"/>
        <v>24.713643972667064</v>
      </c>
      <c r="O38" s="128">
        <f t="shared" si="18"/>
        <v>35.148293650015376</v>
      </c>
      <c r="P38" s="61">
        <f t="shared" si="18"/>
        <v>24.713643972667064</v>
      </c>
      <c r="R38" s="134" t="s">
        <v>90</v>
      </c>
      <c r="S38" s="12">
        <f>AVERAGE(D38:P38)</f>
        <v>40.851442259092394</v>
      </c>
      <c r="T38" s="12">
        <f t="shared" ref="T38:T39" si="19">_xlfn.STDEV.P(C38:P38)</f>
        <v>19.808589539107622</v>
      </c>
    </row>
    <row r="39" spans="2:20" x14ac:dyDescent="0.25">
      <c r="B39" s="144" t="s">
        <v>91</v>
      </c>
      <c r="C39" s="128">
        <f t="shared" si="18"/>
        <v>1.4976732410253843</v>
      </c>
      <c r="D39" s="128">
        <f t="shared" ref="D39:P39" si="20">D6/$F13</f>
        <v>1.4976732410253843</v>
      </c>
      <c r="E39" s="128">
        <f t="shared" si="20"/>
        <v>1.4976732410253843</v>
      </c>
      <c r="F39" s="128">
        <f t="shared" si="20"/>
        <v>1.4976732410253843</v>
      </c>
      <c r="G39" s="128">
        <f t="shared" si="20"/>
        <v>0.52652574879798664</v>
      </c>
      <c r="H39" s="128">
        <f t="shared" si="20"/>
        <v>0.37441831025634609</v>
      </c>
      <c r="I39" s="128">
        <f t="shared" si="20"/>
        <v>1.4976732410253843</v>
      </c>
      <c r="J39" s="128">
        <f t="shared" si="20"/>
        <v>0.74883662051269217</v>
      </c>
      <c r="K39" s="128">
        <f t="shared" si="20"/>
        <v>1.4976732410253843</v>
      </c>
      <c r="L39" s="128">
        <f t="shared" si="20"/>
        <v>1.4976732410253843</v>
      </c>
      <c r="M39" s="128">
        <f t="shared" si="20"/>
        <v>0.74883662051269217</v>
      </c>
      <c r="N39" s="128">
        <f t="shared" si="20"/>
        <v>0.37441831025634609</v>
      </c>
      <c r="O39" s="128">
        <f t="shared" si="20"/>
        <v>0.37441831025634609</v>
      </c>
      <c r="P39" s="61">
        <f t="shared" si="20"/>
        <v>0.74883662051269217</v>
      </c>
      <c r="R39" s="134" t="s">
        <v>91</v>
      </c>
      <c r="S39" s="12">
        <f t="shared" ref="S39:T40" si="21">AVERAGE(D39:P39)</f>
        <v>0.99094846055826202</v>
      </c>
      <c r="T39" s="12">
        <f>_xlfn.STDEV.P(C39:P39)</f>
        <v>0.48630681604383136</v>
      </c>
    </row>
    <row r="40" spans="2:20" x14ac:dyDescent="0.25">
      <c r="B40" s="147" t="s">
        <v>146</v>
      </c>
      <c r="C40" s="128">
        <f t="shared" si="18"/>
        <v>29.589756410502094</v>
      </c>
      <c r="D40" s="128">
        <f t="shared" ref="D40:P40" si="22">D7/$F14</f>
        <v>29.589756410502094</v>
      </c>
      <c r="E40" s="128">
        <f t="shared" si="22"/>
        <v>29.589756410502094</v>
      </c>
      <c r="F40" s="128">
        <f t="shared" si="22"/>
        <v>29.589756410502094</v>
      </c>
      <c r="G40" s="128">
        <f t="shared" si="22"/>
        <v>7.3974391026255235</v>
      </c>
      <c r="H40" s="128">
        <f t="shared" si="22"/>
        <v>10.402648738067143</v>
      </c>
      <c r="I40" s="128">
        <f t="shared" si="22"/>
        <v>29.589756410502094</v>
      </c>
      <c r="J40" s="128">
        <f t="shared" si="22"/>
        <v>29.589756410502094</v>
      </c>
      <c r="K40" s="128">
        <f t="shared" si="22"/>
        <v>29.589756410502094</v>
      </c>
      <c r="L40" s="128">
        <f t="shared" si="22"/>
        <v>29.589756410502094</v>
      </c>
      <c r="M40" s="128">
        <f t="shared" si="22"/>
        <v>29.589756410502094</v>
      </c>
      <c r="N40" s="128">
        <f t="shared" si="22"/>
        <v>14.794878205251047</v>
      </c>
      <c r="O40" s="128">
        <f t="shared" si="22"/>
        <v>7.3974391026255235</v>
      </c>
      <c r="P40" s="61">
        <f t="shared" si="22"/>
        <v>29.589756410502094</v>
      </c>
      <c r="R40" s="134" t="s">
        <v>146</v>
      </c>
      <c r="S40" s="12">
        <f t="shared" si="21"/>
        <v>23.561554834083704</v>
      </c>
      <c r="T40" s="12">
        <f t="shared" si="21"/>
        <v>23.059204702715501</v>
      </c>
    </row>
    <row r="41" spans="2:20" x14ac:dyDescent="0.25">
      <c r="B41" s="113" t="s">
        <v>159</v>
      </c>
      <c r="C41" s="114"/>
      <c r="D41" s="136" t="s">
        <v>151</v>
      </c>
      <c r="E41" s="137"/>
      <c r="F41" s="137"/>
      <c r="G41" s="137" t="s">
        <v>152</v>
      </c>
      <c r="H41" s="137"/>
      <c r="I41" s="138"/>
      <c r="J41" s="136" t="s">
        <v>151</v>
      </c>
      <c r="K41" s="137"/>
      <c r="L41" s="137"/>
      <c r="M41" s="137" t="s">
        <v>152</v>
      </c>
      <c r="N41" s="137"/>
      <c r="O41" s="138"/>
      <c r="P41" s="101"/>
      <c r="R41" s="129"/>
    </row>
    <row r="42" spans="2:20" x14ac:dyDescent="0.25">
      <c r="B42" s="93" t="s">
        <v>155</v>
      </c>
      <c r="C42" s="117" t="s">
        <v>145</v>
      </c>
      <c r="D42" s="5" t="s">
        <v>148</v>
      </c>
      <c r="E42" s="117" t="s">
        <v>149</v>
      </c>
      <c r="F42" s="117" t="s">
        <v>150</v>
      </c>
      <c r="G42" s="117" t="s">
        <v>148</v>
      </c>
      <c r="H42" s="117" t="s">
        <v>149</v>
      </c>
      <c r="I42" s="6" t="s">
        <v>150</v>
      </c>
      <c r="J42" s="5" t="s">
        <v>148</v>
      </c>
      <c r="K42" s="117" t="s">
        <v>149</v>
      </c>
      <c r="L42" s="117" t="s">
        <v>150</v>
      </c>
      <c r="M42" s="117" t="s">
        <v>148</v>
      </c>
      <c r="N42" s="117" t="s">
        <v>149</v>
      </c>
      <c r="O42" s="6" t="s">
        <v>150</v>
      </c>
      <c r="P42" s="146" t="s">
        <v>153</v>
      </c>
      <c r="R42" s="117"/>
      <c r="S42" s="118"/>
      <c r="T42" s="1"/>
    </row>
    <row r="43" spans="2:20" x14ac:dyDescent="0.25">
      <c r="B43" s="144" t="s">
        <v>89</v>
      </c>
      <c r="C43" s="128" t="e">
        <f>C4/$G11</f>
        <v>#DIV/0!</v>
      </c>
      <c r="D43" s="128" t="e">
        <f t="shared" ref="D43:P43" si="23">D4/$G11</f>
        <v>#DIV/0!</v>
      </c>
      <c r="E43" s="128" t="e">
        <f t="shared" si="23"/>
        <v>#DIV/0!</v>
      </c>
      <c r="F43" s="128" t="e">
        <f t="shared" si="23"/>
        <v>#DIV/0!</v>
      </c>
      <c r="G43" s="128" t="e">
        <f t="shared" si="23"/>
        <v>#DIV/0!</v>
      </c>
      <c r="H43" s="128" t="e">
        <f t="shared" si="23"/>
        <v>#DIV/0!</v>
      </c>
      <c r="I43" s="128" t="e">
        <f t="shared" si="23"/>
        <v>#DIV/0!</v>
      </c>
      <c r="J43" s="128" t="e">
        <f t="shared" si="23"/>
        <v>#DIV/0!</v>
      </c>
      <c r="K43" s="128" t="e">
        <f t="shared" si="23"/>
        <v>#DIV/0!</v>
      </c>
      <c r="L43" s="128" t="e">
        <f t="shared" si="23"/>
        <v>#DIV/0!</v>
      </c>
      <c r="M43" s="128" t="e">
        <f t="shared" si="23"/>
        <v>#DIV/0!</v>
      </c>
      <c r="N43" s="128" t="e">
        <f t="shared" si="23"/>
        <v>#DIV/0!</v>
      </c>
      <c r="O43" s="128" t="e">
        <f t="shared" si="23"/>
        <v>#DIV/0!</v>
      </c>
      <c r="P43" s="61" t="e">
        <f t="shared" si="23"/>
        <v>#DIV/0!</v>
      </c>
      <c r="R43" s="134"/>
      <c r="S43" s="12"/>
      <c r="T43" s="12"/>
    </row>
    <row r="44" spans="2:20" x14ac:dyDescent="0.25">
      <c r="B44" s="144" t="s">
        <v>90</v>
      </c>
      <c r="C44" s="128" t="e">
        <f t="shared" ref="C44:P46" si="24">C5/$G12</f>
        <v>#DIV/0!</v>
      </c>
      <c r="D44" s="128" t="e">
        <f t="shared" si="24"/>
        <v>#DIV/0!</v>
      </c>
      <c r="E44" s="128" t="e">
        <f t="shared" si="24"/>
        <v>#DIV/0!</v>
      </c>
      <c r="F44" s="128" t="e">
        <f t="shared" si="24"/>
        <v>#DIV/0!</v>
      </c>
      <c r="G44" s="128" t="e">
        <f t="shared" si="24"/>
        <v>#DIV/0!</v>
      </c>
      <c r="H44" s="128" t="e">
        <f t="shared" si="24"/>
        <v>#DIV/0!</v>
      </c>
      <c r="I44" s="128" t="e">
        <f t="shared" si="24"/>
        <v>#DIV/0!</v>
      </c>
      <c r="J44" s="128" t="e">
        <f t="shared" si="24"/>
        <v>#DIV/0!</v>
      </c>
      <c r="K44" s="128" t="e">
        <f t="shared" si="24"/>
        <v>#DIV/0!</v>
      </c>
      <c r="L44" s="128" t="e">
        <f t="shared" si="24"/>
        <v>#DIV/0!</v>
      </c>
      <c r="M44" s="128" t="e">
        <f t="shared" si="24"/>
        <v>#DIV/0!</v>
      </c>
      <c r="N44" s="128" t="e">
        <f t="shared" si="24"/>
        <v>#DIV/0!</v>
      </c>
      <c r="O44" s="128" t="e">
        <f t="shared" si="24"/>
        <v>#DIV/0!</v>
      </c>
      <c r="P44" s="61" t="e">
        <f t="shared" si="24"/>
        <v>#DIV/0!</v>
      </c>
      <c r="R44" s="134"/>
      <c r="S44" s="12"/>
      <c r="T44" s="12"/>
    </row>
    <row r="45" spans="2:20" x14ac:dyDescent="0.25">
      <c r="B45" s="144" t="s">
        <v>91</v>
      </c>
      <c r="C45" s="128">
        <f t="shared" si="24"/>
        <v>0.67314195452342995</v>
      </c>
      <c r="D45" s="128">
        <f t="shared" si="24"/>
        <v>0.67314195452342995</v>
      </c>
      <c r="E45" s="128">
        <f t="shared" si="24"/>
        <v>0.67314195452342995</v>
      </c>
      <c r="F45" s="128">
        <f t="shared" si="24"/>
        <v>0.67314195452342995</v>
      </c>
      <c r="G45" s="128">
        <f t="shared" si="24"/>
        <v>0.23665146838714332</v>
      </c>
      <c r="H45" s="128">
        <f t="shared" si="24"/>
        <v>0.16828548863085749</v>
      </c>
      <c r="I45" s="128">
        <f t="shared" si="24"/>
        <v>0.67314195452342995</v>
      </c>
      <c r="J45" s="128">
        <f t="shared" si="24"/>
        <v>0.33657097726171498</v>
      </c>
      <c r="K45" s="128">
        <f t="shared" si="24"/>
        <v>0.67314195452342995</v>
      </c>
      <c r="L45" s="128">
        <f t="shared" si="24"/>
        <v>0.67314195452342995</v>
      </c>
      <c r="M45" s="128">
        <f t="shared" si="24"/>
        <v>0.33657097726171498</v>
      </c>
      <c r="N45" s="128">
        <f t="shared" si="24"/>
        <v>0.16828548863085749</v>
      </c>
      <c r="O45" s="128">
        <f t="shared" si="24"/>
        <v>0.16828548863085749</v>
      </c>
      <c r="P45" s="61">
        <f t="shared" si="24"/>
        <v>0.33657097726171498</v>
      </c>
      <c r="Q45" s="129"/>
      <c r="R45" s="134"/>
      <c r="S45" s="128"/>
      <c r="T45" s="12"/>
    </row>
    <row r="46" spans="2:20" x14ac:dyDescent="0.25">
      <c r="B46" s="147" t="s">
        <v>146</v>
      </c>
      <c r="C46" s="128" t="e">
        <f>C7/$G14</f>
        <v>#DIV/0!</v>
      </c>
      <c r="D46" s="128" t="e">
        <f t="shared" ref="D46:P46" si="25">D7/$G14</f>
        <v>#DIV/0!</v>
      </c>
      <c r="E46" s="128" t="e">
        <f t="shared" si="25"/>
        <v>#DIV/0!</v>
      </c>
      <c r="F46" s="128" t="e">
        <f t="shared" si="25"/>
        <v>#DIV/0!</v>
      </c>
      <c r="G46" s="128" t="e">
        <f t="shared" si="25"/>
        <v>#DIV/0!</v>
      </c>
      <c r="H46" s="128" t="e">
        <f t="shared" si="25"/>
        <v>#DIV/0!</v>
      </c>
      <c r="I46" s="128" t="e">
        <f t="shared" si="25"/>
        <v>#DIV/0!</v>
      </c>
      <c r="J46" s="128" t="e">
        <f t="shared" si="25"/>
        <v>#DIV/0!</v>
      </c>
      <c r="K46" s="128" t="e">
        <f t="shared" si="25"/>
        <v>#DIV/0!</v>
      </c>
      <c r="L46" s="128" t="e">
        <f t="shared" si="25"/>
        <v>#DIV/0!</v>
      </c>
      <c r="M46" s="128" t="e">
        <f t="shared" si="25"/>
        <v>#DIV/0!</v>
      </c>
      <c r="N46" s="128" t="e">
        <f t="shared" si="25"/>
        <v>#DIV/0!</v>
      </c>
      <c r="O46" s="128" t="e">
        <f t="shared" si="25"/>
        <v>#DIV/0!</v>
      </c>
      <c r="P46" s="61" t="e">
        <f t="shared" si="25"/>
        <v>#DIV/0!</v>
      </c>
      <c r="R46" s="134"/>
      <c r="S46" s="12"/>
      <c r="T46" s="12"/>
    </row>
    <row r="47" spans="2:20" x14ac:dyDescent="0.25">
      <c r="B47" s="113" t="s">
        <v>160</v>
      </c>
      <c r="C47" s="114"/>
      <c r="D47" s="136" t="s">
        <v>151</v>
      </c>
      <c r="E47" s="137"/>
      <c r="F47" s="137"/>
      <c r="G47" s="137" t="s">
        <v>152</v>
      </c>
      <c r="H47" s="137"/>
      <c r="I47" s="138"/>
      <c r="J47" s="136" t="s">
        <v>151</v>
      </c>
      <c r="K47" s="137"/>
      <c r="L47" s="137"/>
      <c r="M47" s="137" t="s">
        <v>152</v>
      </c>
      <c r="N47" s="137"/>
      <c r="O47" s="138"/>
      <c r="P47" s="101"/>
      <c r="R47" s="129"/>
    </row>
    <row r="48" spans="2:20" x14ac:dyDescent="0.25">
      <c r="B48" s="93" t="s">
        <v>155</v>
      </c>
      <c r="C48" s="117" t="s">
        <v>145</v>
      </c>
      <c r="D48" s="5" t="s">
        <v>148</v>
      </c>
      <c r="E48" s="117" t="s">
        <v>149</v>
      </c>
      <c r="F48" s="117" t="s">
        <v>150</v>
      </c>
      <c r="G48" s="117" t="s">
        <v>148</v>
      </c>
      <c r="H48" s="117" t="s">
        <v>149</v>
      </c>
      <c r="I48" s="6" t="s">
        <v>150</v>
      </c>
      <c r="J48" s="5" t="s">
        <v>148</v>
      </c>
      <c r="K48" s="117" t="s">
        <v>149</v>
      </c>
      <c r="L48" s="117" t="s">
        <v>150</v>
      </c>
      <c r="M48" s="117" t="s">
        <v>148</v>
      </c>
      <c r="N48" s="117" t="s">
        <v>149</v>
      </c>
      <c r="O48" s="6" t="s">
        <v>150</v>
      </c>
      <c r="P48" s="146" t="s">
        <v>153</v>
      </c>
      <c r="R48" s="117"/>
      <c r="S48" s="118"/>
      <c r="T48" s="1"/>
    </row>
    <row r="49" spans="2:20" x14ac:dyDescent="0.25">
      <c r="B49" s="144" t="s">
        <v>89</v>
      </c>
      <c r="C49" s="128">
        <f>C4/$H11</f>
        <v>8.9901738655324532</v>
      </c>
      <c r="D49" s="128">
        <f t="shared" ref="D49:P49" si="26">D4/$H11</f>
        <v>8.9901738655324532</v>
      </c>
      <c r="E49" s="128">
        <f t="shared" si="26"/>
        <v>8.9901738655324532</v>
      </c>
      <c r="F49" s="128">
        <f t="shared" si="26"/>
        <v>8.9901738655324532</v>
      </c>
      <c r="G49" s="128">
        <f t="shared" si="26"/>
        <v>4.4950869327662266</v>
      </c>
      <c r="H49" s="128">
        <f t="shared" si="26"/>
        <v>8.9901738655324532</v>
      </c>
      <c r="I49" s="128">
        <f t="shared" si="26"/>
        <v>8.9901738655324532</v>
      </c>
      <c r="J49" s="128">
        <f t="shared" si="26"/>
        <v>3.160607999601253</v>
      </c>
      <c r="K49" s="128">
        <f t="shared" si="26"/>
        <v>6.3212159992025061</v>
      </c>
      <c r="L49" s="128">
        <f t="shared" si="26"/>
        <v>6.3212159992025061</v>
      </c>
      <c r="M49" s="128">
        <f t="shared" si="26"/>
        <v>3.160607999601253</v>
      </c>
      <c r="N49" s="128">
        <f t="shared" si="26"/>
        <v>3.160607999601253</v>
      </c>
      <c r="O49" s="128">
        <f t="shared" si="26"/>
        <v>6.3212159992025061</v>
      </c>
      <c r="P49" s="61">
        <f t="shared" si="26"/>
        <v>6.3212159992025061</v>
      </c>
      <c r="R49" s="134"/>
      <c r="S49" s="12"/>
      <c r="T49" s="12"/>
    </row>
    <row r="50" spans="2:20" x14ac:dyDescent="0.25">
      <c r="B50" s="144" t="s">
        <v>90</v>
      </c>
      <c r="C50" s="128" t="e">
        <f t="shared" ref="C50:P52" si="27">C5/$H12</f>
        <v>#DIV/0!</v>
      </c>
      <c r="D50" s="128" t="e">
        <f t="shared" si="27"/>
        <v>#DIV/0!</v>
      </c>
      <c r="E50" s="128" t="e">
        <f t="shared" si="27"/>
        <v>#DIV/0!</v>
      </c>
      <c r="F50" s="128" t="e">
        <f t="shared" si="27"/>
        <v>#DIV/0!</v>
      </c>
      <c r="G50" s="128" t="e">
        <f t="shared" si="27"/>
        <v>#DIV/0!</v>
      </c>
      <c r="H50" s="128" t="e">
        <f t="shared" si="27"/>
        <v>#DIV/0!</v>
      </c>
      <c r="I50" s="128" t="e">
        <f t="shared" si="27"/>
        <v>#DIV/0!</v>
      </c>
      <c r="J50" s="128" t="e">
        <f t="shared" si="27"/>
        <v>#DIV/0!</v>
      </c>
      <c r="K50" s="128" t="e">
        <f t="shared" si="27"/>
        <v>#DIV/0!</v>
      </c>
      <c r="L50" s="128" t="e">
        <f t="shared" si="27"/>
        <v>#DIV/0!</v>
      </c>
      <c r="M50" s="128" t="e">
        <f t="shared" si="27"/>
        <v>#DIV/0!</v>
      </c>
      <c r="N50" s="128" t="e">
        <f t="shared" si="27"/>
        <v>#DIV/0!</v>
      </c>
      <c r="O50" s="128" t="e">
        <f t="shared" si="27"/>
        <v>#DIV/0!</v>
      </c>
      <c r="P50" s="61" t="e">
        <f t="shared" si="27"/>
        <v>#DIV/0!</v>
      </c>
      <c r="Q50" s="129"/>
      <c r="R50" s="134"/>
      <c r="S50" s="128"/>
      <c r="T50" s="12"/>
    </row>
    <row r="51" spans="2:20" x14ac:dyDescent="0.25">
      <c r="B51" s="144" t="s">
        <v>91</v>
      </c>
      <c r="C51" s="128">
        <f t="shared" si="27"/>
        <v>0.38774175205321004</v>
      </c>
      <c r="D51" s="128">
        <f t="shared" si="27"/>
        <v>0.38774175205321004</v>
      </c>
      <c r="E51" s="128">
        <f t="shared" si="27"/>
        <v>0.38774175205321004</v>
      </c>
      <c r="F51" s="128">
        <f t="shared" si="27"/>
        <v>0.38774175205321004</v>
      </c>
      <c r="G51" s="128">
        <f t="shared" si="27"/>
        <v>0.13631545970620665</v>
      </c>
      <c r="H51" s="128">
        <f t="shared" si="27"/>
        <v>9.6935438013302511E-2</v>
      </c>
      <c r="I51" s="128">
        <f t="shared" si="27"/>
        <v>0.38774175205321004</v>
      </c>
      <c r="J51" s="128">
        <f t="shared" si="27"/>
        <v>0.19387087602660502</v>
      </c>
      <c r="K51" s="128">
        <f t="shared" si="27"/>
        <v>0.38774175205321004</v>
      </c>
      <c r="L51" s="128">
        <f t="shared" si="27"/>
        <v>0.38774175205321004</v>
      </c>
      <c r="M51" s="128">
        <f t="shared" si="27"/>
        <v>0.19387087602660502</v>
      </c>
      <c r="N51" s="128">
        <f t="shared" si="27"/>
        <v>9.6935438013302511E-2</v>
      </c>
      <c r="O51" s="128">
        <f t="shared" si="27"/>
        <v>9.6935438013302511E-2</v>
      </c>
      <c r="P51" s="61">
        <f t="shared" si="27"/>
        <v>0.19387087602660502</v>
      </c>
      <c r="Q51" s="129"/>
      <c r="R51" s="134"/>
      <c r="S51" s="128"/>
      <c r="T51" s="12"/>
    </row>
    <row r="52" spans="2:20" x14ac:dyDescent="0.25">
      <c r="B52" s="147" t="s">
        <v>146</v>
      </c>
      <c r="C52" s="128">
        <f t="shared" si="27"/>
        <v>3.7717880518888025</v>
      </c>
      <c r="D52" s="128">
        <f t="shared" si="27"/>
        <v>3.7717880518888025</v>
      </c>
      <c r="E52" s="128">
        <f t="shared" si="27"/>
        <v>3.7717880518888025</v>
      </c>
      <c r="F52" s="128">
        <f t="shared" si="27"/>
        <v>3.7717880518888025</v>
      </c>
      <c r="G52" s="128">
        <f t="shared" si="27"/>
        <v>0.94294701297220063</v>
      </c>
      <c r="H52" s="128">
        <f t="shared" si="27"/>
        <v>1.3260192369921573</v>
      </c>
      <c r="I52" s="128">
        <f t="shared" si="27"/>
        <v>3.7717880518888025</v>
      </c>
      <c r="J52" s="128">
        <f t="shared" si="27"/>
        <v>3.7717880518888025</v>
      </c>
      <c r="K52" s="128">
        <f t="shared" si="27"/>
        <v>3.7717880518888025</v>
      </c>
      <c r="L52" s="128">
        <f t="shared" si="27"/>
        <v>3.7717880518888025</v>
      </c>
      <c r="M52" s="128">
        <f t="shared" si="27"/>
        <v>3.7717880518888025</v>
      </c>
      <c r="N52" s="128">
        <f t="shared" si="27"/>
        <v>1.8858940259444013</v>
      </c>
      <c r="O52" s="128">
        <f t="shared" si="27"/>
        <v>0.94294701297220063</v>
      </c>
      <c r="P52" s="61">
        <f t="shared" si="27"/>
        <v>3.7717880518888025</v>
      </c>
      <c r="R52" s="134"/>
      <c r="S52" s="12"/>
      <c r="T52" s="12"/>
    </row>
    <row r="53" spans="2:20" x14ac:dyDescent="0.25">
      <c r="B53" s="113" t="s">
        <v>161</v>
      </c>
      <c r="C53" s="114"/>
      <c r="D53" s="136" t="s">
        <v>151</v>
      </c>
      <c r="E53" s="137"/>
      <c r="F53" s="137"/>
      <c r="G53" s="137" t="s">
        <v>152</v>
      </c>
      <c r="H53" s="137"/>
      <c r="I53" s="138"/>
      <c r="J53" s="136" t="s">
        <v>151</v>
      </c>
      <c r="K53" s="137"/>
      <c r="L53" s="137"/>
      <c r="M53" s="137" t="s">
        <v>152</v>
      </c>
      <c r="N53" s="137"/>
      <c r="O53" s="138"/>
      <c r="P53" s="101"/>
      <c r="R53" s="129"/>
    </row>
    <row r="54" spans="2:20" x14ac:dyDescent="0.25">
      <c r="B54" s="93" t="s">
        <v>155</v>
      </c>
      <c r="C54" s="117" t="s">
        <v>145</v>
      </c>
      <c r="D54" s="5" t="s">
        <v>148</v>
      </c>
      <c r="E54" s="117" t="s">
        <v>149</v>
      </c>
      <c r="F54" s="117" t="s">
        <v>150</v>
      </c>
      <c r="G54" s="117" t="s">
        <v>148</v>
      </c>
      <c r="H54" s="117" t="s">
        <v>149</v>
      </c>
      <c r="I54" s="6" t="s">
        <v>150</v>
      </c>
      <c r="J54" s="5" t="s">
        <v>148</v>
      </c>
      <c r="K54" s="117" t="s">
        <v>149</v>
      </c>
      <c r="L54" s="117" t="s">
        <v>150</v>
      </c>
      <c r="M54" s="117" t="s">
        <v>148</v>
      </c>
      <c r="N54" s="117" t="s">
        <v>149</v>
      </c>
      <c r="O54" s="6" t="s">
        <v>150</v>
      </c>
      <c r="P54" s="146" t="s">
        <v>153</v>
      </c>
      <c r="R54" s="117"/>
      <c r="S54" s="118" t="s">
        <v>166</v>
      </c>
      <c r="T54" s="1" t="s">
        <v>165</v>
      </c>
    </row>
    <row r="55" spans="2:20" x14ac:dyDescent="0.25">
      <c r="B55" s="144" t="s">
        <v>89</v>
      </c>
      <c r="C55" s="128">
        <f>C4/$I11</f>
        <v>6.0528134416732788</v>
      </c>
      <c r="D55" s="128">
        <f t="shared" ref="D55:P55" si="28">D4/$I11</f>
        <v>6.0528134416732788</v>
      </c>
      <c r="E55" s="128">
        <f t="shared" si="28"/>
        <v>6.0528134416732788</v>
      </c>
      <c r="F55" s="128">
        <f t="shared" si="28"/>
        <v>6.0528134416732788</v>
      </c>
      <c r="G55" s="128">
        <f t="shared" si="28"/>
        <v>3.0264067208366394</v>
      </c>
      <c r="H55" s="128">
        <f t="shared" si="28"/>
        <v>6.0528134416732788</v>
      </c>
      <c r="I55" s="128">
        <f t="shared" si="28"/>
        <v>6.0528134416732788</v>
      </c>
      <c r="J55" s="128">
        <f t="shared" si="28"/>
        <v>2.1279422255882623</v>
      </c>
      <c r="K55" s="128">
        <f t="shared" si="28"/>
        <v>4.2558844511765246</v>
      </c>
      <c r="L55" s="128">
        <f t="shared" si="28"/>
        <v>4.2558844511765246</v>
      </c>
      <c r="M55" s="128">
        <f t="shared" si="28"/>
        <v>2.1279422255882623</v>
      </c>
      <c r="N55" s="128">
        <f t="shared" si="28"/>
        <v>2.1279422255882623</v>
      </c>
      <c r="O55" s="128">
        <f t="shared" si="28"/>
        <v>4.2558844511765246</v>
      </c>
      <c r="P55" s="61">
        <f t="shared" si="28"/>
        <v>4.2558844511765246</v>
      </c>
      <c r="R55" s="134" t="s">
        <v>89</v>
      </c>
      <c r="S55" s="12">
        <f>AVERAGE(D55:P55)</f>
        <v>4.3613721854364567</v>
      </c>
      <c r="T55" s="12">
        <f>_xlfn.STDEV.P(C55:P55)</f>
        <v>1.5527109354004389</v>
      </c>
    </row>
    <row r="56" spans="2:20" x14ac:dyDescent="0.25">
      <c r="B56" s="144" t="s">
        <v>90</v>
      </c>
      <c r="C56" s="128">
        <f t="shared" ref="C56:P58" si="29">C5/$I12</f>
        <v>16.831302533380001</v>
      </c>
      <c r="D56" s="128">
        <f t="shared" si="29"/>
        <v>16.831302533380001</v>
      </c>
      <c r="E56" s="128">
        <f t="shared" si="29"/>
        <v>33.662605066760001</v>
      </c>
      <c r="F56" s="128">
        <f t="shared" si="29"/>
        <v>33.662605066760001</v>
      </c>
      <c r="G56" s="128">
        <f t="shared" si="29"/>
        <v>8.4156512666900003</v>
      </c>
      <c r="H56" s="128">
        <f t="shared" si="29"/>
        <v>11.834509593782812</v>
      </c>
      <c r="I56" s="128">
        <f t="shared" si="29"/>
        <v>33.662605066760001</v>
      </c>
      <c r="J56" s="128">
        <f t="shared" si="29"/>
        <v>16.831302533380001</v>
      </c>
      <c r="K56" s="128">
        <f t="shared" si="29"/>
        <v>16.831302533380001</v>
      </c>
      <c r="L56" s="128">
        <f t="shared" si="29"/>
        <v>33.662605066760001</v>
      </c>
      <c r="M56" s="128">
        <f t="shared" si="29"/>
        <v>8.4156512666900003</v>
      </c>
      <c r="N56" s="128">
        <f t="shared" si="29"/>
        <v>11.834509593782812</v>
      </c>
      <c r="O56" s="128">
        <f t="shared" si="29"/>
        <v>16.831302533380001</v>
      </c>
      <c r="P56" s="61">
        <f t="shared" si="29"/>
        <v>11.834509593782812</v>
      </c>
      <c r="R56" s="134" t="s">
        <v>90</v>
      </c>
      <c r="S56" s="12">
        <f>AVERAGE(D56:P56)</f>
        <v>19.562343208868342</v>
      </c>
      <c r="T56" s="12">
        <f t="shared" ref="T56" si="30">_xlfn.STDEV.P(C56:P56)</f>
        <v>9.4856486238591824</v>
      </c>
    </row>
    <row r="57" spans="2:20" x14ac:dyDescent="0.25">
      <c r="B57" s="144" t="s">
        <v>91</v>
      </c>
      <c r="C57" s="128">
        <f t="shared" si="29"/>
        <v>0.33174428088194219</v>
      </c>
      <c r="D57" s="128">
        <f t="shared" ref="D57:P57" si="31">D6/$I13</f>
        <v>0.33174428088194219</v>
      </c>
      <c r="E57" s="128">
        <f t="shared" si="31"/>
        <v>0.33174428088194219</v>
      </c>
      <c r="F57" s="128">
        <f t="shared" si="31"/>
        <v>0.33174428088194219</v>
      </c>
      <c r="G57" s="128">
        <f t="shared" si="31"/>
        <v>0.11662884874755779</v>
      </c>
      <c r="H57" s="128">
        <f t="shared" si="31"/>
        <v>8.2936070220485547E-2</v>
      </c>
      <c r="I57" s="128">
        <f t="shared" si="31"/>
        <v>0.33174428088194219</v>
      </c>
      <c r="J57" s="128">
        <f t="shared" si="31"/>
        <v>0.16587214044097109</v>
      </c>
      <c r="K57" s="128">
        <f t="shared" si="31"/>
        <v>0.33174428088194219</v>
      </c>
      <c r="L57" s="128">
        <f t="shared" si="31"/>
        <v>0.33174428088194219</v>
      </c>
      <c r="M57" s="128">
        <f t="shared" si="31"/>
        <v>0.16587214044097109</v>
      </c>
      <c r="N57" s="128">
        <f t="shared" si="31"/>
        <v>8.2936070220485547E-2</v>
      </c>
      <c r="O57" s="128">
        <f t="shared" si="31"/>
        <v>8.2936070220485547E-2</v>
      </c>
      <c r="P57" s="61">
        <f t="shared" si="31"/>
        <v>0.16587214044097109</v>
      </c>
      <c r="Q57" s="129"/>
      <c r="R57" s="134" t="s">
        <v>91</v>
      </c>
      <c r="S57" s="128">
        <f>AVERAGE(D57:P57)</f>
        <v>0.21950147430950623</v>
      </c>
      <c r="T57" s="12">
        <f>_xlfn.STDEV.P(C57:P57)</f>
        <v>0.10772009578403981</v>
      </c>
    </row>
    <row r="58" spans="2:20" x14ac:dyDescent="0.25">
      <c r="B58" s="147" t="s">
        <v>146</v>
      </c>
      <c r="C58" s="128">
        <f t="shared" si="29"/>
        <v>1.9577406285372452</v>
      </c>
      <c r="D58" s="128">
        <f t="shared" ref="D58:P58" si="32">D7/$I14</f>
        <v>1.9577406285372452</v>
      </c>
      <c r="E58" s="128">
        <f t="shared" si="32"/>
        <v>1.9577406285372452</v>
      </c>
      <c r="F58" s="128">
        <f t="shared" si="32"/>
        <v>1.9577406285372452</v>
      </c>
      <c r="G58" s="128">
        <f t="shared" si="32"/>
        <v>0.48943515713431129</v>
      </c>
      <c r="H58" s="128">
        <f t="shared" si="32"/>
        <v>0.68826818972012527</v>
      </c>
      <c r="I58" s="128">
        <f t="shared" si="32"/>
        <v>1.9577406285372452</v>
      </c>
      <c r="J58" s="128">
        <f t="shared" si="32"/>
        <v>1.9577406285372452</v>
      </c>
      <c r="K58" s="128">
        <f t="shared" si="32"/>
        <v>1.9577406285372452</v>
      </c>
      <c r="L58" s="128">
        <f t="shared" si="32"/>
        <v>1.9577406285372452</v>
      </c>
      <c r="M58" s="128">
        <f t="shared" si="32"/>
        <v>1.9577406285372452</v>
      </c>
      <c r="N58" s="128">
        <f t="shared" si="32"/>
        <v>0.97887031426862259</v>
      </c>
      <c r="O58" s="128">
        <f t="shared" si="32"/>
        <v>0.48943515713431129</v>
      </c>
      <c r="P58" s="61">
        <f t="shared" si="32"/>
        <v>1.9577406285372452</v>
      </c>
      <c r="R58" s="134" t="s">
        <v>146</v>
      </c>
      <c r="S58" s="128">
        <f>AVERAGE(D58:P58)</f>
        <v>1.5588980365455829</v>
      </c>
      <c r="T58" s="128">
        <f>AVERAGE(E58:Q58)</f>
        <v>1.5256611538796108</v>
      </c>
    </row>
    <row r="59" spans="2:20" x14ac:dyDescent="0.25">
      <c r="B59" s="113" t="s">
        <v>162</v>
      </c>
      <c r="C59" s="114"/>
      <c r="D59" s="136" t="s">
        <v>151</v>
      </c>
      <c r="E59" s="137"/>
      <c r="F59" s="137"/>
      <c r="G59" s="137" t="s">
        <v>152</v>
      </c>
      <c r="H59" s="137"/>
      <c r="I59" s="138"/>
      <c r="J59" s="136" t="s">
        <v>151</v>
      </c>
      <c r="K59" s="137"/>
      <c r="L59" s="137"/>
      <c r="M59" s="137" t="s">
        <v>152</v>
      </c>
      <c r="N59" s="137"/>
      <c r="O59" s="138"/>
      <c r="P59" s="101"/>
      <c r="R59" s="129"/>
    </row>
    <row r="60" spans="2:20" x14ac:dyDescent="0.25">
      <c r="B60" s="93" t="s">
        <v>155</v>
      </c>
      <c r="C60" s="117" t="s">
        <v>145</v>
      </c>
      <c r="D60" s="5" t="s">
        <v>148</v>
      </c>
      <c r="E60" s="117" t="s">
        <v>149</v>
      </c>
      <c r="F60" s="117" t="s">
        <v>150</v>
      </c>
      <c r="G60" s="117" t="s">
        <v>148</v>
      </c>
      <c r="H60" s="117" t="s">
        <v>149</v>
      </c>
      <c r="I60" s="6" t="s">
        <v>150</v>
      </c>
      <c r="J60" s="5" t="s">
        <v>148</v>
      </c>
      <c r="K60" s="117" t="s">
        <v>149</v>
      </c>
      <c r="L60" s="117" t="s">
        <v>150</v>
      </c>
      <c r="M60" s="117" t="s">
        <v>148</v>
      </c>
      <c r="N60" s="117" t="s">
        <v>149</v>
      </c>
      <c r="O60" s="6" t="s">
        <v>150</v>
      </c>
      <c r="P60" s="146" t="s">
        <v>153</v>
      </c>
      <c r="R60" s="117"/>
      <c r="S60" s="118"/>
      <c r="T60" s="1"/>
    </row>
    <row r="61" spans="2:20" x14ac:dyDescent="0.25">
      <c r="B61" s="144" t="s">
        <v>89</v>
      </c>
      <c r="C61" s="128" t="e">
        <f>C4/$J11</f>
        <v>#DIV/0!</v>
      </c>
      <c r="D61" s="128" t="e">
        <f t="shared" ref="D61:P61" si="33">D4/$J11</f>
        <v>#DIV/0!</v>
      </c>
      <c r="E61" s="128" t="e">
        <f t="shared" si="33"/>
        <v>#DIV/0!</v>
      </c>
      <c r="F61" s="128" t="e">
        <f t="shared" si="33"/>
        <v>#DIV/0!</v>
      </c>
      <c r="G61" s="128" t="e">
        <f t="shared" si="33"/>
        <v>#DIV/0!</v>
      </c>
      <c r="H61" s="128" t="e">
        <f t="shared" si="33"/>
        <v>#DIV/0!</v>
      </c>
      <c r="I61" s="128" t="e">
        <f t="shared" si="33"/>
        <v>#DIV/0!</v>
      </c>
      <c r="J61" s="128" t="e">
        <f t="shared" si="33"/>
        <v>#DIV/0!</v>
      </c>
      <c r="K61" s="128" t="e">
        <f t="shared" si="33"/>
        <v>#DIV/0!</v>
      </c>
      <c r="L61" s="128" t="e">
        <f t="shared" si="33"/>
        <v>#DIV/0!</v>
      </c>
      <c r="M61" s="128" t="e">
        <f t="shared" si="33"/>
        <v>#DIV/0!</v>
      </c>
      <c r="N61" s="128" t="e">
        <f t="shared" si="33"/>
        <v>#DIV/0!</v>
      </c>
      <c r="O61" s="128" t="e">
        <f t="shared" si="33"/>
        <v>#DIV/0!</v>
      </c>
      <c r="P61" s="61" t="e">
        <f t="shared" si="33"/>
        <v>#DIV/0!</v>
      </c>
      <c r="R61" s="134"/>
      <c r="S61" s="12"/>
      <c r="T61" s="12"/>
    </row>
    <row r="62" spans="2:20" x14ac:dyDescent="0.25">
      <c r="B62" s="144" t="s">
        <v>90</v>
      </c>
      <c r="C62" s="128" t="e">
        <f t="shared" ref="C62:P64" si="34">C5/$J12</f>
        <v>#DIV/0!</v>
      </c>
      <c r="D62" s="128" t="e">
        <f t="shared" si="34"/>
        <v>#DIV/0!</v>
      </c>
      <c r="E62" s="128" t="e">
        <f t="shared" si="34"/>
        <v>#DIV/0!</v>
      </c>
      <c r="F62" s="128" t="e">
        <f t="shared" si="34"/>
        <v>#DIV/0!</v>
      </c>
      <c r="G62" s="128" t="e">
        <f t="shared" si="34"/>
        <v>#DIV/0!</v>
      </c>
      <c r="H62" s="128" t="e">
        <f t="shared" si="34"/>
        <v>#DIV/0!</v>
      </c>
      <c r="I62" s="128" t="e">
        <f t="shared" si="34"/>
        <v>#DIV/0!</v>
      </c>
      <c r="J62" s="128" t="e">
        <f t="shared" si="34"/>
        <v>#DIV/0!</v>
      </c>
      <c r="K62" s="128" t="e">
        <f t="shared" si="34"/>
        <v>#DIV/0!</v>
      </c>
      <c r="L62" s="128" t="e">
        <f t="shared" si="34"/>
        <v>#DIV/0!</v>
      </c>
      <c r="M62" s="128" t="e">
        <f t="shared" si="34"/>
        <v>#DIV/0!</v>
      </c>
      <c r="N62" s="128" t="e">
        <f t="shared" si="34"/>
        <v>#DIV/0!</v>
      </c>
      <c r="O62" s="128" t="e">
        <f t="shared" si="34"/>
        <v>#DIV/0!</v>
      </c>
      <c r="P62" s="61" t="e">
        <f t="shared" si="34"/>
        <v>#DIV/0!</v>
      </c>
      <c r="Q62" s="129"/>
      <c r="R62" s="134"/>
      <c r="S62" s="128"/>
      <c r="T62" s="12"/>
    </row>
    <row r="63" spans="2:20" x14ac:dyDescent="0.25">
      <c r="B63" s="144" t="s">
        <v>91</v>
      </c>
      <c r="C63" s="128">
        <f t="shared" si="34"/>
        <v>1.759977705869848</v>
      </c>
      <c r="D63" s="128">
        <f t="shared" ref="D63:P63" si="35">D6/$J13</f>
        <v>1.759977705869848</v>
      </c>
      <c r="E63" s="128">
        <f t="shared" si="35"/>
        <v>1.759977705869848</v>
      </c>
      <c r="F63" s="128">
        <f t="shared" si="35"/>
        <v>1.759977705869848</v>
      </c>
      <c r="G63" s="128">
        <f t="shared" si="35"/>
        <v>0.61874216221986844</v>
      </c>
      <c r="H63" s="128">
        <f t="shared" si="35"/>
        <v>0.43999442646746201</v>
      </c>
      <c r="I63" s="128">
        <f t="shared" si="35"/>
        <v>1.759977705869848</v>
      </c>
      <c r="J63" s="128">
        <f t="shared" si="35"/>
        <v>0.87998885293492402</v>
      </c>
      <c r="K63" s="128">
        <f t="shared" si="35"/>
        <v>1.759977705869848</v>
      </c>
      <c r="L63" s="128">
        <f t="shared" si="35"/>
        <v>1.759977705869848</v>
      </c>
      <c r="M63" s="128">
        <f t="shared" si="35"/>
        <v>0.87998885293492402</v>
      </c>
      <c r="N63" s="128">
        <f t="shared" si="35"/>
        <v>0.43999442646746201</v>
      </c>
      <c r="O63" s="128">
        <f t="shared" si="35"/>
        <v>0.43999442646746201</v>
      </c>
      <c r="P63" s="61">
        <f t="shared" si="35"/>
        <v>0.87998885293492402</v>
      </c>
      <c r="Q63" s="129"/>
      <c r="R63" s="134"/>
      <c r="S63" s="128"/>
      <c r="T63" s="12"/>
    </row>
    <row r="64" spans="2:20" x14ac:dyDescent="0.25">
      <c r="B64" s="147" t="s">
        <v>146</v>
      </c>
      <c r="C64" s="84" t="e">
        <f>C7/$J14</f>
        <v>#DIV/0!</v>
      </c>
      <c r="D64" s="84" t="e">
        <f t="shared" ref="D64:P64" si="36">D7/$J14</f>
        <v>#DIV/0!</v>
      </c>
      <c r="E64" s="84" t="e">
        <f t="shared" si="36"/>
        <v>#DIV/0!</v>
      </c>
      <c r="F64" s="84" t="e">
        <f t="shared" si="36"/>
        <v>#DIV/0!</v>
      </c>
      <c r="G64" s="84" t="e">
        <f t="shared" si="36"/>
        <v>#DIV/0!</v>
      </c>
      <c r="H64" s="84" t="e">
        <f t="shared" si="36"/>
        <v>#DIV/0!</v>
      </c>
      <c r="I64" s="84" t="e">
        <f t="shared" si="36"/>
        <v>#DIV/0!</v>
      </c>
      <c r="J64" s="84" t="e">
        <f t="shared" si="36"/>
        <v>#DIV/0!</v>
      </c>
      <c r="K64" s="84" t="e">
        <f t="shared" si="36"/>
        <v>#DIV/0!</v>
      </c>
      <c r="L64" s="84" t="e">
        <f t="shared" si="36"/>
        <v>#DIV/0!</v>
      </c>
      <c r="M64" s="84" t="e">
        <f t="shared" si="36"/>
        <v>#DIV/0!</v>
      </c>
      <c r="N64" s="84" t="e">
        <f t="shared" si="36"/>
        <v>#DIV/0!</v>
      </c>
      <c r="O64" s="84" t="e">
        <f t="shared" si="36"/>
        <v>#DIV/0!</v>
      </c>
      <c r="P64" s="85" t="e">
        <f t="shared" si="36"/>
        <v>#DIV/0!</v>
      </c>
      <c r="R64" s="134"/>
      <c r="S64" s="12"/>
      <c r="T64" s="12"/>
    </row>
    <row r="65" spans="2:20" x14ac:dyDescent="0.25">
      <c r="B65" s="122" t="s">
        <v>163</v>
      </c>
      <c r="C65" s="123"/>
      <c r="D65" s="110" t="s">
        <v>151</v>
      </c>
      <c r="E65" s="116"/>
      <c r="F65" s="116"/>
      <c r="G65" s="116" t="s">
        <v>152</v>
      </c>
      <c r="H65" s="116"/>
      <c r="I65" s="111"/>
      <c r="J65" s="110" t="s">
        <v>151</v>
      </c>
      <c r="K65" s="116"/>
      <c r="L65" s="116"/>
      <c r="M65" s="116" t="s">
        <v>152</v>
      </c>
      <c r="N65" s="116"/>
      <c r="O65" s="111"/>
      <c r="P65" s="94"/>
      <c r="R65" s="129"/>
    </row>
    <row r="66" spans="2:20" x14ac:dyDescent="0.25">
      <c r="B66" s="93" t="s">
        <v>155</v>
      </c>
      <c r="C66" s="117" t="s">
        <v>145</v>
      </c>
      <c r="D66" s="5" t="s">
        <v>148</v>
      </c>
      <c r="E66" s="117" t="s">
        <v>149</v>
      </c>
      <c r="F66" s="117" t="s">
        <v>150</v>
      </c>
      <c r="G66" s="117" t="s">
        <v>148</v>
      </c>
      <c r="H66" s="117" t="s">
        <v>149</v>
      </c>
      <c r="I66" s="6" t="s">
        <v>150</v>
      </c>
      <c r="J66" s="5" t="s">
        <v>148</v>
      </c>
      <c r="K66" s="117" t="s">
        <v>149</v>
      </c>
      <c r="L66" s="117" t="s">
        <v>150</v>
      </c>
      <c r="M66" s="117" t="s">
        <v>148</v>
      </c>
      <c r="N66" s="117" t="s">
        <v>149</v>
      </c>
      <c r="O66" s="6" t="s">
        <v>150</v>
      </c>
      <c r="P66" s="146" t="s">
        <v>153</v>
      </c>
      <c r="R66" s="117"/>
      <c r="S66" s="118"/>
      <c r="T66" s="1"/>
    </row>
    <row r="67" spans="2:20" x14ac:dyDescent="0.25">
      <c r="B67" s="144" t="s">
        <v>89</v>
      </c>
      <c r="C67" s="128">
        <f>C4/$K11</f>
        <v>9.7974500571063352</v>
      </c>
      <c r="D67" s="128">
        <f t="shared" ref="D67:P67" si="37">D4/$K11</f>
        <v>9.7974500571063352</v>
      </c>
      <c r="E67" s="128">
        <f t="shared" si="37"/>
        <v>9.7974500571063352</v>
      </c>
      <c r="F67" s="128">
        <f t="shared" si="37"/>
        <v>9.7974500571063352</v>
      </c>
      <c r="G67" s="128">
        <f t="shared" si="37"/>
        <v>4.8987250285531676</v>
      </c>
      <c r="H67" s="128">
        <f t="shared" si="37"/>
        <v>9.7974500571063352</v>
      </c>
      <c r="I67" s="128">
        <f t="shared" si="37"/>
        <v>9.7974500571063352</v>
      </c>
      <c r="J67" s="128">
        <f t="shared" si="37"/>
        <v>3.4444160357014462</v>
      </c>
      <c r="K67" s="128">
        <f t="shared" si="37"/>
        <v>6.8888320714028923</v>
      </c>
      <c r="L67" s="128">
        <f t="shared" si="37"/>
        <v>6.8888320714028923</v>
      </c>
      <c r="M67" s="128">
        <f t="shared" si="37"/>
        <v>3.4444160357014462</v>
      </c>
      <c r="N67" s="128">
        <f t="shared" si="37"/>
        <v>3.4444160357014462</v>
      </c>
      <c r="O67" s="128">
        <f t="shared" si="37"/>
        <v>6.8888320714028923</v>
      </c>
      <c r="P67" s="61">
        <f t="shared" si="37"/>
        <v>6.8888320714028923</v>
      </c>
      <c r="R67" s="134"/>
      <c r="S67" s="12"/>
      <c r="T67" s="12"/>
    </row>
    <row r="68" spans="2:20" x14ac:dyDescent="0.25">
      <c r="B68" s="144" t="s">
        <v>90</v>
      </c>
      <c r="C68" s="128" t="e">
        <f t="shared" ref="C68:P70" si="38">C5/$K12</f>
        <v>#DIV/0!</v>
      </c>
      <c r="D68" s="128" t="e">
        <f t="shared" si="38"/>
        <v>#DIV/0!</v>
      </c>
      <c r="E68" s="128" t="e">
        <f t="shared" si="38"/>
        <v>#DIV/0!</v>
      </c>
      <c r="F68" s="128" t="e">
        <f t="shared" si="38"/>
        <v>#DIV/0!</v>
      </c>
      <c r="G68" s="128" t="e">
        <f t="shared" si="38"/>
        <v>#DIV/0!</v>
      </c>
      <c r="H68" s="128" t="e">
        <f t="shared" si="38"/>
        <v>#DIV/0!</v>
      </c>
      <c r="I68" s="128" t="e">
        <f t="shared" si="38"/>
        <v>#DIV/0!</v>
      </c>
      <c r="J68" s="128" t="e">
        <f t="shared" si="38"/>
        <v>#DIV/0!</v>
      </c>
      <c r="K68" s="128" t="e">
        <f t="shared" si="38"/>
        <v>#DIV/0!</v>
      </c>
      <c r="L68" s="128" t="e">
        <f t="shared" si="38"/>
        <v>#DIV/0!</v>
      </c>
      <c r="M68" s="128" t="e">
        <f t="shared" si="38"/>
        <v>#DIV/0!</v>
      </c>
      <c r="N68" s="128" t="e">
        <f t="shared" si="38"/>
        <v>#DIV/0!</v>
      </c>
      <c r="O68" s="128" t="e">
        <f t="shared" si="38"/>
        <v>#DIV/0!</v>
      </c>
      <c r="P68" s="61" t="e">
        <f t="shared" si="38"/>
        <v>#DIV/0!</v>
      </c>
      <c r="Q68" s="129"/>
      <c r="R68" s="134"/>
      <c r="S68" s="128"/>
      <c r="T68" s="12"/>
    </row>
    <row r="69" spans="2:20" x14ac:dyDescent="0.25">
      <c r="B69" s="144" t="s">
        <v>91</v>
      </c>
      <c r="C69" s="128">
        <f t="shared" si="38"/>
        <v>1.3891734103872184</v>
      </c>
      <c r="D69" s="128">
        <f t="shared" si="38"/>
        <v>1.3891734103872184</v>
      </c>
      <c r="E69" s="128">
        <f t="shared" si="38"/>
        <v>1.3891734103872184</v>
      </c>
      <c r="F69" s="128">
        <f t="shared" si="38"/>
        <v>1.3891734103872184</v>
      </c>
      <c r="G69" s="128">
        <f t="shared" si="38"/>
        <v>0.48838127708925644</v>
      </c>
      <c r="H69" s="128">
        <f t="shared" si="38"/>
        <v>0.34729335259680461</v>
      </c>
      <c r="I69" s="128">
        <f t="shared" si="38"/>
        <v>1.3891734103872184</v>
      </c>
      <c r="J69" s="128">
        <f t="shared" si="38"/>
        <v>0.69458670519360921</v>
      </c>
      <c r="K69" s="128">
        <f t="shared" si="38"/>
        <v>1.3891734103872184</v>
      </c>
      <c r="L69" s="128">
        <f t="shared" si="38"/>
        <v>1.3891734103872184</v>
      </c>
      <c r="M69" s="128">
        <f t="shared" si="38"/>
        <v>0.69458670519360921</v>
      </c>
      <c r="N69" s="128">
        <f t="shared" si="38"/>
        <v>0.34729335259680461</v>
      </c>
      <c r="O69" s="128">
        <f t="shared" si="38"/>
        <v>0.34729335259680461</v>
      </c>
      <c r="P69" s="61">
        <f t="shared" si="38"/>
        <v>0.69458670519360921</v>
      </c>
      <c r="Q69" s="129"/>
      <c r="R69" s="134"/>
      <c r="S69" s="128"/>
      <c r="T69" s="12"/>
    </row>
    <row r="70" spans="2:20" x14ac:dyDescent="0.25">
      <c r="B70" s="144" t="s">
        <v>146</v>
      </c>
      <c r="C70" s="128">
        <f t="shared" si="38"/>
        <v>19.287658163870507</v>
      </c>
      <c r="D70" s="128">
        <f t="shared" si="38"/>
        <v>19.287658163870507</v>
      </c>
      <c r="E70" s="128">
        <f t="shared" si="38"/>
        <v>19.287658163870507</v>
      </c>
      <c r="F70" s="128">
        <f t="shared" si="38"/>
        <v>19.287658163870507</v>
      </c>
      <c r="G70" s="128">
        <f t="shared" si="38"/>
        <v>4.8219145409676267</v>
      </c>
      <c r="H70" s="128">
        <f t="shared" si="38"/>
        <v>6.7808173232357252</v>
      </c>
      <c r="I70" s="128">
        <f t="shared" si="38"/>
        <v>19.287658163870507</v>
      </c>
      <c r="J70" s="128">
        <f t="shared" si="38"/>
        <v>19.287658163870507</v>
      </c>
      <c r="K70" s="128">
        <f t="shared" si="38"/>
        <v>19.287658163870507</v>
      </c>
      <c r="L70" s="128">
        <f t="shared" si="38"/>
        <v>19.287658163870507</v>
      </c>
      <c r="M70" s="128">
        <f t="shared" si="38"/>
        <v>19.287658163870507</v>
      </c>
      <c r="N70" s="128">
        <f t="shared" si="38"/>
        <v>9.6438290819352535</v>
      </c>
      <c r="O70" s="128">
        <f t="shared" si="38"/>
        <v>4.8219145409676267</v>
      </c>
      <c r="P70" s="61">
        <f t="shared" si="38"/>
        <v>19.287658163870507</v>
      </c>
      <c r="R70" s="134"/>
      <c r="S70" s="12"/>
      <c r="T70" s="12"/>
    </row>
    <row r="71" spans="2:20" x14ac:dyDescent="0.25">
      <c r="B71" s="113" t="s">
        <v>164</v>
      </c>
      <c r="C71" s="114"/>
      <c r="D71" s="136" t="s">
        <v>151</v>
      </c>
      <c r="E71" s="137"/>
      <c r="F71" s="137"/>
      <c r="G71" s="137" t="s">
        <v>152</v>
      </c>
      <c r="H71" s="137"/>
      <c r="I71" s="138"/>
      <c r="J71" s="136" t="s">
        <v>151</v>
      </c>
      <c r="K71" s="137"/>
      <c r="L71" s="137"/>
      <c r="M71" s="137" t="s">
        <v>152</v>
      </c>
      <c r="N71" s="137"/>
      <c r="O71" s="138"/>
      <c r="P71" s="101"/>
      <c r="R71" s="129"/>
    </row>
    <row r="72" spans="2:20" x14ac:dyDescent="0.25">
      <c r="B72" s="93" t="s">
        <v>155</v>
      </c>
      <c r="C72" s="117" t="s">
        <v>145</v>
      </c>
      <c r="D72" s="5" t="s">
        <v>148</v>
      </c>
      <c r="E72" s="117" t="s">
        <v>149</v>
      </c>
      <c r="F72" s="117" t="s">
        <v>150</v>
      </c>
      <c r="G72" s="117" t="s">
        <v>148</v>
      </c>
      <c r="H72" s="117" t="s">
        <v>149</v>
      </c>
      <c r="I72" s="6" t="s">
        <v>150</v>
      </c>
      <c r="J72" s="5" t="s">
        <v>148</v>
      </c>
      <c r="K72" s="117" t="s">
        <v>149</v>
      </c>
      <c r="L72" s="117" t="s">
        <v>150</v>
      </c>
      <c r="M72" s="117" t="s">
        <v>148</v>
      </c>
      <c r="N72" s="117" t="s">
        <v>149</v>
      </c>
      <c r="O72" s="6" t="s">
        <v>150</v>
      </c>
      <c r="P72" s="146" t="s">
        <v>153</v>
      </c>
      <c r="R72" s="117"/>
      <c r="S72" s="118" t="s">
        <v>166</v>
      </c>
      <c r="T72" s="1" t="s">
        <v>165</v>
      </c>
    </row>
    <row r="73" spans="2:20" x14ac:dyDescent="0.25">
      <c r="B73" s="144" t="s">
        <v>89</v>
      </c>
      <c r="C73" s="128">
        <f>C4/$L11</f>
        <v>6.696836960118314</v>
      </c>
      <c r="D73" s="128">
        <f>D4/$L11</f>
        <v>6.696836960118314</v>
      </c>
      <c r="E73" s="128">
        <f t="shared" ref="D73:P73" si="39">E4/$L11</f>
        <v>6.696836960118314</v>
      </c>
      <c r="F73" s="128">
        <f t="shared" si="39"/>
        <v>6.696836960118314</v>
      </c>
      <c r="G73" s="128">
        <f t="shared" si="39"/>
        <v>3.348418480059157</v>
      </c>
      <c r="H73" s="128">
        <f t="shared" si="39"/>
        <v>6.696836960118314</v>
      </c>
      <c r="I73" s="128">
        <f t="shared" si="39"/>
        <v>6.696836960118314</v>
      </c>
      <c r="J73" s="128">
        <f t="shared" si="39"/>
        <v>2.3543567437915947</v>
      </c>
      <c r="K73" s="128">
        <f t="shared" si="39"/>
        <v>4.7087134875831893</v>
      </c>
      <c r="L73" s="128">
        <f t="shared" si="39"/>
        <v>4.7087134875831893</v>
      </c>
      <c r="M73" s="128">
        <f t="shared" si="39"/>
        <v>2.3543567437915947</v>
      </c>
      <c r="N73" s="128">
        <f t="shared" si="39"/>
        <v>2.3543567437915947</v>
      </c>
      <c r="O73" s="128">
        <f t="shared" si="39"/>
        <v>4.7087134875831893</v>
      </c>
      <c r="P73" s="61">
        <f t="shared" si="39"/>
        <v>4.7087134875831893</v>
      </c>
      <c r="R73" s="134" t="s">
        <v>89</v>
      </c>
      <c r="S73" s="12">
        <f>AVERAGE(D73:P73)</f>
        <v>4.825425189412174</v>
      </c>
      <c r="T73" s="12">
        <f>_xlfn.STDEV.P(C73:P73)</f>
        <v>1.7179204481965649</v>
      </c>
    </row>
    <row r="74" spans="2:20" x14ac:dyDescent="0.25">
      <c r="B74" s="144" t="s">
        <v>90</v>
      </c>
      <c r="C74" s="128">
        <f t="shared" ref="C74:P76" si="40">C5/$L12</f>
        <v>16.428549692467158</v>
      </c>
      <c r="D74" s="128">
        <f t="shared" si="40"/>
        <v>16.428549692467158</v>
      </c>
      <c r="E74" s="128">
        <f t="shared" si="40"/>
        <v>32.857099384934315</v>
      </c>
      <c r="F74" s="128">
        <f t="shared" si="40"/>
        <v>32.857099384934315</v>
      </c>
      <c r="G74" s="128">
        <f t="shared" si="40"/>
        <v>8.2142748462335788</v>
      </c>
      <c r="H74" s="128">
        <f t="shared" si="40"/>
        <v>11.551324002515971</v>
      </c>
      <c r="I74" s="128">
        <f t="shared" si="40"/>
        <v>32.857099384934315</v>
      </c>
      <c r="J74" s="128">
        <f t="shared" si="40"/>
        <v>16.428549692467158</v>
      </c>
      <c r="K74" s="128">
        <f t="shared" si="40"/>
        <v>16.428549692467158</v>
      </c>
      <c r="L74" s="128">
        <f t="shared" si="40"/>
        <v>32.857099384934315</v>
      </c>
      <c r="M74" s="128">
        <f t="shared" si="40"/>
        <v>8.2142748462335788</v>
      </c>
      <c r="N74" s="128">
        <f t="shared" si="40"/>
        <v>11.551324002515971</v>
      </c>
      <c r="O74" s="128">
        <f t="shared" si="40"/>
        <v>16.428549692467158</v>
      </c>
      <c r="P74" s="61">
        <f t="shared" si="40"/>
        <v>11.551324002515971</v>
      </c>
      <c r="Q74" s="129"/>
      <c r="R74" s="134" t="s">
        <v>90</v>
      </c>
      <c r="S74" s="128">
        <f>AVERAGE(D74:P74)</f>
        <v>19.09423984689392</v>
      </c>
      <c r="T74" s="128">
        <f t="shared" ref="T74" si="41">_xlfn.STDEV.P(C74:P74)</f>
        <v>9.2586684526226612</v>
      </c>
    </row>
    <row r="75" spans="2:20" x14ac:dyDescent="0.25">
      <c r="B75" s="144" t="s">
        <v>91</v>
      </c>
      <c r="C75" s="128">
        <f t="shared" si="40"/>
        <v>1.5863834193023287</v>
      </c>
      <c r="D75" s="128">
        <f t="shared" ref="D75:P75" si="42">D6/$L13</f>
        <v>1.5863834193023287</v>
      </c>
      <c r="E75" s="128">
        <f t="shared" si="42"/>
        <v>1.5863834193023287</v>
      </c>
      <c r="F75" s="128">
        <f t="shared" si="42"/>
        <v>1.5863834193023287</v>
      </c>
      <c r="G75" s="128">
        <f t="shared" si="42"/>
        <v>0.5577129208484749</v>
      </c>
      <c r="H75" s="128">
        <f t="shared" si="42"/>
        <v>0.39659585482558218</v>
      </c>
      <c r="I75" s="128">
        <f t="shared" si="42"/>
        <v>1.5863834193023287</v>
      </c>
      <c r="J75" s="128">
        <f t="shared" si="42"/>
        <v>0.79319170965116437</v>
      </c>
      <c r="K75" s="128">
        <f t="shared" si="42"/>
        <v>1.5863834193023287</v>
      </c>
      <c r="L75" s="128">
        <f t="shared" si="42"/>
        <v>1.5863834193023287</v>
      </c>
      <c r="M75" s="128">
        <f t="shared" si="42"/>
        <v>0.79319170965116437</v>
      </c>
      <c r="N75" s="128">
        <f t="shared" si="42"/>
        <v>0.39659585482558218</v>
      </c>
      <c r="O75" s="128">
        <f t="shared" si="42"/>
        <v>0.39659585482558218</v>
      </c>
      <c r="P75" s="61">
        <f t="shared" si="42"/>
        <v>0.79319170965116437</v>
      </c>
      <c r="Q75" s="129"/>
      <c r="R75" s="134" t="s">
        <v>91</v>
      </c>
      <c r="S75" s="128">
        <f>AVERAGE(D75:P75)</f>
        <v>1.0496443176994377</v>
      </c>
      <c r="T75" s="128">
        <f>_xlfn.STDEV.P(C75:P75)</f>
        <v>0.51511174035362606</v>
      </c>
    </row>
    <row r="76" spans="2:20" x14ac:dyDescent="0.25">
      <c r="B76" s="144" t="s">
        <v>146</v>
      </c>
      <c r="C76" s="128">
        <f t="shared" si="40"/>
        <v>14.182801719450435</v>
      </c>
      <c r="D76" s="128">
        <f t="shared" ref="D76:P76" si="43">D7/$L14</f>
        <v>14.182801719450435</v>
      </c>
      <c r="E76" s="128">
        <f t="shared" si="43"/>
        <v>14.182801719450435</v>
      </c>
      <c r="F76" s="128">
        <f t="shared" si="43"/>
        <v>14.182801719450435</v>
      </c>
      <c r="G76" s="128">
        <f t="shared" si="43"/>
        <v>3.5457004298626087</v>
      </c>
      <c r="H76" s="128">
        <f t="shared" si="43"/>
        <v>4.9861412294942937</v>
      </c>
      <c r="I76" s="128">
        <f t="shared" si="43"/>
        <v>14.182801719450435</v>
      </c>
      <c r="J76" s="128">
        <f t="shared" si="43"/>
        <v>14.182801719450435</v>
      </c>
      <c r="K76" s="128">
        <f t="shared" si="43"/>
        <v>14.182801719450435</v>
      </c>
      <c r="L76" s="128">
        <f t="shared" si="43"/>
        <v>14.182801719450435</v>
      </c>
      <c r="M76" s="128">
        <f t="shared" si="43"/>
        <v>14.182801719450435</v>
      </c>
      <c r="N76" s="128">
        <f t="shared" si="43"/>
        <v>7.0914008597252174</v>
      </c>
      <c r="O76" s="128">
        <f t="shared" si="43"/>
        <v>3.5457004298626087</v>
      </c>
      <c r="P76" s="61">
        <f t="shared" si="43"/>
        <v>14.182801719450435</v>
      </c>
      <c r="R76" s="134" t="s">
        <v>146</v>
      </c>
      <c r="S76" s="128">
        <f>AVERAGE(D76:P76)</f>
        <v>11.29339680184605</v>
      </c>
      <c r="T76" s="128">
        <f>AVERAGE(E76:Q76)</f>
        <v>11.052613058712351</v>
      </c>
    </row>
    <row r="77" spans="2:20" x14ac:dyDescent="0.25">
      <c r="B77" s="113" t="s">
        <v>142</v>
      </c>
      <c r="C77" s="114"/>
      <c r="D77" s="136" t="s">
        <v>151</v>
      </c>
      <c r="E77" s="137"/>
      <c r="F77" s="137"/>
      <c r="G77" s="137" t="s">
        <v>152</v>
      </c>
      <c r="H77" s="137"/>
      <c r="I77" s="138"/>
      <c r="J77" s="136" t="s">
        <v>151</v>
      </c>
      <c r="K77" s="137"/>
      <c r="L77" s="137"/>
      <c r="M77" s="137" t="s">
        <v>152</v>
      </c>
      <c r="N77" s="137"/>
      <c r="O77" s="138"/>
      <c r="P77" s="101"/>
      <c r="R77" s="129"/>
    </row>
    <row r="78" spans="2:20" x14ac:dyDescent="0.25">
      <c r="B78" s="93" t="s">
        <v>155</v>
      </c>
      <c r="C78" s="117" t="s">
        <v>145</v>
      </c>
      <c r="D78" s="5" t="s">
        <v>148</v>
      </c>
      <c r="E78" s="117" t="s">
        <v>149</v>
      </c>
      <c r="F78" s="117" t="s">
        <v>150</v>
      </c>
      <c r="G78" s="117" t="s">
        <v>148</v>
      </c>
      <c r="H78" s="117" t="s">
        <v>149</v>
      </c>
      <c r="I78" s="6" t="s">
        <v>150</v>
      </c>
      <c r="J78" s="5" t="s">
        <v>148</v>
      </c>
      <c r="K78" s="117" t="s">
        <v>149</v>
      </c>
      <c r="L78" s="117" t="s">
        <v>150</v>
      </c>
      <c r="M78" s="117" t="s">
        <v>148</v>
      </c>
      <c r="N78" s="117" t="s">
        <v>149</v>
      </c>
      <c r="O78" s="6" t="s">
        <v>150</v>
      </c>
      <c r="P78" s="146" t="s">
        <v>153</v>
      </c>
      <c r="R78" s="117"/>
      <c r="S78" s="118" t="s">
        <v>166</v>
      </c>
      <c r="T78" s="1" t="s">
        <v>165</v>
      </c>
    </row>
    <row r="79" spans="2:20" x14ac:dyDescent="0.25">
      <c r="B79" s="144" t="s">
        <v>89</v>
      </c>
      <c r="C79" s="128">
        <f>C4/$M11</f>
        <v>5.9674803317275753</v>
      </c>
      <c r="D79" s="128">
        <f t="shared" ref="D79:P79" si="44">D4/$M11</f>
        <v>5.9674803317275753</v>
      </c>
      <c r="E79" s="128">
        <f t="shared" si="44"/>
        <v>5.9674803317275753</v>
      </c>
      <c r="F79" s="128">
        <f t="shared" si="44"/>
        <v>5.9674803317275753</v>
      </c>
      <c r="G79" s="128">
        <f t="shared" si="44"/>
        <v>2.9837401658637877</v>
      </c>
      <c r="H79" s="128">
        <f t="shared" si="44"/>
        <v>5.9674803317275753</v>
      </c>
      <c r="I79" s="128">
        <f t="shared" si="44"/>
        <v>5.9674803317275753</v>
      </c>
      <c r="J79" s="128">
        <f t="shared" si="44"/>
        <v>2.0979423041229754</v>
      </c>
      <c r="K79" s="128">
        <f t="shared" si="44"/>
        <v>4.1958846082459509</v>
      </c>
      <c r="L79" s="128">
        <f t="shared" si="44"/>
        <v>4.1958846082459509</v>
      </c>
      <c r="M79" s="128">
        <f t="shared" si="44"/>
        <v>2.0979423041229754</v>
      </c>
      <c r="N79" s="128">
        <f t="shared" si="44"/>
        <v>2.0979423041229754</v>
      </c>
      <c r="O79" s="128">
        <f t="shared" si="44"/>
        <v>4.1958846082459509</v>
      </c>
      <c r="P79" s="61">
        <f t="shared" si="44"/>
        <v>4.1958846082459509</v>
      </c>
      <c r="R79" s="134" t="s">
        <v>89</v>
      </c>
      <c r="S79" s="12">
        <f>AVERAGE(D79:P79)</f>
        <v>4.2998851669118761</v>
      </c>
      <c r="T79" s="12">
        <f>_xlfn.STDEV.P(C79:P79)</f>
        <v>1.5308206765578065</v>
      </c>
    </row>
    <row r="80" spans="2:20" x14ac:dyDescent="0.25">
      <c r="B80" s="144" t="s">
        <v>90</v>
      </c>
      <c r="C80" s="128">
        <f t="shared" ref="C80:P81" si="45">C5/$M12</f>
        <v>6.1422099156040337</v>
      </c>
      <c r="D80" s="128">
        <f t="shared" si="45"/>
        <v>6.1422099156040337</v>
      </c>
      <c r="E80" s="128">
        <f t="shared" si="45"/>
        <v>12.284419831208067</v>
      </c>
      <c r="F80" s="128">
        <f t="shared" si="45"/>
        <v>12.284419831208067</v>
      </c>
      <c r="G80" s="128">
        <f t="shared" si="45"/>
        <v>3.0711049578020169</v>
      </c>
      <c r="H80" s="128">
        <f t="shared" si="45"/>
        <v>4.3187413469090856</v>
      </c>
      <c r="I80" s="128">
        <f t="shared" si="45"/>
        <v>12.284419831208067</v>
      </c>
      <c r="J80" s="128">
        <f t="shared" si="45"/>
        <v>6.1422099156040337</v>
      </c>
      <c r="K80" s="128">
        <f t="shared" si="45"/>
        <v>6.1422099156040337</v>
      </c>
      <c r="L80" s="128">
        <f t="shared" si="45"/>
        <v>12.284419831208067</v>
      </c>
      <c r="M80" s="128">
        <f t="shared" si="45"/>
        <v>3.0711049578020169</v>
      </c>
      <c r="N80" s="128">
        <f t="shared" si="45"/>
        <v>4.3187413469090856</v>
      </c>
      <c r="O80" s="128">
        <f t="shared" si="45"/>
        <v>6.1422099156040337</v>
      </c>
      <c r="P80" s="61">
        <f t="shared" si="45"/>
        <v>4.3187413469090856</v>
      </c>
      <c r="Q80" s="129"/>
      <c r="R80" s="134" t="s">
        <v>90</v>
      </c>
      <c r="S80" s="128">
        <f>AVERAGE(D80:P80)</f>
        <v>7.1388425341215136</v>
      </c>
      <c r="T80" s="128">
        <f t="shared" ref="T80" si="46">_xlfn.STDEV.P(C80:P80)</f>
        <v>3.4615767209849762</v>
      </c>
    </row>
    <row r="81" spans="2:20" x14ac:dyDescent="0.25">
      <c r="B81" s="144" t="s">
        <v>91</v>
      </c>
      <c r="C81" s="128">
        <f>C6/$M13</f>
        <v>1.9578689204450965</v>
      </c>
      <c r="D81" s="128">
        <f t="shared" ref="D81:P81" si="47">D6/$M13</f>
        <v>1.9578689204450965</v>
      </c>
      <c r="E81" s="128">
        <f t="shared" si="47"/>
        <v>1.9578689204450965</v>
      </c>
      <c r="F81" s="128">
        <f t="shared" si="47"/>
        <v>1.9578689204450965</v>
      </c>
      <c r="G81" s="128">
        <f t="shared" si="47"/>
        <v>0.6883132923439792</v>
      </c>
      <c r="H81" s="128">
        <f t="shared" si="47"/>
        <v>0.48946723011127413</v>
      </c>
      <c r="I81" s="128">
        <f t="shared" si="47"/>
        <v>1.9578689204450965</v>
      </c>
      <c r="J81" s="128">
        <f t="shared" si="47"/>
        <v>0.97893446022254826</v>
      </c>
      <c r="K81" s="128">
        <f t="shared" si="47"/>
        <v>1.9578689204450965</v>
      </c>
      <c r="L81" s="128">
        <f t="shared" si="47"/>
        <v>1.9578689204450965</v>
      </c>
      <c r="M81" s="128">
        <f t="shared" si="47"/>
        <v>0.97893446022254826</v>
      </c>
      <c r="N81" s="128">
        <f t="shared" si="47"/>
        <v>0.48946723011127413</v>
      </c>
      <c r="O81" s="128">
        <f t="shared" si="47"/>
        <v>0.48946723011127413</v>
      </c>
      <c r="P81" s="61">
        <f t="shared" si="47"/>
        <v>0.97893446022254826</v>
      </c>
      <c r="Q81" s="129"/>
      <c r="R81" s="134" t="s">
        <v>91</v>
      </c>
      <c r="S81" s="128">
        <f>AVERAGE(D81:P81)</f>
        <v>1.2954409143089252</v>
      </c>
      <c r="T81" s="128">
        <f>_xlfn.STDEV.P(C81:P81)</f>
        <v>0.63573613713025645</v>
      </c>
    </row>
    <row r="82" spans="2:20" x14ac:dyDescent="0.25">
      <c r="B82" s="144" t="s">
        <v>146</v>
      </c>
      <c r="C82" s="128">
        <f>C7/$M14</f>
        <v>6.6575717784998982</v>
      </c>
      <c r="D82" s="128">
        <f t="shared" ref="D82:P82" si="48">D7/$M14</f>
        <v>6.6575717784998982</v>
      </c>
      <c r="E82" s="128">
        <f t="shared" si="48"/>
        <v>6.6575717784998982</v>
      </c>
      <c r="F82" s="128">
        <f t="shared" si="48"/>
        <v>6.6575717784998982</v>
      </c>
      <c r="G82" s="128">
        <f t="shared" si="48"/>
        <v>1.6643929446249746</v>
      </c>
      <c r="H82" s="128">
        <f t="shared" si="48"/>
        <v>2.3405525783788708</v>
      </c>
      <c r="I82" s="128">
        <f t="shared" si="48"/>
        <v>6.6575717784998982</v>
      </c>
      <c r="J82" s="128">
        <f t="shared" si="48"/>
        <v>6.6575717784998982</v>
      </c>
      <c r="K82" s="128">
        <f t="shared" si="48"/>
        <v>6.6575717784998982</v>
      </c>
      <c r="L82" s="128">
        <f t="shared" si="48"/>
        <v>6.6575717784998982</v>
      </c>
      <c r="M82" s="128">
        <f t="shared" si="48"/>
        <v>6.6575717784998982</v>
      </c>
      <c r="N82" s="128">
        <f t="shared" si="48"/>
        <v>3.3287858892499491</v>
      </c>
      <c r="O82" s="128">
        <f t="shared" si="48"/>
        <v>1.6643929446249746</v>
      </c>
      <c r="P82" s="61">
        <f t="shared" si="48"/>
        <v>6.6575717784998982</v>
      </c>
      <c r="R82" s="134" t="s">
        <v>146</v>
      </c>
      <c r="S82" s="128">
        <f>AVERAGE(D82:P82)</f>
        <v>5.3012515664136819</v>
      </c>
      <c r="T82" s="128">
        <f>AVERAGE(E82:Q82)</f>
        <v>5.1882248820731638</v>
      </c>
    </row>
    <row r="83" spans="2:20" x14ac:dyDescent="0.25">
      <c r="B83" s="113" t="s">
        <v>141</v>
      </c>
      <c r="C83" s="114"/>
      <c r="D83" s="136" t="s">
        <v>151</v>
      </c>
      <c r="E83" s="137"/>
      <c r="F83" s="137"/>
      <c r="G83" s="137" t="s">
        <v>152</v>
      </c>
      <c r="H83" s="137"/>
      <c r="I83" s="138"/>
      <c r="J83" s="136" t="s">
        <v>151</v>
      </c>
      <c r="K83" s="137"/>
      <c r="L83" s="137"/>
      <c r="M83" s="137" t="s">
        <v>152</v>
      </c>
      <c r="N83" s="137"/>
      <c r="O83" s="138"/>
      <c r="P83" s="101"/>
      <c r="R83" s="129"/>
    </row>
    <row r="84" spans="2:20" x14ac:dyDescent="0.25">
      <c r="B84" s="93" t="s">
        <v>155</v>
      </c>
      <c r="C84" s="117" t="s">
        <v>145</v>
      </c>
      <c r="D84" s="5" t="s">
        <v>148</v>
      </c>
      <c r="E84" s="117" t="s">
        <v>149</v>
      </c>
      <c r="F84" s="117" t="s">
        <v>150</v>
      </c>
      <c r="G84" s="117" t="s">
        <v>148</v>
      </c>
      <c r="H84" s="117" t="s">
        <v>149</v>
      </c>
      <c r="I84" s="6" t="s">
        <v>150</v>
      </c>
      <c r="J84" s="5" t="s">
        <v>148</v>
      </c>
      <c r="K84" s="117" t="s">
        <v>149</v>
      </c>
      <c r="L84" s="117" t="s">
        <v>150</v>
      </c>
      <c r="M84" s="117" t="s">
        <v>148</v>
      </c>
      <c r="N84" s="117" t="s">
        <v>149</v>
      </c>
      <c r="O84" s="6" t="s">
        <v>150</v>
      </c>
      <c r="P84" s="146" t="s">
        <v>153</v>
      </c>
      <c r="R84" s="117"/>
      <c r="S84" s="118" t="s">
        <v>166</v>
      </c>
      <c r="T84" s="1" t="s">
        <v>165</v>
      </c>
    </row>
    <row r="85" spans="2:20" x14ac:dyDescent="0.25">
      <c r="B85" s="144" t="s">
        <v>89</v>
      </c>
      <c r="C85" s="128">
        <f>C4/$N11</f>
        <v>5.5510804240147023</v>
      </c>
      <c r="D85" s="128">
        <f t="shared" ref="D85:O85" si="49">D4/$N11</f>
        <v>5.5510804240147023</v>
      </c>
      <c r="E85" s="128">
        <f t="shared" si="49"/>
        <v>5.5510804240147023</v>
      </c>
      <c r="F85" s="128">
        <f t="shared" si="49"/>
        <v>5.5510804240147023</v>
      </c>
      <c r="G85" s="128">
        <f t="shared" si="49"/>
        <v>2.7755402120073511</v>
      </c>
      <c r="H85" s="128">
        <f t="shared" si="49"/>
        <v>5.5510804240147023</v>
      </c>
      <c r="I85" s="128">
        <f t="shared" si="49"/>
        <v>5.5510804240147023</v>
      </c>
      <c r="J85" s="128">
        <f t="shared" si="49"/>
        <v>1.9515517115676686</v>
      </c>
      <c r="K85" s="128">
        <f t="shared" si="49"/>
        <v>3.9031034231353372</v>
      </c>
      <c r="L85" s="128">
        <f t="shared" si="49"/>
        <v>3.9031034231353372</v>
      </c>
      <c r="M85" s="128">
        <f t="shared" si="49"/>
        <v>1.9515517115676686</v>
      </c>
      <c r="N85" s="128">
        <f t="shared" si="49"/>
        <v>1.9515517115676686</v>
      </c>
      <c r="O85" s="128">
        <f t="shared" si="49"/>
        <v>3.9031034231353372</v>
      </c>
      <c r="P85" s="61">
        <f>P4/$N11</f>
        <v>3.9031034231353372</v>
      </c>
      <c r="R85" s="134" t="s">
        <v>89</v>
      </c>
      <c r="S85" s="12">
        <f>AVERAGE(D85:P85)</f>
        <v>3.9998470122557848</v>
      </c>
      <c r="T85" s="12">
        <f>_xlfn.STDEV.P(C85:P85)</f>
        <v>1.4240027981553345</v>
      </c>
    </row>
    <row r="86" spans="2:20" x14ac:dyDescent="0.25">
      <c r="B86" s="144" t="s">
        <v>90</v>
      </c>
      <c r="C86" s="128">
        <f t="shared" ref="C86:P88" si="50">C5/$N12</f>
        <v>6.2467528708936424</v>
      </c>
      <c r="D86" s="128">
        <f t="shared" si="50"/>
        <v>6.2467528708936424</v>
      </c>
      <c r="E86" s="128">
        <f t="shared" si="50"/>
        <v>12.493505741787285</v>
      </c>
      <c r="F86" s="128">
        <f t="shared" si="50"/>
        <v>12.493505741787285</v>
      </c>
      <c r="G86" s="128">
        <f t="shared" si="50"/>
        <v>3.1233764354468212</v>
      </c>
      <c r="H86" s="128">
        <f t="shared" si="50"/>
        <v>4.392248112347092</v>
      </c>
      <c r="I86" s="128">
        <f t="shared" si="50"/>
        <v>12.493505741787285</v>
      </c>
      <c r="J86" s="128">
        <f t="shared" si="50"/>
        <v>6.2467528708936424</v>
      </c>
      <c r="K86" s="128">
        <f t="shared" si="50"/>
        <v>6.2467528708936424</v>
      </c>
      <c r="L86" s="128">
        <f t="shared" si="50"/>
        <v>12.493505741787285</v>
      </c>
      <c r="M86" s="128">
        <f t="shared" si="50"/>
        <v>3.1233764354468212</v>
      </c>
      <c r="N86" s="128">
        <f t="shared" si="50"/>
        <v>4.392248112347092</v>
      </c>
      <c r="O86" s="128">
        <f t="shared" si="50"/>
        <v>6.2467528708936424</v>
      </c>
      <c r="P86" s="61">
        <f t="shared" ref="P86" si="51">P5/$N12</f>
        <v>4.392248112347092</v>
      </c>
      <c r="R86" s="134" t="s">
        <v>90</v>
      </c>
      <c r="S86" s="12">
        <f>AVERAGE(D86:P86)</f>
        <v>7.2603485891275863</v>
      </c>
      <c r="T86" s="12">
        <f t="shared" ref="T86:T87" si="52">_xlfn.STDEV.P(C86:P86)</f>
        <v>3.5204941896722843</v>
      </c>
    </row>
    <row r="87" spans="2:20" x14ac:dyDescent="0.25">
      <c r="B87" s="144" t="s">
        <v>91</v>
      </c>
      <c r="C87" s="128">
        <f t="shared" si="50"/>
        <v>1.6303704210408669</v>
      </c>
      <c r="D87" s="128">
        <f t="shared" si="50"/>
        <v>1.6303704210408669</v>
      </c>
      <c r="E87" s="128">
        <f t="shared" si="50"/>
        <v>1.6303704210408669</v>
      </c>
      <c r="F87" s="128">
        <f t="shared" si="50"/>
        <v>1.6303704210408669</v>
      </c>
      <c r="G87" s="128">
        <f t="shared" si="50"/>
        <v>0.57317710114717979</v>
      </c>
      <c r="H87" s="128">
        <f t="shared" si="50"/>
        <v>0.40759260526021673</v>
      </c>
      <c r="I87" s="128">
        <f t="shared" si="50"/>
        <v>1.6303704210408669</v>
      </c>
      <c r="J87" s="128">
        <f t="shared" si="50"/>
        <v>0.81518521052043347</v>
      </c>
      <c r="K87" s="128">
        <f t="shared" si="50"/>
        <v>1.6303704210408669</v>
      </c>
      <c r="L87" s="128">
        <f t="shared" si="50"/>
        <v>1.6303704210408669</v>
      </c>
      <c r="M87" s="128">
        <f t="shared" si="50"/>
        <v>0.81518521052043347</v>
      </c>
      <c r="N87" s="128">
        <f t="shared" si="50"/>
        <v>0.40759260526021673</v>
      </c>
      <c r="O87" s="128">
        <f t="shared" si="50"/>
        <v>0.40759260526021673</v>
      </c>
      <c r="P87" s="61">
        <f t="shared" ref="P87" si="53">P6/$N13</f>
        <v>0.81518521052043347</v>
      </c>
      <c r="R87" s="134" t="s">
        <v>91</v>
      </c>
      <c r="S87" s="12">
        <f>AVERAGE(D87:P87)</f>
        <v>1.0787486980564869</v>
      </c>
      <c r="T87" s="12">
        <f>_xlfn.STDEV.P(C87:P87)</f>
        <v>0.52939468150315128</v>
      </c>
    </row>
    <row r="88" spans="2:20" x14ac:dyDescent="0.25">
      <c r="B88" s="147" t="s">
        <v>146</v>
      </c>
      <c r="C88" s="84">
        <f t="shared" si="50"/>
        <v>6.4457654192086631</v>
      </c>
      <c r="D88" s="84">
        <f t="shared" si="50"/>
        <v>6.4457654192086631</v>
      </c>
      <c r="E88" s="84">
        <f t="shared" si="50"/>
        <v>6.4457654192086631</v>
      </c>
      <c r="F88" s="84">
        <f t="shared" si="50"/>
        <v>6.4457654192086631</v>
      </c>
      <c r="G88" s="84">
        <f t="shared" si="50"/>
        <v>1.6114413548021658</v>
      </c>
      <c r="H88" s="84">
        <f t="shared" si="50"/>
        <v>2.2660894051905456</v>
      </c>
      <c r="I88" s="84">
        <f t="shared" si="50"/>
        <v>6.4457654192086631</v>
      </c>
      <c r="J88" s="84">
        <f t="shared" si="50"/>
        <v>6.4457654192086631</v>
      </c>
      <c r="K88" s="84">
        <f t="shared" si="50"/>
        <v>6.4457654192086631</v>
      </c>
      <c r="L88" s="84">
        <f t="shared" si="50"/>
        <v>6.4457654192086631</v>
      </c>
      <c r="M88" s="84">
        <f t="shared" si="50"/>
        <v>6.4457654192086631</v>
      </c>
      <c r="N88" s="84">
        <f t="shared" si="50"/>
        <v>3.2228827096043315</v>
      </c>
      <c r="O88" s="84">
        <f t="shared" si="50"/>
        <v>1.6114413548021658</v>
      </c>
      <c r="P88" s="85">
        <f t="shared" si="50"/>
        <v>6.4457654192086631</v>
      </c>
      <c r="R88" s="134" t="s">
        <v>146</v>
      </c>
      <c r="S88" s="12">
        <f>AVERAGE(D88:P88)</f>
        <v>5.132595661329014</v>
      </c>
      <c r="T88" s="12">
        <f>AVERAGE(E88:Q88)</f>
        <v>5.0231648481723763</v>
      </c>
    </row>
  </sheetData>
  <mergeCells count="71">
    <mergeCell ref="B83:C83"/>
    <mergeCell ref="D83:F83"/>
    <mergeCell ref="G83:I83"/>
    <mergeCell ref="J83:L83"/>
    <mergeCell ref="M83:O83"/>
    <mergeCell ref="G71:I71"/>
    <mergeCell ref="J71:L71"/>
    <mergeCell ref="M71:O71"/>
    <mergeCell ref="B77:C77"/>
    <mergeCell ref="D77:F77"/>
    <mergeCell ref="G77:I77"/>
    <mergeCell ref="J77:L77"/>
    <mergeCell ref="M77:O77"/>
    <mergeCell ref="G59:I59"/>
    <mergeCell ref="J59:L59"/>
    <mergeCell ref="M59:O59"/>
    <mergeCell ref="D65:F65"/>
    <mergeCell ref="G65:I65"/>
    <mergeCell ref="J65:L65"/>
    <mergeCell ref="M65:O65"/>
    <mergeCell ref="G47:I47"/>
    <mergeCell ref="J47:L47"/>
    <mergeCell ref="M47:O47"/>
    <mergeCell ref="D53:F53"/>
    <mergeCell ref="G53:I53"/>
    <mergeCell ref="J53:L53"/>
    <mergeCell ref="M53:O53"/>
    <mergeCell ref="B47:C47"/>
    <mergeCell ref="B53:C53"/>
    <mergeCell ref="B59:C59"/>
    <mergeCell ref="B65:C65"/>
    <mergeCell ref="B71:C71"/>
    <mergeCell ref="D47:F47"/>
    <mergeCell ref="D59:F59"/>
    <mergeCell ref="D71:F71"/>
    <mergeCell ref="G35:I35"/>
    <mergeCell ref="J35:L35"/>
    <mergeCell ref="M35:O35"/>
    <mergeCell ref="B41:C41"/>
    <mergeCell ref="D41:F41"/>
    <mergeCell ref="G41:I41"/>
    <mergeCell ref="J41:L41"/>
    <mergeCell ref="M41:O41"/>
    <mergeCell ref="G23:I23"/>
    <mergeCell ref="J23:L23"/>
    <mergeCell ref="M23:O23"/>
    <mergeCell ref="D29:F29"/>
    <mergeCell ref="G29:I29"/>
    <mergeCell ref="J29:L29"/>
    <mergeCell ref="M29:O29"/>
    <mergeCell ref="B17:C17"/>
    <mergeCell ref="B23:C23"/>
    <mergeCell ref="B29:C29"/>
    <mergeCell ref="B35:C35"/>
    <mergeCell ref="D23:F23"/>
    <mergeCell ref="D35:F35"/>
    <mergeCell ref="D16:I16"/>
    <mergeCell ref="J16:O16"/>
    <mergeCell ref="D17:F17"/>
    <mergeCell ref="G17:I17"/>
    <mergeCell ref="J17:L17"/>
    <mergeCell ref="M17:O17"/>
    <mergeCell ref="D9:F9"/>
    <mergeCell ref="G9:I9"/>
    <mergeCell ref="J9:L9"/>
    <mergeCell ref="D2:F2"/>
    <mergeCell ref="G2:I2"/>
    <mergeCell ref="D1:I1"/>
    <mergeCell ref="J1:O1"/>
    <mergeCell ref="J2:L2"/>
    <mergeCell ref="M2:O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CA08-5D98-4289-ADCB-64256AB0F156}">
  <dimension ref="A1:BI37"/>
  <sheetViews>
    <sheetView tabSelected="1" topLeftCell="A16" zoomScale="115" zoomScaleNormal="115" workbookViewId="0">
      <selection activeCell="K20" sqref="K20"/>
    </sheetView>
  </sheetViews>
  <sheetFormatPr defaultRowHeight="15" x14ac:dyDescent="0.25"/>
  <cols>
    <col min="2" max="2" width="13.7109375" customWidth="1"/>
    <col min="3" max="3" width="12.140625" customWidth="1"/>
    <col min="4" max="4" width="12.28515625" customWidth="1"/>
    <col min="5" max="5" width="12.140625" customWidth="1"/>
    <col min="6" max="6" width="12.28515625" customWidth="1"/>
    <col min="7" max="7" width="13" customWidth="1"/>
    <col min="26" max="26" width="19.140625" customWidth="1"/>
    <col min="27" max="27" width="15.7109375" customWidth="1"/>
    <col min="28" max="28" width="17.5703125" customWidth="1"/>
    <col min="35" max="35" width="17" customWidth="1"/>
    <col min="36" max="36" width="15.42578125" customWidth="1"/>
    <col min="37" max="37" width="16.28515625" customWidth="1"/>
    <col min="44" max="44" width="15.5703125" customWidth="1"/>
    <col min="45" max="45" width="16.7109375" customWidth="1"/>
    <col min="46" max="46" width="18.28515625" customWidth="1"/>
    <col min="53" max="57" width="12.7109375" bestFit="1" customWidth="1"/>
    <col min="58" max="58" width="13.7109375" bestFit="1" customWidth="1"/>
  </cols>
  <sheetData>
    <row r="1" spans="1:58" x14ac:dyDescent="0.25">
      <c r="T1" s="109" t="s">
        <v>125</v>
      </c>
      <c r="U1" s="109"/>
      <c r="V1" s="109"/>
      <c r="W1" s="109"/>
      <c r="X1" s="109"/>
      <c r="Y1" s="109"/>
      <c r="AC1" s="109" t="s">
        <v>129</v>
      </c>
      <c r="AD1" s="109"/>
      <c r="AE1" s="109"/>
      <c r="AF1" s="109"/>
      <c r="AG1" s="109"/>
      <c r="AH1" s="109"/>
      <c r="AL1" s="109" t="s">
        <v>132</v>
      </c>
      <c r="AM1" s="109"/>
      <c r="AN1" s="109"/>
      <c r="AO1" s="109"/>
      <c r="AP1" s="109"/>
      <c r="AQ1" s="109"/>
      <c r="BA1" s="113" t="s">
        <v>137</v>
      </c>
      <c r="BB1" s="114"/>
      <c r="BC1" s="114"/>
      <c r="BD1" s="114"/>
      <c r="BE1" s="114"/>
      <c r="BF1" s="115"/>
    </row>
    <row r="2" spans="1:58" x14ac:dyDescent="0.25">
      <c r="A2" s="71" t="s">
        <v>0</v>
      </c>
      <c r="B2" s="90" t="s">
        <v>120</v>
      </c>
      <c r="C2" s="87" t="s">
        <v>119</v>
      </c>
      <c r="D2" s="72" t="s">
        <v>121</v>
      </c>
      <c r="E2" s="72" t="s">
        <v>1</v>
      </c>
      <c r="F2" s="72" t="s">
        <v>2</v>
      </c>
      <c r="G2" s="72" t="s">
        <v>3</v>
      </c>
      <c r="H2" s="71" t="s">
        <v>4</v>
      </c>
      <c r="I2" s="72" t="s">
        <v>5</v>
      </c>
      <c r="J2" s="72" t="s">
        <v>6</v>
      </c>
      <c r="K2" s="72" t="s">
        <v>7</v>
      </c>
      <c r="L2" s="72" t="s">
        <v>8</v>
      </c>
      <c r="M2" s="72" t="s">
        <v>9</v>
      </c>
      <c r="N2" s="71" t="s">
        <v>59</v>
      </c>
      <c r="O2" s="72" t="s">
        <v>60</v>
      </c>
      <c r="P2" s="72" t="s">
        <v>61</v>
      </c>
      <c r="Q2" s="72" t="s">
        <v>62</v>
      </c>
      <c r="R2" s="72" t="s">
        <v>63</v>
      </c>
      <c r="S2" s="73" t="s">
        <v>64</v>
      </c>
      <c r="T2" s="71" t="s">
        <v>23</v>
      </c>
      <c r="U2" s="72" t="s">
        <v>22</v>
      </c>
      <c r="V2" s="72" t="s">
        <v>21</v>
      </c>
      <c r="W2" s="72" t="s">
        <v>20</v>
      </c>
      <c r="X2" s="72" t="s">
        <v>19</v>
      </c>
      <c r="Y2" s="73" t="s">
        <v>18</v>
      </c>
      <c r="Z2" s="1" t="s">
        <v>126</v>
      </c>
      <c r="AA2" s="1" t="s">
        <v>127</v>
      </c>
      <c r="AB2" s="1" t="s">
        <v>128</v>
      </c>
      <c r="AC2" s="71" t="s">
        <v>23</v>
      </c>
      <c r="AD2" s="72" t="s">
        <v>22</v>
      </c>
      <c r="AE2" s="72" t="s">
        <v>21</v>
      </c>
      <c r="AF2" s="72" t="s">
        <v>20</v>
      </c>
      <c r="AG2" s="72" t="s">
        <v>19</v>
      </c>
      <c r="AH2" s="73" t="s">
        <v>18</v>
      </c>
      <c r="AI2" s="1" t="s">
        <v>130</v>
      </c>
      <c r="AJ2" t="s">
        <v>131</v>
      </c>
      <c r="AK2" s="1" t="s">
        <v>136</v>
      </c>
      <c r="AL2" s="71" t="s">
        <v>23</v>
      </c>
      <c r="AM2" s="72" t="s">
        <v>22</v>
      </c>
      <c r="AN2" s="72" t="s">
        <v>21</v>
      </c>
      <c r="AO2" s="72" t="s">
        <v>20</v>
      </c>
      <c r="AP2" s="72" t="s">
        <v>19</v>
      </c>
      <c r="AQ2" s="73" t="s">
        <v>18</v>
      </c>
      <c r="AR2" s="1" t="s">
        <v>133</v>
      </c>
      <c r="AS2" s="1" t="s">
        <v>134</v>
      </c>
      <c r="AT2" s="1" t="s">
        <v>135</v>
      </c>
      <c r="AU2" t="s">
        <v>10</v>
      </c>
      <c r="AV2" t="s">
        <v>11</v>
      </c>
      <c r="AW2" t="s">
        <v>12</v>
      </c>
      <c r="AX2" t="s">
        <v>13</v>
      </c>
      <c r="AY2" t="s">
        <v>14</v>
      </c>
      <c r="AZ2" t="s">
        <v>15</v>
      </c>
      <c r="BA2" s="71" t="s">
        <v>23</v>
      </c>
      <c r="BB2" s="72" t="s">
        <v>22</v>
      </c>
      <c r="BC2" s="72" t="s">
        <v>21</v>
      </c>
      <c r="BD2" s="72" t="s">
        <v>20</v>
      </c>
      <c r="BE2" s="72" t="s">
        <v>19</v>
      </c>
      <c r="BF2" s="73" t="s">
        <v>18</v>
      </c>
    </row>
    <row r="3" spans="1:58" x14ac:dyDescent="0.25">
      <c r="A3" s="74">
        <v>167</v>
      </c>
      <c r="B3" s="91">
        <v>128</v>
      </c>
      <c r="C3" s="88">
        <v>195</v>
      </c>
      <c r="D3" s="2">
        <v>7</v>
      </c>
      <c r="E3" s="67">
        <v>0.104819100180613</v>
      </c>
      <c r="F3" s="67">
        <v>3.3154403752457901E-2</v>
      </c>
      <c r="G3" s="67">
        <v>2.2914216154744201E-2</v>
      </c>
      <c r="H3" s="70">
        <v>6</v>
      </c>
      <c r="I3" s="8">
        <v>16</v>
      </c>
      <c r="J3" s="8">
        <v>96</v>
      </c>
      <c r="K3" s="8">
        <v>264</v>
      </c>
      <c r="L3" s="8">
        <v>604</v>
      </c>
      <c r="M3" s="8">
        <v>978</v>
      </c>
      <c r="N3" s="56">
        <f>H3/$D3</f>
        <v>0.8571428571428571</v>
      </c>
      <c r="O3" s="12">
        <f t="shared" ref="O3:S18" si="0">I3/$D3</f>
        <v>2.2857142857142856</v>
      </c>
      <c r="P3" s="12">
        <f t="shared" si="0"/>
        <v>13.714285714285714</v>
      </c>
      <c r="Q3" s="12">
        <f t="shared" si="0"/>
        <v>37.714285714285715</v>
      </c>
      <c r="R3" s="12">
        <f t="shared" si="0"/>
        <v>86.285714285714292</v>
      </c>
      <c r="S3" s="61">
        <f t="shared" si="0"/>
        <v>139.71428571428572</v>
      </c>
      <c r="T3" s="56">
        <f>N3*$E3</f>
        <v>8.984494301195399E-2</v>
      </c>
      <c r="U3" s="12">
        <f t="shared" ref="U3:Y18" si="1">O3*$E3</f>
        <v>0.23958651469854397</v>
      </c>
      <c r="V3" s="12">
        <f t="shared" si="1"/>
        <v>1.4375190881912638</v>
      </c>
      <c r="W3" s="12">
        <f>Q3*$E3</f>
        <v>3.9531774925259757</v>
      </c>
      <c r="X3" s="12">
        <f t="shared" si="1"/>
        <v>9.0443909298700369</v>
      </c>
      <c r="Y3" s="61">
        <f t="shared" si="1"/>
        <v>14.644725710948503</v>
      </c>
      <c r="Z3" s="4">
        <f t="shared" ref="Z3:Z23" si="2">E3/G3</f>
        <v>4.5744135200937714</v>
      </c>
      <c r="AA3" s="9">
        <f>E3/F3</f>
        <v>3.1615438167197394</v>
      </c>
      <c r="AB3" s="4">
        <f>G3/F3</f>
        <v>0.69113642717961588</v>
      </c>
      <c r="AC3" s="99">
        <f>N3*$G3</f>
        <v>1.9640756704066457E-2</v>
      </c>
      <c r="AD3" s="100">
        <f t="shared" ref="AD3:AH18" si="3">O3*$G3</f>
        <v>5.2375351210843885E-2</v>
      </c>
      <c r="AE3" s="100">
        <f t="shared" si="3"/>
        <v>0.31425210726506331</v>
      </c>
      <c r="AF3" s="100">
        <f t="shared" si="3"/>
        <v>0.86419329497892416</v>
      </c>
      <c r="AG3" s="100">
        <f t="shared" si="3"/>
        <v>1.977169508209357</v>
      </c>
      <c r="AH3" s="101">
        <f t="shared" si="3"/>
        <v>3.201443342762833</v>
      </c>
      <c r="AI3" s="98">
        <f>E3*G3</f>
        <v>2.4018475186843532E-3</v>
      </c>
      <c r="AJ3" s="98">
        <f>E3*F3</f>
        <v>3.4752147683573759E-3</v>
      </c>
      <c r="AK3" s="98">
        <f>G3*F3</f>
        <v>7.597071740654826E-4</v>
      </c>
      <c r="AL3" s="99">
        <f>N3*$F3</f>
        <v>2.8418060359249629E-2</v>
      </c>
      <c r="AM3" s="100">
        <f t="shared" ref="AM3:AQ3" si="4">O3*$F3</f>
        <v>7.5781494291332338E-2</v>
      </c>
      <c r="AN3" s="100">
        <f t="shared" si="4"/>
        <v>0.45468896574799406</v>
      </c>
      <c r="AO3" s="100">
        <f t="shared" si="4"/>
        <v>1.2503946558069836</v>
      </c>
      <c r="AP3" s="100">
        <f t="shared" si="4"/>
        <v>2.8607514094977962</v>
      </c>
      <c r="AQ3" s="101">
        <f t="shared" si="4"/>
        <v>4.6321438385576901</v>
      </c>
      <c r="AR3" s="9">
        <f>G3/E3</f>
        <v>0.21860725874636291</v>
      </c>
      <c r="AS3" s="9">
        <f>F3/E3</f>
        <v>0.31630116739534875</v>
      </c>
      <c r="AT3" s="9">
        <f>F3/G3</f>
        <v>1.4468923365547266</v>
      </c>
      <c r="AU3" s="12">
        <v>6.4069250048013796E-2</v>
      </c>
      <c r="AV3" s="12">
        <v>0.17940701762775299</v>
      </c>
      <c r="AW3" s="12">
        <v>0.59727911911144405</v>
      </c>
      <c r="AX3" s="12">
        <v>2.1218818406845701</v>
      </c>
      <c r="AY3" s="12">
        <v>8.4875273627382803</v>
      </c>
      <c r="AZ3" s="12">
        <v>33.9501094509531</v>
      </c>
      <c r="BA3" s="86">
        <f>AU3*AL3</f>
        <v>1.8207238150363132E-3</v>
      </c>
      <c r="BB3" s="98">
        <f t="shared" ref="BB3:BF3" si="5">AV3*AM3</f>
        <v>1.3595731882182523E-2</v>
      </c>
      <c r="BC3" s="98">
        <f t="shared" si="5"/>
        <v>0.27157622493165545</v>
      </c>
      <c r="BD3" s="98">
        <f t="shared" si="5"/>
        <v>2.653189713845872</v>
      </c>
      <c r="BE3" s="98">
        <f t="shared" si="5"/>
        <v>24.280705866104647</v>
      </c>
      <c r="BF3" s="102">
        <f t="shared" si="5"/>
        <v>157.2617903115916</v>
      </c>
    </row>
    <row r="4" spans="1:58" x14ac:dyDescent="0.25">
      <c r="A4" s="74">
        <v>6</v>
      </c>
      <c r="B4" s="91">
        <v>128</v>
      </c>
      <c r="C4" s="88">
        <v>150</v>
      </c>
      <c r="D4" s="2">
        <v>10</v>
      </c>
      <c r="E4" s="67">
        <v>5.1422303101187901E-2</v>
      </c>
      <c r="F4" s="67">
        <v>1.43345982575964E-2</v>
      </c>
      <c r="G4" s="67">
        <v>7.2966466530169603E-3</v>
      </c>
      <c r="H4" s="70">
        <v>2</v>
      </c>
      <c r="I4" s="8">
        <v>8</v>
      </c>
      <c r="J4" s="8">
        <v>65</v>
      </c>
      <c r="K4" s="8">
        <v>195</v>
      </c>
      <c r="L4" s="8">
        <v>628</v>
      </c>
      <c r="M4" s="8">
        <v>1690</v>
      </c>
      <c r="N4" s="56">
        <f t="shared" ref="N4:N21" si="6">H4/$D4</f>
        <v>0.2</v>
      </c>
      <c r="O4" s="12">
        <f t="shared" si="0"/>
        <v>0.8</v>
      </c>
      <c r="P4" s="12">
        <f t="shared" si="0"/>
        <v>6.5</v>
      </c>
      <c r="Q4" s="12">
        <f t="shared" si="0"/>
        <v>19.5</v>
      </c>
      <c r="R4" s="12">
        <f t="shared" si="0"/>
        <v>62.8</v>
      </c>
      <c r="S4" s="61">
        <f t="shared" si="0"/>
        <v>169</v>
      </c>
      <c r="T4" s="56">
        <f t="shared" ref="T4:T21" si="7">N4*$E4</f>
        <v>1.0284460620237581E-2</v>
      </c>
      <c r="U4" s="12">
        <f t="shared" si="1"/>
        <v>4.1137842480950322E-2</v>
      </c>
      <c r="V4" s="12">
        <f t="shared" si="1"/>
        <v>0.33424497015772137</v>
      </c>
      <c r="W4" s="12">
        <f t="shared" si="1"/>
        <v>1.002734910473164</v>
      </c>
      <c r="X4" s="12">
        <f t="shared" si="1"/>
        <v>3.2293206347546</v>
      </c>
      <c r="Y4" s="61">
        <f t="shared" si="1"/>
        <v>8.6903692241007544</v>
      </c>
      <c r="Z4" s="4">
        <f t="shared" si="2"/>
        <v>7.0473884164208789</v>
      </c>
      <c r="AA4" s="9">
        <f t="shared" ref="AA4:AA23" si="8">E4/F4</f>
        <v>3.5872859620559958</v>
      </c>
      <c r="AB4" s="4">
        <f t="shared" ref="AB4:AB23" si="9">G4/F4</f>
        <v>0.50902344955152234</v>
      </c>
      <c r="AC4" s="93">
        <f t="shared" ref="AC4:AC23" si="10">N4*$G4</f>
        <v>1.4593293306033922E-3</v>
      </c>
      <c r="AD4" s="129">
        <f t="shared" si="3"/>
        <v>5.8373173224135688E-3</v>
      </c>
      <c r="AE4" s="129">
        <f t="shared" si="3"/>
        <v>4.7428203244610244E-2</v>
      </c>
      <c r="AF4" s="129">
        <f t="shared" si="3"/>
        <v>0.14228460973383072</v>
      </c>
      <c r="AG4" s="129">
        <f t="shared" si="3"/>
        <v>0.45822940980946508</v>
      </c>
      <c r="AH4" s="94">
        <f t="shared" si="3"/>
        <v>1.2331332843598664</v>
      </c>
      <c r="AI4" s="98">
        <f t="shared" ref="AI4:AI23" si="11">E4*G4</f>
        <v>3.7521037581370633E-4</v>
      </c>
      <c r="AJ4" s="98">
        <f t="shared" ref="AJ4:AJ23" si="12">E4*F4</f>
        <v>7.3711805643588205E-4</v>
      </c>
      <c r="AK4" s="98">
        <f t="shared" ref="AK4:AK23" si="13">G4*F4</f>
        <v>1.0459449839863352E-4</v>
      </c>
      <c r="AL4" s="93">
        <f>N4*$F4</f>
        <v>2.8669196515192803E-3</v>
      </c>
      <c r="AM4" s="129">
        <f t="shared" ref="AM4:AQ19" si="14">O4*$F4</f>
        <v>1.1467678606077121E-2</v>
      </c>
      <c r="AN4" s="129">
        <f t="shared" si="14"/>
        <v>9.3174888674376594E-2</v>
      </c>
      <c r="AO4" s="129">
        <f t="shared" si="14"/>
        <v>0.27952466602312981</v>
      </c>
      <c r="AP4" s="129">
        <f t="shared" si="14"/>
        <v>0.90021277057705384</v>
      </c>
      <c r="AQ4" s="94">
        <f t="shared" si="14"/>
        <v>2.4225471055337917</v>
      </c>
      <c r="AR4" s="9">
        <f t="shared" ref="AR4:AR23" si="15">G4/E4</f>
        <v>0.14189653541302394</v>
      </c>
      <c r="AS4" s="9">
        <f t="shared" ref="AS4:AS23" si="16">F4/E4</f>
        <v>0.27876227615455168</v>
      </c>
      <c r="AT4" s="9">
        <f t="shared" ref="AT4:AT23" si="17">F4/G4</f>
        <v>1.9645460359067055</v>
      </c>
      <c r="AU4" s="12">
        <v>5.1422303616638097E-2</v>
      </c>
      <c r="AV4" s="12">
        <v>0.136504884052633</v>
      </c>
      <c r="AW4" s="12">
        <v>0.26754282688021702</v>
      </c>
      <c r="AX4" s="12">
        <v>0.98750358289623297</v>
      </c>
      <c r="AY4" s="12">
        <v>3.6696571758817198</v>
      </c>
      <c r="AZ4" s="12">
        <v>14.678628703526799</v>
      </c>
      <c r="BA4" s="86">
        <f t="shared" ref="BA4:BA21" si="18">AU4*AL4</f>
        <v>1.4742361276493072E-4</v>
      </c>
      <c r="BB4" s="98">
        <f t="shared" ref="BB4:BB21" si="19">AV4*AM4</f>
        <v>1.5653941384754174E-3</v>
      </c>
      <c r="BC4" s="98">
        <f t="shared" ref="BC4:BC23" si="20">AW4*AN4</f>
        <v>2.4928273110192231E-2</v>
      </c>
      <c r="BD4" s="98">
        <f t="shared" ref="BD4:BD23" si="21">AX4*AO4</f>
        <v>0.27603160920571362</v>
      </c>
      <c r="BE4" s="98">
        <f t="shared" ref="BE4:BE23" si="22">AY4*AP4</f>
        <v>3.30347225336845</v>
      </c>
      <c r="BF4" s="102">
        <f t="shared" ref="BF4:BF23" si="23">AZ4*AQ4</f>
        <v>35.559669478934083</v>
      </c>
    </row>
    <row r="5" spans="1:58" x14ac:dyDescent="0.25">
      <c r="A5" s="74">
        <v>150</v>
      </c>
      <c r="B5" s="91">
        <v>90</v>
      </c>
      <c r="C5" s="88">
        <v>108.42</v>
      </c>
      <c r="D5" s="2">
        <v>5</v>
      </c>
      <c r="E5" s="67">
        <v>4.68499378365069E-2</v>
      </c>
      <c r="F5" s="67">
        <v>1.9737041545963101E-2</v>
      </c>
      <c r="G5" s="67">
        <v>1.1301251811562101E-2</v>
      </c>
      <c r="H5" s="70">
        <v>2</v>
      </c>
      <c r="I5" s="8">
        <v>16</v>
      </c>
      <c r="J5" s="8">
        <v>41</v>
      </c>
      <c r="K5" s="8">
        <v>139</v>
      </c>
      <c r="L5" s="8">
        <v>414</v>
      </c>
      <c r="M5" s="8">
        <v>882</v>
      </c>
      <c r="N5" s="56">
        <f t="shared" si="6"/>
        <v>0.4</v>
      </c>
      <c r="O5" s="12">
        <f t="shared" si="0"/>
        <v>3.2</v>
      </c>
      <c r="P5" s="12">
        <f t="shared" si="0"/>
        <v>8.1999999999999993</v>
      </c>
      <c r="Q5" s="12">
        <f t="shared" si="0"/>
        <v>27.8</v>
      </c>
      <c r="R5" s="12">
        <f t="shared" si="0"/>
        <v>82.8</v>
      </c>
      <c r="S5" s="61">
        <f t="shared" si="0"/>
        <v>176.4</v>
      </c>
      <c r="T5" s="56">
        <f t="shared" si="7"/>
        <v>1.8739975134602762E-2</v>
      </c>
      <c r="U5" s="12">
        <f t="shared" si="1"/>
        <v>0.1499198010768221</v>
      </c>
      <c r="V5" s="12">
        <f t="shared" si="1"/>
        <v>0.38416949025935654</v>
      </c>
      <c r="W5" s="12">
        <f t="shared" si="1"/>
        <v>1.3024282718548919</v>
      </c>
      <c r="X5" s="12">
        <f t="shared" si="1"/>
        <v>3.879174852862771</v>
      </c>
      <c r="Y5" s="61">
        <f t="shared" si="1"/>
        <v>8.2643290343598181</v>
      </c>
      <c r="Z5" s="4">
        <f t="shared" si="2"/>
        <v>4.1455529544590446</v>
      </c>
      <c r="AA5" s="9">
        <f t="shared" si="8"/>
        <v>2.3737061974259923</v>
      </c>
      <c r="AB5" s="4">
        <f t="shared" si="9"/>
        <v>0.57259097242330081</v>
      </c>
      <c r="AC5" s="93">
        <f t="shared" si="10"/>
        <v>4.5205007246248404E-3</v>
      </c>
      <c r="AD5" s="129">
        <f t="shared" si="3"/>
        <v>3.6164005796998723E-2</v>
      </c>
      <c r="AE5" s="129">
        <f t="shared" si="3"/>
        <v>9.2670264854809212E-2</v>
      </c>
      <c r="AF5" s="129">
        <f t="shared" si="3"/>
        <v>0.31417480036142642</v>
      </c>
      <c r="AG5" s="129">
        <f t="shared" si="3"/>
        <v>0.93574364999734194</v>
      </c>
      <c r="AH5" s="94">
        <f t="shared" si="3"/>
        <v>1.9935408195595545</v>
      </c>
      <c r="AI5" s="98">
        <f t="shared" si="11"/>
        <v>5.2946294484639543E-4</v>
      </c>
      <c r="AJ5" s="98">
        <f t="shared" si="12"/>
        <v>9.2467916950492537E-4</v>
      </c>
      <c r="AK5" s="98">
        <f t="shared" si="13"/>
        <v>2.2305327652619194E-4</v>
      </c>
      <c r="AL5" s="93">
        <f t="shared" ref="AL5:AL23" si="24">N5*$F5</f>
        <v>7.8948166183852413E-3</v>
      </c>
      <c r="AM5" s="129">
        <f t="shared" si="14"/>
        <v>6.315853294708193E-2</v>
      </c>
      <c r="AN5" s="129">
        <f t="shared" si="14"/>
        <v>0.16184374067689741</v>
      </c>
      <c r="AO5" s="129">
        <f t="shared" si="14"/>
        <v>0.54868975497777428</v>
      </c>
      <c r="AP5" s="129">
        <f t="shared" si="14"/>
        <v>1.6342270400057448</v>
      </c>
      <c r="AQ5" s="94">
        <f t="shared" si="14"/>
        <v>3.481614128707891</v>
      </c>
      <c r="AR5" s="9">
        <f t="shared" si="15"/>
        <v>0.24122234379478344</v>
      </c>
      <c r="AS5" s="9">
        <f t="shared" si="16"/>
        <v>0.42128212880110583</v>
      </c>
      <c r="AT5" s="9">
        <f t="shared" si="17"/>
        <v>1.7464473737122201</v>
      </c>
      <c r="AU5" s="12">
        <v>4.6849938207403699E-2</v>
      </c>
      <c r="AV5" s="12">
        <v>0.12535462962986799</v>
      </c>
      <c r="AW5" s="12">
        <v>0.44063655773576799</v>
      </c>
      <c r="AX5" s="12">
        <v>1.4715502319528799</v>
      </c>
      <c r="AY5" s="12">
        <v>5.0526826474058097</v>
      </c>
      <c r="AZ5" s="12">
        <v>20.2107305896232</v>
      </c>
      <c r="BA5" s="86">
        <f t="shared" si="18"/>
        <v>3.6987167073013237E-4</v>
      </c>
      <c r="BB5" s="98">
        <f t="shared" si="19"/>
        <v>7.9172145055472695E-3</v>
      </c>
      <c r="BC5" s="98">
        <f t="shared" si="20"/>
        <v>7.1314268782948373E-2</v>
      </c>
      <c r="BD5" s="98">
        <f t="shared" si="21"/>
        <v>0.8074245362077126</v>
      </c>
      <c r="BE5" s="98">
        <f t="shared" si="22"/>
        <v>8.2572306069583874</v>
      </c>
      <c r="BF5" s="102">
        <f t="shared" si="23"/>
        <v>70.365965172340893</v>
      </c>
    </row>
    <row r="6" spans="1:58" x14ac:dyDescent="0.25">
      <c r="A6" s="74">
        <v>11</v>
      </c>
      <c r="B6" s="91">
        <v>90</v>
      </c>
      <c r="C6" s="88">
        <v>127.22</v>
      </c>
      <c r="D6" s="2">
        <v>8</v>
      </c>
      <c r="E6" s="67">
        <v>5.1754391722476999E-2</v>
      </c>
      <c r="F6" s="67">
        <v>2.3629413923689099E-2</v>
      </c>
      <c r="G6" s="67">
        <v>3.0143536797057099E-2</v>
      </c>
      <c r="H6" s="70">
        <v>6</v>
      </c>
      <c r="I6" s="8">
        <v>29</v>
      </c>
      <c r="J6" s="8">
        <v>102</v>
      </c>
      <c r="K6" s="8">
        <v>246</v>
      </c>
      <c r="L6" s="8">
        <v>493</v>
      </c>
      <c r="M6" s="8">
        <v>1329</v>
      </c>
      <c r="N6" s="56">
        <f t="shared" si="6"/>
        <v>0.75</v>
      </c>
      <c r="O6" s="12">
        <f t="shared" si="0"/>
        <v>3.625</v>
      </c>
      <c r="P6" s="12">
        <f t="shared" si="0"/>
        <v>12.75</v>
      </c>
      <c r="Q6" s="12">
        <f t="shared" si="0"/>
        <v>30.75</v>
      </c>
      <c r="R6" s="12">
        <f t="shared" si="0"/>
        <v>61.625</v>
      </c>
      <c r="S6" s="61">
        <f t="shared" si="0"/>
        <v>166.125</v>
      </c>
      <c r="T6" s="56">
        <f t="shared" si="7"/>
        <v>3.8815793791857747E-2</v>
      </c>
      <c r="U6" s="12">
        <f t="shared" si="1"/>
        <v>0.18760966999397913</v>
      </c>
      <c r="V6" s="12">
        <f t="shared" si="1"/>
        <v>0.65986849446158169</v>
      </c>
      <c r="W6" s="12">
        <f t="shared" si="1"/>
        <v>1.5914475454661676</v>
      </c>
      <c r="X6" s="12">
        <f t="shared" si="1"/>
        <v>3.1893643898976451</v>
      </c>
      <c r="Y6" s="61">
        <f t="shared" si="1"/>
        <v>8.5976983248964913</v>
      </c>
      <c r="Z6" s="4">
        <f t="shared" si="2"/>
        <v>1.7169316285250826</v>
      </c>
      <c r="AA6" s="9">
        <f t="shared" si="8"/>
        <v>2.1902528725264694</v>
      </c>
      <c r="AB6" s="4">
        <f t="shared" si="9"/>
        <v>1.2756785629303071</v>
      </c>
      <c r="AC6" s="93">
        <f t="shared" si="10"/>
        <v>2.2607652597792825E-2</v>
      </c>
      <c r="AD6" s="129">
        <f t="shared" si="3"/>
        <v>0.10927032088933199</v>
      </c>
      <c r="AE6" s="129">
        <f t="shared" si="3"/>
        <v>0.38433009416247804</v>
      </c>
      <c r="AF6" s="129">
        <f t="shared" si="3"/>
        <v>0.9269137565095058</v>
      </c>
      <c r="AG6" s="129">
        <f t="shared" si="3"/>
        <v>1.8575954551186438</v>
      </c>
      <c r="AH6" s="94">
        <f t="shared" si="3"/>
        <v>5.0075950504111111</v>
      </c>
      <c r="AI6" s="98">
        <f t="shared" si="11"/>
        <v>1.5600604112957928E-3</v>
      </c>
      <c r="AJ6" s="98">
        <f t="shared" si="12"/>
        <v>1.2229259443791579E-3</v>
      </c>
      <c r="AK6" s="98">
        <f t="shared" si="13"/>
        <v>7.122741081016157E-4</v>
      </c>
      <c r="AL6" s="93">
        <f t="shared" si="24"/>
        <v>1.7722060442766824E-2</v>
      </c>
      <c r="AM6" s="129">
        <f t="shared" si="14"/>
        <v>8.565662547337298E-2</v>
      </c>
      <c r="AN6" s="129">
        <f t="shared" si="14"/>
        <v>0.301275027527036</v>
      </c>
      <c r="AO6" s="129">
        <f t="shared" si="14"/>
        <v>0.72660447815343976</v>
      </c>
      <c r="AP6" s="129">
        <f t="shared" si="14"/>
        <v>1.4561626330473407</v>
      </c>
      <c r="AQ6" s="94">
        <f t="shared" si="14"/>
        <v>3.9254363880728516</v>
      </c>
      <c r="AR6" s="9">
        <f t="shared" si="15"/>
        <v>0.5824343750129658</v>
      </c>
      <c r="AS6" s="9">
        <f t="shared" si="16"/>
        <v>0.45656828603835786</v>
      </c>
      <c r="AT6" s="9">
        <f t="shared" si="17"/>
        <v>0.78389653088074351</v>
      </c>
      <c r="AU6" s="12">
        <v>3.9406083818281298E-2</v>
      </c>
      <c r="AV6" s="12">
        <v>0.15393753693111001</v>
      </c>
      <c r="AW6" s="12">
        <v>0.46926879178815301</v>
      </c>
      <c r="AX6" s="12">
        <v>1.6679355265670801</v>
      </c>
      <c r="AY6" s="12">
        <v>6.0491299651584196</v>
      </c>
      <c r="AZ6" s="12">
        <v>24.1965198606337</v>
      </c>
      <c r="BA6" s="86">
        <f t="shared" si="18"/>
        <v>6.9835699924031681E-4</v>
      </c>
      <c r="BB6" s="98">
        <f t="shared" si="19"/>
        <v>1.3185769947201612E-2</v>
      </c>
      <c r="BC6" s="98">
        <f t="shared" si="20"/>
        <v>0.14137896816355472</v>
      </c>
      <c r="BD6" s="98">
        <f t="shared" si="21"/>
        <v>1.2119294228748561</v>
      </c>
      <c r="BE6" s="98">
        <f t="shared" si="22"/>
        <v>8.8085170177106527</v>
      </c>
      <c r="BF6" s="102">
        <f t="shared" si="23"/>
        <v>94.981899525658974</v>
      </c>
    </row>
    <row r="7" spans="1:58" x14ac:dyDescent="0.25">
      <c r="A7" s="74">
        <v>12</v>
      </c>
      <c r="B7" s="91">
        <v>64</v>
      </c>
      <c r="C7" s="88">
        <v>84.2</v>
      </c>
      <c r="D7" s="2">
        <v>3</v>
      </c>
      <c r="E7" s="67">
        <v>4.4543546788178297E-2</v>
      </c>
      <c r="F7" s="67">
        <v>2.3352349155409499E-2</v>
      </c>
      <c r="G7" s="67">
        <v>2.1759151907210301E-2</v>
      </c>
      <c r="H7" s="70">
        <v>3</v>
      </c>
      <c r="I7" s="8">
        <v>14</v>
      </c>
      <c r="J7" s="8">
        <v>41</v>
      </c>
      <c r="K7" s="8">
        <v>103</v>
      </c>
      <c r="L7" s="8">
        <v>323</v>
      </c>
      <c r="M7" s="8">
        <v>559</v>
      </c>
      <c r="N7" s="56">
        <f t="shared" si="6"/>
        <v>1</v>
      </c>
      <c r="O7" s="12">
        <f t="shared" si="0"/>
        <v>4.666666666666667</v>
      </c>
      <c r="P7" s="12">
        <f t="shared" si="0"/>
        <v>13.666666666666666</v>
      </c>
      <c r="Q7" s="12">
        <f t="shared" si="0"/>
        <v>34.333333333333336</v>
      </c>
      <c r="R7" s="12">
        <f t="shared" si="0"/>
        <v>107.66666666666667</v>
      </c>
      <c r="S7" s="61">
        <f t="shared" si="0"/>
        <v>186.33333333333334</v>
      </c>
      <c r="T7" s="56">
        <f t="shared" si="7"/>
        <v>4.4543546788178297E-2</v>
      </c>
      <c r="U7" s="12">
        <f t="shared" si="1"/>
        <v>0.20786988501149872</v>
      </c>
      <c r="V7" s="12">
        <f t="shared" si="1"/>
        <v>0.60876180610510333</v>
      </c>
      <c r="W7" s="12">
        <f t="shared" si="1"/>
        <v>1.5293284397274549</v>
      </c>
      <c r="X7" s="12">
        <f t="shared" si="1"/>
        <v>4.7958552041938631</v>
      </c>
      <c r="Y7" s="61">
        <f t="shared" si="1"/>
        <v>8.2999475515305559</v>
      </c>
      <c r="Z7" s="4">
        <f t="shared" si="2"/>
        <v>2.0471177818937862</v>
      </c>
      <c r="AA7" s="9">
        <f t="shared" si="8"/>
        <v>1.9074546415755318</v>
      </c>
      <c r="AB7" s="4">
        <f t="shared" si="9"/>
        <v>0.93177571825444638</v>
      </c>
      <c r="AC7" s="93">
        <f t="shared" si="10"/>
        <v>2.1759151907210301E-2</v>
      </c>
      <c r="AD7" s="129">
        <f t="shared" si="3"/>
        <v>0.10154270890031475</v>
      </c>
      <c r="AE7" s="129">
        <f t="shared" si="3"/>
        <v>0.29737507606520741</v>
      </c>
      <c r="AF7" s="129">
        <f t="shared" si="3"/>
        <v>0.74706421548088708</v>
      </c>
      <c r="AG7" s="129">
        <f t="shared" si="3"/>
        <v>2.3427353553429757</v>
      </c>
      <c r="AH7" s="94">
        <f t="shared" si="3"/>
        <v>4.0544553053768526</v>
      </c>
      <c r="AI7" s="98">
        <f t="shared" si="11"/>
        <v>9.6922980104990105E-4</v>
      </c>
      <c r="AJ7" s="98">
        <f t="shared" si="12"/>
        <v>1.040196457217859E-3</v>
      </c>
      <c r="AK7" s="98">
        <f t="shared" si="13"/>
        <v>5.0812731266276941E-4</v>
      </c>
      <c r="AL7" s="93">
        <f t="shared" si="24"/>
        <v>2.3352349155409499E-2</v>
      </c>
      <c r="AM7" s="129">
        <f t="shared" si="14"/>
        <v>0.108977629391911</v>
      </c>
      <c r="AN7" s="129">
        <f t="shared" si="14"/>
        <v>0.31914877179059647</v>
      </c>
      <c r="AO7" s="129">
        <f t="shared" si="14"/>
        <v>0.80176398766905954</v>
      </c>
      <c r="AP7" s="129">
        <f t="shared" si="14"/>
        <v>2.5142695923990894</v>
      </c>
      <c r="AQ7" s="94">
        <f t="shared" si="14"/>
        <v>4.3513210592913039</v>
      </c>
      <c r="AR7" s="9">
        <f t="shared" si="15"/>
        <v>0.48849167783345676</v>
      </c>
      <c r="AS7" s="9">
        <f t="shared" si="16"/>
        <v>0.52425886215255613</v>
      </c>
      <c r="AT7" s="9">
        <f t="shared" si="17"/>
        <v>1.0732196390279007</v>
      </c>
      <c r="AU7" s="12">
        <v>3.8585276164057498E-2</v>
      </c>
      <c r="AV7" s="12">
        <v>0.117415800187244</v>
      </c>
      <c r="AW7" s="12">
        <v>0.46966320074897699</v>
      </c>
      <c r="AX7" s="12">
        <v>1.4945503386105301</v>
      </c>
      <c r="AY7" s="12">
        <v>5.97820135444214</v>
      </c>
      <c r="AZ7" s="12">
        <v>23.912805417768499</v>
      </c>
      <c r="BA7" s="86">
        <f t="shared" si="18"/>
        <v>9.0105684124097045E-4</v>
      </c>
      <c r="BB7" s="98">
        <f t="shared" si="19"/>
        <v>1.279569555756015E-2</v>
      </c>
      <c r="BC7" s="98">
        <f t="shared" si="20"/>
        <v>0.14989243367427635</v>
      </c>
      <c r="BD7" s="98">
        <f t="shared" si="21"/>
        <v>1.1982766392565218</v>
      </c>
      <c r="BE7" s="98">
        <f t="shared" si="22"/>
        <v>15.030809882712923</v>
      </c>
      <c r="BF7" s="102">
        <f t="shared" si="23"/>
        <v>104.05229380107126</v>
      </c>
    </row>
    <row r="8" spans="1:58" x14ac:dyDescent="0.25">
      <c r="A8" s="74">
        <v>96</v>
      </c>
      <c r="B8" s="91">
        <v>64</v>
      </c>
      <c r="C8" s="88">
        <v>86.98</v>
      </c>
      <c r="D8" s="2">
        <v>8</v>
      </c>
      <c r="E8" s="67">
        <v>9.5639162401153693E-2</v>
      </c>
      <c r="F8" s="67">
        <v>1.9277468694701001E-2</v>
      </c>
      <c r="G8" s="67">
        <v>5.1627678565697001E-3</v>
      </c>
      <c r="H8" s="70">
        <v>3</v>
      </c>
      <c r="I8" s="8">
        <v>22</v>
      </c>
      <c r="J8" s="8">
        <v>58</v>
      </c>
      <c r="K8" s="8">
        <v>165</v>
      </c>
      <c r="L8" s="8">
        <v>559</v>
      </c>
      <c r="M8" s="8">
        <v>1384</v>
      </c>
      <c r="N8" s="56">
        <f t="shared" si="6"/>
        <v>0.375</v>
      </c>
      <c r="O8" s="12">
        <f t="shared" si="0"/>
        <v>2.75</v>
      </c>
      <c r="P8" s="12">
        <f t="shared" si="0"/>
        <v>7.25</v>
      </c>
      <c r="Q8" s="12">
        <f t="shared" si="0"/>
        <v>20.625</v>
      </c>
      <c r="R8" s="12">
        <f t="shared" si="0"/>
        <v>69.875</v>
      </c>
      <c r="S8" s="61">
        <f t="shared" si="0"/>
        <v>173</v>
      </c>
      <c r="T8" s="56">
        <f t="shared" si="7"/>
        <v>3.5864685900432638E-2</v>
      </c>
      <c r="U8" s="12">
        <f t="shared" si="1"/>
        <v>0.26300769660317264</v>
      </c>
      <c r="V8" s="12">
        <f t="shared" si="1"/>
        <v>0.6933839274083643</v>
      </c>
      <c r="W8" s="12">
        <f t="shared" si="1"/>
        <v>1.9725577245237949</v>
      </c>
      <c r="X8" s="12">
        <f t="shared" si="1"/>
        <v>6.6827864727806139</v>
      </c>
      <c r="Y8" s="61">
        <f t="shared" si="1"/>
        <v>16.545575095399588</v>
      </c>
      <c r="Z8" s="4">
        <f t="shared" si="2"/>
        <v>18.52478458419381</v>
      </c>
      <c r="AA8" s="9">
        <f t="shared" si="8"/>
        <v>4.9611888321957451</v>
      </c>
      <c r="AB8" s="4">
        <f t="shared" si="9"/>
        <v>0.26781357751543616</v>
      </c>
      <c r="AC8" s="93">
        <f t="shared" si="10"/>
        <v>1.9360379462136377E-3</v>
      </c>
      <c r="AD8" s="129">
        <f t="shared" si="3"/>
        <v>1.4197611605566676E-2</v>
      </c>
      <c r="AE8" s="129">
        <f t="shared" si="3"/>
        <v>3.7430066960130327E-2</v>
      </c>
      <c r="AF8" s="129">
        <f t="shared" si="3"/>
        <v>0.10648208704175006</v>
      </c>
      <c r="AG8" s="129">
        <f t="shared" si="3"/>
        <v>0.36074840397780777</v>
      </c>
      <c r="AH8" s="94">
        <f t="shared" si="3"/>
        <v>0.89315883918655814</v>
      </c>
      <c r="AI8" s="98">
        <f t="shared" si="11"/>
        <v>4.9376279347392569E-4</v>
      </c>
      <c r="AJ8" s="98">
        <f t="shared" si="12"/>
        <v>1.8436809591756652E-3</v>
      </c>
      <c r="AK8" s="98">
        <f t="shared" si="13"/>
        <v>9.9525095733030979E-5</v>
      </c>
      <c r="AL8" s="93">
        <f t="shared" si="24"/>
        <v>7.2290507605128757E-3</v>
      </c>
      <c r="AM8" s="129">
        <f t="shared" si="14"/>
        <v>5.3013038910427752E-2</v>
      </c>
      <c r="AN8" s="129">
        <f t="shared" si="14"/>
        <v>0.13976164803658225</v>
      </c>
      <c r="AO8" s="129">
        <f t="shared" si="14"/>
        <v>0.39759779182820815</v>
      </c>
      <c r="AP8" s="129">
        <f t="shared" si="14"/>
        <v>1.3470131250422324</v>
      </c>
      <c r="AQ8" s="94">
        <f t="shared" si="14"/>
        <v>3.335002084183273</v>
      </c>
      <c r="AR8" s="9">
        <f t="shared" si="15"/>
        <v>5.3981734332999784E-2</v>
      </c>
      <c r="AS8" s="9">
        <f t="shared" si="16"/>
        <v>0.20156459143632627</v>
      </c>
      <c r="AT8" s="9">
        <f t="shared" si="17"/>
        <v>3.7339406361589802</v>
      </c>
      <c r="AU8" s="12">
        <v>9.5639162709086803E-2</v>
      </c>
      <c r="AV8" s="12">
        <v>0.18581760283662399</v>
      </c>
      <c r="AW8" s="12">
        <v>0.60536126077852104</v>
      </c>
      <c r="AX8" s="12">
        <v>1.2337579982911999</v>
      </c>
      <c r="AY8" s="12">
        <v>4.9350319931648103</v>
      </c>
      <c r="AZ8" s="12">
        <v>19.740127972659199</v>
      </c>
      <c r="BA8" s="86">
        <f t="shared" si="18"/>
        <v>6.913803619169386E-4</v>
      </c>
      <c r="BB8" s="98">
        <f t="shared" si="19"/>
        <v>9.8507558094203581E-3</v>
      </c>
      <c r="BC8" s="98">
        <f t="shared" si="20"/>
        <v>8.4606287463909344E-2</v>
      </c>
      <c r="BD8" s="98">
        <f t="shared" si="21"/>
        <v>0.4905394557709713</v>
      </c>
      <c r="BE8" s="98">
        <f t="shared" si="22"/>
        <v>6.6475528672963282</v>
      </c>
      <c r="BF8" s="102">
        <f t="shared" si="23"/>
        <v>65.833367930862963</v>
      </c>
    </row>
    <row r="9" spans="1:58" x14ac:dyDescent="0.25">
      <c r="A9" s="74">
        <v>107</v>
      </c>
      <c r="B9" s="91">
        <v>45</v>
      </c>
      <c r="C9" s="88">
        <v>52.94</v>
      </c>
      <c r="D9" s="2">
        <v>5</v>
      </c>
      <c r="E9" s="67">
        <v>2.7724885205644801E-2</v>
      </c>
      <c r="F9" s="67">
        <v>1.4478880481023E-2</v>
      </c>
      <c r="G9" s="67">
        <v>1.4642800293065399E-2</v>
      </c>
      <c r="H9" s="70">
        <v>1</v>
      </c>
      <c r="I9" s="8">
        <v>13</v>
      </c>
      <c r="J9" s="8">
        <v>39</v>
      </c>
      <c r="K9" s="8">
        <v>78</v>
      </c>
      <c r="L9" s="8">
        <v>345</v>
      </c>
      <c r="M9" s="8">
        <v>943</v>
      </c>
      <c r="N9" s="56">
        <f t="shared" si="6"/>
        <v>0.2</v>
      </c>
      <c r="O9" s="12">
        <f t="shared" si="0"/>
        <v>2.6</v>
      </c>
      <c r="P9" s="12">
        <f t="shared" si="0"/>
        <v>7.8</v>
      </c>
      <c r="Q9" s="12">
        <f t="shared" si="0"/>
        <v>15.6</v>
      </c>
      <c r="R9" s="12">
        <f t="shared" si="0"/>
        <v>69</v>
      </c>
      <c r="S9" s="61">
        <f t="shared" si="0"/>
        <v>188.6</v>
      </c>
      <c r="T9" s="56">
        <f t="shared" si="7"/>
        <v>5.5449770411289609E-3</v>
      </c>
      <c r="U9" s="12">
        <f t="shared" si="1"/>
        <v>7.2084701534676485E-2</v>
      </c>
      <c r="V9" s="12">
        <f t="shared" si="1"/>
        <v>0.21625410460402944</v>
      </c>
      <c r="W9" s="12">
        <f t="shared" si="1"/>
        <v>0.43250820920805888</v>
      </c>
      <c r="X9" s="12">
        <f t="shared" si="1"/>
        <v>1.9130170791894914</v>
      </c>
      <c r="Y9" s="61">
        <f t="shared" si="1"/>
        <v>5.2289133497846096</v>
      </c>
      <c r="Z9" s="4">
        <f t="shared" si="2"/>
        <v>1.8934141455698792</v>
      </c>
      <c r="AA9" s="9">
        <f t="shared" si="8"/>
        <v>1.9148500633030923</v>
      </c>
      <c r="AB9" s="4">
        <f t="shared" si="9"/>
        <v>1.011321304313358</v>
      </c>
      <c r="AC9" s="93">
        <f t="shared" si="10"/>
        <v>2.9285600586130799E-3</v>
      </c>
      <c r="AD9" s="129">
        <f t="shared" si="3"/>
        <v>3.8071280761970042E-2</v>
      </c>
      <c r="AE9" s="129">
        <f t="shared" si="3"/>
        <v>0.11421384228591011</v>
      </c>
      <c r="AF9" s="129">
        <f t="shared" si="3"/>
        <v>0.22842768457182022</v>
      </c>
      <c r="AG9" s="129">
        <f t="shared" si="3"/>
        <v>1.0103532202215126</v>
      </c>
      <c r="AH9" s="94">
        <f t="shared" si="3"/>
        <v>2.761632135272134</v>
      </c>
      <c r="AI9" s="98">
        <f t="shared" si="11"/>
        <v>4.0596995721442025E-4</v>
      </c>
      <c r="AJ9" s="98">
        <f t="shared" si="12"/>
        <v>4.0142529924261388E-4</v>
      </c>
      <c r="AK9" s="98">
        <f t="shared" si="13"/>
        <v>2.1201135535078248E-4</v>
      </c>
      <c r="AL9" s="93">
        <f t="shared" si="24"/>
        <v>2.8957760962046004E-3</v>
      </c>
      <c r="AM9" s="129">
        <f t="shared" si="14"/>
        <v>3.7645089250659805E-2</v>
      </c>
      <c r="AN9" s="129">
        <f t="shared" si="14"/>
        <v>0.1129352677519794</v>
      </c>
      <c r="AO9" s="129">
        <f t="shared" si="14"/>
        <v>0.2258705355039588</v>
      </c>
      <c r="AP9" s="129">
        <f t="shared" si="14"/>
        <v>0.999042753190587</v>
      </c>
      <c r="AQ9" s="94">
        <f t="shared" si="14"/>
        <v>2.7307168587209376</v>
      </c>
      <c r="AR9" s="9">
        <f t="shared" si="15"/>
        <v>0.52814647146254434</v>
      </c>
      <c r="AS9" s="9">
        <f t="shared" si="16"/>
        <v>0.52223410029034467</v>
      </c>
      <c r="AT9" s="9">
        <f t="shared" si="17"/>
        <v>0.98880543278869759</v>
      </c>
      <c r="AU9" s="12">
        <v>2.77248857374158E-2</v>
      </c>
      <c r="AV9" s="12">
        <v>7.8677957752448305E-2</v>
      </c>
      <c r="AW9" s="12">
        <v>0.26510584610390098</v>
      </c>
      <c r="AX9" s="12">
        <v>0.92664835919294097</v>
      </c>
      <c r="AY9" s="12">
        <v>3.7065934367717599</v>
      </c>
      <c r="AZ9" s="12">
        <v>14.826373747087001</v>
      </c>
      <c r="BA9" s="86">
        <f t="shared" si="18"/>
        <v>8.0285061388412523E-5</v>
      </c>
      <c r="BB9" s="98">
        <f t="shared" si="19"/>
        <v>2.9618387416505579E-3</v>
      </c>
      <c r="BC9" s="98">
        <f t="shared" si="20"/>
        <v>2.9939799712359102E-2</v>
      </c>
      <c r="BD9" s="98">
        <f t="shared" si="21"/>
        <v>0.20930256111477435</v>
      </c>
      <c r="BE9" s="98">
        <f t="shared" si="22"/>
        <v>3.703045312030619</v>
      </c>
      <c r="BF9" s="102">
        <f t="shared" si="23"/>
        <v>40.486628744867993</v>
      </c>
    </row>
    <row r="10" spans="1:58" x14ac:dyDescent="0.25">
      <c r="A10" s="74">
        <v>162</v>
      </c>
      <c r="B10" s="91">
        <v>45</v>
      </c>
      <c r="C10" s="88">
        <v>54.05</v>
      </c>
      <c r="D10" s="2">
        <v>10</v>
      </c>
      <c r="E10" s="67">
        <v>2.2481115003792299E-2</v>
      </c>
      <c r="F10" s="67">
        <v>9.1860908476934702E-3</v>
      </c>
      <c r="G10" s="67">
        <v>5.26397191560033E-3</v>
      </c>
      <c r="H10" s="70">
        <v>0</v>
      </c>
      <c r="I10" s="8">
        <v>8</v>
      </c>
      <c r="J10" s="8">
        <v>40</v>
      </c>
      <c r="K10" s="8">
        <v>121</v>
      </c>
      <c r="L10" s="8">
        <v>631</v>
      </c>
      <c r="M10" s="8">
        <v>1881</v>
      </c>
      <c r="N10" s="56"/>
      <c r="O10" s="12">
        <f t="shared" si="0"/>
        <v>0.8</v>
      </c>
      <c r="P10" s="12">
        <f t="shared" si="0"/>
        <v>4</v>
      </c>
      <c r="Q10" s="12">
        <f t="shared" si="0"/>
        <v>12.1</v>
      </c>
      <c r="R10" s="12">
        <f t="shared" si="0"/>
        <v>63.1</v>
      </c>
      <c r="S10" s="61">
        <f t="shared" si="0"/>
        <v>188.1</v>
      </c>
      <c r="T10" s="56"/>
      <c r="U10" s="12">
        <f t="shared" si="1"/>
        <v>1.7984892003033839E-2</v>
      </c>
      <c r="V10" s="12">
        <f t="shared" si="1"/>
        <v>8.9924460015169197E-2</v>
      </c>
      <c r="W10" s="12">
        <f t="shared" si="1"/>
        <v>0.27202149154588684</v>
      </c>
      <c r="X10" s="12">
        <f t="shared" si="1"/>
        <v>1.4185583567392941</v>
      </c>
      <c r="Y10" s="61">
        <f t="shared" si="1"/>
        <v>4.2286977322133312</v>
      </c>
      <c r="Z10" s="4">
        <f t="shared" si="2"/>
        <v>4.2707513193919535</v>
      </c>
      <c r="AA10" s="9">
        <f t="shared" si="8"/>
        <v>2.4472994417899829</v>
      </c>
      <c r="AB10" s="4">
        <f t="shared" si="9"/>
        <v>0.57303721494568682</v>
      </c>
      <c r="AC10" s="93"/>
      <c r="AD10" s="129">
        <f t="shared" si="3"/>
        <v>4.2111775324802639E-3</v>
      </c>
      <c r="AE10" s="129">
        <f t="shared" si="3"/>
        <v>2.105588766240132E-2</v>
      </c>
      <c r="AF10" s="129">
        <f t="shared" si="3"/>
        <v>6.3694060178763987E-2</v>
      </c>
      <c r="AG10" s="129">
        <f t="shared" si="3"/>
        <v>0.33215662787438083</v>
      </c>
      <c r="AH10" s="94">
        <f t="shared" si="3"/>
        <v>0.99015311732442202</v>
      </c>
      <c r="AI10" s="98">
        <f t="shared" si="11"/>
        <v>1.1833995801134387E-4</v>
      </c>
      <c r="AJ10" s="98">
        <f t="shared" si="12"/>
        <v>2.065135647822808E-4</v>
      </c>
      <c r="AK10" s="98">
        <f t="shared" si="13"/>
        <v>4.8355324236411653E-5</v>
      </c>
      <c r="AL10" s="93"/>
      <c r="AM10" s="129">
        <f t="shared" si="14"/>
        <v>7.3488726781547765E-3</v>
      </c>
      <c r="AN10" s="129">
        <f t="shared" si="14"/>
        <v>3.6744363390773881E-2</v>
      </c>
      <c r="AO10" s="129">
        <f t="shared" si="14"/>
        <v>0.11115169925709098</v>
      </c>
      <c r="AP10" s="129">
        <f t="shared" si="14"/>
        <v>0.57964233248945796</v>
      </c>
      <c r="AQ10" s="94">
        <f t="shared" si="14"/>
        <v>1.7279036884511416</v>
      </c>
      <c r="AR10" s="9">
        <f t="shared" si="15"/>
        <v>0.23415083792384675</v>
      </c>
      <c r="AS10" s="9">
        <f t="shared" si="16"/>
        <v>0.40861366734451937</v>
      </c>
      <c r="AT10" s="9">
        <f t="shared" si="17"/>
        <v>1.745087358933191</v>
      </c>
      <c r="AU10" s="12"/>
      <c r="AV10" s="12">
        <v>7.7959153032395798E-2</v>
      </c>
      <c r="AW10" s="12">
        <v>0.24135454645261201</v>
      </c>
      <c r="AX10" s="12">
        <v>0.62231226944989104</v>
      </c>
      <c r="AY10" s="12">
        <v>2.3516392566763402</v>
      </c>
      <c r="AZ10" s="12">
        <v>9.4065570267053804</v>
      </c>
      <c r="BA10" s="86"/>
      <c r="BB10" s="98">
        <f t="shared" si="19"/>
        <v>5.7291188973186062E-4</v>
      </c>
      <c r="BC10" s="98">
        <f t="shared" si="20"/>
        <v>8.8684191608701911E-3</v>
      </c>
      <c r="BD10" s="98">
        <f t="shared" si="21"/>
        <v>6.9171066217892055E-2</v>
      </c>
      <c r="BE10" s="98">
        <f t="shared" si="22"/>
        <v>1.3631096639136489</v>
      </c>
      <c r="BF10" s="102">
        <f t="shared" si="23"/>
        <v>16.253624582070231</v>
      </c>
    </row>
    <row r="11" spans="1:58" x14ac:dyDescent="0.25">
      <c r="A11" s="74">
        <v>69</v>
      </c>
      <c r="B11" s="91">
        <v>32</v>
      </c>
      <c r="C11" s="88"/>
      <c r="D11" s="2">
        <v>4</v>
      </c>
      <c r="E11" s="67">
        <v>1.0897008883362201E-2</v>
      </c>
      <c r="F11" s="67">
        <v>7.27047978157239E-3</v>
      </c>
      <c r="G11" s="67">
        <v>6.8585843273274603E-3</v>
      </c>
      <c r="H11" s="70">
        <v>0</v>
      </c>
      <c r="I11" s="8">
        <v>1</v>
      </c>
      <c r="J11" s="8">
        <v>12</v>
      </c>
      <c r="K11" s="8">
        <v>57</v>
      </c>
      <c r="L11" s="8">
        <v>275</v>
      </c>
      <c r="M11" s="8">
        <v>830</v>
      </c>
      <c r="N11" s="56"/>
      <c r="O11" s="12">
        <f t="shared" si="0"/>
        <v>0.25</v>
      </c>
      <c r="P11" s="12">
        <f t="shared" si="0"/>
        <v>3</v>
      </c>
      <c r="Q11" s="12">
        <f t="shared" si="0"/>
        <v>14.25</v>
      </c>
      <c r="R11" s="12">
        <f t="shared" si="0"/>
        <v>68.75</v>
      </c>
      <c r="S11" s="61">
        <f t="shared" si="0"/>
        <v>207.5</v>
      </c>
      <c r="T11" s="56"/>
      <c r="U11" s="12"/>
      <c r="V11" s="12">
        <f t="shared" si="1"/>
        <v>3.2691026650086601E-2</v>
      </c>
      <c r="W11" s="12">
        <f t="shared" si="1"/>
        <v>0.15528237658791136</v>
      </c>
      <c r="X11" s="12">
        <f t="shared" si="1"/>
        <v>0.74916936073115126</v>
      </c>
      <c r="Y11" s="61">
        <f t="shared" si="1"/>
        <v>2.2611293432976565</v>
      </c>
      <c r="Z11" s="4">
        <f t="shared" si="2"/>
        <v>1.5888131374202068</v>
      </c>
      <c r="AA11" s="9">
        <f t="shared" si="8"/>
        <v>1.4988018962629588</v>
      </c>
      <c r="AB11" s="4">
        <f t="shared" si="9"/>
        <v>0.9433468675218778</v>
      </c>
      <c r="AC11" s="93"/>
      <c r="AD11" s="129">
        <f t="shared" si="3"/>
        <v>1.7146460818318651E-3</v>
      </c>
      <c r="AE11" s="129">
        <f t="shared" si="3"/>
        <v>2.057575298198238E-2</v>
      </c>
      <c r="AF11" s="129">
        <f t="shared" si="3"/>
        <v>9.7734826664416311E-2</v>
      </c>
      <c r="AG11" s="129">
        <f t="shared" si="3"/>
        <v>0.47152767250376287</v>
      </c>
      <c r="AH11" s="94">
        <f t="shared" si="3"/>
        <v>1.423156247920448</v>
      </c>
      <c r="AI11" s="98">
        <f t="shared" si="11"/>
        <v>7.4738054342176106E-5</v>
      </c>
      <c r="AJ11" s="98">
        <f t="shared" si="12"/>
        <v>7.9226482766099602E-5</v>
      </c>
      <c r="AK11" s="98">
        <f t="shared" si="13"/>
        <v>4.9865198682043573E-5</v>
      </c>
      <c r="AL11" s="93"/>
      <c r="AM11" s="129">
        <f t="shared" si="14"/>
        <v>1.8176199453930975E-3</v>
      </c>
      <c r="AN11" s="129">
        <f t="shared" si="14"/>
        <v>2.181143934471717E-2</v>
      </c>
      <c r="AO11" s="129">
        <f t="shared" si="14"/>
        <v>0.10360433688740656</v>
      </c>
      <c r="AP11" s="129">
        <f t="shared" si="14"/>
        <v>0.49984548498310183</v>
      </c>
      <c r="AQ11" s="94">
        <f t="shared" si="14"/>
        <v>1.5086245546762709</v>
      </c>
      <c r="AR11" s="9">
        <f t="shared" si="15"/>
        <v>0.62940063651772382</v>
      </c>
      <c r="AS11" s="9">
        <f t="shared" si="16"/>
        <v>0.66719958287573045</v>
      </c>
      <c r="AT11" s="9">
        <f t="shared" si="17"/>
        <v>1.0600554625542427</v>
      </c>
      <c r="AU11" s="12"/>
      <c r="AV11" s="12">
        <v>4.3588035701968897E-2</v>
      </c>
      <c r="AW11" s="12">
        <v>0.13106034882425699</v>
      </c>
      <c r="AX11" s="12">
        <v>0.52424139529702896</v>
      </c>
      <c r="AY11" s="12">
        <v>1.86124282879616</v>
      </c>
      <c r="AZ11" s="12">
        <v>7.4449713151846701</v>
      </c>
      <c r="BA11" s="86"/>
      <c r="BB11" s="98"/>
      <c r="BC11" s="98">
        <f t="shared" si="20"/>
        <v>2.8586148488777556E-3</v>
      </c>
      <c r="BD11" s="98">
        <f t="shared" si="21"/>
        <v>5.431368212867746E-2</v>
      </c>
      <c r="BE11" s="98">
        <f t="shared" si="22"/>
        <v>0.93033382443093693</v>
      </c>
      <c r="BF11" s="102">
        <f t="shared" si="23"/>
        <v>11.231666534948083</v>
      </c>
    </row>
    <row r="12" spans="1:58" x14ac:dyDescent="0.25">
      <c r="A12" s="74">
        <v>85</v>
      </c>
      <c r="B12" s="91">
        <v>32</v>
      </c>
      <c r="C12" s="88">
        <v>43.73</v>
      </c>
      <c r="D12" s="2">
        <v>6</v>
      </c>
      <c r="E12" s="67">
        <v>1.13162316396569E-2</v>
      </c>
      <c r="F12" s="67">
        <v>6.77105129691932E-3</v>
      </c>
      <c r="G12" s="67">
        <v>5.0494700428746703E-3</v>
      </c>
      <c r="H12" s="70">
        <v>0</v>
      </c>
      <c r="I12" s="8">
        <v>1</v>
      </c>
      <c r="J12" s="8">
        <v>17</v>
      </c>
      <c r="K12" s="8">
        <v>76</v>
      </c>
      <c r="L12" s="8">
        <v>328</v>
      </c>
      <c r="M12" s="8">
        <v>1228</v>
      </c>
      <c r="N12" s="56"/>
      <c r="O12" s="12">
        <f t="shared" si="0"/>
        <v>0.16666666666666666</v>
      </c>
      <c r="P12" s="12">
        <f t="shared" si="0"/>
        <v>2.8333333333333335</v>
      </c>
      <c r="Q12" s="12">
        <f t="shared" si="0"/>
        <v>12.666666666666666</v>
      </c>
      <c r="R12" s="12">
        <f t="shared" si="0"/>
        <v>54.666666666666664</v>
      </c>
      <c r="S12" s="61">
        <f t="shared" si="0"/>
        <v>204.66666666666666</v>
      </c>
      <c r="T12" s="56"/>
      <c r="U12" s="12"/>
      <c r="V12" s="12">
        <f t="shared" si="1"/>
        <v>3.2062656312361215E-2</v>
      </c>
      <c r="W12" s="12">
        <f t="shared" si="1"/>
        <v>0.14333893410232074</v>
      </c>
      <c r="X12" s="12">
        <f t="shared" si="1"/>
        <v>0.61862066296791052</v>
      </c>
      <c r="Y12" s="61">
        <f t="shared" si="1"/>
        <v>2.3160554089164456</v>
      </c>
      <c r="Z12" s="4">
        <f t="shared" si="2"/>
        <v>2.2410731311546814</v>
      </c>
      <c r="AA12" s="9">
        <f t="shared" si="8"/>
        <v>1.6712665645888014</v>
      </c>
      <c r="AB12" s="4">
        <f t="shared" si="9"/>
        <v>0.7457438766077682</v>
      </c>
      <c r="AC12" s="93"/>
      <c r="AD12" s="129">
        <f t="shared" si="3"/>
        <v>8.4157834047911165E-4</v>
      </c>
      <c r="AE12" s="129">
        <f t="shared" si="3"/>
        <v>1.4306831788144901E-2</v>
      </c>
      <c r="AF12" s="129">
        <f t="shared" si="3"/>
        <v>6.3959953876412484E-2</v>
      </c>
      <c r="AG12" s="129">
        <f t="shared" si="3"/>
        <v>0.27603769567714864</v>
      </c>
      <c r="AH12" s="94">
        <f t="shared" si="3"/>
        <v>1.0334582021083492</v>
      </c>
      <c r="AI12" s="98">
        <f t="shared" si="11"/>
        <v>5.7140972662678026E-5</v>
      </c>
      <c r="AJ12" s="98">
        <f t="shared" si="12"/>
        <v>7.662278491993829E-5</v>
      </c>
      <c r="AK12" s="98">
        <f t="shared" si="13"/>
        <v>3.4190220682561793E-5</v>
      </c>
      <c r="AL12" s="93"/>
      <c r="AM12" s="129">
        <f t="shared" si="14"/>
        <v>1.1285085494865533E-3</v>
      </c>
      <c r="AN12" s="129">
        <f t="shared" si="14"/>
        <v>1.9184645341271407E-2</v>
      </c>
      <c r="AO12" s="129">
        <f t="shared" si="14"/>
        <v>8.5766649760978045E-2</v>
      </c>
      <c r="AP12" s="129">
        <f t="shared" si="14"/>
        <v>0.37015080423158947</v>
      </c>
      <c r="AQ12" s="94">
        <f t="shared" si="14"/>
        <v>1.3858084987694874</v>
      </c>
      <c r="AR12" s="9">
        <f t="shared" si="15"/>
        <v>0.44621480044462636</v>
      </c>
      <c r="AS12" s="9">
        <f t="shared" si="16"/>
        <v>0.59834859452599665</v>
      </c>
      <c r="AT12" s="9">
        <f t="shared" si="17"/>
        <v>1.3409429582563779</v>
      </c>
      <c r="AU12" s="12"/>
      <c r="AV12" s="12">
        <v>4.5264926352280903E-2</v>
      </c>
      <c r="AW12" s="12">
        <v>0.12707267062271299</v>
      </c>
      <c r="AX12" s="12">
        <v>0.43334728234498898</v>
      </c>
      <c r="AY12" s="12">
        <v>1.7333891293799499</v>
      </c>
      <c r="AZ12" s="12">
        <v>6.9335565175198299</v>
      </c>
      <c r="BA12" s="86"/>
      <c r="BB12" s="98"/>
      <c r="BC12" s="98">
        <f t="shared" si="20"/>
        <v>2.4378441184649468E-3</v>
      </c>
      <c r="BD12" s="98">
        <f t="shared" si="21"/>
        <v>3.7166744589754337E-2</v>
      </c>
      <c r="BE12" s="98">
        <f t="shared" si="22"/>
        <v>0.64161538028628318</v>
      </c>
      <c r="BF12" s="102">
        <f t="shared" si="23"/>
        <v>9.6085815486775505</v>
      </c>
    </row>
    <row r="13" spans="1:58" x14ac:dyDescent="0.25">
      <c r="A13" s="74">
        <v>165</v>
      </c>
      <c r="B13" s="91">
        <v>16</v>
      </c>
      <c r="C13" s="88"/>
      <c r="D13" s="2">
        <v>10</v>
      </c>
      <c r="E13" s="67">
        <v>1.06254875376059E-2</v>
      </c>
      <c r="F13" s="67">
        <v>5.3979442955963304E-3</v>
      </c>
      <c r="G13" s="67">
        <v>5.0606462291010196E-3</v>
      </c>
      <c r="H13" s="70">
        <v>0</v>
      </c>
      <c r="I13" s="8">
        <v>1</v>
      </c>
      <c r="J13" s="8">
        <v>11</v>
      </c>
      <c r="K13" s="8">
        <v>62</v>
      </c>
      <c r="L13" s="8">
        <v>607</v>
      </c>
      <c r="M13" s="8">
        <v>1911</v>
      </c>
      <c r="N13" s="56"/>
      <c r="O13" s="12">
        <f t="shared" si="0"/>
        <v>0.1</v>
      </c>
      <c r="P13" s="12">
        <f t="shared" si="0"/>
        <v>1.1000000000000001</v>
      </c>
      <c r="Q13" s="12">
        <f t="shared" si="0"/>
        <v>6.2</v>
      </c>
      <c r="R13" s="12">
        <f t="shared" si="0"/>
        <v>60.7</v>
      </c>
      <c r="S13" s="61">
        <f t="shared" si="0"/>
        <v>191.1</v>
      </c>
      <c r="T13" s="56"/>
      <c r="U13" s="12"/>
      <c r="V13" s="12">
        <f t="shared" si="1"/>
        <v>1.1688036291366491E-2</v>
      </c>
      <c r="W13" s="12">
        <f t="shared" si="1"/>
        <v>6.5878022733156585E-2</v>
      </c>
      <c r="X13" s="12">
        <f t="shared" si="1"/>
        <v>0.64496709353267823</v>
      </c>
      <c r="Y13" s="61">
        <f t="shared" si="1"/>
        <v>2.0305306684364877</v>
      </c>
      <c r="Z13" s="4">
        <f t="shared" si="2"/>
        <v>2.0996305721795983</v>
      </c>
      <c r="AA13" s="9">
        <f t="shared" si="8"/>
        <v>1.9684322319284075</v>
      </c>
      <c r="AB13" s="4">
        <f t="shared" si="9"/>
        <v>0.9375136073985646</v>
      </c>
      <c r="AC13" s="93"/>
      <c r="AD13" s="129">
        <f t="shared" si="3"/>
        <v>5.0606462291010194E-4</v>
      </c>
      <c r="AE13" s="129">
        <f t="shared" si="3"/>
        <v>5.5667108520111221E-3</v>
      </c>
      <c r="AF13" s="129">
        <f t="shared" si="3"/>
        <v>3.1376006620426319E-2</v>
      </c>
      <c r="AG13" s="129">
        <f t="shared" si="3"/>
        <v>0.30718122610643189</v>
      </c>
      <c r="AH13" s="94">
        <f t="shared" si="3"/>
        <v>0.96708949438120484</v>
      </c>
      <c r="AI13" s="98">
        <f t="shared" si="11"/>
        <v>5.3771833439545179E-5</v>
      </c>
      <c r="AJ13" s="98">
        <f t="shared" si="12"/>
        <v>5.735578984154967E-5</v>
      </c>
      <c r="AK13" s="98">
        <f t="shared" si="13"/>
        <v>2.731708644440693E-5</v>
      </c>
      <c r="AL13" s="93"/>
      <c r="AM13" s="129">
        <f t="shared" si="14"/>
        <v>5.3979442955963311E-4</v>
      </c>
      <c r="AN13" s="129">
        <f t="shared" si="14"/>
        <v>5.9377387251559636E-3</v>
      </c>
      <c r="AO13" s="129">
        <f t="shared" si="14"/>
        <v>3.3467254632697251E-2</v>
      </c>
      <c r="AP13" s="129">
        <f t="shared" si="14"/>
        <v>0.32765521874269726</v>
      </c>
      <c r="AQ13" s="94">
        <f t="shared" si="14"/>
        <v>1.0315471548884587</v>
      </c>
      <c r="AR13" s="9">
        <f t="shared" si="15"/>
        <v>0.47627426141062207</v>
      </c>
      <c r="AS13" s="9">
        <f t="shared" si="16"/>
        <v>0.50801850517370029</v>
      </c>
      <c r="AT13" s="9">
        <f t="shared" si="17"/>
        <v>1.0666511846956803</v>
      </c>
      <c r="AU13" s="12"/>
      <c r="AV13" s="12">
        <v>4.2501949944915698E-2</v>
      </c>
      <c r="AW13" s="12">
        <v>0.116374533955678</v>
      </c>
      <c r="AX13" s="12">
        <v>0.36853445483851999</v>
      </c>
      <c r="AY13" s="12">
        <v>1.38187374013061</v>
      </c>
      <c r="AZ13" s="12">
        <v>5.5274949605224499</v>
      </c>
      <c r="BA13" s="86"/>
      <c r="BB13" s="98"/>
      <c r="BC13" s="98">
        <f t="shared" si="20"/>
        <v>6.9100157689060691E-4</v>
      </c>
      <c r="BD13" s="98">
        <f t="shared" si="21"/>
        <v>1.2333836441003014E-2</v>
      </c>
      <c r="BE13" s="98">
        <f t="shared" si="22"/>
        <v>0.45277814259728422</v>
      </c>
      <c r="BF13" s="102">
        <f t="shared" si="23"/>
        <v>5.701871700187227</v>
      </c>
    </row>
    <row r="14" spans="1:58" x14ac:dyDescent="0.25">
      <c r="A14" s="74">
        <v>166</v>
      </c>
      <c r="B14" s="91">
        <v>16</v>
      </c>
      <c r="C14" s="88"/>
      <c r="D14" s="2">
        <v>10</v>
      </c>
      <c r="E14" s="67">
        <v>5.4104257016193398E-3</v>
      </c>
      <c r="F14" s="67">
        <v>4.2237913969842902E-3</v>
      </c>
      <c r="G14" s="67">
        <v>4.0412722569313003E-3</v>
      </c>
      <c r="H14" s="70">
        <v>0</v>
      </c>
      <c r="I14" s="8">
        <v>0</v>
      </c>
      <c r="J14" s="8">
        <v>2</v>
      </c>
      <c r="K14" s="8">
        <v>32</v>
      </c>
      <c r="L14" s="8">
        <v>536</v>
      </c>
      <c r="M14" s="8">
        <v>2020</v>
      </c>
      <c r="N14" s="56"/>
      <c r="O14" s="12"/>
      <c r="P14" s="12">
        <f t="shared" si="0"/>
        <v>0.2</v>
      </c>
      <c r="Q14" s="12">
        <f t="shared" si="0"/>
        <v>3.2</v>
      </c>
      <c r="R14" s="12">
        <f t="shared" si="0"/>
        <v>53.6</v>
      </c>
      <c r="S14" s="61">
        <f t="shared" si="0"/>
        <v>202</v>
      </c>
      <c r="T14" s="56"/>
      <c r="U14" s="12"/>
      <c r="V14" s="12">
        <f t="shared" si="1"/>
        <v>1.082085140323868E-3</v>
      </c>
      <c r="W14" s="12">
        <f t="shared" si="1"/>
        <v>1.7313362245181887E-2</v>
      </c>
      <c r="X14" s="12">
        <f t="shared" si="1"/>
        <v>0.28999881760679663</v>
      </c>
      <c r="Y14" s="61">
        <f t="shared" si="1"/>
        <v>1.0929059917271067</v>
      </c>
      <c r="Z14" s="4">
        <f t="shared" si="2"/>
        <v>1.3387926765735136</v>
      </c>
      <c r="AA14" s="9">
        <f t="shared" si="8"/>
        <v>1.2809405562694893</v>
      </c>
      <c r="AB14" s="4">
        <f t="shared" si="9"/>
        <v>0.95678784227286762</v>
      </c>
      <c r="AC14" s="93"/>
      <c r="AD14" s="129"/>
      <c r="AE14" s="129">
        <f t="shared" si="3"/>
        <v>8.0825445138626008E-4</v>
      </c>
      <c r="AF14" s="129">
        <f t="shared" si="3"/>
        <v>1.2932071222180161E-2</v>
      </c>
      <c r="AG14" s="129">
        <f t="shared" si="3"/>
        <v>0.21661219297151771</v>
      </c>
      <c r="AH14" s="94">
        <f t="shared" si="3"/>
        <v>0.81633699590012265</v>
      </c>
      <c r="AI14" s="98">
        <f t="shared" si="11"/>
        <v>2.1865003286142305E-5</v>
      </c>
      <c r="AJ14" s="98">
        <f t="shared" si="12"/>
        <v>2.2852509532522461E-5</v>
      </c>
      <c r="AK14" s="98">
        <f t="shared" si="13"/>
        <v>1.7069490991697714E-5</v>
      </c>
      <c r="AL14" s="93"/>
      <c r="AM14" s="129"/>
      <c r="AN14" s="129">
        <f t="shared" si="14"/>
        <v>8.4475827939685811E-4</v>
      </c>
      <c r="AO14" s="129">
        <f t="shared" si="14"/>
        <v>1.351613247034973E-2</v>
      </c>
      <c r="AP14" s="129">
        <f t="shared" si="14"/>
        <v>0.22639521887835795</v>
      </c>
      <c r="AQ14" s="94">
        <f t="shared" si="14"/>
        <v>0.85320586219082661</v>
      </c>
      <c r="AR14" s="9">
        <f t="shared" si="15"/>
        <v>0.74694164189737378</v>
      </c>
      <c r="AS14" s="9">
        <f t="shared" si="16"/>
        <v>0.78067635153368986</v>
      </c>
      <c r="AT14" s="9">
        <f t="shared" si="17"/>
        <v>1.0451637822074338</v>
      </c>
      <c r="AU14" s="12"/>
      <c r="AV14" s="12"/>
      <c r="AW14" s="12">
        <v>7.8663658425102104E-2</v>
      </c>
      <c r="AX14" s="12">
        <v>0.286033381784213</v>
      </c>
      <c r="AY14" s="12">
        <v>1.08129059920596</v>
      </c>
      <c r="AZ14" s="12">
        <v>4.3251623968238597</v>
      </c>
      <c r="BA14" s="86"/>
      <c r="BB14" s="98"/>
      <c r="BC14" s="98"/>
      <c r="BD14" s="98">
        <f t="shared" si="21"/>
        <v>3.8660650791375421E-3</v>
      </c>
      <c r="BE14" s="98">
        <f t="shared" si="22"/>
        <v>0.24479902187834415</v>
      </c>
      <c r="BF14" s="102">
        <f t="shared" si="23"/>
        <v>3.6902539118974436</v>
      </c>
    </row>
    <row r="15" spans="1:58" x14ac:dyDescent="0.25">
      <c r="A15" s="7">
        <v>1.1000000000000001</v>
      </c>
      <c r="B15" s="91">
        <v>32</v>
      </c>
      <c r="C15" s="88">
        <v>45.6</v>
      </c>
      <c r="D15" s="3">
        <v>20</v>
      </c>
      <c r="E15" s="66">
        <v>1.40031756933689E-2</v>
      </c>
      <c r="F15" s="66">
        <v>5.6784984243662398E-3</v>
      </c>
      <c r="G15" s="66">
        <v>4.6667095589632999E-3</v>
      </c>
      <c r="H15" s="70">
        <v>0</v>
      </c>
      <c r="I15" s="8">
        <v>1</v>
      </c>
      <c r="J15" s="8">
        <v>18</v>
      </c>
      <c r="K15" s="8">
        <v>151</v>
      </c>
      <c r="L15" s="8">
        <v>1196</v>
      </c>
      <c r="M15" s="8">
        <v>3617</v>
      </c>
      <c r="N15" s="56"/>
      <c r="O15" s="12">
        <f t="shared" si="0"/>
        <v>0.05</v>
      </c>
      <c r="P15" s="12">
        <f t="shared" si="0"/>
        <v>0.9</v>
      </c>
      <c r="Q15" s="12">
        <f t="shared" si="0"/>
        <v>7.55</v>
      </c>
      <c r="R15" s="12">
        <f t="shared" si="0"/>
        <v>59.8</v>
      </c>
      <c r="S15" s="61">
        <f t="shared" si="0"/>
        <v>180.85</v>
      </c>
      <c r="T15" s="56"/>
      <c r="U15" s="12"/>
      <c r="V15" s="12">
        <f t="shared" si="1"/>
        <v>1.260285812403201E-2</v>
      </c>
      <c r="W15" s="12">
        <f t="shared" si="1"/>
        <v>0.1057239764849352</v>
      </c>
      <c r="X15" s="12">
        <f t="shared" si="1"/>
        <v>0.83738990646346023</v>
      </c>
      <c r="Y15" s="61">
        <f t="shared" si="1"/>
        <v>2.5324743241457655</v>
      </c>
      <c r="Z15" s="4">
        <f t="shared" si="2"/>
        <v>3.0006529261014645</v>
      </c>
      <c r="AA15" s="9">
        <f t="shared" si="8"/>
        <v>2.4659997497369655</v>
      </c>
      <c r="AB15" s="4">
        <f t="shared" si="9"/>
        <v>0.82182105377340797</v>
      </c>
      <c r="AC15" s="93"/>
      <c r="AD15" s="129">
        <f t="shared" si="3"/>
        <v>2.33335477948165E-4</v>
      </c>
      <c r="AE15" s="129">
        <f t="shared" si="3"/>
        <v>4.2000386030669702E-3</v>
      </c>
      <c r="AF15" s="129">
        <f t="shared" si="3"/>
        <v>3.5233657170172912E-2</v>
      </c>
      <c r="AG15" s="129">
        <f t="shared" si="3"/>
        <v>0.27906923162600533</v>
      </c>
      <c r="AH15" s="94">
        <f t="shared" si="3"/>
        <v>0.84397442373851272</v>
      </c>
      <c r="AI15" s="98">
        <f t="shared" si="11"/>
        <v>6.5348753864087188E-5</v>
      </c>
      <c r="AJ15" s="98">
        <f t="shared" si="12"/>
        <v>7.9517011110918925E-5</v>
      </c>
      <c r="AK15" s="98">
        <f t="shared" si="13"/>
        <v>2.6499902877547969E-5</v>
      </c>
      <c r="AL15" s="93"/>
      <c r="AM15" s="129">
        <f t="shared" si="14"/>
        <v>2.8392492121831199E-4</v>
      </c>
      <c r="AN15" s="129">
        <f t="shared" si="14"/>
        <v>5.1106485819296162E-3</v>
      </c>
      <c r="AO15" s="129">
        <f t="shared" si="14"/>
        <v>4.2872663103965113E-2</v>
      </c>
      <c r="AP15" s="129">
        <f t="shared" si="14"/>
        <v>0.33957420577710112</v>
      </c>
      <c r="AQ15" s="94">
        <f t="shared" si="14"/>
        <v>1.0269564400466344</v>
      </c>
      <c r="AR15" s="9">
        <f t="shared" si="15"/>
        <v>0.33326080177464212</v>
      </c>
      <c r="AS15" s="9">
        <f t="shared" si="16"/>
        <v>0.40551504520901288</v>
      </c>
      <c r="AT15" s="9">
        <f t="shared" si="17"/>
        <v>1.2168099069845921</v>
      </c>
      <c r="AU15" s="12"/>
      <c r="AV15" s="12">
        <v>5.6012702773475899E-2</v>
      </c>
      <c r="AW15" s="12">
        <v>0.17662425401843199</v>
      </c>
      <c r="AX15" s="12">
        <v>0.371998081424883</v>
      </c>
      <c r="AY15" s="12">
        <v>1.4536955966377501</v>
      </c>
      <c r="AZ15" s="12">
        <v>5.8147823865510198</v>
      </c>
      <c r="BA15" s="86"/>
      <c r="BB15" s="98"/>
      <c r="BC15" s="98">
        <f t="shared" si="20"/>
        <v>9.0266449333367574E-4</v>
      </c>
      <c r="BD15" s="98">
        <f t="shared" si="21"/>
        <v>1.594854842025039E-2</v>
      </c>
      <c r="BE15" s="98">
        <f t="shared" si="22"/>
        <v>0.49363752766993313</v>
      </c>
      <c r="BF15" s="102">
        <f t="shared" si="23"/>
        <v>5.9715282193383086</v>
      </c>
    </row>
    <row r="16" spans="1:58" x14ac:dyDescent="0.25">
      <c r="A16" s="7">
        <v>1.2</v>
      </c>
      <c r="B16" s="91">
        <v>32</v>
      </c>
      <c r="C16" s="88">
        <v>44.2</v>
      </c>
      <c r="D16" s="3">
        <v>20</v>
      </c>
      <c r="E16" s="66">
        <v>1.0890800850407899E-2</v>
      </c>
      <c r="F16" s="66">
        <v>4.8212415579803897E-3</v>
      </c>
      <c r="G16" s="66">
        <v>4.1135640493545804E-3</v>
      </c>
      <c r="H16" s="70">
        <v>0</v>
      </c>
      <c r="I16" s="8">
        <v>1</v>
      </c>
      <c r="J16" s="8">
        <v>11</v>
      </c>
      <c r="K16" s="8">
        <v>103</v>
      </c>
      <c r="L16" s="8">
        <v>972</v>
      </c>
      <c r="M16" s="8">
        <v>3501</v>
      </c>
      <c r="N16" s="56"/>
      <c r="O16" s="12">
        <f t="shared" si="0"/>
        <v>0.05</v>
      </c>
      <c r="P16" s="12">
        <f t="shared" si="0"/>
        <v>0.55000000000000004</v>
      </c>
      <c r="Q16" s="12">
        <f t="shared" si="0"/>
        <v>5.15</v>
      </c>
      <c r="R16" s="12">
        <f t="shared" si="0"/>
        <v>48.6</v>
      </c>
      <c r="S16" s="61">
        <f t="shared" si="0"/>
        <v>175.05</v>
      </c>
      <c r="T16" s="56"/>
      <c r="U16" s="12"/>
      <c r="V16" s="12">
        <f t="shared" si="1"/>
        <v>5.9899404677243454E-3</v>
      </c>
      <c r="W16" s="12">
        <f t="shared" si="1"/>
        <v>5.6087624379600687E-2</v>
      </c>
      <c r="X16" s="12">
        <f t="shared" si="1"/>
        <v>0.52929292132982397</v>
      </c>
      <c r="Y16" s="61">
        <f t="shared" si="1"/>
        <v>1.906434688863903</v>
      </c>
      <c r="Z16" s="4">
        <f t="shared" si="2"/>
        <v>2.6475340409775971</v>
      </c>
      <c r="AA16" s="9">
        <f t="shared" si="8"/>
        <v>2.2589203879197535</v>
      </c>
      <c r="AB16" s="4">
        <f t="shared" si="9"/>
        <v>0.85321674923040902</v>
      </c>
      <c r="AC16" s="93"/>
      <c r="AD16" s="129">
        <f t="shared" si="3"/>
        <v>2.0567820246772904E-4</v>
      </c>
      <c r="AE16" s="129">
        <f t="shared" si="3"/>
        <v>2.2624602271450194E-3</v>
      </c>
      <c r="AF16" s="129">
        <f t="shared" si="3"/>
        <v>2.118485485417609E-2</v>
      </c>
      <c r="AG16" s="129">
        <f t="shared" si="3"/>
        <v>0.19991921279863262</v>
      </c>
      <c r="AH16" s="94">
        <f t="shared" si="3"/>
        <v>0.72007938683951933</v>
      </c>
      <c r="AI16" s="98">
        <f t="shared" si="11"/>
        <v>4.4800006846918226E-5</v>
      </c>
      <c r="AJ16" s="98">
        <f t="shared" si="12"/>
        <v>5.2507181659674734E-5</v>
      </c>
      <c r="AK16" s="98">
        <f t="shared" si="13"/>
        <v>1.9832485946162398E-5</v>
      </c>
      <c r="AL16" s="93"/>
      <c r="AM16" s="129">
        <f t="shared" si="14"/>
        <v>2.4106207789901949E-4</v>
      </c>
      <c r="AN16" s="129">
        <f t="shared" si="14"/>
        <v>2.6516828568892144E-3</v>
      </c>
      <c r="AO16" s="129">
        <f t="shared" si="14"/>
        <v>2.4829394023599009E-2</v>
      </c>
      <c r="AP16" s="129">
        <f t="shared" si="14"/>
        <v>0.23431233971784696</v>
      </c>
      <c r="AQ16" s="94">
        <f t="shared" si="14"/>
        <v>0.84395833472446724</v>
      </c>
      <c r="AR16" s="9">
        <f t="shared" si="15"/>
        <v>0.3777099687944907</v>
      </c>
      <c r="AS16" s="9">
        <f t="shared" si="16"/>
        <v>0.44268935078358512</v>
      </c>
      <c r="AT16" s="9">
        <f t="shared" si="17"/>
        <v>1.1720351257778141</v>
      </c>
      <c r="AU16" s="12"/>
      <c r="AV16" s="12">
        <v>4.3563203401631702E-2</v>
      </c>
      <c r="AW16" s="12">
        <v>0.14678489544762599</v>
      </c>
      <c r="AX16" s="12">
        <v>0.32808884276820199</v>
      </c>
      <c r="AY16" s="12">
        <v>1.23423783884298</v>
      </c>
      <c r="AZ16" s="12">
        <v>4.93695135537192</v>
      </c>
      <c r="BA16" s="86"/>
      <c r="BB16" s="98"/>
      <c r="BC16" s="98">
        <f t="shared" si="20"/>
        <v>3.8922699090874552E-4</v>
      </c>
      <c r="BD16" s="98">
        <f t="shared" si="21"/>
        <v>8.1462471518383098E-3</v>
      </c>
      <c r="BE16" s="98">
        <f t="shared" si="22"/>
        <v>0.28919715578759758</v>
      </c>
      <c r="BF16" s="102">
        <f t="shared" si="23"/>
        <v>4.1665812444953874</v>
      </c>
    </row>
    <row r="17" spans="1:61" x14ac:dyDescent="0.25">
      <c r="A17" s="7">
        <v>2.2000000000000002</v>
      </c>
      <c r="B17" s="91">
        <v>45</v>
      </c>
      <c r="C17" s="88">
        <v>54.05</v>
      </c>
      <c r="D17" s="3">
        <v>15</v>
      </c>
      <c r="E17" s="66">
        <v>2.4016207968108199E-2</v>
      </c>
      <c r="F17" s="66">
        <v>6.5149661727545603E-3</v>
      </c>
      <c r="G17" s="66">
        <v>4.26435563054003E-3</v>
      </c>
      <c r="H17" s="70">
        <v>1</v>
      </c>
      <c r="I17" s="8">
        <v>5</v>
      </c>
      <c r="J17" s="8">
        <v>26</v>
      </c>
      <c r="K17" s="8">
        <v>112</v>
      </c>
      <c r="L17" s="8">
        <v>811</v>
      </c>
      <c r="M17" s="8">
        <v>2808</v>
      </c>
      <c r="N17" s="56">
        <f t="shared" si="6"/>
        <v>6.6666666666666666E-2</v>
      </c>
      <c r="O17" s="12">
        <f t="shared" si="0"/>
        <v>0.33333333333333331</v>
      </c>
      <c r="P17" s="12">
        <f t="shared" si="0"/>
        <v>1.7333333333333334</v>
      </c>
      <c r="Q17" s="12">
        <f t="shared" si="0"/>
        <v>7.4666666666666668</v>
      </c>
      <c r="R17" s="12">
        <f t="shared" si="0"/>
        <v>54.06666666666667</v>
      </c>
      <c r="S17" s="61">
        <f t="shared" si="0"/>
        <v>187.2</v>
      </c>
      <c r="T17" s="56"/>
      <c r="U17" s="12">
        <f t="shared" si="1"/>
        <v>8.0054026560360658E-3</v>
      </c>
      <c r="V17" s="12">
        <f t="shared" si="1"/>
        <v>4.1628093811387545E-2</v>
      </c>
      <c r="W17" s="12">
        <f t="shared" si="1"/>
        <v>0.1793210194952079</v>
      </c>
      <c r="X17" s="12">
        <f t="shared" si="1"/>
        <v>1.29847631080905</v>
      </c>
      <c r="Y17" s="61">
        <f t="shared" si="1"/>
        <v>4.4958341316298549</v>
      </c>
      <c r="Z17" s="4">
        <f t="shared" si="2"/>
        <v>5.6318492285472992</v>
      </c>
      <c r="AA17" s="9">
        <f t="shared" si="8"/>
        <v>3.6863135327614489</v>
      </c>
      <c r="AB17" s="4">
        <f t="shared" si="9"/>
        <v>0.65454762426449242</v>
      </c>
      <c r="AC17" s="93">
        <f t="shared" si="10"/>
        <v>2.8429037536933531E-4</v>
      </c>
      <c r="AD17" s="129">
        <f t="shared" si="3"/>
        <v>1.4214518768466767E-3</v>
      </c>
      <c r="AE17" s="129">
        <f t="shared" si="3"/>
        <v>7.3915497596027191E-3</v>
      </c>
      <c r="AF17" s="129">
        <f t="shared" si="3"/>
        <v>3.184052204136556E-2</v>
      </c>
      <c r="AG17" s="129">
        <f t="shared" si="3"/>
        <v>0.23055949442453097</v>
      </c>
      <c r="AH17" s="94">
        <f t="shared" si="3"/>
        <v>0.7982873740370936</v>
      </c>
      <c r="AI17" s="98">
        <f t="shared" si="11"/>
        <v>1.0241365167302253E-4</v>
      </c>
      <c r="AJ17" s="98">
        <f t="shared" si="12"/>
        <v>1.5646478251006346E-4</v>
      </c>
      <c r="AK17" s="98">
        <f t="shared" si="13"/>
        <v>2.778213268156374E-5</v>
      </c>
      <c r="AL17" s="93">
        <f t="shared" si="24"/>
        <v>4.3433107818363734E-4</v>
      </c>
      <c r="AM17" s="129">
        <f t="shared" si="14"/>
        <v>2.1716553909181865E-3</v>
      </c>
      <c r="AN17" s="129">
        <f t="shared" si="14"/>
        <v>1.1292608032774572E-2</v>
      </c>
      <c r="AO17" s="129">
        <f t="shared" si="14"/>
        <v>4.8645080756567385E-2</v>
      </c>
      <c r="AP17" s="129">
        <f t="shared" si="14"/>
        <v>0.35224250440692989</v>
      </c>
      <c r="AQ17" s="94">
        <f t="shared" si="14"/>
        <v>1.2196016675396537</v>
      </c>
      <c r="AR17" s="9">
        <f t="shared" si="15"/>
        <v>0.17756157159376651</v>
      </c>
      <c r="AS17" s="9">
        <f t="shared" si="16"/>
        <v>0.27127372403694905</v>
      </c>
      <c r="AT17" s="9">
        <f t="shared" si="17"/>
        <v>1.5277727134426444</v>
      </c>
      <c r="AU17" s="12">
        <v>2.4016207968108199E-2</v>
      </c>
      <c r="AV17" s="12">
        <v>6.1687066952672398E-2</v>
      </c>
      <c r="AW17" s="12">
        <v>0.19687478181427201</v>
      </c>
      <c r="AX17" s="12">
        <v>0.46344710039377801</v>
      </c>
      <c r="AY17" s="12">
        <v>1.6678313402251601</v>
      </c>
      <c r="AZ17" s="12">
        <v>6.6713253609006697</v>
      </c>
      <c r="BA17" s="86"/>
      <c r="BB17" s="98">
        <f t="shared" si="19"/>
        <v>1.3396305149770212E-4</v>
      </c>
      <c r="BC17" s="98">
        <f t="shared" si="20"/>
        <v>2.2232297425665896E-3</v>
      </c>
      <c r="BD17" s="98">
        <f t="shared" si="21"/>
        <v>2.2544421625052324E-2</v>
      </c>
      <c r="BE17" s="98">
        <f t="shared" si="22"/>
        <v>0.58748108820927669</v>
      </c>
      <c r="BF17" s="102">
        <f t="shared" si="23"/>
        <v>8.136359534854039</v>
      </c>
    </row>
    <row r="18" spans="1:61" x14ac:dyDescent="0.25">
      <c r="A18" s="7">
        <v>3.2</v>
      </c>
      <c r="B18" s="91">
        <v>64</v>
      </c>
      <c r="C18" s="88">
        <v>86.98</v>
      </c>
      <c r="D18" s="3">
        <v>15</v>
      </c>
      <c r="E18" s="66">
        <v>5.1502950973667999E-2</v>
      </c>
      <c r="F18" s="66">
        <v>1.37528556522491E-2</v>
      </c>
      <c r="G18" s="66">
        <v>4.5700514622563203E-3</v>
      </c>
      <c r="H18" s="70">
        <v>2</v>
      </c>
      <c r="I18" s="8">
        <v>30</v>
      </c>
      <c r="J18" s="8">
        <v>110</v>
      </c>
      <c r="K18" s="8">
        <v>279</v>
      </c>
      <c r="L18" s="8">
        <v>1032</v>
      </c>
      <c r="M18" s="8">
        <v>2570</v>
      </c>
      <c r="N18" s="56">
        <f t="shared" si="6"/>
        <v>0.13333333333333333</v>
      </c>
      <c r="O18" s="12">
        <f t="shared" si="0"/>
        <v>2</v>
      </c>
      <c r="P18" s="12">
        <f t="shared" si="0"/>
        <v>7.333333333333333</v>
      </c>
      <c r="Q18" s="12">
        <f t="shared" si="0"/>
        <v>18.600000000000001</v>
      </c>
      <c r="R18" s="12">
        <f t="shared" si="0"/>
        <v>68.8</v>
      </c>
      <c r="S18" s="61">
        <f t="shared" si="0"/>
        <v>171.33333333333334</v>
      </c>
      <c r="T18" s="56">
        <f t="shared" si="7"/>
        <v>6.8670601298223997E-3</v>
      </c>
      <c r="U18" s="12">
        <f t="shared" si="1"/>
        <v>0.103005901947336</v>
      </c>
      <c r="V18" s="12">
        <f t="shared" si="1"/>
        <v>0.37768830714023199</v>
      </c>
      <c r="W18" s="12">
        <f t="shared" si="1"/>
        <v>0.95795488811022489</v>
      </c>
      <c r="X18" s="12">
        <f t="shared" si="1"/>
        <v>3.5434030269883583</v>
      </c>
      <c r="Y18" s="61">
        <f t="shared" si="1"/>
        <v>8.824172266821785</v>
      </c>
      <c r="Z18" s="4">
        <f t="shared" si="2"/>
        <v>11.26966542915909</v>
      </c>
      <c r="AA18" s="9">
        <f t="shared" si="8"/>
        <v>3.7448914084432614</v>
      </c>
      <c r="AB18" s="4">
        <f t="shared" si="9"/>
        <v>0.33229836608580621</v>
      </c>
      <c r="AC18" s="93">
        <f t="shared" si="10"/>
        <v>6.0934019496750936E-4</v>
      </c>
      <c r="AD18" s="129">
        <f t="shared" si="3"/>
        <v>9.1401029245126407E-3</v>
      </c>
      <c r="AE18" s="129">
        <f t="shared" si="3"/>
        <v>3.3513710723213012E-2</v>
      </c>
      <c r="AF18" s="129">
        <f t="shared" si="3"/>
        <v>8.5002957197967563E-2</v>
      </c>
      <c r="AG18" s="129">
        <f t="shared" si="3"/>
        <v>0.31441954060323485</v>
      </c>
      <c r="AH18" s="94">
        <f t="shared" si="3"/>
        <v>0.78300215053324962</v>
      </c>
      <c r="AI18" s="98">
        <f t="shared" si="11"/>
        <v>2.3537113640772703E-4</v>
      </c>
      <c r="AJ18" s="98">
        <f t="shared" si="12"/>
        <v>7.0831265040571822E-4</v>
      </c>
      <c r="AK18" s="98">
        <f t="shared" si="13"/>
        <v>6.2851258083761093E-5</v>
      </c>
      <c r="AL18" s="93">
        <f t="shared" si="24"/>
        <v>1.8337140869665466E-3</v>
      </c>
      <c r="AM18" s="129">
        <f t="shared" si="14"/>
        <v>2.75057113044982E-2</v>
      </c>
      <c r="AN18" s="129">
        <f t="shared" si="14"/>
        <v>0.10085427478316006</v>
      </c>
      <c r="AO18" s="129">
        <f t="shared" si="14"/>
        <v>0.25580311513183329</v>
      </c>
      <c r="AP18" s="129">
        <f t="shared" si="14"/>
        <v>0.94619646887473807</v>
      </c>
      <c r="AQ18" s="94">
        <f t="shared" si="14"/>
        <v>2.3563226017520127</v>
      </c>
      <c r="AR18" s="9">
        <f t="shared" si="15"/>
        <v>8.8733778858474693E-2</v>
      </c>
      <c r="AS18" s="9">
        <f t="shared" si="16"/>
        <v>0.26703043985344732</v>
      </c>
      <c r="AT18" s="9">
        <f t="shared" si="17"/>
        <v>3.0093437165495409</v>
      </c>
      <c r="AU18" s="12">
        <v>2.8717702047744001E-2</v>
      </c>
      <c r="AV18" s="12">
        <v>0.11587567427319601</v>
      </c>
      <c r="AW18" s="12">
        <v>0.424330918118209</v>
      </c>
      <c r="AX18" s="12">
        <v>1.0317760232201201</v>
      </c>
      <c r="AY18" s="12">
        <v>3.52073104697577</v>
      </c>
      <c r="AZ18" s="12">
        <v>14.082924187903</v>
      </c>
      <c r="BA18" s="86">
        <f t="shared" si="18"/>
        <v>5.2660054790256215E-5</v>
      </c>
      <c r="BB18" s="98">
        <f t="shared" si="19"/>
        <v>3.1872428437725985E-3</v>
      </c>
      <c r="BC18" s="98">
        <f t="shared" si="20"/>
        <v>4.2795587014884444E-2</v>
      </c>
      <c r="BD18" s="98">
        <f t="shared" si="21"/>
        <v>0.2639315208580415</v>
      </c>
      <c r="BE18" s="98">
        <f t="shared" si="22"/>
        <v>3.331303284506133</v>
      </c>
      <c r="BF18" s="102">
        <f t="shared" si="23"/>
        <v>33.183912562715946</v>
      </c>
    </row>
    <row r="19" spans="1:61" x14ac:dyDescent="0.25">
      <c r="A19" s="7">
        <v>3.3</v>
      </c>
      <c r="B19" s="91">
        <v>64</v>
      </c>
      <c r="C19" s="88">
        <v>87.98</v>
      </c>
      <c r="D19" s="3">
        <v>20</v>
      </c>
      <c r="E19" s="66">
        <v>5.04335454776157E-2</v>
      </c>
      <c r="F19" s="66">
        <v>9.8602655911611495E-3</v>
      </c>
      <c r="G19" s="66">
        <v>4.3864038070395503E-3</v>
      </c>
      <c r="H19" s="70">
        <v>4</v>
      </c>
      <c r="I19" s="8">
        <v>20</v>
      </c>
      <c r="J19" s="8">
        <v>68</v>
      </c>
      <c r="K19" s="8">
        <v>245</v>
      </c>
      <c r="L19" s="8">
        <v>1155</v>
      </c>
      <c r="M19" s="8">
        <v>3356</v>
      </c>
      <c r="N19" s="56">
        <f t="shared" si="6"/>
        <v>0.2</v>
      </c>
      <c r="O19" s="12">
        <f t="shared" ref="O19:O22" si="25">I19/$D19</f>
        <v>1</v>
      </c>
      <c r="P19" s="12">
        <f t="shared" ref="P19:P23" si="26">J19/$D19</f>
        <v>3.4</v>
      </c>
      <c r="Q19" s="12">
        <f t="shared" ref="Q19:Q23" si="27">K19/$D19</f>
        <v>12.25</v>
      </c>
      <c r="R19" s="12">
        <f t="shared" ref="R19:R23" si="28">L19/$D19</f>
        <v>57.75</v>
      </c>
      <c r="S19" s="61">
        <f t="shared" ref="S19:S23" si="29">M19/$D19</f>
        <v>167.8</v>
      </c>
      <c r="T19" s="56">
        <f t="shared" si="7"/>
        <v>1.0086709095523141E-2</v>
      </c>
      <c r="U19" s="12">
        <f t="shared" ref="U19:U21" si="30">O19*$E19</f>
        <v>5.04335454776157E-2</v>
      </c>
      <c r="V19" s="12">
        <f t="shared" ref="V19:V23" si="31">P19*$E19</f>
        <v>0.17147405462389337</v>
      </c>
      <c r="W19" s="12">
        <f t="shared" ref="W19:W23" si="32">Q19*$E19</f>
        <v>0.6178109321007923</v>
      </c>
      <c r="X19" s="12">
        <f t="shared" ref="X19:Y23" si="33">R19*$E19</f>
        <v>2.9125372513323069</v>
      </c>
      <c r="Y19" s="61">
        <f t="shared" si="33"/>
        <v>8.4627489311439152</v>
      </c>
      <c r="Z19" s="4">
        <f t="shared" si="2"/>
        <v>11.497697817213517</v>
      </c>
      <c r="AA19" s="9">
        <f t="shared" si="8"/>
        <v>5.1148262702806795</v>
      </c>
      <c r="AB19" s="4">
        <f t="shared" si="9"/>
        <v>0.4448565575121598</v>
      </c>
      <c r="AC19" s="93">
        <f t="shared" si="10"/>
        <v>8.7728076140791006E-4</v>
      </c>
      <c r="AD19" s="129">
        <f t="shared" ref="AD19:AD23" si="34">O19*$G19</f>
        <v>4.3864038070395503E-3</v>
      </c>
      <c r="AE19" s="129">
        <f t="shared" ref="AE19:AE23" si="35">P19*$G19</f>
        <v>1.4913772943934471E-2</v>
      </c>
      <c r="AF19" s="129">
        <f t="shared" ref="AF19:AF23" si="36">Q19*$G19</f>
        <v>5.3733446636234493E-2</v>
      </c>
      <c r="AG19" s="129">
        <f t="shared" ref="AG19:AG23" si="37">R19*$G19</f>
        <v>0.25331481985653403</v>
      </c>
      <c r="AH19" s="94">
        <f t="shared" ref="AH19:AH23" si="38">S19*$G19</f>
        <v>0.73603855882123659</v>
      </c>
      <c r="AI19" s="98">
        <f t="shared" si="11"/>
        <v>2.212218958855158E-4</v>
      </c>
      <c r="AJ19" s="98">
        <f t="shared" si="12"/>
        <v>4.9728815311319511E-4</v>
      </c>
      <c r="AK19" s="98">
        <f t="shared" si="13"/>
        <v>4.325110652749035E-5</v>
      </c>
      <c r="AL19" s="93">
        <f t="shared" si="24"/>
        <v>1.9720531182322301E-3</v>
      </c>
      <c r="AM19" s="129">
        <f t="shared" si="14"/>
        <v>9.8602655911611495E-3</v>
      </c>
      <c r="AN19" s="129">
        <f t="shared" si="14"/>
        <v>3.3524903009947905E-2</v>
      </c>
      <c r="AO19" s="129">
        <f t="shared" si="14"/>
        <v>0.12078825349172408</v>
      </c>
      <c r="AP19" s="129">
        <f t="shared" si="14"/>
        <v>0.56943033788955644</v>
      </c>
      <c r="AQ19" s="94">
        <f t="shared" si="14"/>
        <v>1.654552566196841</v>
      </c>
      <c r="AR19" s="9">
        <f t="shared" si="15"/>
        <v>8.6973933034043799E-2</v>
      </c>
      <c r="AS19" s="9">
        <f t="shared" si="16"/>
        <v>0.19551006176112495</v>
      </c>
      <c r="AT19" s="9">
        <f t="shared" si="17"/>
        <v>2.2479156103541662</v>
      </c>
      <c r="AU19" s="12">
        <v>4.2099641834455401E-2</v>
      </c>
      <c r="AV19" s="12">
        <v>0.10745936765490099</v>
      </c>
      <c r="AW19" s="12">
        <v>0.342981303210388</v>
      </c>
      <c r="AX19" s="12">
        <v>0.759859641009906</v>
      </c>
      <c r="AY19" s="12">
        <v>2.5242279913372498</v>
      </c>
      <c r="AZ19" s="12">
        <v>10.096911965348999</v>
      </c>
      <c r="BA19" s="86">
        <f t="shared" si="18"/>
        <v>8.3022729956097811E-5</v>
      </c>
      <c r="BB19" s="98">
        <f t="shared" si="19"/>
        <v>1.0595779053355556E-3</v>
      </c>
      <c r="BC19" s="98">
        <f t="shared" si="20"/>
        <v>1.1498414924353792E-2</v>
      </c>
      <c r="BD19" s="98">
        <f t="shared" si="21"/>
        <v>9.1782118936434981E-2</v>
      </c>
      <c r="BE19" s="98">
        <f t="shared" si="22"/>
        <v>1.4373719980174464</v>
      </c>
      <c r="BF19" s="102">
        <f t="shared" si="23"/>
        <v>16.705871602931776</v>
      </c>
    </row>
    <row r="20" spans="1:61" x14ac:dyDescent="0.25">
      <c r="A20" s="7">
        <v>4.0999999999999996</v>
      </c>
      <c r="B20" s="91">
        <v>90</v>
      </c>
      <c r="C20" s="88">
        <v>108.42</v>
      </c>
      <c r="D20" s="3">
        <v>15</v>
      </c>
      <c r="E20" s="66">
        <v>9.6840712231762202E-2</v>
      </c>
      <c r="F20" s="66">
        <v>2.94139388502281E-2</v>
      </c>
      <c r="G20" s="66">
        <v>9.5407724532447606E-3</v>
      </c>
      <c r="H20" s="70">
        <v>12</v>
      </c>
      <c r="I20" s="8">
        <v>61</v>
      </c>
      <c r="J20" s="8">
        <v>187</v>
      </c>
      <c r="K20" s="8">
        <v>490</v>
      </c>
      <c r="L20" s="8">
        <v>1019</v>
      </c>
      <c r="M20" s="8">
        <v>2258</v>
      </c>
      <c r="N20" s="56">
        <f t="shared" si="6"/>
        <v>0.8</v>
      </c>
      <c r="O20" s="12">
        <f t="shared" si="25"/>
        <v>4.0666666666666664</v>
      </c>
      <c r="P20" s="12">
        <f t="shared" si="26"/>
        <v>12.466666666666667</v>
      </c>
      <c r="Q20" s="12">
        <f t="shared" si="27"/>
        <v>32.666666666666664</v>
      </c>
      <c r="R20" s="12">
        <f t="shared" si="28"/>
        <v>67.933333333333337</v>
      </c>
      <c r="S20" s="61">
        <f t="shared" si="29"/>
        <v>150.53333333333333</v>
      </c>
      <c r="T20" s="56">
        <f>N20*$E20</f>
        <v>7.747256978540977E-2</v>
      </c>
      <c r="U20" s="12">
        <f t="shared" si="30"/>
        <v>0.39381889640916629</v>
      </c>
      <c r="V20" s="12">
        <f t="shared" si="31"/>
        <v>1.2072808791559688</v>
      </c>
      <c r="W20" s="12">
        <f t="shared" si="32"/>
        <v>3.163463266237565</v>
      </c>
      <c r="X20" s="12">
        <f t="shared" si="33"/>
        <v>6.5787123842777122</v>
      </c>
      <c r="Y20" s="61">
        <f t="shared" si="33"/>
        <v>14.57775521462127</v>
      </c>
      <c r="Z20" s="4">
        <f t="shared" si="2"/>
        <v>10.150196192848854</v>
      </c>
      <c r="AA20" s="9">
        <f t="shared" si="8"/>
        <v>3.2923408430561558</v>
      </c>
      <c r="AB20" s="4">
        <f t="shared" si="9"/>
        <v>0.3243622862556802</v>
      </c>
      <c r="AC20" s="93">
        <f t="shared" si="10"/>
        <v>7.632617962595809E-3</v>
      </c>
      <c r="AD20" s="129">
        <f t="shared" si="34"/>
        <v>3.8799141309862027E-2</v>
      </c>
      <c r="AE20" s="129">
        <f t="shared" si="35"/>
        <v>0.11894162991711801</v>
      </c>
      <c r="AF20" s="129">
        <f t="shared" si="36"/>
        <v>0.31166523347266217</v>
      </c>
      <c r="AG20" s="129">
        <f t="shared" si="37"/>
        <v>0.64813647532376073</v>
      </c>
      <c r="AH20" s="94">
        <f t="shared" si="38"/>
        <v>1.436204279961778</v>
      </c>
      <c r="AI20" s="98">
        <f t="shared" si="11"/>
        <v>9.2393519961339978E-4</v>
      </c>
      <c r="AJ20" s="98">
        <f t="shared" si="12"/>
        <v>2.8484667877975898E-3</v>
      </c>
      <c r="AK20" s="98">
        <f t="shared" si="13"/>
        <v>2.8063169752368214E-4</v>
      </c>
      <c r="AL20" s="93">
        <f t="shared" si="24"/>
        <v>2.3531151080182482E-2</v>
      </c>
      <c r="AM20" s="129">
        <f t="shared" ref="AM20:AM23" si="39">O20*$F20</f>
        <v>0.11961668465759427</v>
      </c>
      <c r="AN20" s="129">
        <f t="shared" ref="AN20:AN23" si="40">P20*$F20</f>
        <v>0.36669377099951034</v>
      </c>
      <c r="AO20" s="129">
        <f t="shared" ref="AO20:AO23" si="41">Q20*$F20</f>
        <v>0.96085533577411786</v>
      </c>
      <c r="AP20" s="129">
        <f t="shared" ref="AP20:AP23" si="42">R20*$F20</f>
        <v>1.998186912558829</v>
      </c>
      <c r="AQ20" s="94">
        <f t="shared" ref="AQ20:AQ23" si="43">S20*$F20</f>
        <v>4.4277782615876697</v>
      </c>
      <c r="AR20" s="9">
        <f t="shared" si="15"/>
        <v>9.85202631555568E-2</v>
      </c>
      <c r="AS20" s="9">
        <f t="shared" si="16"/>
        <v>0.30373525940034135</v>
      </c>
      <c r="AT20" s="9">
        <f t="shared" si="17"/>
        <v>3.082972473599304</v>
      </c>
      <c r="AU20" s="12">
        <v>6.9669475601588704E-2</v>
      </c>
      <c r="AV20" s="12">
        <v>0.21182245741774999</v>
      </c>
      <c r="AW20" s="12">
        <v>0.71876689058186105</v>
      </c>
      <c r="AX20" s="12">
        <v>2.4352261038974299</v>
      </c>
      <c r="AY20" s="12">
        <v>7.5299683456584097</v>
      </c>
      <c r="AZ20" s="12">
        <v>30.1198733826336</v>
      </c>
      <c r="BA20" s="86">
        <f t="shared" si="18"/>
        <v>1.6394029560580711E-3</v>
      </c>
      <c r="BB20" s="98">
        <f t="shared" si="19"/>
        <v>2.533750009233569E-2</v>
      </c>
      <c r="BC20" s="98">
        <f t="shared" si="20"/>
        <v>0.26356734157705508</v>
      </c>
      <c r="BD20" s="98">
        <f t="shared" si="21"/>
        <v>2.3398999957462618</v>
      </c>
      <c r="BE20" s="98">
        <f t="shared" si="22"/>
        <v>15.04628420027689</v>
      </c>
      <c r="BF20" s="102">
        <f t="shared" si="23"/>
        <v>133.36412060539811</v>
      </c>
    </row>
    <row r="21" spans="1:61" x14ac:dyDescent="0.25">
      <c r="A21" s="75" t="s">
        <v>32</v>
      </c>
      <c r="B21" s="91">
        <v>90</v>
      </c>
      <c r="C21" s="88">
        <v>113.98</v>
      </c>
      <c r="D21" s="65">
        <v>49.999977324263</v>
      </c>
      <c r="E21" s="28">
        <v>0.103785400341108</v>
      </c>
      <c r="F21" s="28">
        <v>9.3097685505032102E-3</v>
      </c>
      <c r="G21" s="28">
        <v>2.6623638531804101E-3</v>
      </c>
      <c r="H21" s="70">
        <v>7</v>
      </c>
      <c r="I21" s="8">
        <v>32</v>
      </c>
      <c r="J21" s="8">
        <v>148</v>
      </c>
      <c r="K21" s="8">
        <v>475</v>
      </c>
      <c r="L21" s="8">
        <v>1883</v>
      </c>
      <c r="M21" s="8">
        <v>5866</v>
      </c>
      <c r="N21" s="56">
        <f t="shared" si="6"/>
        <v>0.1400000634920924</v>
      </c>
      <c r="O21" s="12">
        <f t="shared" si="25"/>
        <v>0.64000029024956528</v>
      </c>
      <c r="P21" s="12">
        <f t="shared" si="26"/>
        <v>2.9600013424042393</v>
      </c>
      <c r="Q21" s="12">
        <f t="shared" si="27"/>
        <v>9.5000043083919845</v>
      </c>
      <c r="R21" s="12">
        <f t="shared" si="28"/>
        <v>37.660017079372857</v>
      </c>
      <c r="S21" s="61">
        <f t="shared" si="29"/>
        <v>117.32005320637343</v>
      </c>
      <c r="T21" s="56">
        <f t="shared" si="7"/>
        <v>1.452996263730735E-2</v>
      </c>
      <c r="U21" s="12">
        <f t="shared" si="30"/>
        <v>6.6422686341976456E-2</v>
      </c>
      <c r="V21" s="12">
        <f t="shared" si="31"/>
        <v>0.30720492433164109</v>
      </c>
      <c r="W21" s="12">
        <f t="shared" si="32"/>
        <v>0.98596175038871292</v>
      </c>
      <c r="X21" s="12">
        <f t="shared" si="33"/>
        <v>3.9085599494356771</v>
      </c>
      <c r="Y21" s="61">
        <f t="shared" si="33"/>
        <v>12.176108690063558</v>
      </c>
      <c r="Z21" s="4">
        <f t="shared" si="2"/>
        <v>38.982425417595685</v>
      </c>
      <c r="AA21" s="9">
        <f t="shared" si="8"/>
        <v>11.148010799419735</v>
      </c>
      <c r="AB21" s="4">
        <f t="shared" si="9"/>
        <v>0.28597529989470089</v>
      </c>
      <c r="AC21" s="93">
        <f t="shared" si="10"/>
        <v>3.7273110848430916E-4</v>
      </c>
      <c r="AD21" s="129">
        <f t="shared" si="34"/>
        <v>1.7039136387854135E-3</v>
      </c>
      <c r="AE21" s="129">
        <f t="shared" si="35"/>
        <v>7.8806005793825365E-3</v>
      </c>
      <c r="AF21" s="129">
        <f t="shared" si="36"/>
        <v>2.529246807572098E-2</v>
      </c>
      <c r="AG21" s="129">
        <f t="shared" si="37"/>
        <v>0.10026466818227917</v>
      </c>
      <c r="AH21" s="94">
        <f t="shared" si="38"/>
        <v>0.31234866890985108</v>
      </c>
      <c r="AI21" s="98">
        <f t="shared" si="11"/>
        <v>2.7631449835602376E-4</v>
      </c>
      <c r="AJ21" s="98">
        <f t="shared" si="12"/>
        <v>9.6621805609703243E-4</v>
      </c>
      <c r="AK21" s="98">
        <f t="shared" si="13"/>
        <v>2.4785991270335527E-5</v>
      </c>
      <c r="AL21" s="93">
        <f t="shared" si="24"/>
        <v>1.3033681881671345E-3</v>
      </c>
      <c r="AM21" s="129">
        <f t="shared" si="39"/>
        <v>5.9582545744783291E-3</v>
      </c>
      <c r="AN21" s="129">
        <f t="shared" si="40"/>
        <v>2.7556927406962271E-2</v>
      </c>
      <c r="AO21" s="129">
        <f t="shared" si="41"/>
        <v>8.8442841339912703E-2</v>
      </c>
      <c r="AP21" s="129">
        <f t="shared" si="42"/>
        <v>0.35060604261695916</v>
      </c>
      <c r="AQ21" s="94">
        <f t="shared" si="43"/>
        <v>1.0922225416840587</v>
      </c>
      <c r="AR21" s="9">
        <f t="shared" si="15"/>
        <v>2.5652585473776735E-2</v>
      </c>
      <c r="AS21" s="9">
        <f t="shared" si="16"/>
        <v>8.9702101836145604E-2</v>
      </c>
      <c r="AT21" s="9">
        <f t="shared" si="17"/>
        <v>3.4968054946291187</v>
      </c>
      <c r="AU21" s="12">
        <v>8.7491372398812203E-2</v>
      </c>
      <c r="AV21" s="12">
        <v>0.209281252002183</v>
      </c>
      <c r="AW21" s="12">
        <v>0.53107420883976697</v>
      </c>
      <c r="AX21" s="12">
        <v>1.1427850401592301</v>
      </c>
      <c r="AY21" s="12">
        <v>2.42627671242104</v>
      </c>
      <c r="AZ21" s="12">
        <v>9.5332029957152908</v>
      </c>
      <c r="BA21" s="86">
        <f t="shared" si="18"/>
        <v>1.140334715236959E-4</v>
      </c>
      <c r="BB21" s="98">
        <f t="shared" si="19"/>
        <v>1.2469509770945588E-3</v>
      </c>
      <c r="BC21" s="98">
        <f t="shared" si="20"/>
        <v>1.4634773420707379E-2</v>
      </c>
      <c r="BD21" s="98">
        <f t="shared" si="21"/>
        <v>0.10107115599242855</v>
      </c>
      <c r="BE21" s="98">
        <f t="shared" si="22"/>
        <v>0.85066727643562667</v>
      </c>
      <c r="BF21" s="102">
        <f t="shared" si="23"/>
        <v>10.412379206370238</v>
      </c>
    </row>
    <row r="22" spans="1:61" x14ac:dyDescent="0.25">
      <c r="A22" s="75" t="s">
        <v>33</v>
      </c>
      <c r="B22" s="91">
        <v>45</v>
      </c>
      <c r="C22" s="88">
        <v>56.56</v>
      </c>
      <c r="D22" s="65">
        <v>99.999977324263</v>
      </c>
      <c r="E22" s="28">
        <v>1.7343593585544201E-2</v>
      </c>
      <c r="F22" s="28">
        <v>3.7541223526986601E-3</v>
      </c>
      <c r="G22" s="28">
        <v>3.5652204100954199E-3</v>
      </c>
      <c r="H22" s="70">
        <v>0</v>
      </c>
      <c r="I22" s="8">
        <v>3</v>
      </c>
      <c r="J22" s="8">
        <v>17</v>
      </c>
      <c r="K22" s="8">
        <v>221</v>
      </c>
      <c r="L22" s="8">
        <v>2965</v>
      </c>
      <c r="M22" s="8">
        <v>14897</v>
      </c>
      <c r="N22" s="56"/>
      <c r="O22" s="12">
        <f t="shared" si="25"/>
        <v>3.0000006802722641E-2</v>
      </c>
      <c r="P22" s="12">
        <f t="shared" si="26"/>
        <v>0.17000003854876164</v>
      </c>
      <c r="Q22" s="12">
        <f t="shared" si="27"/>
        <v>2.2100005011339015</v>
      </c>
      <c r="R22" s="12">
        <f t="shared" si="28"/>
        <v>29.650006723357546</v>
      </c>
      <c r="S22" s="61">
        <f t="shared" si="29"/>
        <v>148.97003378005306</v>
      </c>
      <c r="T22" s="56"/>
      <c r="U22" s="12"/>
      <c r="V22" s="12"/>
      <c r="W22" s="12">
        <f t="shared" si="32"/>
        <v>3.8329350515515399E-2</v>
      </c>
      <c r="X22" s="12">
        <f t="shared" si="33"/>
        <v>0.51423766641856639</v>
      </c>
      <c r="Y22" s="61">
        <f t="shared" si="33"/>
        <v>2.5836757223060309</v>
      </c>
      <c r="Z22" s="4">
        <f t="shared" si="2"/>
        <v>4.8646623744308739</v>
      </c>
      <c r="AA22" s="9">
        <f t="shared" si="8"/>
        <v>4.6198796832172278</v>
      </c>
      <c r="AB22" s="4">
        <f t="shared" si="9"/>
        <v>0.94968146350705707</v>
      </c>
      <c r="AC22" s="93"/>
      <c r="AD22" s="129">
        <f t="shared" si="34"/>
        <v>1.069566365560682E-4</v>
      </c>
      <c r="AE22" s="129">
        <f t="shared" si="35"/>
        <v>6.0608760715105312E-4</v>
      </c>
      <c r="AF22" s="129">
        <f t="shared" si="36"/>
        <v>7.8791388929636916E-3</v>
      </c>
      <c r="AG22" s="129">
        <f t="shared" si="37"/>
        <v>0.10570880912958075</v>
      </c>
      <c r="AH22" s="94">
        <f t="shared" si="38"/>
        <v>0.53111100492524932</v>
      </c>
      <c r="AI22" s="98">
        <f t="shared" si="11"/>
        <v>6.1833733835582188E-5</v>
      </c>
      <c r="AJ22" s="98">
        <f t="shared" si="12"/>
        <v>6.5109972355612588E-5</v>
      </c>
      <c r="AK22" s="98">
        <f t="shared" si="13"/>
        <v>1.33842736338367E-5</v>
      </c>
      <c r="AL22" s="93"/>
      <c r="AM22" s="129">
        <f t="shared" si="39"/>
        <v>1.1262369611921293E-4</v>
      </c>
      <c r="AN22" s="129">
        <f t="shared" si="40"/>
        <v>6.3820094467553995E-4</v>
      </c>
      <c r="AO22" s="129">
        <f t="shared" si="41"/>
        <v>8.2966122807820192E-3</v>
      </c>
      <c r="AP22" s="129">
        <f t="shared" si="42"/>
        <v>0.11130975299782211</v>
      </c>
      <c r="AQ22" s="94">
        <f t="shared" si="43"/>
        <v>0.5592517336959717</v>
      </c>
      <c r="AR22" s="9">
        <f t="shared" si="15"/>
        <v>0.20556411175749723</v>
      </c>
      <c r="AS22" s="9">
        <f t="shared" si="16"/>
        <v>0.21645585352205798</v>
      </c>
      <c r="AT22" s="9">
        <f t="shared" si="17"/>
        <v>1.0529846463540762</v>
      </c>
      <c r="AU22" s="12">
        <v>0</v>
      </c>
      <c r="AV22" s="12">
        <v>4.8899641067386798E-2</v>
      </c>
      <c r="AW22" s="12">
        <v>0.137793372793407</v>
      </c>
      <c r="AX22" s="12">
        <v>0.30126664954396598</v>
      </c>
      <c r="AY22" s="12">
        <v>0.96105532229085699</v>
      </c>
      <c r="AZ22" s="12">
        <v>3.84422128916342</v>
      </c>
      <c r="BA22" s="86"/>
      <c r="BB22" s="98"/>
      <c r="BC22" s="98"/>
      <c r="BD22" s="98">
        <f t="shared" si="21"/>
        <v>2.4994925843965211E-3</v>
      </c>
      <c r="BE22" s="98">
        <f t="shared" si="22"/>
        <v>0.10697483054143762</v>
      </c>
      <c r="BF22" s="102">
        <f t="shared" si="23"/>
        <v>2.149887420675606</v>
      </c>
    </row>
    <row r="23" spans="1:61" x14ac:dyDescent="0.25">
      <c r="A23" s="76" t="s">
        <v>91</v>
      </c>
      <c r="B23" s="92"/>
      <c r="C23" s="89"/>
      <c r="D23" s="78">
        <v>60</v>
      </c>
      <c r="E23" s="79">
        <v>3.4734349552416499E-2</v>
      </c>
      <c r="F23" s="79">
        <v>1.59772775618169E-2</v>
      </c>
      <c r="G23" s="79">
        <v>1.5617522696591399E-2</v>
      </c>
      <c r="H23" s="80">
        <v>0</v>
      </c>
      <c r="I23" s="81">
        <v>0</v>
      </c>
      <c r="J23" s="81">
        <v>69.12</v>
      </c>
      <c r="K23" s="81">
        <v>1622.3999999999901</v>
      </c>
      <c r="L23" s="81">
        <v>12195.84</v>
      </c>
      <c r="M23" s="81">
        <v>18165.12</v>
      </c>
      <c r="N23" s="83"/>
      <c r="O23" s="84"/>
      <c r="P23" s="84">
        <f t="shared" si="26"/>
        <v>1.1520000000000001</v>
      </c>
      <c r="Q23" s="84">
        <f t="shared" si="27"/>
        <v>27.039999999999836</v>
      </c>
      <c r="R23" s="84">
        <f t="shared" si="28"/>
        <v>203.26400000000001</v>
      </c>
      <c r="S23" s="85">
        <f t="shared" si="29"/>
        <v>302.75200000000001</v>
      </c>
      <c r="T23" s="83"/>
      <c r="U23" s="84"/>
      <c r="V23" s="84">
        <f t="shared" si="31"/>
        <v>4.0013970684383809E-2</v>
      </c>
      <c r="W23" s="84">
        <f t="shared" si="32"/>
        <v>0.93921681189733641</v>
      </c>
      <c r="X23" s="84">
        <f t="shared" si="33"/>
        <v>7.0602428274223881</v>
      </c>
      <c r="Y23" s="85">
        <f t="shared" si="33"/>
        <v>10.5158937956932</v>
      </c>
      <c r="Z23" s="4">
        <f t="shared" si="2"/>
        <v>2.2240626908131493</v>
      </c>
      <c r="AA23" s="9">
        <f t="shared" si="8"/>
        <v>2.1739842359267736</v>
      </c>
      <c r="AB23" s="4">
        <f t="shared" si="9"/>
        <v>0.97748334384042646</v>
      </c>
      <c r="AC23" s="95"/>
      <c r="AD23" s="96"/>
      <c r="AE23" s="96">
        <f t="shared" si="35"/>
        <v>1.7991386146473293E-2</v>
      </c>
      <c r="AF23" s="96">
        <f t="shared" si="36"/>
        <v>0.42229781371582886</v>
      </c>
      <c r="AG23" s="96">
        <f t="shared" si="37"/>
        <v>3.1744801333999542</v>
      </c>
      <c r="AH23" s="97">
        <f t="shared" si="38"/>
        <v>4.7282362314384399</v>
      </c>
      <c r="AI23" s="98">
        <f t="shared" si="11"/>
        <v>5.4246449248620393E-4</v>
      </c>
      <c r="AJ23" s="98">
        <f t="shared" si="12"/>
        <v>5.5496034372812903E-4</v>
      </c>
      <c r="AK23" s="98">
        <f t="shared" si="13"/>
        <v>2.4952549495141591E-4</v>
      </c>
      <c r="AL23" s="95"/>
      <c r="AM23" s="96"/>
      <c r="AN23" s="96">
        <f t="shared" si="40"/>
        <v>1.8405823751213073E-2</v>
      </c>
      <c r="AO23" s="96">
        <f t="shared" si="41"/>
        <v>0.43202558527152635</v>
      </c>
      <c r="AP23" s="96">
        <f t="shared" si="42"/>
        <v>3.2476053463251504</v>
      </c>
      <c r="AQ23" s="97">
        <f t="shared" si="43"/>
        <v>4.8371527363951907</v>
      </c>
      <c r="AR23" s="9">
        <f t="shared" si="15"/>
        <v>0.4496276135248623</v>
      </c>
      <c r="AS23" s="9">
        <f t="shared" si="16"/>
        <v>0.45998493617121289</v>
      </c>
      <c r="AT23" s="9">
        <f t="shared" si="17"/>
        <v>1.0230353348744625</v>
      </c>
      <c r="AU23" s="12">
        <v>0</v>
      </c>
      <c r="AV23" s="12">
        <v>0</v>
      </c>
      <c r="AW23" s="12">
        <v>0.32654015746286202</v>
      </c>
      <c r="AX23" s="12">
        <v>1.0295343355653599</v>
      </c>
      <c r="AY23" s="12">
        <v>4.09018305582513</v>
      </c>
      <c r="AZ23" s="12">
        <v>16.360732223300499</v>
      </c>
      <c r="BA23" s="103"/>
      <c r="BB23" s="104"/>
      <c r="BC23" s="104">
        <f t="shared" si="20"/>
        <v>6.0102405859548029E-3</v>
      </c>
      <c r="BD23" s="104">
        <f t="shared" si="21"/>
        <v>0.44478517387975663</v>
      </c>
      <c r="BE23" s="104">
        <f t="shared" si="22"/>
        <v>13.283300359546233</v>
      </c>
      <c r="BF23" s="105">
        <f t="shared" si="23"/>
        <v>79.139360643366985</v>
      </c>
    </row>
    <row r="24" spans="1:61" x14ac:dyDescent="0.25">
      <c r="BD24" s="1"/>
    </row>
    <row r="25" spans="1:61" x14ac:dyDescent="0.25">
      <c r="BD25" s="1"/>
    </row>
    <row r="29" spans="1:61" x14ac:dyDescent="0.25">
      <c r="BD29" s="1"/>
      <c r="BE29" s="1"/>
      <c r="BF29" s="9"/>
      <c r="BG29" s="9"/>
      <c r="BH29" s="9"/>
      <c r="BI29" s="9"/>
    </row>
    <row r="30" spans="1:61" x14ac:dyDescent="0.25">
      <c r="BD30" s="9"/>
      <c r="BE30" s="9"/>
      <c r="BF30" s="9"/>
      <c r="BG30" s="9"/>
      <c r="BH30" s="9"/>
      <c r="BI30" s="9"/>
    </row>
    <row r="32" spans="1:61" x14ac:dyDescent="0.25">
      <c r="BE32" s="1"/>
    </row>
    <row r="33" spans="57:57" x14ac:dyDescent="0.25">
      <c r="BE33" s="1"/>
    </row>
    <row r="36" spans="57:57" x14ac:dyDescent="0.25">
      <c r="BE36" s="1"/>
    </row>
    <row r="37" spans="57:57" x14ac:dyDescent="0.25">
      <c r="BE37" s="1"/>
    </row>
  </sheetData>
  <mergeCells count="4">
    <mergeCell ref="T1:Y1"/>
    <mergeCell ref="AC1:AH1"/>
    <mergeCell ref="AL1:AQ1"/>
    <mergeCell ref="BA1:B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181C-2EBB-4DC8-BA1A-9D69E59437E1}">
  <dimension ref="A1:AM73"/>
  <sheetViews>
    <sheetView topLeftCell="A55" workbookViewId="0">
      <selection activeCell="C75" sqref="C75:N75"/>
    </sheetView>
  </sheetViews>
  <sheetFormatPr defaultRowHeight="15" x14ac:dyDescent="0.25"/>
  <cols>
    <col min="1" max="1" width="10" customWidth="1"/>
    <col min="2" max="2" width="15.28515625" customWidth="1"/>
    <col min="3" max="3" width="12.85546875" customWidth="1"/>
    <col min="4" max="4" width="13" customWidth="1"/>
    <col min="5" max="5" width="11.28515625" customWidth="1"/>
    <col min="6" max="6" width="12.5703125" customWidth="1"/>
    <col min="7" max="7" width="12" customWidth="1"/>
    <col min="13" max="13" width="11.7109375" customWidth="1"/>
    <col min="14" max="14" width="11.140625" customWidth="1"/>
    <col min="15" max="15" width="11" customWidth="1"/>
    <col min="29" max="29" width="11.85546875" customWidth="1"/>
    <col min="30" max="30" width="11.5703125" customWidth="1"/>
    <col min="32" max="32" width="15.85546875" customWidth="1"/>
    <col min="33" max="33" width="14.140625" customWidth="1"/>
  </cols>
  <sheetData>
    <row r="1" spans="1:39" x14ac:dyDescent="0.25">
      <c r="T1" s="109" t="s">
        <v>125</v>
      </c>
      <c r="U1" s="109"/>
      <c r="V1" s="109"/>
      <c r="W1" s="109"/>
      <c r="X1" s="109"/>
      <c r="Y1" s="109"/>
      <c r="Z1" s="109" t="s">
        <v>129</v>
      </c>
      <c r="AA1" s="109"/>
      <c r="AB1" s="109"/>
      <c r="AC1" s="109"/>
      <c r="AD1" s="109"/>
      <c r="AE1" s="109"/>
      <c r="AH1" s="109" t="s">
        <v>132</v>
      </c>
      <c r="AI1" s="109"/>
      <c r="AJ1" s="109"/>
      <c r="AK1" s="109"/>
      <c r="AL1" s="109"/>
      <c r="AM1" s="109"/>
    </row>
    <row r="2" spans="1:39" x14ac:dyDescent="0.25">
      <c r="A2" s="71" t="s">
        <v>0</v>
      </c>
      <c r="B2" s="72" t="s">
        <v>120</v>
      </c>
      <c r="C2" s="72" t="s">
        <v>119</v>
      </c>
      <c r="D2" s="72" t="s">
        <v>121</v>
      </c>
      <c r="E2" s="72" t="s">
        <v>1</v>
      </c>
      <c r="F2" s="72" t="s">
        <v>2</v>
      </c>
      <c r="G2" s="72" t="s">
        <v>3</v>
      </c>
      <c r="H2" s="71" t="s">
        <v>4</v>
      </c>
      <c r="I2" s="72" t="s">
        <v>5</v>
      </c>
      <c r="J2" s="72" t="s">
        <v>6</v>
      </c>
      <c r="K2" s="72" t="s">
        <v>7</v>
      </c>
      <c r="L2" s="72" t="s">
        <v>8</v>
      </c>
      <c r="M2" s="72" t="s">
        <v>9</v>
      </c>
      <c r="N2" s="71" t="s">
        <v>59</v>
      </c>
      <c r="O2" s="72" t="s">
        <v>60</v>
      </c>
      <c r="P2" s="72" t="s">
        <v>61</v>
      </c>
      <c r="Q2" s="72" t="s">
        <v>62</v>
      </c>
      <c r="R2" s="72" t="s">
        <v>63</v>
      </c>
      <c r="S2" s="73" t="s">
        <v>64</v>
      </c>
      <c r="T2" s="71" t="s">
        <v>23</v>
      </c>
      <c r="U2" s="72" t="s">
        <v>22</v>
      </c>
      <c r="V2" s="72" t="s">
        <v>21</v>
      </c>
      <c r="W2" s="72" t="s">
        <v>20</v>
      </c>
      <c r="X2" s="72" t="s">
        <v>19</v>
      </c>
      <c r="Y2" s="73" t="s">
        <v>18</v>
      </c>
      <c r="Z2" s="71" t="s">
        <v>23</v>
      </c>
      <c r="AA2" s="72" t="s">
        <v>22</v>
      </c>
      <c r="AB2" s="72" t="s">
        <v>21</v>
      </c>
      <c r="AC2" s="72" t="s">
        <v>20</v>
      </c>
      <c r="AD2" s="72" t="s">
        <v>19</v>
      </c>
      <c r="AE2" s="73" t="s">
        <v>18</v>
      </c>
      <c r="AF2" s="5" t="s">
        <v>130</v>
      </c>
      <c r="AG2" s="94" t="s">
        <v>131</v>
      </c>
      <c r="AH2" s="72" t="s">
        <v>23</v>
      </c>
      <c r="AI2" s="72" t="s">
        <v>22</v>
      </c>
      <c r="AJ2" s="72" t="s">
        <v>21</v>
      </c>
      <c r="AK2" s="72" t="s">
        <v>20</v>
      </c>
      <c r="AL2" s="72" t="s">
        <v>19</v>
      </c>
      <c r="AM2" s="73" t="s">
        <v>18</v>
      </c>
    </row>
    <row r="3" spans="1:39" x14ac:dyDescent="0.25">
      <c r="A3" s="74">
        <v>8</v>
      </c>
      <c r="B3" s="2">
        <v>128</v>
      </c>
      <c r="C3" s="2">
        <v>160</v>
      </c>
      <c r="D3" s="2">
        <v>10</v>
      </c>
      <c r="E3" s="67">
        <v>0.161944718485239</v>
      </c>
      <c r="F3" s="67">
        <v>3.2526116479269097E-2</v>
      </c>
      <c r="G3" s="67">
        <v>7.7989329746457701E-3</v>
      </c>
      <c r="H3" s="70">
        <v>10</v>
      </c>
      <c r="I3" s="8">
        <v>31</v>
      </c>
      <c r="J3" s="8">
        <v>89</v>
      </c>
      <c r="K3" s="8">
        <v>230</v>
      </c>
      <c r="L3" s="8">
        <v>509</v>
      </c>
      <c r="M3" s="127">
        <v>1493</v>
      </c>
      <c r="N3" s="56">
        <f>H3/$D3</f>
        <v>1</v>
      </c>
      <c r="O3" s="128">
        <f t="shared" ref="O3:S18" si="0">I3/$D3</f>
        <v>3.1</v>
      </c>
      <c r="P3" s="128">
        <f t="shared" si="0"/>
        <v>8.9</v>
      </c>
      <c r="Q3" s="128">
        <f t="shared" si="0"/>
        <v>23</v>
      </c>
      <c r="R3" s="128">
        <f t="shared" si="0"/>
        <v>50.9</v>
      </c>
      <c r="S3" s="61">
        <f t="shared" si="0"/>
        <v>149.30000000000001</v>
      </c>
      <c r="T3" s="56">
        <f>N3*$E3</f>
        <v>0.161944718485239</v>
      </c>
      <c r="U3" s="128">
        <f t="shared" ref="U3:Y18" si="1">O3*$E3</f>
        <v>0.50202862730424092</v>
      </c>
      <c r="V3" s="128">
        <f t="shared" si="1"/>
        <v>1.4413079945186271</v>
      </c>
      <c r="W3" s="128">
        <f>Q3*$E3</f>
        <v>3.7247285251604971</v>
      </c>
      <c r="X3" s="128">
        <f t="shared" si="1"/>
        <v>8.2429861708986643</v>
      </c>
      <c r="Y3" s="61">
        <f t="shared" si="1"/>
        <v>24.178346469846186</v>
      </c>
      <c r="Z3" s="93">
        <f>N3*$G3</f>
        <v>7.7989329746457701E-3</v>
      </c>
      <c r="AA3" s="129">
        <f t="shared" ref="AA3:AE3" si="2">O3*$G3</f>
        <v>2.417669222140189E-2</v>
      </c>
      <c r="AB3" s="129">
        <f t="shared" si="2"/>
        <v>6.9410503474347351E-2</v>
      </c>
      <c r="AC3" s="129">
        <f t="shared" si="2"/>
        <v>0.17937545841685271</v>
      </c>
      <c r="AD3" s="129">
        <f t="shared" si="2"/>
        <v>0.39696568840946966</v>
      </c>
      <c r="AE3" s="94">
        <f t="shared" si="2"/>
        <v>1.1643806931146135</v>
      </c>
      <c r="AF3" s="86">
        <f>E3*G3</f>
        <v>1.2629960050642569E-3</v>
      </c>
      <c r="AG3" s="102">
        <f t="shared" ref="AG3:AG23" si="3">E3*F3</f>
        <v>5.2674327766533274E-3</v>
      </c>
      <c r="AH3" s="129">
        <f>N3*$F3</f>
        <v>3.2526116479269097E-2</v>
      </c>
      <c r="AI3" s="129">
        <f t="shared" ref="AI3:AM18" si="4">O3*$F3</f>
        <v>0.10083096108573421</v>
      </c>
      <c r="AJ3" s="129">
        <f t="shared" si="4"/>
        <v>0.289482436665495</v>
      </c>
      <c r="AK3" s="129">
        <f t="shared" si="4"/>
        <v>0.74810067902318922</v>
      </c>
      <c r="AL3" s="129">
        <f t="shared" si="4"/>
        <v>1.6555793287947971</v>
      </c>
      <c r="AM3" s="94">
        <f t="shared" si="4"/>
        <v>4.856149190354877</v>
      </c>
    </row>
    <row r="4" spans="1:39" x14ac:dyDescent="0.25">
      <c r="A4" s="74">
        <v>168</v>
      </c>
      <c r="B4" s="2">
        <v>128</v>
      </c>
      <c r="C4" s="2">
        <v>196</v>
      </c>
      <c r="D4" s="2">
        <v>10</v>
      </c>
      <c r="E4" s="67">
        <v>8.9416636847151898E-2</v>
      </c>
      <c r="F4" s="67">
        <v>2.1060905578879598E-2</v>
      </c>
      <c r="G4" s="67">
        <v>9.6694169987568603E-3</v>
      </c>
      <c r="H4" s="70">
        <v>4</v>
      </c>
      <c r="I4" s="8">
        <v>16</v>
      </c>
      <c r="J4" s="8">
        <v>110</v>
      </c>
      <c r="K4" s="8">
        <v>255</v>
      </c>
      <c r="L4" s="8">
        <v>489</v>
      </c>
      <c r="M4" s="127">
        <v>1351</v>
      </c>
      <c r="N4" s="56">
        <f t="shared" ref="N4:S24" si="5">H4/$D4</f>
        <v>0.4</v>
      </c>
      <c r="O4" s="128">
        <f t="shared" si="0"/>
        <v>1.6</v>
      </c>
      <c r="P4" s="128">
        <f t="shared" si="0"/>
        <v>11</v>
      </c>
      <c r="Q4" s="128">
        <f t="shared" si="0"/>
        <v>25.5</v>
      </c>
      <c r="R4" s="128">
        <f t="shared" si="0"/>
        <v>48.9</v>
      </c>
      <c r="S4" s="61">
        <f t="shared" si="0"/>
        <v>135.1</v>
      </c>
      <c r="T4" s="56">
        <f t="shared" ref="T4:Y23" si="6">N4*$E4</f>
        <v>3.5766654738860759E-2</v>
      </c>
      <c r="U4" s="128">
        <f t="shared" si="1"/>
        <v>0.14306661895544304</v>
      </c>
      <c r="V4" s="128">
        <f t="shared" si="1"/>
        <v>0.98358300531867093</v>
      </c>
      <c r="W4" s="128">
        <f t="shared" si="1"/>
        <v>2.2801242396023733</v>
      </c>
      <c r="X4" s="128">
        <f t="shared" si="1"/>
        <v>4.3724735418257277</v>
      </c>
      <c r="Y4" s="61">
        <f t="shared" si="1"/>
        <v>12.080187638050221</v>
      </c>
      <c r="Z4" s="93">
        <f t="shared" ref="Z4:Z23" si="7">N4*$G4</f>
        <v>3.8677667995027443E-3</v>
      </c>
      <c r="AA4" s="129">
        <f t="shared" ref="AA4:AA23" si="8">O4*$G4</f>
        <v>1.5471067198010977E-2</v>
      </c>
      <c r="AB4" s="129">
        <f t="shared" ref="AB4:AB23" si="9">P4*$G4</f>
        <v>0.10636358698632546</v>
      </c>
      <c r="AC4" s="129">
        <f t="shared" ref="AC4:AC23" si="10">Q4*$G4</f>
        <v>0.24657013346829995</v>
      </c>
      <c r="AD4" s="129">
        <f t="shared" ref="AD4:AD23" si="11">R4*$G4</f>
        <v>0.47283449123921045</v>
      </c>
      <c r="AE4" s="94">
        <f t="shared" ref="AE4:AE23" si="12">S4*$G4</f>
        <v>1.3063382365320517</v>
      </c>
      <c r="AF4" s="86">
        <f t="shared" ref="AF4:AF24" si="13">E4*G4</f>
        <v>8.6460674830151957E-4</v>
      </c>
      <c r="AG4" s="102">
        <f t="shared" si="3"/>
        <v>1.8831953458188324E-3</v>
      </c>
      <c r="AH4" s="129">
        <f t="shared" ref="AH4:AH23" si="14">N4*$F4</f>
        <v>8.4243622315518397E-3</v>
      </c>
      <c r="AI4" s="129">
        <f t="shared" si="4"/>
        <v>3.3697448926207359E-2</v>
      </c>
      <c r="AJ4" s="129">
        <f t="shared" si="4"/>
        <v>0.23166996136767559</v>
      </c>
      <c r="AK4" s="129">
        <f t="shared" si="4"/>
        <v>0.53705309226142972</v>
      </c>
      <c r="AL4" s="129">
        <f t="shared" si="4"/>
        <v>1.0298782828072124</v>
      </c>
      <c r="AM4" s="94">
        <f t="shared" si="4"/>
        <v>2.8453283437066337</v>
      </c>
    </row>
    <row r="5" spans="1:39" x14ac:dyDescent="0.25">
      <c r="A5" s="74">
        <v>22</v>
      </c>
      <c r="B5" s="2">
        <v>90</v>
      </c>
      <c r="C5" s="2"/>
      <c r="D5" s="2">
        <v>10</v>
      </c>
      <c r="E5" s="67">
        <v>6.2688332148029005E-2</v>
      </c>
      <c r="F5" s="67">
        <v>1.8357479777712401E-2</v>
      </c>
      <c r="G5" s="67">
        <v>5.3392743586913897E-3</v>
      </c>
      <c r="H5" s="70">
        <v>3</v>
      </c>
      <c r="I5" s="8">
        <v>21</v>
      </c>
      <c r="J5" s="8">
        <v>91</v>
      </c>
      <c r="K5" s="8">
        <v>212</v>
      </c>
      <c r="L5" s="8">
        <v>660</v>
      </c>
      <c r="M5" s="127">
        <v>1581</v>
      </c>
      <c r="N5" s="56">
        <f t="shared" si="5"/>
        <v>0.3</v>
      </c>
      <c r="O5" s="128">
        <f t="shared" si="0"/>
        <v>2.1</v>
      </c>
      <c r="P5" s="128">
        <f t="shared" si="0"/>
        <v>9.1</v>
      </c>
      <c r="Q5" s="128">
        <f t="shared" si="0"/>
        <v>21.2</v>
      </c>
      <c r="R5" s="128">
        <f t="shared" si="0"/>
        <v>66</v>
      </c>
      <c r="S5" s="61">
        <f t="shared" si="0"/>
        <v>158.1</v>
      </c>
      <c r="T5" s="56">
        <f>N5*$E5</f>
        <v>1.8806499644408701E-2</v>
      </c>
      <c r="U5" s="128">
        <f t="shared" si="1"/>
        <v>0.13164549751086091</v>
      </c>
      <c r="V5" s="128">
        <f t="shared" si="1"/>
        <v>0.57046382254706396</v>
      </c>
      <c r="W5" s="128">
        <f t="shared" si="1"/>
        <v>1.3289926415382149</v>
      </c>
      <c r="X5" s="128">
        <f t="shared" si="1"/>
        <v>4.1374299217699146</v>
      </c>
      <c r="Y5" s="61">
        <f t="shared" si="1"/>
        <v>9.9110253126033854</v>
      </c>
      <c r="Z5" s="93">
        <f t="shared" si="7"/>
        <v>1.6017823076074169E-3</v>
      </c>
      <c r="AA5" s="129">
        <f t="shared" si="8"/>
        <v>1.1212476153251919E-2</v>
      </c>
      <c r="AB5" s="129">
        <f t="shared" si="9"/>
        <v>4.8587396664091648E-2</v>
      </c>
      <c r="AC5" s="129">
        <f t="shared" si="10"/>
        <v>0.11319261640425746</v>
      </c>
      <c r="AD5" s="129">
        <f t="shared" si="11"/>
        <v>0.35239210767363172</v>
      </c>
      <c r="AE5" s="94">
        <f t="shared" si="12"/>
        <v>0.84413927610910866</v>
      </c>
      <c r="AF5" s="86">
        <f t="shared" si="13"/>
        <v>3.3471020442710041E-4</v>
      </c>
      <c r="AG5" s="102">
        <f t="shared" si="3"/>
        <v>1.1507997897059607E-3</v>
      </c>
      <c r="AH5" s="129">
        <f t="shared" si="14"/>
        <v>5.5072439333137199E-3</v>
      </c>
      <c r="AI5" s="129">
        <f t="shared" si="4"/>
        <v>3.8550707533196046E-2</v>
      </c>
      <c r="AJ5" s="129">
        <f t="shared" si="4"/>
        <v>0.16705306597718284</v>
      </c>
      <c r="AK5" s="129">
        <f t="shared" si="4"/>
        <v>0.38917857128750288</v>
      </c>
      <c r="AL5" s="129">
        <f t="shared" si="4"/>
        <v>1.2115936653290185</v>
      </c>
      <c r="AM5" s="94">
        <f t="shared" si="4"/>
        <v>2.9023175528563305</v>
      </c>
    </row>
    <row r="6" spans="1:39" x14ac:dyDescent="0.25">
      <c r="A6" s="74">
        <v>152</v>
      </c>
      <c r="B6" s="2">
        <v>90</v>
      </c>
      <c r="C6" s="2">
        <v>91.54</v>
      </c>
      <c r="D6" s="2">
        <v>10</v>
      </c>
      <c r="E6" s="67">
        <v>0.10293183462706799</v>
      </c>
      <c r="F6" s="67">
        <v>2.3869849132825499E-2</v>
      </c>
      <c r="G6" s="67">
        <v>8.4624680045280194E-3</v>
      </c>
      <c r="H6" s="70">
        <v>9</v>
      </c>
      <c r="I6" s="8">
        <v>32</v>
      </c>
      <c r="J6" s="8">
        <v>75</v>
      </c>
      <c r="K6" s="8">
        <v>233</v>
      </c>
      <c r="L6" s="8">
        <v>700</v>
      </c>
      <c r="M6" s="127">
        <v>1639</v>
      </c>
      <c r="N6" s="56">
        <f t="shared" si="5"/>
        <v>0.9</v>
      </c>
      <c r="O6" s="128">
        <f t="shared" si="0"/>
        <v>3.2</v>
      </c>
      <c r="P6" s="128">
        <f t="shared" si="0"/>
        <v>7.5</v>
      </c>
      <c r="Q6" s="128">
        <f t="shared" si="0"/>
        <v>23.3</v>
      </c>
      <c r="R6" s="128">
        <f t="shared" si="0"/>
        <v>70</v>
      </c>
      <c r="S6" s="61">
        <f t="shared" si="0"/>
        <v>163.9</v>
      </c>
      <c r="T6" s="56">
        <f>N6*$E6</f>
        <v>9.2638651164361194E-2</v>
      </c>
      <c r="U6" s="128">
        <f t="shared" si="1"/>
        <v>0.32938187080661763</v>
      </c>
      <c r="V6" s="128">
        <f t="shared" si="1"/>
        <v>0.77198875970300995</v>
      </c>
      <c r="W6" s="128">
        <f t="shared" si="1"/>
        <v>2.3983117468106845</v>
      </c>
      <c r="X6" s="128">
        <f t="shared" si="1"/>
        <v>7.2052284238947593</v>
      </c>
      <c r="Y6" s="61">
        <f t="shared" si="1"/>
        <v>16.870527695376445</v>
      </c>
      <c r="Z6" s="93">
        <f t="shared" si="7"/>
        <v>7.6162212040752179E-3</v>
      </c>
      <c r="AA6" s="129">
        <f t="shared" si="8"/>
        <v>2.7079897614489663E-2</v>
      </c>
      <c r="AB6" s="129">
        <f t="shared" si="9"/>
        <v>6.3468510033960146E-2</v>
      </c>
      <c r="AC6" s="129">
        <f t="shared" si="10"/>
        <v>0.19717550450550286</v>
      </c>
      <c r="AD6" s="129">
        <f t="shared" si="11"/>
        <v>0.5923727603169614</v>
      </c>
      <c r="AE6" s="94">
        <f t="shared" si="12"/>
        <v>1.3869985059421424</v>
      </c>
      <c r="AF6" s="86">
        <f t="shared" si="13"/>
        <v>8.7105735717893222E-4</v>
      </c>
      <c r="AG6" s="102">
        <f t="shared" si="3"/>
        <v>2.4569673635130565E-3</v>
      </c>
      <c r="AH6" s="129">
        <f t="shared" si="14"/>
        <v>2.1482864219542951E-2</v>
      </c>
      <c r="AI6" s="129">
        <f t="shared" si="4"/>
        <v>7.6383517225041608E-2</v>
      </c>
      <c r="AJ6" s="129">
        <f t="shared" si="4"/>
        <v>0.17902386849619123</v>
      </c>
      <c r="AK6" s="129">
        <f t="shared" si="4"/>
        <v>0.55616748479483413</v>
      </c>
      <c r="AL6" s="129">
        <f t="shared" si="4"/>
        <v>1.6708894392977849</v>
      </c>
      <c r="AM6" s="94">
        <f t="shared" si="4"/>
        <v>3.9122682728700995</v>
      </c>
    </row>
    <row r="7" spans="1:39" x14ac:dyDescent="0.25">
      <c r="A7" s="74">
        <v>101</v>
      </c>
      <c r="B7" s="2">
        <v>64</v>
      </c>
      <c r="C7" s="2">
        <v>108.92</v>
      </c>
      <c r="D7" s="2">
        <v>6</v>
      </c>
      <c r="E7" s="67">
        <v>3.00794247374499E-2</v>
      </c>
      <c r="F7" s="67">
        <v>1.50358559887077E-2</v>
      </c>
      <c r="G7" s="67">
        <v>9.2196022769056602E-3</v>
      </c>
      <c r="H7" s="70">
        <v>2</v>
      </c>
      <c r="I7" s="8">
        <v>9</v>
      </c>
      <c r="J7" s="8">
        <v>49</v>
      </c>
      <c r="K7" s="8">
        <v>132</v>
      </c>
      <c r="L7" s="8">
        <v>544</v>
      </c>
      <c r="M7" s="127">
        <v>1041</v>
      </c>
      <c r="N7" s="56">
        <f t="shared" si="5"/>
        <v>0.33333333333333331</v>
      </c>
      <c r="O7" s="128">
        <f t="shared" si="0"/>
        <v>1.5</v>
      </c>
      <c r="P7" s="128">
        <f t="shared" si="0"/>
        <v>8.1666666666666661</v>
      </c>
      <c r="Q7" s="128">
        <f t="shared" si="0"/>
        <v>22</v>
      </c>
      <c r="R7" s="128">
        <f t="shared" si="0"/>
        <v>90.666666666666671</v>
      </c>
      <c r="S7" s="61">
        <f t="shared" si="0"/>
        <v>173.5</v>
      </c>
      <c r="T7" s="56">
        <f t="shared" si="6"/>
        <v>1.0026474912483299E-2</v>
      </c>
      <c r="U7" s="128">
        <f t="shared" si="1"/>
        <v>4.511913710617485E-2</v>
      </c>
      <c r="V7" s="128">
        <f t="shared" si="1"/>
        <v>0.24564863535584083</v>
      </c>
      <c r="W7" s="128">
        <f t="shared" si="1"/>
        <v>0.6617473442238978</v>
      </c>
      <c r="X7" s="128">
        <f t="shared" si="1"/>
        <v>2.7272011761954578</v>
      </c>
      <c r="Y7" s="61">
        <f t="shared" si="1"/>
        <v>5.218780191947558</v>
      </c>
      <c r="Z7" s="93">
        <f t="shared" si="7"/>
        <v>3.0732007589685533E-3</v>
      </c>
      <c r="AA7" s="129">
        <f t="shared" si="8"/>
        <v>1.3829403415358491E-2</v>
      </c>
      <c r="AB7" s="129">
        <f t="shared" si="9"/>
        <v>7.5293418594729558E-2</v>
      </c>
      <c r="AC7" s="129">
        <f t="shared" si="10"/>
        <v>0.20283125009192451</v>
      </c>
      <c r="AD7" s="129">
        <f t="shared" si="11"/>
        <v>0.83591060643944659</v>
      </c>
      <c r="AE7" s="94">
        <f t="shared" si="12"/>
        <v>1.599600995043132</v>
      </c>
      <c r="AF7" s="86">
        <f t="shared" si="13"/>
        <v>2.7732033279740553E-4</v>
      </c>
      <c r="AG7" s="102">
        <f t="shared" si="3"/>
        <v>4.5226989857546863E-4</v>
      </c>
      <c r="AH7" s="129">
        <f t="shared" si="14"/>
        <v>5.0119519962358999E-3</v>
      </c>
      <c r="AI7" s="129">
        <f t="shared" si="4"/>
        <v>2.255378398306155E-2</v>
      </c>
      <c r="AJ7" s="129">
        <f t="shared" si="4"/>
        <v>0.12279282390777954</v>
      </c>
      <c r="AK7" s="129">
        <f t="shared" si="4"/>
        <v>0.33078883175156937</v>
      </c>
      <c r="AL7" s="129">
        <f t="shared" si="4"/>
        <v>1.3632509429761648</v>
      </c>
      <c r="AM7" s="94">
        <f t="shared" si="4"/>
        <v>2.6087210140407859</v>
      </c>
    </row>
    <row r="8" spans="1:39" x14ac:dyDescent="0.25">
      <c r="A8" s="74">
        <v>24</v>
      </c>
      <c r="B8" s="2">
        <v>64</v>
      </c>
      <c r="C8" s="2">
        <v>87.08</v>
      </c>
      <c r="D8" s="2">
        <v>10</v>
      </c>
      <c r="E8" s="67">
        <v>0.10538288704710901</v>
      </c>
      <c r="F8" s="67">
        <v>1.6430974908246999E-2</v>
      </c>
      <c r="G8" s="67">
        <v>6.0105568763227698E-3</v>
      </c>
      <c r="H8" s="70">
        <v>5</v>
      </c>
      <c r="I8" s="8">
        <v>18</v>
      </c>
      <c r="J8" s="8">
        <v>43</v>
      </c>
      <c r="K8" s="8">
        <v>139</v>
      </c>
      <c r="L8" s="8">
        <v>586</v>
      </c>
      <c r="M8" s="127">
        <v>1730</v>
      </c>
      <c r="N8" s="56">
        <f t="shared" si="5"/>
        <v>0.5</v>
      </c>
      <c r="O8" s="128">
        <f t="shared" si="0"/>
        <v>1.8</v>
      </c>
      <c r="P8" s="128">
        <f t="shared" si="0"/>
        <v>4.3</v>
      </c>
      <c r="Q8" s="128">
        <f t="shared" si="0"/>
        <v>13.9</v>
      </c>
      <c r="R8" s="128">
        <f t="shared" si="0"/>
        <v>58.6</v>
      </c>
      <c r="S8" s="61">
        <f t="shared" si="0"/>
        <v>173</v>
      </c>
      <c r="T8" s="56">
        <f t="shared" si="6"/>
        <v>5.2691443523554503E-2</v>
      </c>
      <c r="U8" s="128">
        <f t="shared" si="1"/>
        <v>0.18968919668479622</v>
      </c>
      <c r="V8" s="128">
        <f t="shared" si="1"/>
        <v>0.45314641430256869</v>
      </c>
      <c r="W8" s="128">
        <f t="shared" si="1"/>
        <v>1.4648221299548152</v>
      </c>
      <c r="X8" s="128">
        <f t="shared" si="1"/>
        <v>6.1754371809605875</v>
      </c>
      <c r="Y8" s="61">
        <f t="shared" si="1"/>
        <v>18.231239459149858</v>
      </c>
      <c r="Z8" s="93">
        <f t="shared" si="7"/>
        <v>3.0052784381613849E-3</v>
      </c>
      <c r="AA8" s="129">
        <f t="shared" si="8"/>
        <v>1.0819002377380985E-2</v>
      </c>
      <c r="AB8" s="129">
        <f t="shared" si="9"/>
        <v>2.5845394568187911E-2</v>
      </c>
      <c r="AC8" s="129">
        <f t="shared" si="10"/>
        <v>8.35467405808865E-2</v>
      </c>
      <c r="AD8" s="129">
        <f t="shared" si="11"/>
        <v>0.35221863295251432</v>
      </c>
      <c r="AE8" s="94">
        <f t="shared" si="12"/>
        <v>1.0398263396038392</v>
      </c>
      <c r="AF8" s="86">
        <f t="shared" si="13"/>
        <v>6.3340983638774675E-4</v>
      </c>
      <c r="AG8" s="102">
        <f t="shared" si="3"/>
        <v>1.7315435728296757E-3</v>
      </c>
      <c r="AH8" s="129">
        <f t="shared" si="14"/>
        <v>8.2154874541234997E-3</v>
      </c>
      <c r="AI8" s="129">
        <f t="shared" si="4"/>
        <v>2.9575754834844599E-2</v>
      </c>
      <c r="AJ8" s="129">
        <f t="shared" si="4"/>
        <v>7.0653192105462101E-2</v>
      </c>
      <c r="AK8" s="129">
        <f t="shared" si="4"/>
        <v>0.22839055122463331</v>
      </c>
      <c r="AL8" s="129">
        <f t="shared" si="4"/>
        <v>0.96285512962327424</v>
      </c>
      <c r="AM8" s="94">
        <f t="shared" si="4"/>
        <v>2.8425586591267309</v>
      </c>
    </row>
    <row r="9" spans="1:39" x14ac:dyDescent="0.25">
      <c r="A9" s="74">
        <v>159</v>
      </c>
      <c r="B9" s="2">
        <v>45</v>
      </c>
      <c r="C9" s="2">
        <v>54.11</v>
      </c>
      <c r="D9" s="2">
        <v>15</v>
      </c>
      <c r="E9" s="67">
        <v>1.09573532088619E-2</v>
      </c>
      <c r="F9" s="67">
        <v>4.9905746416529098E-3</v>
      </c>
      <c r="G9" s="67">
        <v>4.5767283517164602E-3</v>
      </c>
      <c r="H9" s="70">
        <v>0</v>
      </c>
      <c r="I9" s="8">
        <v>0</v>
      </c>
      <c r="J9" s="8">
        <v>11</v>
      </c>
      <c r="K9" s="8">
        <v>72</v>
      </c>
      <c r="L9" s="8">
        <v>777</v>
      </c>
      <c r="M9" s="127">
        <v>2820</v>
      </c>
      <c r="N9" s="56">
        <f t="shared" si="5"/>
        <v>0</v>
      </c>
      <c r="O9" s="128">
        <f t="shared" si="0"/>
        <v>0</v>
      </c>
      <c r="P9" s="128">
        <f t="shared" si="0"/>
        <v>0.73333333333333328</v>
      </c>
      <c r="Q9" s="128">
        <f t="shared" si="0"/>
        <v>4.8</v>
      </c>
      <c r="R9" s="128">
        <f t="shared" si="0"/>
        <v>51.8</v>
      </c>
      <c r="S9" s="61">
        <f t="shared" si="0"/>
        <v>188</v>
      </c>
      <c r="T9" s="56"/>
      <c r="U9" s="128"/>
      <c r="V9" s="128">
        <f t="shared" si="1"/>
        <v>8.0353923531653916E-3</v>
      </c>
      <c r="W9" s="128">
        <f t="shared" si="1"/>
        <v>5.2595295402537115E-2</v>
      </c>
      <c r="X9" s="128">
        <f t="shared" si="1"/>
        <v>0.56759089621904635</v>
      </c>
      <c r="Y9" s="61">
        <f t="shared" si="1"/>
        <v>2.0599824032660372</v>
      </c>
      <c r="Z9" s="93">
        <f t="shared" si="7"/>
        <v>0</v>
      </c>
      <c r="AA9" s="129">
        <f t="shared" si="8"/>
        <v>0</v>
      </c>
      <c r="AB9" s="129">
        <f t="shared" si="9"/>
        <v>3.3562674579254038E-3</v>
      </c>
      <c r="AC9" s="129">
        <f t="shared" si="10"/>
        <v>2.1968296088239008E-2</v>
      </c>
      <c r="AD9" s="129">
        <f t="shared" si="11"/>
        <v>0.23707452861891262</v>
      </c>
      <c r="AE9" s="94">
        <f t="shared" si="12"/>
        <v>0.8604249301226945</v>
      </c>
      <c r="AF9" s="86">
        <f t="shared" si="13"/>
        <v>5.0148829090769585E-5</v>
      </c>
      <c r="AG9" s="102">
        <f t="shared" si="3"/>
        <v>5.4683489063780337E-5</v>
      </c>
      <c r="AH9" s="129">
        <f t="shared" si="14"/>
        <v>0</v>
      </c>
      <c r="AI9" s="129">
        <f t="shared" si="4"/>
        <v>0</v>
      </c>
      <c r="AJ9" s="129">
        <f t="shared" si="4"/>
        <v>3.6597547372121337E-3</v>
      </c>
      <c r="AK9" s="129">
        <f t="shared" si="4"/>
        <v>2.3954758279933968E-2</v>
      </c>
      <c r="AL9" s="129">
        <f t="shared" si="4"/>
        <v>0.25851176643762069</v>
      </c>
      <c r="AM9" s="94">
        <f t="shared" si="4"/>
        <v>0.93822803263074706</v>
      </c>
    </row>
    <row r="10" spans="1:39" x14ac:dyDescent="0.25">
      <c r="A10" s="74">
        <v>35</v>
      </c>
      <c r="B10" s="2">
        <v>45</v>
      </c>
      <c r="C10" s="2">
        <v>64.849999999999994</v>
      </c>
      <c r="D10" s="2">
        <v>6</v>
      </c>
      <c r="E10" s="67">
        <v>2.2279504588702301E-2</v>
      </c>
      <c r="F10" s="67">
        <v>9.4453501582737708E-3</v>
      </c>
      <c r="G10" s="67">
        <v>6.3512880877902899E-3</v>
      </c>
      <c r="H10" s="70">
        <v>0</v>
      </c>
      <c r="I10" s="8">
        <v>6</v>
      </c>
      <c r="J10" s="8">
        <v>24</v>
      </c>
      <c r="K10" s="8">
        <v>103</v>
      </c>
      <c r="L10" s="8">
        <v>418</v>
      </c>
      <c r="M10" s="127">
        <v>1139</v>
      </c>
      <c r="N10" s="56">
        <f t="shared" si="5"/>
        <v>0</v>
      </c>
      <c r="O10" s="128">
        <f t="shared" si="0"/>
        <v>1</v>
      </c>
      <c r="P10" s="128">
        <f t="shared" si="0"/>
        <v>4</v>
      </c>
      <c r="Q10" s="128">
        <f t="shared" si="0"/>
        <v>17.166666666666668</v>
      </c>
      <c r="R10" s="128">
        <f t="shared" si="0"/>
        <v>69.666666666666671</v>
      </c>
      <c r="S10" s="61">
        <f t="shared" si="0"/>
        <v>189.83333333333334</v>
      </c>
      <c r="T10" s="56"/>
      <c r="U10" s="128">
        <f t="shared" si="1"/>
        <v>2.2279504588702301E-2</v>
      </c>
      <c r="V10" s="128">
        <f t="shared" si="1"/>
        <v>8.9118018354809203E-2</v>
      </c>
      <c r="W10" s="128">
        <f t="shared" si="1"/>
        <v>0.38246482877272286</v>
      </c>
      <c r="X10" s="128">
        <f t="shared" si="1"/>
        <v>1.5521388196795938</v>
      </c>
      <c r="Y10" s="61">
        <f t="shared" si="1"/>
        <v>4.2293926210886532</v>
      </c>
      <c r="Z10" s="93">
        <f t="shared" si="7"/>
        <v>0</v>
      </c>
      <c r="AA10" s="129">
        <f t="shared" si="8"/>
        <v>6.3512880877902899E-3</v>
      </c>
      <c r="AB10" s="129">
        <f t="shared" si="9"/>
        <v>2.5405152351161159E-2</v>
      </c>
      <c r="AC10" s="129">
        <f t="shared" si="10"/>
        <v>0.10903044550706666</v>
      </c>
      <c r="AD10" s="129">
        <f t="shared" si="11"/>
        <v>0.44247307011605691</v>
      </c>
      <c r="AE10" s="94">
        <f t="shared" si="12"/>
        <v>1.2056861886655235</v>
      </c>
      <c r="AF10" s="86">
        <f t="shared" si="13"/>
        <v>1.4150355209609401E-4</v>
      </c>
      <c r="AG10" s="102">
        <f t="shared" si="3"/>
        <v>2.1043772219316048E-4</v>
      </c>
      <c r="AH10" s="129">
        <f t="shared" si="14"/>
        <v>0</v>
      </c>
      <c r="AI10" s="129">
        <f t="shared" si="4"/>
        <v>9.4453501582737708E-3</v>
      </c>
      <c r="AJ10" s="129">
        <f t="shared" si="4"/>
        <v>3.7781400633095083E-2</v>
      </c>
      <c r="AK10" s="129">
        <f t="shared" si="4"/>
        <v>0.16214517771703307</v>
      </c>
      <c r="AL10" s="129">
        <f t="shared" si="4"/>
        <v>0.65802606102640604</v>
      </c>
      <c r="AM10" s="94">
        <f t="shared" si="4"/>
        <v>1.7930423050456377</v>
      </c>
    </row>
    <row r="11" spans="1:39" x14ac:dyDescent="0.25">
      <c r="A11" s="74">
        <v>61</v>
      </c>
      <c r="B11" s="2">
        <v>32</v>
      </c>
      <c r="C11" s="2"/>
      <c r="D11" s="2">
        <v>6</v>
      </c>
      <c r="E11" s="67">
        <v>2.4554138346802101E-2</v>
      </c>
      <c r="F11" s="67">
        <v>8.2745106205033593E-3</v>
      </c>
      <c r="G11" s="67">
        <v>4.2829956428710502E-3</v>
      </c>
      <c r="H11" s="70">
        <v>0</v>
      </c>
      <c r="I11" s="8">
        <v>6</v>
      </c>
      <c r="J11" s="8">
        <v>27</v>
      </c>
      <c r="K11" s="8">
        <v>64</v>
      </c>
      <c r="L11" s="8">
        <v>364</v>
      </c>
      <c r="M11" s="127">
        <v>1201</v>
      </c>
      <c r="N11" s="56">
        <f t="shared" si="5"/>
        <v>0</v>
      </c>
      <c r="O11" s="128">
        <f t="shared" si="0"/>
        <v>1</v>
      </c>
      <c r="P11" s="128">
        <f t="shared" si="0"/>
        <v>4.5</v>
      </c>
      <c r="Q11" s="128">
        <f t="shared" si="0"/>
        <v>10.666666666666666</v>
      </c>
      <c r="R11" s="128">
        <f t="shared" si="0"/>
        <v>60.666666666666664</v>
      </c>
      <c r="S11" s="61">
        <f t="shared" si="0"/>
        <v>200.16666666666666</v>
      </c>
      <c r="T11" s="56"/>
      <c r="U11" s="128">
        <f t="shared" si="1"/>
        <v>2.4554138346802101E-2</v>
      </c>
      <c r="V11" s="128">
        <f t="shared" si="1"/>
        <v>0.11049362256060945</v>
      </c>
      <c r="W11" s="128">
        <f t="shared" si="1"/>
        <v>0.2619108090325557</v>
      </c>
      <c r="X11" s="128">
        <f t="shared" si="1"/>
        <v>1.4896177263726607</v>
      </c>
      <c r="Y11" s="61">
        <f t="shared" si="1"/>
        <v>4.9149200257515533</v>
      </c>
      <c r="Z11" s="93">
        <f t="shared" si="7"/>
        <v>0</v>
      </c>
      <c r="AA11" s="129">
        <f t="shared" si="8"/>
        <v>4.2829956428710502E-3</v>
      </c>
      <c r="AB11" s="129">
        <f t="shared" si="9"/>
        <v>1.9273480392919727E-2</v>
      </c>
      <c r="AC11" s="129">
        <f t="shared" si="10"/>
        <v>4.5685286857291202E-2</v>
      </c>
      <c r="AD11" s="129">
        <f t="shared" si="11"/>
        <v>0.25983506900084369</v>
      </c>
      <c r="AE11" s="94">
        <f t="shared" si="12"/>
        <v>0.85731296118135514</v>
      </c>
      <c r="AF11" s="86">
        <f t="shared" si="13"/>
        <v>1.0516526755380637E-4</v>
      </c>
      <c r="AG11" s="102">
        <f t="shared" si="3"/>
        <v>2.0317347852792279E-4</v>
      </c>
      <c r="AH11" s="129">
        <f t="shared" si="14"/>
        <v>0</v>
      </c>
      <c r="AI11" s="129">
        <f t="shared" si="4"/>
        <v>8.2745106205033593E-3</v>
      </c>
      <c r="AJ11" s="129">
        <f t="shared" si="4"/>
        <v>3.7235297792265115E-2</v>
      </c>
      <c r="AK11" s="129">
        <f t="shared" si="4"/>
        <v>8.8261446618702499E-2</v>
      </c>
      <c r="AL11" s="129">
        <f t="shared" si="4"/>
        <v>0.50198697764387046</v>
      </c>
      <c r="AM11" s="94">
        <f t="shared" si="4"/>
        <v>1.6562812092040891</v>
      </c>
    </row>
    <row r="12" spans="1:39" x14ac:dyDescent="0.25">
      <c r="A12" s="74">
        <v>52</v>
      </c>
      <c r="B12" s="2">
        <v>32</v>
      </c>
      <c r="C12" s="2">
        <v>45.6</v>
      </c>
      <c r="D12" s="2">
        <v>5</v>
      </c>
      <c r="E12" s="67">
        <v>1.6195175632876601E-2</v>
      </c>
      <c r="F12" s="67">
        <v>8.7837172608482301E-3</v>
      </c>
      <c r="G12" s="67">
        <v>7.5116788153303899E-3</v>
      </c>
      <c r="H12" s="70">
        <v>0</v>
      </c>
      <c r="I12" s="8">
        <v>3</v>
      </c>
      <c r="J12" s="8">
        <v>21</v>
      </c>
      <c r="K12" s="8">
        <v>74</v>
      </c>
      <c r="L12" s="8">
        <v>395</v>
      </c>
      <c r="M12" s="127">
        <v>990</v>
      </c>
      <c r="N12" s="56">
        <f t="shared" si="5"/>
        <v>0</v>
      </c>
      <c r="O12" s="128">
        <f t="shared" si="0"/>
        <v>0.6</v>
      </c>
      <c r="P12" s="128">
        <f t="shared" si="0"/>
        <v>4.2</v>
      </c>
      <c r="Q12" s="128">
        <f t="shared" si="0"/>
        <v>14.8</v>
      </c>
      <c r="R12" s="128">
        <f t="shared" si="0"/>
        <v>79</v>
      </c>
      <c r="S12" s="61">
        <f t="shared" si="0"/>
        <v>198</v>
      </c>
      <c r="T12" s="56"/>
      <c r="U12" s="128">
        <f t="shared" si="1"/>
        <v>9.7171053797259609E-3</v>
      </c>
      <c r="V12" s="128">
        <f t="shared" si="1"/>
        <v>6.8019737658081725E-2</v>
      </c>
      <c r="W12" s="128">
        <f t="shared" si="1"/>
        <v>0.23968859936657372</v>
      </c>
      <c r="X12" s="128">
        <f t="shared" si="1"/>
        <v>1.2794188749972515</v>
      </c>
      <c r="Y12" s="61">
        <f t="shared" si="1"/>
        <v>3.206644775309567</v>
      </c>
      <c r="Z12" s="93">
        <f t="shared" si="7"/>
        <v>0</v>
      </c>
      <c r="AA12" s="129">
        <f t="shared" si="8"/>
        <v>4.5070072891982334E-3</v>
      </c>
      <c r="AB12" s="129">
        <f t="shared" si="9"/>
        <v>3.1549051024387639E-2</v>
      </c>
      <c r="AC12" s="129">
        <f t="shared" si="10"/>
        <v>0.11117284646688978</v>
      </c>
      <c r="AD12" s="129">
        <f t="shared" si="11"/>
        <v>0.59342262641110077</v>
      </c>
      <c r="AE12" s="94">
        <f t="shared" si="12"/>
        <v>1.4873124054354172</v>
      </c>
      <c r="AF12" s="86">
        <f t="shared" si="13"/>
        <v>1.216529577120341E-4</v>
      </c>
      <c r="AG12" s="102">
        <f t="shared" si="3"/>
        <v>1.4225384374896686E-4</v>
      </c>
      <c r="AH12" s="129">
        <f t="shared" si="14"/>
        <v>0</v>
      </c>
      <c r="AI12" s="129">
        <f t="shared" si="4"/>
        <v>5.2702303565089377E-3</v>
      </c>
      <c r="AJ12" s="129">
        <f t="shared" si="4"/>
        <v>3.6891612495562567E-2</v>
      </c>
      <c r="AK12" s="129">
        <f t="shared" si="4"/>
        <v>0.12999901546055381</v>
      </c>
      <c r="AL12" s="129">
        <f t="shared" si="4"/>
        <v>0.69391366360701012</v>
      </c>
      <c r="AM12" s="94">
        <f t="shared" si="4"/>
        <v>1.7391760176479496</v>
      </c>
    </row>
    <row r="13" spans="1:39" x14ac:dyDescent="0.25">
      <c r="A13" s="74">
        <v>53</v>
      </c>
      <c r="B13" s="2">
        <v>22.6</v>
      </c>
      <c r="C13" s="2">
        <v>29.55</v>
      </c>
      <c r="D13" s="2">
        <v>15</v>
      </c>
      <c r="E13" s="67">
        <v>5.4074185586351197E-3</v>
      </c>
      <c r="F13" s="67">
        <v>3.7739188928974099E-3</v>
      </c>
      <c r="G13" s="67">
        <v>3.5257352179030601E-3</v>
      </c>
      <c r="H13" s="70">
        <v>0</v>
      </c>
      <c r="I13" s="8">
        <v>0</v>
      </c>
      <c r="J13" s="8">
        <v>2</v>
      </c>
      <c r="K13" s="8">
        <v>30</v>
      </c>
      <c r="L13" s="8">
        <v>601</v>
      </c>
      <c r="M13" s="127">
        <v>3003</v>
      </c>
      <c r="N13" s="56">
        <f t="shared" si="5"/>
        <v>0</v>
      </c>
      <c r="O13" s="128">
        <f t="shared" si="0"/>
        <v>0</v>
      </c>
      <c r="P13" s="128">
        <f t="shared" si="0"/>
        <v>0.13333333333333333</v>
      </c>
      <c r="Q13" s="128">
        <f t="shared" si="0"/>
        <v>2</v>
      </c>
      <c r="R13" s="128">
        <f t="shared" si="0"/>
        <v>40.06666666666667</v>
      </c>
      <c r="S13" s="61">
        <f t="shared" si="0"/>
        <v>200.2</v>
      </c>
      <c r="T13" s="56"/>
      <c r="U13" s="128"/>
      <c r="V13" s="128"/>
      <c r="W13" s="128">
        <f t="shared" si="1"/>
        <v>1.0814837117270239E-2</v>
      </c>
      <c r="X13" s="128">
        <f t="shared" si="1"/>
        <v>0.21665723691598049</v>
      </c>
      <c r="Y13" s="61">
        <f t="shared" si="1"/>
        <v>1.082565195438751</v>
      </c>
      <c r="Z13" s="93">
        <f t="shared" si="7"/>
        <v>0</v>
      </c>
      <c r="AA13" s="129">
        <f t="shared" si="8"/>
        <v>0</v>
      </c>
      <c r="AB13" s="129">
        <f t="shared" si="9"/>
        <v>4.7009802905374136E-4</v>
      </c>
      <c r="AC13" s="129">
        <f t="shared" si="10"/>
        <v>7.0514704358061201E-3</v>
      </c>
      <c r="AD13" s="129">
        <f t="shared" si="11"/>
        <v>0.14126445773064927</v>
      </c>
      <c r="AE13" s="94">
        <f t="shared" si="12"/>
        <v>0.70585219062419258</v>
      </c>
      <c r="AF13" s="86">
        <f t="shared" si="13"/>
        <v>1.9065126050122445E-5</v>
      </c>
      <c r="AG13" s="102">
        <f t="shared" si="3"/>
        <v>2.0407159060237159E-5</v>
      </c>
      <c r="AH13" s="129">
        <f t="shared" si="14"/>
        <v>0</v>
      </c>
      <c r="AI13" s="129">
        <f t="shared" si="4"/>
        <v>0</v>
      </c>
      <c r="AJ13" s="129">
        <f t="shared" si="4"/>
        <v>5.0318918571965463E-4</v>
      </c>
      <c r="AK13" s="129">
        <f t="shared" si="4"/>
        <v>7.5478377857948198E-3</v>
      </c>
      <c r="AL13" s="129">
        <f t="shared" si="4"/>
        <v>0.15120835030875623</v>
      </c>
      <c r="AM13" s="94">
        <f t="shared" si="4"/>
        <v>0.75553856235806138</v>
      </c>
    </row>
    <row r="14" spans="1:39" x14ac:dyDescent="0.25">
      <c r="A14" s="74">
        <v>45</v>
      </c>
      <c r="B14" s="2">
        <v>22.6</v>
      </c>
      <c r="C14" s="2">
        <v>22.6</v>
      </c>
      <c r="D14" s="2">
        <v>10</v>
      </c>
      <c r="E14" s="67">
        <v>6.9634801117522301E-3</v>
      </c>
      <c r="F14" s="67">
        <v>4.7306891897243297E-3</v>
      </c>
      <c r="G14" s="67">
        <v>4.5595536316889104E-3</v>
      </c>
      <c r="H14" s="70">
        <v>0</v>
      </c>
      <c r="I14" s="8">
        <v>1</v>
      </c>
      <c r="J14" s="8">
        <v>4</v>
      </c>
      <c r="K14" s="8">
        <v>51</v>
      </c>
      <c r="L14" s="8">
        <v>494</v>
      </c>
      <c r="M14" s="127">
        <v>1931</v>
      </c>
      <c r="N14" s="56">
        <f t="shared" si="5"/>
        <v>0</v>
      </c>
      <c r="O14" s="128">
        <f t="shared" si="0"/>
        <v>0.1</v>
      </c>
      <c r="P14" s="128">
        <f t="shared" si="0"/>
        <v>0.4</v>
      </c>
      <c r="Q14" s="128">
        <f t="shared" si="0"/>
        <v>5.0999999999999996</v>
      </c>
      <c r="R14" s="128">
        <f t="shared" si="0"/>
        <v>49.4</v>
      </c>
      <c r="S14" s="61">
        <f t="shared" si="0"/>
        <v>193.1</v>
      </c>
      <c r="T14" s="56"/>
      <c r="U14" s="128"/>
      <c r="V14" s="128"/>
      <c r="W14" s="128">
        <f t="shared" si="1"/>
        <v>3.5513748569936374E-2</v>
      </c>
      <c r="X14" s="128">
        <f t="shared" si="1"/>
        <v>0.34399591752056013</v>
      </c>
      <c r="Y14" s="61">
        <f t="shared" si="1"/>
        <v>1.3446480095793556</v>
      </c>
      <c r="Z14" s="93">
        <f t="shared" si="7"/>
        <v>0</v>
      </c>
      <c r="AA14" s="129">
        <f t="shared" si="8"/>
        <v>4.5595536316889109E-4</v>
      </c>
      <c r="AB14" s="129">
        <f t="shared" si="9"/>
        <v>1.8238214526755643E-3</v>
      </c>
      <c r="AC14" s="129">
        <f t="shared" si="10"/>
        <v>2.325372352161344E-2</v>
      </c>
      <c r="AD14" s="129">
        <f t="shared" si="11"/>
        <v>0.22524194940543216</v>
      </c>
      <c r="AE14" s="94">
        <f t="shared" si="12"/>
        <v>0.88044980627912861</v>
      </c>
      <c r="AF14" s="86">
        <f t="shared" si="13"/>
        <v>3.1750361032733378E-5</v>
      </c>
      <c r="AG14" s="102">
        <f t="shared" si="3"/>
        <v>3.294206008752664E-5</v>
      </c>
      <c r="AH14" s="129">
        <f t="shared" si="14"/>
        <v>0</v>
      </c>
      <c r="AI14" s="129">
        <f t="shared" si="4"/>
        <v>4.7306891897243297E-4</v>
      </c>
      <c r="AJ14" s="129">
        <f t="shared" si="4"/>
        <v>1.8922756758897319E-3</v>
      </c>
      <c r="AK14" s="129">
        <f t="shared" si="4"/>
        <v>2.4126514867594082E-2</v>
      </c>
      <c r="AL14" s="129">
        <f t="shared" si="4"/>
        <v>0.23369604597238189</v>
      </c>
      <c r="AM14" s="94">
        <f t="shared" si="4"/>
        <v>0.91349608253576808</v>
      </c>
    </row>
    <row r="15" spans="1:39" x14ac:dyDescent="0.25">
      <c r="A15" s="7">
        <v>1.3</v>
      </c>
      <c r="B15" s="3">
        <v>32</v>
      </c>
      <c r="C15" s="3">
        <v>42.84</v>
      </c>
      <c r="D15" s="3">
        <v>10</v>
      </c>
      <c r="E15" s="66">
        <v>2.3197934886697399E-2</v>
      </c>
      <c r="F15" s="66">
        <v>9.1426900455134907E-3</v>
      </c>
      <c r="G15" s="66">
        <v>6.1375608082080103E-3</v>
      </c>
      <c r="H15" s="70">
        <v>0</v>
      </c>
      <c r="I15" s="8">
        <v>4</v>
      </c>
      <c r="J15" s="8">
        <v>35</v>
      </c>
      <c r="K15" s="8">
        <v>163</v>
      </c>
      <c r="L15" s="8">
        <v>788</v>
      </c>
      <c r="M15" s="127">
        <v>1749</v>
      </c>
      <c r="N15" s="56">
        <f t="shared" si="5"/>
        <v>0</v>
      </c>
      <c r="O15" s="128">
        <f t="shared" si="0"/>
        <v>0.4</v>
      </c>
      <c r="P15" s="128">
        <f t="shared" si="0"/>
        <v>3.5</v>
      </c>
      <c r="Q15" s="128">
        <f t="shared" si="0"/>
        <v>16.3</v>
      </c>
      <c r="R15" s="128">
        <f t="shared" si="0"/>
        <v>78.8</v>
      </c>
      <c r="S15" s="61">
        <f t="shared" si="0"/>
        <v>174.9</v>
      </c>
      <c r="T15" s="56"/>
      <c r="U15" s="128">
        <f t="shared" si="1"/>
        <v>9.2791739546789608E-3</v>
      </c>
      <c r="V15" s="128">
        <f t="shared" si="1"/>
        <v>8.1192772103440891E-2</v>
      </c>
      <c r="W15" s="128">
        <f t="shared" si="1"/>
        <v>0.37812633865316764</v>
      </c>
      <c r="X15" s="128">
        <f t="shared" si="1"/>
        <v>1.827997269071755</v>
      </c>
      <c r="Y15" s="61">
        <f t="shared" si="1"/>
        <v>4.0573188116833752</v>
      </c>
      <c r="Z15" s="93">
        <f t="shared" si="7"/>
        <v>0</v>
      </c>
      <c r="AA15" s="129">
        <f t="shared" si="8"/>
        <v>2.4550243232832041E-3</v>
      </c>
      <c r="AB15" s="129">
        <f t="shared" si="9"/>
        <v>2.1481462828728037E-2</v>
      </c>
      <c r="AC15" s="129">
        <f t="shared" si="10"/>
        <v>0.10004224117379057</v>
      </c>
      <c r="AD15" s="129">
        <f t="shared" si="11"/>
        <v>0.48363979168679122</v>
      </c>
      <c r="AE15" s="94">
        <f t="shared" si="12"/>
        <v>1.0734593853555809</v>
      </c>
      <c r="AF15" s="86">
        <f t="shared" si="13"/>
        <v>1.4237873599195529E-4</v>
      </c>
      <c r="AG15" s="102">
        <f t="shared" si="3"/>
        <v>2.1209152836507844E-4</v>
      </c>
      <c r="AH15" s="129">
        <f t="shared" si="14"/>
        <v>0</v>
      </c>
      <c r="AI15" s="129">
        <f t="shared" si="4"/>
        <v>3.6570760182053964E-3</v>
      </c>
      <c r="AJ15" s="129">
        <f t="shared" si="4"/>
        <v>3.1999415159297218E-2</v>
      </c>
      <c r="AK15" s="129">
        <f t="shared" si="4"/>
        <v>0.14902584774186992</v>
      </c>
      <c r="AL15" s="129">
        <f t="shared" si="4"/>
        <v>0.720443975586463</v>
      </c>
      <c r="AM15" s="94">
        <f t="shared" si="4"/>
        <v>1.5990564889603096</v>
      </c>
    </row>
    <row r="16" spans="1:39" x14ac:dyDescent="0.25">
      <c r="A16" s="7">
        <v>2.1</v>
      </c>
      <c r="B16" s="3">
        <v>45</v>
      </c>
      <c r="C16" s="3">
        <v>52.94</v>
      </c>
      <c r="D16" s="3">
        <v>20</v>
      </c>
      <c r="E16" s="66">
        <v>3.5345925929864103E-2</v>
      </c>
      <c r="F16" s="66">
        <v>7.8507383881498607E-3</v>
      </c>
      <c r="G16" s="66">
        <v>4.0069409325786598E-3</v>
      </c>
      <c r="H16" s="70">
        <v>0</v>
      </c>
      <c r="I16" s="8">
        <v>11</v>
      </c>
      <c r="J16" s="8">
        <v>56</v>
      </c>
      <c r="K16" s="8">
        <v>204</v>
      </c>
      <c r="L16" s="8">
        <v>1215</v>
      </c>
      <c r="M16" s="127">
        <v>3424</v>
      </c>
      <c r="N16" s="56">
        <f t="shared" si="5"/>
        <v>0</v>
      </c>
      <c r="O16" s="128">
        <f t="shared" si="0"/>
        <v>0.55000000000000004</v>
      </c>
      <c r="P16" s="128">
        <f t="shared" si="0"/>
        <v>2.8</v>
      </c>
      <c r="Q16" s="128">
        <f t="shared" si="0"/>
        <v>10.199999999999999</v>
      </c>
      <c r="R16" s="128">
        <f t="shared" si="0"/>
        <v>60.75</v>
      </c>
      <c r="S16" s="61">
        <f t="shared" si="0"/>
        <v>171.2</v>
      </c>
      <c r="T16" s="56"/>
      <c r="U16" s="128">
        <f t="shared" si="1"/>
        <v>1.9440259261425258E-2</v>
      </c>
      <c r="V16" s="128">
        <f t="shared" si="1"/>
        <v>9.8968592603619482E-2</v>
      </c>
      <c r="W16" s="128">
        <f t="shared" si="1"/>
        <v>0.3605284444846138</v>
      </c>
      <c r="X16" s="128">
        <f t="shared" si="1"/>
        <v>2.1472650002392442</v>
      </c>
      <c r="Y16" s="61">
        <f t="shared" si="1"/>
        <v>6.0512225191927342</v>
      </c>
      <c r="Z16" s="93">
        <f t="shared" si="7"/>
        <v>0</v>
      </c>
      <c r="AA16" s="129">
        <f t="shared" si="8"/>
        <v>2.2038175129182633E-3</v>
      </c>
      <c r="AB16" s="129">
        <f t="shared" si="9"/>
        <v>1.1219434611220247E-2</v>
      </c>
      <c r="AC16" s="129">
        <f t="shared" si="10"/>
        <v>4.0870797512302326E-2</v>
      </c>
      <c r="AD16" s="129">
        <f t="shared" si="11"/>
        <v>0.24342166165415358</v>
      </c>
      <c r="AE16" s="94">
        <f t="shared" si="12"/>
        <v>0.68598828765746656</v>
      </c>
      <c r="AF16" s="86">
        <f t="shared" si="13"/>
        <v>1.4162903740826591E-4</v>
      </c>
      <c r="AG16" s="102">
        <f t="shared" si="3"/>
        <v>2.774916175622857E-4</v>
      </c>
      <c r="AH16" s="129">
        <f t="shared" si="14"/>
        <v>0</v>
      </c>
      <c r="AI16" s="129">
        <f t="shared" si="4"/>
        <v>4.3179061134824238E-3</v>
      </c>
      <c r="AJ16" s="129">
        <f t="shared" si="4"/>
        <v>2.198206748681961E-2</v>
      </c>
      <c r="AK16" s="129">
        <f t="shared" si="4"/>
        <v>8.007753155912857E-2</v>
      </c>
      <c r="AL16" s="129">
        <f t="shared" si="4"/>
        <v>0.47693235708010406</v>
      </c>
      <c r="AM16" s="94">
        <f t="shared" si="4"/>
        <v>1.3440464120512561</v>
      </c>
    </row>
    <row r="17" spans="1:39" x14ac:dyDescent="0.25">
      <c r="A17" s="7">
        <v>2.2999999999999998</v>
      </c>
      <c r="B17" s="3">
        <v>45</v>
      </c>
      <c r="C17" s="3">
        <v>54.11</v>
      </c>
      <c r="D17" s="3">
        <v>10</v>
      </c>
      <c r="E17" s="66">
        <v>1.9422121419342901E-2</v>
      </c>
      <c r="F17" s="66">
        <v>7.5773751595888898E-3</v>
      </c>
      <c r="G17" s="66">
        <v>5.3544304928017398E-3</v>
      </c>
      <c r="H17" s="70">
        <v>0</v>
      </c>
      <c r="I17" s="8">
        <v>3</v>
      </c>
      <c r="J17" s="8">
        <v>28</v>
      </c>
      <c r="K17" s="8">
        <v>147</v>
      </c>
      <c r="L17" s="8">
        <v>700</v>
      </c>
      <c r="M17" s="127">
        <v>1838</v>
      </c>
      <c r="N17" s="56">
        <f t="shared" si="5"/>
        <v>0</v>
      </c>
      <c r="O17" s="128">
        <f t="shared" si="0"/>
        <v>0.3</v>
      </c>
      <c r="P17" s="128">
        <f t="shared" si="0"/>
        <v>2.8</v>
      </c>
      <c r="Q17" s="128">
        <f t="shared" si="0"/>
        <v>14.7</v>
      </c>
      <c r="R17" s="128">
        <f t="shared" si="0"/>
        <v>70</v>
      </c>
      <c r="S17" s="61">
        <f t="shared" si="0"/>
        <v>183.8</v>
      </c>
      <c r="T17" s="56"/>
      <c r="U17" s="128">
        <f t="shared" si="1"/>
        <v>5.82663642580287E-3</v>
      </c>
      <c r="V17" s="128">
        <f t="shared" si="1"/>
        <v>5.4381939974160118E-2</v>
      </c>
      <c r="W17" s="128">
        <f t="shared" si="1"/>
        <v>0.28550518486434062</v>
      </c>
      <c r="X17" s="128">
        <f t="shared" si="1"/>
        <v>1.359548499354003</v>
      </c>
      <c r="Y17" s="61">
        <f t="shared" si="1"/>
        <v>3.5697859168752255</v>
      </c>
      <c r="Z17" s="93">
        <f t="shared" si="7"/>
        <v>0</v>
      </c>
      <c r="AA17" s="129">
        <f t="shared" si="8"/>
        <v>1.6063291478405218E-3</v>
      </c>
      <c r="AB17" s="129">
        <f t="shared" si="9"/>
        <v>1.4992405379844871E-2</v>
      </c>
      <c r="AC17" s="129">
        <f t="shared" si="10"/>
        <v>7.8710128244185565E-2</v>
      </c>
      <c r="AD17" s="129">
        <f t="shared" si="11"/>
        <v>0.37481013449612177</v>
      </c>
      <c r="AE17" s="94">
        <f t="shared" si="12"/>
        <v>0.98414432457695988</v>
      </c>
      <c r="AF17" s="86">
        <f t="shared" si="13"/>
        <v>1.0399439916262744E-4</v>
      </c>
      <c r="AG17" s="102">
        <f t="shared" si="3"/>
        <v>1.4716870038944822E-4</v>
      </c>
      <c r="AH17" s="129">
        <f t="shared" si="14"/>
        <v>0</v>
      </c>
      <c r="AI17" s="129">
        <f t="shared" si="4"/>
        <v>2.2732125478766669E-3</v>
      </c>
      <c r="AJ17" s="129">
        <f t="shared" si="4"/>
        <v>2.1216650446848891E-2</v>
      </c>
      <c r="AK17" s="129">
        <f t="shared" si="4"/>
        <v>0.11138741484595667</v>
      </c>
      <c r="AL17" s="129">
        <f t="shared" si="4"/>
        <v>0.53041626117122231</v>
      </c>
      <c r="AM17" s="94">
        <f t="shared" si="4"/>
        <v>1.392721554332438</v>
      </c>
    </row>
    <row r="18" spans="1:39" x14ac:dyDescent="0.25">
      <c r="A18" s="7">
        <v>3.1</v>
      </c>
      <c r="B18" s="3">
        <v>64</v>
      </c>
      <c r="C18" s="3">
        <v>84.98</v>
      </c>
      <c r="D18" s="3">
        <v>20</v>
      </c>
      <c r="E18" s="66">
        <v>0.12653412852816501</v>
      </c>
      <c r="F18" s="66">
        <v>1.5222331559222001E-2</v>
      </c>
      <c r="G18" s="66">
        <v>4.5052689799184196E-3</v>
      </c>
      <c r="H18" s="70">
        <v>10</v>
      </c>
      <c r="I18" s="8">
        <v>38</v>
      </c>
      <c r="J18" s="8">
        <v>113</v>
      </c>
      <c r="K18" s="8">
        <v>312</v>
      </c>
      <c r="L18" s="8">
        <v>1212</v>
      </c>
      <c r="M18" s="127">
        <v>3306</v>
      </c>
      <c r="N18" s="56">
        <f t="shared" si="5"/>
        <v>0.5</v>
      </c>
      <c r="O18" s="128">
        <f t="shared" si="0"/>
        <v>1.9</v>
      </c>
      <c r="P18" s="128">
        <f t="shared" si="0"/>
        <v>5.65</v>
      </c>
      <c r="Q18" s="128">
        <f t="shared" si="0"/>
        <v>15.6</v>
      </c>
      <c r="R18" s="128">
        <f t="shared" si="0"/>
        <v>60.6</v>
      </c>
      <c r="S18" s="61">
        <f t="shared" si="0"/>
        <v>165.3</v>
      </c>
      <c r="T18" s="56">
        <f t="shared" si="6"/>
        <v>6.3267064264082504E-2</v>
      </c>
      <c r="U18" s="128">
        <f t="shared" si="1"/>
        <v>0.2404148442035135</v>
      </c>
      <c r="V18" s="128">
        <f t="shared" si="1"/>
        <v>0.71491782618413235</v>
      </c>
      <c r="W18" s="128">
        <f t="shared" si="1"/>
        <v>1.9739324050393741</v>
      </c>
      <c r="X18" s="128">
        <f t="shared" si="1"/>
        <v>7.6679681888067996</v>
      </c>
      <c r="Y18" s="61">
        <f t="shared" si="1"/>
        <v>20.916091445705678</v>
      </c>
      <c r="Z18" s="93">
        <f t="shared" si="7"/>
        <v>2.2526344899592098E-3</v>
      </c>
      <c r="AA18" s="129">
        <f t="shared" si="8"/>
        <v>8.5600110618449972E-3</v>
      </c>
      <c r="AB18" s="129">
        <f t="shared" si="9"/>
        <v>2.5454769736539071E-2</v>
      </c>
      <c r="AC18" s="129">
        <f t="shared" si="10"/>
        <v>7.0282196086727339E-2</v>
      </c>
      <c r="AD18" s="129">
        <f t="shared" si="11"/>
        <v>0.27301930018305626</v>
      </c>
      <c r="AE18" s="94">
        <f t="shared" si="12"/>
        <v>0.74472096238051477</v>
      </c>
      <c r="AF18" s="86">
        <f t="shared" si="13"/>
        <v>5.7007028415895211E-4</v>
      </c>
      <c r="AG18" s="102">
        <f t="shared" si="3"/>
        <v>1.9261444580129391E-3</v>
      </c>
      <c r="AH18" s="129">
        <f t="shared" si="14"/>
        <v>7.6111657796110004E-3</v>
      </c>
      <c r="AI18" s="129">
        <f t="shared" si="4"/>
        <v>2.8922429962521801E-2</v>
      </c>
      <c r="AJ18" s="129">
        <f t="shared" si="4"/>
        <v>8.6006173309604306E-2</v>
      </c>
      <c r="AK18" s="129">
        <f t="shared" si="4"/>
        <v>0.2374683723238632</v>
      </c>
      <c r="AL18" s="129">
        <f t="shared" si="4"/>
        <v>0.92247329248885324</v>
      </c>
      <c r="AM18" s="94">
        <f t="shared" si="4"/>
        <v>2.5162514067393968</v>
      </c>
    </row>
    <row r="19" spans="1:39" x14ac:dyDescent="0.25">
      <c r="A19" s="7">
        <v>4.2</v>
      </c>
      <c r="B19" s="3">
        <v>90</v>
      </c>
      <c r="C19" s="3">
        <v>127.22</v>
      </c>
      <c r="D19" s="3">
        <v>20</v>
      </c>
      <c r="E19" s="66">
        <v>4.1669974213015902E-2</v>
      </c>
      <c r="F19" s="66">
        <v>9.9725509064199202E-3</v>
      </c>
      <c r="G19" s="66">
        <v>6.2822795747625101E-3</v>
      </c>
      <c r="H19" s="70">
        <v>0</v>
      </c>
      <c r="I19" s="8">
        <v>15</v>
      </c>
      <c r="J19" s="8">
        <v>82</v>
      </c>
      <c r="K19" s="8">
        <v>353</v>
      </c>
      <c r="L19" s="8">
        <v>1394</v>
      </c>
      <c r="M19" s="127">
        <v>3355</v>
      </c>
      <c r="N19" s="56">
        <f t="shared" si="5"/>
        <v>0</v>
      </c>
      <c r="O19" s="128">
        <f t="shared" si="5"/>
        <v>0.75</v>
      </c>
      <c r="P19" s="128">
        <f t="shared" si="5"/>
        <v>4.0999999999999996</v>
      </c>
      <c r="Q19" s="128">
        <f t="shared" si="5"/>
        <v>17.649999999999999</v>
      </c>
      <c r="R19" s="128">
        <f t="shared" si="5"/>
        <v>69.7</v>
      </c>
      <c r="S19" s="61">
        <f t="shared" si="5"/>
        <v>167.75</v>
      </c>
      <c r="T19" s="56">
        <f t="shared" si="6"/>
        <v>0</v>
      </c>
      <c r="U19" s="128">
        <f t="shared" si="6"/>
        <v>3.1252480659761925E-2</v>
      </c>
      <c r="V19" s="128">
        <f t="shared" si="6"/>
        <v>0.17084689427336519</v>
      </c>
      <c r="W19" s="128">
        <f t="shared" si="6"/>
        <v>0.73547504485973059</v>
      </c>
      <c r="X19" s="128">
        <f t="shared" si="6"/>
        <v>2.9043972026472087</v>
      </c>
      <c r="Y19" s="61">
        <f t="shared" si="6"/>
        <v>6.9901381742334179</v>
      </c>
      <c r="Z19" s="93">
        <f t="shared" si="7"/>
        <v>0</v>
      </c>
      <c r="AA19" s="129">
        <f t="shared" si="8"/>
        <v>4.7117096810718826E-3</v>
      </c>
      <c r="AB19" s="129">
        <f t="shared" si="9"/>
        <v>2.575734625652629E-2</v>
      </c>
      <c r="AC19" s="129">
        <f t="shared" si="10"/>
        <v>0.11088223449455829</v>
      </c>
      <c r="AD19" s="129">
        <f t="shared" si="11"/>
        <v>0.43787488636094696</v>
      </c>
      <c r="AE19" s="94">
        <f t="shared" si="12"/>
        <v>1.053852398666411</v>
      </c>
      <c r="AF19" s="86">
        <f t="shared" si="13"/>
        <v>2.6178242787931028E-4</v>
      </c>
      <c r="AG19" s="102">
        <f t="shared" si="3"/>
        <v>4.1555593910850641E-4</v>
      </c>
      <c r="AH19" s="129">
        <f t="shared" si="14"/>
        <v>0</v>
      </c>
      <c r="AI19" s="129">
        <f t="shared" ref="AI19:AI23" si="15">O19*$F19</f>
        <v>7.4794131798149397E-3</v>
      </c>
      <c r="AJ19" s="129">
        <f t="shared" ref="AJ19:AJ23" si="16">P19*$F19</f>
        <v>4.088745871632167E-2</v>
      </c>
      <c r="AK19" s="129">
        <f t="shared" ref="AK19:AK23" si="17">Q19*$F19</f>
        <v>0.17601552349831157</v>
      </c>
      <c r="AL19" s="129">
        <f t="shared" ref="AL19:AL23" si="18">R19*$F19</f>
        <v>0.69508679817746843</v>
      </c>
      <c r="AM19" s="94">
        <f t="shared" ref="AM19:AM23" si="19">S19*$F19</f>
        <v>1.6728954145519417</v>
      </c>
    </row>
    <row r="20" spans="1:39" x14ac:dyDescent="0.25">
      <c r="A20" s="7">
        <v>4.3</v>
      </c>
      <c r="B20" s="3">
        <v>90</v>
      </c>
      <c r="C20" s="3">
        <v>91.54</v>
      </c>
      <c r="D20" s="3">
        <v>20</v>
      </c>
      <c r="E20" s="66">
        <v>6.5041528765672305E-2</v>
      </c>
      <c r="F20" s="66">
        <v>1.5521667521925899E-2</v>
      </c>
      <c r="G20" s="66">
        <v>9.3037999635866304E-3</v>
      </c>
      <c r="H20" s="70">
        <v>6</v>
      </c>
      <c r="I20" s="8">
        <v>32</v>
      </c>
      <c r="J20" s="8">
        <v>142</v>
      </c>
      <c r="K20" s="8">
        <v>419</v>
      </c>
      <c r="L20" s="8">
        <v>1531</v>
      </c>
      <c r="M20" s="127">
        <v>3286</v>
      </c>
      <c r="N20" s="56">
        <f t="shared" si="5"/>
        <v>0.3</v>
      </c>
      <c r="O20" s="128">
        <f t="shared" si="5"/>
        <v>1.6</v>
      </c>
      <c r="P20" s="128">
        <f t="shared" si="5"/>
        <v>7.1</v>
      </c>
      <c r="Q20" s="128">
        <f t="shared" si="5"/>
        <v>20.95</v>
      </c>
      <c r="R20" s="128">
        <f t="shared" si="5"/>
        <v>76.55</v>
      </c>
      <c r="S20" s="61">
        <f t="shared" si="5"/>
        <v>164.3</v>
      </c>
      <c r="T20" s="56">
        <f>N20*$E20</f>
        <v>1.951245862970169E-2</v>
      </c>
      <c r="U20" s="128">
        <f t="shared" si="6"/>
        <v>0.1040664460250757</v>
      </c>
      <c r="V20" s="128">
        <f t="shared" si="6"/>
        <v>0.46179485423627337</v>
      </c>
      <c r="W20" s="128">
        <f t="shared" si="6"/>
        <v>1.3626200276408347</v>
      </c>
      <c r="X20" s="128">
        <f t="shared" si="6"/>
        <v>4.9789290270122146</v>
      </c>
      <c r="Y20" s="61">
        <f t="shared" si="6"/>
        <v>10.686323176199961</v>
      </c>
      <c r="Z20" s="93">
        <f t="shared" si="7"/>
        <v>2.7911399890759889E-3</v>
      </c>
      <c r="AA20" s="129">
        <f t="shared" si="8"/>
        <v>1.4886079941738609E-2</v>
      </c>
      <c r="AB20" s="129">
        <f t="shared" si="9"/>
        <v>6.6056979741465072E-2</v>
      </c>
      <c r="AC20" s="129">
        <f t="shared" si="10"/>
        <v>0.19491460923713991</v>
      </c>
      <c r="AD20" s="129">
        <f t="shared" si="11"/>
        <v>0.71220588721255651</v>
      </c>
      <c r="AE20" s="94">
        <f t="shared" si="12"/>
        <v>1.5286143340172835</v>
      </c>
      <c r="AF20" s="86">
        <f t="shared" si="13"/>
        <v>6.0513337296168074E-4</v>
      </c>
      <c r="AG20" s="102">
        <f t="shared" si="3"/>
        <v>1.009552984618545E-3</v>
      </c>
      <c r="AH20" s="129">
        <f t="shared" si="14"/>
        <v>4.6565002565777695E-3</v>
      </c>
      <c r="AI20" s="129">
        <f t="shared" si="15"/>
        <v>2.4834668035081442E-2</v>
      </c>
      <c r="AJ20" s="129">
        <f t="shared" si="16"/>
        <v>0.11020383940567388</v>
      </c>
      <c r="AK20" s="129">
        <f t="shared" si="17"/>
        <v>0.3251789345843476</v>
      </c>
      <c r="AL20" s="129">
        <f t="shared" si="18"/>
        <v>1.1881836488034276</v>
      </c>
      <c r="AM20" s="94">
        <f t="shared" si="19"/>
        <v>2.5502099738524255</v>
      </c>
    </row>
    <row r="21" spans="1:39" x14ac:dyDescent="0.25">
      <c r="A21" s="75" t="s">
        <v>34</v>
      </c>
      <c r="B21" s="27">
        <v>90</v>
      </c>
      <c r="C21" s="27">
        <v>108.42</v>
      </c>
      <c r="D21" s="65">
        <v>149.999977324263</v>
      </c>
      <c r="E21" s="28">
        <v>9.5590751489404505E-2</v>
      </c>
      <c r="F21" s="28">
        <v>4.1750172724988703E-3</v>
      </c>
      <c r="G21" s="28">
        <v>3.0008966016067001E-3</v>
      </c>
      <c r="H21" s="70">
        <v>4</v>
      </c>
      <c r="I21" s="8">
        <v>7</v>
      </c>
      <c r="J21" s="8">
        <v>43</v>
      </c>
      <c r="K21" s="8">
        <v>325</v>
      </c>
      <c r="L21" s="8">
        <v>4737</v>
      </c>
      <c r="M21" s="127">
        <v>21140</v>
      </c>
      <c r="N21" s="56">
        <f t="shared" si="5"/>
        <v>2.6666670697909411E-2</v>
      </c>
      <c r="O21" s="128">
        <f t="shared" si="5"/>
        <v>4.6666673721341465E-2</v>
      </c>
      <c r="P21" s="128">
        <f t="shared" si="5"/>
        <v>0.28666671000252614</v>
      </c>
      <c r="Q21" s="128">
        <f t="shared" si="5"/>
        <v>2.1666669942051393</v>
      </c>
      <c r="R21" s="128">
        <f t="shared" si="5"/>
        <v>31.580004773999217</v>
      </c>
      <c r="S21" s="61">
        <f t="shared" si="5"/>
        <v>140.93335463845122</v>
      </c>
      <c r="T21" s="56"/>
      <c r="U21" s="128"/>
      <c r="V21" s="128">
        <f t="shared" si="6"/>
        <v>2.7402686236136665E-2</v>
      </c>
      <c r="W21" s="128">
        <f t="shared" si="6"/>
        <v>0.20711332620335851</v>
      </c>
      <c r="X21" s="128">
        <f t="shared" si="6"/>
        <v>3.018756388385567</v>
      </c>
      <c r="Y21" s="61">
        <f t="shared" si="6"/>
        <v>13.471925279812304</v>
      </c>
      <c r="Z21" s="93">
        <f t="shared" si="7"/>
        <v>8.0023921473521323E-5</v>
      </c>
      <c r="AA21" s="129">
        <f t="shared" si="8"/>
        <v>1.4004186257866229E-4</v>
      </c>
      <c r="AB21" s="129">
        <f t="shared" si="9"/>
        <v>8.6025715584035409E-4</v>
      </c>
      <c r="AC21" s="129">
        <f t="shared" si="10"/>
        <v>6.5019436197236062E-3</v>
      </c>
      <c r="AD21" s="129">
        <f t="shared" si="11"/>
        <v>9.476832900501761E-2</v>
      </c>
      <c r="AE21" s="94">
        <f t="shared" si="12"/>
        <v>0.42292642498756011</v>
      </c>
      <c r="AF21" s="86">
        <f t="shared" si="13"/>
        <v>2.8685796128958456E-4</v>
      </c>
      <c r="AG21" s="102">
        <f t="shared" si="3"/>
        <v>3.9909303855941092E-4</v>
      </c>
      <c r="AH21" s="129">
        <f t="shared" si="14"/>
        <v>1.113338107638113E-4</v>
      </c>
      <c r="AI21" s="129">
        <f t="shared" si="15"/>
        <v>1.9483416883666975E-4</v>
      </c>
      <c r="AJ21" s="129">
        <f t="shared" si="16"/>
        <v>1.1968384657109713E-3</v>
      </c>
      <c r="AK21" s="129">
        <f t="shared" si="17"/>
        <v>9.0458721245596663E-3</v>
      </c>
      <c r="AL21" s="129">
        <f t="shared" si="18"/>
        <v>0.13184706539704352</v>
      </c>
      <c r="AM21" s="94">
        <f t="shared" si="19"/>
        <v>0.58839918988674267</v>
      </c>
    </row>
    <row r="22" spans="1:39" x14ac:dyDescent="0.25">
      <c r="A22" s="68" t="s">
        <v>89</v>
      </c>
      <c r="B22" s="16">
        <v>128</v>
      </c>
      <c r="C22" s="16">
        <v>128</v>
      </c>
      <c r="D22" s="63">
        <v>60</v>
      </c>
      <c r="E22" s="64">
        <v>6.3874222410114402E-3</v>
      </c>
      <c r="F22" s="64">
        <v>4.0872753866210698E-3</v>
      </c>
      <c r="G22" s="64">
        <v>4.1324979636846596E-3</v>
      </c>
      <c r="H22" s="70">
        <v>0</v>
      </c>
      <c r="I22" s="8">
        <v>0</v>
      </c>
      <c r="J22" s="8">
        <v>0</v>
      </c>
      <c r="K22" s="8">
        <v>32.479999999999997</v>
      </c>
      <c r="L22" s="8">
        <v>580</v>
      </c>
      <c r="M22" s="127">
        <v>8760.32</v>
      </c>
      <c r="N22" s="56">
        <f t="shared" si="5"/>
        <v>0</v>
      </c>
      <c r="O22" s="128">
        <f t="shared" si="5"/>
        <v>0</v>
      </c>
      <c r="P22" s="128">
        <f t="shared" si="5"/>
        <v>0</v>
      </c>
      <c r="Q22" s="128">
        <f t="shared" si="5"/>
        <v>0.54133333333333333</v>
      </c>
      <c r="R22" s="128">
        <f t="shared" si="5"/>
        <v>9.6666666666666661</v>
      </c>
      <c r="S22" s="61">
        <f t="shared" si="5"/>
        <v>146.00533333333334</v>
      </c>
      <c r="T22" s="56"/>
      <c r="U22" s="128"/>
      <c r="V22" s="128"/>
      <c r="W22" s="128"/>
      <c r="X22" s="128">
        <f t="shared" si="6"/>
        <v>6.1745081663110588E-2</v>
      </c>
      <c r="Y22" s="61">
        <f t="shared" si="6"/>
        <v>0.93259771343962239</v>
      </c>
      <c r="Z22" s="93">
        <f t="shared" si="7"/>
        <v>0</v>
      </c>
      <c r="AA22" s="129">
        <f t="shared" si="8"/>
        <v>0</v>
      </c>
      <c r="AB22" s="129">
        <f t="shared" si="9"/>
        <v>0</v>
      </c>
      <c r="AC22" s="129">
        <f t="shared" si="10"/>
        <v>2.2370588976746292E-3</v>
      </c>
      <c r="AD22" s="129">
        <f t="shared" si="11"/>
        <v>3.9947480315618372E-2</v>
      </c>
      <c r="AE22" s="94">
        <f t="shared" si="12"/>
        <v>0.6033667426871</v>
      </c>
      <c r="AF22" s="86">
        <f t="shared" si="13"/>
        <v>2.6396009404173881E-5</v>
      </c>
      <c r="AG22" s="102">
        <f t="shared" si="3"/>
        <v>2.6107153709642053E-5</v>
      </c>
      <c r="AH22" s="129">
        <f t="shared" si="14"/>
        <v>0</v>
      </c>
      <c r="AI22" s="129">
        <f t="shared" si="15"/>
        <v>0</v>
      </c>
      <c r="AJ22" s="129">
        <f t="shared" si="16"/>
        <v>0</v>
      </c>
      <c r="AK22" s="129">
        <f t="shared" si="17"/>
        <v>2.2125784092908727E-3</v>
      </c>
      <c r="AL22" s="129">
        <f t="shared" si="18"/>
        <v>3.9510328737337008E-2</v>
      </c>
      <c r="AM22" s="94">
        <f t="shared" si="19"/>
        <v>0.59676400524873818</v>
      </c>
    </row>
    <row r="23" spans="1:39" x14ac:dyDescent="0.25">
      <c r="A23" s="76" t="s">
        <v>90</v>
      </c>
      <c r="B23" s="77">
        <v>64</v>
      </c>
      <c r="C23" s="77">
        <v>64</v>
      </c>
      <c r="D23" s="78">
        <v>60</v>
      </c>
      <c r="E23" s="79">
        <v>2.3944348715607398E-3</v>
      </c>
      <c r="F23" s="79">
        <v>1.5049965491053801E-3</v>
      </c>
      <c r="G23" s="79">
        <v>1.48965533935772E-3</v>
      </c>
      <c r="H23" s="80">
        <v>0</v>
      </c>
      <c r="I23" s="81">
        <v>0</v>
      </c>
      <c r="J23" s="81">
        <v>0</v>
      </c>
      <c r="K23" s="81">
        <v>0</v>
      </c>
      <c r="L23" s="81">
        <v>23.2</v>
      </c>
      <c r="M23" s="81">
        <v>969.75999999999897</v>
      </c>
      <c r="N23" s="56">
        <f t="shared" si="5"/>
        <v>0</v>
      </c>
      <c r="O23" s="128">
        <f t="shared" si="5"/>
        <v>0</v>
      </c>
      <c r="P23" s="128">
        <f t="shared" si="5"/>
        <v>0</v>
      </c>
      <c r="Q23" s="128">
        <f t="shared" si="5"/>
        <v>0</v>
      </c>
      <c r="R23" s="128">
        <f t="shared" si="5"/>
        <v>0.38666666666666666</v>
      </c>
      <c r="S23" s="61">
        <f t="shared" si="5"/>
        <v>16.162666666666649</v>
      </c>
      <c r="T23" s="56"/>
      <c r="U23" s="128"/>
      <c r="V23" s="128"/>
      <c r="W23" s="128"/>
      <c r="X23" s="128"/>
      <c r="Y23" s="61">
        <f t="shared" si="6"/>
        <v>3.8700452684079005E-2</v>
      </c>
      <c r="Z23" s="93">
        <f t="shared" si="7"/>
        <v>0</v>
      </c>
      <c r="AA23" s="129">
        <f t="shared" si="8"/>
        <v>0</v>
      </c>
      <c r="AB23" s="129">
        <f t="shared" si="9"/>
        <v>0</v>
      </c>
      <c r="AC23" s="129">
        <f t="shared" si="10"/>
        <v>0</v>
      </c>
      <c r="AD23" s="129">
        <f t="shared" si="11"/>
        <v>5.7600006455165169E-4</v>
      </c>
      <c r="AE23" s="94">
        <f t="shared" si="12"/>
        <v>2.4076802698259014E-2</v>
      </c>
      <c r="AF23" s="86">
        <f t="shared" si="13"/>
        <v>3.5668826911647726E-6</v>
      </c>
      <c r="AG23" s="102">
        <f t="shared" si="3"/>
        <v>3.6036162187564973E-6</v>
      </c>
      <c r="AH23" s="129">
        <f t="shared" si="14"/>
        <v>0</v>
      </c>
      <c r="AI23" s="129">
        <f>O23*$F23</f>
        <v>0</v>
      </c>
      <c r="AJ23" s="129">
        <f t="shared" si="16"/>
        <v>0</v>
      </c>
      <c r="AK23" s="129">
        <f t="shared" si="17"/>
        <v>0</v>
      </c>
      <c r="AL23" s="129">
        <f t="shared" si="18"/>
        <v>5.8193199898741357E-4</v>
      </c>
      <c r="AM23" s="94">
        <f t="shared" si="19"/>
        <v>2.4324757557673864E-2</v>
      </c>
    </row>
    <row r="24" spans="1:39" x14ac:dyDescent="0.25">
      <c r="A24" s="1" t="s">
        <v>91</v>
      </c>
      <c r="D24" s="1">
        <v>60</v>
      </c>
      <c r="E24" s="64">
        <v>3.4734349552416499E-2</v>
      </c>
      <c r="F24" s="64">
        <v>1.59772775618169E-2</v>
      </c>
      <c r="G24" s="64">
        <v>1.5617522696591399E-2</v>
      </c>
      <c r="H24" s="70">
        <v>0</v>
      </c>
      <c r="I24" s="8">
        <v>0</v>
      </c>
      <c r="J24" s="8">
        <v>69.12</v>
      </c>
      <c r="K24" s="8">
        <v>1622.3999999999901</v>
      </c>
      <c r="L24" s="8">
        <v>12195.84</v>
      </c>
      <c r="M24" s="127">
        <v>18165.12</v>
      </c>
      <c r="N24" s="128">
        <f>H24/$D24</f>
        <v>0</v>
      </c>
      <c r="O24" s="128">
        <f t="shared" si="5"/>
        <v>0</v>
      </c>
      <c r="P24" s="128">
        <f t="shared" si="5"/>
        <v>1.1520000000000001</v>
      </c>
      <c r="Q24" s="128">
        <f t="shared" si="5"/>
        <v>27.039999999999836</v>
      </c>
      <c r="R24" s="128">
        <f t="shared" si="5"/>
        <v>203.26400000000001</v>
      </c>
      <c r="S24" s="128">
        <f>M24/$D24</f>
        <v>302.75200000000001</v>
      </c>
      <c r="T24" s="128">
        <f>N24*$E24</f>
        <v>0</v>
      </c>
      <c r="U24" s="128">
        <f>O24*$E24</f>
        <v>0</v>
      </c>
      <c r="V24" s="128">
        <f>P24*$E24</f>
        <v>4.0013970684383809E-2</v>
      </c>
      <c r="W24" s="128">
        <f>Q24*$E24</f>
        <v>0.93921681189733641</v>
      </c>
      <c r="X24" s="128">
        <f>R24*$E24</f>
        <v>7.0602428274223881</v>
      </c>
      <c r="Y24" s="128">
        <f>S24*$E24</f>
        <v>10.5158937956932</v>
      </c>
      <c r="Z24" s="129">
        <f t="shared" ref="Z24" si="20">N24*$G24</f>
        <v>0</v>
      </c>
      <c r="AA24" s="129">
        <f t="shared" ref="AA24" si="21">O24*$G24</f>
        <v>0</v>
      </c>
      <c r="AB24" s="129">
        <f t="shared" ref="AB24" si="22">P24*$G24</f>
        <v>1.7991386146473293E-2</v>
      </c>
      <c r="AC24" s="129">
        <f t="shared" ref="AC24" si="23">Q24*$G24</f>
        <v>0.42229781371582886</v>
      </c>
      <c r="AD24" s="129">
        <f t="shared" ref="AD24" si="24">R24*$G24</f>
        <v>3.1744801333999542</v>
      </c>
      <c r="AE24" s="129">
        <f>S24*$G24</f>
        <v>4.7282362314384399</v>
      </c>
      <c r="AF24" s="130">
        <f t="shared" si="13"/>
        <v>5.4246449248620393E-4</v>
      </c>
      <c r="AG24" s="130">
        <f>E24*F24</f>
        <v>5.5496034372812903E-4</v>
      </c>
      <c r="AH24" s="129">
        <f>T24*$F24</f>
        <v>0</v>
      </c>
      <c r="AI24" s="129">
        <f>U24*$F24</f>
        <v>0</v>
      </c>
      <c r="AJ24" s="129">
        <f>V24*$F24</f>
        <v>6.3931431597480468E-4</v>
      </c>
      <c r="AK24" s="129">
        <f>W24*$F24</f>
        <v>1.5006127694408518E-2</v>
      </c>
      <c r="AL24" s="129">
        <f>X24*$F24</f>
        <v>0.11280345930755444</v>
      </c>
      <c r="AM24" s="94">
        <f>Y24*$F24</f>
        <v>0.16801535398437853</v>
      </c>
    </row>
    <row r="25" spans="1:39" x14ac:dyDescent="0.25">
      <c r="A25" s="1" t="s">
        <v>146</v>
      </c>
      <c r="D25" s="1">
        <v>60</v>
      </c>
      <c r="E25" s="140">
        <v>2.3944348715607398E-3</v>
      </c>
      <c r="F25" s="140">
        <v>1.5049965491053801E-3</v>
      </c>
      <c r="G25" s="140">
        <v>1.48965533935772E-3</v>
      </c>
      <c r="H25" s="32">
        <v>0</v>
      </c>
      <c r="I25" s="32">
        <v>0</v>
      </c>
      <c r="J25" s="32">
        <v>0</v>
      </c>
      <c r="K25" s="32">
        <v>0</v>
      </c>
      <c r="L25" s="32">
        <v>23.2</v>
      </c>
      <c r="M25" s="32">
        <v>969.75999999999897</v>
      </c>
      <c r="N25" s="128">
        <f>H25/$D25</f>
        <v>0</v>
      </c>
      <c r="O25" s="128">
        <f t="shared" ref="O25" si="25">I25/$D25</f>
        <v>0</v>
      </c>
      <c r="P25" s="128">
        <f t="shared" ref="P25" si="26">J25/$D25</f>
        <v>0</v>
      </c>
      <c r="Q25" s="128">
        <f t="shared" ref="Q25" si="27">K25/$D25</f>
        <v>0</v>
      </c>
      <c r="R25" s="128">
        <f t="shared" ref="R25" si="28">L25/$D25</f>
        <v>0.38666666666666666</v>
      </c>
      <c r="S25" s="128">
        <f>M25/$D25</f>
        <v>16.162666666666649</v>
      </c>
      <c r="T25" s="128">
        <f>N25*$E25</f>
        <v>0</v>
      </c>
      <c r="U25" s="128">
        <f>O25*$E25</f>
        <v>0</v>
      </c>
      <c r="V25" s="128">
        <f>P25*$E25</f>
        <v>0</v>
      </c>
      <c r="W25" s="128">
        <f>Q25*$E25</f>
        <v>0</v>
      </c>
      <c r="X25" s="128">
        <f>R25*$E25</f>
        <v>9.2584815033681933E-4</v>
      </c>
      <c r="Y25" s="128">
        <f>S25*$E25</f>
        <v>3.8700452684079005E-2</v>
      </c>
      <c r="Z25" s="129">
        <f t="shared" ref="Z25" si="29">N25*$G25</f>
        <v>0</v>
      </c>
      <c r="AA25" s="129">
        <f t="shared" ref="AA25" si="30">O25*$G25</f>
        <v>0</v>
      </c>
      <c r="AB25" s="129">
        <f t="shared" ref="AB25" si="31">P25*$G25</f>
        <v>0</v>
      </c>
      <c r="AC25" s="129">
        <f t="shared" ref="AC25" si="32">Q25*$G25</f>
        <v>0</v>
      </c>
      <c r="AD25" s="129">
        <f t="shared" ref="AD25" si="33">R25*$G25</f>
        <v>5.7600006455165169E-4</v>
      </c>
      <c r="AE25" s="129">
        <f>S25*$G25</f>
        <v>2.4076802698259014E-2</v>
      </c>
      <c r="AF25" s="130">
        <f t="shared" ref="AF25" si="34">E25*G25</f>
        <v>3.5668826911647726E-6</v>
      </c>
      <c r="AG25" s="130">
        <f>E25*F25</f>
        <v>3.6036162187564973E-6</v>
      </c>
      <c r="AH25" s="129">
        <f>T25*$F25</f>
        <v>0</v>
      </c>
      <c r="AI25" s="129">
        <f>U25*$F25</f>
        <v>0</v>
      </c>
      <c r="AJ25" s="129">
        <f>V25*$F25</f>
        <v>0</v>
      </c>
      <c r="AK25" s="129">
        <f>W25*$F25</f>
        <v>0</v>
      </c>
      <c r="AL25" s="129">
        <f>X25*$F25</f>
        <v>1.3933982712525122E-6</v>
      </c>
      <c r="AM25" s="94">
        <f>Y25*$F25</f>
        <v>5.8244047738354949E-5</v>
      </c>
    </row>
    <row r="26" spans="1:39" x14ac:dyDescent="0.25">
      <c r="D26" s="108" t="s">
        <v>138</v>
      </c>
      <c r="E26" s="108"/>
      <c r="F26" s="108"/>
      <c r="G26" s="108" t="s">
        <v>139</v>
      </c>
      <c r="H26" s="108"/>
      <c r="I26" s="108"/>
      <c r="J26" s="108" t="s">
        <v>140</v>
      </c>
      <c r="K26" s="108"/>
      <c r="L26" s="108"/>
    </row>
    <row r="27" spans="1:39" x14ac:dyDescent="0.25">
      <c r="A27" s="71" t="s">
        <v>0</v>
      </c>
      <c r="B27" s="90" t="s">
        <v>120</v>
      </c>
      <c r="C27" s="1" t="s">
        <v>46</v>
      </c>
      <c r="D27" s="1" t="s">
        <v>77</v>
      </c>
      <c r="E27" s="1" t="s">
        <v>76</v>
      </c>
      <c r="F27" s="1" t="s">
        <v>75</v>
      </c>
      <c r="G27" s="1" t="s">
        <v>77</v>
      </c>
      <c r="H27" s="1" t="s">
        <v>76</v>
      </c>
      <c r="I27" s="1" t="s">
        <v>75</v>
      </c>
      <c r="J27" s="1" t="s">
        <v>77</v>
      </c>
      <c r="K27" s="1" t="s">
        <v>76</v>
      </c>
      <c r="L27" s="1" t="s">
        <v>75</v>
      </c>
      <c r="M27" s="1" t="s">
        <v>142</v>
      </c>
      <c r="N27" s="1" t="s">
        <v>141</v>
      </c>
    </row>
    <row r="28" spans="1:39" x14ac:dyDescent="0.25">
      <c r="A28" s="74">
        <v>8</v>
      </c>
      <c r="B28" s="106">
        <v>128</v>
      </c>
      <c r="C28" s="12">
        <f>427.15*E3^0.6026</f>
        <v>142.60831146005137</v>
      </c>
      <c r="D28" s="9">
        <f>74.161*W3^0.3464</f>
        <v>116.95068108498626</v>
      </c>
      <c r="E28" s="9">
        <f>37.88*X3^0.5273</f>
        <v>115.20235701400605</v>
      </c>
      <c r="F28" s="9">
        <f>16.986*Y3^0.6867</f>
        <v>151.38755107192091</v>
      </c>
      <c r="G28" s="12">
        <f>108.36*AC3^0.294</f>
        <v>65.384578047646713</v>
      </c>
      <c r="H28" s="12">
        <f>69.293*AD3^0.3185</f>
        <v>51.628818352445393</v>
      </c>
      <c r="I28" s="12">
        <f>50.026*AE3^0.3351</f>
        <v>52.643434084458356</v>
      </c>
      <c r="J28" s="12">
        <f>102.1*AK3^0.3275</f>
        <v>92.842677817177901</v>
      </c>
      <c r="K28" s="12">
        <f>63.901*AL3^0.4721</f>
        <v>81.072571300785981</v>
      </c>
      <c r="L28" s="12">
        <f>34.771*AM3^0.6713</f>
        <v>100.44423476914439</v>
      </c>
      <c r="M28" s="12">
        <f>1005.7*AG3^0.3646</f>
        <v>148.51264954109695</v>
      </c>
      <c r="N28" s="12">
        <f>1653.8*AF3^0.4053</f>
        <v>110.58117716759436</v>
      </c>
    </row>
    <row r="29" spans="1:39" x14ac:dyDescent="0.25">
      <c r="A29" s="74">
        <v>168</v>
      </c>
      <c r="B29" s="106">
        <v>128</v>
      </c>
      <c r="C29" s="12">
        <f t="shared" ref="C29:C46" si="35">427.15*E4^0.6026</f>
        <v>99.702281630840119</v>
      </c>
      <c r="D29" s="9">
        <f>74.161*W4^0.3464</f>
        <v>98.667109532910658</v>
      </c>
      <c r="E29" s="9">
        <f>37.88*X4^0.5273</f>
        <v>82.464193841089326</v>
      </c>
      <c r="F29" s="9">
        <f>16.986*Y4^0.6867</f>
        <v>94.005035092273431</v>
      </c>
      <c r="G29" s="12">
        <f t="shared" ref="G29:G50" si="36">108.36*AC4^0.294</f>
        <v>71.795875306103753</v>
      </c>
      <c r="H29" s="12">
        <f t="shared" ref="H29:H50" si="37">69.293*AD4^0.3185</f>
        <v>54.586371705837585</v>
      </c>
      <c r="I29" s="12">
        <f t="shared" ref="I29:I50" si="38">50.026*AE4^0.3351</f>
        <v>54.712432439892552</v>
      </c>
      <c r="J29" s="12">
        <f t="shared" ref="J29:J50" si="39">102.1*AK4^0.3275</f>
        <v>83.292592946891432</v>
      </c>
      <c r="K29" s="12">
        <f t="shared" ref="K29:K50" si="40">63.901*AL4^0.4721</f>
        <v>64.795355664056643</v>
      </c>
      <c r="L29" s="12">
        <f t="shared" ref="L29:L50" si="41">34.771*AM4^0.6713</f>
        <v>70.157847245573649</v>
      </c>
      <c r="M29" s="12">
        <f>1005.7*AG4^0.3646</f>
        <v>102.06933912439833</v>
      </c>
      <c r="N29" s="12">
        <f>1653.8*AF4^0.4053</f>
        <v>94.836512436415049</v>
      </c>
    </row>
    <row r="30" spans="1:39" x14ac:dyDescent="0.25">
      <c r="A30" s="74">
        <v>22</v>
      </c>
      <c r="B30" s="106">
        <v>90</v>
      </c>
      <c r="C30" s="12">
        <f t="shared" si="35"/>
        <v>80.494299517891292</v>
      </c>
      <c r="D30" s="9">
        <f>74.161*W5^0.3464</f>
        <v>81.839656470222096</v>
      </c>
      <c r="E30" s="9">
        <f>37.88*X5^0.5273</f>
        <v>80.096224013454005</v>
      </c>
      <c r="F30" s="9">
        <f>16.986*Y5^0.6867</f>
        <v>82.058911589663026</v>
      </c>
      <c r="G30" s="12">
        <f t="shared" si="36"/>
        <v>57.107285520757799</v>
      </c>
      <c r="H30" s="12">
        <f t="shared" si="37"/>
        <v>49.706959685477116</v>
      </c>
      <c r="I30" s="12">
        <f t="shared" si="38"/>
        <v>47.264726179696602</v>
      </c>
      <c r="J30" s="12">
        <f t="shared" si="39"/>
        <v>74.954810960620108</v>
      </c>
      <c r="K30" s="12">
        <f t="shared" si="40"/>
        <v>69.961722164412535</v>
      </c>
      <c r="L30" s="12">
        <f t="shared" si="41"/>
        <v>71.098076504051448</v>
      </c>
      <c r="M30" s="12">
        <f>1005.7*AG5^0.3646</f>
        <v>85.292131472281028</v>
      </c>
      <c r="N30" s="12">
        <f>1653.8*AF5^0.4053</f>
        <v>64.555212382437986</v>
      </c>
    </row>
    <row r="31" spans="1:39" x14ac:dyDescent="0.25">
      <c r="A31" s="74">
        <v>152</v>
      </c>
      <c r="B31" s="106">
        <v>90</v>
      </c>
      <c r="C31" s="12">
        <f t="shared" si="35"/>
        <v>108.52826698393112</v>
      </c>
      <c r="D31" s="9">
        <f>74.161*W6^0.3464</f>
        <v>100.40951956926615</v>
      </c>
      <c r="E31" s="9">
        <f>37.88*X6^0.5273</f>
        <v>107.31183736382886</v>
      </c>
      <c r="F31" s="9">
        <f>16.986*Y6^0.6867</f>
        <v>118.23889856838431</v>
      </c>
      <c r="G31" s="12">
        <f t="shared" si="36"/>
        <v>67.228863069123221</v>
      </c>
      <c r="H31" s="12">
        <f t="shared" si="37"/>
        <v>58.649038570468207</v>
      </c>
      <c r="I31" s="12">
        <f t="shared" si="38"/>
        <v>55.822006645722404</v>
      </c>
      <c r="J31" s="12">
        <f t="shared" si="39"/>
        <v>84.252068948159007</v>
      </c>
      <c r="K31" s="12">
        <f t="shared" si="40"/>
        <v>81.425656805169879</v>
      </c>
      <c r="L31" s="12">
        <f t="shared" si="41"/>
        <v>86.878941050514186</v>
      </c>
      <c r="M31" s="12">
        <f>1005.7*AG6^0.3646</f>
        <v>112.46258633271916</v>
      </c>
      <c r="N31" s="12">
        <f>1653.8*AF6^0.4053</f>
        <v>95.122649124916435</v>
      </c>
    </row>
    <row r="32" spans="1:39" x14ac:dyDescent="0.25">
      <c r="A32" s="74">
        <v>101</v>
      </c>
      <c r="B32" s="106">
        <v>64</v>
      </c>
      <c r="C32" s="12">
        <f t="shared" si="35"/>
        <v>51.711320397363707</v>
      </c>
      <c r="D32" s="9">
        <f>74.161*W7^0.3464</f>
        <v>64.278148375633563</v>
      </c>
      <c r="E32" s="9">
        <f>37.88*X7^0.5273</f>
        <v>64.292992001684325</v>
      </c>
      <c r="F32" s="9">
        <f>16.986*Y7^0.6867</f>
        <v>52.825760217034208</v>
      </c>
      <c r="G32" s="12">
        <f t="shared" si="36"/>
        <v>67.790158190567425</v>
      </c>
      <c r="H32" s="12">
        <f t="shared" si="37"/>
        <v>65.448134471991892</v>
      </c>
      <c r="I32" s="12">
        <f t="shared" si="38"/>
        <v>58.554474525039957</v>
      </c>
      <c r="J32" s="12">
        <f t="shared" si="39"/>
        <v>71.06874423077123</v>
      </c>
      <c r="K32" s="12">
        <f t="shared" si="40"/>
        <v>73.967491919762509</v>
      </c>
      <c r="L32" s="12">
        <f t="shared" si="41"/>
        <v>66.185835174744469</v>
      </c>
      <c r="M32" s="12">
        <f>1005.7*AG7^0.3646</f>
        <v>60.677327684459591</v>
      </c>
      <c r="N32" s="12">
        <f>1653.8*AF7^0.4053</f>
        <v>59.81684128500595</v>
      </c>
    </row>
    <row r="33" spans="1:14" x14ac:dyDescent="0.25">
      <c r="A33" s="74">
        <v>24</v>
      </c>
      <c r="B33" s="106">
        <v>64</v>
      </c>
      <c r="C33" s="12">
        <f t="shared" si="35"/>
        <v>110.07828843908854</v>
      </c>
      <c r="D33" s="9">
        <f>74.161*W8^0.3464</f>
        <v>84.645419959614827</v>
      </c>
      <c r="E33" s="9">
        <f>37.88*X8^0.5273</f>
        <v>98.930237776466655</v>
      </c>
      <c r="F33" s="9">
        <f>16.986*Y8^0.6867</f>
        <v>124.70779520648537</v>
      </c>
      <c r="G33" s="12">
        <f t="shared" si="36"/>
        <v>52.229548635315865</v>
      </c>
      <c r="H33" s="12">
        <f t="shared" si="37"/>
        <v>49.69916480382139</v>
      </c>
      <c r="I33" s="12">
        <f t="shared" si="38"/>
        <v>50.684987955350557</v>
      </c>
      <c r="J33" s="12">
        <f t="shared" si="39"/>
        <v>62.949579087623313</v>
      </c>
      <c r="K33" s="12">
        <f t="shared" si="40"/>
        <v>62.769226707154601</v>
      </c>
      <c r="L33" s="12">
        <f t="shared" si="41"/>
        <v>70.11199502976369</v>
      </c>
      <c r="M33" s="12">
        <f>1005.7*AG8^0.3646</f>
        <v>98.992268531121866</v>
      </c>
      <c r="N33" s="12">
        <f>1653.8*AF8^0.4053</f>
        <v>83.599915485968992</v>
      </c>
    </row>
    <row r="34" spans="1:14" x14ac:dyDescent="0.25">
      <c r="A34" s="74">
        <v>159</v>
      </c>
      <c r="B34" s="106">
        <v>45</v>
      </c>
      <c r="C34" s="12">
        <f t="shared" si="35"/>
        <v>28.138895212995983</v>
      </c>
      <c r="D34" s="9">
        <f>74.161*W9^0.3464</f>
        <v>26.736932705849615</v>
      </c>
      <c r="E34" s="9">
        <f>37.88*X9^0.5273</f>
        <v>28.10042237838346</v>
      </c>
      <c r="F34" s="9">
        <f>16.986*Y9^0.6867</f>
        <v>27.901091442354769</v>
      </c>
      <c r="G34" s="12">
        <f t="shared" si="36"/>
        <v>35.266075271003764</v>
      </c>
      <c r="H34" s="12">
        <f t="shared" si="37"/>
        <v>43.811709923510548</v>
      </c>
      <c r="I34" s="12">
        <f t="shared" si="38"/>
        <v>47.568351400075024</v>
      </c>
      <c r="J34" s="12">
        <f t="shared" si="39"/>
        <v>30.079911506948299</v>
      </c>
      <c r="K34" s="12">
        <f t="shared" si="40"/>
        <v>33.739575287705421</v>
      </c>
      <c r="L34" s="12">
        <f t="shared" si="41"/>
        <v>33.314079141418567</v>
      </c>
      <c r="M34" s="12">
        <f>1005.7*AG9^0.3646</f>
        <v>28.086060484113897</v>
      </c>
      <c r="N34" s="12">
        <f>1653.8*AF9^0.4053</f>
        <v>29.908779346397502</v>
      </c>
    </row>
    <row r="35" spans="1:14" x14ac:dyDescent="0.25">
      <c r="A35" s="74">
        <v>35</v>
      </c>
      <c r="B35" s="106">
        <v>45</v>
      </c>
      <c r="C35" s="12">
        <f t="shared" si="35"/>
        <v>43.154717980702401</v>
      </c>
      <c r="D35" s="9">
        <f>74.161*W10^0.3464</f>
        <v>53.16003696048103</v>
      </c>
      <c r="E35" s="9">
        <f>37.88*X10^0.5273</f>
        <v>47.762566472643172</v>
      </c>
      <c r="F35" s="9">
        <f>16.986*Y10^0.6867</f>
        <v>45.725264313361798</v>
      </c>
      <c r="G35" s="12">
        <f t="shared" si="36"/>
        <v>56.481737181745252</v>
      </c>
      <c r="H35" s="12">
        <f t="shared" si="37"/>
        <v>53.444660669019079</v>
      </c>
      <c r="I35" s="12">
        <f t="shared" si="38"/>
        <v>53.261989913258184</v>
      </c>
      <c r="J35" s="12">
        <f t="shared" si="39"/>
        <v>56.269015182775313</v>
      </c>
      <c r="K35" s="12">
        <f t="shared" si="40"/>
        <v>52.444532611877179</v>
      </c>
      <c r="L35" s="12">
        <f t="shared" si="41"/>
        <v>51.457953253671036</v>
      </c>
      <c r="M35" s="12">
        <f>1005.7*AG10^0.3646</f>
        <v>45.907042188380011</v>
      </c>
      <c r="N35" s="12">
        <f>1653.8*AF10^0.4053</f>
        <v>45.539576890893976</v>
      </c>
    </row>
    <row r="36" spans="1:14" x14ac:dyDescent="0.25">
      <c r="A36" s="74">
        <v>61</v>
      </c>
      <c r="B36" s="106">
        <v>32</v>
      </c>
      <c r="C36" s="12">
        <f t="shared" si="35"/>
        <v>45.758265516180927</v>
      </c>
      <c r="D36" s="9">
        <f>74.161*W11^0.3464</f>
        <v>46.625545153582543</v>
      </c>
      <c r="E36" s="9">
        <f>37.88*X11^0.5273</f>
        <v>46.738237285038721</v>
      </c>
      <c r="F36" s="9">
        <f>16.986*Y11^0.6867</f>
        <v>50.693872679641075</v>
      </c>
      <c r="G36" s="12">
        <f t="shared" si="36"/>
        <v>43.736421375108904</v>
      </c>
      <c r="H36" s="12">
        <f t="shared" si="37"/>
        <v>45.109768952226155</v>
      </c>
      <c r="I36" s="12">
        <f t="shared" si="38"/>
        <v>47.5106298842461</v>
      </c>
      <c r="J36" s="12">
        <f t="shared" si="39"/>
        <v>46.106882454418574</v>
      </c>
      <c r="K36" s="12">
        <f t="shared" si="40"/>
        <v>46.153491480304773</v>
      </c>
      <c r="L36" s="12">
        <f t="shared" si="41"/>
        <v>48.788996478358897</v>
      </c>
      <c r="M36" s="12">
        <f>1005.7*AG11^0.3646</f>
        <v>45.322803330337265</v>
      </c>
      <c r="N36" s="12">
        <f>1653.8*AF11^0.4053</f>
        <v>40.378282611221621</v>
      </c>
    </row>
    <row r="37" spans="1:14" x14ac:dyDescent="0.25">
      <c r="A37" s="74">
        <v>52</v>
      </c>
      <c r="B37" s="106">
        <v>32</v>
      </c>
      <c r="C37" s="12">
        <f t="shared" si="35"/>
        <v>35.608707540523334</v>
      </c>
      <c r="D37" s="9">
        <f>74.161*W12^0.3464</f>
        <v>45.215301267981694</v>
      </c>
      <c r="E37" s="9">
        <f>37.88*X12^0.5273</f>
        <v>43.135793875140585</v>
      </c>
      <c r="F37" s="9">
        <f>16.986*Y12^0.6867</f>
        <v>37.809091337666921</v>
      </c>
      <c r="G37" s="12">
        <f t="shared" si="36"/>
        <v>56.805792312904344</v>
      </c>
      <c r="H37" s="12">
        <f t="shared" si="37"/>
        <v>58.682124784073622</v>
      </c>
      <c r="I37" s="12">
        <f t="shared" si="38"/>
        <v>57.143620920571067</v>
      </c>
      <c r="J37" s="12">
        <f t="shared" si="39"/>
        <v>52.340891171179685</v>
      </c>
      <c r="K37" s="12">
        <f t="shared" si="40"/>
        <v>53.775932795362614</v>
      </c>
      <c r="L37" s="12">
        <f t="shared" si="41"/>
        <v>50.415003086487374</v>
      </c>
      <c r="M37" s="12">
        <f>1005.7*AG12^0.3646</f>
        <v>39.799314160287572</v>
      </c>
      <c r="N37" s="12">
        <f>1653.8*AF12^0.4053</f>
        <v>42.833464874460979</v>
      </c>
    </row>
    <row r="38" spans="1:14" x14ac:dyDescent="0.25">
      <c r="A38" s="74">
        <v>53</v>
      </c>
      <c r="B38" s="106">
        <v>22.6</v>
      </c>
      <c r="C38" s="12">
        <f t="shared" si="35"/>
        <v>18.385700320150519</v>
      </c>
      <c r="D38" s="9">
        <f>74.161*W13^0.3464</f>
        <v>15.458241908347745</v>
      </c>
      <c r="E38" s="9">
        <f>37.88*X13^0.5273</f>
        <v>16.910762054923712</v>
      </c>
      <c r="F38" s="9">
        <f>16.986*Y13^0.6867</f>
        <v>17.937037785470327</v>
      </c>
      <c r="G38" s="12">
        <f t="shared" si="36"/>
        <v>25.250107129129805</v>
      </c>
      <c r="H38" s="12">
        <f t="shared" si="37"/>
        <v>37.151370987424627</v>
      </c>
      <c r="I38" s="12">
        <f t="shared" si="38"/>
        <v>44.514321903194059</v>
      </c>
      <c r="J38" s="12">
        <f t="shared" si="39"/>
        <v>20.606898398021112</v>
      </c>
      <c r="K38" s="12">
        <f t="shared" si="40"/>
        <v>26.193008149886403</v>
      </c>
      <c r="L38" s="12">
        <f t="shared" si="41"/>
        <v>28.806524264497664</v>
      </c>
      <c r="M38" s="12">
        <f>1005.7*AG13^0.3646</f>
        <v>19.607181438968368</v>
      </c>
      <c r="N38" s="12">
        <f>1653.8*AF13^0.4053</f>
        <v>20.209898403573217</v>
      </c>
    </row>
    <row r="39" spans="1:14" x14ac:dyDescent="0.25">
      <c r="A39" s="74">
        <v>45</v>
      </c>
      <c r="B39" s="106">
        <v>22.6</v>
      </c>
      <c r="C39" s="12">
        <f t="shared" si="35"/>
        <v>21.41250921689856</v>
      </c>
      <c r="D39" s="9">
        <f>74.161*W14^0.3464</f>
        <v>23.336350030250173</v>
      </c>
      <c r="E39" s="9">
        <f>37.88*X14^0.5273</f>
        <v>21.579159215396679</v>
      </c>
      <c r="F39" s="9">
        <f>16.986*Y14^0.6867</f>
        <v>20.816449369009678</v>
      </c>
      <c r="G39" s="12">
        <f t="shared" si="36"/>
        <v>35.860619902777074</v>
      </c>
      <c r="H39" s="12">
        <f t="shared" si="37"/>
        <v>43.103065572380601</v>
      </c>
      <c r="I39" s="12">
        <f t="shared" si="38"/>
        <v>47.936496620170558</v>
      </c>
      <c r="J39" s="12">
        <f t="shared" si="39"/>
        <v>30.150375188185901</v>
      </c>
      <c r="K39" s="12">
        <f t="shared" si="40"/>
        <v>32.169770578692088</v>
      </c>
      <c r="L39" s="12">
        <f t="shared" si="41"/>
        <v>32.721980499652865</v>
      </c>
      <c r="M39" s="12">
        <f>1005.7*AG14^0.3646</f>
        <v>23.347499534220773</v>
      </c>
      <c r="N39" s="12">
        <f>1653.8*AF14^0.4053</f>
        <v>24.850877167472145</v>
      </c>
    </row>
    <row r="40" spans="1:14" x14ac:dyDescent="0.25">
      <c r="A40" s="7">
        <v>1.3</v>
      </c>
      <c r="B40" s="106">
        <v>32</v>
      </c>
      <c r="C40" s="12">
        <f t="shared" si="35"/>
        <v>44.21810982361545</v>
      </c>
      <c r="D40" s="9">
        <f>74.161*W15^0.3464</f>
        <v>52.950371279609229</v>
      </c>
      <c r="E40" s="9">
        <f>37.88*X15^0.5273</f>
        <v>52.065455706577225</v>
      </c>
      <c r="F40" s="9">
        <f>16.986*Y15^0.6867</f>
        <v>44.439476416146661</v>
      </c>
      <c r="G40" s="12">
        <f t="shared" si="36"/>
        <v>55.070994541852556</v>
      </c>
      <c r="H40" s="12">
        <f t="shared" si="37"/>
        <v>54.980619547343714</v>
      </c>
      <c r="I40" s="12">
        <f t="shared" si="38"/>
        <v>51.228547124253282</v>
      </c>
      <c r="J40" s="12">
        <f t="shared" si="39"/>
        <v>54.735478167433257</v>
      </c>
      <c r="K40" s="12">
        <f t="shared" si="40"/>
        <v>54.736965281607354</v>
      </c>
      <c r="L40" s="12">
        <f t="shared" si="41"/>
        <v>47.65088313560797</v>
      </c>
      <c r="M40" s="12">
        <f>1005.7*AG15^0.3646</f>
        <v>46.038254907884948</v>
      </c>
      <c r="N40" s="12">
        <f>1653.8*AF15^0.4053</f>
        <v>45.653523329179976</v>
      </c>
    </row>
    <row r="41" spans="1:14" x14ac:dyDescent="0.25">
      <c r="A41" s="7">
        <v>2.1</v>
      </c>
      <c r="B41" s="106">
        <v>45</v>
      </c>
      <c r="C41" s="12">
        <f t="shared" si="35"/>
        <v>56.991450556743601</v>
      </c>
      <c r="D41" s="9">
        <f>74.161*W16^0.3464</f>
        <v>52.083412584564385</v>
      </c>
      <c r="E41" s="9">
        <f>37.88*X16^0.5273</f>
        <v>56.677837419095475</v>
      </c>
      <c r="F41" s="9">
        <f>16.986*Y16^0.6867</f>
        <v>58.476691429138036</v>
      </c>
      <c r="G41" s="12">
        <f t="shared" si="36"/>
        <v>42.327678645468538</v>
      </c>
      <c r="H41" s="12">
        <f t="shared" si="37"/>
        <v>44.18193950713075</v>
      </c>
      <c r="I41" s="12">
        <f t="shared" si="38"/>
        <v>44.090548863460931</v>
      </c>
      <c r="J41" s="12">
        <f t="shared" si="39"/>
        <v>44.660696204200569</v>
      </c>
      <c r="K41" s="12">
        <f t="shared" si="40"/>
        <v>45.05127682505821</v>
      </c>
      <c r="L41" s="12">
        <f t="shared" si="41"/>
        <v>42.405450139647805</v>
      </c>
      <c r="M41" s="12">
        <f>1005.7*AG16^0.3646</f>
        <v>50.778205890389032</v>
      </c>
      <c r="N41" s="12">
        <f>1653.8*AF16^0.4053</f>
        <v>45.55594040850918</v>
      </c>
    </row>
    <row r="42" spans="1:14" x14ac:dyDescent="0.25">
      <c r="A42" s="7">
        <v>2.2999999999999998</v>
      </c>
      <c r="B42" s="106">
        <v>45</v>
      </c>
      <c r="C42" s="12">
        <f t="shared" si="35"/>
        <v>39.729031757563774</v>
      </c>
      <c r="D42" s="9">
        <f>74.161*W17^0.3464</f>
        <v>48.039697797790794</v>
      </c>
      <c r="E42" s="9">
        <f>37.88*X17^0.5273</f>
        <v>44.539875444295852</v>
      </c>
      <c r="F42" s="9">
        <f>16.986*Y17^0.6867</f>
        <v>40.699633570833882</v>
      </c>
      <c r="G42" s="12">
        <f t="shared" si="36"/>
        <v>51.321814032058477</v>
      </c>
      <c r="H42" s="12">
        <f t="shared" si="37"/>
        <v>50.693032441828286</v>
      </c>
      <c r="I42" s="12">
        <f t="shared" si="38"/>
        <v>49.75878646363784</v>
      </c>
      <c r="J42" s="12">
        <f t="shared" si="39"/>
        <v>49.758189863230243</v>
      </c>
      <c r="K42" s="12">
        <f t="shared" si="40"/>
        <v>47.369550102291711</v>
      </c>
      <c r="L42" s="12">
        <f t="shared" si="41"/>
        <v>43.4303454246649</v>
      </c>
      <c r="M42" s="12">
        <f>1005.7*AG17^0.3646</f>
        <v>40.295260239584771</v>
      </c>
      <c r="N42" s="12">
        <f>1653.8*AF17^0.4053</f>
        <v>40.195470850604011</v>
      </c>
    </row>
    <row r="43" spans="1:14" x14ac:dyDescent="0.25">
      <c r="A43" s="7">
        <v>3.1</v>
      </c>
      <c r="B43" s="106">
        <v>64</v>
      </c>
      <c r="C43" s="12">
        <f t="shared" si="35"/>
        <v>122.90534144639936</v>
      </c>
      <c r="D43" s="9">
        <f>74.161*W18^0.3464</f>
        <v>93.859595433595302</v>
      </c>
      <c r="E43" s="9">
        <f>37.88*X18^0.5273</f>
        <v>110.89242834341546</v>
      </c>
      <c r="F43" s="9">
        <f>16.986*Y18^0.6867</f>
        <v>137.04560139288705</v>
      </c>
      <c r="G43" s="12">
        <f t="shared" si="36"/>
        <v>49.641114279051997</v>
      </c>
      <c r="H43" s="12">
        <f t="shared" si="37"/>
        <v>45.826527086844514</v>
      </c>
      <c r="I43" s="12">
        <f t="shared" si="38"/>
        <v>45.321140149968969</v>
      </c>
      <c r="J43" s="12">
        <f t="shared" si="39"/>
        <v>63.758286007908318</v>
      </c>
      <c r="K43" s="12">
        <f t="shared" si="40"/>
        <v>61.512353564056511</v>
      </c>
      <c r="L43" s="12">
        <f t="shared" si="41"/>
        <v>64.601613003966577</v>
      </c>
      <c r="M43" s="12">
        <f>1005.7*AG18^0.3646</f>
        <v>102.91199725897496</v>
      </c>
      <c r="N43" s="12">
        <f>1653.8*AF18^0.4053</f>
        <v>80.105211136678733</v>
      </c>
    </row>
    <row r="44" spans="1:14" x14ac:dyDescent="0.25">
      <c r="A44" s="7">
        <v>4.2</v>
      </c>
      <c r="B44" s="106">
        <v>90</v>
      </c>
      <c r="C44" s="12">
        <f t="shared" si="35"/>
        <v>62.934080327892111</v>
      </c>
      <c r="D44" s="9">
        <f>74.161*W19^0.3464</f>
        <v>66.673723886903545</v>
      </c>
      <c r="E44" s="9">
        <f>37.88*X19^0.5273</f>
        <v>66.462917937619366</v>
      </c>
      <c r="F44" s="9">
        <f>16.986*Y19^0.6867</f>
        <v>64.565347307891471</v>
      </c>
      <c r="G44" s="12">
        <f t="shared" si="36"/>
        <v>56.762094883418058</v>
      </c>
      <c r="H44" s="12">
        <f t="shared" si="37"/>
        <v>53.267136543491972</v>
      </c>
      <c r="I44" s="12">
        <f t="shared" si="38"/>
        <v>50.913070065770825</v>
      </c>
      <c r="J44" s="12">
        <f t="shared" si="39"/>
        <v>57.802109090072939</v>
      </c>
      <c r="K44" s="12">
        <f t="shared" si="40"/>
        <v>53.818834117110711</v>
      </c>
      <c r="L44" s="12">
        <f t="shared" si="41"/>
        <v>49.116994051864594</v>
      </c>
      <c r="M44" s="12">
        <f>1005.7*AG19^0.3646</f>
        <v>58.832968719528274</v>
      </c>
      <c r="N44" s="12">
        <f>1653.8*AF19^0.4053</f>
        <v>58.43516419455667</v>
      </c>
    </row>
    <row r="45" spans="1:14" x14ac:dyDescent="0.25">
      <c r="A45" s="7">
        <v>4.3</v>
      </c>
      <c r="B45" s="106">
        <v>90</v>
      </c>
      <c r="C45" s="12">
        <f t="shared" si="35"/>
        <v>82.301765378972704</v>
      </c>
      <c r="D45" s="9">
        <f>74.161*W20^0.3464</f>
        <v>82.551125132717345</v>
      </c>
      <c r="E45" s="9">
        <f>37.88*X20^0.5273</f>
        <v>88.309972427913436</v>
      </c>
      <c r="F45" s="9">
        <f>16.986*Y20^0.6867</f>
        <v>86.414678018681897</v>
      </c>
      <c r="G45" s="12">
        <f t="shared" si="36"/>
        <v>67.001302816277274</v>
      </c>
      <c r="H45" s="12">
        <f t="shared" si="37"/>
        <v>62.193390742230939</v>
      </c>
      <c r="I45" s="12">
        <f t="shared" si="38"/>
        <v>57.670539519757106</v>
      </c>
      <c r="J45" s="12">
        <f t="shared" si="39"/>
        <v>70.67174735147897</v>
      </c>
      <c r="K45" s="12">
        <f t="shared" si="40"/>
        <v>69.320260916444269</v>
      </c>
      <c r="L45" s="12">
        <f t="shared" si="41"/>
        <v>65.18559131526824</v>
      </c>
      <c r="M45" s="12">
        <f>1005.7*AG20^0.3646</f>
        <v>81.315610363652823</v>
      </c>
      <c r="N45" s="12">
        <f>1653.8*AF20^0.4053</f>
        <v>82.06675104088508</v>
      </c>
    </row>
    <row r="46" spans="1:14" x14ac:dyDescent="0.25">
      <c r="A46" s="75" t="s">
        <v>34</v>
      </c>
      <c r="B46" s="27">
        <v>108.42</v>
      </c>
      <c r="C46" s="12">
        <f t="shared" si="35"/>
        <v>103.79561762782475</v>
      </c>
      <c r="D46" s="9">
        <f>74.161*W21^0.3464</f>
        <v>42.984318298384501</v>
      </c>
      <c r="E46" s="9">
        <f>37.88*X21^0.5273</f>
        <v>67.830233196402276</v>
      </c>
      <c r="F46" s="9">
        <f>16.986*Y21^0.6867</f>
        <v>101.31423534097813</v>
      </c>
      <c r="G46" s="12">
        <f t="shared" si="36"/>
        <v>24.654925635784203</v>
      </c>
      <c r="H46" s="12">
        <f t="shared" si="37"/>
        <v>32.715728904805879</v>
      </c>
      <c r="I46" s="12">
        <f t="shared" si="38"/>
        <v>37.493598149762107</v>
      </c>
      <c r="J46" s="12">
        <f t="shared" si="39"/>
        <v>21.865693822315428</v>
      </c>
      <c r="K46" s="12">
        <f t="shared" si="40"/>
        <v>24.552341859803199</v>
      </c>
      <c r="L46" s="12">
        <f t="shared" si="41"/>
        <v>24.355555477494292</v>
      </c>
      <c r="M46" s="12">
        <f>1005.7*AG21^0.3646</f>
        <v>57.972240615240565</v>
      </c>
      <c r="N46" s="12">
        <f>1653.8*AF21^0.4053</f>
        <v>60.642260994368897</v>
      </c>
    </row>
    <row r="47" spans="1:14" x14ac:dyDescent="0.25">
      <c r="A47" s="68" t="s">
        <v>89</v>
      </c>
      <c r="B47" s="106"/>
      <c r="C47" s="12"/>
      <c r="D47" s="9"/>
      <c r="E47" s="9"/>
      <c r="F47" s="9"/>
      <c r="G47" s="12"/>
      <c r="H47" s="12"/>
      <c r="I47" s="12"/>
      <c r="J47" s="12"/>
      <c r="K47" s="12"/>
      <c r="L47" s="12"/>
      <c r="M47" s="12"/>
      <c r="N47" s="12"/>
    </row>
    <row r="48" spans="1:14" x14ac:dyDescent="0.25">
      <c r="A48" s="76" t="s">
        <v>90</v>
      </c>
      <c r="B48" s="107"/>
      <c r="C48" s="12"/>
      <c r="D48" s="9"/>
      <c r="E48" s="9"/>
      <c r="F48" s="9"/>
      <c r="G48" s="12"/>
      <c r="H48" s="12"/>
      <c r="I48" s="12"/>
      <c r="J48" s="12"/>
      <c r="K48" s="12"/>
      <c r="L48" s="12"/>
      <c r="M48" s="12"/>
      <c r="N48" s="12"/>
    </row>
    <row r="49" spans="1:33" x14ac:dyDescent="0.25">
      <c r="A49" s="1" t="s">
        <v>91</v>
      </c>
      <c r="C49" s="12"/>
      <c r="D49" s="9"/>
      <c r="E49" s="9"/>
      <c r="F49" s="9"/>
      <c r="G49" s="12"/>
      <c r="H49" s="12"/>
      <c r="I49" s="12"/>
      <c r="J49" s="12"/>
      <c r="K49" s="12"/>
      <c r="L49" s="12"/>
      <c r="M49" s="12"/>
      <c r="N49" s="12"/>
    </row>
    <row r="50" spans="1:33" x14ac:dyDescent="0.25">
      <c r="A50" s="1" t="s">
        <v>146</v>
      </c>
      <c r="C50" s="12"/>
      <c r="D50" s="9"/>
      <c r="E50" s="9"/>
      <c r="F50" s="9"/>
      <c r="G50" s="12"/>
      <c r="H50" s="12"/>
      <c r="I50" s="12"/>
      <c r="J50" s="12"/>
      <c r="K50" s="12"/>
      <c r="L50" s="12"/>
      <c r="M50" s="12"/>
      <c r="N50" s="12"/>
    </row>
    <row r="51" spans="1:33" x14ac:dyDescent="0.25">
      <c r="A51" s="1"/>
      <c r="D51" s="108" t="s">
        <v>138</v>
      </c>
      <c r="E51" s="108"/>
      <c r="F51" s="108"/>
      <c r="G51" s="108" t="s">
        <v>139</v>
      </c>
      <c r="H51" s="108"/>
      <c r="I51" s="108"/>
      <c r="J51" s="108" t="s">
        <v>140</v>
      </c>
      <c r="K51" s="108"/>
      <c r="L51" s="108"/>
      <c r="M51" s="12"/>
      <c r="N51" s="12"/>
    </row>
    <row r="52" spans="1:33" x14ac:dyDescent="0.25">
      <c r="A52" s="71" t="s">
        <v>0</v>
      </c>
      <c r="B52" s="87" t="s">
        <v>119</v>
      </c>
      <c r="C52" s="1" t="s">
        <v>46</v>
      </c>
      <c r="D52" s="1" t="s">
        <v>77</v>
      </c>
      <c r="E52" s="1" t="s">
        <v>76</v>
      </c>
      <c r="F52" s="1" t="s">
        <v>75</v>
      </c>
      <c r="G52" s="1" t="s">
        <v>77</v>
      </c>
      <c r="H52" s="1" t="s">
        <v>76</v>
      </c>
      <c r="I52" s="1" t="s">
        <v>75</v>
      </c>
      <c r="J52" s="1" t="s">
        <v>77</v>
      </c>
      <c r="K52" s="1" t="s">
        <v>76</v>
      </c>
      <c r="L52" s="1" t="s">
        <v>75</v>
      </c>
      <c r="M52" s="1" t="s">
        <v>142</v>
      </c>
      <c r="N52" s="1" t="s">
        <v>141</v>
      </c>
    </row>
    <row r="53" spans="1:33" x14ac:dyDescent="0.25">
      <c r="A53" s="74">
        <v>8</v>
      </c>
      <c r="B53" s="16">
        <v>160</v>
      </c>
      <c r="C53" s="12">
        <f>438.62*E3^0.5202</f>
        <v>170.13788672321408</v>
      </c>
      <c r="D53" s="12">
        <f>96.548*W3^0.2837</f>
        <v>140.20478212125607</v>
      </c>
      <c r="E53" s="12">
        <f>55.977*X3^0.4232</f>
        <v>136.67736893781731</v>
      </c>
      <c r="F53" s="12">
        <f>27.89*Y3^0.5731</f>
        <v>173.09730121961513</v>
      </c>
      <c r="G53" s="12">
        <f>130.49*AC3^0.2126</f>
        <v>90.558089161382156</v>
      </c>
      <c r="H53" s="12">
        <f>96.485*AD3^0.2302</f>
        <v>77.999664550375968</v>
      </c>
      <c r="I53" s="12">
        <f>76.753*AE3^0.2418</f>
        <v>79.63007585891566</v>
      </c>
      <c r="J53" s="12">
        <f>124.18*AK3^0.244</f>
        <v>115.69055578308982</v>
      </c>
      <c r="K53" s="12">
        <f>88.414*AL3^0.3374</f>
        <v>104.80808060467875</v>
      </c>
      <c r="L53" s="12">
        <f>57.387*AM3^0.4719</f>
        <v>120.96917712180247</v>
      </c>
      <c r="M53" s="12">
        <f>815.51*AG3^0.299</f>
        <v>169.89765804922703</v>
      </c>
      <c r="N53" s="9">
        <f>1159*AF3^0.3242</f>
        <v>133.15514653210047</v>
      </c>
    </row>
    <row r="54" spans="1:33" x14ac:dyDescent="0.25">
      <c r="A54" s="74">
        <v>168</v>
      </c>
      <c r="B54" s="16">
        <v>196</v>
      </c>
      <c r="C54" s="12">
        <f t="shared" ref="C54" si="42">438.62*E4^0.5202</f>
        <v>124.91547576103727</v>
      </c>
      <c r="D54" s="12">
        <f>96.548*W4^0.2837</f>
        <v>121.98210161107866</v>
      </c>
      <c r="E54" s="12">
        <f>55.977*X4^0.4232</f>
        <v>104.51180930955813</v>
      </c>
      <c r="F54" s="12">
        <f>27.89*Y4^0.5731</f>
        <v>116.30139937718259</v>
      </c>
      <c r="G54" s="12">
        <f t="shared" ref="G54" si="43">130.49*AC4^0.2126</f>
        <v>96.895537258451341</v>
      </c>
      <c r="H54" s="12">
        <f t="shared" ref="H54" si="44">96.485*AD4^0.2302</f>
        <v>81.204079417039338</v>
      </c>
      <c r="I54" s="12">
        <f t="shared" ref="I54" si="45">76.753*AE4^0.2418</f>
        <v>81.876187704922387</v>
      </c>
      <c r="J54" s="12">
        <f t="shared" ref="J54" si="46">124.18*AK4^0.244</f>
        <v>106.70281022512167</v>
      </c>
      <c r="K54" s="12">
        <f t="shared" ref="K54" si="47">88.414*AL4^0.3374</f>
        <v>89.296616178066657</v>
      </c>
      <c r="L54" s="12">
        <f t="shared" ref="L54" si="48">57.387*AM4^0.4719</f>
        <v>93.997996446094717</v>
      </c>
      <c r="M54" s="12">
        <f>815.51*AG4^0.299</f>
        <v>124.9174203555213</v>
      </c>
      <c r="N54" s="9">
        <f t="shared" ref="N54" si="49">1159*AF4^0.3242</f>
        <v>117.7606062622298</v>
      </c>
    </row>
    <row r="55" spans="1:33" x14ac:dyDescent="0.25">
      <c r="A55" s="74">
        <v>152</v>
      </c>
      <c r="B55" s="16">
        <v>91.54</v>
      </c>
      <c r="C55" s="12">
        <f>438.62*E6^0.5202</f>
        <v>134.40542286030117</v>
      </c>
      <c r="D55" s="12">
        <f>96.548*W6^0.2837</f>
        <v>123.7435326874806</v>
      </c>
      <c r="E55" s="12">
        <f>55.977*X6^0.4232</f>
        <v>129.11186329273659</v>
      </c>
      <c r="F55" s="12">
        <f>27.89*Y6^0.5731</f>
        <v>140.83673665076495</v>
      </c>
      <c r="G55" s="12">
        <f>130.49*AC6^0.2126</f>
        <v>92.398085053033697</v>
      </c>
      <c r="H55" s="12">
        <f>96.485*AD6^0.2302</f>
        <v>85.52856559883972</v>
      </c>
      <c r="I55" s="12">
        <f>76.753*AE6^0.2418</f>
        <v>83.070980141291898</v>
      </c>
      <c r="J55" s="12">
        <f>124.18*AK6^0.244</f>
        <v>107.61723280836335</v>
      </c>
      <c r="K55" s="12">
        <f>88.414*AL6^0.3374</f>
        <v>105.13409920076676</v>
      </c>
      <c r="L55" s="12">
        <f>57.387*AM6^0.4719</f>
        <v>109.23972326455869</v>
      </c>
      <c r="M55" s="12">
        <f>815.51*AG6^0.299</f>
        <v>135.25667523440853</v>
      </c>
      <c r="N55" s="9">
        <f>1159*AF6^0.3242</f>
        <v>118.04472733890924</v>
      </c>
    </row>
    <row r="56" spans="1:33" x14ac:dyDescent="0.25">
      <c r="A56" s="74">
        <v>101</v>
      </c>
      <c r="B56" s="16">
        <v>108.92</v>
      </c>
      <c r="C56" s="12">
        <f>438.62*E7^0.5202</f>
        <v>70.873558375263997</v>
      </c>
      <c r="D56" s="12">
        <f>96.548*W7^0.2837</f>
        <v>85.876366520169782</v>
      </c>
      <c r="E56" s="12">
        <f>55.977*X7^0.4232</f>
        <v>85.586472711589053</v>
      </c>
      <c r="F56" s="12">
        <f>27.89*Y7^0.5731</f>
        <v>71.893116655880291</v>
      </c>
      <c r="G56" s="12">
        <f>130.49*AC7^0.2126</f>
        <v>92.955288674846088</v>
      </c>
      <c r="H56" s="12">
        <f>96.485*AD7^0.2302</f>
        <v>92.58507770149545</v>
      </c>
      <c r="I56" s="12">
        <f>76.753*AE7^0.2418</f>
        <v>85.985531528468286</v>
      </c>
      <c r="J56" s="12">
        <f>124.18*AK7^0.244</f>
        <v>94.80299551010917</v>
      </c>
      <c r="K56" s="12">
        <f>88.414*AL7^0.3374</f>
        <v>98.158274727852799</v>
      </c>
      <c r="L56" s="12">
        <f>57.387*AM7^0.4719</f>
        <v>90.224757524069048</v>
      </c>
      <c r="M56" s="12">
        <f>815.51*AG7^0.299</f>
        <v>81.544222883901099</v>
      </c>
      <c r="N56" s="9">
        <f>1159*AF7^0.3242</f>
        <v>81.451316313498111</v>
      </c>
    </row>
    <row r="57" spans="1:33" x14ac:dyDescent="0.25">
      <c r="A57" s="74">
        <v>24</v>
      </c>
      <c r="B57" s="16">
        <v>87.08</v>
      </c>
      <c r="C57" s="12">
        <f>438.62*E8^0.5202</f>
        <v>136.06092919482055</v>
      </c>
      <c r="D57" s="12">
        <f>96.548*W8^0.2837</f>
        <v>107.59112676666983</v>
      </c>
      <c r="E57" s="12">
        <f>55.977*X8^0.4232</f>
        <v>120.95398839044022</v>
      </c>
      <c r="F57" s="12">
        <f>27.89*Y8^0.5731</f>
        <v>147.23880222177817</v>
      </c>
      <c r="G57" s="12">
        <f>130.49*AC8^0.2126</f>
        <v>76.980272702208609</v>
      </c>
      <c r="H57" s="12">
        <f>96.485*AD8^0.2302</f>
        <v>75.881516004892859</v>
      </c>
      <c r="I57" s="12">
        <f>76.753*AE8^0.2418</f>
        <v>77.481226064024639</v>
      </c>
      <c r="J57" s="12">
        <f>124.18*AK8^0.244</f>
        <v>86.610215637846522</v>
      </c>
      <c r="K57" s="12">
        <f>88.414*AL8^0.3374</f>
        <v>87.292011909895805</v>
      </c>
      <c r="L57" s="12">
        <f>57.387*AM8^0.4719</f>
        <v>93.95480694722643</v>
      </c>
      <c r="M57" s="12">
        <f>815.51*AG8^0.299</f>
        <v>121.82064225228177</v>
      </c>
      <c r="N57" s="9">
        <f>1159*AF8^0.3242</f>
        <v>106.46078133472454</v>
      </c>
    </row>
    <row r="58" spans="1:33" x14ac:dyDescent="0.25">
      <c r="A58" s="74">
        <v>159</v>
      </c>
      <c r="B58" s="16">
        <v>54.11</v>
      </c>
      <c r="C58" s="12">
        <f>438.62*E9^0.5202</f>
        <v>41.912475789452458</v>
      </c>
      <c r="D58" s="12">
        <f>96.548*W9^0.2837</f>
        <v>41.867392792153687</v>
      </c>
      <c r="E58" s="12">
        <f>55.977*X9^0.4232</f>
        <v>44.047109053209546</v>
      </c>
      <c r="F58" s="12">
        <f>27.89*Y9^0.5731</f>
        <v>42.201092312198526</v>
      </c>
      <c r="G58" s="12">
        <f>130.49*AC9^0.2126</f>
        <v>57.948625611358082</v>
      </c>
      <c r="H58" s="12">
        <f>96.485*AD9^0.2302</f>
        <v>69.272092120439751</v>
      </c>
      <c r="I58" s="12">
        <f>76.753*AE9^0.2418</f>
        <v>74.013162125296461</v>
      </c>
      <c r="J58" s="12">
        <f>124.18*AK9^0.244</f>
        <v>49.960094706927862</v>
      </c>
      <c r="K58" s="12">
        <f>88.414*AL9^0.3374</f>
        <v>56.013395171549455</v>
      </c>
      <c r="L58" s="12">
        <f>57.387*AM9^0.4719</f>
        <v>55.685978848210318</v>
      </c>
      <c r="M58" s="12">
        <f>815.51*AG9^0.299</f>
        <v>43.355909359021467</v>
      </c>
      <c r="N58" s="9">
        <f>1159*AF9^0.3242</f>
        <v>46.785145713770142</v>
      </c>
    </row>
    <row r="59" spans="1:33" x14ac:dyDescent="0.25">
      <c r="A59" s="74">
        <v>35</v>
      </c>
      <c r="B59" s="16">
        <v>64.849999999999994</v>
      </c>
      <c r="C59" s="12">
        <f>438.62*E10^0.5202</f>
        <v>60.627392053336564</v>
      </c>
      <c r="D59" s="12">
        <f>96.548*W10^0.2837</f>
        <v>73.506287928936942</v>
      </c>
      <c r="E59" s="12">
        <f>55.977*X10^0.4232</f>
        <v>67.423521659794304</v>
      </c>
      <c r="F59" s="12">
        <f>27.89*Y10^0.5731</f>
        <v>63.733598177371995</v>
      </c>
      <c r="G59" s="12">
        <f>130.49*AC10^0.2126</f>
        <v>81.462904517616565</v>
      </c>
      <c r="H59" s="12">
        <f>96.485*AD10^0.2302</f>
        <v>79.972919849723922</v>
      </c>
      <c r="I59" s="12">
        <f>76.753*AE10^0.2418</f>
        <v>80.304116772503491</v>
      </c>
      <c r="J59" s="12">
        <f>124.18*AK10^0.244</f>
        <v>79.665124750219221</v>
      </c>
      <c r="K59" s="12">
        <f>88.414*AL10^0.3374</f>
        <v>76.770834106609485</v>
      </c>
      <c r="L59" s="12">
        <f>57.387*AM10^0.4719</f>
        <v>75.593228859414651</v>
      </c>
      <c r="M59" s="12">
        <f>815.51*AG10^0.299</f>
        <v>64.869902463333261</v>
      </c>
      <c r="N59" s="9">
        <f>1159*AF10^0.3242</f>
        <v>65.488072515951472</v>
      </c>
    </row>
    <row r="60" spans="1:33" x14ac:dyDescent="0.25">
      <c r="A60" s="74">
        <v>52</v>
      </c>
      <c r="B60" s="16">
        <v>45.6</v>
      </c>
      <c r="C60" s="12">
        <f>438.62*E12^0.5202</f>
        <v>51.358325096727022</v>
      </c>
      <c r="D60" s="12">
        <f>96.548*W12^0.2837</f>
        <v>64.379743608880574</v>
      </c>
      <c r="E60" s="12">
        <f>55.977*X12^0.4232</f>
        <v>62.129436788269096</v>
      </c>
      <c r="F60" s="12">
        <f>27.89*Y12^0.5731</f>
        <v>54.383387730375702</v>
      </c>
      <c r="G60" s="12">
        <f>130.49*AC12^0.2126</f>
        <v>81.80061336729932</v>
      </c>
      <c r="H60" s="12">
        <f>96.485*AD12^0.2302</f>
        <v>85.563436188246186</v>
      </c>
      <c r="I60" s="12">
        <f>76.753*AE12^0.2418</f>
        <v>84.48550639804607</v>
      </c>
      <c r="J60" s="12">
        <f>124.18*AK12^0.244</f>
        <v>75.483674105901798</v>
      </c>
      <c r="K60" s="12">
        <f>88.414*AL12^0.3374</f>
        <v>78.15873008445007</v>
      </c>
      <c r="L60" s="12">
        <f>57.387*AM12^0.4719</f>
        <v>74.512929386860364</v>
      </c>
      <c r="M60" s="12">
        <f>815.51*AG12^0.299</f>
        <v>57.702606314755457</v>
      </c>
      <c r="N60" s="9">
        <f>1159*AF12^0.3242</f>
        <v>62.35628112113158</v>
      </c>
    </row>
    <row r="61" spans="1:33" x14ac:dyDescent="0.25">
      <c r="A61" s="74">
        <v>53</v>
      </c>
      <c r="B61" s="16">
        <v>29.55</v>
      </c>
      <c r="C61" s="12">
        <f>438.62*E13^0.5202</f>
        <v>29.026175842484054</v>
      </c>
      <c r="D61" s="12">
        <f>96.548*W13^0.2837</f>
        <v>26.729741016254618</v>
      </c>
      <c r="E61" s="12">
        <f>55.977*X13^0.4232</f>
        <v>29.302780893158321</v>
      </c>
      <c r="F61" s="12">
        <f>27.89*Y13^0.5731</f>
        <v>29.187314399682784</v>
      </c>
      <c r="G61" s="12">
        <f>130.49*AC13^0.2126</f>
        <v>45.511536004395893</v>
      </c>
      <c r="H61" s="12">
        <f>96.485*AD13^0.2302</f>
        <v>61.488992377664545</v>
      </c>
      <c r="I61" s="12">
        <f>76.753*AE13^0.2418</f>
        <v>70.552815308484398</v>
      </c>
      <c r="J61" s="12">
        <f>124.18*AK13^0.244</f>
        <v>37.691234286028845</v>
      </c>
      <c r="K61" s="12">
        <f>88.414*AL13^0.3374</f>
        <v>46.742281417232363</v>
      </c>
      <c r="L61" s="12">
        <f>57.387*AM13^0.4719</f>
        <v>50.276244331853107</v>
      </c>
      <c r="M61" s="12">
        <f>815.51*AG13^0.299</f>
        <v>32.288976071603592</v>
      </c>
      <c r="N61" s="9">
        <f>1159*AF13^0.3242</f>
        <v>34.192994824386126</v>
      </c>
      <c r="T61" s="108" t="s">
        <v>138</v>
      </c>
      <c r="U61" s="108"/>
      <c r="V61" s="108"/>
      <c r="W61" s="108" t="s">
        <v>139</v>
      </c>
      <c r="X61" s="108"/>
      <c r="Y61" s="108"/>
      <c r="Z61" s="108" t="s">
        <v>140</v>
      </c>
      <c r="AA61" s="108"/>
      <c r="AB61" s="108"/>
      <c r="AF61">
        <v>20</v>
      </c>
      <c r="AG61">
        <v>20</v>
      </c>
    </row>
    <row r="62" spans="1:33" x14ac:dyDescent="0.25">
      <c r="A62" s="74">
        <v>45</v>
      </c>
      <c r="B62" s="16">
        <v>22.6</v>
      </c>
      <c r="C62" s="12">
        <f>438.62*E14^0.5202</f>
        <v>33.107523226039675</v>
      </c>
      <c r="D62" s="12">
        <f>96.548*W14^0.2837</f>
        <v>37.453358984566414</v>
      </c>
      <c r="E62" s="12">
        <f>55.977*X14^0.4232</f>
        <v>35.635181170070645</v>
      </c>
      <c r="F62" s="12">
        <f>27.89*Y14^0.5731</f>
        <v>33.048679436080896</v>
      </c>
      <c r="G62" s="12">
        <f>130.49*AC14^0.2126</f>
        <v>58.653446645596325</v>
      </c>
      <c r="H62" s="12">
        <f>96.485*AD14^0.2302</f>
        <v>68.460436655574654</v>
      </c>
      <c r="I62" s="12">
        <f>76.753*AE14^0.2418</f>
        <v>74.426043478554789</v>
      </c>
      <c r="J62" s="12">
        <f>124.18*AK14^0.244</f>
        <v>50.04726348600424</v>
      </c>
      <c r="K62" s="12">
        <f>88.414*AL14^0.3374</f>
        <v>54.138224612073145</v>
      </c>
      <c r="L62" s="12">
        <f>57.387*AM14^0.4719</f>
        <v>54.988390549281554</v>
      </c>
      <c r="M62" s="12">
        <f>815.51*AG14^0.299</f>
        <v>37.259478034019736</v>
      </c>
      <c r="N62" s="9">
        <f>1159*AF14^0.3242</f>
        <v>40.341343181762078</v>
      </c>
      <c r="Q62" t="s">
        <v>45</v>
      </c>
      <c r="S62" s="1" t="s">
        <v>46</v>
      </c>
      <c r="T62" s="1" t="s">
        <v>77</v>
      </c>
      <c r="U62" s="1" t="s">
        <v>76</v>
      </c>
      <c r="V62" s="1" t="s">
        <v>75</v>
      </c>
      <c r="W62" s="1" t="s">
        <v>77</v>
      </c>
      <c r="X62" s="1" t="s">
        <v>76</v>
      </c>
      <c r="Y62" s="1" t="s">
        <v>75</v>
      </c>
      <c r="Z62" s="1" t="s">
        <v>77</v>
      </c>
      <c r="AA62" s="1" t="s">
        <v>76</v>
      </c>
      <c r="AB62" s="1" t="s">
        <v>75</v>
      </c>
      <c r="AC62" s="1" t="s">
        <v>142</v>
      </c>
      <c r="AD62" s="1" t="s">
        <v>141</v>
      </c>
      <c r="AF62">
        <v>150</v>
      </c>
      <c r="AG62">
        <v>150</v>
      </c>
    </row>
    <row r="63" spans="1:33" x14ac:dyDescent="0.25">
      <c r="A63" s="7">
        <v>1.3</v>
      </c>
      <c r="B63" s="16">
        <v>42.84</v>
      </c>
      <c r="C63" s="12">
        <f>438.62*E15^0.5202</f>
        <v>61.914899095045953</v>
      </c>
      <c r="D63" s="12">
        <f>96.548*W15^0.2837</f>
        <v>73.268766251721431</v>
      </c>
      <c r="E63" s="12">
        <f>55.977*X15^0.4232</f>
        <v>72.256624432250675</v>
      </c>
      <c r="F63" s="12">
        <f>27.89*Y15^0.5731</f>
        <v>62.234379279742342</v>
      </c>
      <c r="G63" s="12">
        <f>130.49*AC15^0.2126</f>
        <v>79.986413618078387</v>
      </c>
      <c r="H63" s="12">
        <f>96.485*AD15^0.2302</f>
        <v>81.627551845893223</v>
      </c>
      <c r="I63" s="12">
        <f>76.753*AE15^0.2418</f>
        <v>78.079913187331982</v>
      </c>
      <c r="J63" s="12">
        <f>124.18*AK15^0.244</f>
        <v>78.041837468409682</v>
      </c>
      <c r="K63" s="12">
        <f>88.414*AL15^0.3374</f>
        <v>79.154452898066978</v>
      </c>
      <c r="L63" s="12">
        <f>57.387*AM15^0.4719</f>
        <v>71.617119934147027</v>
      </c>
      <c r="M63" s="12">
        <f>815.51*AG15^0.299</f>
        <v>65.021916199938758</v>
      </c>
      <c r="N63" s="9">
        <f>1159*AF15^0.3242</f>
        <v>65.619111872906714</v>
      </c>
      <c r="Q63" t="s">
        <v>120</v>
      </c>
      <c r="S63" s="33" cm="1">
        <f t="array" ref="S63">SQRT(SUMSQ($B28:$B46-C28:C46)/COUNTA($B28:$B46-C28:C46))</f>
        <v>21.564023601390119</v>
      </c>
      <c r="T63" s="33" cm="1">
        <f t="array" ref="T63">SQRT(SUMSQ($B28:$B46-D28:D46)/COUNTA($B28:$B46-D28:D46))</f>
        <v>21.392751826010102</v>
      </c>
      <c r="U63" s="33" cm="1">
        <f t="array" ref="U63">SQRT(SUMSQ($B28:$B46-E28:E46)/COUNTA($B28:$B46-E28:E46))</f>
        <v>22.320188271711306</v>
      </c>
      <c r="V63" s="135" cm="1">
        <f t="array" ref="V63">SQRT(SUMSQ($B28:$B46-F28:F46)/COUNTA($B28:$B46-F28:F46))</f>
        <v>26.631247640780277</v>
      </c>
      <c r="W63" s="135" cm="1">
        <f t="array" ref="W63">SQRT(SUMSQ($B28:$B46-G28:G46)/COUNTA($B28:$B46-G28:G46))</f>
        <v>31.979695521135802</v>
      </c>
      <c r="X63" s="135" cm="1">
        <f t="array" ref="X63">SQRT(SUMSQ($B28:$B46-H28:H46)/COUNTA($B28:$B46-H28:H46))</f>
        <v>35.813035399707694</v>
      </c>
      <c r="Y63" s="135" cm="1">
        <f t="array" ref="Y63">SQRT(SUMSQ($B28:$B46-I28:I46)/COUNTA($B28:$B46-I28:I46))</f>
        <v>36.031069989419287</v>
      </c>
      <c r="Z63" s="135" cm="1">
        <f t="array" ref="Z63">SQRT(SUMSQ($B28:$B46-J28:J46)/COUNTA($B28:$B46-J28:J46))</f>
        <v>27.154763263558049</v>
      </c>
      <c r="AA63" s="135" cm="1">
        <f t="array" ref="AA63">SQRT(SUMSQ($B28:$B46-K28:K46)/COUNTA($B28:$B46-K28:K46))</f>
        <v>29.941554570787808</v>
      </c>
      <c r="AB63" s="135" cm="1">
        <f t="array" ref="AB63">SQRT(SUMSQ($B28:$B46-L28:L46)/COUNTA($B28:$B46-L28:L46))</f>
        <v>28.156452438995675</v>
      </c>
      <c r="AC63" s="33" cm="1">
        <f t="array" ref="AC63">SQRT(SUMSQ($B28:$B46-M28:M46)/COUNTA($B28:$B46-M28:M46))</f>
        <v>21.458236337819734</v>
      </c>
      <c r="AD63" s="33" cm="1">
        <f t="array" ref="AD63">SQRT(SUMSQ($B28:$B46-N28:N46)/COUNTA($B28:$B46-N28:N46))</f>
        <v>18.801060982945444</v>
      </c>
    </row>
    <row r="64" spans="1:33" x14ac:dyDescent="0.25">
      <c r="A64" s="7">
        <v>2.1</v>
      </c>
      <c r="B64" s="16">
        <v>52.94</v>
      </c>
      <c r="C64" s="12">
        <f>438.62*E16^0.5202</f>
        <v>77.078732996643524</v>
      </c>
      <c r="D64" s="12">
        <f>96.548*W16^0.2837</f>
        <v>72.284807330425366</v>
      </c>
      <c r="E64" s="12">
        <f>55.977*X16^0.4232</f>
        <v>77.350588901142373</v>
      </c>
      <c r="F64" s="12">
        <f>27.89*Y16^0.5731</f>
        <v>78.256930294095511</v>
      </c>
      <c r="G64" s="12">
        <f>130.49*AC16^0.2126</f>
        <v>66.124691484964004</v>
      </c>
      <c r="H64" s="12">
        <f>96.485*AD16^0.2302</f>
        <v>69.69469056896915</v>
      </c>
      <c r="I64" s="12">
        <f>76.753*AE16^0.2418</f>
        <v>70.067518642076749</v>
      </c>
      <c r="J64" s="12">
        <f>124.18*AK16^0.244</f>
        <v>67.066904345316743</v>
      </c>
      <c r="K64" s="12">
        <f>88.414*AL16^0.3374</f>
        <v>68.870360997997892</v>
      </c>
      <c r="L64" s="12">
        <f>57.387*AM16^0.4719</f>
        <v>65.979985221891639</v>
      </c>
      <c r="M64" s="12">
        <f>815.51*AG16^0.299</f>
        <v>70.46297922844164</v>
      </c>
      <c r="N64" s="9">
        <f>1159*AF16^0.3242</f>
        <v>65.506894728831824</v>
      </c>
      <c r="Q64" t="s">
        <v>143</v>
      </c>
      <c r="S64" s="12" cm="1">
        <f t="array" ref="S64">SQRT(SUMSQ($B53:$B69-C53:C69)/COUNTA($B53:$B69-C53:C69))</f>
        <v>33.251673476989552</v>
      </c>
      <c r="T64" s="12" cm="1">
        <f t="array" ref="T64">SQRT(SUMSQ($B53:$B69-D53:D69)/COUNTA($B53:$B69-D53:D69))</f>
        <v>29.753004705285644</v>
      </c>
      <c r="U64" s="12" cm="1">
        <f t="array" ref="U64">SQRT(SUMSQ($B53:$B69-E53:E69)/COUNTA($B53:$B69-E53:E69))</f>
        <v>33.124462806448285</v>
      </c>
      <c r="V64" s="12" cm="1">
        <f t="array" ref="V64">SQRT(SUMSQ($B53:$B69-F53:F69)/COUNTA($B53:$B69-F53:F69))</f>
        <v>36.887123763377744</v>
      </c>
      <c r="W64" s="12" cm="1">
        <f t="array" ref="W64">SQRT(SUMSQ($B53:$B69-G53:G69)/COUNTA($B53:$B69-G53:G69))</f>
        <v>39.429953532938477</v>
      </c>
      <c r="X64" s="12" cm="1">
        <f t="array" ref="X64">SQRT(SUMSQ($B53:$B69-H53:H69)/COUNTA($B53:$B69-H53:H69))</f>
        <v>44.053293176696293</v>
      </c>
      <c r="Y64" s="12" cm="1">
        <f t="array" ref="Y64">SQRT(SUMSQ($B53:$B69-I53:I69)/COUNTA($B53:$B69-I53:I69))</f>
        <v>44.404372389710588</v>
      </c>
      <c r="Z64" s="12" cm="1">
        <f t="array" ref="Z64">SQRT(SUMSQ($B53:$B69-J53:J69)/COUNTA($B53:$B69-J53:J69))</f>
        <v>35.162114995419245</v>
      </c>
      <c r="AA64" s="12" cm="1">
        <f t="array" ref="AA64">SQRT(SUMSQ($B53:$B69-K53:K69)/COUNTA($B53:$B69-K53:K69))</f>
        <v>38.788225903695093</v>
      </c>
      <c r="AB64" s="12" cm="1">
        <f t="array" ref="AB64">SQRT(SUMSQ($B53:$B69-L53:L69)/COUNTA($B53:$B69-L53:L69))</f>
        <v>36.974887523374548</v>
      </c>
      <c r="AC64" s="12" cm="1">
        <f t="array" ref="AC64">SQRT(SUMSQ($B53:$B69-M53:M69)/COUNTA($B53:$B69-M53:M69))</f>
        <v>29.998540822162781</v>
      </c>
      <c r="AD64" s="12" cm="1">
        <f t="array" ref="AD64">SQRT(SUMSQ($B53:$B69-N53:N69)/COUNTA($B53:$B69-N53:N69))</f>
        <v>28.141500323433281</v>
      </c>
    </row>
    <row r="65" spans="1:30" x14ac:dyDescent="0.25">
      <c r="A65" s="7">
        <v>2.2999999999999998</v>
      </c>
      <c r="B65" s="16">
        <v>54.11</v>
      </c>
      <c r="C65" s="12">
        <f>438.62*E17^0.5202</f>
        <v>56.449533285085387</v>
      </c>
      <c r="D65" s="12">
        <f>96.548*W17^0.2837</f>
        <v>67.655167475049296</v>
      </c>
      <c r="E65" s="12">
        <f>55.977*X17^0.4232</f>
        <v>63.747368025548859</v>
      </c>
      <c r="F65" s="12">
        <f>27.89*Y17^0.5731</f>
        <v>57.831937577403586</v>
      </c>
      <c r="G65" s="12">
        <f>130.49*AC17^0.2126</f>
        <v>76.010456523730184</v>
      </c>
      <c r="H65" s="12">
        <f>96.485*AD17^0.2302</f>
        <v>76.975260666647742</v>
      </c>
      <c r="I65" s="12">
        <f>76.753*AE17^0.2418</f>
        <v>76.456951092625658</v>
      </c>
      <c r="J65" s="12">
        <f>124.18*AK17^0.244</f>
        <v>72.690837058612487</v>
      </c>
      <c r="K65" s="12">
        <f>88.414*AL17^0.3374</f>
        <v>71.384966106981921</v>
      </c>
      <c r="L65" s="12">
        <f>57.387*AM17^0.4719</f>
        <v>67.096997052975084</v>
      </c>
      <c r="M65" s="12">
        <f>815.51*AG17^0.299</f>
        <v>58.291618217022908</v>
      </c>
      <c r="N65" s="9">
        <f>1159*AF17^0.3242</f>
        <v>59.264969028968196</v>
      </c>
    </row>
    <row r="66" spans="1:30" x14ac:dyDescent="0.25">
      <c r="A66" s="7">
        <v>3.1</v>
      </c>
      <c r="B66" s="16">
        <v>84.98</v>
      </c>
      <c r="C66" s="12">
        <f>438.62*E18^0.5202</f>
        <v>149.64315802006493</v>
      </c>
      <c r="D66" s="12">
        <f>96.548*W18^0.2837</f>
        <v>117.0924919367006</v>
      </c>
      <c r="E66" s="12">
        <f>55.977*X18^0.4232</f>
        <v>132.55811613778886</v>
      </c>
      <c r="F66" s="12">
        <f>27.89*Y18^0.5731</f>
        <v>159.30004816175179</v>
      </c>
      <c r="G66" s="12">
        <f>130.49*AC18^0.2126</f>
        <v>74.202159869010288</v>
      </c>
      <c r="H66" s="12">
        <f>96.485*AD18^0.2302</f>
        <v>71.560194144637038</v>
      </c>
      <c r="I66" s="12">
        <f>76.753*AE18^0.2418</f>
        <v>71.473229623766159</v>
      </c>
      <c r="J66" s="12">
        <f>124.18*AK18^0.244</f>
        <v>87.437848887495022</v>
      </c>
      <c r="K66" s="12">
        <f>88.414*AL18^0.3374</f>
        <v>86.039217466619931</v>
      </c>
      <c r="L66" s="12">
        <f>57.387*AM18^0.4719</f>
        <v>88.701170121906443</v>
      </c>
      <c r="M66" s="12">
        <f>815.51*AG18^0.299</f>
        <v>125.76252797840286</v>
      </c>
      <c r="N66" s="9">
        <f>1159*AF18^0.3242</f>
        <v>102.88579655946292</v>
      </c>
    </row>
    <row r="67" spans="1:30" x14ac:dyDescent="0.25">
      <c r="A67" s="7">
        <v>4.2</v>
      </c>
      <c r="B67" s="16">
        <v>127.22</v>
      </c>
      <c r="C67" s="12">
        <f>438.62*E19^0.5202</f>
        <v>83.969288966265395</v>
      </c>
      <c r="D67" s="12">
        <f>96.548*W19^0.2837</f>
        <v>88.488861347019409</v>
      </c>
      <c r="E67" s="12">
        <f>55.977*X19^0.4232</f>
        <v>87.897176136653073</v>
      </c>
      <c r="F67" s="12">
        <f>27.89*Y19^0.5731</f>
        <v>85.000856849137662</v>
      </c>
      <c r="G67" s="12">
        <f>130.49*AC19^0.2126</f>
        <v>81.755105967722884</v>
      </c>
      <c r="H67" s="12">
        <f>96.485*AD19^0.2302</f>
        <v>79.780835448751716</v>
      </c>
      <c r="I67" s="12">
        <f>76.753*AE19^0.2418</f>
        <v>77.732656934099808</v>
      </c>
      <c r="J67" s="12">
        <f>124.18*AK19^0.244</f>
        <v>81.276705714295304</v>
      </c>
      <c r="K67" s="12">
        <f>88.414*AL19^0.3374</f>
        <v>78.203287693511015</v>
      </c>
      <c r="L67" s="12">
        <f>57.387*AM19^0.4719</f>
        <v>73.159115172823348</v>
      </c>
      <c r="M67" s="12">
        <f>815.51*AG19^0.299</f>
        <v>79.505927700595379</v>
      </c>
      <c r="N67" s="9">
        <f>1159*AF19^0.3242</f>
        <v>79.942871392242267</v>
      </c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1:30" x14ac:dyDescent="0.25">
      <c r="A68" s="7">
        <v>4.3</v>
      </c>
      <c r="B68" s="16">
        <v>91.54</v>
      </c>
      <c r="C68" s="12">
        <f>438.62*E20^0.5202</f>
        <v>105.85472635571982</v>
      </c>
      <c r="D68" s="12">
        <f>96.548*W20^0.2837</f>
        <v>105.40601713155144</v>
      </c>
      <c r="E68" s="12">
        <f>55.977*X20^0.4232</f>
        <v>110.4174078246312</v>
      </c>
      <c r="F68" s="12">
        <f>27.89*Y20^0.5731</f>
        <v>108.41016746365213</v>
      </c>
      <c r="G68" s="12">
        <f>130.49*AC20^0.2126</f>
        <v>92.171816973530767</v>
      </c>
      <c r="H68" s="12">
        <f>96.485*AD20^0.2302</f>
        <v>89.23384381157345</v>
      </c>
      <c r="I68" s="12">
        <f>76.753*AE20^0.2418</f>
        <v>85.046921623305352</v>
      </c>
      <c r="J68" s="12">
        <f>124.18*AK20^0.244</f>
        <v>94.408157533348827</v>
      </c>
      <c r="K68" s="12">
        <f>88.414*AL20^0.3374</f>
        <v>93.710176589200842</v>
      </c>
      <c r="L68" s="12">
        <f>57.387*AM20^0.4719</f>
        <v>89.264074789187134</v>
      </c>
      <c r="M68" s="12">
        <f>815.51*AG20^0.299</f>
        <v>103.6725776856201</v>
      </c>
      <c r="N68" s="9">
        <f>1159*AF20^0.3242</f>
        <v>104.89615375820517</v>
      </c>
    </row>
    <row r="69" spans="1:30" x14ac:dyDescent="0.25">
      <c r="A69" s="75" t="s">
        <v>34</v>
      </c>
      <c r="B69" s="27">
        <v>108.42</v>
      </c>
      <c r="C69" s="12">
        <f>438.62*E21^0.5202</f>
        <v>129.33044418860459</v>
      </c>
      <c r="D69" s="12">
        <f>96.548*W21^0.2837</f>
        <v>61.766288223667409</v>
      </c>
      <c r="E69" s="12">
        <f>55.977*X21^0.4232</f>
        <v>89.345535764373693</v>
      </c>
      <c r="F69" s="12">
        <f>27.89*Y21^0.5731</f>
        <v>123.80114333174559</v>
      </c>
      <c r="G69" s="12">
        <f>130.49*AC21^0.2126</f>
        <v>44.733225611822647</v>
      </c>
      <c r="H69" s="12">
        <f>96.485*AD21^0.2302</f>
        <v>56.090288670208452</v>
      </c>
      <c r="I69" s="12">
        <f>76.753*AE21^0.2418</f>
        <v>62.334171751547679</v>
      </c>
      <c r="J69" s="12">
        <f>124.18*AK21^0.244</f>
        <v>39.393590301333894</v>
      </c>
      <c r="K69" s="12">
        <f>88.414*AL21^0.3374</f>
        <v>44.630609217650075</v>
      </c>
      <c r="L69" s="12">
        <f>57.387*AM21^0.4719</f>
        <v>44.680885331831441</v>
      </c>
      <c r="M69" s="12">
        <f>815.51*AG21^0.299</f>
        <v>78.550772858507528</v>
      </c>
      <c r="N69" s="9">
        <f t="shared" ref="N69:N71" si="50">1159*AF21^0.3242</f>
        <v>82.349136083326442</v>
      </c>
    </row>
    <row r="70" spans="1:30" x14ac:dyDescent="0.25">
      <c r="A70" s="68" t="s">
        <v>89</v>
      </c>
      <c r="B70" s="16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9"/>
    </row>
    <row r="71" spans="1:30" x14ac:dyDescent="0.25">
      <c r="A71" s="76" t="s">
        <v>90</v>
      </c>
      <c r="B71" s="77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9"/>
    </row>
    <row r="72" spans="1:30" x14ac:dyDescent="0.25">
      <c r="A72" s="1" t="s">
        <v>91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9"/>
    </row>
    <row r="73" spans="1:30" x14ac:dyDescent="0.25">
      <c r="A73" s="1" t="s">
        <v>146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9"/>
    </row>
  </sheetData>
  <mergeCells count="12">
    <mergeCell ref="T61:V61"/>
    <mergeCell ref="W61:Y61"/>
    <mergeCell ref="Z61:AB61"/>
    <mergeCell ref="AH1:AM1"/>
    <mergeCell ref="D26:F26"/>
    <mergeCell ref="G26:I26"/>
    <mergeCell ref="J26:L26"/>
    <mergeCell ref="D51:F51"/>
    <mergeCell ref="G51:I51"/>
    <mergeCell ref="J51:L51"/>
    <mergeCell ref="T1:Y1"/>
    <mergeCell ref="Z1:A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8E97-2075-4914-A4ED-88AEE437CDFF}">
  <dimension ref="B27:F47"/>
  <sheetViews>
    <sheetView workbookViewId="0"/>
  </sheetViews>
  <sheetFormatPr defaultRowHeight="15" x14ac:dyDescent="0.25"/>
  <cols>
    <col min="5" max="5" width="16.7109375" bestFit="1" customWidth="1"/>
  </cols>
  <sheetData>
    <row r="27" spans="2:6" x14ac:dyDescent="0.25">
      <c r="D27" t="s">
        <v>172</v>
      </c>
      <c r="E27" t="s">
        <v>173</v>
      </c>
    </row>
    <row r="28" spans="2:6" x14ac:dyDescent="0.25">
      <c r="B28" s="1">
        <v>128</v>
      </c>
      <c r="C28" s="121">
        <v>110.58117716759436</v>
      </c>
      <c r="D28" s="149">
        <f>B28-C28</f>
        <v>17.418822832405638</v>
      </c>
      <c r="E28" s="9">
        <f>D28^2</f>
        <v>303.41538886673601</v>
      </c>
      <c r="F28" s="120">
        <f>SQRT(AVERAGE(E28:E46))</f>
        <v>18.801060982945444</v>
      </c>
    </row>
    <row r="29" spans="2:6" x14ac:dyDescent="0.25">
      <c r="B29" s="1">
        <v>128</v>
      </c>
      <c r="C29" s="121">
        <v>94.836512436415049</v>
      </c>
      <c r="D29" s="149">
        <f t="shared" ref="D29:D46" si="0">B29-C29</f>
        <v>33.163487563584951</v>
      </c>
      <c r="E29" s="9">
        <f t="shared" ref="E29:E46" si="1">D29^2</f>
        <v>1099.8169073800536</v>
      </c>
    </row>
    <row r="30" spans="2:6" x14ac:dyDescent="0.25">
      <c r="B30" s="1">
        <v>90</v>
      </c>
      <c r="C30" s="121">
        <v>64.555212382437986</v>
      </c>
      <c r="D30" s="149">
        <f t="shared" si="0"/>
        <v>25.444787617562014</v>
      </c>
      <c r="E30" s="9">
        <f t="shared" si="1"/>
        <v>647.43721690283724</v>
      </c>
    </row>
    <row r="31" spans="2:6" x14ac:dyDescent="0.25">
      <c r="B31" s="1">
        <v>90</v>
      </c>
      <c r="C31" s="121">
        <v>95.122649124916435</v>
      </c>
      <c r="D31" s="149">
        <f t="shared" si="0"/>
        <v>-5.1226491249164354</v>
      </c>
      <c r="E31" s="9">
        <f t="shared" si="1"/>
        <v>26.241534057007122</v>
      </c>
    </row>
    <row r="32" spans="2:6" x14ac:dyDescent="0.25">
      <c r="B32" s="1">
        <v>64</v>
      </c>
      <c r="C32" s="121">
        <v>59.81684128500595</v>
      </c>
      <c r="D32" s="149">
        <f t="shared" si="0"/>
        <v>4.1831587149940503</v>
      </c>
      <c r="E32" s="9">
        <f t="shared" si="1"/>
        <v>17.498816834830674</v>
      </c>
    </row>
    <row r="33" spans="2:5" x14ac:dyDescent="0.25">
      <c r="B33" s="1">
        <v>64</v>
      </c>
      <c r="C33" s="121">
        <v>83.599915485968992</v>
      </c>
      <c r="D33" s="149">
        <f t="shared" si="0"/>
        <v>-19.599915485968992</v>
      </c>
      <c r="E33" s="9">
        <f t="shared" si="1"/>
        <v>384.1566870571271</v>
      </c>
    </row>
    <row r="34" spans="2:5" x14ac:dyDescent="0.25">
      <c r="B34" s="1">
        <v>45</v>
      </c>
      <c r="C34" s="121">
        <v>29.908779346397502</v>
      </c>
      <c r="D34" s="149">
        <f t="shared" si="0"/>
        <v>15.091220653602498</v>
      </c>
      <c r="E34" s="9">
        <f t="shared" si="1"/>
        <v>227.74494081571862</v>
      </c>
    </row>
    <row r="35" spans="2:5" x14ac:dyDescent="0.25">
      <c r="B35" s="1">
        <v>45</v>
      </c>
      <c r="C35" s="121">
        <v>45.539576890893976</v>
      </c>
      <c r="D35" s="149">
        <f t="shared" si="0"/>
        <v>-0.53957689089397576</v>
      </c>
      <c r="E35" s="9">
        <f t="shared" si="1"/>
        <v>0.29114322118680941</v>
      </c>
    </row>
    <row r="36" spans="2:5" x14ac:dyDescent="0.25">
      <c r="B36" s="1">
        <v>32</v>
      </c>
      <c r="C36" s="121">
        <v>40.378282611221621</v>
      </c>
      <c r="D36" s="149">
        <f t="shared" si="0"/>
        <v>-8.3782826112216213</v>
      </c>
      <c r="E36" s="9">
        <f t="shared" si="1"/>
        <v>70.195619513498585</v>
      </c>
    </row>
    <row r="37" spans="2:5" x14ac:dyDescent="0.25">
      <c r="B37" s="1">
        <v>32</v>
      </c>
      <c r="C37" s="121">
        <v>42.833464874460979</v>
      </c>
      <c r="D37" s="149">
        <f t="shared" si="0"/>
        <v>-10.833464874460979</v>
      </c>
      <c r="E37" s="9">
        <f t="shared" si="1"/>
        <v>117.36396118617985</v>
      </c>
    </row>
    <row r="38" spans="2:5" x14ac:dyDescent="0.25">
      <c r="B38" s="1">
        <v>22.6</v>
      </c>
      <c r="C38" s="121">
        <v>20.209898403573217</v>
      </c>
      <c r="D38" s="149">
        <f t="shared" si="0"/>
        <v>2.3901015964267849</v>
      </c>
      <c r="E38" s="9">
        <f t="shared" si="1"/>
        <v>5.7125856412418656</v>
      </c>
    </row>
    <row r="39" spans="2:5" x14ac:dyDescent="0.25">
      <c r="B39" s="1">
        <v>22.6</v>
      </c>
      <c r="C39" s="121">
        <v>24.850877167472145</v>
      </c>
      <c r="D39" s="149">
        <f t="shared" si="0"/>
        <v>-2.2508771674721437</v>
      </c>
      <c r="E39" s="9">
        <f t="shared" si="1"/>
        <v>5.0664480230474211</v>
      </c>
    </row>
    <row r="40" spans="2:5" x14ac:dyDescent="0.25">
      <c r="B40" s="1">
        <v>32</v>
      </c>
      <c r="C40" s="121">
        <v>45.653523329179976</v>
      </c>
      <c r="D40" s="149">
        <f t="shared" si="0"/>
        <v>-13.653523329179976</v>
      </c>
      <c r="E40" s="9">
        <f t="shared" si="1"/>
        <v>186.41869930046184</v>
      </c>
    </row>
    <row r="41" spans="2:5" x14ac:dyDescent="0.25">
      <c r="B41" s="1">
        <v>45</v>
      </c>
      <c r="C41" s="121">
        <v>45.55594040850918</v>
      </c>
      <c r="D41" s="149">
        <f t="shared" si="0"/>
        <v>-0.55594040850917992</v>
      </c>
      <c r="E41" s="9">
        <f t="shared" si="1"/>
        <v>0.30906973781335384</v>
      </c>
    </row>
    <row r="42" spans="2:5" x14ac:dyDescent="0.25">
      <c r="B42" s="1">
        <v>45</v>
      </c>
      <c r="C42" s="121">
        <v>40.195470850604011</v>
      </c>
      <c r="D42" s="149">
        <f t="shared" si="0"/>
        <v>4.8045291493959894</v>
      </c>
      <c r="E42" s="9">
        <f t="shared" si="1"/>
        <v>23.083500347395749</v>
      </c>
    </row>
    <row r="43" spans="2:5" x14ac:dyDescent="0.25">
      <c r="B43" s="1">
        <v>64</v>
      </c>
      <c r="C43" s="121">
        <v>80.105211136678733</v>
      </c>
      <c r="D43" s="149">
        <f t="shared" si="0"/>
        <v>-16.105211136678733</v>
      </c>
      <c r="E43" s="9">
        <f t="shared" si="1"/>
        <v>259.37782575700066</v>
      </c>
    </row>
    <row r="44" spans="2:5" x14ac:dyDescent="0.25">
      <c r="B44" s="1">
        <v>90</v>
      </c>
      <c r="C44" s="121">
        <v>58.43516419455667</v>
      </c>
      <c r="D44" s="149">
        <f t="shared" si="0"/>
        <v>31.56483580544333</v>
      </c>
      <c r="E44" s="9">
        <f t="shared" si="1"/>
        <v>996.33885942459733</v>
      </c>
    </row>
    <row r="45" spans="2:5" x14ac:dyDescent="0.25">
      <c r="B45" s="1">
        <v>90</v>
      </c>
      <c r="C45" s="121">
        <v>82.06675104088508</v>
      </c>
      <c r="D45" s="149">
        <f t="shared" si="0"/>
        <v>7.9332489591149198</v>
      </c>
      <c r="E45" s="9">
        <f t="shared" si="1"/>
        <v>62.936439047297959</v>
      </c>
    </row>
    <row r="46" spans="2:5" x14ac:dyDescent="0.25">
      <c r="B46" s="1">
        <v>108.42</v>
      </c>
      <c r="C46" s="121">
        <v>60.642260994368897</v>
      </c>
      <c r="D46" s="149">
        <f t="shared" si="0"/>
        <v>47.777739005631105</v>
      </c>
      <c r="E46" s="9">
        <f t="shared" si="1"/>
        <v>2282.712344490204</v>
      </c>
    </row>
    <row r="47" spans="2:5" x14ac:dyDescent="0.25">
      <c r="C47" s="14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A51C-0832-4187-ACFD-287EA715E1F0}">
  <dimension ref="A1:CE156"/>
  <sheetViews>
    <sheetView zoomScale="85" zoomScaleNormal="85" workbookViewId="0">
      <selection activeCell="M14" sqref="M14:O16"/>
    </sheetView>
  </sheetViews>
  <sheetFormatPr defaultRowHeight="15" x14ac:dyDescent="0.25"/>
  <cols>
    <col min="1" max="1" width="12.5703125" customWidth="1"/>
    <col min="2" max="2" width="12.7109375" customWidth="1"/>
    <col min="3" max="3" width="13.28515625" customWidth="1"/>
    <col min="4" max="4" width="14.42578125" customWidth="1"/>
    <col min="5" max="5" width="12.7109375" customWidth="1"/>
    <col min="6" max="6" width="13" customWidth="1"/>
    <col min="7" max="7" width="10.5703125" customWidth="1"/>
    <col min="8" max="8" width="10.5703125" bestFit="1" customWidth="1"/>
    <col min="9" max="9" width="13.42578125" customWidth="1"/>
    <col min="10" max="10" width="13.7109375" customWidth="1"/>
    <col min="11" max="11" width="13.42578125" customWidth="1"/>
    <col min="12" max="12" width="12.7109375" customWidth="1"/>
    <col min="13" max="13" width="12.28515625" customWidth="1"/>
    <col min="14" max="14" width="12.140625" customWidth="1"/>
    <col min="15" max="15" width="11.28515625" customWidth="1"/>
    <col min="16" max="16" width="11.7109375" customWidth="1"/>
    <col min="17" max="17" width="11.140625" customWidth="1"/>
    <col min="18" max="18" width="12" customWidth="1"/>
    <col min="19" max="19" width="13.28515625" customWidth="1"/>
    <col min="20" max="20" width="15.28515625" customWidth="1"/>
    <col min="21" max="21" width="11.7109375" customWidth="1"/>
    <col min="22" max="22" width="12.42578125" customWidth="1"/>
    <col min="23" max="23" width="11.5703125" customWidth="1"/>
    <col min="24" max="24" width="11.85546875" customWidth="1"/>
    <col min="25" max="25" width="12.28515625" customWidth="1"/>
    <col min="27" max="27" width="15.7109375" customWidth="1"/>
    <col min="28" max="28" width="14.140625" customWidth="1"/>
    <col min="29" max="29" width="15.5703125" customWidth="1"/>
    <col min="30" max="30" width="15.28515625" customWidth="1"/>
    <col min="31" max="31" width="15" customWidth="1"/>
    <col min="32" max="32" width="14.85546875" customWidth="1"/>
    <col min="35" max="35" width="14" customWidth="1"/>
    <col min="36" max="36" width="15.85546875" customWidth="1"/>
    <col min="37" max="37" width="14.85546875" customWidth="1"/>
    <col min="38" max="38" width="10.140625" customWidth="1"/>
    <col min="41" max="41" width="14.28515625" customWidth="1"/>
    <col min="42" max="42" width="14.140625" customWidth="1"/>
    <col min="43" max="43" width="13.42578125" customWidth="1"/>
  </cols>
  <sheetData>
    <row r="1" spans="1:66" x14ac:dyDescent="0.25">
      <c r="AP1" s="1" t="s">
        <v>81</v>
      </c>
      <c r="AQ1" s="108" t="s">
        <v>82</v>
      </c>
      <c r="AR1" s="108"/>
      <c r="AS1" s="110" t="s">
        <v>106</v>
      </c>
      <c r="AT1" s="108"/>
      <c r="AU1" s="108"/>
      <c r="AV1" s="108"/>
      <c r="AW1" s="108"/>
      <c r="AX1" s="111"/>
      <c r="AY1" s="110" t="s">
        <v>107</v>
      </c>
      <c r="AZ1" s="108"/>
      <c r="BA1" s="108"/>
      <c r="BB1" s="108"/>
      <c r="BC1" s="108"/>
      <c r="BD1" s="111"/>
      <c r="BE1" s="110" t="s">
        <v>110</v>
      </c>
      <c r="BF1" s="108"/>
      <c r="BG1" s="108"/>
      <c r="BH1" s="108"/>
      <c r="BI1" s="108"/>
      <c r="BJ1" s="111"/>
    </row>
    <row r="2" spans="1:66" x14ac:dyDescent="0.25">
      <c r="A2" t="s">
        <v>24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64</v>
      </c>
      <c r="L2" s="1"/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/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H2" s="1" t="s">
        <v>4</v>
      </c>
      <c r="AI2" s="1" t="s">
        <v>5</v>
      </c>
      <c r="AJ2" s="1" t="s">
        <v>6</v>
      </c>
      <c r="AK2" s="1" t="s">
        <v>7</v>
      </c>
      <c r="AL2" s="1" t="s">
        <v>8</v>
      </c>
      <c r="AM2" s="1" t="s">
        <v>9</v>
      </c>
      <c r="AP2" s="1"/>
      <c r="AQ2" s="59" t="s">
        <v>83</v>
      </c>
      <c r="AR2" s="1" t="s">
        <v>84</v>
      </c>
      <c r="AS2" s="5" t="s">
        <v>75</v>
      </c>
      <c r="AT2" s="1" t="s">
        <v>76</v>
      </c>
      <c r="AU2" s="1" t="s">
        <v>77</v>
      </c>
      <c r="AV2" s="1" t="s">
        <v>78</v>
      </c>
      <c r="AW2" s="1" t="s">
        <v>79</v>
      </c>
      <c r="AX2" s="6" t="s">
        <v>80</v>
      </c>
      <c r="AY2" s="5" t="s">
        <v>75</v>
      </c>
      <c r="AZ2" s="1" t="s">
        <v>76</v>
      </c>
      <c r="BA2" s="1" t="s">
        <v>77</v>
      </c>
      <c r="BB2" s="1" t="s">
        <v>78</v>
      </c>
      <c r="BC2" s="1" t="s">
        <v>79</v>
      </c>
      <c r="BD2" s="6" t="s">
        <v>80</v>
      </c>
      <c r="BE2" s="5" t="s">
        <v>75</v>
      </c>
      <c r="BF2" s="1" t="s">
        <v>76</v>
      </c>
      <c r="BG2" s="1" t="s">
        <v>77</v>
      </c>
      <c r="BH2" s="1" t="s">
        <v>78</v>
      </c>
      <c r="BI2" s="1" t="s">
        <v>79</v>
      </c>
      <c r="BJ2" s="6" t="s">
        <v>80</v>
      </c>
    </row>
    <row r="3" spans="1:66" x14ac:dyDescent="0.25">
      <c r="A3" s="43" t="s">
        <v>31</v>
      </c>
      <c r="B3" s="46">
        <v>479.999977324263</v>
      </c>
      <c r="C3" s="41">
        <v>0.21698840087687299</v>
      </c>
      <c r="D3" s="41">
        <v>6.9417065E-2</v>
      </c>
      <c r="E3" s="41">
        <v>5.3667272000000002E-2</v>
      </c>
      <c r="F3" s="41">
        <f>AH3/$B3</f>
        <v>0.22083334376574756</v>
      </c>
      <c r="G3" s="41">
        <f t="shared" ref="F3:K14" si="0">AI3/$B3</f>
        <v>8.7479170799280563</v>
      </c>
      <c r="H3" s="41">
        <f t="shared" si="0"/>
        <v>80.606253807929605</v>
      </c>
      <c r="I3" s="41">
        <f t="shared" si="0"/>
        <v>167.91875793266999</v>
      </c>
      <c r="J3" s="41">
        <f t="shared" si="0"/>
        <v>148.08334032895601</v>
      </c>
      <c r="K3" s="41">
        <f t="shared" si="0"/>
        <v>47.883335595395678</v>
      </c>
      <c r="L3" s="1"/>
      <c r="M3" s="41">
        <v>0.120912157052691</v>
      </c>
      <c r="N3" s="41">
        <v>0.33180424301834099</v>
      </c>
      <c r="O3" s="41">
        <v>1.1106730436618699</v>
      </c>
      <c r="P3" s="41">
        <v>4.4426921746474797</v>
      </c>
      <c r="Q3" s="41">
        <v>17.770768698589901</v>
      </c>
      <c r="R3" s="41">
        <v>71.083074794359803</v>
      </c>
      <c r="S3" s="41"/>
      <c r="T3" s="41">
        <v>0.21698840087687299</v>
      </c>
      <c r="U3" s="41">
        <v>0.86795360350749196</v>
      </c>
      <c r="V3" s="41">
        <v>3.47181441402997</v>
      </c>
      <c r="W3" s="41">
        <v>13.8872576561198</v>
      </c>
      <c r="X3" s="41">
        <v>55.549030624479499</v>
      </c>
      <c r="Y3" s="41">
        <v>222.196122497918</v>
      </c>
      <c r="AA3" s="9">
        <v>0.118359313673794</v>
      </c>
      <c r="AB3" s="9">
        <v>0.30693782510638401</v>
      </c>
      <c r="AC3" s="9">
        <v>0.85867635779576901</v>
      </c>
      <c r="AD3" s="9">
        <v>3.4347054311830698</v>
      </c>
      <c r="AE3" s="9">
        <v>13.738821724732301</v>
      </c>
      <c r="AF3" s="9">
        <v>54.955286898929202</v>
      </c>
      <c r="AH3" s="1">
        <v>106</v>
      </c>
      <c r="AI3" s="1">
        <v>4199</v>
      </c>
      <c r="AJ3" s="1">
        <v>38691</v>
      </c>
      <c r="AK3" s="1">
        <v>80601</v>
      </c>
      <c r="AL3" s="1">
        <v>71080</v>
      </c>
      <c r="AM3" s="1">
        <v>22984</v>
      </c>
      <c r="AO3">
        <f>COUNTIF(AQ8:BJ8,"Solve")</f>
        <v>4</v>
      </c>
      <c r="AP3" s="1" t="s">
        <v>85</v>
      </c>
      <c r="AQ3" s="60">
        <f>C44</f>
        <v>41.812906146779035</v>
      </c>
      <c r="AR3" s="12">
        <f>I44</f>
        <v>89.037589430537523</v>
      </c>
      <c r="AS3" s="56">
        <f>N44</f>
        <v>110.05450225109749</v>
      </c>
      <c r="AT3" s="12">
        <f>R44</f>
        <v>937.56012276802267</v>
      </c>
      <c r="AU3" s="12">
        <f>X44</f>
        <v>293.2120042217357</v>
      </c>
      <c r="AV3" s="12">
        <f>AC44</f>
        <v>117.899947808294</v>
      </c>
      <c r="AW3" s="12">
        <f>AJ44</f>
        <v>72.282358226317783</v>
      </c>
      <c r="AX3" s="57">
        <f>AP44</f>
        <v>45.832808645123308</v>
      </c>
      <c r="AY3" s="62">
        <f>N96</f>
        <v>32.212605011104806</v>
      </c>
      <c r="AZ3" s="12">
        <f>S96</f>
        <v>68.443321631869111</v>
      </c>
      <c r="BA3" s="12">
        <f>X96</f>
        <v>282.30921857239753</v>
      </c>
      <c r="BB3" s="12">
        <f>AD96</f>
        <v>1804.9702389670795</v>
      </c>
      <c r="BC3" s="12">
        <f>AJ96</f>
        <v>197.59258727266268</v>
      </c>
      <c r="BD3" s="12">
        <f>AP96</f>
        <v>80.905893901899006</v>
      </c>
      <c r="BE3" s="62">
        <f>N153</f>
        <v>33.63172013228494</v>
      </c>
      <c r="BF3" s="60">
        <f>S153</f>
        <v>85.231090335664234</v>
      </c>
      <c r="BG3" s="60">
        <f>X153</f>
        <v>263.43445282868242</v>
      </c>
      <c r="BH3" s="12">
        <f>AD153</f>
        <v>136.0465863968179</v>
      </c>
      <c r="BI3" s="12">
        <f>AJ153</f>
        <v>56.324449049572557</v>
      </c>
      <c r="BJ3" s="61">
        <f>AP153</f>
        <v>61.765141605361556</v>
      </c>
    </row>
    <row r="4" spans="1:66" x14ac:dyDescent="0.25">
      <c r="A4" s="1" t="s">
        <v>32</v>
      </c>
      <c r="B4" s="8">
        <v>49.999977324263</v>
      </c>
      <c r="C4" s="9">
        <v>0.103785400341108</v>
      </c>
      <c r="D4" s="9">
        <v>9.3097685505032102E-3</v>
      </c>
      <c r="E4" s="9">
        <v>2.6623638531804101E-3</v>
      </c>
      <c r="F4" s="9">
        <f t="shared" si="0"/>
        <v>0.1400000634920924</v>
      </c>
      <c r="G4" s="9">
        <f t="shared" si="0"/>
        <v>0.64000029024956528</v>
      </c>
      <c r="H4" s="9">
        <f t="shared" si="0"/>
        <v>2.9600013424042393</v>
      </c>
      <c r="I4" s="9">
        <f t="shared" si="0"/>
        <v>9.5000043083919845</v>
      </c>
      <c r="J4" s="9">
        <f t="shared" si="0"/>
        <v>37.660017079372857</v>
      </c>
      <c r="K4" s="9">
        <f t="shared" si="0"/>
        <v>117.32005320637343</v>
      </c>
      <c r="L4" s="1"/>
      <c r="M4" s="9">
        <v>8.7491372398812203E-2</v>
      </c>
      <c r="N4" s="9">
        <v>0.209281252002183</v>
      </c>
      <c r="O4" s="9">
        <v>0.53107420883976697</v>
      </c>
      <c r="P4" s="9">
        <v>1.1427850401592301</v>
      </c>
      <c r="Q4" s="9">
        <v>2.42627671242104</v>
      </c>
      <c r="R4" s="9">
        <v>9.5332029957152908</v>
      </c>
      <c r="S4" s="9"/>
      <c r="T4" s="9">
        <v>0.103785400341108</v>
      </c>
      <c r="U4" s="9">
        <v>0.41514160136443401</v>
      </c>
      <c r="V4" s="9">
        <v>1.66056640545773</v>
      </c>
      <c r="W4" s="9">
        <v>6.6422656218309504</v>
      </c>
      <c r="X4" s="9">
        <v>26.569062487323801</v>
      </c>
      <c r="Y4" s="9">
        <v>106.27624994929501</v>
      </c>
      <c r="AA4" s="9">
        <v>0.103757048244818</v>
      </c>
      <c r="AB4" s="9">
        <v>0.14698858143442201</v>
      </c>
      <c r="AC4" s="9">
        <v>0.24910673933583599</v>
      </c>
      <c r="AD4" s="9">
        <v>0.37211833067852301</v>
      </c>
      <c r="AE4" s="9">
        <v>0.69718753395348498</v>
      </c>
      <c r="AF4" s="9">
        <v>2.7262605856567399</v>
      </c>
      <c r="AH4" s="1">
        <v>7</v>
      </c>
      <c r="AI4" s="1">
        <v>32</v>
      </c>
      <c r="AJ4" s="1">
        <v>148</v>
      </c>
      <c r="AK4" s="1">
        <v>475</v>
      </c>
      <c r="AL4" s="1">
        <v>1883</v>
      </c>
      <c r="AM4" s="1">
        <v>5866</v>
      </c>
      <c r="AO4">
        <f>COUNTIF(AQ8:BJ8,"Linear")</f>
        <v>6</v>
      </c>
      <c r="AP4" s="1" t="s">
        <v>16</v>
      </c>
      <c r="AQ4" s="60">
        <f>C45</f>
        <v>33.731048103317463</v>
      </c>
      <c r="AR4" s="12">
        <f>I45</f>
        <v>57.475233471022854</v>
      </c>
      <c r="AS4" s="56">
        <f>N45</f>
        <v>9787.9571871903208</v>
      </c>
      <c r="AT4" s="60">
        <f>R45</f>
        <v>34.582004466136006</v>
      </c>
      <c r="AU4" s="12">
        <f>X45</f>
        <v>162.89930253919613</v>
      </c>
      <c r="AV4" s="12">
        <f>AC45</f>
        <v>66.684842681315132</v>
      </c>
      <c r="AW4" s="12">
        <f>AJ45</f>
        <v>50.165636206290806</v>
      </c>
      <c r="AX4" s="57">
        <f>AP45</f>
        <v>54.460891664669248</v>
      </c>
      <c r="AY4" s="62">
        <f>N97</f>
        <v>35.081005308908495</v>
      </c>
      <c r="AZ4" s="12">
        <f>S97</f>
        <v>53.64006417873874</v>
      </c>
      <c r="BA4" s="12">
        <f>X97</f>
        <v>87.783602343708864</v>
      </c>
      <c r="BB4" s="12">
        <f>AD97</f>
        <v>211.05324097488057</v>
      </c>
      <c r="BC4" s="12">
        <f>AJ97</f>
        <v>213.20892554030422</v>
      </c>
      <c r="BD4" s="12">
        <f>AP97</f>
        <v>215.51870998731584</v>
      </c>
      <c r="BE4" s="62">
        <f>N154</f>
        <v>30.932853549294144</v>
      </c>
      <c r="BF4" s="60">
        <f>S154</f>
        <v>44.007035696558425</v>
      </c>
      <c r="BG4" s="60">
        <f>X154</f>
        <v>171.38585078546132</v>
      </c>
      <c r="BH4" s="12">
        <f>AD154</f>
        <v>87.047930039566467</v>
      </c>
      <c r="BI4" s="12">
        <f>AJ154</f>
        <v>44.89808664406344</v>
      </c>
      <c r="BJ4" s="61">
        <f>AP154</f>
        <v>50.865820562638127</v>
      </c>
      <c r="BL4" s="29"/>
      <c r="BM4" s="29"/>
    </row>
    <row r="5" spans="1:66" x14ac:dyDescent="0.25">
      <c r="A5" s="1" t="s">
        <v>33</v>
      </c>
      <c r="B5" s="8">
        <v>99.999977324263</v>
      </c>
      <c r="C5" s="9">
        <v>1.7343593585544201E-2</v>
      </c>
      <c r="D5" s="9">
        <v>3.7541223526986601E-3</v>
      </c>
      <c r="E5" s="9">
        <v>3.5652204100954199E-3</v>
      </c>
      <c r="F5" s="9">
        <f t="shared" si="0"/>
        <v>0</v>
      </c>
      <c r="G5" s="9">
        <f t="shared" si="0"/>
        <v>3.0000006802722641E-2</v>
      </c>
      <c r="H5" s="9">
        <f t="shared" si="0"/>
        <v>0.17000003854876164</v>
      </c>
      <c r="I5" s="9">
        <f t="shared" si="0"/>
        <v>2.2100005011339015</v>
      </c>
      <c r="J5" s="9">
        <f t="shared" si="0"/>
        <v>29.650006723357546</v>
      </c>
      <c r="K5" s="9">
        <f t="shared" si="0"/>
        <v>148.97003378005306</v>
      </c>
      <c r="L5" s="1"/>
      <c r="M5" s="1">
        <v>0</v>
      </c>
      <c r="N5" s="9">
        <v>4.8899641067386798E-2</v>
      </c>
      <c r="O5" s="9">
        <v>0.137793372793407</v>
      </c>
      <c r="P5" s="9">
        <v>0.30126664954396598</v>
      </c>
      <c r="Q5" s="9">
        <v>0.96105532229085699</v>
      </c>
      <c r="R5" s="9">
        <v>3.84422128916342</v>
      </c>
      <c r="S5" s="9"/>
      <c r="T5" s="9"/>
      <c r="U5" s="9">
        <v>6.9374374342176998E-2</v>
      </c>
      <c r="V5" s="9">
        <v>0.27749749736870799</v>
      </c>
      <c r="W5" s="9">
        <v>1.10998998947483</v>
      </c>
      <c r="X5" s="9">
        <v>4.4399599578993296</v>
      </c>
      <c r="Y5" s="9">
        <v>17.759839831597301</v>
      </c>
      <c r="AA5" s="9"/>
      <c r="AB5" s="9">
        <v>4.8899641067386798E-2</v>
      </c>
      <c r="AC5" s="9">
        <v>0.11369963117038601</v>
      </c>
      <c r="AD5" s="9">
        <v>0.28479190741614602</v>
      </c>
      <c r="AE5" s="9">
        <v>0.91269642498442904</v>
      </c>
      <c r="AF5" s="9">
        <v>3.65078569993771</v>
      </c>
      <c r="AH5" s="1">
        <v>0</v>
      </c>
      <c r="AI5" s="1">
        <v>3</v>
      </c>
      <c r="AJ5" s="1">
        <v>17</v>
      </c>
      <c r="AK5" s="1">
        <v>221</v>
      </c>
      <c r="AL5" s="1">
        <v>2965</v>
      </c>
      <c r="AM5" s="1">
        <v>14897</v>
      </c>
      <c r="AO5">
        <f>COUNTIF(AQ8:BJ8,"Power")</f>
        <v>10</v>
      </c>
      <c r="AP5" s="1" t="s">
        <v>17</v>
      </c>
      <c r="AQ5" s="60">
        <f>C46</f>
        <v>34.160952903899592</v>
      </c>
      <c r="AR5" s="12">
        <f>I46</f>
        <v>55.300435902776094</v>
      </c>
      <c r="AS5" s="58">
        <f>N46</f>
        <v>6173802043186715</v>
      </c>
      <c r="AT5" s="60">
        <f>R46</f>
        <v>45.681813359382701</v>
      </c>
      <c r="AU5" s="12">
        <f>X46</f>
        <v>85.749827704391251</v>
      </c>
      <c r="AV5" s="12">
        <f>AC46</f>
        <v>47.883326383199218</v>
      </c>
      <c r="AW5" s="12">
        <f>AJ46</f>
        <v>55.5149915661924</v>
      </c>
      <c r="AX5" s="57">
        <f>AP46</f>
        <v>58.938318205586377</v>
      </c>
      <c r="AY5" s="62">
        <f>N98</f>
        <v>38.552112032336268</v>
      </c>
      <c r="AZ5" s="12">
        <f>S98</f>
        <v>57.981996629069513</v>
      </c>
      <c r="BA5" s="12">
        <f>X98</f>
        <v>85.773339187142255</v>
      </c>
      <c r="BB5" s="12">
        <f>AD98</f>
        <v>51.879492676349699</v>
      </c>
      <c r="BC5" s="12">
        <f>AJ98</f>
        <v>0</v>
      </c>
      <c r="BD5" s="12">
        <f>AP98</f>
        <v>0</v>
      </c>
      <c r="BE5" s="62">
        <f>N155</f>
        <v>30.312201289335206</v>
      </c>
      <c r="BF5" s="60">
        <f>S155</f>
        <v>27.476583989976842</v>
      </c>
      <c r="BG5" s="60">
        <f>X155</f>
        <v>42.657486426996407</v>
      </c>
      <c r="BH5" s="12">
        <f>AD155</f>
        <v>41.37597226405947</v>
      </c>
      <c r="BI5" s="12">
        <f>AJ155</f>
        <v>0</v>
      </c>
      <c r="BJ5" s="61">
        <f>AP155</f>
        <v>0</v>
      </c>
      <c r="BL5" s="29"/>
      <c r="BM5" s="29"/>
    </row>
    <row r="6" spans="1:66" x14ac:dyDescent="0.25">
      <c r="A6" s="1" t="s">
        <v>34</v>
      </c>
      <c r="B6" s="8">
        <v>149.999977324263</v>
      </c>
      <c r="C6" s="9">
        <v>9.5590751489404505E-2</v>
      </c>
      <c r="D6" s="9">
        <v>4.1750172724988703E-3</v>
      </c>
      <c r="E6" s="9">
        <v>3.0008966016067001E-3</v>
      </c>
      <c r="F6" s="9">
        <f t="shared" si="0"/>
        <v>2.6666670697909411E-2</v>
      </c>
      <c r="G6" s="9">
        <f t="shared" si="0"/>
        <v>4.6666673721341465E-2</v>
      </c>
      <c r="H6" s="9">
        <f t="shared" si="0"/>
        <v>0.28666671000252614</v>
      </c>
      <c r="I6" s="9">
        <f t="shared" si="0"/>
        <v>2.1666669942051393</v>
      </c>
      <c r="J6" s="9">
        <f t="shared" si="0"/>
        <v>31.580004773999217</v>
      </c>
      <c r="K6" s="9">
        <f t="shared" si="0"/>
        <v>140.93335463845122</v>
      </c>
      <c r="L6" s="1"/>
      <c r="M6" s="9">
        <v>9.5590751489404505E-2</v>
      </c>
      <c r="N6" s="9">
        <v>0.38236300595761802</v>
      </c>
      <c r="O6" s="9">
        <v>0.30150636762101002</v>
      </c>
      <c r="P6" s="9">
        <v>0.40942486346857698</v>
      </c>
      <c r="Q6" s="9">
        <v>1.08441649984316</v>
      </c>
      <c r="R6" s="9">
        <v>4.2752176870388396</v>
      </c>
      <c r="S6" s="9"/>
      <c r="T6" s="9">
        <v>9.5590751489404505E-2</v>
      </c>
      <c r="U6" s="9">
        <v>0.38236300595761802</v>
      </c>
      <c r="V6" s="9">
        <v>1.5294520238304701</v>
      </c>
      <c r="W6" s="9">
        <v>6.1178080953218803</v>
      </c>
      <c r="X6" s="9">
        <v>24.4712323812875</v>
      </c>
      <c r="Y6" s="9">
        <v>97.884929525150199</v>
      </c>
      <c r="AA6" s="9">
        <v>9.5590751489404505E-2</v>
      </c>
      <c r="AB6" s="9">
        <v>0.38236300595761802</v>
      </c>
      <c r="AC6" s="9">
        <v>0.161126362185676</v>
      </c>
      <c r="AD6" s="9">
        <v>0.28514455549158801</v>
      </c>
      <c r="AE6" s="9">
        <v>0.77490970037964602</v>
      </c>
      <c r="AF6" s="9">
        <v>3.07291812004526</v>
      </c>
      <c r="AH6" s="1">
        <v>4</v>
      </c>
      <c r="AI6" s="1">
        <v>7</v>
      </c>
      <c r="AJ6" s="1">
        <v>43</v>
      </c>
      <c r="AK6" s="1">
        <v>325</v>
      </c>
      <c r="AL6" s="1">
        <v>4737</v>
      </c>
      <c r="AM6" s="1">
        <v>21140</v>
      </c>
      <c r="AP6" s="1"/>
      <c r="AQ6" s="53"/>
      <c r="AR6" s="12"/>
      <c r="AS6" s="12"/>
      <c r="AT6" s="12"/>
      <c r="AU6" s="12"/>
      <c r="AV6" s="12"/>
      <c r="AW6" s="12"/>
      <c r="AX6" s="12"/>
    </row>
    <row r="7" spans="1:66" x14ac:dyDescent="0.25">
      <c r="B7" s="8"/>
      <c r="F7" s="9"/>
      <c r="G7" s="9"/>
      <c r="H7" s="9"/>
      <c r="I7" s="9"/>
      <c r="J7" s="9"/>
      <c r="K7" s="9"/>
      <c r="M7" s="9"/>
      <c r="N7" s="9"/>
      <c r="O7" s="9"/>
      <c r="P7" s="9"/>
      <c r="Q7" s="9"/>
      <c r="R7" s="9"/>
      <c r="S7" s="9"/>
      <c r="AA7" s="9"/>
      <c r="AB7" s="9"/>
      <c r="AC7" s="9"/>
      <c r="AD7" s="9"/>
      <c r="AE7" s="9"/>
      <c r="AF7" s="9"/>
      <c r="AP7" s="1"/>
      <c r="AQ7" s="12">
        <f>MIN(AQ3:AQ5)</f>
        <v>33.731048103317463</v>
      </c>
      <c r="AR7" s="12">
        <f t="shared" ref="AR7:BH7" si="1">MIN(AR3:AR5)</f>
        <v>55.300435902776094</v>
      </c>
      <c r="AS7" s="12">
        <f t="shared" si="1"/>
        <v>110.05450225109749</v>
      </c>
      <c r="AT7" s="12">
        <f t="shared" si="1"/>
        <v>34.582004466136006</v>
      </c>
      <c r="AU7" s="12">
        <f t="shared" si="1"/>
        <v>85.749827704391251</v>
      </c>
      <c r="AV7" s="12">
        <f t="shared" si="1"/>
        <v>47.883326383199218</v>
      </c>
      <c r="AW7" s="12">
        <f t="shared" si="1"/>
        <v>50.165636206290806</v>
      </c>
      <c r="AX7" s="12">
        <f t="shared" si="1"/>
        <v>45.832808645123308</v>
      </c>
      <c r="AY7" s="12">
        <f t="shared" si="1"/>
        <v>32.212605011104806</v>
      </c>
      <c r="AZ7" s="12">
        <f t="shared" si="1"/>
        <v>53.64006417873874</v>
      </c>
      <c r="BA7" s="12">
        <f t="shared" si="1"/>
        <v>85.773339187142255</v>
      </c>
      <c r="BB7" s="12">
        <f t="shared" si="1"/>
        <v>51.879492676349699</v>
      </c>
      <c r="BC7" s="12">
        <f t="shared" si="1"/>
        <v>0</v>
      </c>
      <c r="BD7" s="12">
        <f t="shared" si="1"/>
        <v>0</v>
      </c>
      <c r="BE7" s="12">
        <f t="shared" si="1"/>
        <v>30.312201289335206</v>
      </c>
      <c r="BF7" s="12">
        <f t="shared" si="1"/>
        <v>27.476583989976842</v>
      </c>
      <c r="BG7" s="12">
        <f t="shared" si="1"/>
        <v>42.657486426996407</v>
      </c>
      <c r="BH7" s="12">
        <f t="shared" si="1"/>
        <v>41.37597226405947</v>
      </c>
      <c r="BI7" s="12"/>
      <c r="BJ7" s="12"/>
    </row>
    <row r="8" spans="1:66" x14ac:dyDescent="0.25">
      <c r="A8" s="1" t="s">
        <v>87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59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64</v>
      </c>
      <c r="M8" s="1" t="s">
        <v>10</v>
      </c>
      <c r="N8" s="1" t="s">
        <v>11</v>
      </c>
      <c r="O8" s="1" t="s">
        <v>12</v>
      </c>
      <c r="P8" s="1" t="s">
        <v>13</v>
      </c>
      <c r="Q8" s="1" t="s">
        <v>14</v>
      </c>
      <c r="R8" s="1" t="s">
        <v>15</v>
      </c>
      <c r="T8" t="s">
        <v>50</v>
      </c>
      <c r="U8" t="s">
        <v>51</v>
      </c>
      <c r="V8" t="s">
        <v>52</v>
      </c>
      <c r="W8" t="s">
        <v>53</v>
      </c>
      <c r="X8" t="s">
        <v>54</v>
      </c>
      <c r="Y8" t="s">
        <v>55</v>
      </c>
      <c r="AA8" s="1" t="s">
        <v>25</v>
      </c>
      <c r="AB8" s="1" t="s">
        <v>26</v>
      </c>
      <c r="AC8" s="1" t="s">
        <v>27</v>
      </c>
      <c r="AD8" s="1" t="s">
        <v>28</v>
      </c>
      <c r="AE8" s="1" t="s">
        <v>29</v>
      </c>
      <c r="AF8" s="1" t="s">
        <v>30</v>
      </c>
      <c r="AH8" s="1" t="s">
        <v>4</v>
      </c>
      <c r="AI8" s="1" t="s">
        <v>5</v>
      </c>
      <c r="AJ8" s="1" t="s">
        <v>6</v>
      </c>
      <c r="AK8" s="1" t="s">
        <v>7</v>
      </c>
      <c r="AL8" s="1" t="s">
        <v>8</v>
      </c>
      <c r="AM8" s="1" t="s">
        <v>9</v>
      </c>
      <c r="AQ8" s="1" t="s">
        <v>17</v>
      </c>
      <c r="AR8" s="12" t="s">
        <v>17</v>
      </c>
      <c r="AS8" s="1" t="s">
        <v>85</v>
      </c>
      <c r="AT8" s="1" t="s">
        <v>16</v>
      </c>
      <c r="AU8" s="1" t="s">
        <v>17</v>
      </c>
      <c r="AV8" s="1" t="s">
        <v>17</v>
      </c>
      <c r="AW8" s="1" t="s">
        <v>16</v>
      </c>
      <c r="AX8" s="1" t="s">
        <v>16</v>
      </c>
      <c r="AY8" s="1" t="s">
        <v>85</v>
      </c>
      <c r="AZ8" s="1" t="s">
        <v>16</v>
      </c>
      <c r="BA8" s="1" t="s">
        <v>17</v>
      </c>
      <c r="BB8" s="1" t="s">
        <v>17</v>
      </c>
      <c r="BC8" s="1" t="s">
        <v>85</v>
      </c>
      <c r="BD8" s="1" t="s">
        <v>85</v>
      </c>
      <c r="BE8" s="1" t="s">
        <v>17</v>
      </c>
      <c r="BF8" s="1" t="s">
        <v>17</v>
      </c>
      <c r="BG8" s="1" t="s">
        <v>17</v>
      </c>
      <c r="BH8" s="1" t="s">
        <v>17</v>
      </c>
      <c r="BI8" s="1" t="s">
        <v>16</v>
      </c>
      <c r="BJ8" s="1" t="s">
        <v>16</v>
      </c>
    </row>
    <row r="9" spans="1:66" x14ac:dyDescent="0.25">
      <c r="A9" s="43" t="s">
        <v>88</v>
      </c>
      <c r="B9" s="44">
        <v>60</v>
      </c>
      <c r="C9" s="45">
        <v>1.0016323215471E-4</v>
      </c>
      <c r="D9" s="45">
        <v>9.6719568367751498E-5</v>
      </c>
      <c r="E9" s="45">
        <v>9.6709486732715302E-5</v>
      </c>
      <c r="F9" s="41">
        <f>AH9/$B9</f>
        <v>0</v>
      </c>
      <c r="G9" s="41">
        <f t="shared" si="0"/>
        <v>0</v>
      </c>
      <c r="H9" s="41">
        <f t="shared" si="0"/>
        <v>0</v>
      </c>
      <c r="I9" s="41">
        <f t="shared" si="0"/>
        <v>0</v>
      </c>
      <c r="J9" s="41">
        <f t="shared" si="0"/>
        <v>0</v>
      </c>
      <c r="K9" s="41">
        <f t="shared" si="0"/>
        <v>0</v>
      </c>
      <c r="L9" s="1"/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/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</row>
    <row r="10" spans="1:66" x14ac:dyDescent="0.25">
      <c r="A10" s="32" t="s">
        <v>89</v>
      </c>
      <c r="B10" s="47">
        <v>60</v>
      </c>
      <c r="C10" s="49">
        <v>2.7100659833378001E-2</v>
      </c>
      <c r="D10" s="49">
        <v>1.73415591077304E-2</v>
      </c>
      <c r="E10" s="49">
        <v>1.75334302078048E-2</v>
      </c>
      <c r="F10" s="33">
        <f>AH10/$B10</f>
        <v>0</v>
      </c>
      <c r="G10" s="33">
        <f t="shared" ref="G10" si="2">AI10/$B10</f>
        <v>0.18333333333333332</v>
      </c>
      <c r="H10" s="33">
        <f>AJ10/$B10</f>
        <v>3.3166666666666669</v>
      </c>
      <c r="I10" s="33">
        <f>AK10/$B10</f>
        <v>43.783333333333331</v>
      </c>
      <c r="J10" s="33">
        <f t="shared" ref="J10" si="3">AL10/$B10</f>
        <v>197.53333333333333</v>
      </c>
      <c r="K10" s="33">
        <f>AM10/$B10</f>
        <v>251.98333333333332</v>
      </c>
      <c r="M10">
        <v>0</v>
      </c>
      <c r="N10">
        <v>8.5195492688122099E-2</v>
      </c>
      <c r="O10">
        <v>0.283546008743847</v>
      </c>
      <c r="P10">
        <v>2.2279108515780699</v>
      </c>
      <c r="Q10">
        <v>8.9116434063122991</v>
      </c>
      <c r="R10">
        <v>35.646573625249196</v>
      </c>
      <c r="T10">
        <v>0</v>
      </c>
      <c r="U10">
        <v>0.108402639333512</v>
      </c>
      <c r="V10">
        <v>0.43361055733404802</v>
      </c>
      <c r="W10">
        <v>2.3259290609915499</v>
      </c>
      <c r="X10">
        <v>9.3037162439662104</v>
      </c>
      <c r="Y10">
        <v>37.214864975864799</v>
      </c>
      <c r="Z10" s="1"/>
      <c r="AA10">
        <v>0</v>
      </c>
      <c r="AB10">
        <v>8.1549751061042799E-2</v>
      </c>
      <c r="AC10">
        <v>0.28905210154241401</v>
      </c>
      <c r="AD10">
        <v>2.22823696464304</v>
      </c>
      <c r="AE10">
        <v>8.9129478585721706</v>
      </c>
      <c r="AF10">
        <v>35.651791434288697</v>
      </c>
      <c r="AG10" s="1"/>
      <c r="AH10" s="1">
        <v>0</v>
      </c>
      <c r="AI10" s="1">
        <v>11</v>
      </c>
      <c r="AJ10" s="1">
        <v>199</v>
      </c>
      <c r="AK10" s="1">
        <v>2627</v>
      </c>
      <c r="AL10" s="1">
        <v>11852</v>
      </c>
      <c r="AM10" s="1">
        <v>15119</v>
      </c>
      <c r="BB10" s="12"/>
      <c r="BC10" s="12"/>
      <c r="BD10" s="12"/>
      <c r="BE10" s="12"/>
      <c r="BF10" s="12"/>
      <c r="BH10" s="12"/>
      <c r="BI10" s="12"/>
      <c r="BJ10" s="12"/>
      <c r="BK10" s="12"/>
      <c r="BL10" s="12"/>
      <c r="BN10" s="12"/>
    </row>
    <row r="11" spans="1:66" x14ac:dyDescent="0.25">
      <c r="A11" s="32" t="s">
        <v>90</v>
      </c>
      <c r="B11" s="47">
        <v>60</v>
      </c>
      <c r="C11" s="49">
        <v>3.3894640450781402E-2</v>
      </c>
      <c r="D11" s="49">
        <v>2.45471667611072E-2</v>
      </c>
      <c r="E11" s="49">
        <v>2.45122321428459E-2</v>
      </c>
      <c r="F11" s="33">
        <f t="shared" ref="F11" si="4">AH11/$B11</f>
        <v>0</v>
      </c>
      <c r="G11" s="33">
        <f t="shared" si="0"/>
        <v>3.3333333333333333E-2</v>
      </c>
      <c r="H11" s="33">
        <f t="shared" si="0"/>
        <v>1.95</v>
      </c>
      <c r="I11" s="33">
        <f t="shared" si="0"/>
        <v>82.25</v>
      </c>
      <c r="J11" s="33">
        <f t="shared" si="0"/>
        <v>171.48333333333332</v>
      </c>
      <c r="K11" s="33">
        <f>AM11/$B11</f>
        <v>176.46666666666667</v>
      </c>
      <c r="M11">
        <v>0</v>
      </c>
      <c r="N11">
        <v>0.10729609555229699</v>
      </c>
      <c r="O11">
        <v>0.40212515642043301</v>
      </c>
      <c r="P11">
        <v>1.5710186727108599</v>
      </c>
      <c r="Q11">
        <v>6.2840746908434504</v>
      </c>
      <c r="R11">
        <v>25.136298763373802</v>
      </c>
      <c r="T11">
        <v>0</v>
      </c>
      <c r="U11">
        <v>0.114178758147192</v>
      </c>
      <c r="V11">
        <v>0.54231424721250299</v>
      </c>
      <c r="W11">
        <v>2.1692569888500102</v>
      </c>
      <c r="X11">
        <v>8.6770279554000496</v>
      </c>
      <c r="Y11">
        <v>34.708111821600198</v>
      </c>
      <c r="Z11" s="1"/>
      <c r="AA11">
        <v>0</v>
      </c>
      <c r="AB11">
        <v>0.10729609555229699</v>
      </c>
      <c r="AC11">
        <v>0.39659577629574799</v>
      </c>
      <c r="AD11">
        <v>1.5687828571421401</v>
      </c>
      <c r="AE11">
        <v>6.2751314285685602</v>
      </c>
      <c r="AF11">
        <v>25.100525714274202</v>
      </c>
      <c r="AG11" s="1"/>
      <c r="AH11" s="1">
        <v>0</v>
      </c>
      <c r="AI11" s="1">
        <v>2</v>
      </c>
      <c r="AJ11" s="1">
        <v>117</v>
      </c>
      <c r="AK11" s="1">
        <v>4935</v>
      </c>
      <c r="AL11" s="1">
        <v>10289</v>
      </c>
      <c r="AM11" s="1">
        <v>10588</v>
      </c>
      <c r="BB11" s="12"/>
      <c r="BC11" s="12"/>
      <c r="BD11" s="12"/>
      <c r="BE11" s="12"/>
      <c r="BF11" s="12"/>
      <c r="BH11" s="12"/>
      <c r="BI11" s="12"/>
      <c r="BJ11" s="12"/>
      <c r="BK11" s="12"/>
      <c r="BL11" s="12"/>
      <c r="BN11" s="12"/>
    </row>
    <row r="12" spans="1:66" x14ac:dyDescent="0.25">
      <c r="A12" s="32" t="s">
        <v>91</v>
      </c>
      <c r="B12" s="47">
        <v>60</v>
      </c>
      <c r="C12" s="4">
        <v>0.12148791730821901</v>
      </c>
      <c r="D12" s="4">
        <v>6.33040571897725E-2</v>
      </c>
      <c r="E12" s="4">
        <v>5.8734947455230002E-2</v>
      </c>
      <c r="F12" s="33">
        <f>AH12/$B12</f>
        <v>3.3333333333333333E-2</v>
      </c>
      <c r="G12" s="33">
        <f t="shared" si="0"/>
        <v>2.1</v>
      </c>
      <c r="H12" s="33">
        <f t="shared" si="0"/>
        <v>34.25</v>
      </c>
      <c r="I12" s="33">
        <f t="shared" si="0"/>
        <v>161.33333333333334</v>
      </c>
      <c r="J12" s="33">
        <f t="shared" si="0"/>
        <v>152.44999999999999</v>
      </c>
      <c r="K12" s="33">
        <f t="shared" ref="K12" si="5">AM12/$B12</f>
        <v>154.5</v>
      </c>
      <c r="M12">
        <v>7.8997664635741496E-2</v>
      </c>
      <c r="N12">
        <v>0.26878015500851199</v>
      </c>
      <c r="O12">
        <v>1.01286491503636</v>
      </c>
      <c r="P12">
        <v>4.05145966014544</v>
      </c>
      <c r="Q12">
        <v>16.2058386405817</v>
      </c>
      <c r="R12">
        <v>64.823354562326998</v>
      </c>
      <c r="T12">
        <v>7.8997664635741496E-2</v>
      </c>
      <c r="U12">
        <v>0.48595166923287902</v>
      </c>
      <c r="V12">
        <v>1.9438066769315101</v>
      </c>
      <c r="W12">
        <v>7.7752267077260697</v>
      </c>
      <c r="X12">
        <v>31.100906830904201</v>
      </c>
      <c r="Y12">
        <v>124.403627323617</v>
      </c>
      <c r="Z12" s="1"/>
      <c r="AA12">
        <v>7.8997664635741496E-2</v>
      </c>
      <c r="AB12">
        <v>0.25332701569766197</v>
      </c>
      <c r="AC12">
        <v>0.93975915928368003</v>
      </c>
      <c r="AD12">
        <v>3.7590366371347201</v>
      </c>
      <c r="AE12">
        <v>15.036146548538801</v>
      </c>
      <c r="AF12">
        <v>60.144586194155501</v>
      </c>
      <c r="AG12" s="1"/>
      <c r="AH12" s="1">
        <v>2</v>
      </c>
      <c r="AI12" s="1">
        <v>126</v>
      </c>
      <c r="AJ12" s="1">
        <v>2055</v>
      </c>
      <c r="AK12" s="1">
        <v>9680</v>
      </c>
      <c r="AL12" s="1">
        <v>9147</v>
      </c>
      <c r="AM12" s="1">
        <v>9270</v>
      </c>
    </row>
    <row r="13" spans="1:66" x14ac:dyDescent="0.25">
      <c r="A13" s="1" t="s">
        <v>92</v>
      </c>
      <c r="B13" s="38">
        <v>60</v>
      </c>
      <c r="C13" s="39">
        <v>3.4809429886628E-3</v>
      </c>
      <c r="D13" s="39">
        <v>2.5348843493833199E-3</v>
      </c>
      <c r="E13" s="39">
        <v>2.51419995762145E-3</v>
      </c>
      <c r="F13" s="9">
        <f>AH13/$B13</f>
        <v>0</v>
      </c>
      <c r="G13" s="9">
        <f t="shared" si="0"/>
        <v>0</v>
      </c>
      <c r="H13" s="9">
        <f t="shared" si="0"/>
        <v>0</v>
      </c>
      <c r="I13" s="9">
        <f t="shared" si="0"/>
        <v>0</v>
      </c>
      <c r="J13" s="9">
        <f t="shared" si="0"/>
        <v>0</v>
      </c>
      <c r="K13" s="9">
        <f t="shared" si="0"/>
        <v>0</v>
      </c>
      <c r="M13" s="1"/>
      <c r="N13" s="1"/>
      <c r="O13" s="1"/>
      <c r="P13" s="12"/>
      <c r="Q13" s="12"/>
      <c r="R13" s="12"/>
      <c r="T13" s="1"/>
      <c r="U13" s="1"/>
      <c r="V13" s="1"/>
      <c r="W13" s="9"/>
      <c r="X13" s="9"/>
      <c r="Y13" s="9"/>
      <c r="AA13" s="1"/>
      <c r="AB13" s="1"/>
      <c r="AC13" s="1"/>
      <c r="AE13" s="38"/>
      <c r="AF13" s="38"/>
      <c r="AG13" s="1"/>
      <c r="AH13" s="38"/>
      <c r="AI13" s="38"/>
      <c r="AJ13" s="38"/>
      <c r="AK13" s="38"/>
      <c r="AL13" s="38"/>
      <c r="AM13" s="38"/>
    </row>
    <row r="14" spans="1:66" x14ac:dyDescent="0.25">
      <c r="A14" s="1" t="s">
        <v>93</v>
      </c>
      <c r="B14" s="38">
        <v>60</v>
      </c>
      <c r="C14" s="39">
        <v>4.1522864630391797E-3</v>
      </c>
      <c r="D14" s="4">
        <v>3.27815477715818E-3</v>
      </c>
      <c r="E14" s="4">
        <v>3.2409334377459199E-3</v>
      </c>
      <c r="F14" s="9">
        <f t="shared" si="0"/>
        <v>0</v>
      </c>
      <c r="G14" s="9">
        <f t="shared" si="0"/>
        <v>0</v>
      </c>
      <c r="H14" s="9">
        <f t="shared" si="0"/>
        <v>0</v>
      </c>
      <c r="I14" s="9">
        <f t="shared" si="0"/>
        <v>0</v>
      </c>
      <c r="J14" s="9">
        <f t="shared" si="0"/>
        <v>0</v>
      </c>
      <c r="K14" s="9">
        <f t="shared" si="0"/>
        <v>0</v>
      </c>
      <c r="M14" s="1"/>
      <c r="N14" s="1"/>
      <c r="O14" s="1"/>
      <c r="P14" s="12"/>
      <c r="Q14" s="12"/>
      <c r="R14" s="12"/>
      <c r="T14" s="1"/>
      <c r="U14" s="1"/>
      <c r="V14" s="1"/>
      <c r="W14" s="9"/>
      <c r="X14" s="9"/>
      <c r="Y14" s="9"/>
      <c r="AA14" s="1"/>
      <c r="AC14" s="1"/>
      <c r="AH14" s="1"/>
      <c r="AI14" s="1"/>
      <c r="AJ14" s="1"/>
      <c r="AK14" s="1"/>
      <c r="AL14" s="1"/>
      <c r="AM14" s="1"/>
    </row>
    <row r="15" spans="1:66" x14ac:dyDescent="0.25">
      <c r="A15" s="1" t="s">
        <v>94</v>
      </c>
      <c r="B15" s="38">
        <v>60</v>
      </c>
      <c r="C15" s="39">
        <v>8.1501124632268208E-3</v>
      </c>
      <c r="D15" s="4">
        <v>5.1433422305270397E-3</v>
      </c>
      <c r="E15" s="39">
        <v>4.9482416068898196E-3</v>
      </c>
      <c r="F15" s="9">
        <f t="shared" ref="F15:K16" si="6">AH15/$B15</f>
        <v>0</v>
      </c>
      <c r="G15" s="9">
        <f t="shared" si="6"/>
        <v>0</v>
      </c>
      <c r="H15" s="9">
        <f t="shared" si="6"/>
        <v>0</v>
      </c>
      <c r="I15" s="9">
        <f t="shared" si="6"/>
        <v>0</v>
      </c>
      <c r="J15" s="9">
        <f t="shared" si="6"/>
        <v>0</v>
      </c>
      <c r="K15" s="9">
        <f t="shared" si="6"/>
        <v>0</v>
      </c>
      <c r="M15" s="1"/>
      <c r="N15" s="1"/>
      <c r="O15" s="12"/>
      <c r="P15" s="12"/>
      <c r="Q15" s="12"/>
      <c r="R15" s="12"/>
      <c r="T15" s="1"/>
      <c r="U15" s="1"/>
      <c r="V15" s="9"/>
      <c r="W15" s="9"/>
      <c r="X15" s="9"/>
      <c r="Y15" s="9"/>
      <c r="AA15" s="1"/>
      <c r="AC15" s="1"/>
      <c r="AH15" s="1"/>
      <c r="AI15" s="1"/>
      <c r="AJ15" s="1"/>
      <c r="AK15" s="1"/>
      <c r="AL15" s="1"/>
      <c r="AM15" s="1"/>
    </row>
    <row r="16" spans="1:66" x14ac:dyDescent="0.25">
      <c r="A16" s="1" t="s">
        <v>95</v>
      </c>
      <c r="B16" s="38">
        <v>60</v>
      </c>
      <c r="C16" s="4">
        <v>1.8290475754508401E-2</v>
      </c>
      <c r="D16" s="4">
        <v>5.7655917494690003E-3</v>
      </c>
      <c r="E16" s="4">
        <v>5.3058324795391097E-3</v>
      </c>
      <c r="F16" s="9">
        <f t="shared" si="6"/>
        <v>0</v>
      </c>
      <c r="G16" s="9">
        <f t="shared" si="6"/>
        <v>0</v>
      </c>
      <c r="H16" s="9">
        <f t="shared" si="6"/>
        <v>0</v>
      </c>
      <c r="I16" s="9">
        <f t="shared" si="6"/>
        <v>0</v>
      </c>
      <c r="J16" s="9">
        <f t="shared" si="6"/>
        <v>0</v>
      </c>
      <c r="K16" s="9">
        <f t="shared" si="6"/>
        <v>0</v>
      </c>
      <c r="M16" s="1"/>
      <c r="N16" s="12"/>
      <c r="O16" s="12"/>
      <c r="P16" s="12"/>
      <c r="Q16" s="12"/>
      <c r="R16" s="12"/>
      <c r="T16" s="1"/>
      <c r="U16" s="9"/>
      <c r="V16" s="9"/>
      <c r="W16" s="9"/>
      <c r="X16" s="9"/>
      <c r="Y16" s="9"/>
      <c r="AA16" s="1"/>
      <c r="AH16" s="1"/>
      <c r="AI16" s="1"/>
      <c r="AJ16" s="38"/>
      <c r="AK16" s="38"/>
      <c r="AL16" s="38"/>
      <c r="AM16" s="38"/>
    </row>
    <row r="17" spans="1:83" x14ac:dyDescent="0.25">
      <c r="G17" s="9"/>
      <c r="S17" s="1"/>
      <c r="AA17" s="1"/>
    </row>
    <row r="18" spans="1:83" x14ac:dyDescent="0.25">
      <c r="B18" s="108" t="s">
        <v>49</v>
      </c>
      <c r="C18" s="108"/>
      <c r="D18" s="108"/>
      <c r="E18" s="108"/>
      <c r="G18" s="108" t="s">
        <v>49</v>
      </c>
      <c r="H18" s="108"/>
      <c r="I18" s="108"/>
      <c r="J18" s="108"/>
      <c r="L18" s="108" t="s">
        <v>70</v>
      </c>
      <c r="M18" s="108"/>
      <c r="N18" s="108"/>
      <c r="O18" s="108"/>
      <c r="Q18" s="108" t="s">
        <v>70</v>
      </c>
      <c r="R18" s="108"/>
      <c r="S18" s="108"/>
      <c r="T18" s="108"/>
      <c r="V18" s="112" t="s">
        <v>70</v>
      </c>
      <c r="W18" s="112"/>
      <c r="X18" s="112"/>
      <c r="AA18" s="1"/>
      <c r="AB18" t="s">
        <v>70</v>
      </c>
      <c r="AH18" s="108" t="s">
        <v>70</v>
      </c>
      <c r="AI18" s="108"/>
      <c r="AJ18" s="108"/>
      <c r="AK18" s="108"/>
      <c r="AN18" s="108" t="s">
        <v>70</v>
      </c>
      <c r="AO18" s="108"/>
      <c r="AP18" s="108"/>
      <c r="AQ18" s="108"/>
      <c r="AU18" t="s">
        <v>96</v>
      </c>
      <c r="AY18" t="s">
        <v>100</v>
      </c>
      <c r="BD18" t="s">
        <v>97</v>
      </c>
      <c r="BH18" t="s">
        <v>100</v>
      </c>
      <c r="BN18" t="s">
        <v>99</v>
      </c>
      <c r="BR18" t="s">
        <v>100</v>
      </c>
      <c r="BW18" t="s">
        <v>98</v>
      </c>
      <c r="CA18" t="s">
        <v>100</v>
      </c>
    </row>
    <row r="19" spans="1:83" ht="35.25" customHeight="1" x14ac:dyDescent="0.25">
      <c r="A19" s="10" t="s">
        <v>39</v>
      </c>
      <c r="B19" s="11" t="s">
        <v>40</v>
      </c>
      <c r="C19" s="19" t="s">
        <v>44</v>
      </c>
      <c r="D19" s="19" t="s">
        <v>41</v>
      </c>
      <c r="E19" s="19" t="s">
        <v>43</v>
      </c>
      <c r="G19" s="26"/>
      <c r="H19" s="19" t="s">
        <v>57</v>
      </c>
      <c r="I19" s="19" t="s">
        <v>42</v>
      </c>
      <c r="J19" s="19" t="s">
        <v>56</v>
      </c>
      <c r="K19" s="11"/>
      <c r="L19" s="31" t="s">
        <v>68</v>
      </c>
      <c r="M19" s="19" t="s">
        <v>65</v>
      </c>
      <c r="N19" s="19" t="s">
        <v>66</v>
      </c>
      <c r="O19" s="19" t="s">
        <v>67</v>
      </c>
      <c r="P19" s="11"/>
      <c r="Q19" s="31" t="s">
        <v>69</v>
      </c>
      <c r="R19" s="19" t="s">
        <v>65</v>
      </c>
      <c r="S19" s="19" t="s">
        <v>66</v>
      </c>
      <c r="T19" s="19" t="s">
        <v>67</v>
      </c>
      <c r="U19" s="11"/>
      <c r="V19" s="31" t="s">
        <v>71</v>
      </c>
      <c r="W19" s="19" t="s">
        <v>65</v>
      </c>
      <c r="X19" s="19" t="s">
        <v>66</v>
      </c>
      <c r="Y19" s="19" t="s">
        <v>67</v>
      </c>
      <c r="Z19" s="11"/>
      <c r="AA19" s="1"/>
      <c r="AB19" s="31" t="s">
        <v>72</v>
      </c>
      <c r="AC19" s="19" t="s">
        <v>65</v>
      </c>
      <c r="AD19" s="19" t="s">
        <v>66</v>
      </c>
      <c r="AE19" s="19" t="s">
        <v>67</v>
      </c>
      <c r="AF19" s="11"/>
      <c r="AH19" s="31" t="s">
        <v>73</v>
      </c>
      <c r="AI19" s="19" t="s">
        <v>65</v>
      </c>
      <c r="AJ19" s="19" t="s">
        <v>66</v>
      </c>
      <c r="AK19" s="19" t="s">
        <v>67</v>
      </c>
      <c r="AM19" s="34"/>
      <c r="AN19" s="31" t="s">
        <v>74</v>
      </c>
      <c r="AO19" s="19" t="s">
        <v>65</v>
      </c>
      <c r="AP19" s="19" t="s">
        <v>66</v>
      </c>
      <c r="AQ19" s="19" t="s">
        <v>67</v>
      </c>
      <c r="AR19" s="11"/>
      <c r="AU19" s="34" t="s">
        <v>40</v>
      </c>
      <c r="AV19" s="36" t="s">
        <v>46</v>
      </c>
      <c r="AW19" s="37" t="s">
        <v>75</v>
      </c>
      <c r="AX19" s="37" t="s">
        <v>76</v>
      </c>
      <c r="AY19" s="37" t="s">
        <v>77</v>
      </c>
      <c r="AZ19" s="37" t="s">
        <v>78</v>
      </c>
      <c r="BA19" s="37" t="s">
        <v>79</v>
      </c>
      <c r="BB19" s="37" t="s">
        <v>80</v>
      </c>
      <c r="BD19" s="34" t="s">
        <v>40</v>
      </c>
      <c r="BE19" s="36" t="s">
        <v>46</v>
      </c>
      <c r="BF19" s="37" t="s">
        <v>75</v>
      </c>
      <c r="BG19" s="37" t="s">
        <v>76</v>
      </c>
      <c r="BH19" s="37" t="s">
        <v>77</v>
      </c>
      <c r="BI19" s="37" t="s">
        <v>78</v>
      </c>
      <c r="BJ19" s="37" t="s">
        <v>79</v>
      </c>
      <c r="BK19" s="37" t="s">
        <v>80</v>
      </c>
      <c r="BN19" s="34" t="s">
        <v>40</v>
      </c>
      <c r="BO19" s="36" t="s">
        <v>46</v>
      </c>
      <c r="BP19" s="37" t="s">
        <v>75</v>
      </c>
      <c r="BQ19" s="37" t="s">
        <v>76</v>
      </c>
      <c r="BR19" s="37" t="s">
        <v>77</v>
      </c>
      <c r="BS19" s="37" t="s">
        <v>78</v>
      </c>
      <c r="BT19" s="37" t="s">
        <v>79</v>
      </c>
      <c r="BU19" s="37" t="s">
        <v>80</v>
      </c>
      <c r="BW19" s="34" t="s">
        <v>40</v>
      </c>
      <c r="BX19" s="36" t="s">
        <v>46</v>
      </c>
      <c r="BY19" s="37" t="s">
        <v>75</v>
      </c>
      <c r="BZ19" s="37" t="s">
        <v>76</v>
      </c>
      <c r="CA19" s="37" t="s">
        <v>77</v>
      </c>
      <c r="CB19" s="37" t="s">
        <v>78</v>
      </c>
      <c r="CC19" s="37" t="s">
        <v>79</v>
      </c>
      <c r="CD19" s="37" t="s">
        <v>80</v>
      </c>
    </row>
    <row r="20" spans="1:83" x14ac:dyDescent="0.25">
      <c r="A20" s="1" t="s">
        <v>32</v>
      </c>
      <c r="B20" s="1">
        <v>90</v>
      </c>
      <c r="C20" s="20">
        <f>(C4+0.0087)/0.0009</f>
        <v>124.98377815678667</v>
      </c>
      <c r="D20" s="20">
        <f>C4*637.85+31.496</f>
        <v>97.695517607575738</v>
      </c>
      <c r="E20" s="20">
        <f>339.46*C4^0.5407</f>
        <v>99.727167764153535</v>
      </c>
      <c r="G20" s="27" t="s">
        <v>32</v>
      </c>
      <c r="H20" s="20">
        <f>($D4-0.0009)/0.0002</f>
        <v>42.048842752516052</v>
      </c>
      <c r="I20" s="28">
        <f>3353.9*D4+16.246</f>
        <v>47.470032741532719</v>
      </c>
      <c r="J20" s="28">
        <f>1994.7*(D4^0.8093)</f>
        <v>45.304341949768059</v>
      </c>
      <c r="K20" s="9"/>
      <c r="L20" s="27" t="s">
        <v>32</v>
      </c>
      <c r="M20" s="12">
        <f>(K4-205.04)/-0.4563</f>
        <v>192.24182948416956</v>
      </c>
      <c r="N20" s="12">
        <f>-1.6001*K4 + 344.62</f>
        <v>156.89618286448186</v>
      </c>
      <c r="O20" s="51">
        <f>1000000000000*K4-4.601</f>
        <v>117320053206368.84</v>
      </c>
      <c r="P20" s="12"/>
      <c r="Q20" s="27" t="s">
        <v>32</v>
      </c>
      <c r="R20" s="40">
        <f>(J4-60.122)/0.0841</f>
        <v>-267.08659834277222</v>
      </c>
      <c r="S20" s="12">
        <f>0.5169*J4+27.545</f>
        <v>47.011462828327836</v>
      </c>
      <c r="T20" s="12">
        <f>1.1518*J4^0.9191</f>
        <v>32.342147494732167</v>
      </c>
      <c r="U20" s="12"/>
      <c r="V20" s="27" t="s">
        <v>32</v>
      </c>
      <c r="W20" s="12">
        <f>(I4-3.8633)/0.2077</f>
        <v>27.138682274395688</v>
      </c>
      <c r="X20" s="9">
        <f>2.8315*I4 + 14.308</f>
        <v>41.207262199211904</v>
      </c>
      <c r="Y20" s="12">
        <f>8.9277*I4^0.6763</f>
        <v>40.923634346381888</v>
      </c>
      <c r="Z20" s="9"/>
      <c r="AA20" s="1"/>
      <c r="AB20" s="27" t="s">
        <v>32</v>
      </c>
      <c r="AC20" s="12">
        <f>(H4+0.1561)/0.0915</f>
        <v>34.055752376002616</v>
      </c>
      <c r="AD20" s="12">
        <f>6.3569*H4+ 26.624</f>
        <v>45.44043253352951</v>
      </c>
      <c r="AE20" s="12">
        <f xml:space="preserve"> 32.273*H4^0.3897</f>
        <v>49.260837883196288</v>
      </c>
      <c r="AF20" s="12"/>
      <c r="AH20" s="27" t="s">
        <v>32</v>
      </c>
      <c r="AI20" s="12">
        <f>(G4+0.0678)/0.0239</f>
        <v>29.615074905839549</v>
      </c>
      <c r="AJ20" s="12">
        <f xml:space="preserve"> 15.463*G4 + 39.702</f>
        <v>49.598324488129023</v>
      </c>
      <c r="AK20" s="12">
        <f>34.915*EXP(0.2946*G4)</f>
        <v>42.159524335536283</v>
      </c>
      <c r="AM20" s="1"/>
      <c r="AN20" s="27" t="s">
        <v>32</v>
      </c>
      <c r="AO20" s="12">
        <f>(F4+0.168)/0.0069</f>
        <v>44.637690361172815</v>
      </c>
      <c r="AP20" s="12">
        <f>70.576*F4 + 43.217</f>
        <v>53.097644481017909</v>
      </c>
      <c r="AQ20" s="12">
        <f>38.631*EXP(1.2111*F4)</f>
        <v>45.769097662017188</v>
      </c>
      <c r="AR20" s="12"/>
      <c r="AT20" s="1" t="s">
        <v>32</v>
      </c>
      <c r="AU20" s="1">
        <f>B20</f>
        <v>90</v>
      </c>
      <c r="AV20" s="37" t="s">
        <v>32</v>
      </c>
      <c r="AW20" s="12">
        <f>0.6229*Y4 + 31.496</f>
        <v>97.695476093415863</v>
      </c>
      <c r="AX20" s="12">
        <f>2.4916*X4 + 31.496</f>
        <v>97.695476093415976</v>
      </c>
      <c r="AY20" s="12">
        <f>9.9664*W4 + 31.496</f>
        <v>97.695476093415976</v>
      </c>
      <c r="AZ20" s="12">
        <f xml:space="preserve"> 39.864*V4 + 31.499</f>
        <v>97.695819187166947</v>
      </c>
      <c r="BA20" s="12">
        <f xml:space="preserve"> 153.68*U4 + 33.411</f>
        <v>97.20996129768622</v>
      </c>
      <c r="BB20" s="9">
        <f xml:space="preserve"> 341.18*T4 + 59.342</f>
        <v>94.751502888379235</v>
      </c>
      <c r="BD20" s="1">
        <f>AU20</f>
        <v>90</v>
      </c>
      <c r="BE20" s="37" t="s">
        <v>32</v>
      </c>
      <c r="BF20" s="12">
        <f>7.9979*Y4^0.5407</f>
        <v>99.694232599765229</v>
      </c>
      <c r="BG20" s="12">
        <f xml:space="preserve"> 16.925*X4^0.5407</f>
        <v>99.698564460136211</v>
      </c>
      <c r="BH20" s="12">
        <f xml:space="preserve"> 35.818*W4^0.5407</f>
        <v>99.707475964800153</v>
      </c>
      <c r="BI20" s="12">
        <f xml:space="preserve"> 75.792*V4^0.5402</f>
        <v>99.679486561846588</v>
      </c>
      <c r="BJ20" s="12">
        <f>162.76*U4^0.5531</f>
        <v>100.08569989084388</v>
      </c>
      <c r="BK20" s="12">
        <f>200.69*T4^0.333</f>
        <v>94.384158724984758</v>
      </c>
      <c r="BN20" s="1">
        <f>B20</f>
        <v>90</v>
      </c>
      <c r="BO20" s="37" t="s">
        <v>32</v>
      </c>
      <c r="BP20" s="12">
        <f xml:space="preserve"> 3.2753*Y4 + 16.246</f>
        <v>364.33260145892592</v>
      </c>
      <c r="BQ20" s="12">
        <f xml:space="preserve"> 13.101*X4 + 16.246</f>
        <v>364.32728764642911</v>
      </c>
      <c r="BR20" s="12">
        <f xml:space="preserve"> 45.439*W4 + 18.146</f>
        <v>319.96390759037655</v>
      </c>
      <c r="BS20" s="12">
        <f xml:space="preserve"> 129.75*V4 + 19.261</f>
        <v>234.71949110814046</v>
      </c>
      <c r="BT20" s="12">
        <f>408.35*U4 + 18.101</f>
        <v>187.62407291716664</v>
      </c>
      <c r="BU20" s="12">
        <f>268.12*T4 + 67.995</f>
        <v>95.821941539457882</v>
      </c>
      <c r="BW20" s="1">
        <f>BD20</f>
        <v>90</v>
      </c>
      <c r="BX20" s="37" t="s">
        <v>32</v>
      </c>
      <c r="BY20" s="12">
        <f xml:space="preserve"> 7.3072*Y4^0.8093</f>
        <v>318.9670548214167</v>
      </c>
      <c r="BZ20" s="12">
        <f>22.438*X4^0.8093</f>
        <v>318.95677155946009</v>
      </c>
      <c r="CA20" s="12">
        <f xml:space="preserve"> 63.923*W4^0.7897</f>
        <v>285.12827241806099</v>
      </c>
      <c r="CB20" s="12">
        <f>144.46*V4^0.7684</f>
        <v>213.30081318545697</v>
      </c>
      <c r="CC20" s="12">
        <f>377.35*U4^0.8162</f>
        <v>184.12643250004979</v>
      </c>
      <c r="CD20" s="12">
        <f xml:space="preserve"> 193.76*T4^0.3028</f>
        <v>97.577612296617161</v>
      </c>
      <c r="CE20" s="1"/>
    </row>
    <row r="21" spans="1:83" x14ac:dyDescent="0.25">
      <c r="A21" s="1" t="s">
        <v>33</v>
      </c>
      <c r="B21" s="1">
        <v>45</v>
      </c>
      <c r="C21" s="20">
        <f>(C5+0.0087)/0.0009</f>
        <v>28.937326206160222</v>
      </c>
      <c r="D21" s="20">
        <f>C5*637.85+31.496</f>
        <v>42.558611168539372</v>
      </c>
      <c r="E21" s="20">
        <f>339.46*C5^0.5407</f>
        <v>37.904529640463622</v>
      </c>
      <c r="G21" s="27" t="s">
        <v>33</v>
      </c>
      <c r="H21" s="20">
        <f>($D5-0.0009)/0.0002</f>
        <v>14.270611763493299</v>
      </c>
      <c r="I21" s="28">
        <f>3353.9*D5+16.246</f>
        <v>28.836950958716034</v>
      </c>
      <c r="J21" s="28">
        <f>1994.7*(D5^0.8093)</f>
        <v>21.723372749373084</v>
      </c>
      <c r="K21" s="9"/>
      <c r="L21" s="27" t="s">
        <v>33</v>
      </c>
      <c r="M21" s="12">
        <f>(K5-205.04)/-0.4563</f>
        <v>122.8796103877864</v>
      </c>
      <c r="N21" s="12">
        <f>-1.6001*K5 + 344.62</f>
        <v>106.2530489485371</v>
      </c>
      <c r="O21" s="51">
        <f>1000000000000*K5-4.601</f>
        <v>148970033780048.47</v>
      </c>
      <c r="P21" s="12"/>
      <c r="Q21" s="27" t="s">
        <v>33</v>
      </c>
      <c r="R21" s="40">
        <f>(J5-60.122)/0.0841</f>
        <v>-362.33047891370342</v>
      </c>
      <c r="S21" s="12">
        <f>0.5169*J5+27.545</f>
        <v>42.871088475303516</v>
      </c>
      <c r="T21" s="12">
        <f>1.1518*J5^0.9191</f>
        <v>25.960620247950711</v>
      </c>
      <c r="U21" s="12"/>
      <c r="V21" s="27" t="s">
        <v>33</v>
      </c>
      <c r="W21" s="40">
        <f>(I5-3.8633)/0.2077</f>
        <v>-7.9600361043143897</v>
      </c>
      <c r="X21" s="9">
        <f>2.8315*I5 + 14.308</f>
        <v>20.565616418960641</v>
      </c>
      <c r="Y21" s="12">
        <f>8.9277*I5^0.6763</f>
        <v>15.263430355503798</v>
      </c>
      <c r="Z21" s="41"/>
      <c r="AA21" s="1"/>
      <c r="AB21" s="27" t="s">
        <v>33</v>
      </c>
      <c r="AC21" s="12">
        <f>(H5+0.1561)/0.0915</f>
        <v>3.5639348475274497</v>
      </c>
      <c r="AD21" s="12">
        <f>6.3569*H5+ 26.624</f>
        <v>27.704673245050621</v>
      </c>
      <c r="AE21" s="12">
        <f xml:space="preserve"> 32.273*H5^0.3897</f>
        <v>16.178763293074105</v>
      </c>
      <c r="AF21" s="12"/>
      <c r="AH21" s="27" t="s">
        <v>33</v>
      </c>
      <c r="AI21" s="12">
        <f>(G5+0.0678)/0.0239</f>
        <v>4.0920504938377666</v>
      </c>
      <c r="AJ21" s="12">
        <f xml:space="preserve"> 15.463*G5 + 39.702</f>
        <v>40.165890105190499</v>
      </c>
      <c r="AK21" s="12">
        <f>34.915*EXP(0.2946*G5)</f>
        <v>35.224946476263852</v>
      </c>
      <c r="AM21" s="1"/>
      <c r="AN21" s="27" t="s">
        <v>33</v>
      </c>
      <c r="AO21" s="12">
        <f>(F5+0.168)/0.0069</f>
        <v>24.347826086956523</v>
      </c>
      <c r="AP21" s="12">
        <f>70.576*F5 + 43.217</f>
        <v>43.216999999999999</v>
      </c>
      <c r="AQ21" s="12">
        <f>38.631*EXP(1.2111*F5)</f>
        <v>38.631</v>
      </c>
      <c r="AR21" s="12"/>
      <c r="AT21" s="1" t="s">
        <v>33</v>
      </c>
      <c r="AU21" s="1">
        <f t="shared" ref="AU21:AU25" si="7">B21</f>
        <v>45</v>
      </c>
      <c r="AV21" s="37" t="s">
        <v>33</v>
      </c>
      <c r="AW21" s="12">
        <f>0.6229*Y5 + 31.496</f>
        <v>42.55860423110196</v>
      </c>
      <c r="AX21" s="12">
        <f>2.4916*X5 + 31.496</f>
        <v>42.558604231101967</v>
      </c>
      <c r="AY21" s="12">
        <f>9.9664*W5 + 31.496</f>
        <v>42.558604231101945</v>
      </c>
      <c r="AZ21" s="12">
        <f xml:space="preserve"> 39.864*V5 + 31.499</f>
        <v>42.561160235106172</v>
      </c>
      <c r="BA21" s="12">
        <f xml:space="preserve"> 153.68*U5 + 33.411</f>
        <v>44.072453848905766</v>
      </c>
      <c r="BB21" s="9">
        <f xml:space="preserve"> 341.18*T5 + 59.342</f>
        <v>59.341999999999999</v>
      </c>
      <c r="BD21" s="1">
        <f t="shared" ref="BD21:BD25" si="8">AU21</f>
        <v>45</v>
      </c>
      <c r="BE21" s="37" t="s">
        <v>33</v>
      </c>
      <c r="BF21" s="12">
        <f>7.9979*Y5^0.5407</f>
        <v>37.892011567978848</v>
      </c>
      <c r="BG21" s="12">
        <f xml:space="preserve"> 16.925*X5^0.5407</f>
        <v>37.89365803135999</v>
      </c>
      <c r="BH21" s="12">
        <f xml:space="preserve"> 35.818*W5^0.5407</f>
        <v>37.897045136401111</v>
      </c>
      <c r="BI21" s="12">
        <f xml:space="preserve"> 75.792*V5^0.5402</f>
        <v>37.920313348849398</v>
      </c>
      <c r="BJ21" s="12">
        <f>162.76*U5^0.5531</f>
        <v>37.206163654402346</v>
      </c>
      <c r="BK21" s="12">
        <f>200.69*T5^0.333</f>
        <v>0</v>
      </c>
      <c r="BN21" s="1">
        <f t="shared" ref="BN21:BN25" si="9">B21</f>
        <v>45</v>
      </c>
      <c r="BO21" s="37" t="s">
        <v>33</v>
      </c>
      <c r="BP21" s="12">
        <f xml:space="preserve"> 3.2753*Y5 + 16.246</f>
        <v>74.414803400430642</v>
      </c>
      <c r="BQ21" s="12">
        <f xml:space="preserve"> 13.101*X5 + 16.246</f>
        <v>74.413915408439124</v>
      </c>
      <c r="BR21" s="12">
        <f xml:space="preserve"> 45.439*W5 + 18.146</f>
        <v>68.582835131746805</v>
      </c>
      <c r="BS21" s="12">
        <f xml:space="preserve"> 129.75*V5 + 19.261</f>
        <v>55.266300283589857</v>
      </c>
      <c r="BT21" s="12">
        <f>408.35*U5 + 18.101</f>
        <v>46.430025762627977</v>
      </c>
      <c r="BU21" s="12">
        <f>268.12*T5 + 67.995</f>
        <v>67.995000000000005</v>
      </c>
      <c r="BW21" s="1">
        <f t="shared" ref="BW21:BW25" si="10">BD21</f>
        <v>45</v>
      </c>
      <c r="BX21" s="37" t="s">
        <v>33</v>
      </c>
      <c r="BY21" s="12">
        <f xml:space="preserve"> 7.3072*Y5^0.8093</f>
        <v>74.975956194233888</v>
      </c>
      <c r="BZ21" s="12">
        <f>22.438*X5^0.8093</f>
        <v>74.973539024854261</v>
      </c>
      <c r="CA21" s="12">
        <f xml:space="preserve"> 63.923*W5^0.7897</f>
        <v>69.413766763516179</v>
      </c>
      <c r="CB21" s="12">
        <f>144.46*V5^0.7684</f>
        <v>53.94458799502717</v>
      </c>
      <c r="CC21" s="12">
        <f>377.35*U5^0.8162</f>
        <v>42.749500333993886</v>
      </c>
      <c r="CD21" s="12">
        <f xml:space="preserve"> 193.76*T5^0.3028</f>
        <v>0</v>
      </c>
      <c r="CE21" s="1"/>
    </row>
    <row r="22" spans="1:83" x14ac:dyDescent="0.25">
      <c r="A22" s="1" t="s">
        <v>34</v>
      </c>
      <c r="B22" s="1">
        <v>90</v>
      </c>
      <c r="C22" s="20">
        <f>(C6+0.0087)/0.0009</f>
        <v>115.87861276600501</v>
      </c>
      <c r="D22" s="20">
        <f>C6*637.85+31.496</f>
        <v>92.468560837516662</v>
      </c>
      <c r="E22" s="20">
        <f>339.46*C6^0.5407</f>
        <v>95.389258082839561</v>
      </c>
      <c r="G22" s="27" t="s">
        <v>34</v>
      </c>
      <c r="H22" s="20">
        <f>($D6-0.0009)/0.0002</f>
        <v>16.375086362494351</v>
      </c>
      <c r="I22" s="28">
        <f>3353.9*D6+16.246</f>
        <v>30.248590430233961</v>
      </c>
      <c r="J22" s="28">
        <f>1994.7*(D6^0.8093)</f>
        <v>23.674255529249351</v>
      </c>
      <c r="K22" s="9"/>
      <c r="L22" s="27" t="s">
        <v>34</v>
      </c>
      <c r="M22" s="12">
        <f>(K6-205.04)/-0.4563</f>
        <v>140.49231944235979</v>
      </c>
      <c r="N22" s="12">
        <f>-1.6001*K6 + 344.62</f>
        <v>119.1125392430142</v>
      </c>
      <c r="O22" s="51">
        <f>1000000000000*K6-4.601</f>
        <v>140933354638446.63</v>
      </c>
      <c r="P22" s="12"/>
      <c r="Q22" s="27" t="s">
        <v>34</v>
      </c>
      <c r="R22" s="40">
        <f>(J6-60.122)/0.0841</f>
        <v>-339.38163170036603</v>
      </c>
      <c r="S22" s="12">
        <f>0.5169*J6+27.545</f>
        <v>43.868704467680203</v>
      </c>
      <c r="T22" s="12">
        <f>1.1518*J6^0.9191</f>
        <v>27.509761120953833</v>
      </c>
      <c r="U22" s="12"/>
      <c r="V22" s="27" t="s">
        <v>34</v>
      </c>
      <c r="W22" s="40">
        <f>(I6-3.8633)/0.2077</f>
        <v>-8.1686711882275436</v>
      </c>
      <c r="X22" s="9">
        <f>2.8315*I6 + 14.308</f>
        <v>20.442917594091853</v>
      </c>
      <c r="Y22" s="12">
        <f>8.9277*I6^0.6763</f>
        <v>15.060376567986314</v>
      </c>
      <c r="Z22" s="41"/>
      <c r="AA22" s="1"/>
      <c r="AB22" s="27" t="s">
        <v>34</v>
      </c>
      <c r="AC22" s="12">
        <f>(H6+0.1561)/0.0915</f>
        <v>4.8389804371860778</v>
      </c>
      <c r="AD22" s="12">
        <f>6.3569*H6+ 26.624</f>
        <v>28.446311608815058</v>
      </c>
      <c r="AE22" s="12">
        <f xml:space="preserve"> 32.273*H6^0.3897</f>
        <v>19.832581929011742</v>
      </c>
      <c r="AF22" s="12"/>
      <c r="AH22" s="27" t="s">
        <v>34</v>
      </c>
      <c r="AI22" s="12">
        <f>(G6+0.0678)/0.0239</f>
        <v>4.7894005741147057</v>
      </c>
      <c r="AJ22" s="12">
        <f xml:space="preserve"> 15.463*G6 + 39.702</f>
        <v>40.4236067757531</v>
      </c>
      <c r="AK22" s="12">
        <f>34.915*EXP(0.2946*G6)</f>
        <v>35.398326265143709</v>
      </c>
      <c r="AM22" s="1"/>
      <c r="AN22" s="27" t="s">
        <v>34</v>
      </c>
      <c r="AO22" s="12">
        <f>(F6+0.168)/0.0069</f>
        <v>28.212560970711511</v>
      </c>
      <c r="AP22" s="12">
        <f>70.576*F6 + 43.217</f>
        <v>45.099026951175652</v>
      </c>
      <c r="AQ22" s="12">
        <f>38.631*EXP(1.2111*F6)</f>
        <v>39.898992296177823</v>
      </c>
      <c r="AR22" s="12"/>
      <c r="AT22" s="1" t="s">
        <v>34</v>
      </c>
      <c r="AU22" s="1">
        <f t="shared" si="7"/>
        <v>90</v>
      </c>
      <c r="AV22" s="37" t="s">
        <v>34</v>
      </c>
      <c r="AW22" s="12">
        <f>0.6229*Y6 + 31.496</f>
        <v>92.468522601216051</v>
      </c>
      <c r="AX22" s="12">
        <f>2.4916*X6 + 31.496</f>
        <v>92.468522601215938</v>
      </c>
      <c r="AY22" s="12">
        <f>9.9664*W6 + 31.496</f>
        <v>92.468522601215994</v>
      </c>
      <c r="AZ22" s="12">
        <f xml:space="preserve"> 39.864*V6 + 31.499</f>
        <v>92.469075477977853</v>
      </c>
      <c r="BA22" s="12">
        <f xml:space="preserve"> 153.68*U6 + 33.411</f>
        <v>92.172546755566742</v>
      </c>
      <c r="BB22" s="9">
        <f xml:space="preserve"> 341.18*T6 + 59.342</f>
        <v>91.955652593155037</v>
      </c>
      <c r="BD22" s="1">
        <f t="shared" si="8"/>
        <v>90</v>
      </c>
      <c r="BE22" s="37" t="s">
        <v>34</v>
      </c>
      <c r="BF22" s="12">
        <f>7.9979*Y6^0.5407</f>
        <v>95.357755524747361</v>
      </c>
      <c r="BG22" s="12">
        <f xml:space="preserve"> 16.925*X6^0.5407</f>
        <v>95.361898958840129</v>
      </c>
      <c r="BH22" s="12">
        <f xml:space="preserve"> 35.818*W6^0.5407</f>
        <v>95.37042283289928</v>
      </c>
      <c r="BI22" s="12">
        <f xml:space="preserve"> 75.792*V6^0.5402</f>
        <v>95.347571958453543</v>
      </c>
      <c r="BJ22" s="12">
        <f>162.76*U6^0.5531</f>
        <v>95.634608274952342</v>
      </c>
      <c r="BK22" s="12">
        <f>200.69*T6^0.333</f>
        <v>91.834151906724713</v>
      </c>
      <c r="BN22" s="1">
        <f t="shared" si="9"/>
        <v>90</v>
      </c>
      <c r="BO22" s="37" t="s">
        <v>34</v>
      </c>
      <c r="BP22" s="12">
        <f xml:space="preserve"> 3.2753*Y6 + 16.246</f>
        <v>336.84850967372444</v>
      </c>
      <c r="BQ22" s="12">
        <f xml:space="preserve"> 13.101*X6 + 16.246</f>
        <v>336.84361542724753</v>
      </c>
      <c r="BR22" s="12">
        <f xml:space="preserve"> 45.439*W6 + 18.146</f>
        <v>296.13308204333094</v>
      </c>
      <c r="BS22" s="12">
        <f xml:space="preserve"> 129.75*V6 + 19.261</f>
        <v>217.7074000920035</v>
      </c>
      <c r="BT22" s="12">
        <f>408.35*U6 + 18.101</f>
        <v>174.23893348279333</v>
      </c>
      <c r="BU22" s="12">
        <f>268.12*T6 + 67.995</f>
        <v>93.62479228933914</v>
      </c>
      <c r="BW22" s="1">
        <f t="shared" si="10"/>
        <v>90</v>
      </c>
      <c r="BX22" s="37" t="s">
        <v>34</v>
      </c>
      <c r="BY22" s="12">
        <f xml:space="preserve"> 7.3072*Y6^0.8093</f>
        <v>298.42645328901642</v>
      </c>
      <c r="BZ22" s="12">
        <f>22.438*X6^0.8093</f>
        <v>298.41683224086142</v>
      </c>
      <c r="CA22" s="12">
        <f xml:space="preserve"> 63.923*W6^0.7897</f>
        <v>267.19719303270881</v>
      </c>
      <c r="CB22" s="12">
        <f>144.46*V6^0.7684</f>
        <v>200.23729242898125</v>
      </c>
      <c r="CC22" s="12">
        <f>377.35*U6^0.8162</f>
        <v>172.17145795622451</v>
      </c>
      <c r="CD22" s="12">
        <f xml:space="preserve"> 193.76*T6^0.3028</f>
        <v>95.177447376366999</v>
      </c>
      <c r="CE22" s="1"/>
    </row>
    <row r="23" spans="1:83" x14ac:dyDescent="0.25">
      <c r="A23" s="1" t="s">
        <v>89</v>
      </c>
      <c r="B23" s="1">
        <v>128</v>
      </c>
      <c r="C23" s="20">
        <f>(C10+0.0087)/0.0009</f>
        <v>39.77851092597556</v>
      </c>
      <c r="D23" s="20">
        <f>C10*637.85+31.496</f>
        <v>48.782155874720161</v>
      </c>
      <c r="E23" s="20">
        <f>339.46*C10^0.5407</f>
        <v>48.250389095614111</v>
      </c>
      <c r="G23" s="27" t="s">
        <v>89</v>
      </c>
      <c r="H23" s="20">
        <f>($D10-0.0009)/0.0002</f>
        <v>82.207795538651993</v>
      </c>
      <c r="I23" s="28">
        <f>3353.9*D10+16.246</f>
        <v>74.407855091416991</v>
      </c>
      <c r="J23" s="28">
        <f>1994.7*(D10^0.8093)</f>
        <v>74.9499969978107</v>
      </c>
      <c r="K23" s="41"/>
      <c r="L23" s="27" t="s">
        <v>89</v>
      </c>
      <c r="M23" s="40">
        <f>(K10-205.04)/-0.4563</f>
        <v>-102.87822339104389</v>
      </c>
      <c r="N23" s="40">
        <f>-1.6001*AM10 + 344.62</f>
        <v>-23847.291900000004</v>
      </c>
      <c r="O23" s="51">
        <f>1000000000000*AM10-4.601</f>
        <v>1.5118999999999996E+16</v>
      </c>
      <c r="P23" s="12"/>
      <c r="Q23" s="27" t="s">
        <v>89</v>
      </c>
      <c r="R23" s="40">
        <f>(J10-60.122)/0.0841</f>
        <v>1633.9040824415381</v>
      </c>
      <c r="S23" s="12">
        <f>0.5169*J10+27.545</f>
        <v>129.64998</v>
      </c>
      <c r="T23" s="12">
        <f>1.1518*J10^0.9191</f>
        <v>148.35430688486392</v>
      </c>
      <c r="U23" s="40"/>
      <c r="V23" s="27" t="s">
        <v>89</v>
      </c>
      <c r="W23" s="12">
        <f>(I10-3.8633)/0.2077</f>
        <v>192.20044936607283</v>
      </c>
      <c r="X23" s="9">
        <f>2.8315*I10 + 14.308</f>
        <v>138.28050833333333</v>
      </c>
      <c r="Y23" s="12">
        <f>8.9277*I10^0.6763</f>
        <v>115.01559877164919</v>
      </c>
      <c r="Z23" s="41"/>
      <c r="AB23" s="27" t="s">
        <v>89</v>
      </c>
      <c r="AC23" s="12">
        <f>(H10+0.1561)/0.0915</f>
        <v>37.953734061930788</v>
      </c>
      <c r="AD23" s="12">
        <f>6.3569*H10+ 26.624</f>
        <v>47.707718333333332</v>
      </c>
      <c r="AE23" s="12">
        <f xml:space="preserve"> 32.273*H10^0.3897</f>
        <v>51.494025006246446</v>
      </c>
      <c r="AF23" s="40"/>
      <c r="AH23" s="27" t="s">
        <v>89</v>
      </c>
      <c r="AI23" s="12">
        <f>(G10+0.0678)/0.0239</f>
        <v>10.507670850767084</v>
      </c>
      <c r="AJ23" s="12">
        <f xml:space="preserve"> 15.463*G10 + 39.702</f>
        <v>42.536883333333328</v>
      </c>
      <c r="AK23" s="12">
        <f>34.915*EXP(0.2946*G10)</f>
        <v>36.852613408536079</v>
      </c>
      <c r="AM23" s="1"/>
      <c r="AN23" s="27" t="s">
        <v>89</v>
      </c>
      <c r="AO23" s="12">
        <f>(F10+0.168)/0.0069</f>
        <v>24.347826086956523</v>
      </c>
      <c r="AP23" s="12">
        <f>70.576*F10 + 43.217</f>
        <v>43.216999999999999</v>
      </c>
      <c r="AQ23" s="12">
        <f>38.631*EXP(1.2111*F10)</f>
        <v>38.631</v>
      </c>
      <c r="AR23" s="12"/>
      <c r="AT23" s="1" t="s">
        <v>89</v>
      </c>
      <c r="AU23" s="1">
        <f t="shared" si="7"/>
        <v>128</v>
      </c>
      <c r="AV23" s="42" t="s">
        <v>89</v>
      </c>
      <c r="AW23" s="12">
        <f>0.6229*Y10 + 31.496</f>
        <v>54.677139393466177</v>
      </c>
      <c r="AX23" s="12">
        <f>2.4916*X10 + 31.496</f>
        <v>54.677139393466206</v>
      </c>
      <c r="AY23" s="12">
        <f>9.9664*W10 + 31.496</f>
        <v>54.677139393466177</v>
      </c>
      <c r="AZ23" s="12">
        <f xml:space="preserve"> 39.864*V10 + 31.499</f>
        <v>48.784451257564484</v>
      </c>
      <c r="BA23" s="12">
        <f xml:space="preserve"> 153.68*U10 + 33.411</f>
        <v>50.070317612774126</v>
      </c>
      <c r="BB23" s="9">
        <f xml:space="preserve"> 341.18*T10 + 59.342</f>
        <v>59.341999999999999</v>
      </c>
      <c r="BD23" s="1">
        <f t="shared" si="8"/>
        <v>128</v>
      </c>
      <c r="BE23" s="42" t="s">
        <v>89</v>
      </c>
      <c r="BF23" s="12">
        <f>7.9979*Y10^0.5407</f>
        <v>56.527835068229642</v>
      </c>
      <c r="BG23" s="12">
        <f xml:space="preserve"> 16.925*X10^0.5407</f>
        <v>56.530291285426998</v>
      </c>
      <c r="BH23" s="12">
        <f xml:space="preserve"> 35.818*W10^0.5407</f>
        <v>56.535344216300857</v>
      </c>
      <c r="BI23" s="12">
        <f xml:space="preserve"> 75.792*V10^0.5402</f>
        <v>48.259709693663041</v>
      </c>
      <c r="BJ23" s="12">
        <f>162.76*U10^0.5531</f>
        <v>47.624258373941231</v>
      </c>
      <c r="BK23" s="12">
        <f>200.69*T10^0.333</f>
        <v>0</v>
      </c>
      <c r="BN23" s="1">
        <f t="shared" si="9"/>
        <v>128</v>
      </c>
      <c r="BO23" s="42" t="s">
        <v>89</v>
      </c>
      <c r="BP23" s="12">
        <f xml:space="preserve"> 3.2753*Y10 + 16.246</f>
        <v>138.13584725544999</v>
      </c>
      <c r="BQ23" s="12">
        <f xml:space="preserve"> 13.101*X10 + 16.246</f>
        <v>138.13398651220135</v>
      </c>
      <c r="BR23" s="12">
        <f xml:space="preserve"> 45.439*W10 + 18.146</f>
        <v>123.83389060239504</v>
      </c>
      <c r="BS23" s="12">
        <f xml:space="preserve"> 129.75*V10 + 19.261</f>
        <v>75.521969814092728</v>
      </c>
      <c r="BT23" s="12">
        <f>408.35*U10 + 18.101</f>
        <v>62.367217771839627</v>
      </c>
      <c r="BU23" s="12">
        <f>268.12*T10 + 67.995</f>
        <v>67.995000000000005</v>
      </c>
      <c r="BW23" s="1">
        <f t="shared" si="10"/>
        <v>128</v>
      </c>
      <c r="BX23" s="42" t="s">
        <v>89</v>
      </c>
      <c r="BY23" s="12">
        <f xml:space="preserve"> 7.3072*Y10^0.8093</f>
        <v>136.43689124312615</v>
      </c>
      <c r="BZ23" s="12">
        <f>22.438*X10^0.8093</f>
        <v>136.43249261865367</v>
      </c>
      <c r="CA23" s="12">
        <f xml:space="preserve"> 63.923*W10^0.7897</f>
        <v>124.49685404636813</v>
      </c>
      <c r="CB23" s="12">
        <f>144.46*V10^0.7684</f>
        <v>76.014270757012255</v>
      </c>
      <c r="CC23" s="12">
        <f>377.35*U10^0.8162</f>
        <v>61.538071923627697</v>
      </c>
      <c r="CD23" s="12">
        <f xml:space="preserve"> 193.76*T10^0.3028</f>
        <v>0</v>
      </c>
      <c r="CE23" s="1"/>
    </row>
    <row r="24" spans="1:83" x14ac:dyDescent="0.25">
      <c r="A24" s="1" t="s">
        <v>90</v>
      </c>
      <c r="B24" s="1">
        <v>64</v>
      </c>
      <c r="C24" s="20">
        <f>(C11+0.0087)/0.0009</f>
        <v>47.327378278646002</v>
      </c>
      <c r="D24" s="20">
        <f>C11*637.85+31.496</f>
        <v>53.115696411530919</v>
      </c>
      <c r="E24" s="20">
        <f>339.46*C11^0.5407</f>
        <v>54.454083821996328</v>
      </c>
      <c r="G24" s="27" t="s">
        <v>90</v>
      </c>
      <c r="H24" s="20">
        <f>($D11-0.0009)/0.0002</f>
        <v>118.23583380553599</v>
      </c>
      <c r="I24" s="28">
        <f>3353.9*D11+16.246</f>
        <v>98.574742600077442</v>
      </c>
      <c r="J24" s="28">
        <f>1994.7*(D11^0.8093)</f>
        <v>99.290043013447303</v>
      </c>
      <c r="K24" s="41"/>
      <c r="L24" s="27" t="s">
        <v>90</v>
      </c>
      <c r="M24" s="12">
        <f>(K11-205.04)/-0.4563</f>
        <v>62.619621593980547</v>
      </c>
      <c r="N24" s="12">
        <f>-1.6001*K11 + 344.62</f>
        <v>62.255686666666634</v>
      </c>
      <c r="O24" s="51">
        <f>1000000000000*K11-4.601</f>
        <v>176466666666662.06</v>
      </c>
      <c r="P24" s="12"/>
      <c r="Q24" s="27" t="s">
        <v>90</v>
      </c>
      <c r="R24" s="40">
        <f>(J11-60.122)/0.0841</f>
        <v>1324.1537851763774</v>
      </c>
      <c r="S24" s="12">
        <f>0.5169*J11+27.545</f>
        <v>116.184735</v>
      </c>
      <c r="T24" s="12">
        <f>1.1518*J11^0.9191</f>
        <v>130.27180720268166</v>
      </c>
      <c r="U24" s="40"/>
      <c r="V24" s="27" t="s">
        <v>90</v>
      </c>
      <c r="W24" s="12">
        <f>(I11-3.8633)/0.2077</f>
        <v>377.4034665382764</v>
      </c>
      <c r="X24" s="9">
        <f>2.8315*I11 + 14.308</f>
        <v>247.19887500000002</v>
      </c>
      <c r="Y24" s="12">
        <f>8.9277*I11^0.6763</f>
        <v>176.17569838163556</v>
      </c>
      <c r="Z24" s="41"/>
      <c r="AB24" s="27" t="s">
        <v>90</v>
      </c>
      <c r="AC24" s="12">
        <f>(H11+0.1561)/0.0915</f>
        <v>23.017486338797816</v>
      </c>
      <c r="AD24" s="12">
        <f>6.3569*H11+ 26.624</f>
        <v>39.019954999999996</v>
      </c>
      <c r="AE24" s="12">
        <f xml:space="preserve"> 32.273*H11^0.3897</f>
        <v>41.866420008767221</v>
      </c>
      <c r="AF24" s="40"/>
      <c r="AH24" s="27" t="s">
        <v>90</v>
      </c>
      <c r="AI24" s="12">
        <f>(G11+0.0678)/0.0239</f>
        <v>4.2315202231520219</v>
      </c>
      <c r="AJ24" s="12">
        <f xml:space="preserve"> 15.463*G11 + 39.702</f>
        <v>40.217433333333332</v>
      </c>
      <c r="AK24" s="12">
        <f>34.915*EXP(0.2946*G11)</f>
        <v>35.259554292731977</v>
      </c>
      <c r="AM24" s="1"/>
      <c r="AN24" s="27" t="s">
        <v>90</v>
      </c>
      <c r="AO24" s="12">
        <f>(F11+0.168)/0.0069</f>
        <v>24.347826086956523</v>
      </c>
      <c r="AP24" s="12">
        <f>70.576*F11 + 43.217</f>
        <v>43.216999999999999</v>
      </c>
      <c r="AQ24" s="12">
        <f>38.631*EXP(1.2111*F11)</f>
        <v>38.631</v>
      </c>
      <c r="AR24" s="12"/>
      <c r="AT24" s="1" t="s">
        <v>90</v>
      </c>
      <c r="AU24" s="1">
        <f t="shared" si="7"/>
        <v>64</v>
      </c>
      <c r="AV24" s="42" t="s">
        <v>90</v>
      </c>
      <c r="AW24" s="12">
        <f>0.6229*Y11 + 31.496</f>
        <v>53.115682853674762</v>
      </c>
      <c r="AX24" s="12">
        <f>2.4916*X11 + 31.496</f>
        <v>53.115682853674762</v>
      </c>
      <c r="AY24" s="12">
        <f>9.9664*W11 + 31.496</f>
        <v>53.115682853674741</v>
      </c>
      <c r="AZ24" s="12">
        <f xml:space="preserve"> 39.864*V11 + 31.499</f>
        <v>53.117815150879217</v>
      </c>
      <c r="BA24" s="12">
        <f xml:space="preserve"> 153.68*U11 + 33.411</f>
        <v>50.95799155206047</v>
      </c>
      <c r="BB24" s="9">
        <f xml:space="preserve"> 341.18*T11 + 59.342</f>
        <v>59.341999999999999</v>
      </c>
      <c r="BD24" s="1">
        <f t="shared" si="8"/>
        <v>64</v>
      </c>
      <c r="BE24" s="42" t="s">
        <v>90</v>
      </c>
      <c r="BF24" s="12">
        <f>7.9979*Y11^0.5407</f>
        <v>54.43610021489598</v>
      </c>
      <c r="BG24" s="12">
        <f xml:space="preserve"> 16.925*X11^0.5407</f>
        <v>54.438465543151352</v>
      </c>
      <c r="BH24" s="12">
        <f xml:space="preserve"> 35.818*W11^0.5407</f>
        <v>54.443331497262228</v>
      </c>
      <c r="BI24" s="12">
        <f xml:space="preserve"> 75.792*V11^0.5402</f>
        <v>54.458511303586427</v>
      </c>
      <c r="BJ24" s="12">
        <f>162.76*U11^0.5531</f>
        <v>49.011514068214645</v>
      </c>
      <c r="BK24" s="12">
        <f>200.69*T11^0.333</f>
        <v>0</v>
      </c>
      <c r="BN24" s="1">
        <f t="shared" si="9"/>
        <v>64</v>
      </c>
      <c r="BO24" s="42" t="s">
        <v>90</v>
      </c>
      <c r="BP24" s="12">
        <f xml:space="preserve"> 3.2753*Y11 + 16.246</f>
        <v>129.92547864928713</v>
      </c>
      <c r="BQ24" s="12">
        <f xml:space="preserve"> 13.101*X11 + 16.246</f>
        <v>129.92374324369607</v>
      </c>
      <c r="BR24" s="12">
        <f xml:space="preserve"> 45.439*W11 + 18.146</f>
        <v>116.71486831635562</v>
      </c>
      <c r="BS24" s="12">
        <f xml:space="preserve"> 129.75*V11 + 19.261</f>
        <v>89.626273575822253</v>
      </c>
      <c r="BT24" s="12">
        <f>408.35*U11 + 18.101</f>
        <v>64.725895889405848</v>
      </c>
      <c r="BU24" s="12">
        <f>268.12*T11 + 67.995</f>
        <v>67.995000000000005</v>
      </c>
      <c r="BW24" s="1">
        <f t="shared" si="10"/>
        <v>64</v>
      </c>
      <c r="BX24" s="42" t="s">
        <v>90</v>
      </c>
      <c r="BY24" s="12">
        <f xml:space="preserve"> 7.3072*Y11^0.8093</f>
        <v>128.95013253278273</v>
      </c>
      <c r="BZ24" s="12">
        <f>22.438*X11^0.8093</f>
        <v>128.94597527587422</v>
      </c>
      <c r="CA24" s="12">
        <f xml:space="preserve"> 63.923*W11^0.7897</f>
        <v>117.82622122727562</v>
      </c>
      <c r="CB24" s="12">
        <f>144.46*V11^0.7684</f>
        <v>90.270550237634694</v>
      </c>
      <c r="CC24" s="12">
        <f>377.35*U11^0.8162</f>
        <v>64.201546348510718</v>
      </c>
      <c r="CD24" s="12">
        <f xml:space="preserve"> 193.76*T11^0.3028</f>
        <v>0</v>
      </c>
      <c r="CE24" s="1"/>
    </row>
    <row r="25" spans="1:83" x14ac:dyDescent="0.25">
      <c r="A25" s="1" t="s">
        <v>91</v>
      </c>
      <c r="B25" s="1">
        <v>128</v>
      </c>
      <c r="C25" s="20">
        <f>(C12+0.0087)/0.0009</f>
        <v>144.65324145357667</v>
      </c>
      <c r="D25" s="20">
        <f>C12*637.85+31.496</f>
        <v>108.98706805504749</v>
      </c>
      <c r="E25" s="20">
        <f>339.46*C12^0.5407</f>
        <v>108.59145369385539</v>
      </c>
      <c r="G25" s="27" t="s">
        <v>91</v>
      </c>
      <c r="H25" s="20">
        <f>($D12-0.0009)/0.0002</f>
        <v>312.02028594886252</v>
      </c>
      <c r="I25" s="28">
        <f>3353.9*D12+16.246</f>
        <v>228.56147740877799</v>
      </c>
      <c r="J25" s="28">
        <f>1994.7*(D12^0.8093)</f>
        <v>213.73524192239634</v>
      </c>
      <c r="K25" s="9"/>
      <c r="L25" s="27" t="s">
        <v>91</v>
      </c>
      <c r="M25" s="12">
        <f>(K12-205.04)/-0.4563</f>
        <v>110.76046460661844</v>
      </c>
      <c r="N25" s="12">
        <f>-1.6001*K12 + 344.62</f>
        <v>97.40455</v>
      </c>
      <c r="O25" s="51">
        <f>1000000000000*K12-4.601</f>
        <v>154499999999995.41</v>
      </c>
      <c r="P25" s="12"/>
      <c r="Q25" s="27" t="s">
        <v>91</v>
      </c>
      <c r="R25" s="40">
        <f>(J12-60.122)/0.0841</f>
        <v>1097.8359096313911</v>
      </c>
      <c r="S25" s="12">
        <f>0.5169*J12+27.545</f>
        <v>106.346405</v>
      </c>
      <c r="T25" s="12">
        <f>1.1518*J12^0.9191</f>
        <v>116.92018501445042</v>
      </c>
      <c r="U25" s="12"/>
      <c r="V25" s="27" t="s">
        <v>91</v>
      </c>
      <c r="W25" s="12">
        <f>(I12-3.8633)/0.2077</f>
        <v>758.16096934681434</v>
      </c>
      <c r="X25" s="9">
        <f>2.8315*I12 + 14.308</f>
        <v>471.12333333333339</v>
      </c>
      <c r="Y25" s="12">
        <f>8.9277*I12^0.6763</f>
        <v>277.85831750426343</v>
      </c>
      <c r="Z25" s="9"/>
      <c r="AB25" s="27" t="s">
        <v>91</v>
      </c>
      <c r="AC25" s="12">
        <f>(H12+0.1561)/0.0915</f>
        <v>376.02295081967219</v>
      </c>
      <c r="AD25" s="12">
        <f>6.3569*H12+ 26.624</f>
        <v>244.347825</v>
      </c>
      <c r="AE25" s="12">
        <f xml:space="preserve"> 32.273*H12^0.3897</f>
        <v>127.90766310578329</v>
      </c>
      <c r="AF25" s="12"/>
      <c r="AH25" s="27" t="s">
        <v>91</v>
      </c>
      <c r="AI25" s="12">
        <f>(G12+0.0678)/0.0239</f>
        <v>90.702928870292894</v>
      </c>
      <c r="AJ25" s="12">
        <f xml:space="preserve"> 15.463*G12 + 39.702</f>
        <v>72.174299999999988</v>
      </c>
      <c r="AK25" s="12">
        <f>34.915*EXP(0.2946*G12)</f>
        <v>64.817558833022787</v>
      </c>
      <c r="AM25" s="1"/>
      <c r="AN25" s="27" t="s">
        <v>91</v>
      </c>
      <c r="AO25" s="12">
        <f>(F12+0.168)/0.0069</f>
        <v>29.178743961352659</v>
      </c>
      <c r="AP25" s="12">
        <f>70.576*F12 + 43.217</f>
        <v>45.569533333333332</v>
      </c>
      <c r="AQ25" s="12">
        <f>38.631*EXP(1.2111*F12)</f>
        <v>40.222440567949768</v>
      </c>
      <c r="AR25" s="12"/>
      <c r="AT25" s="1" t="s">
        <v>91</v>
      </c>
      <c r="AU25" s="1">
        <f t="shared" si="7"/>
        <v>128</v>
      </c>
      <c r="AV25" s="42" t="s">
        <v>91</v>
      </c>
      <c r="AW25" s="12">
        <f>0.6229*Y12 + 31.496</f>
        <v>108.98701945988103</v>
      </c>
      <c r="AX25" s="12">
        <f>2.4916*X12 + 31.496</f>
        <v>108.9870194598809</v>
      </c>
      <c r="AY25" s="12">
        <f>9.9664*W12 + 31.496</f>
        <v>108.9870194598811</v>
      </c>
      <c r="AZ25" s="12">
        <f xml:space="preserve"> 39.864*V12 + 31.499</f>
        <v>108.9869093691977</v>
      </c>
      <c r="BA25" s="12">
        <f xml:space="preserve"> 153.68*U12 + 33.411</f>
        <v>108.09205252770886</v>
      </c>
      <c r="BB25" s="9">
        <f xml:space="preserve"> 341.18*T12 + 59.342</f>
        <v>86.294423220422289</v>
      </c>
      <c r="BD25" s="1">
        <f t="shared" si="8"/>
        <v>128</v>
      </c>
      <c r="BE25" s="42" t="s">
        <v>91</v>
      </c>
      <c r="BF25" s="12">
        <f>7.9979*Y12^0.5407</f>
        <v>108.55559107528565</v>
      </c>
      <c r="BG25" s="12">
        <f xml:space="preserve"> 16.925*X12^0.5407</f>
        <v>108.56030797465634</v>
      </c>
      <c r="BH25" s="12">
        <f xml:space="preserve"> 35.818*W12^0.5407</f>
        <v>108.57001158168504</v>
      </c>
      <c r="BI25" s="12">
        <f xml:space="preserve"> 75.792*V12^0.5402</f>
        <v>108.53098774822755</v>
      </c>
      <c r="BJ25" s="12">
        <f>162.76*U12^0.5531</f>
        <v>109.19488940307023</v>
      </c>
      <c r="BK25" s="12">
        <f>200.69*T12^0.333</f>
        <v>86.184919258950003</v>
      </c>
      <c r="BN25" s="1">
        <f t="shared" si="9"/>
        <v>128</v>
      </c>
      <c r="BO25" s="42" t="s">
        <v>91</v>
      </c>
      <c r="BP25" s="12">
        <f xml:space="preserve"> 3.2753*Y12 + 16.246</f>
        <v>423.70520057304276</v>
      </c>
      <c r="BQ25" s="12">
        <f xml:space="preserve"> 13.101*X12 + 16.246</f>
        <v>423.69898039167595</v>
      </c>
      <c r="BR25" s="12">
        <f xml:space="preserve"> 45.439*W12 + 18.146</f>
        <v>371.44452637236492</v>
      </c>
      <c r="BS25" s="12">
        <f xml:space="preserve"> 129.75*V12 + 19.261</f>
        <v>271.46991633186343</v>
      </c>
      <c r="BT25" s="12">
        <f>408.35*U12 + 18.101</f>
        <v>216.53936413124617</v>
      </c>
      <c r="BU25" s="12">
        <f>268.12*T12 + 67.995</f>
        <v>89.175853842135012</v>
      </c>
      <c r="BW25" s="1">
        <f t="shared" si="10"/>
        <v>128</v>
      </c>
      <c r="BX25" s="42" t="s">
        <v>91</v>
      </c>
      <c r="BY25" s="12">
        <f xml:space="preserve"> 7.3072*Y12^0.8093</f>
        <v>362.32589731034267</v>
      </c>
      <c r="BZ25" s="12">
        <f>22.438*X12^0.8093</f>
        <v>362.31421619136893</v>
      </c>
      <c r="CA25" s="12">
        <f xml:space="preserve"> 63.923*W12^0.7897</f>
        <v>322.88900229882751</v>
      </c>
      <c r="CB25" s="12">
        <f>144.46*V12^0.7684</f>
        <v>240.74020676375775</v>
      </c>
      <c r="CC25" s="12">
        <f>377.35*U12^0.8162</f>
        <v>209.38309970162845</v>
      </c>
      <c r="CD25" s="12">
        <f xml:space="preserve"> 193.76*T12^0.3028</f>
        <v>89.838340603076603</v>
      </c>
      <c r="CE25" s="1"/>
    </row>
    <row r="29" spans="1:83" x14ac:dyDescent="0.25">
      <c r="BB29" t="s">
        <v>86</v>
      </c>
    </row>
    <row r="30" spans="1:83" x14ac:dyDescent="0.25">
      <c r="BB30" s="21" t="s">
        <v>45</v>
      </c>
      <c r="BC30" s="1" t="s">
        <v>16</v>
      </c>
      <c r="BD30" s="1" t="s">
        <v>17</v>
      </c>
      <c r="BU30" s="21" t="s">
        <v>45</v>
      </c>
      <c r="BV30" s="1" t="s">
        <v>16</v>
      </c>
      <c r="BW30" s="1" t="s">
        <v>17</v>
      </c>
    </row>
    <row r="31" spans="1:83" x14ac:dyDescent="0.25">
      <c r="BB31" s="22" t="s">
        <v>75</v>
      </c>
      <c r="BC31" s="15" cm="1">
        <f t="array" ref="BC31">SQRT(SUMSQ($AU20:$AU25-AW20:AW25)/COUNTA($AU20:$AU25-AW20:AW25))</f>
        <v>31.431083462403279</v>
      </c>
      <c r="BD31" s="15" cm="1">
        <f t="array" ref="BD31">SQRT(SUMSQ($BD20:$BD25-BF20:BF25)/COUNTA($BD20:$BD25-BF20:BF25))</f>
        <v>30.959733975698892</v>
      </c>
      <c r="BU31" s="22" t="s">
        <v>75</v>
      </c>
      <c r="BV31" s="15" cm="1">
        <f t="array" ref="BV31">SQRT(SUMSQ($BN20:$BN25-BP20:BP25)/COUNTA($BN20:$BN25-BP20:BP25))</f>
        <v>195.34084032408308</v>
      </c>
      <c r="BW31" s="15" cm="1">
        <f t="array" ref="BW31">SQRT(SUMSQ($BW20:$BW22-BY20:BY22)/COUNTA($BW20:$BW22-BY20:BY22))</f>
        <v>179.59775107536919</v>
      </c>
    </row>
    <row r="32" spans="1:83" x14ac:dyDescent="0.25">
      <c r="BB32" s="23" t="s">
        <v>76</v>
      </c>
      <c r="BC32" s="15" cm="1">
        <f t="array" ref="BC32">SQRT(SUMSQ($AU20:$AU25-AX20:AX25)/COUNTA($AU20:$AU25-AX20:AX25))</f>
        <v>31.431083462403283</v>
      </c>
      <c r="BD32" s="15" cm="1">
        <f t="array" ref="BD32">SQRT(SUMSQ($BD20:$BD25-BG20:BG25)/COUNTA($BD20:$BD25-BG20:BG25))</f>
        <v>30.958456141963076</v>
      </c>
      <c r="BU32" s="23" t="s">
        <v>76</v>
      </c>
      <c r="BV32" s="15" cm="1">
        <f t="array" ref="BV32">SQRT(SUMSQ($BN20:$BN25-BQ20:BQ25)/COUNTA($BN20:$BN25-BQ20:BQ25))</f>
        <v>195.33686042955955</v>
      </c>
      <c r="BW32" s="15" cm="1">
        <f t="array" ref="BW32">SQRT(SUMSQ($BD20:$BD22-BZ20:BZ22)/COUNTA($BD20:$BD22-BZ20:BZ22))</f>
        <v>179.58952479280876</v>
      </c>
    </row>
    <row r="33" spans="2:81" x14ac:dyDescent="0.25">
      <c r="BB33" s="24" t="s">
        <v>77</v>
      </c>
      <c r="BC33" s="15" cm="1">
        <f t="array" ref="BC33">SQRT(SUMSQ($AU20:$AU25-AY20:AY25)/COUNTA($AU20:$AU25-AY20:AY25))</f>
        <v>31.431083462403276</v>
      </c>
      <c r="BD33" s="15" cm="1">
        <f t="array" ref="BD33">SQRT(SUMSQ($BD20:$BD25-BH20:BH25)/COUNTA($BD20:$BD25-BH20:BH25))</f>
        <v>30.955828443916932</v>
      </c>
      <c r="BU33" s="24" t="s">
        <v>77</v>
      </c>
      <c r="BV33" s="15" cm="1">
        <f t="array" ref="BV33">SQRT(SUMSQ($BN20:$BN25-BR20:BR25)/COUNTA($BN20:$BN25-BR20:BR25))</f>
        <v>162.27129939782822</v>
      </c>
      <c r="BW33" s="15" cm="1">
        <f t="array" ref="BW33">SQRT(SUMSQ($BD20:$BD22-CA20:CA22)/COUNTA($BD20:$BD22-CA20:CA22))</f>
        <v>152.8287930148324</v>
      </c>
    </row>
    <row r="34" spans="2:81" x14ac:dyDescent="0.25">
      <c r="BB34" s="25" t="s">
        <v>78</v>
      </c>
      <c r="BC34" s="15" cm="1">
        <f t="array" ref="BC34">SQRT(SUMSQ($AU20:$AU25-AZ20:AZ25)/COUNTA($AU20:$AU25-AZ20:AZ25))</f>
        <v>33.730037629851175</v>
      </c>
      <c r="BD34" s="15" cm="1">
        <f t="array" ref="BD34">SQRT(SUMSQ($BD20:$BD25-BI20:BI25)/COUNTA($BD20:$BD25-BI20:BI25))</f>
        <v>34.158960005081724</v>
      </c>
      <c r="BU34" s="25" t="s">
        <v>78</v>
      </c>
      <c r="BV34" s="15" cm="1">
        <f t="array" ref="BV34">SQRT(SUMSQ($BN20:$BN25-BS20:BS25)/COUNTA($BN20:$BN25-BS20:BS25))</f>
        <v>101.12086374583207</v>
      </c>
      <c r="BW34" s="15" cm="1">
        <f t="array" ref="BW34">SQRT(SUMSQ($BD20:$BD22-CB20:CB22)/COUNTA($BD20:$BD22-CB20:CB22))</f>
        <v>95.630115250842877</v>
      </c>
    </row>
    <row r="35" spans="2:81" x14ac:dyDescent="0.25">
      <c r="BB35" s="21" t="s">
        <v>79</v>
      </c>
      <c r="BC35" s="15" cm="1">
        <f t="array" ref="BC35">SQRT(SUMSQ($AU20:$AU25-BA20:BA25)/COUNTA($AU20:$AU25-BA20:BA25))</f>
        <v>33.409129483498965</v>
      </c>
      <c r="BD35" s="15" cm="1">
        <f t="array" ref="BD35">SQRT(SUMSQ($BD20:$BD25-BJ20:BJ25)/COUNTA($BD20:$BD25-BJ20:BJ25))</f>
        <v>34.719736881470681</v>
      </c>
      <c r="BU35" s="21" t="s">
        <v>79</v>
      </c>
      <c r="BV35" s="15" cm="1">
        <f t="array" ref="BV35">SQRT(SUMSQ($BN20:$BN25-BT20:BT25)/COUNTA($BN20:$BN25-BT20:BT25))</f>
        <v>69.25329177441472</v>
      </c>
      <c r="BW35" s="15" cm="1">
        <f t="array" ref="BW35">SQRT(SUMSQ($BD20:$BD22-CC20:CC22)/COUNTA($BD20:$BD22-CC20:CC22))</f>
        <v>72.150302717278322</v>
      </c>
    </row>
    <row r="36" spans="2:81" x14ac:dyDescent="0.25">
      <c r="BB36" s="21" t="s">
        <v>80</v>
      </c>
      <c r="BC36" s="35" cm="1">
        <f t="array" ref="BC36">SQRT(SUMSQ($AU20:$AU25-BB20:BB25)/COUNTA($AU20:$AU25-BB20:BB25))</f>
        <v>33.434182566351268</v>
      </c>
      <c r="BD36" s="15" cm="1">
        <f t="array" ref="BD36">SQRT(SUMSQ($BD20:$BD25-BK20:BK25)/COUNTA($BD20:$BD25-BK20:BK25))</f>
        <v>63.608288163209423</v>
      </c>
      <c r="BU36" s="21" t="s">
        <v>80</v>
      </c>
      <c r="BV36" s="35" cm="1">
        <f t="array" ref="BV36">SQRT(SUMSQ($BN20:$BN25-BU20:BU25)/COUNTA($BN20:$BN25-BU20:BU25))</f>
        <v>30.82120082647922</v>
      </c>
      <c r="BW36" s="15" cm="1">
        <f t="array" ref="BW36">SQRT(SUMSQ($BD20:$BD22-CD20:CD22)/COUNTA($BD20:$BD22-CD20:CD22))</f>
        <v>26.515568819424395</v>
      </c>
    </row>
    <row r="37" spans="2:81" x14ac:dyDescent="0.25">
      <c r="B37">
        <v>0</v>
      </c>
      <c r="C37">
        <v>0</v>
      </c>
    </row>
    <row r="38" spans="2:81" x14ac:dyDescent="0.25">
      <c r="B38">
        <v>150</v>
      </c>
      <c r="C38">
        <v>150</v>
      </c>
    </row>
    <row r="43" spans="2:81" x14ac:dyDescent="0.25">
      <c r="B43" s="1" t="s">
        <v>45</v>
      </c>
      <c r="C43" s="1" t="s">
        <v>46</v>
      </c>
      <c r="H43" s="21" t="s">
        <v>45</v>
      </c>
      <c r="I43" s="1" t="s">
        <v>58</v>
      </c>
      <c r="M43" s="21" t="s">
        <v>45</v>
      </c>
      <c r="N43" s="1" t="s">
        <v>75</v>
      </c>
      <c r="Q43" s="21" t="s">
        <v>45</v>
      </c>
      <c r="R43" s="1" t="s">
        <v>76</v>
      </c>
      <c r="W43" s="21" t="s">
        <v>45</v>
      </c>
      <c r="X43" s="1" t="s">
        <v>77</v>
      </c>
      <c r="AB43" s="21" t="s">
        <v>45</v>
      </c>
      <c r="AC43" s="1" t="s">
        <v>78</v>
      </c>
      <c r="AI43" s="21" t="s">
        <v>45</v>
      </c>
      <c r="AJ43" s="1" t="s">
        <v>79</v>
      </c>
      <c r="AO43" s="21" t="s">
        <v>45</v>
      </c>
      <c r="AP43" s="1" t="s">
        <v>80</v>
      </c>
    </row>
    <row r="44" spans="2:81" x14ac:dyDescent="0.25">
      <c r="B44" s="14">
        <v>1</v>
      </c>
      <c r="C44" s="15" cm="1">
        <f t="array" ref="C44">SQRT(SUMSQ(B20:B25-C20:C25)/COUNTA(B20:B25-C20:C25))</f>
        <v>41.812906146779035</v>
      </c>
      <c r="H44" s="22">
        <v>1</v>
      </c>
      <c r="I44" s="15" cm="1">
        <f t="array" ref="I44">SQRT(SUMSQ($B20:$B25-H20:H25)/COUNTA($B20:$B25-H20:H25))</f>
        <v>89.037589430537523</v>
      </c>
      <c r="M44" s="22">
        <v>1</v>
      </c>
      <c r="N44" s="15" cm="1">
        <f t="array" ref="N44">SQRT(SUMSQ($B20:$B25-M20:M25)/COUNTA($B20:$B25-M20:M25))</f>
        <v>110.05450225109749</v>
      </c>
      <c r="Q44" s="22">
        <v>1</v>
      </c>
      <c r="R44" s="15" cm="1">
        <f t="array" ref="R44">SQRT(SUMSQ($B20:$B25-R20:R25)/COUNTA($B20:$B25-R20:R25))</f>
        <v>937.56012276802267</v>
      </c>
      <c r="W44" s="22">
        <v>1</v>
      </c>
      <c r="X44" s="15" cm="1">
        <f t="array" ref="X44">SQRT(SUMSQ($B20:$B25-W20:W25)/COUNTA($B20:$B25-W20:W25))</f>
        <v>293.2120042217357</v>
      </c>
      <c r="AB44" s="22">
        <v>1</v>
      </c>
      <c r="AC44" s="15" cm="1">
        <f t="array" ref="AC44">SQRT(SUMSQ($B20:$B25-AC20:AC25)/COUNTA($B20:$B25-AC20:AC25))</f>
        <v>117.899947808294</v>
      </c>
      <c r="AI44" s="22">
        <v>1</v>
      </c>
      <c r="AJ44" s="15" cm="1">
        <f t="array" ref="AJ44">SQRT(SUMSQ($B20:$B25-AI20:AI25)/COUNTA($B20:$B25-AI20:AI25))</f>
        <v>72.282358226317783</v>
      </c>
      <c r="AO44" s="22">
        <v>1</v>
      </c>
      <c r="AP44" s="15" cm="1">
        <f t="array" ref="AP44">SQRT(SUMSQ($B20:$B22-AO20:AO22)/COUNTA($B20:$B22-AO20:AO22))</f>
        <v>45.832808645123308</v>
      </c>
      <c r="AQ44" t="s">
        <v>118</v>
      </c>
      <c r="BQ44" s="1"/>
      <c r="BR44" s="1"/>
      <c r="BS44" s="1"/>
      <c r="BT44" s="1"/>
      <c r="BU44" s="1"/>
      <c r="BV44" s="1"/>
      <c r="BW44" s="1"/>
      <c r="CC44" s="1"/>
    </row>
    <row r="45" spans="2:81" x14ac:dyDescent="0.25">
      <c r="B45" s="16">
        <v>2</v>
      </c>
      <c r="C45" s="50" cm="1">
        <f t="array" ref="C45">SQRT(SUMSQ(B20:B25-D20:D25)/COUNTA(B20:B25-D20:D25))</f>
        <v>33.731048103317463</v>
      </c>
      <c r="D45" t="s">
        <v>47</v>
      </c>
      <c r="H45" s="23">
        <v>2</v>
      </c>
      <c r="I45" s="50" cm="1">
        <f t="array" ref="I45">SQRT(SUMSQ($B20:$B25-I20:I25)/COUNTA($B20:$B25-I20:I25))</f>
        <v>57.475233471022854</v>
      </c>
      <c r="J45" t="s">
        <v>47</v>
      </c>
      <c r="M45" s="23">
        <v>2</v>
      </c>
      <c r="N45" s="17" cm="1">
        <f t="array" ref="N45">SQRT(SUMSQ($B20:$B25-N20:N25)/COUNTA($B20:$B25-N20:N25))</f>
        <v>9787.9571871903208</v>
      </c>
      <c r="O45" t="s">
        <v>47</v>
      </c>
      <c r="Q45" s="23">
        <v>2</v>
      </c>
      <c r="R45" s="50" cm="1">
        <f t="array" ref="R45">SQRT(SUMSQ($B20:$B25-S20:S25)/COUNTA($B20:$B25-S20:S25))</f>
        <v>34.582004466136006</v>
      </c>
      <c r="S45" t="s">
        <v>47</v>
      </c>
      <c r="W45" s="23">
        <v>2</v>
      </c>
      <c r="X45" s="17" cm="1">
        <f t="array" ref="X45">SQRT(SUMSQ($B20:$B25-X20:X25)/COUNTA($B20:$B25-X20:X25))</f>
        <v>162.89930253919613</v>
      </c>
      <c r="Y45" t="s">
        <v>47</v>
      </c>
      <c r="AB45" s="23">
        <v>2</v>
      </c>
      <c r="AC45" s="17" cm="1">
        <f t="array" ref="AC45">SQRT(SUMSQ($B20:$B25-AD20:AD25)/COUNTA($B20:$B25-AD20:AD25))</f>
        <v>66.684842681315132</v>
      </c>
      <c r="AD45" t="s">
        <v>47</v>
      </c>
      <c r="AI45" s="23">
        <v>2</v>
      </c>
      <c r="AJ45" s="17" cm="1">
        <f t="array" ref="AJ45">SQRT(SUMSQ($B20:$B25-AJ20:AJ25)/COUNTA($B20:$B25-AJ20:AJ25))</f>
        <v>50.165636206290806</v>
      </c>
      <c r="AK45" t="s">
        <v>47</v>
      </c>
      <c r="AO45" s="23">
        <v>2</v>
      </c>
      <c r="AP45" s="17" cm="1">
        <f t="array" ref="AP45">SQRT(SUMSQ($B20:$B25-AP20:AP25)/COUNTA($B20:$B25-AP20:AP25))</f>
        <v>54.460891664669248</v>
      </c>
      <c r="AQ45" t="s">
        <v>47</v>
      </c>
      <c r="BQ45" s="1"/>
      <c r="BR45" s="48"/>
      <c r="BS45" s="48"/>
      <c r="BT45" s="48"/>
      <c r="BU45" s="48"/>
      <c r="BV45" s="48"/>
      <c r="BW45" s="48"/>
      <c r="CC45" s="12"/>
    </row>
    <row r="46" spans="2:81" x14ac:dyDescent="0.25">
      <c r="B46" s="18">
        <v>3</v>
      </c>
      <c r="C46" s="13" cm="1">
        <f t="array" ref="C46">SQRT(SUMSQ(B20:B25-E20:E25)/COUNTA(B20:B25-E20:E25))</f>
        <v>34.160952903899592</v>
      </c>
      <c r="D46" t="s">
        <v>48</v>
      </c>
      <c r="H46" s="24">
        <v>3</v>
      </c>
      <c r="I46" s="13" cm="1">
        <f t="array" ref="I46">SQRT(SUMSQ($B20:$B25-J20:J25)/COUNTA($B20:$B25-J20:J25))</f>
        <v>55.300435902776094</v>
      </c>
      <c r="J46" t="s">
        <v>48</v>
      </c>
      <c r="M46" s="24">
        <v>3</v>
      </c>
      <c r="N46" s="30" cm="1">
        <f t="array" ref="N46">SQRT(SUMSQ($B20:$B25-O20:O25)/COUNTA($B20:$B25-O20:O25))</f>
        <v>6173802043186715</v>
      </c>
      <c r="O46" t="s">
        <v>48</v>
      </c>
      <c r="Q46" s="24">
        <v>3</v>
      </c>
      <c r="R46" s="13" cm="1">
        <f t="array" ref="R46">SQRT(SUMSQ($B20:$B25-T20:T25)/COUNTA($B20:$B25-T20:T25))</f>
        <v>45.681813359382701</v>
      </c>
      <c r="S46" t="s">
        <v>48</v>
      </c>
      <c r="W46" s="24">
        <v>3</v>
      </c>
      <c r="X46" s="52" cm="1">
        <f t="array" ref="X46">SQRT(SUMSQ($B20:$B25-Y20:Y25)/COUNTA($B20:$B25-Y20:Y25))</f>
        <v>85.749827704391251</v>
      </c>
      <c r="Y46" t="s">
        <v>48</v>
      </c>
      <c r="AB46" s="24">
        <v>3</v>
      </c>
      <c r="AC46" s="13" cm="1">
        <f t="array" ref="AC46">SQRT(SUMSQ($B20:$B25-AE20:AE25)/COUNTA($B20:$B25-AE20:AE25))</f>
        <v>47.883326383199218</v>
      </c>
      <c r="AD46" t="s">
        <v>48</v>
      </c>
      <c r="AI46" s="24">
        <v>3</v>
      </c>
      <c r="AJ46" s="13" cm="1">
        <f t="array" ref="AJ46">SQRT(SUMSQ($B20:$B25-AK20:AK25)/COUNTA($B20:$B25-AK20:AK25))</f>
        <v>55.5149915661924</v>
      </c>
      <c r="AK46" t="s">
        <v>48</v>
      </c>
      <c r="AO46" s="24">
        <v>3</v>
      </c>
      <c r="AP46" s="13" cm="1">
        <f t="array" ref="AP46">SQRT(SUMSQ($B20:$B25-AQ20:AQ25)/COUNTA($B20:$B25-AQ20:AQ25))</f>
        <v>58.938318205586377</v>
      </c>
      <c r="AQ46" t="s">
        <v>48</v>
      </c>
      <c r="BQ46" s="1"/>
      <c r="BR46" s="48"/>
      <c r="BS46" s="48"/>
      <c r="BT46" s="48"/>
      <c r="BU46" s="48"/>
      <c r="BV46" s="48"/>
      <c r="BW46" s="48"/>
      <c r="CC46" s="12"/>
    </row>
    <row r="47" spans="2:81" x14ac:dyDescent="0.25">
      <c r="D47" s="1"/>
      <c r="E47" s="12"/>
      <c r="H47" s="21"/>
      <c r="I47" s="12"/>
      <c r="M47" s="21"/>
      <c r="N47" s="12"/>
      <c r="V47" s="12"/>
      <c r="W47" s="21"/>
      <c r="X47" s="12"/>
      <c r="AG47" s="21"/>
      <c r="AH47" s="12"/>
      <c r="AI47" s="21"/>
      <c r="AJ47" s="12"/>
      <c r="AO47" s="21"/>
      <c r="AP47" s="12"/>
      <c r="BQ47" s="1"/>
      <c r="BR47" s="48"/>
      <c r="BS47" s="48"/>
      <c r="BT47" s="48"/>
      <c r="BU47" s="48"/>
      <c r="BV47" s="48"/>
      <c r="BW47" s="48"/>
      <c r="CC47" s="12"/>
    </row>
    <row r="48" spans="2:81" x14ac:dyDescent="0.25">
      <c r="BQ48" s="1"/>
      <c r="BR48" s="48"/>
      <c r="BS48" s="48"/>
      <c r="BT48" s="48"/>
      <c r="BU48" s="48"/>
      <c r="BV48" s="48"/>
      <c r="BW48" s="48"/>
      <c r="CC48" s="12"/>
    </row>
    <row r="49" spans="50:81" x14ac:dyDescent="0.25">
      <c r="BQ49" s="1"/>
      <c r="BR49" s="48"/>
      <c r="BS49" s="48"/>
      <c r="BT49" s="48"/>
      <c r="BU49" s="48"/>
      <c r="BV49" s="48"/>
      <c r="BW49" s="48"/>
      <c r="CC49" s="12"/>
    </row>
    <row r="50" spans="50:81" x14ac:dyDescent="0.25">
      <c r="CC50" s="12"/>
    </row>
    <row r="60" spans="50:81" x14ac:dyDescent="0.25">
      <c r="AY60" s="56"/>
      <c r="AZ60" s="12"/>
      <c r="BA60" s="12"/>
      <c r="BB60" s="12"/>
      <c r="BC60" s="12"/>
      <c r="BD60" s="12"/>
    </row>
    <row r="61" spans="50:81" x14ac:dyDescent="0.25">
      <c r="AY61" s="56"/>
      <c r="AZ61" s="12"/>
      <c r="BA61" s="12"/>
      <c r="BB61" s="12"/>
      <c r="BC61" s="12"/>
      <c r="BD61" s="12"/>
    </row>
    <row r="62" spans="50:81" x14ac:dyDescent="0.25">
      <c r="AX62" s="56"/>
      <c r="AY62" s="56"/>
      <c r="AZ62" s="12"/>
      <c r="BA62" s="12"/>
      <c r="BB62" s="12"/>
      <c r="BC62" s="12"/>
      <c r="BD62" s="12"/>
    </row>
    <row r="63" spans="50:81" x14ac:dyDescent="0.25">
      <c r="AX63" s="56"/>
      <c r="AY63" s="12"/>
      <c r="AZ63" s="12"/>
      <c r="BA63" s="12"/>
      <c r="BB63" s="12"/>
      <c r="BC63" s="12"/>
    </row>
    <row r="64" spans="50:81" x14ac:dyDescent="0.25">
      <c r="AX64" s="56"/>
      <c r="AY64" s="12"/>
      <c r="AZ64" s="12"/>
      <c r="BA64" s="12"/>
      <c r="BB64" s="12"/>
      <c r="BC64" s="12"/>
    </row>
    <row r="71" spans="1:43" s="26" customFormat="1" x14ac:dyDescent="0.25"/>
    <row r="73" spans="1:43" x14ac:dyDescent="0.25">
      <c r="B73" s="108" t="s">
        <v>101</v>
      </c>
      <c r="C73" s="108"/>
      <c r="D73" s="108"/>
      <c r="E73" s="108"/>
      <c r="F73" s="108"/>
      <c r="G73" s="108"/>
      <c r="L73" s="108" t="s">
        <v>101</v>
      </c>
      <c r="M73" s="108"/>
      <c r="N73" s="108"/>
      <c r="O73" s="108"/>
      <c r="Q73" s="108" t="s">
        <v>101</v>
      </c>
      <c r="R73" s="108"/>
      <c r="S73" s="108"/>
      <c r="T73" s="108"/>
      <c r="V73" s="108" t="s">
        <v>101</v>
      </c>
      <c r="W73" s="108"/>
      <c r="X73" s="108"/>
      <c r="Y73" s="108"/>
      <c r="AB73" s="108" t="s">
        <v>101</v>
      </c>
      <c r="AC73" s="108"/>
      <c r="AD73" s="108"/>
      <c r="AE73" s="108"/>
      <c r="AH73" s="108" t="s">
        <v>101</v>
      </c>
      <c r="AI73" s="108"/>
      <c r="AJ73" s="108"/>
      <c r="AK73" s="108"/>
      <c r="AN73" s="108" t="s">
        <v>101</v>
      </c>
      <c r="AO73" s="108"/>
      <c r="AP73" s="108"/>
      <c r="AQ73" s="108"/>
    </row>
    <row r="74" spans="1:43" ht="45" x14ac:dyDescent="0.25">
      <c r="A74" s="1" t="s">
        <v>105</v>
      </c>
      <c r="B74" s="1" t="s">
        <v>23</v>
      </c>
      <c r="C74" s="1" t="s">
        <v>22</v>
      </c>
      <c r="D74" s="1" t="s">
        <v>21</v>
      </c>
      <c r="E74" s="1" t="s">
        <v>20</v>
      </c>
      <c r="F74" s="1" t="s">
        <v>19</v>
      </c>
      <c r="G74" s="1" t="s">
        <v>18</v>
      </c>
      <c r="K74" s="11" t="s">
        <v>40</v>
      </c>
      <c r="L74" s="31" t="s">
        <v>68</v>
      </c>
      <c r="M74" s="19" t="s">
        <v>102</v>
      </c>
      <c r="N74" s="19" t="s">
        <v>103</v>
      </c>
      <c r="O74" s="19" t="s">
        <v>104</v>
      </c>
      <c r="Q74" s="31" t="s">
        <v>69</v>
      </c>
      <c r="R74" s="19" t="s">
        <v>102</v>
      </c>
      <c r="S74" s="19" t="s">
        <v>103</v>
      </c>
      <c r="T74" s="19" t="s">
        <v>104</v>
      </c>
      <c r="V74" s="31" t="s">
        <v>71</v>
      </c>
      <c r="W74" s="19" t="s">
        <v>102</v>
      </c>
      <c r="X74" s="19" t="s">
        <v>103</v>
      </c>
      <c r="Y74" s="19" t="s">
        <v>104</v>
      </c>
      <c r="AB74" s="31" t="s">
        <v>72</v>
      </c>
      <c r="AC74" s="19" t="s">
        <v>102</v>
      </c>
      <c r="AD74" s="19" t="s">
        <v>103</v>
      </c>
      <c r="AE74" s="19" t="s">
        <v>104</v>
      </c>
      <c r="AH74" s="31" t="s">
        <v>73</v>
      </c>
      <c r="AI74" s="19" t="s">
        <v>102</v>
      </c>
      <c r="AJ74" s="19" t="s">
        <v>103</v>
      </c>
      <c r="AK74" s="19" t="s">
        <v>104</v>
      </c>
      <c r="AN74" s="31" t="s">
        <v>74</v>
      </c>
      <c r="AO74" s="19" t="s">
        <v>102</v>
      </c>
      <c r="AP74" s="19" t="s">
        <v>103</v>
      </c>
      <c r="AQ74" s="19" t="s">
        <v>104</v>
      </c>
    </row>
    <row r="75" spans="1:43" x14ac:dyDescent="0.25">
      <c r="A75" s="1" t="s">
        <v>32</v>
      </c>
      <c r="B75" s="12">
        <f t="shared" ref="B75:G77" si="11">F4/$C4</f>
        <v>1.3489379337744893</v>
      </c>
      <c r="C75" s="12">
        <f t="shared" si="11"/>
        <v>6.1665734115405222</v>
      </c>
      <c r="D75" s="12">
        <f t="shared" si="11"/>
        <v>28.520402028374914</v>
      </c>
      <c r="E75" s="12">
        <f t="shared" si="11"/>
        <v>91.535074077554626</v>
      </c>
      <c r="F75" s="12">
        <f t="shared" si="11"/>
        <v>362.86430418533763</v>
      </c>
      <c r="G75" s="12">
        <f t="shared" si="11"/>
        <v>1130.4099885030221</v>
      </c>
      <c r="K75" s="1">
        <v>90</v>
      </c>
      <c r="L75" s="27" t="s">
        <v>32</v>
      </c>
      <c r="M75" s="12">
        <f>(G75-21263)/-199.81</f>
        <v>100.75867079473988</v>
      </c>
      <c r="N75" s="12">
        <f t="shared" ref="N75:N80" si="12">-0.0025*G75+83.506</f>
        <v>80.679975028742447</v>
      </c>
      <c r="O75" s="54">
        <f t="shared" ref="O75:O80" si="13">3958.4*G75^(-0.501)</f>
        <v>116.90913542084283</v>
      </c>
      <c r="Q75" s="27" t="s">
        <v>32</v>
      </c>
      <c r="R75" s="12">
        <f>(F75-6090.7)/-53.02</f>
        <v>108.03160497575749</v>
      </c>
      <c r="S75" s="12">
        <f>-0.0109*F75+92.242</f>
        <v>88.28677908437983</v>
      </c>
      <c r="T75" s="55">
        <f>3564.9*F75^(-0.554)</f>
        <v>136.12849358890662</v>
      </c>
      <c r="V75" s="27" t="s">
        <v>32</v>
      </c>
      <c r="W75" s="12">
        <f>(E75-738.71)/-3.89</f>
        <v>166.36887555846923</v>
      </c>
      <c r="X75" s="12">
        <f>-0.0593*E75+90.943</f>
        <v>85.514970107201009</v>
      </c>
      <c r="Y75" s="54">
        <f>1085.1*E75^-0.498</f>
        <v>114.44561832326148</v>
      </c>
      <c r="AB75" s="27" t="s">
        <v>32</v>
      </c>
      <c r="AC75" s="12">
        <f>(D75-137.56)/-0.0607</f>
        <v>1796.3689945901992</v>
      </c>
      <c r="AD75" s="12">
        <f>-0.0102*D75+62.652</f>
        <v>62.36109189931058</v>
      </c>
      <c r="AE75" s="12">
        <f>26.015*D75^0.15</f>
        <v>43.002843805323621</v>
      </c>
      <c r="AH75" s="27" t="s">
        <v>32</v>
      </c>
      <c r="AI75" s="12">
        <f>(C75-19.925)/0.1371</f>
        <v>-100.35322092238862</v>
      </c>
      <c r="AJ75" s="12">
        <f>0.2553*C75+54.051</f>
        <v>55.625326191966295</v>
      </c>
      <c r="AK75" s="12"/>
      <c r="AN75" s="27" t="s">
        <v>32</v>
      </c>
      <c r="AO75" s="12">
        <f>(B75+0.8855)/0.0756</f>
        <v>29.556057325059385</v>
      </c>
      <c r="AP75" s="12">
        <f>3.3537*B75+48.722</f>
        <v>53.245933148499503</v>
      </c>
      <c r="AQ75" s="12"/>
    </row>
    <row r="76" spans="1:43" x14ac:dyDescent="0.25">
      <c r="A76" s="1" t="s">
        <v>33</v>
      </c>
      <c r="B76" s="12">
        <f t="shared" si="11"/>
        <v>0</v>
      </c>
      <c r="C76" s="12">
        <f t="shared" si="11"/>
        <v>1.729745721655257</v>
      </c>
      <c r="D76" s="12">
        <f t="shared" si="11"/>
        <v>9.8018924227131237</v>
      </c>
      <c r="E76" s="12">
        <f t="shared" si="11"/>
        <v>127.42460149527062</v>
      </c>
      <c r="F76" s="12">
        <f t="shared" si="11"/>
        <v>1709.5653549026126</v>
      </c>
      <c r="G76" s="12">
        <f t="shared" si="11"/>
        <v>8589.3406718327878</v>
      </c>
      <c r="K76" s="1">
        <v>45</v>
      </c>
      <c r="L76" s="27" t="s">
        <v>33</v>
      </c>
      <c r="M76" s="12">
        <f t="shared" ref="M76:M80" si="14">(G76-21263)/-199.81</f>
        <v>63.428553766914632</v>
      </c>
      <c r="N76" s="12">
        <f t="shared" si="12"/>
        <v>62.032648320418033</v>
      </c>
      <c r="O76" s="54">
        <f t="shared" si="13"/>
        <v>42.325861261741807</v>
      </c>
      <c r="Q76" s="27" t="s">
        <v>33</v>
      </c>
      <c r="R76" s="12">
        <f t="shared" ref="R76:R80" si="15">(F76-6090.7)/-53.02</f>
        <v>82.631736044839428</v>
      </c>
      <c r="S76" s="12">
        <f t="shared" ref="S76:S80" si="16">-0.0109*F76+92.242</f>
        <v>73.60773763156152</v>
      </c>
      <c r="T76" s="55">
        <f t="shared" ref="T76:T80" si="17">3564.9*F76^(-0.554)</f>
        <v>57.680453938178793</v>
      </c>
      <c r="V76" s="27" t="s">
        <v>33</v>
      </c>
      <c r="W76" s="12">
        <f t="shared" ref="W76:W80" si="18">(E76-738.71)/-3.89</f>
        <v>157.14277596522606</v>
      </c>
      <c r="X76" s="12">
        <f t="shared" ref="X76:X80" si="19">-0.0593*E76+90.943</f>
        <v>83.386721131330447</v>
      </c>
      <c r="Y76" s="54">
        <f t="shared" ref="Y76:Y80" si="20">1085.1*E76^-0.498</f>
        <v>97.062981620254732</v>
      </c>
      <c r="AB76" s="27" t="s">
        <v>33</v>
      </c>
      <c r="AC76" s="12">
        <f t="shared" ref="AC76:AC80" si="21">(D76-137.56)/-0.0607</f>
        <v>2104.746418077214</v>
      </c>
      <c r="AD76" s="12">
        <f t="shared" ref="AD76:AD80" si="22">-0.0102*D76+62.652</f>
        <v>62.552020697288327</v>
      </c>
      <c r="AE76" s="12">
        <f t="shared" ref="AE76:AE80" si="23">26.015*D76^0.15</f>
        <v>36.637035051611903</v>
      </c>
      <c r="AH76" s="27" t="s">
        <v>33</v>
      </c>
      <c r="AI76" s="12">
        <f t="shared" ref="AI76:AI80" si="24">(C76-19.925)/0.1371</f>
        <v>-132.71520261374724</v>
      </c>
      <c r="AJ76" s="12">
        <f t="shared" ref="AJ76:AJ80" si="25">0.2553*C76+54.051</f>
        <v>54.492604082738588</v>
      </c>
      <c r="AK76" s="12"/>
      <c r="AN76" s="27" t="s">
        <v>33</v>
      </c>
      <c r="AO76" s="12">
        <f t="shared" ref="AO76:AO80" si="26">(B76+0.8855)/0.0756</f>
        <v>11.712962962962962</v>
      </c>
      <c r="AP76" s="12">
        <f t="shared" ref="AP76:AP80" si="27">3.3537*B76+48.722</f>
        <v>48.722000000000001</v>
      </c>
      <c r="AQ76" s="12"/>
    </row>
    <row r="77" spans="1:43" x14ac:dyDescent="0.25">
      <c r="A77" s="1" t="s">
        <v>34</v>
      </c>
      <c r="B77" s="12">
        <f t="shared" si="11"/>
        <v>0.27896705782112408</v>
      </c>
      <c r="C77" s="12">
        <f t="shared" si="11"/>
        <v>0.48819235118696713</v>
      </c>
      <c r="D77" s="12">
        <f t="shared" si="11"/>
        <v>2.9988958715770839</v>
      </c>
      <c r="E77" s="12">
        <f t="shared" si="11"/>
        <v>22.66607344796633</v>
      </c>
      <c r="F77" s="12">
        <f t="shared" si="11"/>
        <v>330.36673822466616</v>
      </c>
      <c r="G77" s="12">
        <f t="shared" si="11"/>
        <v>1474.3409005846406</v>
      </c>
      <c r="K77" s="1">
        <v>90</v>
      </c>
      <c r="L77" s="27" t="s">
        <v>34</v>
      </c>
      <c r="M77" s="12">
        <f t="shared" si="14"/>
        <v>99.037381009035386</v>
      </c>
      <c r="N77" s="12">
        <f t="shared" si="12"/>
        <v>79.820147748538403</v>
      </c>
      <c r="O77" s="54">
        <f t="shared" si="13"/>
        <v>102.3415813265044</v>
      </c>
      <c r="Q77" s="27" t="s">
        <v>34</v>
      </c>
      <c r="R77" s="12">
        <f t="shared" si="15"/>
        <v>108.64453530319376</v>
      </c>
      <c r="S77" s="12">
        <f t="shared" si="16"/>
        <v>88.641002553351143</v>
      </c>
      <c r="T77" s="55">
        <f t="shared" si="17"/>
        <v>143.39149511170848</v>
      </c>
      <c r="V77" s="27" t="s">
        <v>34</v>
      </c>
      <c r="W77" s="12">
        <f t="shared" si="18"/>
        <v>184.07298883085699</v>
      </c>
      <c r="X77" s="12">
        <f t="shared" si="19"/>
        <v>89.59890184453559</v>
      </c>
      <c r="Y77" s="54">
        <f t="shared" si="20"/>
        <v>229.34663378511158</v>
      </c>
      <c r="AB77" s="27" t="s">
        <v>34</v>
      </c>
      <c r="AC77" s="12">
        <f t="shared" si="21"/>
        <v>2216.8221437960942</v>
      </c>
      <c r="AD77" s="12">
        <f t="shared" si="22"/>
        <v>62.621411262109916</v>
      </c>
      <c r="AE77" s="12">
        <f t="shared" si="23"/>
        <v>30.673832251441233</v>
      </c>
      <c r="AH77" s="27" t="s">
        <v>34</v>
      </c>
      <c r="AI77" s="12">
        <f t="shared" si="24"/>
        <v>-141.77102588485073</v>
      </c>
      <c r="AJ77" s="12">
        <f t="shared" si="25"/>
        <v>54.175635507258036</v>
      </c>
      <c r="AK77" s="12"/>
      <c r="AN77" s="27" t="s">
        <v>34</v>
      </c>
      <c r="AO77" s="12">
        <f t="shared" si="26"/>
        <v>15.403003410332328</v>
      </c>
      <c r="AP77" s="12">
        <f t="shared" si="27"/>
        <v>49.657571821814706</v>
      </c>
      <c r="AQ77" s="12"/>
    </row>
    <row r="78" spans="1:43" x14ac:dyDescent="0.25">
      <c r="A78" s="1" t="s">
        <v>89</v>
      </c>
      <c r="B78" s="8">
        <f t="shared" ref="B78:G80" si="28">F10/$C10</f>
        <v>0</v>
      </c>
      <c r="C78" s="8">
        <f t="shared" si="28"/>
        <v>6.7649029381762276</v>
      </c>
      <c r="D78" s="8">
        <f t="shared" si="28"/>
        <v>122.38324406336996</v>
      </c>
      <c r="E78" s="8">
        <f t="shared" si="28"/>
        <v>1615.5818198717227</v>
      </c>
      <c r="F78" s="8">
        <f t="shared" si="28"/>
        <v>7288.8754202967866</v>
      </c>
      <c r="G78" s="8">
        <f t="shared" si="28"/>
        <v>9298.0515929351259</v>
      </c>
      <c r="K78" s="1">
        <v>128</v>
      </c>
      <c r="L78" s="27" t="s">
        <v>89</v>
      </c>
      <c r="M78" s="12">
        <f t="shared" si="14"/>
        <v>59.881629583428627</v>
      </c>
      <c r="N78" s="12">
        <f t="shared" si="12"/>
        <v>60.260871017662183</v>
      </c>
      <c r="O78" s="54">
        <f t="shared" si="13"/>
        <v>40.677598947644611</v>
      </c>
      <c r="Q78" s="27" t="s">
        <v>89</v>
      </c>
      <c r="R78" s="12">
        <f t="shared" si="15"/>
        <v>-22.598555644979001</v>
      </c>
      <c r="S78" s="12">
        <f t="shared" si="16"/>
        <v>12.793257918765036</v>
      </c>
      <c r="T78" s="55">
        <f t="shared" si="17"/>
        <v>25.830536088725225</v>
      </c>
      <c r="V78" s="27" t="s">
        <v>89</v>
      </c>
      <c r="W78" s="40">
        <f t="shared" si="18"/>
        <v>-225.4169202755071</v>
      </c>
      <c r="X78" s="40">
        <f t="shared" si="19"/>
        <v>-4.861001918393157</v>
      </c>
      <c r="Y78" s="54">
        <f t="shared" si="20"/>
        <v>27.398194391633513</v>
      </c>
      <c r="AB78" s="27" t="s">
        <v>89</v>
      </c>
      <c r="AC78" s="12">
        <f t="shared" si="21"/>
        <v>250.02892811581623</v>
      </c>
      <c r="AD78" s="12">
        <f t="shared" si="22"/>
        <v>61.403690910553628</v>
      </c>
      <c r="AE78" s="12">
        <f t="shared" si="23"/>
        <v>53.503491561932265</v>
      </c>
      <c r="AH78" s="27" t="s">
        <v>89</v>
      </c>
      <c r="AI78" s="12">
        <f t="shared" si="24"/>
        <v>-95.989037650063992</v>
      </c>
      <c r="AJ78" s="12">
        <f t="shared" si="25"/>
        <v>55.778079720116395</v>
      </c>
      <c r="AK78" s="12"/>
      <c r="AN78" s="27" t="s">
        <v>89</v>
      </c>
      <c r="AO78" s="12">
        <f t="shared" si="26"/>
        <v>11.712962962962962</v>
      </c>
      <c r="AP78" s="12">
        <f t="shared" si="27"/>
        <v>48.722000000000001</v>
      </c>
      <c r="AQ78" s="12"/>
    </row>
    <row r="79" spans="1:43" x14ac:dyDescent="0.25">
      <c r="A79" s="1" t="s">
        <v>90</v>
      </c>
      <c r="B79" s="8">
        <f t="shared" si="28"/>
        <v>0</v>
      </c>
      <c r="C79" s="8">
        <f t="shared" si="28"/>
        <v>0.98343964975043341</v>
      </c>
      <c r="D79" s="8">
        <f t="shared" si="28"/>
        <v>57.531219510400348</v>
      </c>
      <c r="E79" s="8">
        <f t="shared" si="28"/>
        <v>2426.6373357591942</v>
      </c>
      <c r="F79" s="8">
        <f t="shared" si="28"/>
        <v>5059.3052781411043</v>
      </c>
      <c r="G79" s="8">
        <f t="shared" si="28"/>
        <v>5206.3295057787946</v>
      </c>
      <c r="K79" s="1">
        <v>64</v>
      </c>
      <c r="L79" s="27" t="s">
        <v>90</v>
      </c>
      <c r="M79" s="12">
        <f t="shared" si="14"/>
        <v>80.359694180577577</v>
      </c>
      <c r="N79" s="12">
        <f t="shared" si="12"/>
        <v>70.490176235553008</v>
      </c>
      <c r="O79" s="54">
        <f t="shared" si="13"/>
        <v>54.392287140951076</v>
      </c>
      <c r="Q79" s="27" t="s">
        <v>90</v>
      </c>
      <c r="R79" s="12">
        <f t="shared" si="15"/>
        <v>19.45293703996408</v>
      </c>
      <c r="S79" s="12">
        <f t="shared" si="16"/>
        <v>37.09557246826197</v>
      </c>
      <c r="T79" s="55">
        <f t="shared" si="17"/>
        <v>31.621393256387424</v>
      </c>
      <c r="V79" s="27" t="s">
        <v>90</v>
      </c>
      <c r="W79" s="40">
        <f t="shared" si="18"/>
        <v>-433.91448220030696</v>
      </c>
      <c r="X79" s="40">
        <f t="shared" si="19"/>
        <v>-52.95659401052022</v>
      </c>
      <c r="Y79" s="54">
        <f t="shared" si="20"/>
        <v>22.37367553379746</v>
      </c>
      <c r="AB79" s="27" t="s">
        <v>90</v>
      </c>
      <c r="AC79" s="12">
        <f t="shared" si="21"/>
        <v>1318.4313095485941</v>
      </c>
      <c r="AD79" s="12">
        <f t="shared" si="22"/>
        <v>62.065181560993921</v>
      </c>
      <c r="AE79" s="12">
        <f t="shared" si="23"/>
        <v>47.775953927503508</v>
      </c>
      <c r="AH79" s="27" t="s">
        <v>90</v>
      </c>
      <c r="AI79" s="12">
        <f t="shared" si="24"/>
        <v>-138.15871882020107</v>
      </c>
      <c r="AJ79" s="12">
        <f t="shared" si="25"/>
        <v>54.302072142581288</v>
      </c>
      <c r="AK79" s="12"/>
      <c r="AN79" s="27" t="s">
        <v>90</v>
      </c>
      <c r="AO79" s="12">
        <f t="shared" si="26"/>
        <v>11.712962962962962</v>
      </c>
      <c r="AP79" s="12">
        <f t="shared" si="27"/>
        <v>48.722000000000001</v>
      </c>
      <c r="AQ79" s="12"/>
    </row>
    <row r="80" spans="1:43" x14ac:dyDescent="0.25">
      <c r="A80" s="1" t="s">
        <v>91</v>
      </c>
      <c r="B80" s="8">
        <f t="shared" si="28"/>
        <v>0.27437570806951544</v>
      </c>
      <c r="C80" s="8">
        <f t="shared" si="28"/>
        <v>17.285669608379475</v>
      </c>
      <c r="D80" s="8">
        <f t="shared" si="28"/>
        <v>281.92104004142715</v>
      </c>
      <c r="E80" s="8">
        <f t="shared" si="28"/>
        <v>1327.9784270564548</v>
      </c>
      <c r="F80" s="8">
        <f t="shared" si="28"/>
        <v>1254.857300855929</v>
      </c>
      <c r="G80" s="8">
        <f t="shared" si="28"/>
        <v>1271.7314069022041</v>
      </c>
      <c r="K80" s="1">
        <v>128</v>
      </c>
      <c r="L80" s="27" t="s">
        <v>91</v>
      </c>
      <c r="M80" s="12">
        <f t="shared" si="14"/>
        <v>100.05139178768728</v>
      </c>
      <c r="N80" s="12">
        <f t="shared" si="12"/>
        <v>80.326671482744487</v>
      </c>
      <c r="O80" s="54">
        <f t="shared" si="13"/>
        <v>110.20913256007236</v>
      </c>
      <c r="Q80" s="27" t="s">
        <v>91</v>
      </c>
      <c r="R80" s="12">
        <f t="shared" si="15"/>
        <v>91.207897003848942</v>
      </c>
      <c r="S80" s="12">
        <f t="shared" si="16"/>
        <v>78.564055420670371</v>
      </c>
      <c r="T80" s="55">
        <f t="shared" si="17"/>
        <v>68.458296254959976</v>
      </c>
      <c r="V80" s="27" t="s">
        <v>91</v>
      </c>
      <c r="W80" s="40">
        <f t="shared" si="18"/>
        <v>-151.48288613276472</v>
      </c>
      <c r="X80" s="12">
        <f t="shared" si="19"/>
        <v>12.193879275552234</v>
      </c>
      <c r="Y80" s="54">
        <f t="shared" si="20"/>
        <v>30.207906996492675</v>
      </c>
      <c r="AB80" s="27" t="s">
        <v>91</v>
      </c>
      <c r="AC80" s="40">
        <f t="shared" si="21"/>
        <v>-2378.2708408801836</v>
      </c>
      <c r="AD80" s="12">
        <f t="shared" si="22"/>
        <v>59.776405391577441</v>
      </c>
      <c r="AE80" s="12">
        <f t="shared" si="23"/>
        <v>60.637732603021483</v>
      </c>
      <c r="AH80" s="27" t="s">
        <v>91</v>
      </c>
      <c r="AI80" s="12">
        <f t="shared" si="24"/>
        <v>-19.25113341809282</v>
      </c>
      <c r="AJ80" s="12">
        <f t="shared" si="25"/>
        <v>58.464031451019281</v>
      </c>
      <c r="AK80" s="12"/>
      <c r="AN80" s="27" t="s">
        <v>91</v>
      </c>
      <c r="AO80" s="12">
        <f t="shared" si="26"/>
        <v>15.342271270760786</v>
      </c>
      <c r="AP80" s="12">
        <f t="shared" si="27"/>
        <v>49.642173812152734</v>
      </c>
      <c r="AQ80" s="12"/>
    </row>
    <row r="83" spans="1:55" x14ac:dyDescent="0.25">
      <c r="B83" s="108" t="s">
        <v>108</v>
      </c>
      <c r="C83" s="108"/>
      <c r="D83" s="108"/>
      <c r="E83" s="108"/>
      <c r="F83" s="108"/>
      <c r="G83" s="108"/>
    </row>
    <row r="84" spans="1:55" x14ac:dyDescent="0.25">
      <c r="A84" s="1" t="s">
        <v>105</v>
      </c>
      <c r="B84" s="1" t="s">
        <v>23</v>
      </c>
      <c r="C84" s="1" t="s">
        <v>22</v>
      </c>
      <c r="D84" s="1" t="s">
        <v>21</v>
      </c>
      <c r="E84" s="1" t="s">
        <v>20</v>
      </c>
      <c r="F84" s="1" t="s">
        <v>19</v>
      </c>
      <c r="G84" s="1" t="s">
        <v>18</v>
      </c>
    </row>
    <row r="85" spans="1:55" x14ac:dyDescent="0.25">
      <c r="A85" s="1" t="s">
        <v>32</v>
      </c>
      <c r="B85" s="12">
        <f t="shared" ref="B85:G87" si="29">F4*$C4</f>
        <v>1.452996263730735E-2</v>
      </c>
      <c r="C85" s="12">
        <f t="shared" si="29"/>
        <v>6.6422686341976456E-2</v>
      </c>
      <c r="D85" s="12">
        <f t="shared" si="29"/>
        <v>0.30720492433164109</v>
      </c>
      <c r="E85" s="12">
        <f t="shared" si="29"/>
        <v>0.98596175038871292</v>
      </c>
      <c r="F85" s="12">
        <f>J4*$C4</f>
        <v>3.9085599494356771</v>
      </c>
      <c r="G85" s="12">
        <f>K4*$C4</f>
        <v>12.176108690063558</v>
      </c>
    </row>
    <row r="86" spans="1:55" x14ac:dyDescent="0.25">
      <c r="A86" s="1" t="s">
        <v>33</v>
      </c>
      <c r="B86" s="12">
        <f t="shared" si="29"/>
        <v>0</v>
      </c>
      <c r="C86" s="12">
        <f t="shared" si="29"/>
        <v>5.2030792554998281E-4</v>
      </c>
      <c r="D86" s="12">
        <f t="shared" si="29"/>
        <v>2.9484115781165691E-3</v>
      </c>
      <c r="E86" s="12">
        <f t="shared" si="29"/>
        <v>3.8329350515515399E-2</v>
      </c>
      <c r="F86" s="12">
        <f t="shared" si="29"/>
        <v>0.51423766641856639</v>
      </c>
      <c r="G86" s="12">
        <f t="shared" si="29"/>
        <v>2.5836757223060309</v>
      </c>
    </row>
    <row r="87" spans="1:55" x14ac:dyDescent="0.25">
      <c r="A87" s="1" t="s">
        <v>34</v>
      </c>
      <c r="B87" s="12">
        <f t="shared" si="29"/>
        <v>2.5490870917336435E-3</v>
      </c>
      <c r="C87" s="12">
        <f t="shared" si="29"/>
        <v>4.4609024105338761E-3</v>
      </c>
      <c r="D87" s="12">
        <f t="shared" si="29"/>
        <v>2.7402686236136665E-2</v>
      </c>
      <c r="E87" s="12">
        <f t="shared" si="29"/>
        <v>0.20711332620335851</v>
      </c>
      <c r="F87" s="12">
        <f t="shared" si="29"/>
        <v>3.018756388385567</v>
      </c>
      <c r="G87" s="12">
        <f t="shared" si="29"/>
        <v>13.471925279812304</v>
      </c>
    </row>
    <row r="88" spans="1:55" x14ac:dyDescent="0.25">
      <c r="A88" s="1" t="s">
        <v>89</v>
      </c>
      <c r="B88" s="12">
        <f t="shared" ref="B88:G88" si="30">F10*$C10</f>
        <v>0</v>
      </c>
      <c r="C88" s="12">
        <f t="shared" si="30"/>
        <v>4.9684543027859662E-3</v>
      </c>
      <c r="D88" s="12">
        <f t="shared" si="30"/>
        <v>8.9883855114037042E-2</v>
      </c>
      <c r="E88" s="12">
        <f t="shared" si="30"/>
        <v>1.1865572230380668</v>
      </c>
      <c r="F88" s="12">
        <f>J10*$C10</f>
        <v>5.3532836724199342</v>
      </c>
      <c r="G88" s="12">
        <f t="shared" si="30"/>
        <v>6.8289146003473666</v>
      </c>
    </row>
    <row r="89" spans="1:55" x14ac:dyDescent="0.25">
      <c r="A89" s="1" t="s">
        <v>90</v>
      </c>
      <c r="B89" s="12">
        <f t="shared" ref="B89:G90" si="31">F11*$C11</f>
        <v>0</v>
      </c>
      <c r="C89" s="12">
        <f t="shared" si="31"/>
        <v>1.12982134835938E-3</v>
      </c>
      <c r="D89" s="12">
        <f t="shared" si="31"/>
        <v>6.6094548879023732E-2</v>
      </c>
      <c r="E89" s="12">
        <f t="shared" si="31"/>
        <v>2.7878341770767703</v>
      </c>
      <c r="F89" s="12">
        <f t="shared" si="31"/>
        <v>5.81236592663483</v>
      </c>
      <c r="G89" s="12">
        <f t="shared" si="31"/>
        <v>5.9812742182145584</v>
      </c>
    </row>
    <row r="90" spans="1:55" x14ac:dyDescent="0.25">
      <c r="A90" s="1" t="s">
        <v>91</v>
      </c>
      <c r="B90" s="12">
        <f t="shared" si="31"/>
        <v>4.0495972436073004E-3</v>
      </c>
      <c r="C90" s="12">
        <f t="shared" si="31"/>
        <v>0.25512462634725991</v>
      </c>
      <c r="D90" s="12">
        <f t="shared" si="31"/>
        <v>4.1609611678065006</v>
      </c>
      <c r="E90" s="12">
        <f t="shared" si="31"/>
        <v>19.600050659059335</v>
      </c>
      <c r="F90" s="12">
        <f t="shared" si="31"/>
        <v>18.520832993637985</v>
      </c>
      <c r="G90" s="12">
        <f t="shared" si="31"/>
        <v>18.769883224119837</v>
      </c>
      <c r="AX90" s="108"/>
      <c r="AY90" s="108"/>
      <c r="AZ90" s="108"/>
      <c r="BA90" s="108"/>
      <c r="BB90" s="108"/>
      <c r="BC90" s="108"/>
    </row>
    <row r="91" spans="1:55" x14ac:dyDescent="0.25">
      <c r="AW91" s="1"/>
      <c r="AX91" s="1"/>
      <c r="AY91" s="1"/>
      <c r="AZ91" s="1"/>
      <c r="BA91" s="1"/>
      <c r="BB91" s="1"/>
      <c r="BC91" s="1"/>
    </row>
    <row r="92" spans="1:55" x14ac:dyDescent="0.25">
      <c r="B92" s="109" t="s">
        <v>111</v>
      </c>
      <c r="C92" s="109"/>
      <c r="D92" s="109"/>
      <c r="E92" s="109"/>
      <c r="F92" s="109"/>
      <c r="G92" s="109"/>
      <c r="AW92" s="1"/>
      <c r="AX92" s="48"/>
      <c r="AY92" s="48"/>
      <c r="AZ92" s="48"/>
      <c r="BA92" s="48"/>
      <c r="BB92" s="48"/>
      <c r="BC92" s="48"/>
    </row>
    <row r="93" spans="1:55" x14ac:dyDescent="0.25">
      <c r="A93" s="1" t="s">
        <v>105</v>
      </c>
      <c r="B93" s="1" t="s">
        <v>23</v>
      </c>
      <c r="C93" s="1" t="s">
        <v>22</v>
      </c>
      <c r="D93" s="1" t="s">
        <v>21</v>
      </c>
      <c r="E93" s="1" t="s">
        <v>20</v>
      </c>
      <c r="F93" s="1" t="s">
        <v>19</v>
      </c>
      <c r="G93" s="1" t="s">
        <v>18</v>
      </c>
      <c r="AW93" s="1"/>
      <c r="AX93" s="48"/>
      <c r="AY93" s="48"/>
      <c r="AZ93" s="48"/>
      <c r="BA93" s="48"/>
      <c r="BB93" s="48"/>
      <c r="BC93" s="48"/>
    </row>
    <row r="94" spans="1:55" x14ac:dyDescent="0.25">
      <c r="A94" s="1" t="s">
        <v>32</v>
      </c>
      <c r="B94" s="12"/>
      <c r="C94" s="12"/>
      <c r="D94" s="12"/>
      <c r="E94" s="12"/>
      <c r="F94" s="12">
        <v>3.9085599494356771</v>
      </c>
      <c r="G94" s="12"/>
      <c r="AW94" s="1"/>
      <c r="AX94" s="48"/>
      <c r="AY94" s="48"/>
      <c r="AZ94" s="48"/>
      <c r="BA94" s="48"/>
      <c r="BB94" s="48"/>
      <c r="BC94" s="48"/>
    </row>
    <row r="95" spans="1:55" x14ac:dyDescent="0.25">
      <c r="A95" s="1" t="s">
        <v>33</v>
      </c>
      <c r="B95" s="12"/>
      <c r="C95" s="12"/>
      <c r="D95" s="12"/>
      <c r="E95" s="12"/>
      <c r="F95" s="12">
        <v>0.51423766641856639</v>
      </c>
      <c r="G95" s="12"/>
      <c r="M95" s="21" t="s">
        <v>45</v>
      </c>
      <c r="N95" s="1" t="s">
        <v>75</v>
      </c>
      <c r="R95" s="21" t="s">
        <v>45</v>
      </c>
      <c r="S95" s="1" t="s">
        <v>76</v>
      </c>
      <c r="W95" s="21" t="s">
        <v>45</v>
      </c>
      <c r="X95" s="1" t="s">
        <v>77</v>
      </c>
      <c r="AC95" s="21" t="s">
        <v>45</v>
      </c>
      <c r="AD95" s="1" t="s">
        <v>78</v>
      </c>
      <c r="AI95" s="21" t="s">
        <v>45</v>
      </c>
      <c r="AJ95" s="1" t="s">
        <v>79</v>
      </c>
      <c r="AO95" s="21" t="s">
        <v>45</v>
      </c>
      <c r="AP95" s="1" t="s">
        <v>78</v>
      </c>
      <c r="AW95" s="1"/>
      <c r="AX95" s="48"/>
      <c r="AY95" s="48"/>
      <c r="AZ95" s="48"/>
      <c r="BA95" s="48"/>
      <c r="BB95" s="48"/>
      <c r="BC95" s="48"/>
    </row>
    <row r="96" spans="1:55" x14ac:dyDescent="0.25">
      <c r="A96" s="1" t="s">
        <v>34</v>
      </c>
      <c r="B96" s="12"/>
      <c r="C96" s="12"/>
      <c r="D96" s="12"/>
      <c r="E96" s="12"/>
      <c r="F96" s="12">
        <v>3.018756388385567</v>
      </c>
      <c r="G96" s="12"/>
      <c r="M96" s="22">
        <v>1</v>
      </c>
      <c r="N96" s="15" cm="1">
        <f t="array" ref="N96">SQRT(SUMSQ($K75:$K80-M75:M80)/COUNTA($K75:$K80-M75:M80))</f>
        <v>32.212605011104806</v>
      </c>
      <c r="R96" s="22">
        <v>1</v>
      </c>
      <c r="S96" s="15" cm="1">
        <f t="array" ref="S96">SQRT(SUMSQ($K75:$K80-R75:R80)/COUNTA($K75:$K80-R75:R80))</f>
        <v>68.443321631869111</v>
      </c>
      <c r="W96" s="22">
        <v>1</v>
      </c>
      <c r="X96" s="15" cm="1">
        <f t="array" ref="X96">SQRT(SUMSQ($K75:$K80-W75:W80)/COUNTA($K75:$K80-W75:W80))</f>
        <v>282.30921857239753</v>
      </c>
      <c r="AC96" s="22">
        <v>1</v>
      </c>
      <c r="AD96" s="15" cm="1">
        <f t="array" ref="AD96">SQRT(SUMSQ($K75:$K80-AC75:AC80)/COUNTA($K75:$K80-AC75:AC80))</f>
        <v>1804.9702389670795</v>
      </c>
      <c r="AI96" s="22">
        <v>1</v>
      </c>
      <c r="AJ96" s="15" cm="1">
        <f t="array" ref="AJ96">SQRT(SUMSQ($K75:$K80-AI75:AI80)/COUNTA($K75:$K80-AI75:AI80))</f>
        <v>197.59258727266268</v>
      </c>
      <c r="AO96" s="22">
        <v>1</v>
      </c>
      <c r="AP96" s="15" cm="1">
        <f t="array" ref="AP96">SQRT(SUMSQ($K75:$K80-AO75:AO80)/COUNTA($K75:$K80-AO75:AO80))</f>
        <v>80.905893901899006</v>
      </c>
      <c r="AW96" s="1"/>
      <c r="AX96" s="48"/>
      <c r="AY96" s="48"/>
      <c r="AZ96" s="48"/>
      <c r="BA96" s="48"/>
      <c r="BB96" s="48"/>
      <c r="BC96" s="48"/>
    </row>
    <row r="97" spans="1:43" x14ac:dyDescent="0.25">
      <c r="A97" s="1" t="s">
        <v>89</v>
      </c>
      <c r="B97" s="12"/>
      <c r="C97" s="12"/>
      <c r="D97" s="12"/>
      <c r="E97" s="12"/>
      <c r="F97" s="12">
        <v>4.8252724833329532</v>
      </c>
      <c r="G97" s="12"/>
      <c r="M97" s="23">
        <v>2</v>
      </c>
      <c r="N97" s="17" cm="1">
        <f t="array" ref="N97">SQRT(SUMSQ($K75:$K80-N75:N80)/COUNTA($K75:$K80-N75:N80))</f>
        <v>35.081005308908495</v>
      </c>
      <c r="O97" t="s">
        <v>47</v>
      </c>
      <c r="R97" s="23">
        <v>2</v>
      </c>
      <c r="S97" s="17" cm="1">
        <f t="array" ref="S97">SQRT(SUMSQ($K75:$K80-S75:S80)/COUNTA($K75:$K80-S75:S80))</f>
        <v>53.64006417873874</v>
      </c>
      <c r="T97" t="s">
        <v>47</v>
      </c>
      <c r="W97" s="23">
        <v>2</v>
      </c>
      <c r="X97" s="17" cm="1">
        <f t="array" ref="X97">SQRT(SUMSQ($K75:$K80-X75:X80)/COUNTA($K75:$K80-X75:X80))</f>
        <v>87.783602343708864</v>
      </c>
      <c r="Y97" t="s">
        <v>47</v>
      </c>
      <c r="AC97" s="23">
        <v>2</v>
      </c>
      <c r="AD97" s="17" cm="1">
        <f t="array" ref="AD97">SQRT(SUMSQ($K75:$K80-AD75:AD80/COUNTA($K75:$K80-AD75:AD80)))</f>
        <v>211.05324097488057</v>
      </c>
      <c r="AE97" t="s">
        <v>47</v>
      </c>
      <c r="AI97" s="23">
        <v>2</v>
      </c>
      <c r="AJ97" s="17" cm="1">
        <f t="array" ref="AJ97">SQRT(SUMSQ($K75:$K80-AJ75:AJ80/COUNTA($K75:$K80-AJ75:AJ80)))</f>
        <v>213.20892554030422</v>
      </c>
      <c r="AK97" t="s">
        <v>47</v>
      </c>
      <c r="AO97" s="23">
        <v>2</v>
      </c>
      <c r="AP97" s="17" cm="1">
        <f t="array" ref="AP97">SQRT(SUMSQ($K75:$K80-AP75:AP80/COUNTA($K75:$K80-AP75:AP80)))</f>
        <v>215.51870998731584</v>
      </c>
      <c r="AQ97" t="s">
        <v>47</v>
      </c>
    </row>
    <row r="98" spans="1:43" x14ac:dyDescent="0.25">
      <c r="A98" s="1" t="s">
        <v>90</v>
      </c>
      <c r="B98" s="12"/>
      <c r="C98" s="12"/>
      <c r="D98" s="12"/>
      <c r="E98" s="12"/>
      <c r="F98" s="12">
        <v>4.2532124658988861</v>
      </c>
      <c r="G98" s="12"/>
      <c r="M98" s="24">
        <v>3</v>
      </c>
      <c r="N98" s="13" cm="1">
        <f t="array" ref="N98">SQRT(SUMSQ($K75:$K80-O75:O80)/COUNTA($K75:$K80-O75:O80))</f>
        <v>38.552112032336268</v>
      </c>
      <c r="O98" t="s">
        <v>48</v>
      </c>
      <c r="R98" s="24">
        <v>3</v>
      </c>
      <c r="S98" s="13" cm="1">
        <f t="array" ref="S98">SQRT(SUMSQ($K75:$K80-T75:T80)/COUNTA($K75:$K80-T75:T80))</f>
        <v>57.981996629069513</v>
      </c>
      <c r="T98" t="s">
        <v>48</v>
      </c>
      <c r="W98" s="24">
        <v>3</v>
      </c>
      <c r="X98" s="13" cm="1">
        <f t="array" ref="X98">SQRT(SUMSQ($K75:$K80-Y75:Y80)/COUNTA($K75:$K80-Y75:Y80))</f>
        <v>85.773339187142255</v>
      </c>
      <c r="Y98" t="s">
        <v>48</v>
      </c>
      <c r="AC98" s="24">
        <v>3</v>
      </c>
      <c r="AD98" s="13" cm="1">
        <f t="array" ref="AD98">SQRT(SUMSQ($K75:$K80-AE75:AE80)/COUNTA($K75:$K80-AE75:AE80))</f>
        <v>51.879492676349699</v>
      </c>
      <c r="AE98" t="s">
        <v>48</v>
      </c>
      <c r="AI98" s="24">
        <v>3</v>
      </c>
      <c r="AJ98" s="13"/>
      <c r="AK98" t="s">
        <v>48</v>
      </c>
      <c r="AO98" s="24">
        <v>3</v>
      </c>
      <c r="AP98" s="13"/>
      <c r="AQ98" t="s">
        <v>48</v>
      </c>
    </row>
    <row r="99" spans="1:43" x14ac:dyDescent="0.25">
      <c r="A99" s="1" t="s">
        <v>91</v>
      </c>
      <c r="B99" s="12"/>
      <c r="C99" s="12"/>
      <c r="D99" s="12"/>
      <c r="E99" s="12"/>
      <c r="F99" s="12">
        <v>11.842068106913624</v>
      </c>
      <c r="G99" s="12"/>
    </row>
    <row r="126" spans="11:43" x14ac:dyDescent="0.25">
      <c r="L126" s="108" t="s">
        <v>109</v>
      </c>
      <c r="M126" s="108"/>
      <c r="N126" s="108"/>
      <c r="O126" s="108"/>
      <c r="Q126" s="108" t="s">
        <v>112</v>
      </c>
      <c r="R126" s="108"/>
      <c r="S126" s="108"/>
      <c r="T126" s="108"/>
      <c r="V126" s="108" t="s">
        <v>109</v>
      </c>
      <c r="W126" s="108"/>
      <c r="X126" s="108"/>
      <c r="Y126" s="108"/>
      <c r="AB126" s="108" t="s">
        <v>109</v>
      </c>
      <c r="AC126" s="108"/>
      <c r="AD126" s="108"/>
      <c r="AE126" s="108"/>
      <c r="AH126" s="108" t="s">
        <v>109</v>
      </c>
      <c r="AI126" s="108"/>
      <c r="AJ126" s="108"/>
      <c r="AK126" s="108"/>
      <c r="AN126" s="108" t="s">
        <v>109</v>
      </c>
      <c r="AO126" s="108"/>
      <c r="AP126" s="108"/>
      <c r="AQ126" s="108"/>
    </row>
    <row r="127" spans="11:43" ht="45" x14ac:dyDescent="0.25">
      <c r="K127" s="11" t="s">
        <v>40</v>
      </c>
      <c r="L127" s="31" t="s">
        <v>68</v>
      </c>
      <c r="M127" s="19" t="s">
        <v>114</v>
      </c>
      <c r="N127" s="19" t="s">
        <v>115</v>
      </c>
      <c r="O127" s="19" t="s">
        <v>116</v>
      </c>
      <c r="Q127" s="31" t="s">
        <v>69</v>
      </c>
      <c r="R127" s="19" t="s">
        <v>114</v>
      </c>
      <c r="S127" s="19" t="s">
        <v>115</v>
      </c>
      <c r="T127" s="19" t="s">
        <v>116</v>
      </c>
      <c r="U127" s="19" t="s">
        <v>113</v>
      </c>
      <c r="V127" s="31" t="s">
        <v>71</v>
      </c>
      <c r="W127" s="19" t="s">
        <v>114</v>
      </c>
      <c r="X127" s="19" t="s">
        <v>115</v>
      </c>
      <c r="Y127" s="19" t="s">
        <v>116</v>
      </c>
      <c r="AB127" s="31" t="s">
        <v>72</v>
      </c>
      <c r="AC127" s="19" t="s">
        <v>114</v>
      </c>
      <c r="AD127" s="19" t="s">
        <v>115</v>
      </c>
      <c r="AE127" s="19" t="s">
        <v>116</v>
      </c>
      <c r="AH127" s="31" t="s">
        <v>73</v>
      </c>
      <c r="AI127" s="19" t="s">
        <v>114</v>
      </c>
      <c r="AJ127" s="19" t="s">
        <v>115</v>
      </c>
      <c r="AK127" s="19" t="s">
        <v>116</v>
      </c>
      <c r="AN127" s="31" t="s">
        <v>74</v>
      </c>
      <c r="AO127" s="19" t="s">
        <v>114</v>
      </c>
      <c r="AP127" s="19" t="s">
        <v>115</v>
      </c>
      <c r="AQ127" s="19" t="s">
        <v>116</v>
      </c>
    </row>
    <row r="128" spans="11:43" x14ac:dyDescent="0.25">
      <c r="K128" s="1">
        <v>90</v>
      </c>
      <c r="L128" s="27" t="s">
        <v>32</v>
      </c>
      <c r="M128" s="12">
        <f>(G85+0.2797)/0.1308</f>
        <v>95.227895183972151</v>
      </c>
      <c r="N128" s="12">
        <f>3.9718*G85+30.546</f>
        <v>78.907068495194437</v>
      </c>
      <c r="O128" s="54">
        <f>19.313*G85^0.5814</f>
        <v>82.59702247449286</v>
      </c>
      <c r="Q128" s="27" t="s">
        <v>32</v>
      </c>
      <c r="R128" s="12">
        <f>(F85+0.4849)/0.0584</f>
        <v>75.230478586227335</v>
      </c>
      <c r="S128" s="12">
        <f>10.01*F85+30.323</f>
        <v>69.447685093851135</v>
      </c>
      <c r="T128" s="55">
        <f>37.141*F85^0.4897</f>
        <v>72.404274907409402</v>
      </c>
      <c r="U128" s="9">
        <f>37.141*F94^0.4897</f>
        <v>72.404274907409402</v>
      </c>
      <c r="V128" s="27" t="s">
        <v>32</v>
      </c>
      <c r="W128" s="12">
        <f t="shared" ref="W128:W133" si="32">(E85+0.6363)/0.0265</f>
        <v>61.217424542970299</v>
      </c>
      <c r="X128" s="12">
        <f t="shared" ref="X128:X133" si="33">25.558*E85+36.111</f>
        <v>61.310210416434721</v>
      </c>
      <c r="Y128" s="55">
        <f>69.284*E85^0.3338</f>
        <v>68.957807295619332</v>
      </c>
      <c r="AB128" s="27" t="s">
        <v>32</v>
      </c>
      <c r="AC128" s="12">
        <f t="shared" ref="AC128:AC133" si="34">(0.2678+D85)/0.0101</f>
        <v>56.931180626895156</v>
      </c>
      <c r="AD128" s="12">
        <f>66.181*D85+38.036</f>
        <v>58.36712909719234</v>
      </c>
      <c r="AE128" s="12">
        <f>90.603*D85^0.2478</f>
        <v>67.628114502869821</v>
      </c>
      <c r="AH128" s="27" t="s">
        <v>32</v>
      </c>
      <c r="AI128" s="12">
        <f>(C85+0.0586)/0.0026</f>
        <v>48.085648593067866</v>
      </c>
      <c r="AJ128" s="12">
        <f>176.58*C85+43.872</f>
        <v>55.600917954266201</v>
      </c>
      <c r="AK128" s="12"/>
      <c r="AN128" s="27" t="s">
        <v>32</v>
      </c>
      <c r="AO128" s="12">
        <f>(B85+0.0224)/0.0007</f>
        <v>52.757089481867645</v>
      </c>
      <c r="AP128" s="12">
        <f>613.15*B85+47.755</f>
        <v>56.664046591065002</v>
      </c>
      <c r="AQ128" s="12"/>
    </row>
    <row r="129" spans="11:43" x14ac:dyDescent="0.25">
      <c r="K129" s="1">
        <v>45</v>
      </c>
      <c r="L129" s="27" t="s">
        <v>33</v>
      </c>
      <c r="M129" s="12">
        <f>(G86+0.2797)/0.1308</f>
        <v>21.891251699587393</v>
      </c>
      <c r="N129" s="12">
        <f>3.9718*G86+30.546</f>
        <v>40.807843233855095</v>
      </c>
      <c r="O129" s="54">
        <f>19.313*G86^0.5814</f>
        <v>33.537054468443031</v>
      </c>
      <c r="Q129" s="27" t="s">
        <v>33</v>
      </c>
      <c r="R129" s="12">
        <f>(F86+0.4849)/0.0584</f>
        <v>17.108521685249425</v>
      </c>
      <c r="S129" s="12">
        <f>10.01*F86+30.323</f>
        <v>35.470519040849851</v>
      </c>
      <c r="T129" s="55">
        <f>37.141*F86^0.4897</f>
        <v>26.817021909960893</v>
      </c>
      <c r="U129" s="9">
        <f t="shared" ref="U129:U133" si="35">37.141*F95^0.4897</f>
        <v>26.817021909960893</v>
      </c>
      <c r="V129" s="27" t="s">
        <v>33</v>
      </c>
      <c r="W129" s="12">
        <f t="shared" si="32"/>
        <v>25.457711340208132</v>
      </c>
      <c r="X129" s="12">
        <f t="shared" si="33"/>
        <v>37.090621540475539</v>
      </c>
      <c r="Y129" s="55">
        <f>69.284*E86^0.3338</f>
        <v>23.324683235913156</v>
      </c>
      <c r="AB129" s="27" t="s">
        <v>33</v>
      </c>
      <c r="AC129" s="12">
        <f t="shared" si="34"/>
        <v>26.806773423575901</v>
      </c>
      <c r="AD129" s="12">
        <f>66.181*D86+38.036</f>
        <v>38.231128826651336</v>
      </c>
      <c r="AE129" s="12">
        <f>90.603*D86^0.2478</f>
        <v>21.384864913798921</v>
      </c>
      <c r="AH129" s="27" t="s">
        <v>33</v>
      </c>
      <c r="AI129" s="12">
        <f>(C86+0.0586)/0.0026</f>
        <v>22.738579971365379</v>
      </c>
      <c r="AJ129" s="12">
        <f>176.58*C86+43.872</f>
        <v>43.963875973493614</v>
      </c>
      <c r="AK129" s="12"/>
      <c r="AN129" s="27" t="s">
        <v>33</v>
      </c>
      <c r="AO129" s="12">
        <f>(B86+0.0224)/0.0007</f>
        <v>32</v>
      </c>
      <c r="AP129" s="12">
        <f>613.15*B86+47.755</f>
        <v>47.755000000000003</v>
      </c>
      <c r="AQ129" s="12"/>
    </row>
    <row r="130" spans="11:43" x14ac:dyDescent="0.25">
      <c r="K130" s="1">
        <v>90</v>
      </c>
      <c r="L130" s="27" t="s">
        <v>34</v>
      </c>
      <c r="M130" s="12">
        <f>(G87+0.2797)/0.1308</f>
        <v>105.13474984565981</v>
      </c>
      <c r="N130" s="12">
        <f>3.9718*G87+30.546</f>
        <v>84.053792826358517</v>
      </c>
      <c r="O130" s="54">
        <f>19.313*G87^0.5814</f>
        <v>87.599201607786554</v>
      </c>
      <c r="Q130" s="27" t="s">
        <v>34</v>
      </c>
      <c r="R130" s="12">
        <f>(F87+0.4849)/0.0584</f>
        <v>59.994116239478892</v>
      </c>
      <c r="S130" s="12">
        <f>10.01*F87+30.323</f>
        <v>60.540751447739524</v>
      </c>
      <c r="T130" s="55">
        <f>37.141*F87^0.4897</f>
        <v>63.800693168592431</v>
      </c>
      <c r="U130" s="9">
        <f t="shared" si="35"/>
        <v>63.800693168592431</v>
      </c>
      <c r="V130" s="27" t="s">
        <v>34</v>
      </c>
      <c r="W130" s="12">
        <f t="shared" si="32"/>
        <v>31.826917969938059</v>
      </c>
      <c r="X130" s="12">
        <f t="shared" si="33"/>
        <v>41.404402391105435</v>
      </c>
      <c r="Y130" s="55">
        <f>69.284*E87^0.3338</f>
        <v>40.962192851694532</v>
      </c>
      <c r="AB130" s="27" t="s">
        <v>34</v>
      </c>
      <c r="AC130" s="12">
        <f t="shared" si="34"/>
        <v>29.227988736251156</v>
      </c>
      <c r="AD130" s="12">
        <f>66.181*D87+38.036</f>
        <v>39.849537177793763</v>
      </c>
      <c r="AE130" s="12">
        <f>90.603*D87^0.2478</f>
        <v>37.155894206812931</v>
      </c>
      <c r="AH130" s="27" t="s">
        <v>34</v>
      </c>
      <c r="AI130" s="12">
        <f>(C87+0.0586)/0.0026</f>
        <v>24.254193234820722</v>
      </c>
      <c r="AJ130" s="12">
        <f>176.58*C87+43.872</f>
        <v>44.659706147652074</v>
      </c>
      <c r="AK130" s="12"/>
      <c r="AN130" s="27" t="s">
        <v>34</v>
      </c>
      <c r="AO130" s="12">
        <f>(B87+0.0224)/0.0007</f>
        <v>35.641552988190917</v>
      </c>
      <c r="AP130" s="12">
        <f>613.15*B87+47.755</f>
        <v>49.317972750296484</v>
      </c>
      <c r="AQ130" s="12"/>
    </row>
    <row r="131" spans="11:43" x14ac:dyDescent="0.25">
      <c r="K131" s="1">
        <v>128</v>
      </c>
      <c r="L131" s="27" t="s">
        <v>89</v>
      </c>
      <c r="M131" s="12">
        <f>(G88+0.2797)/0.1308</f>
        <v>54.347206424674056</v>
      </c>
      <c r="N131" s="12">
        <f>3.9718*G88+30.546</f>
        <v>57.669083009659673</v>
      </c>
      <c r="O131" s="54">
        <f>19.313*G88^0.5814</f>
        <v>59.012200349879429</v>
      </c>
      <c r="Q131" s="27" t="s">
        <v>89</v>
      </c>
      <c r="R131" s="12">
        <f>(F88+0.4849)/0.0584</f>
        <v>99.968898500341339</v>
      </c>
      <c r="S131" s="12">
        <f>10.01*F88+30.323</f>
        <v>83.909369560923551</v>
      </c>
      <c r="T131" s="55">
        <f>37.141*F88^0.4897</f>
        <v>84.461527753027383</v>
      </c>
      <c r="U131" s="9">
        <f t="shared" si="35"/>
        <v>80.273877098790663</v>
      </c>
      <c r="V131" s="27" t="s">
        <v>89</v>
      </c>
      <c r="W131" s="12">
        <f t="shared" si="32"/>
        <v>68.787065020304397</v>
      </c>
      <c r="X131" s="12">
        <f t="shared" si="33"/>
        <v>66.437029506406901</v>
      </c>
      <c r="Y131" s="55">
        <f>69.284*E88^0.3338</f>
        <v>73.355134355888808</v>
      </c>
      <c r="AB131" s="27" t="s">
        <v>89</v>
      </c>
      <c r="AC131" s="12">
        <f t="shared" si="34"/>
        <v>35.414243080597721</v>
      </c>
      <c r="AD131" s="12">
        <f>66.181*D88+38.036</f>
        <v>43.98460341530209</v>
      </c>
      <c r="AE131" s="12">
        <f>90.603*D88^0.2478</f>
        <v>49.872932023099864</v>
      </c>
      <c r="AH131" s="27" t="s">
        <v>89</v>
      </c>
      <c r="AI131" s="12">
        <f>(C88+0.0586)/0.0026</f>
        <v>24.449405501071524</v>
      </c>
      <c r="AJ131" s="12">
        <f>176.58*C88+43.872</f>
        <v>44.749329660785946</v>
      </c>
      <c r="AK131" s="12"/>
      <c r="AN131" s="27" t="s">
        <v>89</v>
      </c>
      <c r="AO131" s="12">
        <f>(B88+0.0224)/0.0007</f>
        <v>32</v>
      </c>
      <c r="AP131" s="12">
        <f>613.15*B88+47.755</f>
        <v>47.755000000000003</v>
      </c>
      <c r="AQ131" s="12"/>
    </row>
    <row r="132" spans="11:43" x14ac:dyDescent="0.25">
      <c r="K132" s="1">
        <v>64</v>
      </c>
      <c r="L132" s="27" t="s">
        <v>90</v>
      </c>
      <c r="M132" s="12">
        <f>(G89+0.2797)/0.1308</f>
        <v>47.866775368612835</v>
      </c>
      <c r="N132" s="12">
        <f>3.9718*G89+30.546</f>
        <v>54.302424939904583</v>
      </c>
      <c r="O132" s="54">
        <f>19.313*G89^0.5814</f>
        <v>54.635837614422663</v>
      </c>
      <c r="Q132" s="27" t="s">
        <v>90</v>
      </c>
      <c r="R132" s="12">
        <f>(F89+0.4849)/0.0584</f>
        <v>107.82989600402105</v>
      </c>
      <c r="S132" s="12">
        <f>10.01*F89+30.323</f>
        <v>88.504782925614649</v>
      </c>
      <c r="T132" s="55">
        <f>37.141*F89^0.4897</f>
        <v>87.934081462076819</v>
      </c>
      <c r="U132" s="9">
        <f t="shared" si="35"/>
        <v>75.463396074733694</v>
      </c>
      <c r="V132" s="27" t="s">
        <v>90</v>
      </c>
      <c r="W132" s="12">
        <f t="shared" si="32"/>
        <v>129.21261045572717</v>
      </c>
      <c r="X132" s="12">
        <f t="shared" si="33"/>
        <v>107.3624658977281</v>
      </c>
      <c r="Y132" s="55">
        <f>69.284*E89^0.3338</f>
        <v>97.558037849240151</v>
      </c>
      <c r="AB132" s="27" t="s">
        <v>90</v>
      </c>
      <c r="AC132" s="12">
        <f t="shared" si="34"/>
        <v>33.058866225645914</v>
      </c>
      <c r="AD132" s="12">
        <f>66.181*D89+38.036</f>
        <v>42.410203339362667</v>
      </c>
      <c r="AE132" s="12">
        <f>90.603*D89^0.2478</f>
        <v>46.214645317182772</v>
      </c>
      <c r="AH132" s="27" t="s">
        <v>90</v>
      </c>
      <c r="AI132" s="12">
        <f>(C89+0.0586)/0.0026</f>
        <v>22.973008210907455</v>
      </c>
      <c r="AJ132" s="12">
        <f>176.58*C89+43.872</f>
        <v>44.071503853693301</v>
      </c>
      <c r="AK132" s="12"/>
      <c r="AN132" s="27" t="s">
        <v>90</v>
      </c>
      <c r="AO132" s="12">
        <f>(B89+0.0224)/0.0007</f>
        <v>32</v>
      </c>
      <c r="AP132" s="12">
        <f>613.15*B89+47.755</f>
        <v>47.755000000000003</v>
      </c>
      <c r="AQ132" s="12"/>
    </row>
    <row r="133" spans="11:43" x14ac:dyDescent="0.25">
      <c r="K133" s="1">
        <v>128</v>
      </c>
      <c r="L133" s="27" t="s">
        <v>91</v>
      </c>
      <c r="M133" s="12">
        <f t="shared" ref="M133" si="36">(G90+0.2797)/0.1308</f>
        <v>145.6390154749223</v>
      </c>
      <c r="N133" s="12">
        <f t="shared" ref="N133" si="37">3.9718*G90+30.546</f>
        <v>105.09622218955917</v>
      </c>
      <c r="O133" s="54">
        <f t="shared" ref="O133" si="38">19.313*G90^0.5814</f>
        <v>106.2283162144093</v>
      </c>
      <c r="Q133" s="27" t="s">
        <v>91</v>
      </c>
      <c r="R133" s="12">
        <f t="shared" ref="R133" si="39">(F90+0.4849)/0.0584</f>
        <v>325.44063345270519</v>
      </c>
      <c r="S133" s="12">
        <f t="shared" ref="S133" si="40">10.01*F90+30.323</f>
        <v>215.71653826631623</v>
      </c>
      <c r="T133" s="55">
        <f t="shared" ref="T133" si="41">37.141*F90^0.4897</f>
        <v>155.10541040664523</v>
      </c>
      <c r="U133" s="9">
        <f t="shared" si="35"/>
        <v>124.59799853071195</v>
      </c>
      <c r="V133" s="27" t="s">
        <v>91</v>
      </c>
      <c r="W133" s="12">
        <f t="shared" si="32"/>
        <v>763.63587392676732</v>
      </c>
      <c r="X133" s="12">
        <f t="shared" si="33"/>
        <v>537.04909474423846</v>
      </c>
      <c r="Y133" s="55">
        <f t="shared" ref="Y133" si="42">69.284*E90^0.3338</f>
        <v>187.0632193798823</v>
      </c>
      <c r="AB133" s="27" t="s">
        <v>91</v>
      </c>
      <c r="AC133" s="12">
        <f t="shared" si="34"/>
        <v>438.49120473331692</v>
      </c>
      <c r="AD133" s="12">
        <f t="shared" ref="AD133" si="43">66.181*D90+38.036</f>
        <v>313.41257104660201</v>
      </c>
      <c r="AE133" s="12">
        <f t="shared" ref="AE133" si="44">90.603*D90^0.2478</f>
        <v>128.99674971720674</v>
      </c>
      <c r="AH133" s="27" t="s">
        <v>91</v>
      </c>
      <c r="AI133" s="12">
        <f t="shared" ref="AI133" si="45">(C90+0.0586)/0.0026</f>
        <v>120.6633178258692</v>
      </c>
      <c r="AJ133" s="12">
        <f t="shared" ref="AJ133" si="46">176.58*C90+43.872</f>
        <v>88.921906520399148</v>
      </c>
      <c r="AK133" s="12"/>
      <c r="AN133" s="27" t="s">
        <v>91</v>
      </c>
      <c r="AO133" s="12">
        <f t="shared" ref="AO133" si="47">(B90+0.0224)/0.0007</f>
        <v>37.785138919438999</v>
      </c>
      <c r="AP133" s="12">
        <f t="shared" ref="AP133" si="48">613.15*B90+47.755</f>
        <v>50.238010549917817</v>
      </c>
      <c r="AQ133" s="12"/>
    </row>
    <row r="152" spans="13:43" x14ac:dyDescent="0.25">
      <c r="M152" s="21" t="s">
        <v>45</v>
      </c>
      <c r="N152" s="1" t="s">
        <v>75</v>
      </c>
      <c r="R152" s="21" t="s">
        <v>45</v>
      </c>
      <c r="S152" s="1" t="s">
        <v>76</v>
      </c>
      <c r="W152" s="21" t="s">
        <v>45</v>
      </c>
      <c r="X152" s="1" t="s">
        <v>77</v>
      </c>
      <c r="AC152" s="21" t="s">
        <v>45</v>
      </c>
      <c r="AD152" s="1" t="s">
        <v>78</v>
      </c>
      <c r="AI152" s="21" t="s">
        <v>45</v>
      </c>
      <c r="AJ152" s="1" t="s">
        <v>79</v>
      </c>
      <c r="AO152" s="21" t="s">
        <v>45</v>
      </c>
      <c r="AP152" s="1" t="s">
        <v>79</v>
      </c>
    </row>
    <row r="153" spans="13:43" x14ac:dyDescent="0.25">
      <c r="M153" s="22">
        <v>1</v>
      </c>
      <c r="N153" s="15" cm="1">
        <f t="array" ref="N153">SQRT(SUMSQ($K128:$K133-M128:M133)/COUNTA($K128:$K133-M128:M133))</f>
        <v>33.63172013228494</v>
      </c>
      <c r="R153" s="22">
        <v>1</v>
      </c>
      <c r="S153" s="15" cm="1">
        <f t="array" ref="S153">SQRT(SUMSQ($K128:$K133-R128:R133)/COUNTA($K128:$K133-R128:R133))</f>
        <v>85.231090335664234</v>
      </c>
      <c r="W153" s="22">
        <v>1</v>
      </c>
      <c r="X153" s="15" cm="1">
        <f t="array" ref="X153">SQRT(SUMSQ($K128:$K133-W128:W133)/COUNTA($K128:$K133-W128:W133))</f>
        <v>263.43445282868242</v>
      </c>
      <c r="AC153" s="22">
        <v>1</v>
      </c>
      <c r="AD153" s="15" cm="1">
        <f t="array" ref="AD153">SQRT(SUMSQ($K128:$K133-AC128:AC133)/COUNTA($K128:$K133-AC128:AC133))</f>
        <v>136.0465863968179</v>
      </c>
      <c r="AI153" s="22">
        <v>1</v>
      </c>
      <c r="AJ153" s="15" cm="1">
        <f t="array" ref="AJ153">SQRT(SUMSQ($K128:$K133-AI128:AI133)/COUNTA($K128:$K133-AI128:AI133))</f>
        <v>56.324449049572557</v>
      </c>
      <c r="AO153" s="22">
        <v>1</v>
      </c>
      <c r="AP153" s="15" cm="1">
        <f t="array" ref="AP153">SQRT(SUMSQ($K128:$K133-AO128:AO133)/COUNTA($K128:$K133-AO128:AO133))</f>
        <v>61.765141605361556</v>
      </c>
    </row>
    <row r="154" spans="13:43" x14ac:dyDescent="0.25">
      <c r="M154" s="23">
        <v>2</v>
      </c>
      <c r="N154" s="17" cm="1">
        <f t="array" ref="N154">SQRT(SUMSQ($K128:$K133-N128:N133)/COUNTA($K128:$K133-N128:N133))</f>
        <v>30.932853549294144</v>
      </c>
      <c r="O154" t="s">
        <v>47</v>
      </c>
      <c r="R154" s="23">
        <v>2</v>
      </c>
      <c r="S154" s="17" cm="1">
        <f t="array" ref="S154">SQRT(SUMSQ($K128:$K133-S128:S133)/COUNTA($K128:$K133-S128:S133))</f>
        <v>44.007035696558425</v>
      </c>
      <c r="T154" t="s">
        <v>47</v>
      </c>
      <c r="W154" s="23">
        <v>2</v>
      </c>
      <c r="X154" s="17" cm="1">
        <f t="array" ref="X154">SQRT(SUMSQ($K128:$K133-X128:X133)/COUNTA($K128:$K133-X128:X133))</f>
        <v>171.38585078546132</v>
      </c>
      <c r="Y154" t="s">
        <v>47</v>
      </c>
      <c r="AC154" s="23">
        <v>2</v>
      </c>
      <c r="AD154" s="17" cm="1">
        <f t="array" ref="AD154">SQRT(SUMSQ($K128:$K133-AD128:AD133)/COUNTA($K128:$K133-AD128:AD133))</f>
        <v>87.047930039566467</v>
      </c>
      <c r="AE154" t="s">
        <v>47</v>
      </c>
      <c r="AI154" s="23">
        <v>2</v>
      </c>
      <c r="AJ154" s="17" cm="1">
        <f t="array" ref="AJ154">SQRT(SUMSQ($K128:$K133-AJ128:AJ133)/COUNTA($K128:$K133-AJ128:AJ133))</f>
        <v>44.89808664406344</v>
      </c>
      <c r="AK154" t="s">
        <v>47</v>
      </c>
      <c r="AO154" s="23">
        <v>2</v>
      </c>
      <c r="AP154" s="17" cm="1">
        <f t="array" ref="AP154">SQRT(SUMSQ($K128:$K133-AP128:AP133)/COUNTA($K128:$K133-AP128:AP133))</f>
        <v>50.865820562638127</v>
      </c>
      <c r="AQ154" t="s">
        <v>47</v>
      </c>
    </row>
    <row r="155" spans="13:43" x14ac:dyDescent="0.25">
      <c r="M155" s="24">
        <v>3</v>
      </c>
      <c r="N155" s="13" cm="1">
        <f t="array" ref="N155">SQRT(SUMSQ($K128:$K133-O128:O133)/COUNTA($K128:$K133-O128:O133))</f>
        <v>30.312201289335206</v>
      </c>
      <c r="O155" t="s">
        <v>48</v>
      </c>
      <c r="R155" s="24">
        <v>3</v>
      </c>
      <c r="S155" s="13" cm="1">
        <f t="array" ref="S155">SQRT(SUMSQ($K128:$K133-T128:T133)/COUNTA($K128:$K133-T128:T133))</f>
        <v>27.476583989976842</v>
      </c>
      <c r="T155" t="s">
        <v>48</v>
      </c>
      <c r="W155" s="24">
        <v>3</v>
      </c>
      <c r="X155" s="13" cm="1">
        <f t="array" ref="X155">SQRT(SUMSQ($K128:$K133-Y128:Y133)/COUNTA($K128:$K133-Y128:Y133))</f>
        <v>42.657486426996407</v>
      </c>
      <c r="Y155" t="s">
        <v>48</v>
      </c>
      <c r="AC155" s="24">
        <v>3</v>
      </c>
      <c r="AD155" s="13" cm="1">
        <f t="array" ref="AD155">SQRT(SUMSQ($K128:$K133-AE128:AE133)/COUNTA($K128:$K133-AE128:AE133))</f>
        <v>41.37597226405947</v>
      </c>
      <c r="AE155" t="s">
        <v>48</v>
      </c>
      <c r="AI155" s="24">
        <v>3</v>
      </c>
      <c r="AJ155" s="13"/>
      <c r="AK155" t="s">
        <v>48</v>
      </c>
      <c r="AO155" s="24">
        <v>3</v>
      </c>
      <c r="AP155" s="13"/>
      <c r="AQ155" t="s">
        <v>48</v>
      </c>
    </row>
    <row r="156" spans="13:43" x14ac:dyDescent="0.25">
      <c r="S156" s="53" cm="1">
        <f t="array" ref="S156">SQRT(SUMSQ($K128:$K133-U128:U133)/COUNTA($K128:$K133-U128:U133))</f>
        <v>24.991331106831492</v>
      </c>
      <c r="T156" t="s">
        <v>117</v>
      </c>
    </row>
  </sheetData>
  <mergeCells count="27">
    <mergeCell ref="AB126:AE126"/>
    <mergeCell ref="AH126:AK126"/>
    <mergeCell ref="AN126:AQ126"/>
    <mergeCell ref="BE1:BJ1"/>
    <mergeCell ref="B83:G83"/>
    <mergeCell ref="L73:O73"/>
    <mergeCell ref="Q73:T73"/>
    <mergeCell ref="V73:Y73"/>
    <mergeCell ref="L126:O126"/>
    <mergeCell ref="Q126:T126"/>
    <mergeCell ref="V126:Y126"/>
    <mergeCell ref="AB73:AE73"/>
    <mergeCell ref="B18:E18"/>
    <mergeCell ref="V18:X18"/>
    <mergeCell ref="Q18:T18"/>
    <mergeCell ref="L18:O18"/>
    <mergeCell ref="AS1:AX1"/>
    <mergeCell ref="AQ1:AR1"/>
    <mergeCell ref="AN18:AQ18"/>
    <mergeCell ref="AH73:AK73"/>
    <mergeCell ref="AY1:BD1"/>
    <mergeCell ref="AN73:AQ73"/>
    <mergeCell ref="B92:G92"/>
    <mergeCell ref="G18:J18"/>
    <mergeCell ref="B73:G73"/>
    <mergeCell ref="AX90:BC90"/>
    <mergeCell ref="AH18:AK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all_samples</vt:lpstr>
      <vt:lpstr>storm_amplification</vt:lpstr>
      <vt:lpstr>calibration</vt:lpstr>
      <vt:lpstr>validation</vt:lpstr>
      <vt:lpstr>Sheet2</vt:lpstr>
      <vt:lpstr>validation_old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2025-12-09T01:09:33Z</dcterms:modified>
</cp:coreProperties>
</file>