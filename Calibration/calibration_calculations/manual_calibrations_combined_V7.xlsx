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drawings/drawing2.xml" ContentType="application/vnd.openxmlformats-officedocument.drawing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charts/chart46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charts/chart47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charts/chart48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charts/chart49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charts/chart50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xl/charts/chart51.xml" ContentType="application/vnd.openxmlformats-officedocument.drawingml.chart+xml"/>
  <Override PartName="/xl/charts/style51.xml" ContentType="application/vnd.ms-office.chartstyle+xml"/>
  <Override PartName="/xl/charts/colors51.xml" ContentType="application/vnd.ms-office.chartcolorstyle+xml"/>
  <Override PartName="/xl/charts/chart52.xml" ContentType="application/vnd.openxmlformats-officedocument.drawingml.chart+xml"/>
  <Override PartName="/xl/charts/style52.xml" ContentType="application/vnd.ms-office.chartstyle+xml"/>
  <Override PartName="/xl/charts/colors52.xml" ContentType="application/vnd.ms-office.chartcolorstyle+xml"/>
  <Override PartName="/xl/charts/chart53.xml" ContentType="application/vnd.openxmlformats-officedocument.drawingml.chart+xml"/>
  <Override PartName="/xl/charts/style53.xml" ContentType="application/vnd.ms-office.chartstyle+xml"/>
  <Override PartName="/xl/charts/colors53.xml" ContentType="application/vnd.ms-office.chartcolorstyle+xml"/>
  <Override PartName="/xl/charts/chart54.xml" ContentType="application/vnd.openxmlformats-officedocument.drawingml.chart+xml"/>
  <Override PartName="/xl/charts/style54.xml" ContentType="application/vnd.ms-office.chartstyle+xml"/>
  <Override PartName="/xl/charts/colors54.xml" ContentType="application/vnd.ms-office.chartcolorstyle+xml"/>
  <Override PartName="/xl/charts/chart55.xml" ContentType="application/vnd.openxmlformats-officedocument.drawingml.chart+xml"/>
  <Override PartName="/xl/charts/style55.xml" ContentType="application/vnd.ms-office.chartstyle+xml"/>
  <Override PartName="/xl/charts/colors55.xml" ContentType="application/vnd.ms-office.chartcolorstyle+xml"/>
  <Override PartName="/xl/charts/chart56.xml" ContentType="application/vnd.openxmlformats-officedocument.drawingml.chart+xml"/>
  <Override PartName="/xl/charts/style56.xml" ContentType="application/vnd.ms-office.chartstyle+xml"/>
  <Override PartName="/xl/charts/colors56.xml" ContentType="application/vnd.ms-office.chartcolorstyle+xml"/>
  <Override PartName="/xl/charts/chart57.xml" ContentType="application/vnd.openxmlformats-officedocument.drawingml.chart+xml"/>
  <Override PartName="/xl/charts/style57.xml" ContentType="application/vnd.ms-office.chartstyle+xml"/>
  <Override PartName="/xl/charts/colors57.xml" ContentType="application/vnd.ms-office.chartcolorstyle+xml"/>
  <Override PartName="/xl/charts/chart58.xml" ContentType="application/vnd.openxmlformats-officedocument.drawingml.chart+xml"/>
  <Override PartName="/xl/charts/style58.xml" ContentType="application/vnd.ms-office.chartstyle+xml"/>
  <Override PartName="/xl/charts/colors58.xml" ContentType="application/vnd.ms-office.chartcolorstyle+xml"/>
  <Override PartName="/xl/charts/chart59.xml" ContentType="application/vnd.openxmlformats-officedocument.drawingml.chart+xml"/>
  <Override PartName="/xl/charts/style59.xml" ContentType="application/vnd.ms-office.chartstyle+xml"/>
  <Override PartName="/xl/charts/colors59.xml" ContentType="application/vnd.ms-office.chartcolorstyle+xml"/>
  <Override PartName="/xl/charts/chart60.xml" ContentType="application/vnd.openxmlformats-officedocument.drawingml.chart+xml"/>
  <Override PartName="/xl/charts/style60.xml" ContentType="application/vnd.ms-office.chartstyle+xml"/>
  <Override PartName="/xl/charts/colors60.xml" ContentType="application/vnd.ms-office.chartcolorstyle+xml"/>
  <Override PartName="/xl/charts/chart61.xml" ContentType="application/vnd.openxmlformats-officedocument.drawingml.chart+xml"/>
  <Override PartName="/xl/charts/style61.xml" ContentType="application/vnd.ms-office.chartstyle+xml"/>
  <Override PartName="/xl/charts/colors61.xml" ContentType="application/vnd.ms-office.chartcolorstyle+xml"/>
  <Override PartName="/xl/charts/chart62.xml" ContentType="application/vnd.openxmlformats-officedocument.drawingml.chart+xml"/>
  <Override PartName="/xl/charts/style62.xml" ContentType="application/vnd.ms-office.chartstyle+xml"/>
  <Override PartName="/xl/charts/colors62.xml" ContentType="application/vnd.ms-office.chartcolorstyle+xml"/>
  <Override PartName="/xl/charts/chart63.xml" ContentType="application/vnd.openxmlformats-officedocument.drawingml.chart+xml"/>
  <Override PartName="/xl/charts/style63.xml" ContentType="application/vnd.ms-office.chartstyle+xml"/>
  <Override PartName="/xl/charts/colors63.xml" ContentType="application/vnd.ms-office.chartcolorstyle+xml"/>
  <Override PartName="/xl/charts/chart64.xml" ContentType="application/vnd.openxmlformats-officedocument.drawingml.chart+xml"/>
  <Override PartName="/xl/charts/style64.xml" ContentType="application/vnd.ms-office.chartstyle+xml"/>
  <Override PartName="/xl/charts/colors64.xml" ContentType="application/vnd.ms-office.chartcolorstyle+xml"/>
  <Override PartName="/xl/charts/chart65.xml" ContentType="application/vnd.openxmlformats-officedocument.drawingml.chart+xml"/>
  <Override PartName="/xl/charts/style65.xml" ContentType="application/vnd.ms-office.chartstyle+xml"/>
  <Override PartName="/xl/charts/colors65.xml" ContentType="application/vnd.ms-office.chartcolorstyle+xml"/>
  <Override PartName="/xl/charts/chart66.xml" ContentType="application/vnd.openxmlformats-officedocument.drawingml.chart+xml"/>
  <Override PartName="/xl/charts/style66.xml" ContentType="application/vnd.ms-office.chartstyle+xml"/>
  <Override PartName="/xl/charts/colors66.xml" ContentType="application/vnd.ms-office.chartcolorstyle+xml"/>
  <Override PartName="/xl/charts/chart67.xml" ContentType="application/vnd.openxmlformats-officedocument.drawingml.chart+xml"/>
  <Override PartName="/xl/charts/style67.xml" ContentType="application/vnd.ms-office.chartstyle+xml"/>
  <Override PartName="/xl/charts/colors67.xml" ContentType="application/vnd.ms-office.chartcolorstyle+xml"/>
  <Override PartName="/xl/charts/chart68.xml" ContentType="application/vnd.openxmlformats-officedocument.drawingml.chart+xml"/>
  <Override PartName="/xl/charts/style68.xml" ContentType="application/vnd.ms-office.chartstyle+xml"/>
  <Override PartName="/xl/charts/colors68.xml" ContentType="application/vnd.ms-office.chartcolorstyle+xml"/>
  <Override PartName="/xl/charts/chart69.xml" ContentType="application/vnd.openxmlformats-officedocument.drawingml.chart+xml"/>
  <Override PartName="/xl/charts/style69.xml" ContentType="application/vnd.ms-office.chartstyle+xml"/>
  <Override PartName="/xl/charts/colors69.xml" ContentType="application/vnd.ms-office.chartcolorstyle+xml"/>
  <Override PartName="/xl/charts/chart70.xml" ContentType="application/vnd.openxmlformats-officedocument.drawingml.chart+xml"/>
  <Override PartName="/xl/charts/style70.xml" ContentType="application/vnd.ms-office.chartstyle+xml"/>
  <Override PartName="/xl/charts/colors70.xml" ContentType="application/vnd.ms-office.chartcolorstyle+xml"/>
  <Override PartName="/xl/charts/chart71.xml" ContentType="application/vnd.openxmlformats-officedocument.drawingml.chart+xml"/>
  <Override PartName="/xl/charts/style71.xml" ContentType="application/vnd.ms-office.chartstyle+xml"/>
  <Override PartName="/xl/charts/colors71.xml" ContentType="application/vnd.ms-office.chartcolorstyle+xml"/>
  <Override PartName="/xl/charts/chart72.xml" ContentType="application/vnd.openxmlformats-officedocument.drawingml.chart+xml"/>
  <Override PartName="/xl/charts/style72.xml" ContentType="application/vnd.ms-office.chartstyle+xml"/>
  <Override PartName="/xl/charts/colors72.xml" ContentType="application/vnd.ms-office.chartcolorstyle+xml"/>
  <Override PartName="/xl/charts/chart73.xml" ContentType="application/vnd.openxmlformats-officedocument.drawingml.chart+xml"/>
  <Override PartName="/xl/charts/style73.xml" ContentType="application/vnd.ms-office.chartstyle+xml"/>
  <Override PartName="/xl/charts/colors73.xml" ContentType="application/vnd.ms-office.chartcolorstyle+xml"/>
  <Override PartName="/xl/charts/chart74.xml" ContentType="application/vnd.openxmlformats-officedocument.drawingml.chart+xml"/>
  <Override PartName="/xl/charts/style74.xml" ContentType="application/vnd.ms-office.chartstyle+xml"/>
  <Override PartName="/xl/charts/colors74.xml" ContentType="application/vnd.ms-office.chartcolorstyle+xml"/>
  <Override PartName="/xl/charts/chart75.xml" ContentType="application/vnd.openxmlformats-officedocument.drawingml.chart+xml"/>
  <Override PartName="/xl/charts/style75.xml" ContentType="application/vnd.ms-office.chartstyle+xml"/>
  <Override PartName="/xl/charts/colors75.xml" ContentType="application/vnd.ms-office.chartcolorstyle+xml"/>
  <Override PartName="/xl/charts/chart76.xml" ContentType="application/vnd.openxmlformats-officedocument.drawingml.chart+xml"/>
  <Override PartName="/xl/charts/style76.xml" ContentType="application/vnd.ms-office.chartstyle+xml"/>
  <Override PartName="/xl/charts/colors76.xml" ContentType="application/vnd.ms-office.chartcolorstyle+xml"/>
  <Override PartName="/xl/charts/chart77.xml" ContentType="application/vnd.openxmlformats-officedocument.drawingml.chart+xml"/>
  <Override PartName="/xl/charts/style77.xml" ContentType="application/vnd.ms-office.chartstyle+xml"/>
  <Override PartName="/xl/charts/colors77.xml" ContentType="application/vnd.ms-office.chartcolorstyle+xml"/>
  <Override PartName="/xl/charts/chart78.xml" ContentType="application/vnd.openxmlformats-officedocument.drawingml.chart+xml"/>
  <Override PartName="/xl/charts/style78.xml" ContentType="application/vnd.ms-office.chartstyle+xml"/>
  <Override PartName="/xl/charts/colors78.xml" ContentType="application/vnd.ms-office.chartcolorstyle+xml"/>
  <Override PartName="/xl/charts/chart79.xml" ContentType="application/vnd.openxmlformats-officedocument.drawingml.chart+xml"/>
  <Override PartName="/xl/charts/style79.xml" ContentType="application/vnd.ms-office.chartstyle+xml"/>
  <Override PartName="/xl/charts/colors79.xml" ContentType="application/vnd.ms-office.chartcolorstyle+xml"/>
  <Override PartName="/xl/charts/chart80.xml" ContentType="application/vnd.openxmlformats-officedocument.drawingml.chart+xml"/>
  <Override PartName="/xl/charts/style80.xml" ContentType="application/vnd.ms-office.chartstyle+xml"/>
  <Override PartName="/xl/charts/colors80.xml" ContentType="application/vnd.ms-office.chartcolorstyle+xml"/>
  <Override PartName="/xl/charts/chart81.xml" ContentType="application/vnd.openxmlformats-officedocument.drawingml.chart+xml"/>
  <Override PartName="/xl/charts/style81.xml" ContentType="application/vnd.ms-office.chartstyle+xml"/>
  <Override PartName="/xl/charts/colors81.xml" ContentType="application/vnd.ms-office.chartcolorstyle+xml"/>
  <Override PartName="/xl/drawings/drawing3.xml" ContentType="application/vnd.openxmlformats-officedocument.drawing+xml"/>
  <Override PartName="/xl/charts/chart82.xml" ContentType="application/vnd.openxmlformats-officedocument.drawingml.chart+xml"/>
  <Override PartName="/xl/charts/style82.xml" ContentType="application/vnd.ms-office.chartstyle+xml"/>
  <Override PartName="/xl/charts/colors82.xml" ContentType="application/vnd.ms-office.chartcolorstyle+xml"/>
  <Override PartName="/xl/charts/chart83.xml" ContentType="application/vnd.openxmlformats-officedocument.drawingml.chart+xml"/>
  <Override PartName="/xl/charts/style83.xml" ContentType="application/vnd.ms-office.chartstyle+xml"/>
  <Override PartName="/xl/charts/colors83.xml" ContentType="application/vnd.ms-office.chartcolorstyle+xml"/>
  <Override PartName="/xl/charts/chart84.xml" ContentType="application/vnd.openxmlformats-officedocument.drawingml.chart+xml"/>
  <Override PartName="/xl/charts/style84.xml" ContentType="application/vnd.ms-office.chartstyle+xml"/>
  <Override PartName="/xl/charts/colors84.xml" ContentType="application/vnd.ms-office.chartcolorstyle+xml"/>
  <Override PartName="/xl/charts/chart85.xml" ContentType="application/vnd.openxmlformats-officedocument.drawingml.chart+xml"/>
  <Override PartName="/xl/charts/style85.xml" ContentType="application/vnd.ms-office.chartstyle+xml"/>
  <Override PartName="/xl/charts/colors8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huck4481\Documents\GitHub\shear_stress_paper\Calibration\calibration_calculations\"/>
    </mc:Choice>
  </mc:AlternateContent>
  <xr:revisionPtr revIDLastSave="0" documentId="13_ncr:1_{C12CAC79-29FC-45C5-8377-76C257D5647A}" xr6:coauthVersionLast="47" xr6:coauthVersionMax="47" xr10:uidLastSave="{00000000-0000-0000-0000-000000000000}"/>
  <bookViews>
    <workbookView xWindow="-120" yWindow="-120" windowWidth="29040" windowHeight="15720" activeTab="1" xr2:uid="{C3810708-A1A6-42B7-8991-1B8761EBCDAE}"/>
  </bookViews>
  <sheets>
    <sheet name="all_samples" sheetId="7" r:id="rId1"/>
    <sheet name="storm_amplification" sheetId="10" r:id="rId2"/>
    <sheet name="calibration" sheetId="8" r:id="rId3"/>
    <sheet name="validation" sheetId="9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3" i="10" l="1"/>
  <c r="S14" i="10"/>
  <c r="S12" i="10"/>
  <c r="S15" i="10"/>
  <c r="S11" i="10"/>
  <c r="E37" i="10"/>
  <c r="C87" i="10"/>
  <c r="C56" i="10"/>
  <c r="S45" i="9" a="1"/>
  <c r="S45" i="9" s="1"/>
  <c r="AK37" i="10"/>
  <c r="H28" i="10"/>
  <c r="L21" i="10"/>
  <c r="I21" i="10"/>
  <c r="F21" i="10"/>
  <c r="D21" i="10" l="1"/>
  <c r="C21" i="10"/>
  <c r="AK50" i="10" l="1"/>
  <c r="AK52" i="10"/>
  <c r="AK47" i="10"/>
  <c r="AP90" i="10" s="1" a="1"/>
  <c r="AP90" i="10" s="1"/>
  <c r="AK53" i="10"/>
  <c r="AV49" i="10"/>
  <c r="AK49" i="10"/>
  <c r="AK48" i="10"/>
  <c r="AL90" i="10" s="1" a="1"/>
  <c r="AL90" i="10" s="1"/>
  <c r="BM19" i="10"/>
  <c r="AV50" i="10" s="1"/>
  <c r="BL19" i="10"/>
  <c r="AU50" i="10" s="1"/>
  <c r="BM18" i="10"/>
  <c r="AV53" i="10" s="1"/>
  <c r="BL18" i="10"/>
  <c r="AU53" i="10" s="1"/>
  <c r="BF18" i="10"/>
  <c r="AO53" i="10" s="1"/>
  <c r="BM17" i="10"/>
  <c r="AV52" i="10" s="1"/>
  <c r="BL17" i="10"/>
  <c r="AU52" i="10" s="1"/>
  <c r="BK17" i="10"/>
  <c r="AT52" i="10" s="1"/>
  <c r="BE17" i="10"/>
  <c r="AN52" i="10" s="1"/>
  <c r="BM16" i="10"/>
  <c r="BL16" i="10"/>
  <c r="AU49" i="10" s="1"/>
  <c r="BM15" i="10"/>
  <c r="AV48" i="10" s="1"/>
  <c r="BL15" i="10"/>
  <c r="AU48" i="10" s="1"/>
  <c r="BI15" i="10"/>
  <c r="AR48" i="10" s="1"/>
  <c r="BC15" i="10"/>
  <c r="AL48" i="10" s="1"/>
  <c r="BM14" i="10"/>
  <c r="AV47" i="10" s="1"/>
  <c r="BL14" i="10"/>
  <c r="AU47" i="10" s="1"/>
  <c r="BH14" i="10"/>
  <c r="AQ47" i="10" s="1"/>
  <c r="BA19" i="10"/>
  <c r="BH19" i="10" s="1"/>
  <c r="AQ50" i="10" s="1"/>
  <c r="AZ19" i="10"/>
  <c r="BG19" i="10" s="1"/>
  <c r="AP50" i="10" s="1"/>
  <c r="AY19" i="10"/>
  <c r="BI19" i="10" s="1"/>
  <c r="AR50" i="10" s="1"/>
  <c r="AX19" i="10"/>
  <c r="AW19" i="10"/>
  <c r="AV19" i="10"/>
  <c r="BA18" i="10"/>
  <c r="BH18" i="10" s="1"/>
  <c r="AQ53" i="10" s="1"/>
  <c r="AZ18" i="10"/>
  <c r="BG18" i="10" s="1"/>
  <c r="AP53" i="10" s="1"/>
  <c r="AY18" i="10"/>
  <c r="BI18" i="10" s="1"/>
  <c r="AR53" i="10" s="1"/>
  <c r="AX18" i="10"/>
  <c r="AW18" i="10"/>
  <c r="AV18" i="10"/>
  <c r="BA17" i="10"/>
  <c r="BH17" i="10" s="1"/>
  <c r="AQ52" i="10" s="1"/>
  <c r="AZ17" i="10"/>
  <c r="BG17" i="10" s="1"/>
  <c r="AP52" i="10" s="1"/>
  <c r="AY17" i="10"/>
  <c r="BF17" i="10" s="1"/>
  <c r="AO52" i="10" s="1"/>
  <c r="AX17" i="10"/>
  <c r="AW17" i="10"/>
  <c r="AV17" i="10"/>
  <c r="BA16" i="10"/>
  <c r="BK16" i="10" s="1"/>
  <c r="AT49" i="10" s="1"/>
  <c r="AZ16" i="10"/>
  <c r="BD16" i="10" s="1"/>
  <c r="AM49" i="10" s="1"/>
  <c r="AY16" i="10"/>
  <c r="BF16" i="10" s="1"/>
  <c r="AO49" i="10" s="1"/>
  <c r="AX16" i="10"/>
  <c r="AW16" i="10"/>
  <c r="AV16" i="10"/>
  <c r="BA15" i="10"/>
  <c r="BK15" i="10" s="1"/>
  <c r="AT48" i="10" s="1"/>
  <c r="AZ15" i="10"/>
  <c r="BD15" i="10" s="1"/>
  <c r="AM48" i="10" s="1"/>
  <c r="AY15" i="10"/>
  <c r="BF15" i="10" s="1"/>
  <c r="AO48" i="10" s="1"/>
  <c r="AX15" i="10"/>
  <c r="AW15" i="10"/>
  <c r="AV15" i="10"/>
  <c r="BA14" i="10"/>
  <c r="BK14" i="10" s="1"/>
  <c r="AT47" i="10" s="1"/>
  <c r="AZ14" i="10"/>
  <c r="BJ14" i="10" s="1"/>
  <c r="AS47" i="10" s="1"/>
  <c r="AY14" i="10"/>
  <c r="BC14" i="10" s="1"/>
  <c r="AL47" i="10" s="1"/>
  <c r="AX14" i="10"/>
  <c r="AW14" i="10"/>
  <c r="AV14" i="10"/>
  <c r="AN99" i="10" l="1" a="1"/>
  <c r="AN99" i="10" s="1"/>
  <c r="AV99" i="10" a="1"/>
  <c r="AV99" i="10" s="1"/>
  <c r="AK99" i="10" a="1"/>
  <c r="AK99" i="10" s="1"/>
  <c r="AL99" i="10" a="1"/>
  <c r="AL99" i="10" s="1"/>
  <c r="AS99" i="10" a="1"/>
  <c r="AS99" i="10" s="1"/>
  <c r="AP99" i="10" a="1"/>
  <c r="AP99" i="10" s="1"/>
  <c r="AJ99" i="10" a="1"/>
  <c r="AJ99" i="10" s="1"/>
  <c r="AT99" i="10" a="1"/>
  <c r="AT99" i="10" s="1"/>
  <c r="AQ99" i="10" a="1"/>
  <c r="AQ99" i="10" s="1"/>
  <c r="AT96" i="10" a="1"/>
  <c r="AT96" i="10" s="1"/>
  <c r="AJ96" i="10" a="1"/>
  <c r="AJ96" i="10" s="1"/>
  <c r="AP96" i="10" a="1"/>
  <c r="AP96" i="10" s="1"/>
  <c r="AM96" i="10" a="1"/>
  <c r="AM96" i="10" s="1"/>
  <c r="AU96" i="10" a="1"/>
  <c r="AU96" i="10" s="1"/>
  <c r="AN96" i="10" a="1"/>
  <c r="AN96" i="10" s="1"/>
  <c r="AR96" i="10" a="1"/>
  <c r="AR96" i="10" s="1"/>
  <c r="AW96" i="10" a="1"/>
  <c r="AW96" i="10" s="1"/>
  <c r="AO96" i="10" a="1"/>
  <c r="AO96" i="10" s="1"/>
  <c r="AS96" i="10" a="1"/>
  <c r="AS96" i="10" s="1"/>
  <c r="AM100" i="10" a="1"/>
  <c r="AM100" i="10" s="1"/>
  <c r="AQ100" i="10" a="1"/>
  <c r="AQ100" i="10" s="1"/>
  <c r="AJ100" i="10" a="1"/>
  <c r="AJ100" i="10" s="1"/>
  <c r="AX100" i="10" s="1"/>
  <c r="AN100" i="10" a="1"/>
  <c r="AN100" i="10" s="1"/>
  <c r="AU100" i="10" a="1"/>
  <c r="AU100" i="10" s="1"/>
  <c r="AK100" i="10" a="1"/>
  <c r="AK100" i="10" s="1"/>
  <c r="AR100" i="10" a="1"/>
  <c r="AR100" i="10" s="1"/>
  <c r="AO100" i="10" a="1"/>
  <c r="AO100" i="10" s="1"/>
  <c r="AV100" i="10" a="1"/>
  <c r="AV100" i="10" s="1"/>
  <c r="AL100" i="10" a="1"/>
  <c r="AL100" i="10" s="1"/>
  <c r="AS100" i="10" a="1"/>
  <c r="AS100" i="10" s="1"/>
  <c r="AW100" i="10" a="1"/>
  <c r="AW100" i="10" s="1"/>
  <c r="AP100" i="10" a="1"/>
  <c r="AP100" i="10" s="1"/>
  <c r="AT100" i="10" a="1"/>
  <c r="AT100" i="10" s="1"/>
  <c r="AW101" i="10" a="1"/>
  <c r="AW101" i="10" s="1"/>
  <c r="AR101" i="10" a="1"/>
  <c r="AR101" i="10" s="1"/>
  <c r="AN101" i="10" a="1"/>
  <c r="AN101" i="10" s="1"/>
  <c r="AS101" i="10" a="1"/>
  <c r="AS101" i="10" s="1"/>
  <c r="AJ101" i="10" a="1"/>
  <c r="AJ101" i="10" s="1"/>
  <c r="AK101" i="10" a="1"/>
  <c r="AK101" i="10" s="1"/>
  <c r="AO101" i="10" a="1"/>
  <c r="AO101" i="10" s="1"/>
  <c r="AP101" i="10" a="1"/>
  <c r="AP101" i="10" s="1"/>
  <c r="AT101" i="10" a="1"/>
  <c r="AT101" i="10" s="1"/>
  <c r="AL101" i="10" a="1"/>
  <c r="AL101" i="10" s="1"/>
  <c r="AU101" i="10" a="1"/>
  <c r="AU101" i="10" s="1"/>
  <c r="AM101" i="10" a="1"/>
  <c r="AM101" i="10" s="1"/>
  <c r="AQ101" i="10" a="1"/>
  <c r="AQ101" i="10" s="1"/>
  <c r="AV101" i="10" a="1"/>
  <c r="AV101" i="10" s="1"/>
  <c r="BE14" i="10"/>
  <c r="AN47" i="10" s="1"/>
  <c r="BG16" i="10"/>
  <c r="AP49" i="10" s="1"/>
  <c r="BC18" i="10"/>
  <c r="AL53" i="10" s="1"/>
  <c r="BD19" i="10"/>
  <c r="AM50" i="10" s="1"/>
  <c r="BJ19" i="10"/>
  <c r="AS50" i="10" s="1"/>
  <c r="AT90" i="10" a="1"/>
  <c r="AT90" i="10" s="1"/>
  <c r="BF14" i="10"/>
  <c r="AO47" i="10" s="1"/>
  <c r="BG15" i="10"/>
  <c r="AP48" i="10" s="1"/>
  <c r="BH16" i="10"/>
  <c r="AQ49" i="10" s="1"/>
  <c r="BC17" i="10"/>
  <c r="AL52" i="10" s="1"/>
  <c r="BI17" i="10"/>
  <c r="AR52" i="10" s="1"/>
  <c r="BD18" i="10"/>
  <c r="AM53" i="10" s="1"/>
  <c r="BJ18" i="10"/>
  <c r="AS53" i="10" s="1"/>
  <c r="BE19" i="10"/>
  <c r="AN50" i="10" s="1"/>
  <c r="BK19" i="10"/>
  <c r="AT50" i="10" s="1"/>
  <c r="AO99" i="10" s="1" a="1"/>
  <c r="AO99" i="10" s="1"/>
  <c r="AW90" i="10" a="1"/>
  <c r="AW90" i="10" s="1"/>
  <c r="AS90" i="10" a="1"/>
  <c r="AS90" i="10" s="1"/>
  <c r="AK90" i="10" a="1"/>
  <c r="AK90" i="10" s="1"/>
  <c r="BJ16" i="10"/>
  <c r="AS49" i="10" s="1"/>
  <c r="BG14" i="10"/>
  <c r="AP47" i="10" s="1"/>
  <c r="BH15" i="10"/>
  <c r="AQ48" i="10" s="1"/>
  <c r="AL96" i="10" s="1" a="1"/>
  <c r="AL96" i="10" s="1"/>
  <c r="BC16" i="10"/>
  <c r="AL49" i="10" s="1"/>
  <c r="AS91" i="10" s="1" a="1"/>
  <c r="AS91" i="10" s="1"/>
  <c r="BI16" i="10"/>
  <c r="AR49" i="10" s="1"/>
  <c r="BD17" i="10"/>
  <c r="AM52" i="10" s="1"/>
  <c r="BJ17" i="10"/>
  <c r="AS52" i="10" s="1"/>
  <c r="BE18" i="10"/>
  <c r="AN53" i="10" s="1"/>
  <c r="BK18" i="10"/>
  <c r="AT53" i="10" s="1"/>
  <c r="BF19" i="10"/>
  <c r="AO50" i="10" s="1"/>
  <c r="BD14" i="10"/>
  <c r="AM47" i="10" s="1"/>
  <c r="AV90" i="10" a="1"/>
  <c r="AV90" i="10" s="1"/>
  <c r="AO90" i="10" a="1"/>
  <c r="AO90" i="10" s="1"/>
  <c r="AR90" i="10" a="1"/>
  <c r="AR90" i="10" s="1"/>
  <c r="AN90" i="10" a="1"/>
  <c r="AN90" i="10" s="1"/>
  <c r="BI14" i="10"/>
  <c r="AR47" i="10" s="1"/>
  <c r="BJ15" i="10"/>
  <c r="AS48" i="10" s="1"/>
  <c r="AT98" i="10" s="1" a="1"/>
  <c r="AT98" i="10" s="1"/>
  <c r="AU90" i="10" a="1"/>
  <c r="AU90" i="10" s="1"/>
  <c r="AM90" i="10" a="1"/>
  <c r="AM90" i="10" s="1"/>
  <c r="BE16" i="10"/>
  <c r="AN49" i="10" s="1"/>
  <c r="BE15" i="10"/>
  <c r="AN48" i="10" s="1"/>
  <c r="BC19" i="10"/>
  <c r="AL50" i="10" s="1"/>
  <c r="AJ90" i="10" a="1"/>
  <c r="AJ90" i="10" s="1"/>
  <c r="AQ90" i="10" a="1"/>
  <c r="AQ90" i="10" s="1"/>
  <c r="AL118" i="10" a="1"/>
  <c r="AL118" i="10" s="1"/>
  <c r="AN118" i="10" a="1"/>
  <c r="AN118" i="10" s="1"/>
  <c r="AP118" i="10" a="1"/>
  <c r="AP118" i="10" s="1"/>
  <c r="AU118" i="10" a="1"/>
  <c r="AU118" i="10" s="1"/>
  <c r="AW118" i="10" a="1"/>
  <c r="AW118" i="10" s="1"/>
  <c r="AX101" i="10"/>
  <c r="AK60" i="10"/>
  <c r="AK63" i="10"/>
  <c r="AK62" i="10"/>
  <c r="AU63" i="10"/>
  <c r="AK42" i="10"/>
  <c r="AK59" i="10"/>
  <c r="AN108" i="10" s="1" a="1"/>
  <c r="AN108" i="10" s="1"/>
  <c r="AK58" i="10"/>
  <c r="AK57" i="10"/>
  <c r="AS108" i="10" s="1" a="1"/>
  <c r="AS108" i="10" s="1"/>
  <c r="BM29" i="10"/>
  <c r="AV60" i="10" s="1"/>
  <c r="BL29" i="10"/>
  <c r="AU60" i="10" s="1"/>
  <c r="BJ29" i="10"/>
  <c r="AS60" i="10" s="1"/>
  <c r="BD29" i="10"/>
  <c r="AM60" i="10" s="1"/>
  <c r="BM28" i="10"/>
  <c r="AV63" i="10" s="1"/>
  <c r="BL28" i="10"/>
  <c r="BM27" i="10"/>
  <c r="AV62" i="10" s="1"/>
  <c r="BL27" i="10"/>
  <c r="AU62" i="10" s="1"/>
  <c r="BM26" i="10"/>
  <c r="AV59" i="10" s="1"/>
  <c r="BL26" i="10"/>
  <c r="AU59" i="10" s="1"/>
  <c r="BH26" i="10"/>
  <c r="AQ59" i="10" s="1"/>
  <c r="BF26" i="10"/>
  <c r="AO59" i="10" s="1"/>
  <c r="BM25" i="10"/>
  <c r="AV58" i="10" s="1"/>
  <c r="AQ119" i="10" s="1" a="1"/>
  <c r="AQ119" i="10" s="1"/>
  <c r="BL25" i="10"/>
  <c r="AU58" i="10" s="1"/>
  <c r="BE25" i="10"/>
  <c r="AN58" i="10" s="1"/>
  <c r="BM24" i="10"/>
  <c r="AV57" i="10" s="1"/>
  <c r="AN119" i="10" s="1" a="1"/>
  <c r="AN119" i="10" s="1"/>
  <c r="BL24" i="10"/>
  <c r="AU57" i="10" s="1"/>
  <c r="AS118" i="10" s="1" a="1"/>
  <c r="AS118" i="10" s="1"/>
  <c r="BK24" i="10"/>
  <c r="AT57" i="10" s="1"/>
  <c r="AX24" i="10"/>
  <c r="AV28" i="10"/>
  <c r="BA29" i="10"/>
  <c r="BH29" i="10" s="1"/>
  <c r="AQ60" i="10" s="1"/>
  <c r="AJ114" i="10" s="1" a="1"/>
  <c r="AJ114" i="10" s="1"/>
  <c r="AZ29" i="10"/>
  <c r="BG29" i="10" s="1"/>
  <c r="AP60" i="10" s="1"/>
  <c r="AY29" i="10"/>
  <c r="BF29" i="10" s="1"/>
  <c r="AO60" i="10" s="1"/>
  <c r="AX29" i="10"/>
  <c r="AW29" i="10"/>
  <c r="AV29" i="10"/>
  <c r="BA28" i="10"/>
  <c r="BK28" i="10" s="1"/>
  <c r="AT63" i="10" s="1"/>
  <c r="AZ28" i="10"/>
  <c r="BD28" i="10" s="1"/>
  <c r="AM63" i="10" s="1"/>
  <c r="AY28" i="10"/>
  <c r="BI28" i="10" s="1"/>
  <c r="AR63" i="10" s="1"/>
  <c r="AX28" i="10"/>
  <c r="AW28" i="10"/>
  <c r="BA27" i="10"/>
  <c r="BK27" i="10" s="1"/>
  <c r="AT62" i="10" s="1"/>
  <c r="AZ27" i="10"/>
  <c r="BJ27" i="10" s="1"/>
  <c r="AS62" i="10" s="1"/>
  <c r="AY27" i="10"/>
  <c r="BF27" i="10" s="1"/>
  <c r="AO62" i="10" s="1"/>
  <c r="AX27" i="10"/>
  <c r="AW27" i="10"/>
  <c r="AV27" i="10"/>
  <c r="BA26" i="10"/>
  <c r="BK26" i="10" s="1"/>
  <c r="AT59" i="10" s="1"/>
  <c r="AZ26" i="10"/>
  <c r="BJ26" i="10" s="1"/>
  <c r="AS59" i="10" s="1"/>
  <c r="AY26" i="10"/>
  <c r="BI26" i="10" s="1"/>
  <c r="AR59" i="10" s="1"/>
  <c r="AX26" i="10"/>
  <c r="AW26" i="10"/>
  <c r="AV26" i="10"/>
  <c r="BA25" i="10"/>
  <c r="BH25" i="10" s="1"/>
  <c r="AQ58" i="10" s="1"/>
  <c r="AZ25" i="10"/>
  <c r="BG25" i="10" s="1"/>
  <c r="AP58" i="10" s="1"/>
  <c r="AY25" i="10"/>
  <c r="BF25" i="10" s="1"/>
  <c r="AO58" i="10" s="1"/>
  <c r="AX25" i="10"/>
  <c r="AW25" i="10"/>
  <c r="AV25" i="10"/>
  <c r="BA24" i="10"/>
  <c r="BH24" i="10" s="1"/>
  <c r="AQ57" i="10" s="1"/>
  <c r="AZ24" i="10"/>
  <c r="BG24" i="10" s="1"/>
  <c r="AP57" i="10" s="1"/>
  <c r="AY24" i="10"/>
  <c r="BI24" i="10" s="1"/>
  <c r="AR57" i="10" s="1"/>
  <c r="AW24" i="10"/>
  <c r="AV24" i="10"/>
  <c r="BD24" i="10" l="1"/>
  <c r="AM57" i="10" s="1"/>
  <c r="BE24" i="10"/>
  <c r="AN57" i="10" s="1"/>
  <c r="AP111" i="10" s="1" a="1"/>
  <c r="AP111" i="10" s="1"/>
  <c r="BK25" i="10"/>
  <c r="AT58" i="10" s="1"/>
  <c r="AJ117" i="10" s="1" a="1"/>
  <c r="AJ117" i="10" s="1"/>
  <c r="BH28" i="10"/>
  <c r="AQ63" i="10" s="1"/>
  <c r="AO118" i="10" a="1"/>
  <c r="AO118" i="10" s="1"/>
  <c r="AV119" i="10" a="1"/>
  <c r="AV119" i="10" s="1"/>
  <c r="AM119" i="10" a="1"/>
  <c r="AM119" i="10" s="1"/>
  <c r="AQ108" i="10" a="1"/>
  <c r="AQ108" i="10" s="1"/>
  <c r="AL94" i="10" a="1"/>
  <c r="AL94" i="10" s="1"/>
  <c r="AT94" i="10" a="1"/>
  <c r="AT94" i="10" s="1"/>
  <c r="AP94" i="10" a="1"/>
  <c r="AP94" i="10" s="1"/>
  <c r="AJ94" i="10" a="1"/>
  <c r="AJ94" i="10" s="1"/>
  <c r="AM94" i="10" a="1"/>
  <c r="AM94" i="10" s="1"/>
  <c r="AQ94" i="10" a="1"/>
  <c r="AQ94" i="10" s="1"/>
  <c r="AU94" i="10" a="1"/>
  <c r="AU94" i="10" s="1"/>
  <c r="AN94" i="10" a="1"/>
  <c r="AN94" i="10" s="1"/>
  <c r="AR94" i="10" a="1"/>
  <c r="AR94" i="10" s="1"/>
  <c r="AK94" i="10" a="1"/>
  <c r="AK94" i="10" s="1"/>
  <c r="AV94" i="10" a="1"/>
  <c r="AV94" i="10" s="1"/>
  <c r="AO94" i="10" a="1"/>
  <c r="AO94" i="10" s="1"/>
  <c r="AS94" i="10" a="1"/>
  <c r="AS94" i="10" s="1"/>
  <c r="AW94" i="10" a="1"/>
  <c r="AW94" i="10" s="1"/>
  <c r="BJ24" i="10"/>
  <c r="AS57" i="10" s="1"/>
  <c r="AV118" i="10" a="1"/>
  <c r="AV118" i="10" s="1"/>
  <c r="AR118" i="10" a="1"/>
  <c r="AR118" i="10" s="1"/>
  <c r="AK118" i="10" a="1"/>
  <c r="AK118" i="10" s="1"/>
  <c r="AU119" i="10" a="1"/>
  <c r="AU119" i="10" s="1"/>
  <c r="AL119" i="10" a="1"/>
  <c r="AL119" i="10" s="1"/>
  <c r="AT108" i="10" a="1"/>
  <c r="AT108" i="10" s="1"/>
  <c r="AM108" i="10" a="1"/>
  <c r="AM108" i="10" s="1"/>
  <c r="AK96" i="10" a="1"/>
  <c r="AK96" i="10" s="1"/>
  <c r="AQ96" i="10" a="1"/>
  <c r="AQ96" i="10" s="1"/>
  <c r="AU99" i="10" a="1"/>
  <c r="AU99" i="10" s="1"/>
  <c r="AW99" i="10" a="1"/>
  <c r="AW99" i="10" s="1"/>
  <c r="AR99" i="10" a="1"/>
  <c r="AR99" i="10" s="1"/>
  <c r="AU98" i="10" a="1"/>
  <c r="AU98" i="10" s="1"/>
  <c r="AP98" i="10" a="1"/>
  <c r="AP98" i="10" s="1"/>
  <c r="AK91" i="10" a="1"/>
  <c r="AK91" i="10" s="1"/>
  <c r="AQ91" i="10" a="1"/>
  <c r="AQ91" i="10" s="1"/>
  <c r="AT119" i="10" a="1"/>
  <c r="AT119" i="10" s="1"/>
  <c r="AK119" i="10" a="1"/>
  <c r="AK119" i="10" s="1"/>
  <c r="AL108" i="10" a="1"/>
  <c r="AL108" i="10" s="1"/>
  <c r="AK92" i="10" a="1"/>
  <c r="AK92" i="10" s="1"/>
  <c r="AV92" i="10" a="1"/>
  <c r="AV92" i="10" s="1"/>
  <c r="AO92" i="10" a="1"/>
  <c r="AO92" i="10" s="1"/>
  <c r="AS92" i="10" a="1"/>
  <c r="AS92" i="10" s="1"/>
  <c r="AS102" i="10" s="1"/>
  <c r="AW92" i="10" a="1"/>
  <c r="AW92" i="10" s="1"/>
  <c r="AL92" i="10" a="1"/>
  <c r="AL92" i="10" s="1"/>
  <c r="AP92" i="10" a="1"/>
  <c r="AP92" i="10" s="1"/>
  <c r="AT92" i="10" a="1"/>
  <c r="AT92" i="10" s="1"/>
  <c r="AQ92" i="10" a="1"/>
  <c r="AQ92" i="10" s="1"/>
  <c r="AJ92" i="10" a="1"/>
  <c r="AJ92" i="10" s="1"/>
  <c r="AX92" i="10" s="1"/>
  <c r="AM92" i="10" a="1"/>
  <c r="AM92" i="10" s="1"/>
  <c r="AU92" i="10" a="1"/>
  <c r="AU92" i="10" s="1"/>
  <c r="AN92" i="10" a="1"/>
  <c r="AN92" i="10" s="1"/>
  <c r="AR92" i="10" a="1"/>
  <c r="AR92" i="10" s="1"/>
  <c r="AN98" i="10" a="1"/>
  <c r="AN98" i="10" s="1"/>
  <c r="AW98" i="10" a="1"/>
  <c r="AW98" i="10" s="1"/>
  <c r="AR91" i="10" a="1"/>
  <c r="AR91" i="10" s="1"/>
  <c r="AR102" i="10" s="1"/>
  <c r="AT91" i="10" a="1"/>
  <c r="AT91" i="10" s="1"/>
  <c r="AJ119" i="10" a="1"/>
  <c r="AJ119" i="10" s="1"/>
  <c r="AM97" i="10" a="1"/>
  <c r="AM97" i="10" s="1"/>
  <c r="AS97" i="10" a="1"/>
  <c r="AS97" i="10" s="1"/>
  <c r="AN97" i="10" a="1"/>
  <c r="AN97" i="10" s="1"/>
  <c r="AT97" i="10" a="1"/>
  <c r="AT97" i="10" s="1"/>
  <c r="AO97" i="10" a="1"/>
  <c r="AO97" i="10" s="1"/>
  <c r="AU97" i="10" a="1"/>
  <c r="AU97" i="10" s="1"/>
  <c r="AJ97" i="10" a="1"/>
  <c r="AJ97" i="10" s="1"/>
  <c r="AP97" i="10" a="1"/>
  <c r="AP97" i="10" s="1"/>
  <c r="AV97" i="10" a="1"/>
  <c r="AV97" i="10" s="1"/>
  <c r="AK97" i="10" a="1"/>
  <c r="AK97" i="10" s="1"/>
  <c r="AQ97" i="10" a="1"/>
  <c r="AQ97" i="10" s="1"/>
  <c r="AW97" i="10" a="1"/>
  <c r="AW97" i="10" s="1"/>
  <c r="AL97" i="10" a="1"/>
  <c r="AL97" i="10" s="1"/>
  <c r="AR97" i="10" a="1"/>
  <c r="AR97" i="10" s="1"/>
  <c r="AV98" i="10" a="1"/>
  <c r="AV98" i="10" s="1"/>
  <c r="AJ98" i="10" a="1"/>
  <c r="AJ98" i="10" s="1"/>
  <c r="AS98" i="10" a="1"/>
  <c r="AS98" i="10" s="1"/>
  <c r="AN91" i="10" a="1"/>
  <c r="AN91" i="10" s="1"/>
  <c r="AP91" i="10" a="1"/>
  <c r="AP91" i="10" s="1"/>
  <c r="BG27" i="10"/>
  <c r="AP62" i="10" s="1"/>
  <c r="AP119" i="10" a="1"/>
  <c r="AP119" i="10" s="1"/>
  <c r="AP108" i="10" a="1"/>
  <c r="AP108" i="10" s="1"/>
  <c r="BH27" i="10"/>
  <c r="AQ62" i="10" s="1"/>
  <c r="AJ108" i="10" a="1"/>
  <c r="AJ108" i="10" s="1"/>
  <c r="AQ118" i="10" a="1"/>
  <c r="AQ118" i="10" s="1"/>
  <c r="AO119" i="10" a="1"/>
  <c r="AO119" i="10" s="1"/>
  <c r="AO108" i="10" a="1"/>
  <c r="AO108" i="10" s="1"/>
  <c r="BG26" i="10"/>
  <c r="AP59" i="10" s="1"/>
  <c r="AJ113" i="10" s="1" a="1"/>
  <c r="AJ113" i="10" s="1"/>
  <c r="BE29" i="10"/>
  <c r="AN60" i="10" s="1"/>
  <c r="AJ118" i="10" a="1"/>
  <c r="AJ118" i="10" s="1"/>
  <c r="AT118" i="10" a="1"/>
  <c r="AT118" i="10" s="1"/>
  <c r="AM118" i="10" a="1"/>
  <c r="AM118" i="10" s="1"/>
  <c r="AW119" i="10" a="1"/>
  <c r="AW119" i="10" s="1"/>
  <c r="AS119" i="10" a="1"/>
  <c r="AS119" i="10" s="1"/>
  <c r="AV108" i="10" a="1"/>
  <c r="AV108" i="10" s="1"/>
  <c r="AR108" i="10" a="1"/>
  <c r="AR108" i="10" s="1"/>
  <c r="AK108" i="10" a="1"/>
  <c r="AK108" i="10" s="1"/>
  <c r="AV96" i="10" a="1"/>
  <c r="AV96" i="10" s="1"/>
  <c r="AM99" i="10" a="1"/>
  <c r="AM99" i="10" s="1"/>
  <c r="AX99" i="10" s="1"/>
  <c r="AO98" i="10" a="1"/>
  <c r="AO98" i="10" s="1"/>
  <c r="AQ98" i="10" a="1"/>
  <c r="AQ98" i="10" s="1"/>
  <c r="AL98" i="10" a="1"/>
  <c r="AL98" i="10" s="1"/>
  <c r="AJ91" i="10" a="1"/>
  <c r="AJ91" i="10" s="1"/>
  <c r="AL91" i="10" a="1"/>
  <c r="AL91" i="10" s="1"/>
  <c r="AR119" i="10" a="1"/>
  <c r="AR119" i="10" s="1"/>
  <c r="AW108" i="10" a="1"/>
  <c r="AW108" i="10" s="1"/>
  <c r="AM95" i="10" a="1"/>
  <c r="AM95" i="10" s="1"/>
  <c r="AQ95" i="10" a="1"/>
  <c r="AQ95" i="10" s="1"/>
  <c r="AU95" i="10" a="1"/>
  <c r="AU95" i="10" s="1"/>
  <c r="AJ95" i="10" a="1"/>
  <c r="AJ95" i="10" s="1"/>
  <c r="AN95" i="10" a="1"/>
  <c r="AN95" i="10" s="1"/>
  <c r="AR95" i="10" a="1"/>
  <c r="AR95" i="10" s="1"/>
  <c r="AV95" i="10" a="1"/>
  <c r="AV95" i="10" s="1"/>
  <c r="AK95" i="10" a="1"/>
  <c r="AK95" i="10" s="1"/>
  <c r="AW95" i="10" a="1"/>
  <c r="AW95" i="10" s="1"/>
  <c r="AO95" i="10" a="1"/>
  <c r="AO95" i="10" s="1"/>
  <c r="AS95" i="10" a="1"/>
  <c r="AS95" i="10" s="1"/>
  <c r="AL95" i="10" a="1"/>
  <c r="AL95" i="10" s="1"/>
  <c r="AT95" i="10" a="1"/>
  <c r="AT95" i="10" s="1"/>
  <c r="AP95" i="10" a="1"/>
  <c r="AP95" i="10" s="1"/>
  <c r="AR98" i="10" a="1"/>
  <c r="AR98" i="10" s="1"/>
  <c r="AM98" i="10" a="1"/>
  <c r="AM98" i="10" s="1"/>
  <c r="AV91" i="10" a="1"/>
  <c r="AV91" i="10" s="1"/>
  <c r="AV102" i="10" s="1"/>
  <c r="AU91" i="10" a="1"/>
  <c r="AU91" i="10" s="1"/>
  <c r="AW91" i="10" a="1"/>
  <c r="AW91" i="10" s="1"/>
  <c r="AU108" i="10" a="1"/>
  <c r="AU108" i="10" s="1"/>
  <c r="BK29" i="10"/>
  <c r="AT60" i="10" s="1"/>
  <c r="AO117" i="10" s="1" a="1"/>
  <c r="AO117" i="10" s="1"/>
  <c r="AM93" i="10" a="1"/>
  <c r="AM93" i="10" s="1"/>
  <c r="AQ93" i="10" a="1"/>
  <c r="AQ93" i="10" s="1"/>
  <c r="AU93" i="10" a="1"/>
  <c r="AU93" i="10" s="1"/>
  <c r="AN93" i="10" a="1"/>
  <c r="AN93" i="10" s="1"/>
  <c r="AK93" i="10" a="1"/>
  <c r="AK93" i="10" s="1"/>
  <c r="AR93" i="10" a="1"/>
  <c r="AR93" i="10" s="1"/>
  <c r="AV93" i="10" a="1"/>
  <c r="AV93" i="10" s="1"/>
  <c r="AO93" i="10" a="1"/>
  <c r="AO93" i="10" s="1"/>
  <c r="AW93" i="10" a="1"/>
  <c r="AW93" i="10" s="1"/>
  <c r="AL93" i="10" a="1"/>
  <c r="AL93" i="10" s="1"/>
  <c r="AS93" i="10" a="1"/>
  <c r="AS93" i="10" s="1"/>
  <c r="AP93" i="10" a="1"/>
  <c r="AP93" i="10" s="1"/>
  <c r="AT93" i="10" a="1"/>
  <c r="AT93" i="10" s="1"/>
  <c r="AJ93" i="10" a="1"/>
  <c r="AJ93" i="10" s="1"/>
  <c r="AX93" i="10" s="1"/>
  <c r="AK98" i="10" a="1"/>
  <c r="AK98" i="10" s="1"/>
  <c r="AO91" i="10" a="1"/>
  <c r="AO91" i="10" s="1"/>
  <c r="AM91" i="10" a="1"/>
  <c r="AM91" i="10" s="1"/>
  <c r="AS113" i="10" a="1"/>
  <c r="AS113" i="10" s="1"/>
  <c r="AK113" i="10" a="1"/>
  <c r="AK113" i="10" s="1"/>
  <c r="AO113" i="10" a="1"/>
  <c r="AO113" i="10" s="1"/>
  <c r="AT113" i="10" a="1"/>
  <c r="AT113" i="10" s="1"/>
  <c r="AP113" i="10" a="1"/>
  <c r="AP113" i="10" s="1"/>
  <c r="AQ113" i="10" a="1"/>
  <c r="AQ113" i="10" s="1"/>
  <c r="AU113" i="10" a="1"/>
  <c r="AU113" i="10" s="1"/>
  <c r="AM113" i="10" a="1"/>
  <c r="AM113" i="10" s="1"/>
  <c r="AV113" i="10" a="1"/>
  <c r="AV113" i="10" s="1"/>
  <c r="AN113" i="10" a="1"/>
  <c r="AN113" i="10" s="1"/>
  <c r="AW113" i="10" a="1"/>
  <c r="AW113" i="10" s="1"/>
  <c r="AN117" i="10" a="1"/>
  <c r="AN117" i="10" s="1"/>
  <c r="AS117" i="10" a="1"/>
  <c r="AS117" i="10" s="1"/>
  <c r="AT117" i="10" a="1"/>
  <c r="AT117" i="10" s="1"/>
  <c r="AK117" i="10" a="1"/>
  <c r="AK117" i="10" s="1"/>
  <c r="AU117" i="10" a="1"/>
  <c r="AU117" i="10" s="1"/>
  <c r="AP117" i="10" a="1"/>
  <c r="AP117" i="10" s="1"/>
  <c r="AV117" i="10" a="1"/>
  <c r="AV117" i="10" s="1"/>
  <c r="AL117" i="10" a="1"/>
  <c r="AL117" i="10" s="1"/>
  <c r="AQ117" i="10" a="1"/>
  <c r="AQ117" i="10" s="1"/>
  <c r="AM117" i="10" a="1"/>
  <c r="AM117" i="10" s="1"/>
  <c r="AR117" i="10" a="1"/>
  <c r="AR117" i="10" s="1"/>
  <c r="AO114" i="10" a="1"/>
  <c r="AO114" i="10" s="1"/>
  <c r="AK114" i="10" a="1"/>
  <c r="AK114" i="10" s="1"/>
  <c r="AP114" i="10" a="1"/>
  <c r="AP114" i="10" s="1"/>
  <c r="AT114" i="10" a="1"/>
  <c r="AT114" i="10" s="1"/>
  <c r="AL114" i="10" a="1"/>
  <c r="AL114" i="10" s="1"/>
  <c r="AU114" i="10" a="1"/>
  <c r="AU114" i="10" s="1"/>
  <c r="AM114" i="10" a="1"/>
  <c r="AM114" i="10" s="1"/>
  <c r="AQ114" i="10" a="1"/>
  <c r="AQ114" i="10" s="1"/>
  <c r="AX114" i="10" s="1"/>
  <c r="AV114" i="10" a="1"/>
  <c r="AV114" i="10" s="1"/>
  <c r="AR114" i="10" a="1"/>
  <c r="AR114" i="10" s="1"/>
  <c r="AN114" i="10" a="1"/>
  <c r="AN114" i="10" s="1"/>
  <c r="AW114" i="10" a="1"/>
  <c r="AW114" i="10" s="1"/>
  <c r="AS114" i="10" a="1"/>
  <c r="AS114" i="10" s="1"/>
  <c r="AK111" i="10" a="1"/>
  <c r="AK111" i="10" s="1"/>
  <c r="AO111" i="10" a="1"/>
  <c r="AO111" i="10" s="1"/>
  <c r="AW111" i="10" a="1"/>
  <c r="AW111" i="10" s="1"/>
  <c r="AR111" i="10" a="1"/>
  <c r="AR111" i="10" s="1"/>
  <c r="AX118" i="10"/>
  <c r="BC28" i="10"/>
  <c r="AL63" i="10" s="1"/>
  <c r="BF24" i="10"/>
  <c r="AO57" i="10" s="1"/>
  <c r="AJ112" i="10" s="1" a="1"/>
  <c r="AJ112" i="10" s="1"/>
  <c r="BC27" i="10"/>
  <c r="AL62" i="10" s="1"/>
  <c r="BI27" i="10"/>
  <c r="AR62" i="10" s="1"/>
  <c r="BJ28" i="10"/>
  <c r="AS63" i="10" s="1"/>
  <c r="BD27" i="10"/>
  <c r="AM62" i="10" s="1"/>
  <c r="BC25" i="10"/>
  <c r="AL58" i="10" s="1"/>
  <c r="BI25" i="10"/>
  <c r="AR58" i="10" s="1"/>
  <c r="AL115" i="10" s="1" a="1"/>
  <c r="AL115" i="10" s="1"/>
  <c r="BD26" i="10"/>
  <c r="AM59" i="10" s="1"/>
  <c r="BE27" i="10"/>
  <c r="AN62" i="10" s="1"/>
  <c r="BF28" i="10"/>
  <c r="AO63" i="10" s="1"/>
  <c r="BC29" i="10"/>
  <c r="AL60" i="10" s="1"/>
  <c r="BC26" i="10"/>
  <c r="AL59" i="10" s="1"/>
  <c r="BE28" i="10"/>
  <c r="AN63" i="10" s="1"/>
  <c r="BC24" i="10"/>
  <c r="AL57" i="10" s="1"/>
  <c r="BD25" i="10"/>
  <c r="AM58" i="10" s="1"/>
  <c r="AT110" i="10" s="1" a="1"/>
  <c r="AT110" i="10" s="1"/>
  <c r="BJ25" i="10"/>
  <c r="AS58" i="10" s="1"/>
  <c r="AV116" i="10" s="1" a="1"/>
  <c r="AV116" i="10" s="1"/>
  <c r="BE26" i="10"/>
  <c r="AN59" i="10" s="1"/>
  <c r="AU111" i="10" s="1" a="1"/>
  <c r="AU111" i="10" s="1"/>
  <c r="BG28" i="10"/>
  <c r="AP63" i="10" s="1"/>
  <c r="BI29" i="10"/>
  <c r="AR60" i="10" s="1"/>
  <c r="AM115" i="10" s="1" a="1"/>
  <c r="AM115" i="10" s="1"/>
  <c r="AJ102" i="10"/>
  <c r="AX90" i="10"/>
  <c r="AV37" i="10"/>
  <c r="AU38" i="10"/>
  <c r="AK38" i="10"/>
  <c r="AL72" i="10" s="1" a="1"/>
  <c r="AL72" i="10" s="1"/>
  <c r="AK39" i="10"/>
  <c r="AK43" i="10"/>
  <c r="AK40" i="10"/>
  <c r="BM5" i="10"/>
  <c r="AV38" i="10" s="1"/>
  <c r="BM6" i="10"/>
  <c r="AV39" i="10" s="1"/>
  <c r="BM7" i="10"/>
  <c r="AV42" i="10" s="1"/>
  <c r="BM8" i="10"/>
  <c r="AV43" i="10" s="1"/>
  <c r="BM9" i="10"/>
  <c r="AV40" i="10" s="1"/>
  <c r="BM4" i="10"/>
  <c r="BL5" i="10"/>
  <c r="BL6" i="10"/>
  <c r="AU39" i="10" s="1"/>
  <c r="BL7" i="10"/>
  <c r="AU42" i="10" s="1"/>
  <c r="BL8" i="10"/>
  <c r="AU43" i="10" s="1"/>
  <c r="BL9" i="10"/>
  <c r="AU40" i="10" s="1"/>
  <c r="BL4" i="10"/>
  <c r="AU37" i="10" s="1"/>
  <c r="BI6" i="10"/>
  <c r="AR39" i="10" s="1"/>
  <c r="BK6" i="10"/>
  <c r="AT39" i="10" s="1"/>
  <c r="BJ8" i="10"/>
  <c r="AS43" i="10" s="1"/>
  <c r="BK8" i="10"/>
  <c r="AT43" i="10" s="1"/>
  <c r="BI4" i="10"/>
  <c r="AR37" i="10" s="1"/>
  <c r="BF6" i="10"/>
  <c r="AO39" i="10" s="1"/>
  <c r="BD5" i="10"/>
  <c r="AM38" i="10" s="1"/>
  <c r="BC6" i="10"/>
  <c r="AL39" i="10" s="1"/>
  <c r="BD8" i="10"/>
  <c r="AM43" i="10" s="1"/>
  <c r="BE8" i="10"/>
  <c r="AN43" i="10" s="1"/>
  <c r="BD4" i="10"/>
  <c r="AM37" i="10" s="1"/>
  <c r="AW4" i="10"/>
  <c r="AX4" i="10"/>
  <c r="AY4" i="10"/>
  <c r="BF4" i="10" s="1"/>
  <c r="AO37" i="10" s="1"/>
  <c r="AZ4" i="10"/>
  <c r="BJ4" i="10" s="1"/>
  <c r="AS37" i="10" s="1"/>
  <c r="BA4" i="10"/>
  <c r="BE4" i="10" s="1"/>
  <c r="AN37" i="10" s="1"/>
  <c r="AW5" i="10"/>
  <c r="AX5" i="10"/>
  <c r="AY5" i="10"/>
  <c r="BF5" i="10" s="1"/>
  <c r="AO38" i="10" s="1"/>
  <c r="AZ5" i="10"/>
  <c r="BG5" i="10" s="1"/>
  <c r="AP38" i="10" s="1"/>
  <c r="BA5" i="10"/>
  <c r="BK5" i="10" s="1"/>
  <c r="AT38" i="10" s="1"/>
  <c r="AW6" i="10"/>
  <c r="AX6" i="10"/>
  <c r="AY6" i="10"/>
  <c r="AZ6" i="10"/>
  <c r="BD6" i="10" s="1"/>
  <c r="AM39" i="10" s="1"/>
  <c r="BA6" i="10"/>
  <c r="BH6" i="10" s="1"/>
  <c r="AQ39" i="10" s="1"/>
  <c r="AW7" i="10"/>
  <c r="AX7" i="10"/>
  <c r="AY7" i="10"/>
  <c r="BI7" i="10" s="1"/>
  <c r="AR42" i="10" s="1"/>
  <c r="AZ7" i="10"/>
  <c r="BJ7" i="10" s="1"/>
  <c r="AS42" i="10" s="1"/>
  <c r="BA7" i="10"/>
  <c r="BK7" i="10" s="1"/>
  <c r="AT42" i="10" s="1"/>
  <c r="AW8" i="10"/>
  <c r="AX8" i="10"/>
  <c r="AY8" i="10"/>
  <c r="BI8" i="10" s="1"/>
  <c r="AR43" i="10" s="1"/>
  <c r="AZ8" i="10"/>
  <c r="BG8" i="10" s="1"/>
  <c r="AP43" i="10" s="1"/>
  <c r="BA8" i="10"/>
  <c r="BH8" i="10" s="1"/>
  <c r="AQ43" i="10" s="1"/>
  <c r="AW9" i="10"/>
  <c r="AX9" i="10"/>
  <c r="AY9" i="10"/>
  <c r="BI9" i="10" s="1"/>
  <c r="AR40" i="10" s="1"/>
  <c r="AZ9" i="10"/>
  <c r="BG9" i="10" s="1"/>
  <c r="AP40" i="10" s="1"/>
  <c r="BA9" i="10"/>
  <c r="BK9" i="10" s="1"/>
  <c r="AT40" i="10" s="1"/>
  <c r="AV5" i="10"/>
  <c r="AV6" i="10"/>
  <c r="AV7" i="10"/>
  <c r="AV8" i="10"/>
  <c r="AV9" i="10"/>
  <c r="AV4" i="10"/>
  <c r="AX117" i="10" l="1"/>
  <c r="BJ9" i="10"/>
  <c r="AS40" i="10" s="1"/>
  <c r="BF9" i="10"/>
  <c r="AO40" i="10" s="1"/>
  <c r="AM76" i="10" s="1" a="1"/>
  <c r="AM76" i="10" s="1"/>
  <c r="AL111" i="10" a="1"/>
  <c r="AL111" i="10" s="1"/>
  <c r="BD7" i="10"/>
  <c r="AM42" i="10" s="1"/>
  <c r="BG7" i="10"/>
  <c r="AP42" i="10" s="1"/>
  <c r="AS111" i="10" a="1"/>
  <c r="AS111" i="10" s="1"/>
  <c r="AV111" i="10" a="1"/>
  <c r="AV111" i="10" s="1"/>
  <c r="AX91" i="10"/>
  <c r="AX97" i="10"/>
  <c r="BC4" i="10"/>
  <c r="AL37" i="10" s="1"/>
  <c r="BE6" i="10"/>
  <c r="AN39" i="10" s="1"/>
  <c r="BF7" i="10"/>
  <c r="AO42" i="10" s="1"/>
  <c r="AS72" i="10" a="1"/>
  <c r="AS72" i="10" s="1"/>
  <c r="AJ109" i="10" a="1"/>
  <c r="AJ109" i="10" s="1"/>
  <c r="AN111" i="10" a="1"/>
  <c r="AN111" i="10" s="1"/>
  <c r="AW117" i="10" a="1"/>
  <c r="AW117" i="10" s="1"/>
  <c r="AR113" i="10" a="1"/>
  <c r="AR113" i="10" s="1"/>
  <c r="AL113" i="10" a="1"/>
  <c r="AL113" i="10" s="1"/>
  <c r="AX113" i="10" s="1"/>
  <c r="AM102" i="10"/>
  <c r="AN102" i="10"/>
  <c r="AX119" i="10"/>
  <c r="AX96" i="10"/>
  <c r="AJ110" i="10" a="1"/>
  <c r="AJ110" i="10" s="1"/>
  <c r="AO102" i="10"/>
  <c r="AW102" i="10"/>
  <c r="AT102" i="10"/>
  <c r="AX94" i="10"/>
  <c r="AJ115" i="10" a="1"/>
  <c r="AJ115" i="10" s="1"/>
  <c r="AU102" i="10"/>
  <c r="AX98" i="10"/>
  <c r="AJ116" i="10" a="1"/>
  <c r="AJ116" i="10" s="1"/>
  <c r="BD9" i="10"/>
  <c r="AM40" i="10" s="1"/>
  <c r="AR74" i="10" s="1" a="1"/>
  <c r="AR74" i="10" s="1"/>
  <c r="AQ111" i="10" a="1"/>
  <c r="AQ111" i="10" s="1"/>
  <c r="AJ72" i="10" a="1"/>
  <c r="AJ72" i="10" s="1"/>
  <c r="AT111" i="10" a="1"/>
  <c r="AT111" i="10" s="1"/>
  <c r="AX95" i="10"/>
  <c r="AL102" i="10"/>
  <c r="AQ102" i="10"/>
  <c r="BJ5" i="10"/>
  <c r="AS38" i="10" s="1"/>
  <c r="AJ80" i="10" s="1" a="1"/>
  <c r="AJ80" i="10" s="1"/>
  <c r="AT72" i="10" a="1"/>
  <c r="AT72" i="10" s="1"/>
  <c r="AP102" i="10"/>
  <c r="AK102" i="10"/>
  <c r="AJ111" i="10" a="1"/>
  <c r="AJ111" i="10" s="1"/>
  <c r="AM74" i="10" a="1"/>
  <c r="AM74" i="10" s="1"/>
  <c r="AU74" i="10" a="1"/>
  <c r="AU74" i="10" s="1"/>
  <c r="AS74" i="10" a="1"/>
  <c r="AS74" i="10" s="1"/>
  <c r="AW74" i="10" a="1"/>
  <c r="AW74" i="10" s="1"/>
  <c r="AQ74" i="10" a="1"/>
  <c r="AQ74" i="10" s="1"/>
  <c r="AK74" i="10" a="1"/>
  <c r="AK74" i="10" s="1"/>
  <c r="AL74" i="10" a="1"/>
  <c r="AL74" i="10" s="1"/>
  <c r="AO74" i="10" a="1"/>
  <c r="AO74" i="10" s="1"/>
  <c r="AV74" i="10" a="1"/>
  <c r="AV74" i="10" s="1"/>
  <c r="AP74" i="10" a="1"/>
  <c r="AP74" i="10" s="1"/>
  <c r="AX111" i="10"/>
  <c r="AS82" i="10" a="1"/>
  <c r="AS82" i="10" s="1"/>
  <c r="AK82" i="10" a="1"/>
  <c r="AK82" i="10" s="1"/>
  <c r="AO82" i="10" a="1"/>
  <c r="AO82" i="10" s="1"/>
  <c r="AT82" i="10" a="1"/>
  <c r="AT82" i="10" s="1"/>
  <c r="AJ82" i="10" a="1"/>
  <c r="AJ82" i="10" s="1"/>
  <c r="AP82" i="10" a="1"/>
  <c r="AP82" i="10" s="1"/>
  <c r="AL82" i="10" a="1"/>
  <c r="AL82" i="10" s="1"/>
  <c r="AQ82" i="10" a="1"/>
  <c r="AQ82" i="10" s="1"/>
  <c r="AU82" i="10" a="1"/>
  <c r="AU82" i="10" s="1"/>
  <c r="AM82" i="10" a="1"/>
  <c r="AM82" i="10" s="1"/>
  <c r="AV82" i="10" a="1"/>
  <c r="AV82" i="10" s="1"/>
  <c r="AR82" i="10" a="1"/>
  <c r="AR82" i="10" s="1"/>
  <c r="AW82" i="10" a="1"/>
  <c r="AW82" i="10" s="1"/>
  <c r="AN82" i="10" a="1"/>
  <c r="AN82" i="10" s="1"/>
  <c r="AP110" i="10" a="1"/>
  <c r="AP110" i="10" s="1"/>
  <c r="AK110" i="10" a="1"/>
  <c r="AK110" i="10" s="1"/>
  <c r="AM110" i="10" a="1"/>
  <c r="AM110" i="10" s="1"/>
  <c r="AQ116" i="10" a="1"/>
  <c r="AQ116" i="10" s="1"/>
  <c r="AV115" i="10" a="1"/>
  <c r="AV115" i="10" s="1"/>
  <c r="BC9" i="10"/>
  <c r="AL40" i="10" s="1"/>
  <c r="BC7" i="10"/>
  <c r="AL42" i="10" s="1"/>
  <c r="BC5" i="10"/>
  <c r="AL38" i="10" s="1"/>
  <c r="AN73" i="10" s="1" a="1"/>
  <c r="AN73" i="10" s="1"/>
  <c r="BH9" i="10"/>
  <c r="AQ40" i="10" s="1"/>
  <c r="BI5" i="10"/>
  <c r="AR38" i="10" s="1"/>
  <c r="AW79" i="10" s="1" a="1"/>
  <c r="AW79" i="10" s="1"/>
  <c r="AP72" i="10" a="1"/>
  <c r="AP72" i="10" s="1"/>
  <c r="AU72" i="10" a="1"/>
  <c r="AU72" i="10" s="1"/>
  <c r="AM111" i="10" a="1"/>
  <c r="AM111" i="10" s="1"/>
  <c r="AL110" i="10" a="1"/>
  <c r="AL110" i="10" s="1"/>
  <c r="AU110" i="10" a="1"/>
  <c r="AU110" i="10" s="1"/>
  <c r="AM72" i="10" a="1"/>
  <c r="AM72" i="10" s="1"/>
  <c r="AW116" i="10" a="1"/>
  <c r="AW116" i="10" s="1"/>
  <c r="AM116" i="10" a="1"/>
  <c r="AM116" i="10" s="1"/>
  <c r="AR115" i="10" a="1"/>
  <c r="AR115" i="10" s="1"/>
  <c r="AT115" i="10" a="1"/>
  <c r="AT115" i="10" s="1"/>
  <c r="AL76" i="10" a="1"/>
  <c r="AL76" i="10" s="1"/>
  <c r="AP76" i="10" a="1"/>
  <c r="AP76" i="10" s="1"/>
  <c r="AW76" i="10" a="1"/>
  <c r="AW76" i="10" s="1"/>
  <c r="AT76" i="10" a="1"/>
  <c r="AT76" i="10" s="1"/>
  <c r="AJ76" i="10" a="1"/>
  <c r="AJ76" i="10" s="1"/>
  <c r="AN76" i="10" a="1"/>
  <c r="AN76" i="10" s="1"/>
  <c r="AU76" i="10" a="1"/>
  <c r="AU76" i="10" s="1"/>
  <c r="AS76" i="10" a="1"/>
  <c r="AS76" i="10" s="1"/>
  <c r="AO76" i="10" a="1"/>
  <c r="AO76" i="10" s="1"/>
  <c r="AK76" i="10" a="1"/>
  <c r="AK76" i="10" s="1"/>
  <c r="AR76" i="10" a="1"/>
  <c r="AR76" i="10" s="1"/>
  <c r="AQ76" i="10" a="1"/>
  <c r="AQ76" i="10" s="1"/>
  <c r="AO83" i="10" a="1"/>
  <c r="AO83" i="10" s="1"/>
  <c r="AJ83" i="10" a="1"/>
  <c r="AJ83" i="10" s="1"/>
  <c r="AK83" i="10" a="1"/>
  <c r="AK83" i="10" s="1"/>
  <c r="AP83" i="10" a="1"/>
  <c r="AP83" i="10" s="1"/>
  <c r="AT83" i="10" a="1"/>
  <c r="AT83" i="10" s="1"/>
  <c r="AL83" i="10" a="1"/>
  <c r="AL83" i="10" s="1"/>
  <c r="AU83" i="10" a="1"/>
  <c r="AU83" i="10" s="1"/>
  <c r="AM83" i="10" a="1"/>
  <c r="AM83" i="10" s="1"/>
  <c r="AQ83" i="10" a="1"/>
  <c r="AQ83" i="10" s="1"/>
  <c r="AV83" i="10" a="1"/>
  <c r="AV83" i="10" s="1"/>
  <c r="AR83" i="10" a="1"/>
  <c r="AR83" i="10" s="1"/>
  <c r="AN83" i="10" a="1"/>
  <c r="AN83" i="10" s="1"/>
  <c r="AS83" i="10" a="1"/>
  <c r="AS83" i="10" s="1"/>
  <c r="AW83" i="10" a="1"/>
  <c r="AW83" i="10" s="1"/>
  <c r="BG6" i="10"/>
  <c r="AP39" i="10" s="1"/>
  <c r="AW72" i="10" a="1"/>
  <c r="AW72" i="10" s="1"/>
  <c r="AS110" i="10" a="1"/>
  <c r="AS110" i="10" s="1"/>
  <c r="AN110" i="10" a="1"/>
  <c r="AN110" i="10" s="1"/>
  <c r="AK116" i="10" a="1"/>
  <c r="AK116" i="10" s="1"/>
  <c r="AS116" i="10" a="1"/>
  <c r="AS116" i="10" s="1"/>
  <c r="AU116" i="10" a="1"/>
  <c r="AU116" i="10" s="1"/>
  <c r="AK115" i="10" a="1"/>
  <c r="AK115" i="10" s="1"/>
  <c r="AP115" i="10" a="1"/>
  <c r="AP115" i="10" s="1"/>
  <c r="AO110" i="10" a="1"/>
  <c r="AO110" i="10" s="1"/>
  <c r="AQ110" i="10" a="1"/>
  <c r="AQ110" i="10" s="1"/>
  <c r="AT116" i="10" a="1"/>
  <c r="AT116" i="10" s="1"/>
  <c r="AN116" i="10" a="1"/>
  <c r="AN116" i="10" s="1"/>
  <c r="AL116" i="10" a="1"/>
  <c r="AL116" i="10" s="1"/>
  <c r="AN115" i="10" a="1"/>
  <c r="AN115" i="10" s="1"/>
  <c r="BF8" i="10"/>
  <c r="AO43" i="10" s="1"/>
  <c r="BJ6" i="10"/>
  <c r="AS39" i="10" s="1"/>
  <c r="AK80" i="10" s="1" a="1"/>
  <c r="AK80" i="10" s="1"/>
  <c r="AX108" i="10"/>
  <c r="BC8" i="10"/>
  <c r="AL43" i="10" s="1"/>
  <c r="BG4" i="10"/>
  <c r="AP37" i="10" s="1"/>
  <c r="BH7" i="10"/>
  <c r="AQ42" i="10" s="1"/>
  <c r="BH5" i="10"/>
  <c r="AQ38" i="10" s="1"/>
  <c r="AQ72" i="10" a="1"/>
  <c r="AQ72" i="10" s="1"/>
  <c r="AO109" i="10" a="1"/>
  <c r="AO109" i="10" s="1"/>
  <c r="AT109" i="10" a="1"/>
  <c r="AT109" i="10" s="1"/>
  <c r="AK109" i="10" a="1"/>
  <c r="AK109" i="10" s="1"/>
  <c r="AP109" i="10" a="1"/>
  <c r="AP109" i="10" s="1"/>
  <c r="AJ120" i="10"/>
  <c r="AL109" i="10" a="1"/>
  <c r="AL109" i="10" s="1"/>
  <c r="AQ109" i="10" a="1"/>
  <c r="AQ109" i="10" s="1"/>
  <c r="AU109" i="10" a="1"/>
  <c r="AU109" i="10" s="1"/>
  <c r="AM109" i="10" a="1"/>
  <c r="AM109" i="10" s="1"/>
  <c r="AV109" i="10" a="1"/>
  <c r="AV109" i="10" s="1"/>
  <c r="AN109" i="10" a="1"/>
  <c r="AN109" i="10" s="1"/>
  <c r="AR109" i="10" a="1"/>
  <c r="AR109" i="10" s="1"/>
  <c r="AW109" i="10" a="1"/>
  <c r="AW109" i="10" s="1"/>
  <c r="AS109" i="10" a="1"/>
  <c r="AS109" i="10" s="1"/>
  <c r="AV110" i="10" a="1"/>
  <c r="AV110" i="10" s="1"/>
  <c r="AP116" i="10" a="1"/>
  <c r="AP116" i="10" s="1"/>
  <c r="AR116" i="10" a="1"/>
  <c r="AR116" i="10" s="1"/>
  <c r="AW115" i="10" a="1"/>
  <c r="AW115" i="10" s="1"/>
  <c r="AU115" i="10" a="1"/>
  <c r="AU115" i="10" s="1"/>
  <c r="AS115" i="10" a="1"/>
  <c r="AS115" i="10" s="1"/>
  <c r="BH4" i="10"/>
  <c r="AQ37" i="10" s="1"/>
  <c r="BK4" i="10"/>
  <c r="AT37" i="10" s="1"/>
  <c r="BE9" i="10"/>
  <c r="AN40" i="10" s="1"/>
  <c r="BE7" i="10"/>
  <c r="AN42" i="10" s="1"/>
  <c r="BE5" i="10"/>
  <c r="AN38" i="10" s="1"/>
  <c r="AR72" i="10" a="1"/>
  <c r="AR72" i="10" s="1"/>
  <c r="AV72" i="10" a="1"/>
  <c r="AV72" i="10" s="1"/>
  <c r="AO72" i="10" a="1"/>
  <c r="AO72" i="10" s="1"/>
  <c r="AN72" i="10" a="1"/>
  <c r="AN72" i="10" s="1"/>
  <c r="AK72" i="10" a="1"/>
  <c r="AK72" i="10" s="1"/>
  <c r="AQ112" i="10" a="1"/>
  <c r="AQ112" i="10" s="1"/>
  <c r="AU112" i="10" a="1"/>
  <c r="AU112" i="10" s="1"/>
  <c r="AN112" i="10" a="1"/>
  <c r="AN112" i="10" s="1"/>
  <c r="AV112" i="10" a="1"/>
  <c r="AV112" i="10" s="1"/>
  <c r="AK112" i="10" a="1"/>
  <c r="AK112" i="10" s="1"/>
  <c r="AR112" i="10" a="1"/>
  <c r="AR112" i="10" s="1"/>
  <c r="AO112" i="10" a="1"/>
  <c r="AO112" i="10" s="1"/>
  <c r="AS112" i="10" a="1"/>
  <c r="AS112" i="10" s="1"/>
  <c r="AW112" i="10" a="1"/>
  <c r="AW112" i="10" s="1"/>
  <c r="AL112" i="10" a="1"/>
  <c r="AL112" i="10" s="1"/>
  <c r="AP112" i="10" a="1"/>
  <c r="AP112" i="10" s="1"/>
  <c r="AM112" i="10" a="1"/>
  <c r="AM112" i="10" s="1"/>
  <c r="AT112" i="10" a="1"/>
  <c r="AT112" i="10" s="1"/>
  <c r="AW110" i="10" a="1"/>
  <c r="AW110" i="10" s="1"/>
  <c r="AR110" i="10" a="1"/>
  <c r="AR110" i="10" s="1"/>
  <c r="AX110" i="10" s="1"/>
  <c r="AO116" i="10" a="1"/>
  <c r="AO116" i="10" s="1"/>
  <c r="AO115" i="10" a="1"/>
  <c r="AO115" i="10" s="1"/>
  <c r="AQ115" i="10" a="1"/>
  <c r="AQ115" i="10" s="1"/>
  <c r="C103" i="10"/>
  <c r="D103" i="10"/>
  <c r="E103" i="10"/>
  <c r="F103" i="10"/>
  <c r="G103" i="10"/>
  <c r="H103" i="10"/>
  <c r="I103" i="10"/>
  <c r="J103" i="10"/>
  <c r="K103" i="10"/>
  <c r="L103" i="10"/>
  <c r="M103" i="10"/>
  <c r="N103" i="10"/>
  <c r="O103" i="10"/>
  <c r="P103" i="10"/>
  <c r="C96" i="10"/>
  <c r="D96" i="10"/>
  <c r="E96" i="10"/>
  <c r="F96" i="10"/>
  <c r="G96" i="10"/>
  <c r="H96" i="10"/>
  <c r="I96" i="10"/>
  <c r="J96" i="10"/>
  <c r="K96" i="10"/>
  <c r="L96" i="10"/>
  <c r="M96" i="10"/>
  <c r="N96" i="10"/>
  <c r="O96" i="10"/>
  <c r="P96" i="10"/>
  <c r="C88" i="10"/>
  <c r="D88" i="10"/>
  <c r="E88" i="10"/>
  <c r="F88" i="10"/>
  <c r="G88" i="10"/>
  <c r="H88" i="10"/>
  <c r="I88" i="10"/>
  <c r="J88" i="10"/>
  <c r="K88" i="10"/>
  <c r="L88" i="10"/>
  <c r="M88" i="10"/>
  <c r="N88" i="10"/>
  <c r="O88" i="10"/>
  <c r="P88" i="10"/>
  <c r="C81" i="10"/>
  <c r="D81" i="10"/>
  <c r="E81" i="10"/>
  <c r="F81" i="10"/>
  <c r="G81" i="10"/>
  <c r="H81" i="10"/>
  <c r="I81" i="10"/>
  <c r="J81" i="10"/>
  <c r="K81" i="10"/>
  <c r="L81" i="10"/>
  <c r="M81" i="10"/>
  <c r="N81" i="10"/>
  <c r="O81" i="10"/>
  <c r="P81" i="10"/>
  <c r="C74" i="10"/>
  <c r="D74" i="10"/>
  <c r="E74" i="10"/>
  <c r="F74" i="10"/>
  <c r="G74" i="10"/>
  <c r="H74" i="10"/>
  <c r="I74" i="10"/>
  <c r="J74" i="10"/>
  <c r="K74" i="10"/>
  <c r="L74" i="10"/>
  <c r="M74" i="10"/>
  <c r="N74" i="10"/>
  <c r="O74" i="10"/>
  <c r="P74" i="10"/>
  <c r="C67" i="10"/>
  <c r="D67" i="10"/>
  <c r="E67" i="10"/>
  <c r="F67" i="10"/>
  <c r="G67" i="10"/>
  <c r="H67" i="10"/>
  <c r="I67" i="10"/>
  <c r="J67" i="10"/>
  <c r="K67" i="10"/>
  <c r="L67" i="10"/>
  <c r="M67" i="10"/>
  <c r="N67" i="10"/>
  <c r="O67" i="10"/>
  <c r="P67" i="10"/>
  <c r="C60" i="10"/>
  <c r="D60" i="10"/>
  <c r="E60" i="10"/>
  <c r="F60" i="10"/>
  <c r="G60" i="10"/>
  <c r="H60" i="10"/>
  <c r="I60" i="10"/>
  <c r="J60" i="10"/>
  <c r="K60" i="10"/>
  <c r="L60" i="10"/>
  <c r="M60" i="10"/>
  <c r="N60" i="10"/>
  <c r="O60" i="10"/>
  <c r="P60" i="10"/>
  <c r="C53" i="10"/>
  <c r="D53" i="10"/>
  <c r="E53" i="10"/>
  <c r="F53" i="10"/>
  <c r="G53" i="10"/>
  <c r="H53" i="10"/>
  <c r="I53" i="10"/>
  <c r="J53" i="10"/>
  <c r="K53" i="10"/>
  <c r="L53" i="10"/>
  <c r="M53" i="10"/>
  <c r="N53" i="10"/>
  <c r="O53" i="10"/>
  <c r="P53" i="10"/>
  <c r="C46" i="10"/>
  <c r="D46" i="10"/>
  <c r="E46" i="10"/>
  <c r="F46" i="10"/>
  <c r="G46" i="10"/>
  <c r="H46" i="10"/>
  <c r="I46" i="10"/>
  <c r="J46" i="10"/>
  <c r="K46" i="10"/>
  <c r="L46" i="10"/>
  <c r="M46" i="10"/>
  <c r="N46" i="10"/>
  <c r="O46" i="10"/>
  <c r="P46" i="10"/>
  <c r="C39" i="10"/>
  <c r="D39" i="10"/>
  <c r="E39" i="10"/>
  <c r="F39" i="10"/>
  <c r="G39" i="10"/>
  <c r="H39" i="10"/>
  <c r="I39" i="10"/>
  <c r="J39" i="10"/>
  <c r="K39" i="10"/>
  <c r="L39" i="10"/>
  <c r="M39" i="10"/>
  <c r="N39" i="10"/>
  <c r="O39" i="10"/>
  <c r="P39" i="10"/>
  <c r="C32" i="10"/>
  <c r="D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C22" i="10"/>
  <c r="C25" i="10"/>
  <c r="D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C52" i="9"/>
  <c r="D52" i="9"/>
  <c r="AK26" i="9"/>
  <c r="J52" i="9" s="1"/>
  <c r="AF26" i="9"/>
  <c r="N52" i="9" s="1"/>
  <c r="AG26" i="9"/>
  <c r="M52" i="9" s="1"/>
  <c r="N26" i="9"/>
  <c r="T26" i="9" s="1"/>
  <c r="AH26" i="9" s="1"/>
  <c r="O26" i="9"/>
  <c r="AA26" i="9" s="1"/>
  <c r="P26" i="9"/>
  <c r="AB26" i="9" s="1"/>
  <c r="Q26" i="9"/>
  <c r="AC26" i="9" s="1"/>
  <c r="G52" i="9" s="1"/>
  <c r="R26" i="9"/>
  <c r="AD26" i="9" s="1"/>
  <c r="H52" i="9" s="1"/>
  <c r="S26" i="9"/>
  <c r="AE26" i="9" s="1"/>
  <c r="I52" i="9" s="1"/>
  <c r="G66" i="10"/>
  <c r="H24" i="10"/>
  <c r="H65" i="10"/>
  <c r="D49" i="9"/>
  <c r="D51" i="9"/>
  <c r="C48" i="9"/>
  <c r="C49" i="9"/>
  <c r="C50" i="9"/>
  <c r="C51" i="9"/>
  <c r="C47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29" i="9"/>
  <c r="AD3" i="8"/>
  <c r="AE3" i="8"/>
  <c r="AF3" i="8"/>
  <c r="AG3" i="8"/>
  <c r="AH3" i="8"/>
  <c r="AD4" i="8"/>
  <c r="AE4" i="8"/>
  <c r="AF4" i="8"/>
  <c r="AG4" i="8"/>
  <c r="AH4" i="8"/>
  <c r="AD5" i="8"/>
  <c r="AE5" i="8"/>
  <c r="AF5" i="8"/>
  <c r="AG5" i="8"/>
  <c r="AH5" i="8"/>
  <c r="AD6" i="8"/>
  <c r="AE6" i="8"/>
  <c r="AF6" i="8"/>
  <c r="AG6" i="8"/>
  <c r="AH6" i="8"/>
  <c r="AD7" i="8"/>
  <c r="AE7" i="8"/>
  <c r="AF7" i="8"/>
  <c r="AG7" i="8"/>
  <c r="AH7" i="8"/>
  <c r="AD8" i="8"/>
  <c r="AE8" i="8"/>
  <c r="AF8" i="8"/>
  <c r="AG8" i="8"/>
  <c r="AH8" i="8"/>
  <c r="AD9" i="8"/>
  <c r="AE9" i="8"/>
  <c r="AF9" i="8"/>
  <c r="AG9" i="8"/>
  <c r="AH9" i="8"/>
  <c r="AD10" i="8"/>
  <c r="AE10" i="8"/>
  <c r="AF10" i="8"/>
  <c r="AG10" i="8"/>
  <c r="AH10" i="8"/>
  <c r="AD11" i="8"/>
  <c r="AE11" i="8"/>
  <c r="AF11" i="8"/>
  <c r="AG11" i="8"/>
  <c r="AH11" i="8"/>
  <c r="AD12" i="8"/>
  <c r="AE12" i="8"/>
  <c r="AF12" i="8"/>
  <c r="AG12" i="8"/>
  <c r="AH12" i="8"/>
  <c r="AD13" i="8"/>
  <c r="AE13" i="8"/>
  <c r="AF13" i="8"/>
  <c r="AG13" i="8"/>
  <c r="AH13" i="8"/>
  <c r="AE14" i="8"/>
  <c r="AF14" i="8"/>
  <c r="AG14" i="8"/>
  <c r="AH14" i="8"/>
  <c r="AD15" i="8"/>
  <c r="AE15" i="8"/>
  <c r="AF15" i="8"/>
  <c r="AG15" i="8"/>
  <c r="AH15" i="8"/>
  <c r="AD16" i="8"/>
  <c r="AE16" i="8"/>
  <c r="AF16" i="8"/>
  <c r="AG16" i="8"/>
  <c r="AH16" i="8"/>
  <c r="AD17" i="8"/>
  <c r="AE17" i="8"/>
  <c r="AF17" i="8"/>
  <c r="AG17" i="8"/>
  <c r="AH17" i="8"/>
  <c r="AD18" i="8"/>
  <c r="AE18" i="8"/>
  <c r="AF18" i="8"/>
  <c r="AG18" i="8"/>
  <c r="AH18" i="8"/>
  <c r="AD19" i="8"/>
  <c r="AE19" i="8"/>
  <c r="AF19" i="8"/>
  <c r="AG19" i="8"/>
  <c r="AH19" i="8"/>
  <c r="AD20" i="8"/>
  <c r="AE20" i="8"/>
  <c r="AF20" i="8"/>
  <c r="AG20" i="8"/>
  <c r="AH20" i="8"/>
  <c r="AD21" i="8"/>
  <c r="AE21" i="8"/>
  <c r="AF21" i="8"/>
  <c r="AG21" i="8"/>
  <c r="AH21" i="8"/>
  <c r="AD22" i="8"/>
  <c r="AE22" i="8"/>
  <c r="AF22" i="8"/>
  <c r="AG22" i="8"/>
  <c r="AH22" i="8"/>
  <c r="AC17" i="8"/>
  <c r="AC18" i="8"/>
  <c r="AC19" i="8"/>
  <c r="AC20" i="8"/>
  <c r="AC21" i="8"/>
  <c r="AC4" i="8"/>
  <c r="AC5" i="8"/>
  <c r="AC6" i="8"/>
  <c r="AC7" i="8"/>
  <c r="AC8" i="8"/>
  <c r="AC9" i="8"/>
  <c r="AC3" i="8"/>
  <c r="T3" i="8"/>
  <c r="AL3" i="8"/>
  <c r="AM3" i="8"/>
  <c r="AN3" i="8"/>
  <c r="AO3" i="8"/>
  <c r="AP3" i="8"/>
  <c r="AQ3" i="8"/>
  <c r="AM4" i="8"/>
  <c r="AN4" i="8"/>
  <c r="AO4" i="8"/>
  <c r="AP4" i="8"/>
  <c r="AQ4" i="8"/>
  <c r="AM5" i="8"/>
  <c r="AN5" i="8"/>
  <c r="AO5" i="8"/>
  <c r="AP5" i="8"/>
  <c r="AQ5" i="8"/>
  <c r="AM6" i="8"/>
  <c r="AN6" i="8"/>
  <c r="AO6" i="8"/>
  <c r="AP6" i="8"/>
  <c r="AQ6" i="8"/>
  <c r="AM7" i="8"/>
  <c r="AN7" i="8"/>
  <c r="AO7" i="8"/>
  <c r="AP7" i="8"/>
  <c r="AQ7" i="8"/>
  <c r="AM8" i="8"/>
  <c r="AN8" i="8"/>
  <c r="AO8" i="8"/>
  <c r="AP8" i="8"/>
  <c r="AQ8" i="8"/>
  <c r="AM9" i="8"/>
  <c r="AN9" i="8"/>
  <c r="AO9" i="8"/>
  <c r="AP9" i="8"/>
  <c r="AQ9" i="8"/>
  <c r="AM10" i="8"/>
  <c r="AN10" i="8"/>
  <c r="AO10" i="8"/>
  <c r="AP10" i="8"/>
  <c r="AQ10" i="8"/>
  <c r="AM11" i="8"/>
  <c r="AN11" i="8"/>
  <c r="AO11" i="8"/>
  <c r="AP11" i="8"/>
  <c r="AQ11" i="8"/>
  <c r="AM12" i="8"/>
  <c r="AN12" i="8"/>
  <c r="AO12" i="8"/>
  <c r="AP12" i="8"/>
  <c r="AQ12" i="8"/>
  <c r="AM13" i="8"/>
  <c r="AN13" i="8"/>
  <c r="AO13" i="8"/>
  <c r="AP13" i="8"/>
  <c r="AQ13" i="8"/>
  <c r="AN14" i="8"/>
  <c r="AO14" i="8"/>
  <c r="AP14" i="8"/>
  <c r="AQ14" i="8"/>
  <c r="AM15" i="8"/>
  <c r="AN15" i="8"/>
  <c r="AO15" i="8"/>
  <c r="AP15" i="8"/>
  <c r="AQ15" i="8"/>
  <c r="AM16" i="8"/>
  <c r="AN16" i="8"/>
  <c r="AO16" i="8"/>
  <c r="AP16" i="8"/>
  <c r="AQ16" i="8"/>
  <c r="AM17" i="8"/>
  <c r="AN17" i="8"/>
  <c r="AO17" i="8"/>
  <c r="AP17" i="8"/>
  <c r="AQ17" i="8"/>
  <c r="AM18" i="8"/>
  <c r="AN18" i="8"/>
  <c r="AO18" i="8"/>
  <c r="AP18" i="8"/>
  <c r="AQ18" i="8"/>
  <c r="AM19" i="8"/>
  <c r="AN19" i="8"/>
  <c r="AO19" i="8"/>
  <c r="AP19" i="8"/>
  <c r="AQ19" i="8"/>
  <c r="AM20" i="8"/>
  <c r="AN20" i="8"/>
  <c r="AO20" i="8"/>
  <c r="AP20" i="8"/>
  <c r="AQ20" i="8"/>
  <c r="AM21" i="8"/>
  <c r="AN21" i="8"/>
  <c r="AO21" i="8"/>
  <c r="AP21" i="8"/>
  <c r="AQ21" i="8"/>
  <c r="AM22" i="8"/>
  <c r="AN22" i="8"/>
  <c r="AO22" i="8"/>
  <c r="AP22" i="8"/>
  <c r="AQ22" i="8"/>
  <c r="AL5" i="8"/>
  <c r="AL6" i="8"/>
  <c r="AL7" i="8"/>
  <c r="AL8" i="8"/>
  <c r="AL9" i="8"/>
  <c r="AL17" i="8"/>
  <c r="AL18" i="8"/>
  <c r="AL19" i="8"/>
  <c r="AL20" i="8"/>
  <c r="AL21" i="8"/>
  <c r="AL4" i="8"/>
  <c r="BA3" i="8"/>
  <c r="F24" i="10"/>
  <c r="G24" i="10"/>
  <c r="L24" i="10"/>
  <c r="M24" i="10"/>
  <c r="C23" i="10"/>
  <c r="C24" i="10"/>
  <c r="D102" i="10"/>
  <c r="E102" i="10"/>
  <c r="F102" i="10"/>
  <c r="G102" i="10"/>
  <c r="H102" i="10"/>
  <c r="I102" i="10"/>
  <c r="J102" i="10"/>
  <c r="K102" i="10"/>
  <c r="L102" i="10"/>
  <c r="M102" i="10"/>
  <c r="N102" i="10"/>
  <c r="O102" i="10"/>
  <c r="P102" i="10"/>
  <c r="C102" i="10"/>
  <c r="D94" i="10"/>
  <c r="E94" i="10"/>
  <c r="F94" i="10"/>
  <c r="G94" i="10"/>
  <c r="H94" i="10"/>
  <c r="I94" i="10"/>
  <c r="J94" i="10"/>
  <c r="K94" i="10"/>
  <c r="L94" i="10"/>
  <c r="M94" i="10"/>
  <c r="N94" i="10"/>
  <c r="O94" i="10"/>
  <c r="P94" i="10"/>
  <c r="D95" i="10"/>
  <c r="E95" i="10"/>
  <c r="F95" i="10"/>
  <c r="G95" i="10"/>
  <c r="H95" i="10"/>
  <c r="I95" i="10"/>
  <c r="J95" i="10"/>
  <c r="K95" i="10"/>
  <c r="L95" i="10"/>
  <c r="M95" i="10"/>
  <c r="N95" i="10"/>
  <c r="O95" i="10"/>
  <c r="P95" i="10"/>
  <c r="C95" i="10"/>
  <c r="D86" i="10"/>
  <c r="E86" i="10"/>
  <c r="F86" i="10"/>
  <c r="G86" i="10"/>
  <c r="H86" i="10"/>
  <c r="I86" i="10"/>
  <c r="J86" i="10"/>
  <c r="K86" i="10"/>
  <c r="L86" i="10"/>
  <c r="M86" i="10"/>
  <c r="N86" i="10"/>
  <c r="O86" i="10"/>
  <c r="P86" i="10"/>
  <c r="D87" i="10"/>
  <c r="E87" i="10"/>
  <c r="F87" i="10"/>
  <c r="G87" i="10"/>
  <c r="H87" i="10"/>
  <c r="I87" i="10"/>
  <c r="J87" i="10"/>
  <c r="K87" i="10"/>
  <c r="L87" i="10"/>
  <c r="M87" i="10"/>
  <c r="N87" i="10"/>
  <c r="O87" i="10"/>
  <c r="P87" i="10"/>
  <c r="D80" i="10"/>
  <c r="E80" i="10"/>
  <c r="F80" i="10"/>
  <c r="G80" i="10"/>
  <c r="H80" i="10"/>
  <c r="I80" i="10"/>
  <c r="J80" i="10"/>
  <c r="K80" i="10"/>
  <c r="L80" i="10"/>
  <c r="M80" i="10"/>
  <c r="N80" i="10"/>
  <c r="O80" i="10"/>
  <c r="P80" i="10"/>
  <c r="C73" i="10"/>
  <c r="C80" i="10"/>
  <c r="D72" i="10"/>
  <c r="E72" i="10"/>
  <c r="F72" i="10"/>
  <c r="G72" i="10"/>
  <c r="H72" i="10"/>
  <c r="I72" i="10"/>
  <c r="J72" i="10"/>
  <c r="K72" i="10"/>
  <c r="L72" i="10"/>
  <c r="M72" i="10"/>
  <c r="N72" i="10"/>
  <c r="O72" i="10"/>
  <c r="P72" i="10"/>
  <c r="D73" i="10"/>
  <c r="E73" i="10"/>
  <c r="F73" i="10"/>
  <c r="G73" i="10"/>
  <c r="H73" i="10"/>
  <c r="I73" i="10"/>
  <c r="J73" i="10"/>
  <c r="K73" i="10"/>
  <c r="L73" i="10"/>
  <c r="M73" i="10"/>
  <c r="N73" i="10"/>
  <c r="O73" i="10"/>
  <c r="P73" i="10"/>
  <c r="D59" i="10"/>
  <c r="E59" i="10"/>
  <c r="F59" i="10"/>
  <c r="G59" i="10"/>
  <c r="H59" i="10"/>
  <c r="I59" i="10"/>
  <c r="J59" i="10"/>
  <c r="K59" i="10"/>
  <c r="L59" i="10"/>
  <c r="M59" i="10"/>
  <c r="N59" i="10"/>
  <c r="O59" i="10"/>
  <c r="P59" i="10"/>
  <c r="F65" i="10"/>
  <c r="G65" i="10"/>
  <c r="L65" i="10"/>
  <c r="M65" i="10"/>
  <c r="E66" i="10"/>
  <c r="F66" i="10"/>
  <c r="K66" i="10"/>
  <c r="L66" i="10"/>
  <c r="C66" i="10"/>
  <c r="C59" i="10"/>
  <c r="D52" i="10"/>
  <c r="E52" i="10"/>
  <c r="F52" i="10"/>
  <c r="G52" i="10"/>
  <c r="H52" i="10"/>
  <c r="I52" i="10"/>
  <c r="J52" i="10"/>
  <c r="K52" i="10"/>
  <c r="L52" i="10"/>
  <c r="M52" i="10"/>
  <c r="N52" i="10"/>
  <c r="O52" i="10"/>
  <c r="P52" i="10"/>
  <c r="C52" i="10"/>
  <c r="P44" i="10"/>
  <c r="P45" i="10"/>
  <c r="D44" i="10"/>
  <c r="E44" i="10"/>
  <c r="F44" i="10"/>
  <c r="G44" i="10"/>
  <c r="H44" i="10"/>
  <c r="I44" i="10"/>
  <c r="J44" i="10"/>
  <c r="K44" i="10"/>
  <c r="L44" i="10"/>
  <c r="M44" i="10"/>
  <c r="N44" i="10"/>
  <c r="O44" i="10"/>
  <c r="D45" i="10"/>
  <c r="E45" i="10"/>
  <c r="F45" i="10"/>
  <c r="G45" i="10"/>
  <c r="H45" i="10"/>
  <c r="I45" i="10"/>
  <c r="J45" i="10"/>
  <c r="K45" i="10"/>
  <c r="L45" i="10"/>
  <c r="M45" i="10"/>
  <c r="N45" i="10"/>
  <c r="O45" i="10"/>
  <c r="C45" i="10"/>
  <c r="D38" i="10"/>
  <c r="E38" i="10"/>
  <c r="F38" i="10"/>
  <c r="G38" i="10"/>
  <c r="H38" i="10"/>
  <c r="I38" i="10"/>
  <c r="J38" i="10"/>
  <c r="K38" i="10"/>
  <c r="L38" i="10"/>
  <c r="M38" i="10"/>
  <c r="N38" i="10"/>
  <c r="O38" i="10"/>
  <c r="P38" i="10"/>
  <c r="C38" i="10"/>
  <c r="C31" i="10"/>
  <c r="D31" i="10"/>
  <c r="E31" i="10"/>
  <c r="F31" i="10"/>
  <c r="G31" i="10"/>
  <c r="H31" i="10"/>
  <c r="I31" i="10"/>
  <c r="J31" i="10"/>
  <c r="K31" i="10"/>
  <c r="L31" i="10"/>
  <c r="M31" i="10"/>
  <c r="N31" i="10"/>
  <c r="O31" i="10"/>
  <c r="P31" i="10"/>
  <c r="AF25" i="9"/>
  <c r="N51" i="9" s="1"/>
  <c r="AG25" i="9"/>
  <c r="M51" i="9" s="1"/>
  <c r="N25" i="9"/>
  <c r="T25" i="9" s="1"/>
  <c r="AH25" i="9" s="1"/>
  <c r="O25" i="9"/>
  <c r="U25" i="9" s="1"/>
  <c r="AI25" i="9" s="1"/>
  <c r="P25" i="9"/>
  <c r="V25" i="9" s="1"/>
  <c r="AJ25" i="9" s="1"/>
  <c r="Q25" i="9"/>
  <c r="AK25" i="9" s="1"/>
  <c r="J51" i="9" s="1"/>
  <c r="R25" i="9"/>
  <c r="S25" i="9"/>
  <c r="AE25" i="9" s="1"/>
  <c r="I51" i="9" s="1"/>
  <c r="T39" i="10" l="1"/>
  <c r="S39" i="10"/>
  <c r="AU120" i="10"/>
  <c r="T38" i="10"/>
  <c r="S38" i="10"/>
  <c r="AX83" i="10"/>
  <c r="AV76" i="10" a="1"/>
  <c r="AV76" i="10" s="1"/>
  <c r="AQ73" i="10" a="1"/>
  <c r="AQ73" i="10" s="1"/>
  <c r="AU80" i="10" a="1"/>
  <c r="AU80" i="10" s="1"/>
  <c r="AT74" i="10" a="1"/>
  <c r="AT74" i="10" s="1"/>
  <c r="AN74" i="10" a="1"/>
  <c r="AN74" i="10" s="1"/>
  <c r="AN79" i="10" a="1"/>
  <c r="AN79" i="10" s="1"/>
  <c r="AV120" i="10"/>
  <c r="AP120" i="10"/>
  <c r="AO79" i="10" a="1"/>
  <c r="AO79" i="10" s="1"/>
  <c r="AK75" i="10" a="1"/>
  <c r="AK75" i="10" s="1"/>
  <c r="AS120" i="10"/>
  <c r="AJ74" i="10" a="1"/>
  <c r="AJ74" i="10" s="1"/>
  <c r="Z26" i="9"/>
  <c r="V26" i="9"/>
  <c r="AJ26" i="9" s="1"/>
  <c r="Y26" i="9"/>
  <c r="AX115" i="10"/>
  <c r="AM75" i="10" a="1"/>
  <c r="AM75" i="10" s="1"/>
  <c r="AJ75" i="10" a="1"/>
  <c r="AJ75" i="10" s="1"/>
  <c r="AP73" i="10" a="1"/>
  <c r="AP73" i="10" s="1"/>
  <c r="S25" i="10"/>
  <c r="S103" i="10"/>
  <c r="AM120" i="10"/>
  <c r="AK120" i="10"/>
  <c r="AL77" i="10" a="1"/>
  <c r="AL77" i="10" s="1"/>
  <c r="AQ77" i="10" a="1"/>
  <c r="AQ77" i="10" s="1"/>
  <c r="AV77" i="10" a="1"/>
  <c r="AV77" i="10" s="1"/>
  <c r="AM77" i="10" a="1"/>
  <c r="AM77" i="10" s="1"/>
  <c r="AR77" i="10" a="1"/>
  <c r="AR77" i="10" s="1"/>
  <c r="AO77" i="10" a="1"/>
  <c r="AO77" i="10" s="1"/>
  <c r="AJ77" i="10" a="1"/>
  <c r="AJ77" i="10" s="1"/>
  <c r="AK77" i="10" a="1"/>
  <c r="AK77" i="10" s="1"/>
  <c r="AU77" i="10" a="1"/>
  <c r="AU77" i="10" s="1"/>
  <c r="AS77" i="10" a="1"/>
  <c r="AS77" i="10" s="1"/>
  <c r="AT77" i="10" a="1"/>
  <c r="AT77" i="10" s="1"/>
  <c r="AN77" i="10" a="1"/>
  <c r="AN77" i="10" s="1"/>
  <c r="AW77" i="10" a="1"/>
  <c r="AW77" i="10" s="1"/>
  <c r="AP77" i="10" a="1"/>
  <c r="AP77" i="10" s="1"/>
  <c r="AV79" i="10" a="1"/>
  <c r="AV79" i="10" s="1"/>
  <c r="AU79" i="10" a="1"/>
  <c r="AU79" i="10" s="1"/>
  <c r="AL80" i="10" a="1"/>
  <c r="AL80" i="10" s="1"/>
  <c r="AS80" i="10" a="1"/>
  <c r="AS80" i="10" s="1"/>
  <c r="AP80" i="10" a="1"/>
  <c r="AP80" i="10" s="1"/>
  <c r="AU75" i="10" a="1"/>
  <c r="AU75" i="10" s="1"/>
  <c r="AS75" i="10" a="1"/>
  <c r="AS75" i="10" s="1"/>
  <c r="AR73" i="10" a="1"/>
  <c r="AR73" i="10" s="1"/>
  <c r="AK73" i="10" a="1"/>
  <c r="AK73" i="10" s="1"/>
  <c r="AK78" i="10" a="1"/>
  <c r="AK78" i="10" s="1"/>
  <c r="AR78" i="10" a="1"/>
  <c r="AR78" i="10" s="1"/>
  <c r="AO78" i="10" a="1"/>
  <c r="AO78" i="10" s="1"/>
  <c r="AV78" i="10" a="1"/>
  <c r="AV78" i="10" s="1"/>
  <c r="AP78" i="10" a="1"/>
  <c r="AP78" i="10" s="1"/>
  <c r="AT78" i="10" a="1"/>
  <c r="AT78" i="10" s="1"/>
  <c r="AM78" i="10" a="1"/>
  <c r="AM78" i="10" s="1"/>
  <c r="AU78" i="10" a="1"/>
  <c r="AU78" i="10" s="1"/>
  <c r="AJ78" i="10" a="1"/>
  <c r="AJ78" i="10" s="1"/>
  <c r="AQ78" i="10" a="1"/>
  <c r="AQ78" i="10" s="1"/>
  <c r="AS78" i="10" a="1"/>
  <c r="AS78" i="10" s="1"/>
  <c r="AL78" i="10" a="1"/>
  <c r="AL78" i="10" s="1"/>
  <c r="AN78" i="10" a="1"/>
  <c r="AN78" i="10" s="1"/>
  <c r="AW78" i="10" a="1"/>
  <c r="AW78" i="10" s="1"/>
  <c r="AT120" i="10"/>
  <c r="AR79" i="10" a="1"/>
  <c r="AR79" i="10" s="1"/>
  <c r="AM79" i="10" a="1"/>
  <c r="AM79" i="10" s="1"/>
  <c r="AR80" i="10" a="1"/>
  <c r="AR80" i="10" s="1"/>
  <c r="AM80" i="10" a="1"/>
  <c r="AM80" i="10" s="1"/>
  <c r="AW80" i="10" a="1"/>
  <c r="AW80" i="10" s="1"/>
  <c r="AV75" i="10" a="1"/>
  <c r="AV75" i="10" s="1"/>
  <c r="AQ75" i="10" a="1"/>
  <c r="AQ75" i="10" s="1"/>
  <c r="AN75" i="10" a="1"/>
  <c r="AN75" i="10" s="1"/>
  <c r="AJ73" i="10" a="1"/>
  <c r="AJ73" i="10" s="1"/>
  <c r="AT73" i="10" a="1"/>
  <c r="AT73" i="10" s="1"/>
  <c r="AX72" i="10"/>
  <c r="AW120" i="10"/>
  <c r="AQ120" i="10"/>
  <c r="AO120" i="10"/>
  <c r="AX116" i="10"/>
  <c r="AJ79" i="10" a="1"/>
  <c r="AJ79" i="10" s="1"/>
  <c r="AS79" i="10" a="1"/>
  <c r="AS79" i="10" s="1"/>
  <c r="AQ79" i="10" a="1"/>
  <c r="AQ79" i="10" s="1"/>
  <c r="AT80" i="10" a="1"/>
  <c r="AT80" i="10" s="1"/>
  <c r="AV80" i="10" a="1"/>
  <c r="AV80" i="10" s="1"/>
  <c r="AL75" i="10" a="1"/>
  <c r="AL75" i="10" s="1"/>
  <c r="AT75" i="10" a="1"/>
  <c r="AT75" i="10" s="1"/>
  <c r="AR75" i="10" a="1"/>
  <c r="AR75" i="10" s="1"/>
  <c r="AM73" i="10" a="1"/>
  <c r="AM73" i="10" s="1"/>
  <c r="AO73" i="10" a="1"/>
  <c r="AO73" i="10" s="1"/>
  <c r="S96" i="10"/>
  <c r="AR120" i="10"/>
  <c r="AL120" i="10"/>
  <c r="AX76" i="10"/>
  <c r="AX82" i="10"/>
  <c r="AT79" i="10" a="1"/>
  <c r="AT79" i="10" s="1"/>
  <c r="AK79" i="10" a="1"/>
  <c r="AK79" i="10" s="1"/>
  <c r="AL79" i="10" a="1"/>
  <c r="AL79" i="10" s="1"/>
  <c r="AO80" i="10" a="1"/>
  <c r="AO80" i="10" s="1"/>
  <c r="AQ80" i="10" a="1"/>
  <c r="AQ80" i="10" s="1"/>
  <c r="AX74" i="10"/>
  <c r="AW75" i="10" a="1"/>
  <c r="AW75" i="10" s="1"/>
  <c r="AP75" i="10" a="1"/>
  <c r="AP75" i="10" s="1"/>
  <c r="AU73" i="10" a="1"/>
  <c r="AU73" i="10" s="1"/>
  <c r="AU84" i="10" s="1"/>
  <c r="AL73" i="10" a="1"/>
  <c r="AL73" i="10" s="1"/>
  <c r="AL84" i="10" s="1"/>
  <c r="AW73" i="10" a="1"/>
  <c r="AW73" i="10" s="1"/>
  <c r="AX112" i="10"/>
  <c r="AQ81" i="10" a="1"/>
  <c r="AQ81" i="10" s="1"/>
  <c r="AQ84" i="10" s="1"/>
  <c r="AN81" i="10" a="1"/>
  <c r="AN81" i="10" s="1"/>
  <c r="AU81" i="10" a="1"/>
  <c r="AU81" i="10" s="1"/>
  <c r="AK81" i="10" a="1"/>
  <c r="AK81" i="10" s="1"/>
  <c r="AO81" i="10" a="1"/>
  <c r="AO81" i="10" s="1"/>
  <c r="AS81" i="10" a="1"/>
  <c r="AS81" i="10" s="1"/>
  <c r="AL81" i="10" a="1"/>
  <c r="AL81" i="10" s="1"/>
  <c r="AP81" i="10" a="1"/>
  <c r="AP81" i="10" s="1"/>
  <c r="AW81" i="10" a="1"/>
  <c r="AW81" i="10" s="1"/>
  <c r="AR81" i="10" a="1"/>
  <c r="AR81" i="10" s="1"/>
  <c r="AJ81" i="10" a="1"/>
  <c r="AJ81" i="10" s="1"/>
  <c r="AV81" i="10" a="1"/>
  <c r="AV81" i="10" s="1"/>
  <c r="AT81" i="10" a="1"/>
  <c r="AT81" i="10" s="1"/>
  <c r="AM81" i="10" a="1"/>
  <c r="AM81" i="10" s="1"/>
  <c r="AN120" i="10"/>
  <c r="AX109" i="10"/>
  <c r="AP79" i="10" a="1"/>
  <c r="AP79" i="10" s="1"/>
  <c r="AN80" i="10" a="1"/>
  <c r="AN80" i="10" s="1"/>
  <c r="AO75" i="10" a="1"/>
  <c r="AO75" i="10" s="1"/>
  <c r="AS73" i="10" a="1"/>
  <c r="AS73" i="10" s="1"/>
  <c r="AV73" i="10" a="1"/>
  <c r="AV73" i="10" s="1"/>
  <c r="AV84" i="10" s="1"/>
  <c r="T96" i="10"/>
  <c r="S46" i="10"/>
  <c r="T46" i="10"/>
  <c r="T103" i="10"/>
  <c r="T25" i="10"/>
  <c r="U26" i="9"/>
  <c r="AI26" i="9" s="1"/>
  <c r="X26" i="9"/>
  <c r="Z25" i="9"/>
  <c r="X25" i="9"/>
  <c r="E51" i="9" s="1"/>
  <c r="AB25" i="9"/>
  <c r="T102" i="10"/>
  <c r="T95" i="10"/>
  <c r="T45" i="10"/>
  <c r="S95" i="10"/>
  <c r="S45" i="10"/>
  <c r="S102" i="10"/>
  <c r="P66" i="10"/>
  <c r="J66" i="10"/>
  <c r="D66" i="10"/>
  <c r="K65" i="10"/>
  <c r="E65" i="10"/>
  <c r="K24" i="10"/>
  <c r="E24" i="10"/>
  <c r="O66" i="10"/>
  <c r="I66" i="10"/>
  <c r="P65" i="10"/>
  <c r="J65" i="10"/>
  <c r="D65" i="10"/>
  <c r="P24" i="10"/>
  <c r="J24" i="10"/>
  <c r="D24" i="10"/>
  <c r="N66" i="10"/>
  <c r="H66" i="10"/>
  <c r="O65" i="10"/>
  <c r="I65" i="10"/>
  <c r="O24" i="10"/>
  <c r="I24" i="10"/>
  <c r="M66" i="10"/>
  <c r="N65" i="10"/>
  <c r="N24" i="10"/>
  <c r="AA25" i="9"/>
  <c r="Y25" i="9"/>
  <c r="AD25" i="9"/>
  <c r="H51" i="9" s="1"/>
  <c r="AC25" i="9"/>
  <c r="G51" i="9" s="1"/>
  <c r="AW84" i="10" l="1"/>
  <c r="AX80" i="10"/>
  <c r="AK84" i="10"/>
  <c r="AN84" i="10"/>
  <c r="AR84" i="10"/>
  <c r="AO84" i="10"/>
  <c r="AM84" i="10"/>
  <c r="AP84" i="10"/>
  <c r="U15" i="10"/>
  <c r="AL26" i="9"/>
  <c r="K52" i="9" s="1"/>
  <c r="E52" i="9"/>
  <c r="AM26" i="9"/>
  <c r="L52" i="9" s="1"/>
  <c r="F52" i="9"/>
  <c r="T15" i="10"/>
  <c r="AX77" i="10"/>
  <c r="AS84" i="10"/>
  <c r="AX75" i="10"/>
  <c r="AX79" i="10"/>
  <c r="W15" i="10"/>
  <c r="AX81" i="10"/>
  <c r="AT84" i="10"/>
  <c r="AX78" i="10"/>
  <c r="AX73" i="10"/>
  <c r="AJ84" i="10"/>
  <c r="V15" i="10"/>
  <c r="Z15" i="10"/>
  <c r="AM25" i="9"/>
  <c r="L51" i="9" s="1"/>
  <c r="F51" i="9"/>
  <c r="AL25" i="9"/>
  <c r="K51" i="9" s="1"/>
  <c r="S24" i="10"/>
  <c r="T24" i="10"/>
  <c r="N21" i="8"/>
  <c r="O21" i="8"/>
  <c r="P21" i="8"/>
  <c r="Q21" i="8"/>
  <c r="R21" i="8"/>
  <c r="S21" i="8"/>
  <c r="T21" i="8"/>
  <c r="U21" i="8"/>
  <c r="V21" i="8"/>
  <c r="W21" i="8"/>
  <c r="X21" i="8"/>
  <c r="Y21" i="8"/>
  <c r="O22" i="8"/>
  <c r="P22" i="8"/>
  <c r="Q22" i="8"/>
  <c r="W22" i="8" s="1"/>
  <c r="R22" i="8"/>
  <c r="S22" i="8"/>
  <c r="X22" i="8"/>
  <c r="Y22" i="8"/>
  <c r="P99" i="10"/>
  <c r="P100" i="10"/>
  <c r="P101" i="10"/>
  <c r="D99" i="10"/>
  <c r="E99" i="10"/>
  <c r="F99" i="10"/>
  <c r="G99" i="10"/>
  <c r="H99" i="10"/>
  <c r="I99" i="10"/>
  <c r="J99" i="10"/>
  <c r="K99" i="10"/>
  <c r="L99" i="10"/>
  <c r="M99" i="10"/>
  <c r="N99" i="10"/>
  <c r="O99" i="10"/>
  <c r="D100" i="10"/>
  <c r="E100" i="10"/>
  <c r="F100" i="10"/>
  <c r="G100" i="10"/>
  <c r="H100" i="10"/>
  <c r="I100" i="10"/>
  <c r="J100" i="10"/>
  <c r="K100" i="10"/>
  <c r="L100" i="10"/>
  <c r="M100" i="10"/>
  <c r="N100" i="10"/>
  <c r="O100" i="10"/>
  <c r="D101" i="10"/>
  <c r="E101" i="10"/>
  <c r="F101" i="10"/>
  <c r="G101" i="10"/>
  <c r="H101" i="10"/>
  <c r="I101" i="10"/>
  <c r="J101" i="10"/>
  <c r="K101" i="10"/>
  <c r="L101" i="10"/>
  <c r="M101" i="10"/>
  <c r="N101" i="10"/>
  <c r="O101" i="10"/>
  <c r="C100" i="10"/>
  <c r="C101" i="10"/>
  <c r="C99" i="10"/>
  <c r="D92" i="10"/>
  <c r="E92" i="10"/>
  <c r="F92" i="10"/>
  <c r="G92" i="10"/>
  <c r="H92" i="10"/>
  <c r="I92" i="10"/>
  <c r="J92" i="10"/>
  <c r="K92" i="10"/>
  <c r="L92" i="10"/>
  <c r="M92" i="10"/>
  <c r="N92" i="10"/>
  <c r="O92" i="10"/>
  <c r="P92" i="10"/>
  <c r="D93" i="10"/>
  <c r="E93" i="10"/>
  <c r="F93" i="10"/>
  <c r="G93" i="10"/>
  <c r="H93" i="10"/>
  <c r="I93" i="10"/>
  <c r="J93" i="10"/>
  <c r="K93" i="10"/>
  <c r="L93" i="10"/>
  <c r="M93" i="10"/>
  <c r="N93" i="10"/>
  <c r="O93" i="10"/>
  <c r="P93" i="10"/>
  <c r="C93" i="10"/>
  <c r="C94" i="10"/>
  <c r="C92" i="10"/>
  <c r="C84" i="10"/>
  <c r="C85" i="10"/>
  <c r="C86" i="10"/>
  <c r="D84" i="10"/>
  <c r="E84" i="10"/>
  <c r="F84" i="10"/>
  <c r="G84" i="10"/>
  <c r="H84" i="10"/>
  <c r="I84" i="10"/>
  <c r="J84" i="10"/>
  <c r="K84" i="10"/>
  <c r="L84" i="10"/>
  <c r="M84" i="10"/>
  <c r="N84" i="10"/>
  <c r="O84" i="10"/>
  <c r="P84" i="10"/>
  <c r="D85" i="10"/>
  <c r="E85" i="10"/>
  <c r="F85" i="10"/>
  <c r="G85" i="10"/>
  <c r="H85" i="10"/>
  <c r="I85" i="10"/>
  <c r="J85" i="10"/>
  <c r="K85" i="10"/>
  <c r="L85" i="10"/>
  <c r="M85" i="10"/>
  <c r="N85" i="10"/>
  <c r="O85" i="10"/>
  <c r="P85" i="10"/>
  <c r="D77" i="10"/>
  <c r="E77" i="10"/>
  <c r="F77" i="10"/>
  <c r="G77" i="10"/>
  <c r="H77" i="10"/>
  <c r="I77" i="10"/>
  <c r="J77" i="10"/>
  <c r="K77" i="10"/>
  <c r="L77" i="10"/>
  <c r="M77" i="10"/>
  <c r="N77" i="10"/>
  <c r="O77" i="10"/>
  <c r="P77" i="10"/>
  <c r="D78" i="10"/>
  <c r="E78" i="10"/>
  <c r="F78" i="10"/>
  <c r="G78" i="10"/>
  <c r="H78" i="10"/>
  <c r="I78" i="10"/>
  <c r="J78" i="10"/>
  <c r="K78" i="10"/>
  <c r="L78" i="10"/>
  <c r="M78" i="10"/>
  <c r="N78" i="10"/>
  <c r="O78" i="10"/>
  <c r="P78" i="10"/>
  <c r="D79" i="10"/>
  <c r="E79" i="10"/>
  <c r="F79" i="10"/>
  <c r="G79" i="10"/>
  <c r="H79" i="10"/>
  <c r="I79" i="10"/>
  <c r="J79" i="10"/>
  <c r="K79" i="10"/>
  <c r="L79" i="10"/>
  <c r="M79" i="10"/>
  <c r="N79" i="10"/>
  <c r="O79" i="10"/>
  <c r="P79" i="10"/>
  <c r="C78" i="10"/>
  <c r="C79" i="10"/>
  <c r="C77" i="10"/>
  <c r="D70" i="10"/>
  <c r="E70" i="10"/>
  <c r="F70" i="10"/>
  <c r="G70" i="10"/>
  <c r="H70" i="10"/>
  <c r="I70" i="10"/>
  <c r="J70" i="10"/>
  <c r="K70" i="10"/>
  <c r="L70" i="10"/>
  <c r="M70" i="10"/>
  <c r="N70" i="10"/>
  <c r="O70" i="10"/>
  <c r="P70" i="10"/>
  <c r="D71" i="10"/>
  <c r="E71" i="10"/>
  <c r="F71" i="10"/>
  <c r="G71" i="10"/>
  <c r="H71" i="10"/>
  <c r="I71" i="10"/>
  <c r="J71" i="10"/>
  <c r="K71" i="10"/>
  <c r="L71" i="10"/>
  <c r="M71" i="10"/>
  <c r="N71" i="10"/>
  <c r="O71" i="10"/>
  <c r="P71" i="10"/>
  <c r="C71" i="10"/>
  <c r="C72" i="10"/>
  <c r="C70" i="10"/>
  <c r="D63" i="10"/>
  <c r="E63" i="10"/>
  <c r="F63" i="10"/>
  <c r="G63" i="10"/>
  <c r="H63" i="10"/>
  <c r="I63" i="10"/>
  <c r="J63" i="10"/>
  <c r="K63" i="10"/>
  <c r="L63" i="10"/>
  <c r="M63" i="10"/>
  <c r="N63" i="10"/>
  <c r="O63" i="10"/>
  <c r="P63" i="10"/>
  <c r="D64" i="10"/>
  <c r="E64" i="10"/>
  <c r="F64" i="10"/>
  <c r="G64" i="10"/>
  <c r="H64" i="10"/>
  <c r="I64" i="10"/>
  <c r="J64" i="10"/>
  <c r="K64" i="10"/>
  <c r="L64" i="10"/>
  <c r="M64" i="10"/>
  <c r="N64" i="10"/>
  <c r="O64" i="10"/>
  <c r="P64" i="10"/>
  <c r="C64" i="10"/>
  <c r="C65" i="10"/>
  <c r="C63" i="10"/>
  <c r="D56" i="10"/>
  <c r="E56" i="10"/>
  <c r="F56" i="10"/>
  <c r="G56" i="10"/>
  <c r="H56" i="10"/>
  <c r="I56" i="10"/>
  <c r="J56" i="10"/>
  <c r="K56" i="10"/>
  <c r="L56" i="10"/>
  <c r="M56" i="10"/>
  <c r="N56" i="10"/>
  <c r="O56" i="10"/>
  <c r="P56" i="10"/>
  <c r="D57" i="10"/>
  <c r="E57" i="10"/>
  <c r="F57" i="10"/>
  <c r="G57" i="10"/>
  <c r="H57" i="10"/>
  <c r="I57" i="10"/>
  <c r="J57" i="10"/>
  <c r="K57" i="10"/>
  <c r="L57" i="10"/>
  <c r="M57" i="10"/>
  <c r="N57" i="10"/>
  <c r="O57" i="10"/>
  <c r="P57" i="10"/>
  <c r="D58" i="10"/>
  <c r="E58" i="10"/>
  <c r="F58" i="10"/>
  <c r="G58" i="10"/>
  <c r="H58" i="10"/>
  <c r="I58" i="10"/>
  <c r="J58" i="10"/>
  <c r="K58" i="10"/>
  <c r="L58" i="10"/>
  <c r="M58" i="10"/>
  <c r="N58" i="10"/>
  <c r="O58" i="10"/>
  <c r="P58" i="10"/>
  <c r="C57" i="10"/>
  <c r="C58" i="10"/>
  <c r="D49" i="10"/>
  <c r="E49" i="10"/>
  <c r="F49" i="10"/>
  <c r="G49" i="10"/>
  <c r="H49" i="10"/>
  <c r="I49" i="10"/>
  <c r="J49" i="10"/>
  <c r="K49" i="10"/>
  <c r="L49" i="10"/>
  <c r="M49" i="10"/>
  <c r="N49" i="10"/>
  <c r="O49" i="10"/>
  <c r="P49" i="10"/>
  <c r="D50" i="10"/>
  <c r="E50" i="10"/>
  <c r="F50" i="10"/>
  <c r="G50" i="10"/>
  <c r="H50" i="10"/>
  <c r="I50" i="10"/>
  <c r="J50" i="10"/>
  <c r="K50" i="10"/>
  <c r="L50" i="10"/>
  <c r="M50" i="10"/>
  <c r="N50" i="10"/>
  <c r="O50" i="10"/>
  <c r="P50" i="10"/>
  <c r="D51" i="10"/>
  <c r="E51" i="10"/>
  <c r="F51" i="10"/>
  <c r="G51" i="10"/>
  <c r="H51" i="10"/>
  <c r="I51" i="10"/>
  <c r="J51" i="10"/>
  <c r="K51" i="10"/>
  <c r="L51" i="10"/>
  <c r="M51" i="10"/>
  <c r="N51" i="10"/>
  <c r="O51" i="10"/>
  <c r="P51" i="10"/>
  <c r="C50" i="10"/>
  <c r="C51" i="10"/>
  <c r="C49" i="10"/>
  <c r="D42" i="10"/>
  <c r="D35" i="10"/>
  <c r="D28" i="10"/>
  <c r="C28" i="10"/>
  <c r="E42" i="10"/>
  <c r="F42" i="10"/>
  <c r="G42" i="10"/>
  <c r="H42" i="10"/>
  <c r="I42" i="10"/>
  <c r="J42" i="10"/>
  <c r="K42" i="10"/>
  <c r="L42" i="10"/>
  <c r="M42" i="10"/>
  <c r="N42" i="10"/>
  <c r="O42" i="10"/>
  <c r="P42" i="10"/>
  <c r="D43" i="10"/>
  <c r="E43" i="10"/>
  <c r="F43" i="10"/>
  <c r="G43" i="10"/>
  <c r="H43" i="10"/>
  <c r="I43" i="10"/>
  <c r="J43" i="10"/>
  <c r="K43" i="10"/>
  <c r="L43" i="10"/>
  <c r="M43" i="10"/>
  <c r="N43" i="10"/>
  <c r="O43" i="10"/>
  <c r="P43" i="10"/>
  <c r="C43" i="10"/>
  <c r="C44" i="10"/>
  <c r="C42" i="10"/>
  <c r="G37" i="10"/>
  <c r="E35" i="10"/>
  <c r="F35" i="10"/>
  <c r="G35" i="10"/>
  <c r="H35" i="10"/>
  <c r="I35" i="10"/>
  <c r="J35" i="10"/>
  <c r="K35" i="10"/>
  <c r="L35" i="10"/>
  <c r="M35" i="10"/>
  <c r="N35" i="10"/>
  <c r="O35" i="10"/>
  <c r="P35" i="10"/>
  <c r="D36" i="10"/>
  <c r="E36" i="10"/>
  <c r="F36" i="10"/>
  <c r="G36" i="10"/>
  <c r="H36" i="10"/>
  <c r="I36" i="10"/>
  <c r="J36" i="10"/>
  <c r="K36" i="10"/>
  <c r="L36" i="10"/>
  <c r="M36" i="10"/>
  <c r="N36" i="10"/>
  <c r="O36" i="10"/>
  <c r="P36" i="10"/>
  <c r="D37" i="10"/>
  <c r="F37" i="10"/>
  <c r="H37" i="10"/>
  <c r="I37" i="10"/>
  <c r="J37" i="10"/>
  <c r="K37" i="10"/>
  <c r="L37" i="10"/>
  <c r="M37" i="10"/>
  <c r="N37" i="10"/>
  <c r="O37" i="10"/>
  <c r="P37" i="10"/>
  <c r="C29" i="10"/>
  <c r="C36" i="10"/>
  <c r="C37" i="10"/>
  <c r="C35" i="10"/>
  <c r="E28" i="10"/>
  <c r="F28" i="10"/>
  <c r="G28" i="10"/>
  <c r="I28" i="10"/>
  <c r="J28" i="10"/>
  <c r="K28" i="10"/>
  <c r="L28" i="10"/>
  <c r="M28" i="10"/>
  <c r="N28" i="10"/>
  <c r="O28" i="10"/>
  <c r="P28" i="10"/>
  <c r="D29" i="10"/>
  <c r="E29" i="10"/>
  <c r="F29" i="10"/>
  <c r="G29" i="10"/>
  <c r="H29" i="10"/>
  <c r="I29" i="10"/>
  <c r="J29" i="10"/>
  <c r="K29" i="10"/>
  <c r="L29" i="10"/>
  <c r="M29" i="10"/>
  <c r="N29" i="10"/>
  <c r="O29" i="10"/>
  <c r="P29" i="10"/>
  <c r="D30" i="10"/>
  <c r="E30" i="10"/>
  <c r="F30" i="10"/>
  <c r="G30" i="10"/>
  <c r="H30" i="10"/>
  <c r="I30" i="10"/>
  <c r="J30" i="10"/>
  <c r="K30" i="10"/>
  <c r="L30" i="10"/>
  <c r="M30" i="10"/>
  <c r="N30" i="10"/>
  <c r="O30" i="10"/>
  <c r="P30" i="10"/>
  <c r="C30" i="10"/>
  <c r="P21" i="10"/>
  <c r="P22" i="10"/>
  <c r="P23" i="10"/>
  <c r="D22" i="10"/>
  <c r="E22" i="10"/>
  <c r="F22" i="10"/>
  <c r="G22" i="10"/>
  <c r="H22" i="10"/>
  <c r="I22" i="10"/>
  <c r="J22" i="10"/>
  <c r="K22" i="10"/>
  <c r="L22" i="10"/>
  <c r="M22" i="10"/>
  <c r="N22" i="10"/>
  <c r="O22" i="10"/>
  <c r="D23" i="10"/>
  <c r="E23" i="10"/>
  <c r="F23" i="10"/>
  <c r="G23" i="10"/>
  <c r="H23" i="10"/>
  <c r="I23" i="10"/>
  <c r="J23" i="10"/>
  <c r="K23" i="10"/>
  <c r="L23" i="10"/>
  <c r="M23" i="10"/>
  <c r="N23" i="10"/>
  <c r="O23" i="10"/>
  <c r="G21" i="10"/>
  <c r="H21" i="10"/>
  <c r="J21" i="10"/>
  <c r="K21" i="10"/>
  <c r="M21" i="10"/>
  <c r="N21" i="10"/>
  <c r="O21" i="10"/>
  <c r="E21" i="10"/>
  <c r="AG24" i="9"/>
  <c r="M50" i="9" s="1"/>
  <c r="AF3" i="9"/>
  <c r="N29" i="9" s="1"/>
  <c r="S24" i="9"/>
  <c r="Y24" i="9" s="1"/>
  <c r="AF24" i="9"/>
  <c r="N50" i="9" s="1"/>
  <c r="O24" i="9"/>
  <c r="U24" i="9" s="1"/>
  <c r="AI24" i="9" s="1"/>
  <c r="P24" i="9"/>
  <c r="Q24" i="9"/>
  <c r="AC24" i="9" s="1"/>
  <c r="G50" i="9" s="1"/>
  <c r="R24" i="9"/>
  <c r="X24" i="9" s="1"/>
  <c r="E50" i="9" s="1"/>
  <c r="N24" i="9"/>
  <c r="T24" i="9" s="1"/>
  <c r="AH24" i="9" s="1"/>
  <c r="T36" i="10" l="1"/>
  <c r="S36" i="10"/>
  <c r="T37" i="10"/>
  <c r="S37" i="10"/>
  <c r="S35" i="10"/>
  <c r="T35" i="10"/>
  <c r="S99" i="10"/>
  <c r="W12" i="10"/>
  <c r="T12" i="10"/>
  <c r="AM24" i="9"/>
  <c r="L50" i="9" s="1"/>
  <c r="F50" i="9"/>
  <c r="Z12" i="10"/>
  <c r="V12" i="10"/>
  <c r="U12" i="10"/>
  <c r="T23" i="10"/>
  <c r="S23" i="10"/>
  <c r="S22" i="10"/>
  <c r="T22" i="10"/>
  <c r="S21" i="10"/>
  <c r="T21" i="10"/>
  <c r="T92" i="10"/>
  <c r="S92" i="10"/>
  <c r="T101" i="10"/>
  <c r="S101" i="10"/>
  <c r="T99" i="10"/>
  <c r="T42" i="10"/>
  <c r="S42" i="10"/>
  <c r="T44" i="10"/>
  <c r="S44" i="10"/>
  <c r="T94" i="10"/>
  <c r="S94" i="10"/>
  <c r="T100" i="10"/>
  <c r="S100" i="10"/>
  <c r="T43" i="10"/>
  <c r="S43" i="10"/>
  <c r="S93" i="10"/>
  <c r="T93" i="10"/>
  <c r="AD24" i="9"/>
  <c r="H50" i="9" s="1"/>
  <c r="AE24" i="9"/>
  <c r="I50" i="9" s="1"/>
  <c r="AL24" i="9"/>
  <c r="K50" i="9" s="1"/>
  <c r="AA24" i="9"/>
  <c r="Z24" i="9"/>
  <c r="AB24" i="9"/>
  <c r="V24" i="9"/>
  <c r="AJ24" i="9" s="1"/>
  <c r="W24" i="9"/>
  <c r="D50" i="9" s="1"/>
  <c r="Z11" i="10" l="1"/>
  <c r="U13" i="10"/>
  <c r="V13" i="10"/>
  <c r="Z13" i="10"/>
  <c r="W13" i="10"/>
  <c r="T13" i="10"/>
  <c r="W14" i="10"/>
  <c r="T14" i="10"/>
  <c r="U14" i="10"/>
  <c r="V14" i="10"/>
  <c r="Z14" i="10"/>
  <c r="V11" i="10"/>
  <c r="T11" i="10"/>
  <c r="W11" i="10"/>
  <c r="U11" i="10"/>
  <c r="AK24" i="9"/>
  <c r="J50" i="9" s="1"/>
  <c r="O23" i="9"/>
  <c r="O14" i="9"/>
  <c r="AG23" i="9"/>
  <c r="M49" i="9" s="1"/>
  <c r="AF23" i="9"/>
  <c r="N49" i="9" s="1"/>
  <c r="AG22" i="9"/>
  <c r="M48" i="9" s="1"/>
  <c r="AF22" i="9"/>
  <c r="N48" i="9" s="1"/>
  <c r="AG21" i="9"/>
  <c r="AF21" i="9"/>
  <c r="AG20" i="9"/>
  <c r="AF20" i="9"/>
  <c r="AG19" i="9"/>
  <c r="AF19" i="9"/>
  <c r="AG18" i="9"/>
  <c r="AF18" i="9"/>
  <c r="AG17" i="9"/>
  <c r="AF17" i="9"/>
  <c r="AG16" i="9"/>
  <c r="AF16" i="9"/>
  <c r="AG15" i="9"/>
  <c r="AF15" i="9"/>
  <c r="AG14" i="9"/>
  <c r="AF14" i="9"/>
  <c r="AG13" i="9"/>
  <c r="AF13" i="9"/>
  <c r="AG12" i="9"/>
  <c r="AF12" i="9"/>
  <c r="AG11" i="9"/>
  <c r="AF11" i="9"/>
  <c r="AG10" i="9"/>
  <c r="AF10" i="9"/>
  <c r="AG9" i="9"/>
  <c r="AF9" i="9"/>
  <c r="AG8" i="9"/>
  <c r="AF8" i="9"/>
  <c r="AG7" i="9"/>
  <c r="AF7" i="9"/>
  <c r="AG6" i="9"/>
  <c r="AF6" i="9"/>
  <c r="AG5" i="9"/>
  <c r="AF5" i="9"/>
  <c r="AG4" i="9"/>
  <c r="AF4" i="9"/>
  <c r="AG3" i="9"/>
  <c r="M29" i="9" s="1"/>
  <c r="N22" i="9"/>
  <c r="N23" i="9"/>
  <c r="N10" i="9"/>
  <c r="N11" i="9"/>
  <c r="N12" i="9"/>
  <c r="N13" i="9"/>
  <c r="N14" i="9"/>
  <c r="N15" i="9"/>
  <c r="N16" i="9"/>
  <c r="N3" i="9"/>
  <c r="S23" i="9"/>
  <c r="R23" i="9"/>
  <c r="X23" i="9" s="1"/>
  <c r="E49" i="9" s="1"/>
  <c r="Q23" i="9"/>
  <c r="P23" i="9"/>
  <c r="S22" i="9"/>
  <c r="R22" i="9"/>
  <c r="Q22" i="9"/>
  <c r="P22" i="9"/>
  <c r="O22" i="9"/>
  <c r="S21" i="9"/>
  <c r="R21" i="9"/>
  <c r="X21" i="9" s="1"/>
  <c r="Q21" i="9"/>
  <c r="P21" i="9"/>
  <c r="O21" i="9"/>
  <c r="N21" i="9"/>
  <c r="S20" i="9"/>
  <c r="R20" i="9"/>
  <c r="X20" i="9" s="1"/>
  <c r="Q20" i="9"/>
  <c r="P20" i="9"/>
  <c r="O20" i="9"/>
  <c r="N20" i="9"/>
  <c r="S19" i="9"/>
  <c r="R19" i="9"/>
  <c r="X19" i="9" s="1"/>
  <c r="Q19" i="9"/>
  <c r="P19" i="9"/>
  <c r="O19" i="9"/>
  <c r="N19" i="9"/>
  <c r="S18" i="9"/>
  <c r="R18" i="9"/>
  <c r="X18" i="9" s="1"/>
  <c r="Q18" i="9"/>
  <c r="P18" i="9"/>
  <c r="O18" i="9"/>
  <c r="N18" i="9"/>
  <c r="S17" i="9"/>
  <c r="R17" i="9"/>
  <c r="X17" i="9" s="1"/>
  <c r="Q17" i="9"/>
  <c r="P17" i="9"/>
  <c r="O17" i="9"/>
  <c r="N17" i="9"/>
  <c r="S16" i="9"/>
  <c r="R16" i="9"/>
  <c r="X16" i="9" s="1"/>
  <c r="Q16" i="9"/>
  <c r="P16" i="9"/>
  <c r="O16" i="9"/>
  <c r="S15" i="9"/>
  <c r="R15" i="9"/>
  <c r="X15" i="9" s="1"/>
  <c r="Q15" i="9"/>
  <c r="P15" i="9"/>
  <c r="O15" i="9"/>
  <c r="S14" i="9"/>
  <c r="R14" i="9"/>
  <c r="X14" i="9" s="1"/>
  <c r="Q14" i="9"/>
  <c r="P14" i="9"/>
  <c r="S13" i="9"/>
  <c r="R13" i="9"/>
  <c r="X13" i="9" s="1"/>
  <c r="Q13" i="9"/>
  <c r="P13" i="9"/>
  <c r="O13" i="9"/>
  <c r="S12" i="9"/>
  <c r="R12" i="9"/>
  <c r="X12" i="9" s="1"/>
  <c r="Q12" i="9"/>
  <c r="P12" i="9"/>
  <c r="O12" i="9"/>
  <c r="S11" i="9"/>
  <c r="R11" i="9"/>
  <c r="X11" i="9" s="1"/>
  <c r="Q11" i="9"/>
  <c r="P11" i="9"/>
  <c r="O11" i="9"/>
  <c r="S10" i="9"/>
  <c r="R10" i="9"/>
  <c r="X10" i="9" s="1"/>
  <c r="Q10" i="9"/>
  <c r="P10" i="9"/>
  <c r="O10" i="9"/>
  <c r="S9" i="9"/>
  <c r="R9" i="9"/>
  <c r="X9" i="9" s="1"/>
  <c r="Q9" i="9"/>
  <c r="P9" i="9"/>
  <c r="O9" i="9"/>
  <c r="N9" i="9"/>
  <c r="S8" i="9"/>
  <c r="R8" i="9"/>
  <c r="X8" i="9" s="1"/>
  <c r="Q8" i="9"/>
  <c r="P8" i="9"/>
  <c r="O8" i="9"/>
  <c r="N8" i="9"/>
  <c r="S7" i="9"/>
  <c r="R7" i="9"/>
  <c r="X7" i="9" s="1"/>
  <c r="Q7" i="9"/>
  <c r="P7" i="9"/>
  <c r="O7" i="9"/>
  <c r="N7" i="9"/>
  <c r="S6" i="9"/>
  <c r="R6" i="9"/>
  <c r="X6" i="9" s="1"/>
  <c r="Q6" i="9"/>
  <c r="P6" i="9"/>
  <c r="O6" i="9"/>
  <c r="N6" i="9"/>
  <c r="S5" i="9"/>
  <c r="R5" i="9"/>
  <c r="X5" i="9" s="1"/>
  <c r="Q5" i="9"/>
  <c r="P5" i="9"/>
  <c r="O5" i="9"/>
  <c r="N5" i="9"/>
  <c r="S4" i="9"/>
  <c r="R4" i="9"/>
  <c r="X4" i="9" s="1"/>
  <c r="Q4" i="9"/>
  <c r="P4" i="9"/>
  <c r="O4" i="9"/>
  <c r="N4" i="9"/>
  <c r="S3" i="9"/>
  <c r="R3" i="9"/>
  <c r="Q3" i="9"/>
  <c r="P3" i="9"/>
  <c r="O3" i="9"/>
  <c r="BA4" i="8"/>
  <c r="BB4" i="8"/>
  <c r="BC4" i="8"/>
  <c r="BD4" i="8"/>
  <c r="BE4" i="8"/>
  <c r="BF4" i="8"/>
  <c r="BA5" i="8"/>
  <c r="BB5" i="8"/>
  <c r="BC5" i="8"/>
  <c r="BD5" i="8"/>
  <c r="BE5" i="8"/>
  <c r="BF5" i="8"/>
  <c r="BA6" i="8"/>
  <c r="BB6" i="8"/>
  <c r="BC6" i="8"/>
  <c r="BD6" i="8"/>
  <c r="BE6" i="8"/>
  <c r="BF6" i="8"/>
  <c r="BA7" i="8"/>
  <c r="BB7" i="8"/>
  <c r="BC7" i="8"/>
  <c r="BD7" i="8"/>
  <c r="BE7" i="8"/>
  <c r="BF7" i="8"/>
  <c r="BA8" i="8"/>
  <c r="BB8" i="8"/>
  <c r="BC8" i="8"/>
  <c r="BD8" i="8"/>
  <c r="BE8" i="8"/>
  <c r="BF8" i="8"/>
  <c r="BA9" i="8"/>
  <c r="BB9" i="8"/>
  <c r="BC9" i="8"/>
  <c r="BD9" i="8"/>
  <c r="BE9" i="8"/>
  <c r="BF9" i="8"/>
  <c r="BB10" i="8"/>
  <c r="BC10" i="8"/>
  <c r="BD10" i="8"/>
  <c r="BE10" i="8"/>
  <c r="BF10" i="8"/>
  <c r="BC11" i="8"/>
  <c r="BD11" i="8"/>
  <c r="BE11" i="8"/>
  <c r="BF11" i="8"/>
  <c r="BC12" i="8"/>
  <c r="BD12" i="8"/>
  <c r="BE12" i="8"/>
  <c r="BF12" i="8"/>
  <c r="BC13" i="8"/>
  <c r="BD13" i="8"/>
  <c r="BE13" i="8"/>
  <c r="BF13" i="8"/>
  <c r="BD14" i="8"/>
  <c r="BE14" i="8"/>
  <c r="BF14" i="8"/>
  <c r="BC15" i="8"/>
  <c r="BD15" i="8"/>
  <c r="BE15" i="8"/>
  <c r="BF15" i="8"/>
  <c r="BC16" i="8"/>
  <c r="BD16" i="8"/>
  <c r="BE16" i="8"/>
  <c r="BF16" i="8"/>
  <c r="BB17" i="8"/>
  <c r="BC17" i="8"/>
  <c r="BD17" i="8"/>
  <c r="BE17" i="8"/>
  <c r="BF17" i="8"/>
  <c r="BA18" i="8"/>
  <c r="BB18" i="8"/>
  <c r="BC18" i="8"/>
  <c r="BD18" i="8"/>
  <c r="BE18" i="8"/>
  <c r="BF18" i="8"/>
  <c r="BA19" i="8"/>
  <c r="BB19" i="8"/>
  <c r="BC19" i="8"/>
  <c r="BD19" i="8"/>
  <c r="BE19" i="8"/>
  <c r="BF19" i="8"/>
  <c r="BA20" i="8"/>
  <c r="BB20" i="8"/>
  <c r="BC20" i="8"/>
  <c r="BD20" i="8"/>
  <c r="BE20" i="8"/>
  <c r="BF20" i="8"/>
  <c r="BB3" i="8"/>
  <c r="BC3" i="8"/>
  <c r="BD3" i="8"/>
  <c r="BE3" i="8"/>
  <c r="BF3" i="8"/>
  <c r="AT4" i="8"/>
  <c r="AT5" i="8"/>
  <c r="AT6" i="8"/>
  <c r="AT7" i="8"/>
  <c r="AT8" i="8"/>
  <c r="AT9" i="8"/>
  <c r="AT10" i="8"/>
  <c r="AT11" i="8"/>
  <c r="AT12" i="8"/>
  <c r="AT13" i="8"/>
  <c r="AT14" i="8"/>
  <c r="AT15" i="8"/>
  <c r="AT16" i="8"/>
  <c r="AT17" i="8"/>
  <c r="AT18" i="8"/>
  <c r="AT19" i="8"/>
  <c r="AT20" i="8"/>
  <c r="AT21" i="8"/>
  <c r="AT22" i="8"/>
  <c r="AT3" i="8"/>
  <c r="AS4" i="8"/>
  <c r="AS5" i="8"/>
  <c r="AS6" i="8"/>
  <c r="AS7" i="8"/>
  <c r="AS8" i="8"/>
  <c r="AS9" i="8"/>
  <c r="AS10" i="8"/>
  <c r="AS11" i="8"/>
  <c r="AS12" i="8"/>
  <c r="AS13" i="8"/>
  <c r="AS14" i="8"/>
  <c r="AS15" i="8"/>
  <c r="AS16" i="8"/>
  <c r="AS17" i="8"/>
  <c r="AS18" i="8"/>
  <c r="AS19" i="8"/>
  <c r="AS20" i="8"/>
  <c r="AS21" i="8"/>
  <c r="AS22" i="8"/>
  <c r="AS3" i="8"/>
  <c r="AR4" i="8"/>
  <c r="AR5" i="8"/>
  <c r="AR6" i="8"/>
  <c r="AR7" i="8"/>
  <c r="AR8" i="8"/>
  <c r="AR9" i="8"/>
  <c r="AR10" i="8"/>
  <c r="AR11" i="8"/>
  <c r="AR12" i="8"/>
  <c r="AR13" i="8"/>
  <c r="AR14" i="8"/>
  <c r="AR15" i="8"/>
  <c r="AR16" i="8"/>
  <c r="AR17" i="8"/>
  <c r="AR18" i="8"/>
  <c r="AR19" i="8"/>
  <c r="AR20" i="8"/>
  <c r="AR21" i="8"/>
  <c r="AR22" i="8"/>
  <c r="AR3" i="8"/>
  <c r="AK4" i="8"/>
  <c r="AK5" i="8"/>
  <c r="AK6" i="8"/>
  <c r="AK7" i="8"/>
  <c r="AK8" i="8"/>
  <c r="AK9" i="8"/>
  <c r="AK10" i="8"/>
  <c r="AK11" i="8"/>
  <c r="AK12" i="8"/>
  <c r="AK13" i="8"/>
  <c r="AK14" i="8"/>
  <c r="AK15" i="8"/>
  <c r="AK16" i="8"/>
  <c r="AK17" i="8"/>
  <c r="AK18" i="8"/>
  <c r="AK19" i="8"/>
  <c r="AK20" i="8"/>
  <c r="AK21" i="8"/>
  <c r="AK22" i="8"/>
  <c r="AK3" i="8"/>
  <c r="AJ4" i="8"/>
  <c r="AJ5" i="8"/>
  <c r="AJ6" i="8"/>
  <c r="AJ7" i="8"/>
  <c r="AJ8" i="8"/>
  <c r="AJ9" i="8"/>
  <c r="AJ10" i="8"/>
  <c r="AJ11" i="8"/>
  <c r="AJ12" i="8"/>
  <c r="AJ13" i="8"/>
  <c r="AJ14" i="8"/>
  <c r="AJ15" i="8"/>
  <c r="AJ16" i="8"/>
  <c r="AJ17" i="8"/>
  <c r="AJ18" i="8"/>
  <c r="AJ19" i="8"/>
  <c r="AJ20" i="8"/>
  <c r="AJ21" i="8"/>
  <c r="AJ22" i="8"/>
  <c r="AJ3" i="8"/>
  <c r="AI4" i="8"/>
  <c r="AI5" i="8"/>
  <c r="AI6" i="8"/>
  <c r="AI7" i="8"/>
  <c r="AI8" i="8"/>
  <c r="AI9" i="8"/>
  <c r="AI10" i="8"/>
  <c r="AI11" i="8"/>
  <c r="AI12" i="8"/>
  <c r="AI13" i="8"/>
  <c r="AI14" i="8"/>
  <c r="AI15" i="8"/>
  <c r="AI16" i="8"/>
  <c r="AI17" i="8"/>
  <c r="AI18" i="8"/>
  <c r="AI19" i="8"/>
  <c r="AI20" i="8"/>
  <c r="AI21" i="8"/>
  <c r="AI22" i="8"/>
  <c r="AI3" i="8"/>
  <c r="AB4" i="8"/>
  <c r="AB5" i="8"/>
  <c r="AB6" i="8"/>
  <c r="AB7" i="8"/>
  <c r="AB8" i="8"/>
  <c r="AB9" i="8"/>
  <c r="AB10" i="8"/>
  <c r="AB11" i="8"/>
  <c r="AB12" i="8"/>
  <c r="AB13" i="8"/>
  <c r="AB14" i="8"/>
  <c r="AB15" i="8"/>
  <c r="AB16" i="8"/>
  <c r="AB17" i="8"/>
  <c r="AB18" i="8"/>
  <c r="AB19" i="8"/>
  <c r="AB20" i="8"/>
  <c r="AB21" i="8"/>
  <c r="AB22" i="8"/>
  <c r="AB3" i="8"/>
  <c r="AA4" i="8"/>
  <c r="AA5" i="8"/>
  <c r="AA6" i="8"/>
  <c r="AA7" i="8"/>
  <c r="AA8" i="8"/>
  <c r="AA9" i="8"/>
  <c r="AA10" i="8"/>
  <c r="AA11" i="8"/>
  <c r="AA12" i="8"/>
  <c r="AA13" i="8"/>
  <c r="AA14" i="8"/>
  <c r="AA15" i="8"/>
  <c r="AA16" i="8"/>
  <c r="AA17" i="8"/>
  <c r="AA18" i="8"/>
  <c r="AA19" i="8"/>
  <c r="AA20" i="8"/>
  <c r="AA21" i="8"/>
  <c r="AA22" i="8"/>
  <c r="AA3" i="8"/>
  <c r="Z3" i="8"/>
  <c r="Z4" i="8"/>
  <c r="Z5" i="8"/>
  <c r="Z6" i="8"/>
  <c r="Z7" i="8"/>
  <c r="Z8" i="8"/>
  <c r="Z9" i="8"/>
  <c r="Z10" i="8"/>
  <c r="Z11" i="8"/>
  <c r="Z12" i="8"/>
  <c r="Z13" i="8"/>
  <c r="Z14" i="8"/>
  <c r="Z15" i="8"/>
  <c r="Z16" i="8"/>
  <c r="Z17" i="8"/>
  <c r="Z18" i="8"/>
  <c r="Z19" i="8"/>
  <c r="Z20" i="8"/>
  <c r="Z21" i="8"/>
  <c r="Z22" i="8"/>
  <c r="N3" i="8"/>
  <c r="O3" i="8"/>
  <c r="U3" i="8" s="1"/>
  <c r="P3" i="8"/>
  <c r="V3" i="8" s="1"/>
  <c r="Q3" i="8"/>
  <c r="W3" i="8" s="1"/>
  <c r="R3" i="8"/>
  <c r="X3" i="8" s="1"/>
  <c r="S3" i="8"/>
  <c r="Y3" i="8" s="1"/>
  <c r="O4" i="8"/>
  <c r="U4" i="8" s="1"/>
  <c r="P4" i="8"/>
  <c r="V4" i="8" s="1"/>
  <c r="Q4" i="8"/>
  <c r="W4" i="8" s="1"/>
  <c r="R4" i="8"/>
  <c r="X4" i="8" s="1"/>
  <c r="S4" i="8"/>
  <c r="Y4" i="8" s="1"/>
  <c r="O5" i="8"/>
  <c r="U5" i="8" s="1"/>
  <c r="P5" i="8"/>
  <c r="V5" i="8" s="1"/>
  <c r="Q5" i="8"/>
  <c r="W5" i="8" s="1"/>
  <c r="R5" i="8"/>
  <c r="X5" i="8" s="1"/>
  <c r="S5" i="8"/>
  <c r="Y5" i="8" s="1"/>
  <c r="O6" i="8"/>
  <c r="U6" i="8" s="1"/>
  <c r="P6" i="8"/>
  <c r="V6" i="8" s="1"/>
  <c r="Q6" i="8"/>
  <c r="W6" i="8" s="1"/>
  <c r="R6" i="8"/>
  <c r="X6" i="8" s="1"/>
  <c r="S6" i="8"/>
  <c r="Y6" i="8" s="1"/>
  <c r="O7" i="8"/>
  <c r="U7" i="8" s="1"/>
  <c r="P7" i="8"/>
  <c r="V7" i="8" s="1"/>
  <c r="Q7" i="8"/>
  <c r="W7" i="8" s="1"/>
  <c r="R7" i="8"/>
  <c r="X7" i="8" s="1"/>
  <c r="S7" i="8"/>
  <c r="Y7" i="8" s="1"/>
  <c r="O8" i="8"/>
  <c r="U8" i="8" s="1"/>
  <c r="P8" i="8"/>
  <c r="V8" i="8" s="1"/>
  <c r="Q8" i="8"/>
  <c r="W8" i="8" s="1"/>
  <c r="R8" i="8"/>
  <c r="X8" i="8" s="1"/>
  <c r="S8" i="8"/>
  <c r="Y8" i="8" s="1"/>
  <c r="O9" i="8"/>
  <c r="U9" i="8" s="1"/>
  <c r="P9" i="8"/>
  <c r="V9" i="8" s="1"/>
  <c r="Q9" i="8"/>
  <c r="W9" i="8" s="1"/>
  <c r="R9" i="8"/>
  <c r="X9" i="8" s="1"/>
  <c r="S9" i="8"/>
  <c r="Y9" i="8" s="1"/>
  <c r="O10" i="8"/>
  <c r="U10" i="8" s="1"/>
  <c r="P10" i="8"/>
  <c r="V10" i="8" s="1"/>
  <c r="Q10" i="8"/>
  <c r="W10" i="8" s="1"/>
  <c r="R10" i="8"/>
  <c r="X10" i="8" s="1"/>
  <c r="S10" i="8"/>
  <c r="Y10" i="8" s="1"/>
  <c r="O11" i="8"/>
  <c r="P11" i="8"/>
  <c r="V11" i="8" s="1"/>
  <c r="Q11" i="8"/>
  <c r="W11" i="8" s="1"/>
  <c r="R11" i="8"/>
  <c r="X11" i="8" s="1"/>
  <c r="S11" i="8"/>
  <c r="Y11" i="8" s="1"/>
  <c r="O12" i="8"/>
  <c r="P12" i="8"/>
  <c r="V12" i="8" s="1"/>
  <c r="Q12" i="8"/>
  <c r="W12" i="8" s="1"/>
  <c r="R12" i="8"/>
  <c r="X12" i="8" s="1"/>
  <c r="S12" i="8"/>
  <c r="Y12" i="8" s="1"/>
  <c r="O13" i="8"/>
  <c r="P13" i="8"/>
  <c r="V13" i="8" s="1"/>
  <c r="Q13" i="8"/>
  <c r="W13" i="8" s="1"/>
  <c r="R13" i="8"/>
  <c r="X13" i="8" s="1"/>
  <c r="S13" i="8"/>
  <c r="Y13" i="8" s="1"/>
  <c r="P14" i="8"/>
  <c r="V14" i="8" s="1"/>
  <c r="Q14" i="8"/>
  <c r="W14" i="8" s="1"/>
  <c r="R14" i="8"/>
  <c r="X14" i="8" s="1"/>
  <c r="S14" i="8"/>
  <c r="Y14" i="8" s="1"/>
  <c r="O15" i="8"/>
  <c r="P15" i="8"/>
  <c r="V15" i="8" s="1"/>
  <c r="Q15" i="8"/>
  <c r="W15" i="8" s="1"/>
  <c r="R15" i="8"/>
  <c r="X15" i="8" s="1"/>
  <c r="S15" i="8"/>
  <c r="Y15" i="8" s="1"/>
  <c r="O16" i="8"/>
  <c r="P16" i="8"/>
  <c r="V16" i="8" s="1"/>
  <c r="Q16" i="8"/>
  <c r="W16" i="8" s="1"/>
  <c r="R16" i="8"/>
  <c r="X16" i="8" s="1"/>
  <c r="S16" i="8"/>
  <c r="Y16" i="8" s="1"/>
  <c r="O17" i="8"/>
  <c r="U17" i="8" s="1"/>
  <c r="P17" i="8"/>
  <c r="V17" i="8" s="1"/>
  <c r="Q17" i="8"/>
  <c r="W17" i="8" s="1"/>
  <c r="R17" i="8"/>
  <c r="X17" i="8" s="1"/>
  <c r="S17" i="8"/>
  <c r="Y17" i="8" s="1"/>
  <c r="O18" i="8"/>
  <c r="U18" i="8" s="1"/>
  <c r="P18" i="8"/>
  <c r="V18" i="8" s="1"/>
  <c r="Q18" i="8"/>
  <c r="W18" i="8" s="1"/>
  <c r="R18" i="8"/>
  <c r="X18" i="8" s="1"/>
  <c r="S18" i="8"/>
  <c r="Y18" i="8" s="1"/>
  <c r="O19" i="8"/>
  <c r="U19" i="8" s="1"/>
  <c r="P19" i="8"/>
  <c r="V19" i="8" s="1"/>
  <c r="Q19" i="8"/>
  <c r="W19" i="8" s="1"/>
  <c r="R19" i="8"/>
  <c r="X19" i="8" s="1"/>
  <c r="S19" i="8"/>
  <c r="Y19" i="8" s="1"/>
  <c r="O20" i="8"/>
  <c r="U20" i="8" s="1"/>
  <c r="P20" i="8"/>
  <c r="V20" i="8" s="1"/>
  <c r="Q20" i="8"/>
  <c r="W20" i="8" s="1"/>
  <c r="R20" i="8"/>
  <c r="X20" i="8" s="1"/>
  <c r="S20" i="8"/>
  <c r="Y20" i="8" s="1"/>
  <c r="N4" i="8"/>
  <c r="T4" i="8" s="1"/>
  <c r="N5" i="8"/>
  <c r="T5" i="8" s="1"/>
  <c r="N6" i="8"/>
  <c r="T6" i="8" s="1"/>
  <c r="N7" i="8"/>
  <c r="T7" i="8" s="1"/>
  <c r="N8" i="8"/>
  <c r="T8" i="8" s="1"/>
  <c r="N9" i="8"/>
  <c r="T9" i="8" s="1"/>
  <c r="N17" i="8"/>
  <c r="N18" i="8"/>
  <c r="T18" i="8" s="1"/>
  <c r="N19" i="8"/>
  <c r="T19" i="8" s="1"/>
  <c r="N20" i="8"/>
  <c r="T20" i="8" s="1"/>
  <c r="BA21" i="8"/>
  <c r="AC22" i="9" l="1"/>
  <c r="G48" i="9" s="1"/>
  <c r="W22" i="9"/>
  <c r="D48" i="9" s="1"/>
  <c r="AD22" i="9"/>
  <c r="H48" i="9" s="1"/>
  <c r="X22" i="9"/>
  <c r="E48" i="9" s="1"/>
  <c r="T3" i="9"/>
  <c r="Z3" i="9"/>
  <c r="T4" i="9"/>
  <c r="AH4" i="9"/>
  <c r="Z4" i="9"/>
  <c r="T5" i="9"/>
  <c r="AH5" i="9"/>
  <c r="Z5" i="9"/>
  <c r="Z6" i="9"/>
  <c r="T6" i="9"/>
  <c r="AH6" i="9"/>
  <c r="T7" i="9"/>
  <c r="AH7" i="9"/>
  <c r="Z7" i="9"/>
  <c r="T8" i="9"/>
  <c r="AH8" i="9"/>
  <c r="Z8" i="9"/>
  <c r="AH9" i="9"/>
  <c r="Z9" i="9"/>
  <c r="U10" i="9"/>
  <c r="AI10" i="9"/>
  <c r="AA10" i="9"/>
  <c r="V11" i="9"/>
  <c r="AJ11" i="9"/>
  <c r="AB11" i="9"/>
  <c r="W12" i="9"/>
  <c r="AK12" i="9"/>
  <c r="AC12" i="9"/>
  <c r="E39" i="9"/>
  <c r="AL13" i="9"/>
  <c r="AD13" i="9"/>
  <c r="U15" i="9"/>
  <c r="AI15" i="9"/>
  <c r="AA15" i="9"/>
  <c r="V16" i="9"/>
  <c r="AJ16" i="9"/>
  <c r="AB16" i="9"/>
  <c r="V17" i="9"/>
  <c r="AJ17" i="9"/>
  <c r="AB17" i="9"/>
  <c r="V18" i="9"/>
  <c r="AB18" i="9"/>
  <c r="AJ18" i="9"/>
  <c r="V19" i="9"/>
  <c r="AJ19" i="9"/>
  <c r="AB19" i="9"/>
  <c r="V20" i="9"/>
  <c r="AB20" i="9"/>
  <c r="AJ20" i="9"/>
  <c r="V21" i="9"/>
  <c r="AJ21" i="9"/>
  <c r="AB21" i="9"/>
  <c r="AK22" i="9"/>
  <c r="J48" i="9" s="1"/>
  <c r="Y23" i="9"/>
  <c r="F49" i="9" s="1"/>
  <c r="AM23" i="9"/>
  <c r="L49" i="9" s="1"/>
  <c r="AE23" i="9"/>
  <c r="I49" i="9" s="1"/>
  <c r="Z12" i="9"/>
  <c r="AH12" i="9"/>
  <c r="Y5" i="9"/>
  <c r="F31" i="9" s="1"/>
  <c r="AE5" i="9"/>
  <c r="I31" i="9" s="1"/>
  <c r="AM5" i="9"/>
  <c r="L31" i="9" s="1"/>
  <c r="Y8" i="9"/>
  <c r="F34" i="9" s="1"/>
  <c r="AM8" i="9"/>
  <c r="AE8" i="9"/>
  <c r="U11" i="9"/>
  <c r="AA11" i="9"/>
  <c r="AI11" i="9"/>
  <c r="W13" i="9"/>
  <c r="D39" i="9" s="1"/>
  <c r="AC13" i="9"/>
  <c r="AK13" i="9"/>
  <c r="U16" i="9"/>
  <c r="AI16" i="9"/>
  <c r="AA16" i="9"/>
  <c r="U19" i="9"/>
  <c r="AI19" i="9"/>
  <c r="AA19" i="9"/>
  <c r="AL23" i="9"/>
  <c r="K49" i="9" s="1"/>
  <c r="AD23" i="9"/>
  <c r="H49" i="9" s="1"/>
  <c r="U5" i="9"/>
  <c r="AI5" i="9"/>
  <c r="AA5" i="9"/>
  <c r="AI9" i="9"/>
  <c r="AA9" i="9"/>
  <c r="W11" i="9"/>
  <c r="D37" i="9" s="1"/>
  <c r="AC11" i="9"/>
  <c r="G37" i="9" s="1"/>
  <c r="AK11" i="9"/>
  <c r="J37" i="9" s="1"/>
  <c r="V15" i="9"/>
  <c r="AJ15" i="9"/>
  <c r="AB15" i="9"/>
  <c r="W17" i="9"/>
  <c r="D43" i="9" s="1"/>
  <c r="AC17" i="9"/>
  <c r="AK17" i="9"/>
  <c r="W19" i="9"/>
  <c r="D45" i="9" s="1"/>
  <c r="AC19" i="9"/>
  <c r="AK19" i="9"/>
  <c r="W21" i="9"/>
  <c r="D47" i="9" s="1"/>
  <c r="AC21" i="9"/>
  <c r="AK21" i="9"/>
  <c r="Z11" i="9"/>
  <c r="AH11" i="9"/>
  <c r="V3" i="9"/>
  <c r="AJ3" i="9"/>
  <c r="AB3" i="9"/>
  <c r="V4" i="9"/>
  <c r="AJ4" i="9"/>
  <c r="AB4" i="9"/>
  <c r="V5" i="9"/>
  <c r="AJ5" i="9"/>
  <c r="AB5" i="9"/>
  <c r="V6" i="9"/>
  <c r="AB6" i="9"/>
  <c r="AJ6" i="9"/>
  <c r="V7" i="9"/>
  <c r="AJ7" i="9"/>
  <c r="AB7" i="9"/>
  <c r="V8" i="9"/>
  <c r="AB8" i="9"/>
  <c r="AJ8" i="9"/>
  <c r="V9" i="9"/>
  <c r="AJ9" i="9"/>
  <c r="AB9" i="9"/>
  <c r="W10" i="9"/>
  <c r="D36" i="9" s="1"/>
  <c r="AC10" i="9"/>
  <c r="AK10" i="9"/>
  <c r="E37" i="9"/>
  <c r="AL11" i="9"/>
  <c r="K37" i="9" s="1"/>
  <c r="AD11" i="9"/>
  <c r="H37" i="9" s="1"/>
  <c r="Y12" i="9"/>
  <c r="AM12" i="9"/>
  <c r="AE12" i="9"/>
  <c r="AJ14" i="9"/>
  <c r="AB14" i="9"/>
  <c r="W15" i="9"/>
  <c r="AC15" i="9"/>
  <c r="AK15" i="9"/>
  <c r="E42" i="9"/>
  <c r="AD16" i="9"/>
  <c r="AL16" i="9"/>
  <c r="AL17" i="9"/>
  <c r="AD17" i="9"/>
  <c r="E44" i="9"/>
  <c r="AL18" i="9"/>
  <c r="AD18" i="9"/>
  <c r="AL19" i="9"/>
  <c r="AD19" i="9"/>
  <c r="E46" i="9"/>
  <c r="AD20" i="9"/>
  <c r="H46" i="9" s="1"/>
  <c r="AL20" i="9"/>
  <c r="E47" i="9"/>
  <c r="AD21" i="9"/>
  <c r="AL21" i="9"/>
  <c r="Y22" i="9"/>
  <c r="F48" i="9" s="1"/>
  <c r="AM22" i="9"/>
  <c r="L48" i="9" s="1"/>
  <c r="AE22" i="9"/>
  <c r="I48" i="9" s="1"/>
  <c r="AH16" i="9"/>
  <c r="Z16" i="9"/>
  <c r="Z10" i="9"/>
  <c r="AH10" i="9"/>
  <c r="Y3" i="9"/>
  <c r="AE3" i="9"/>
  <c r="AM3" i="9"/>
  <c r="Y7" i="9"/>
  <c r="AE7" i="9"/>
  <c r="AM7" i="9"/>
  <c r="V12" i="9"/>
  <c r="AJ12" i="9"/>
  <c r="AB12" i="9"/>
  <c r="U17" i="9"/>
  <c r="AA17" i="9"/>
  <c r="AI17" i="9"/>
  <c r="AI21" i="9"/>
  <c r="AA21" i="9"/>
  <c r="AH13" i="9"/>
  <c r="Z13" i="9"/>
  <c r="AI23" i="9"/>
  <c r="AA23" i="9"/>
  <c r="U3" i="9"/>
  <c r="AI3" i="9"/>
  <c r="AA3" i="9"/>
  <c r="U7" i="9"/>
  <c r="AI7" i="9"/>
  <c r="AA7" i="9"/>
  <c r="AL12" i="9"/>
  <c r="AD12" i="9"/>
  <c r="W16" i="9"/>
  <c r="AC16" i="9"/>
  <c r="AK16" i="9"/>
  <c r="W20" i="9"/>
  <c r="AC20" i="9"/>
  <c r="AK20" i="9"/>
  <c r="AH3" i="9"/>
  <c r="W3" i="9"/>
  <c r="AC3" i="9"/>
  <c r="AK3" i="9"/>
  <c r="W4" i="9"/>
  <c r="D30" i="9" s="1"/>
  <c r="AC4" i="9"/>
  <c r="AK4" i="9"/>
  <c r="W5" i="9"/>
  <c r="AC5" i="9"/>
  <c r="G31" i="9" s="1"/>
  <c r="AK5" i="9"/>
  <c r="J31" i="9" s="1"/>
  <c r="W6" i="9"/>
  <c r="D32" i="9" s="1"/>
  <c r="AK6" i="9"/>
  <c r="AC6" i="9"/>
  <c r="W7" i="9"/>
  <c r="AC7" i="9"/>
  <c r="AK7" i="9"/>
  <c r="W8" i="9"/>
  <c r="D34" i="9" s="1"/>
  <c r="AC8" i="9"/>
  <c r="AK8" i="9"/>
  <c r="W9" i="9"/>
  <c r="AC9" i="9"/>
  <c r="AK9" i="9"/>
  <c r="E36" i="9"/>
  <c r="AD10" i="9"/>
  <c r="AL10" i="9"/>
  <c r="Y11" i="9"/>
  <c r="F37" i="9" s="1"/>
  <c r="AE11" i="9"/>
  <c r="I37" i="9" s="1"/>
  <c r="AM11" i="9"/>
  <c r="L37" i="9" s="1"/>
  <c r="AI13" i="9"/>
  <c r="AA13" i="9"/>
  <c r="W14" i="9"/>
  <c r="D40" i="9" s="1"/>
  <c r="AC14" i="9"/>
  <c r="AK14" i="9"/>
  <c r="E41" i="9"/>
  <c r="AD15" i="9"/>
  <c r="AL15" i="9"/>
  <c r="Y16" i="9"/>
  <c r="AM16" i="9"/>
  <c r="AE16" i="9"/>
  <c r="Y17" i="9"/>
  <c r="AM17" i="9"/>
  <c r="AE17" i="9"/>
  <c r="Y18" i="9"/>
  <c r="F44" i="9" s="1"/>
  <c r="AM18" i="9"/>
  <c r="AE18" i="9"/>
  <c r="Y19" i="9"/>
  <c r="F45" i="9" s="1"/>
  <c r="AM19" i="9"/>
  <c r="AE19" i="9"/>
  <c r="Y20" i="9"/>
  <c r="AM20" i="9"/>
  <c r="AE20" i="9"/>
  <c r="Y21" i="9"/>
  <c r="F47" i="9" s="1"/>
  <c r="AE21" i="9"/>
  <c r="AM21" i="9"/>
  <c r="AB23" i="9"/>
  <c r="AJ23" i="9"/>
  <c r="AH15" i="9"/>
  <c r="Z15" i="9"/>
  <c r="Z23" i="9"/>
  <c r="AH23" i="9"/>
  <c r="Y4" i="9"/>
  <c r="F30" i="9" s="1"/>
  <c r="AE4" i="9"/>
  <c r="AM4" i="9"/>
  <c r="Y6" i="9"/>
  <c r="AM6" i="9"/>
  <c r="AE6" i="9"/>
  <c r="Y9" i="9"/>
  <c r="AE9" i="9"/>
  <c r="AM9" i="9"/>
  <c r="Y14" i="9"/>
  <c r="AM14" i="9"/>
  <c r="AE14" i="9"/>
  <c r="U18" i="9"/>
  <c r="AI18" i="9"/>
  <c r="AA18" i="9"/>
  <c r="U20" i="9"/>
  <c r="AI20" i="9"/>
  <c r="AA20" i="9"/>
  <c r="AJ22" i="9"/>
  <c r="AB22" i="9"/>
  <c r="U4" i="9"/>
  <c r="AI4" i="9"/>
  <c r="AA4" i="9"/>
  <c r="U6" i="9"/>
  <c r="AA6" i="9"/>
  <c r="AI6" i="9"/>
  <c r="U8" i="9"/>
  <c r="AI8" i="9"/>
  <c r="AA8" i="9"/>
  <c r="V10" i="9"/>
  <c r="AJ10" i="9"/>
  <c r="AB10" i="9"/>
  <c r="Y13" i="9"/>
  <c r="F39" i="9" s="1"/>
  <c r="AE13" i="9"/>
  <c r="AM13" i="9"/>
  <c r="W18" i="9"/>
  <c r="AK18" i="9"/>
  <c r="AC18" i="9"/>
  <c r="AL22" i="9"/>
  <c r="K48" i="9" s="1"/>
  <c r="X3" i="9"/>
  <c r="AD3" i="9"/>
  <c r="H29" i="9" s="1"/>
  <c r="AL3" i="9"/>
  <c r="AD4" i="9"/>
  <c r="AL4" i="9"/>
  <c r="E31" i="9"/>
  <c r="AL5" i="9"/>
  <c r="K31" i="9" s="1"/>
  <c r="AD5" i="9"/>
  <c r="H31" i="9" s="1"/>
  <c r="AL6" i="9"/>
  <c r="AD6" i="9"/>
  <c r="AL7" i="9"/>
  <c r="AD7" i="9"/>
  <c r="E34" i="9"/>
  <c r="AD8" i="9"/>
  <c r="AL8" i="9"/>
  <c r="AD9" i="9"/>
  <c r="AL9" i="9"/>
  <c r="Y10" i="9"/>
  <c r="F36" i="9" s="1"/>
  <c r="AE10" i="9"/>
  <c r="AM10" i="9"/>
  <c r="U12" i="9"/>
  <c r="AI12" i="9"/>
  <c r="AA12" i="9"/>
  <c r="AJ13" i="9"/>
  <c r="AB13" i="9"/>
  <c r="AD14" i="9"/>
  <c r="AL14" i="9"/>
  <c r="Y15" i="9"/>
  <c r="AE15" i="9"/>
  <c r="AM15" i="9"/>
  <c r="Z17" i="9"/>
  <c r="AH17" i="9"/>
  <c r="T18" i="9"/>
  <c r="AH18" i="9"/>
  <c r="Z18" i="9"/>
  <c r="T19" i="9"/>
  <c r="AH19" i="9"/>
  <c r="Z19" i="9"/>
  <c r="T20" i="9"/>
  <c r="AH20" i="9"/>
  <c r="Z20" i="9"/>
  <c r="AH21" i="9"/>
  <c r="Z21" i="9"/>
  <c r="AI22" i="9"/>
  <c r="AA22" i="9"/>
  <c r="AK23" i="9"/>
  <c r="J49" i="9" s="1"/>
  <c r="AC23" i="9"/>
  <c r="G49" i="9" s="1"/>
  <c r="AH14" i="9"/>
  <c r="Z14" i="9"/>
  <c r="Z22" i="9"/>
  <c r="AH22" i="9"/>
  <c r="AI14" i="9"/>
  <c r="AA14" i="9"/>
  <c r="M35" i="9"/>
  <c r="M38" i="9"/>
  <c r="M41" i="9"/>
  <c r="M44" i="9"/>
  <c r="M47" i="9"/>
  <c r="N31" i="9"/>
  <c r="N34" i="9"/>
  <c r="N37" i="9"/>
  <c r="N40" i="9"/>
  <c r="N43" i="9"/>
  <c r="N46" i="9"/>
  <c r="M31" i="9"/>
  <c r="M34" i="9"/>
  <c r="M37" i="9"/>
  <c r="M40" i="9"/>
  <c r="M43" i="9"/>
  <c r="M46" i="9"/>
  <c r="N32" i="9"/>
  <c r="N35" i="9"/>
  <c r="N38" i="9"/>
  <c r="N41" i="9"/>
  <c r="N44" i="9"/>
  <c r="N47" i="9"/>
  <c r="M32" i="9"/>
  <c r="E43" i="9"/>
  <c r="N30" i="9"/>
  <c r="N33" i="9"/>
  <c r="N36" i="9"/>
  <c r="N39" i="9"/>
  <c r="N42" i="9"/>
  <c r="N45" i="9"/>
  <c r="M30" i="9"/>
  <c r="AC45" i="9" s="1" a="1"/>
  <c r="AC45" i="9" s="1"/>
  <c r="M33" i="9"/>
  <c r="M36" i="9"/>
  <c r="M39" i="9"/>
  <c r="M42" i="9"/>
  <c r="M45" i="9"/>
  <c r="BD21" i="8"/>
  <c r="BF22" i="8"/>
  <c r="BE21" i="8"/>
  <c r="BC21" i="8"/>
  <c r="BD22" i="8"/>
  <c r="BB21" i="8"/>
  <c r="BF21" i="8"/>
  <c r="BE22" i="8"/>
  <c r="AD45" i="9" l="1" a="1"/>
  <c r="AD45" i="9" s="1"/>
  <c r="D41" i="9"/>
  <c r="D29" i="9"/>
  <c r="F46" i="9"/>
  <c r="E30" i="9"/>
  <c r="F35" i="9"/>
  <c r="L30" i="9"/>
  <c r="I44" i="9"/>
  <c r="I42" i="9"/>
  <c r="G35" i="9"/>
  <c r="G33" i="9"/>
  <c r="G29" i="9"/>
  <c r="G46" i="9"/>
  <c r="K38" i="9"/>
  <c r="I29" i="9"/>
  <c r="K46" i="9"/>
  <c r="H44" i="9"/>
  <c r="K42" i="9"/>
  <c r="H39" i="9"/>
  <c r="H33" i="9"/>
  <c r="X45" i="9" s="1" a="1"/>
  <c r="X45" i="9" s="1"/>
  <c r="K44" i="9"/>
  <c r="H42" i="9"/>
  <c r="J45" i="9"/>
  <c r="K39" i="9"/>
  <c r="I41" i="9"/>
  <c r="L35" i="9"/>
  <c r="I46" i="9"/>
  <c r="J40" i="9"/>
  <c r="K35" i="9"/>
  <c r="K29" i="9"/>
  <c r="G44" i="9"/>
  <c r="I35" i="9"/>
  <c r="I30" i="9"/>
  <c r="L46" i="9"/>
  <c r="L44" i="9"/>
  <c r="L42" i="9"/>
  <c r="G40" i="9"/>
  <c r="E35" i="9"/>
  <c r="K40" i="9"/>
  <c r="H35" i="9"/>
  <c r="K33" i="9"/>
  <c r="J44" i="9"/>
  <c r="K36" i="9"/>
  <c r="J34" i="9"/>
  <c r="G32" i="9"/>
  <c r="J30" i="9"/>
  <c r="J42" i="9"/>
  <c r="L33" i="9"/>
  <c r="I38" i="9"/>
  <c r="J36" i="9"/>
  <c r="G45" i="9"/>
  <c r="J39" i="9"/>
  <c r="I34" i="9"/>
  <c r="H40" i="9"/>
  <c r="I40" i="9"/>
  <c r="I32" i="9"/>
  <c r="L47" i="9"/>
  <c r="I45" i="9"/>
  <c r="I43" i="9"/>
  <c r="K41" i="9"/>
  <c r="H36" i="9"/>
  <c r="G34" i="9"/>
  <c r="J32" i="9"/>
  <c r="G30" i="9"/>
  <c r="G42" i="9"/>
  <c r="I33" i="9"/>
  <c r="K47" i="9"/>
  <c r="H45" i="9"/>
  <c r="H43" i="9"/>
  <c r="J41" i="9"/>
  <c r="L38" i="9"/>
  <c r="G36" i="9"/>
  <c r="G39" i="9"/>
  <c r="L34" i="9"/>
  <c r="G38" i="9"/>
  <c r="L36" i="9"/>
  <c r="K34" i="9"/>
  <c r="H32" i="9"/>
  <c r="K30" i="9"/>
  <c r="L39" i="9"/>
  <c r="L40" i="9"/>
  <c r="L32" i="9"/>
  <c r="I47" i="9"/>
  <c r="L45" i="9"/>
  <c r="L43" i="9"/>
  <c r="H41" i="9"/>
  <c r="H47" i="9"/>
  <c r="K45" i="9"/>
  <c r="K43" i="9"/>
  <c r="G41" i="9"/>
  <c r="J47" i="9"/>
  <c r="J43" i="9"/>
  <c r="J38" i="9"/>
  <c r="E32" i="9"/>
  <c r="L41" i="9"/>
  <c r="I36" i="9"/>
  <c r="H34" i="9"/>
  <c r="K32" i="9"/>
  <c r="H30" i="9"/>
  <c r="I39" i="9"/>
  <c r="J35" i="9"/>
  <c r="J33" i="9"/>
  <c r="J29" i="9"/>
  <c r="J46" i="9"/>
  <c r="H38" i="9"/>
  <c r="L29" i="9"/>
  <c r="G47" i="9"/>
  <c r="G43" i="9"/>
  <c r="F42" i="9"/>
  <c r="F32" i="9"/>
  <c r="D42" i="9"/>
  <c r="F33" i="9"/>
  <c r="F43" i="9"/>
  <c r="E45" i="9"/>
  <c r="F40" i="9"/>
  <c r="E40" i="9"/>
  <c r="E33" i="9"/>
  <c r="E29" i="9"/>
  <c r="F38" i="9"/>
  <c r="D38" i="9"/>
  <c r="D35" i="9"/>
  <c r="F41" i="9"/>
  <c r="D33" i="9"/>
  <c r="E38" i="9"/>
  <c r="F29" i="9"/>
  <c r="D31" i="9"/>
  <c r="D46" i="9"/>
  <c r="D44" i="9"/>
  <c r="U45" i="9" l="1" a="1"/>
  <c r="U45" i="9" s="1"/>
  <c r="AB45" i="9" a="1"/>
  <c r="AB45" i="9" s="1"/>
  <c r="Z45" i="9" a="1"/>
  <c r="Z45" i="9" s="1"/>
  <c r="AA45" i="9" a="1"/>
  <c r="AA45" i="9" s="1"/>
  <c r="W45" i="9" a="1"/>
  <c r="W45" i="9" s="1"/>
  <c r="V45" i="9" a="1"/>
  <c r="V45" i="9" s="1"/>
  <c r="Y45" i="9" a="1"/>
  <c r="Y45" i="9" s="1"/>
  <c r="T45" i="9" a="1"/>
  <c r="T45" i="9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<sst xmlns="http://schemas.openxmlformats.org/spreadsheetml/2006/main" count="948" uniqueCount="126">
  <si>
    <t>Particle #</t>
  </si>
  <si>
    <t>max_amp</t>
  </si>
  <si>
    <t>mean_amp</t>
  </si>
  <si>
    <t>median_amp</t>
  </si>
  <si>
    <t>ch6_imp</t>
  </si>
  <si>
    <t>ch5_imp</t>
  </si>
  <si>
    <t>ch4_imp</t>
  </si>
  <si>
    <t>ch3_imp</t>
  </si>
  <si>
    <t>ch2_imp</t>
  </si>
  <si>
    <t>ch1_imp</t>
  </si>
  <si>
    <t>ch6_mean</t>
  </si>
  <si>
    <t>ch5_mean</t>
  </si>
  <si>
    <t>ch4_mean</t>
  </si>
  <si>
    <t>ch3_mean</t>
  </si>
  <si>
    <t>ch2_mean</t>
  </si>
  <si>
    <t>ch1_mean</t>
  </si>
  <si>
    <t>ch1</t>
  </si>
  <si>
    <t>ch2</t>
  </si>
  <si>
    <t>ch3</t>
  </si>
  <si>
    <t>ch4</t>
  </si>
  <si>
    <t>ch5</t>
  </si>
  <si>
    <t>ch6</t>
  </si>
  <si>
    <t>flood2</t>
  </si>
  <si>
    <t>flood3</t>
  </si>
  <si>
    <t>flood5</t>
  </si>
  <si>
    <t xml:space="preserve">RMSE </t>
  </si>
  <si>
    <t>Max Amp</t>
  </si>
  <si>
    <t>ch6_max</t>
  </si>
  <si>
    <t>ch5_max</t>
  </si>
  <si>
    <t>ch4_max</t>
  </si>
  <si>
    <t>ch3_max</t>
  </si>
  <si>
    <t>ch2_max</t>
  </si>
  <si>
    <t>ch1_max</t>
  </si>
  <si>
    <t>ch6_imp/s</t>
  </si>
  <si>
    <t>ch5_imp/s</t>
  </si>
  <si>
    <t>ch4_imp/s</t>
  </si>
  <si>
    <t>ch3_imp/s</t>
  </si>
  <si>
    <t>ch2_imp/s</t>
  </si>
  <si>
    <t>ch1_imp/s</t>
  </si>
  <si>
    <t>Ch1</t>
  </si>
  <si>
    <t>Ch2</t>
  </si>
  <si>
    <t>Ch3</t>
  </si>
  <si>
    <t>ST2</t>
  </si>
  <si>
    <t>ST4</t>
  </si>
  <si>
    <t>ST7</t>
  </si>
  <si>
    <t>B-axis (mm)</t>
  </si>
  <si>
    <t>Gravelometer</t>
  </si>
  <si>
    <t>Duration (s)</t>
  </si>
  <si>
    <t>No amplification</t>
  </si>
  <si>
    <t>Calibration Subsample</t>
  </si>
  <si>
    <t>Validation Subsample</t>
  </si>
  <si>
    <t>Imp/s * Max Amp</t>
  </si>
  <si>
    <t>Max/Med Amp</t>
  </si>
  <si>
    <t>Max/Mean Amp</t>
  </si>
  <si>
    <t>Med/ Mean Amp</t>
  </si>
  <si>
    <t>Imp/s * Median Amp</t>
  </si>
  <si>
    <t>Max*Med Amp</t>
  </si>
  <si>
    <t>Max*Mean Amp</t>
  </si>
  <si>
    <t>Imp/s * Mean Amp</t>
  </si>
  <si>
    <t>Med/Max Amp</t>
  </si>
  <si>
    <t>Mean/Max Amp</t>
  </si>
  <si>
    <t>Mean/Med Amp</t>
  </si>
  <si>
    <t>Med*Mean Amp</t>
  </si>
  <si>
    <t>Imp/s * Ch Mean Amp</t>
  </si>
  <si>
    <t>Imp/s * Amax</t>
  </si>
  <si>
    <t>Imp/s * Amedian</t>
  </si>
  <si>
    <t>Imp/s * Amean</t>
  </si>
  <si>
    <t>Max*Med</t>
  </si>
  <si>
    <t>Max*Mean</t>
  </si>
  <si>
    <t>Storms with tracer data</t>
  </si>
  <si>
    <t>Original Max Size</t>
  </si>
  <si>
    <t>ST3</t>
  </si>
  <si>
    <t>Using Radius, all measurements</t>
  </si>
  <si>
    <t xml:space="preserve">MinD </t>
  </si>
  <si>
    <t>D</t>
  </si>
  <si>
    <t>Dmax</t>
  </si>
  <si>
    <t>Max Size</t>
  </si>
  <si>
    <t>Largest % Moved</t>
  </si>
  <si>
    <t>D (def)</t>
  </si>
  <si>
    <t>&lt;50% moved</t>
  </si>
  <si>
    <t>Size ratio</t>
  </si>
  <si>
    <t>Imp/s * Amax: Ch1</t>
  </si>
  <si>
    <t>Imp/s * Amax: Ch2</t>
  </si>
  <si>
    <t>Imp/s * Amax: Ch3</t>
  </si>
  <si>
    <t>Imp/s * Amedian: Ch3</t>
  </si>
  <si>
    <t>Imp/s * Amedian: Ch2</t>
  </si>
  <si>
    <t>Imp/s * Amedian: Ch1</t>
  </si>
  <si>
    <t>Imp/s * Amean: Ch3</t>
  </si>
  <si>
    <t>Imp/s * Amean: Ch2</t>
  </si>
  <si>
    <t>Imp/s * Amean: Ch1</t>
  </si>
  <si>
    <t>std</t>
  </si>
  <si>
    <t>avg</t>
  </si>
  <si>
    <t xml:space="preserve">Amplification </t>
  </si>
  <si>
    <t>min</t>
  </si>
  <si>
    <t>max</t>
  </si>
  <si>
    <t>amp</t>
  </si>
  <si>
    <t xml:space="preserve">SPRING </t>
  </si>
  <si>
    <t>SPRING</t>
  </si>
  <si>
    <t>Non amplified predicted sizes</t>
  </si>
  <si>
    <t>Amplified Acoustic Signals</t>
  </si>
  <si>
    <t>impulses_ch6</t>
  </si>
  <si>
    <t>impulses_ch5</t>
  </si>
  <si>
    <t>impulses_ch4</t>
  </si>
  <si>
    <t>impulses_ch3</t>
  </si>
  <si>
    <t>impulses_ch2</t>
  </si>
  <si>
    <t>impulses_ch1</t>
  </si>
  <si>
    <t>time</t>
  </si>
  <si>
    <t>1. Amp factor by season</t>
  </si>
  <si>
    <t>ST5</t>
  </si>
  <si>
    <t>ST6</t>
  </si>
  <si>
    <t>2. Amp function with tau by season</t>
  </si>
  <si>
    <t>3. Amp function with tau total</t>
  </si>
  <si>
    <t xml:space="preserve">Imp/s </t>
  </si>
  <si>
    <t>Predicted Grain Sizes</t>
  </si>
  <si>
    <t>2. Amp function season</t>
  </si>
  <si>
    <t>3. Amp function total</t>
  </si>
  <si>
    <t>Measured Grain Sizes</t>
  </si>
  <si>
    <t>Using Diameter, valid measurements</t>
  </si>
  <si>
    <t xml:space="preserve">1. Amp factor by season - Measured vs Predicted grain sizes </t>
  </si>
  <si>
    <t xml:space="preserve">3. Amp function in total - Measured vs Predicted grain sizes </t>
  </si>
  <si>
    <t>I* Amax</t>
  </si>
  <si>
    <t>I* Amedian</t>
  </si>
  <si>
    <t>I * Amean</t>
  </si>
  <si>
    <t>2. Amp function by season</t>
  </si>
  <si>
    <t>3. Amp factor in total</t>
  </si>
  <si>
    <t>max amp tau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</si>
</sst>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0.000"/>
    <numFmt numFmtId="166" formatCode="0.000000"/>
    <numFmt numFmtId="167" formatCode="0.000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b/>
      <sz val="11"/>
      <color theme="1"/>
      <name val="Aptos Narrow"/>
      <family val="2"/>
    </font>
  </fonts>
  <fills count="13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2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42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3" borderId="1" xfId="0" applyFill="1" applyBorder="1" applyAlignment="1">
      <alignment horizontal="center"/>
    </xf>
    <xf numFmtId="1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5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applyAlignment="1">
      <alignment horizontal="right"/>
    </xf>
    <xf numFmtId="0" fontId="0" fillId="6" borderId="0" xfId="0" applyFill="1" applyAlignment="1">
      <alignment horizontal="center"/>
    </xf>
    <xf numFmtId="165" fontId="0" fillId="6" borderId="0" xfId="0" applyNumberFormat="1" applyFill="1" applyAlignment="1">
      <alignment horizontal="center"/>
    </xf>
    <xf numFmtId="2" fontId="0" fillId="0" borderId="0" xfId="0" applyNumberFormat="1"/>
    <xf numFmtId="0" fontId="0" fillId="7" borderId="0" xfId="0" applyFill="1" applyAlignment="1">
      <alignment horizontal="center"/>
    </xf>
    <xf numFmtId="2" fontId="0" fillId="7" borderId="0" xfId="0" applyNumberFormat="1" applyFill="1" applyAlignment="1">
      <alignment horizontal="center"/>
    </xf>
    <xf numFmtId="2" fontId="2" fillId="0" borderId="0" xfId="0" applyNumberFormat="1" applyFont="1" applyAlignment="1">
      <alignment horizontal="center"/>
    </xf>
    <xf numFmtId="2" fontId="0" fillId="0" borderId="1" xfId="0" applyNumberFormat="1" applyBorder="1" applyAlignment="1">
      <alignment horizontal="center"/>
    </xf>
    <xf numFmtId="0" fontId="1" fillId="0" borderId="0" xfId="0" applyFont="1" applyAlignment="1">
      <alignment horizontal="center"/>
    </xf>
    <xf numFmtId="2" fontId="0" fillId="0" borderId="2" xfId="0" applyNumberFormat="1" applyBorder="1" applyAlignment="1">
      <alignment horizontal="center"/>
    </xf>
    <xf numFmtId="1" fontId="0" fillId="5" borderId="0" xfId="0" applyNumberFormat="1" applyFill="1" applyAlignment="1">
      <alignment horizontal="center"/>
    </xf>
    <xf numFmtId="165" fontId="0" fillId="5" borderId="0" xfId="0" applyNumberFormat="1" applyFill="1" applyAlignment="1">
      <alignment horizontal="center"/>
    </xf>
    <xf numFmtId="1" fontId="0" fillId="6" borderId="0" xfId="0" applyNumberFormat="1" applyFill="1" applyAlignment="1">
      <alignment horizontal="center"/>
    </xf>
    <xf numFmtId="164" fontId="0" fillId="3" borderId="0" xfId="0" applyNumberFormat="1" applyFill="1" applyAlignment="1">
      <alignment horizontal="center"/>
    </xf>
    <xf numFmtId="164" fontId="0" fillId="2" borderId="0" xfId="0" applyNumberFormat="1" applyFill="1" applyAlignment="1">
      <alignment horizontal="center"/>
    </xf>
    <xf numFmtId="0" fontId="0" fillId="5" borderId="1" xfId="0" applyFill="1" applyBorder="1" applyAlignment="1">
      <alignment horizontal="center"/>
    </xf>
    <xf numFmtId="1" fontId="0" fillId="0" borderId="2" xfId="0" applyNumberForma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5" borderId="6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1" fontId="0" fillId="5" borderId="7" xfId="0" applyNumberFormat="1" applyFill="1" applyBorder="1" applyAlignment="1">
      <alignment horizontal="center"/>
    </xf>
    <xf numFmtId="165" fontId="0" fillId="5" borderId="7" xfId="0" applyNumberFormat="1" applyFill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1" fontId="0" fillId="0" borderId="7" xfId="0" applyNumberFormat="1" applyBorder="1" applyAlignment="1">
      <alignment horizontal="center"/>
    </xf>
    <xf numFmtId="1" fontId="0" fillId="0" borderId="8" xfId="0" applyNumberFormat="1" applyBorder="1" applyAlignment="1">
      <alignment horizontal="center"/>
    </xf>
    <xf numFmtId="2" fontId="0" fillId="0" borderId="6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8" xfId="0" applyNumberFormat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0" fontId="0" fillId="8" borderId="4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0" fillId="8" borderId="7" xfId="0" applyFill="1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9" borderId="0" xfId="0" applyFill="1" applyAlignment="1">
      <alignment horizontal="center"/>
    </xf>
    <xf numFmtId="0" fontId="0" fillId="9" borderId="7" xfId="0" applyFill="1" applyBorder="1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166" fontId="0" fillId="0" borderId="0" xfId="0" applyNumberFormat="1" applyAlignment="1">
      <alignment horizontal="center"/>
    </xf>
    <xf numFmtId="0" fontId="0" fillId="0" borderId="3" xfId="0" applyBorder="1"/>
    <xf numFmtId="0" fontId="0" fillId="0" borderId="4" xfId="0" applyBorder="1"/>
    <xf numFmtId="0" fontId="0" fillId="0" borderId="5" xfId="0" applyBorder="1"/>
    <xf numFmtId="166" fontId="0" fillId="0" borderId="2" xfId="0" applyNumberFormat="1" applyBorder="1" applyAlignment="1">
      <alignment horizontal="center"/>
    </xf>
    <xf numFmtId="166" fontId="0" fillId="0" borderId="6" xfId="0" applyNumberFormat="1" applyBorder="1" applyAlignment="1">
      <alignment horizontal="center"/>
    </xf>
    <xf numFmtId="166" fontId="0" fillId="0" borderId="7" xfId="0" applyNumberForma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10" borderId="0" xfId="0" applyFill="1" applyAlignment="1">
      <alignment horizontal="center"/>
    </xf>
    <xf numFmtId="0" fontId="0" fillId="10" borderId="7" xfId="0" applyFill="1" applyBorder="1" applyAlignment="1">
      <alignment horizontal="center"/>
    </xf>
    <xf numFmtId="0" fontId="1" fillId="0" borderId="0" xfId="0" applyFont="1"/>
    <xf numFmtId="0" fontId="1" fillId="0" borderId="4" xfId="0" applyFont="1" applyBorder="1"/>
    <xf numFmtId="0" fontId="1" fillId="0" borderId="5" xfId="0" applyFont="1" applyBorder="1"/>
    <xf numFmtId="0" fontId="0" fillId="4" borderId="1" xfId="0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1" fillId="7" borderId="0" xfId="0" applyFont="1" applyFill="1" applyAlignment="1">
      <alignment horizontal="center"/>
    </xf>
    <xf numFmtId="0" fontId="3" fillId="7" borderId="0" xfId="0" applyFont="1" applyFill="1" applyAlignment="1">
      <alignment horizontal="center"/>
    </xf>
    <xf numFmtId="2" fontId="2" fillId="7" borderId="0" xfId="0" applyNumberFormat="1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2" fontId="0" fillId="7" borderId="2" xfId="0" applyNumberFormat="1" applyFill="1" applyBorder="1" applyAlignment="1">
      <alignment horizontal="center"/>
    </xf>
    <xf numFmtId="164" fontId="0" fillId="7" borderId="0" xfId="0" applyNumberFormat="1" applyFill="1" applyAlignment="1">
      <alignment horizontal="center"/>
    </xf>
    <xf numFmtId="165" fontId="0" fillId="7" borderId="0" xfId="0" applyNumberFormat="1" applyFill="1" applyAlignment="1">
      <alignment horizontal="center"/>
    </xf>
    <xf numFmtId="0" fontId="0" fillId="7" borderId="0" xfId="0" applyFill="1"/>
    <xf numFmtId="166" fontId="0" fillId="7" borderId="0" xfId="0" applyNumberFormat="1" applyFill="1" applyAlignment="1">
      <alignment horizontal="center"/>
    </xf>
    <xf numFmtId="0" fontId="0" fillId="7" borderId="2" xfId="0" applyFill="1" applyBorder="1"/>
    <xf numFmtId="0" fontId="1" fillId="0" borderId="3" xfId="0" applyFont="1" applyBorder="1" applyAlignment="1">
      <alignment horizontal="center"/>
    </xf>
    <xf numFmtId="22" fontId="0" fillId="0" borderId="0" xfId="0" applyNumberFormat="1"/>
    <xf numFmtId="22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" fillId="7" borderId="1" xfId="0" applyFont="1" applyFill="1" applyBorder="1" applyAlignment="1">
      <alignment horizontal="center"/>
    </xf>
    <xf numFmtId="0" fontId="1" fillId="7" borderId="6" xfId="0" applyFont="1" applyFill="1" applyBorder="1" applyAlignment="1">
      <alignment horizontal="center"/>
    </xf>
    <xf numFmtId="2" fontId="0" fillId="4" borderId="0" xfId="0" applyNumberFormat="1" applyFill="1" applyAlignment="1">
      <alignment horizontal="center"/>
    </xf>
    <xf numFmtId="2" fontId="0" fillId="4" borderId="1" xfId="0" applyNumberFormat="1" applyFill="1" applyBorder="1" applyAlignment="1">
      <alignment horizontal="center"/>
    </xf>
    <xf numFmtId="2" fontId="0" fillId="4" borderId="2" xfId="0" applyNumberFormat="1" applyFill="1" applyBorder="1" applyAlignment="1">
      <alignment horizontal="center"/>
    </xf>
    <xf numFmtId="2" fontId="4" fillId="0" borderId="0" xfId="0" applyNumberFormat="1" applyFont="1" applyAlignment="1">
      <alignment horizontal="center"/>
    </xf>
    <xf numFmtId="2" fontId="0" fillId="5" borderId="1" xfId="0" applyNumberFormat="1" applyFill="1" applyBorder="1" applyAlignment="1">
      <alignment horizontal="center"/>
    </xf>
    <xf numFmtId="2" fontId="0" fillId="5" borderId="0" xfId="0" applyNumberFormat="1" applyFill="1" applyAlignment="1">
      <alignment horizontal="center"/>
    </xf>
    <xf numFmtId="2" fontId="0" fillId="5" borderId="7" xfId="0" applyNumberFormat="1" applyFill="1" applyBorder="1" applyAlignment="1">
      <alignment horizontal="center"/>
    </xf>
    <xf numFmtId="2" fontId="0" fillId="7" borderId="1" xfId="0" applyNumberFormat="1" applyFill="1" applyBorder="1" applyAlignment="1">
      <alignment horizontal="center"/>
    </xf>
    <xf numFmtId="0" fontId="0" fillId="0" borderId="9" xfId="0" applyBorder="1"/>
    <xf numFmtId="0" fontId="0" fillId="0" borderId="10" xfId="0" applyBorder="1"/>
    <xf numFmtId="0" fontId="0" fillId="0" borderId="10" xfId="0" applyBorder="1" applyAlignment="1">
      <alignment horizontal="center"/>
    </xf>
    <xf numFmtId="2" fontId="0" fillId="0" borderId="10" xfId="0" applyNumberFormat="1" applyBorder="1" applyAlignment="1">
      <alignment horizontal="center"/>
    </xf>
    <xf numFmtId="2" fontId="0" fillId="0" borderId="11" xfId="0" applyNumberFormat="1" applyBorder="1" applyAlignment="1">
      <alignment horizontal="center"/>
    </xf>
    <xf numFmtId="2" fontId="0" fillId="4" borderId="10" xfId="0" applyNumberFormat="1" applyFill="1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" xfId="0" applyNumberFormat="1" applyBorder="1" applyAlignment="1">
      <alignment horizontal="center"/>
    </xf>
    <xf numFmtId="2" fontId="0" fillId="5" borderId="4" xfId="0" applyNumberFormat="1" applyFill="1" applyBorder="1" applyAlignment="1">
      <alignment horizontal="center"/>
    </xf>
    <xf numFmtId="0" fontId="1" fillId="0" borderId="6" xfId="0" applyFont="1" applyBorder="1" applyAlignment="1">
      <alignment horizontal="center"/>
    </xf>
    <xf numFmtId="2" fontId="0" fillId="4" borderId="8" xfId="0" applyNumberFormat="1" applyFill="1" applyBorder="1" applyAlignment="1">
      <alignment horizontal="center"/>
    </xf>
    <xf numFmtId="2" fontId="0" fillId="4" borderId="6" xfId="0" applyNumberFormat="1" applyFill="1" applyBorder="1" applyAlignment="1">
      <alignment horizontal="center"/>
    </xf>
    <xf numFmtId="2" fontId="1" fillId="3" borderId="7" xfId="0" applyNumberFormat="1" applyFont="1" applyFill="1" applyBorder="1" applyAlignment="1">
      <alignment horizontal="center"/>
    </xf>
    <xf numFmtId="2" fontId="0" fillId="4" borderId="7" xfId="0" applyNumberFormat="1" applyFill="1" applyBorder="1" applyAlignment="1">
      <alignment horizontal="center"/>
    </xf>
    <xf numFmtId="2" fontId="0" fillId="7" borderId="7" xfId="0" applyNumberFormat="1" applyFill="1" applyBorder="1" applyAlignment="1">
      <alignment horizontal="center"/>
    </xf>
    <xf numFmtId="2" fontId="0" fillId="11" borderId="7" xfId="0" applyNumberFormat="1" applyFill="1" applyBorder="1" applyAlignment="1">
      <alignment horizontal="center"/>
    </xf>
    <xf numFmtId="2" fontId="1" fillId="3" borderId="6" xfId="0" applyNumberFormat="1" applyFont="1" applyFill="1" applyBorder="1" applyAlignment="1">
      <alignment horizontal="center"/>
    </xf>
    <xf numFmtId="2" fontId="0" fillId="5" borderId="3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textRotation="90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0" fillId="0" borderId="0" xfId="0" applyFill="1" applyAlignment="1">
      <alignment horizontal="center"/>
    </xf>
    <xf numFmtId="0" fontId="0" fillId="0" borderId="0" xfId="0" applyFill="1"/>
    <xf numFmtId="0" fontId="0" fillId="0" borderId="0" xfId="0" applyFill="1" applyAlignment="1">
      <alignment horizontal="center"/>
    </xf>
    <xf numFmtId="2" fontId="0" fillId="0" borderId="0" xfId="0" applyNumberFormat="1" applyFill="1" applyAlignment="1">
      <alignment horizontal="center"/>
    </xf>
    <xf numFmtId="165" fontId="0" fillId="0" borderId="0" xfId="0" applyNumberFormat="1" applyFill="1" applyAlignment="1">
      <alignment horizontal="center"/>
    </xf>
    <xf numFmtId="0" fontId="0" fillId="0" borderId="0" xfId="0" applyFill="1" applyBorder="1" applyAlignment="1">
      <alignment horizontal="center"/>
    </xf>
    <xf numFmtId="2" fontId="1" fillId="0" borderId="0" xfId="0" applyNumberFormat="1" applyFont="1" applyAlignment="1">
      <alignment horizontal="center"/>
    </xf>
    <xf numFmtId="0" fontId="0" fillId="0" borderId="0" xfId="0" applyFill="1" applyBorder="1"/>
    <xf numFmtId="2" fontId="0" fillId="7" borderId="0" xfId="0" applyNumberFormat="1" applyFont="1" applyFill="1" applyAlignment="1">
      <alignment horizontal="center"/>
    </xf>
    <xf numFmtId="0" fontId="1" fillId="12" borderId="0" xfId="0" applyFont="1" applyFill="1"/>
    <xf numFmtId="2" fontId="0" fillId="12" borderId="0" xfId="0" applyNumberFormat="1" applyFill="1" applyAlignment="1">
      <alignment horizontal="center"/>
    </xf>
    <xf numFmtId="2" fontId="1" fillId="12" borderId="0" xfId="0" applyNumberFormat="1" applyFont="1" applyFill="1" applyAlignment="1">
      <alignment horizontal="center"/>
    </xf>
    <xf numFmtId="2" fontId="5" fillId="7" borderId="0" xfId="0" applyNumberFormat="1" applyFont="1" applyFill="1" applyAlignment="1">
      <alignment horizontal="center"/>
    </xf>
    <xf numFmtId="165" fontId="5" fillId="7" borderId="0" xfId="0" applyNumberFormat="1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A7A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50.xml.rels><?xml version="1.0" encoding="UTF-8" standalone="yes"?>
<Relationships xmlns="http://schemas.openxmlformats.org/package/2006/relationships"><Relationship Id="rId2" Type="http://schemas.microsoft.com/office/2011/relationships/chartColorStyle" Target="colors50.xml"/><Relationship Id="rId1" Type="http://schemas.microsoft.com/office/2011/relationships/chartStyle" Target="style50.xml"/></Relationships>
</file>

<file path=xl/charts/_rels/chart51.xml.rels><?xml version="1.0" encoding="UTF-8" standalone="yes"?>
<Relationships xmlns="http://schemas.openxmlformats.org/package/2006/relationships"><Relationship Id="rId2" Type="http://schemas.microsoft.com/office/2011/relationships/chartColorStyle" Target="colors51.xml"/><Relationship Id="rId1" Type="http://schemas.microsoft.com/office/2011/relationships/chartStyle" Target="style51.xml"/></Relationships>
</file>

<file path=xl/charts/_rels/chart52.xml.rels><?xml version="1.0" encoding="UTF-8" standalone="yes"?>
<Relationships xmlns="http://schemas.openxmlformats.org/package/2006/relationships"><Relationship Id="rId2" Type="http://schemas.microsoft.com/office/2011/relationships/chartColorStyle" Target="colors52.xml"/><Relationship Id="rId1" Type="http://schemas.microsoft.com/office/2011/relationships/chartStyle" Target="style52.xml"/></Relationships>
</file>

<file path=xl/charts/_rels/chart53.xml.rels><?xml version="1.0" encoding="UTF-8" standalone="yes"?>
<Relationships xmlns="http://schemas.openxmlformats.org/package/2006/relationships"><Relationship Id="rId2" Type="http://schemas.microsoft.com/office/2011/relationships/chartColorStyle" Target="colors53.xml"/><Relationship Id="rId1" Type="http://schemas.microsoft.com/office/2011/relationships/chartStyle" Target="style53.xml"/></Relationships>
</file>

<file path=xl/charts/_rels/chart54.xml.rels><?xml version="1.0" encoding="UTF-8" standalone="yes"?>
<Relationships xmlns="http://schemas.openxmlformats.org/package/2006/relationships"><Relationship Id="rId2" Type="http://schemas.microsoft.com/office/2011/relationships/chartColorStyle" Target="colors54.xml"/><Relationship Id="rId1" Type="http://schemas.microsoft.com/office/2011/relationships/chartStyle" Target="style54.xml"/></Relationships>
</file>

<file path=xl/charts/_rels/chart55.xml.rels><?xml version="1.0" encoding="UTF-8" standalone="yes"?>
<Relationships xmlns="http://schemas.openxmlformats.org/package/2006/relationships"><Relationship Id="rId2" Type="http://schemas.microsoft.com/office/2011/relationships/chartColorStyle" Target="colors55.xml"/><Relationship Id="rId1" Type="http://schemas.microsoft.com/office/2011/relationships/chartStyle" Target="style55.xml"/></Relationships>
</file>

<file path=xl/charts/_rels/chart56.xml.rels><?xml version="1.0" encoding="UTF-8" standalone="yes"?>
<Relationships xmlns="http://schemas.openxmlformats.org/package/2006/relationships"><Relationship Id="rId2" Type="http://schemas.microsoft.com/office/2011/relationships/chartColorStyle" Target="colors56.xml"/><Relationship Id="rId1" Type="http://schemas.microsoft.com/office/2011/relationships/chartStyle" Target="style56.xml"/></Relationships>
</file>

<file path=xl/charts/_rels/chart57.xml.rels><?xml version="1.0" encoding="UTF-8" standalone="yes"?>
<Relationships xmlns="http://schemas.openxmlformats.org/package/2006/relationships"><Relationship Id="rId2" Type="http://schemas.microsoft.com/office/2011/relationships/chartColorStyle" Target="colors57.xml"/><Relationship Id="rId1" Type="http://schemas.microsoft.com/office/2011/relationships/chartStyle" Target="style57.xml"/></Relationships>
</file>

<file path=xl/charts/_rels/chart58.xml.rels><?xml version="1.0" encoding="UTF-8" standalone="yes"?>
<Relationships xmlns="http://schemas.openxmlformats.org/package/2006/relationships"><Relationship Id="rId2" Type="http://schemas.microsoft.com/office/2011/relationships/chartColorStyle" Target="colors58.xml"/><Relationship Id="rId1" Type="http://schemas.microsoft.com/office/2011/relationships/chartStyle" Target="style58.xml"/></Relationships>
</file>

<file path=xl/charts/_rels/chart59.xml.rels><?xml version="1.0" encoding="UTF-8" standalone="yes"?>
<Relationships xmlns="http://schemas.openxmlformats.org/package/2006/relationships"><Relationship Id="rId2" Type="http://schemas.microsoft.com/office/2011/relationships/chartColorStyle" Target="colors59.xml"/><Relationship Id="rId1" Type="http://schemas.microsoft.com/office/2011/relationships/chartStyle" Target="style59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60.xml"/><Relationship Id="rId1" Type="http://schemas.microsoft.com/office/2011/relationships/chartStyle" Target="style60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61.xml"/><Relationship Id="rId1" Type="http://schemas.microsoft.com/office/2011/relationships/chartStyle" Target="style61.xml"/></Relationships>
</file>

<file path=xl/charts/_rels/chart62.xml.rels><?xml version="1.0" encoding="UTF-8" standalone="yes"?>
<Relationships xmlns="http://schemas.openxmlformats.org/package/2006/relationships"><Relationship Id="rId2" Type="http://schemas.microsoft.com/office/2011/relationships/chartColorStyle" Target="colors62.xml"/><Relationship Id="rId1" Type="http://schemas.microsoft.com/office/2011/relationships/chartStyle" Target="style62.xml"/></Relationships>
</file>

<file path=xl/charts/_rels/chart63.xml.rels><?xml version="1.0" encoding="UTF-8" standalone="yes"?>
<Relationships xmlns="http://schemas.openxmlformats.org/package/2006/relationships"><Relationship Id="rId2" Type="http://schemas.microsoft.com/office/2011/relationships/chartColorStyle" Target="colors63.xml"/><Relationship Id="rId1" Type="http://schemas.microsoft.com/office/2011/relationships/chartStyle" Target="style63.xml"/></Relationships>
</file>

<file path=xl/charts/_rels/chart64.xml.rels><?xml version="1.0" encoding="UTF-8" standalone="yes"?>
<Relationships xmlns="http://schemas.openxmlformats.org/package/2006/relationships"><Relationship Id="rId2" Type="http://schemas.microsoft.com/office/2011/relationships/chartColorStyle" Target="colors64.xml"/><Relationship Id="rId1" Type="http://schemas.microsoft.com/office/2011/relationships/chartStyle" Target="style64.xml"/></Relationships>
</file>

<file path=xl/charts/_rels/chart65.xml.rels><?xml version="1.0" encoding="UTF-8" standalone="yes"?>
<Relationships xmlns="http://schemas.openxmlformats.org/package/2006/relationships"><Relationship Id="rId2" Type="http://schemas.microsoft.com/office/2011/relationships/chartColorStyle" Target="colors65.xml"/><Relationship Id="rId1" Type="http://schemas.microsoft.com/office/2011/relationships/chartStyle" Target="style65.xml"/></Relationships>
</file>

<file path=xl/charts/_rels/chart66.xml.rels><?xml version="1.0" encoding="UTF-8" standalone="yes"?>
<Relationships xmlns="http://schemas.openxmlformats.org/package/2006/relationships"><Relationship Id="rId2" Type="http://schemas.microsoft.com/office/2011/relationships/chartColorStyle" Target="colors66.xml"/><Relationship Id="rId1" Type="http://schemas.microsoft.com/office/2011/relationships/chartStyle" Target="style66.xml"/></Relationships>
</file>

<file path=xl/charts/_rels/chart67.xml.rels><?xml version="1.0" encoding="UTF-8" standalone="yes"?>
<Relationships xmlns="http://schemas.openxmlformats.org/package/2006/relationships"><Relationship Id="rId2" Type="http://schemas.microsoft.com/office/2011/relationships/chartColorStyle" Target="colors67.xml"/><Relationship Id="rId1" Type="http://schemas.microsoft.com/office/2011/relationships/chartStyle" Target="style67.xml"/></Relationships>
</file>

<file path=xl/charts/_rels/chart68.xml.rels><?xml version="1.0" encoding="UTF-8" standalone="yes"?>
<Relationships xmlns="http://schemas.openxmlformats.org/package/2006/relationships"><Relationship Id="rId2" Type="http://schemas.microsoft.com/office/2011/relationships/chartColorStyle" Target="colors68.xml"/><Relationship Id="rId1" Type="http://schemas.microsoft.com/office/2011/relationships/chartStyle" Target="style68.xml"/></Relationships>
</file>

<file path=xl/charts/_rels/chart69.xml.rels><?xml version="1.0" encoding="UTF-8" standalone="yes"?>
<Relationships xmlns="http://schemas.openxmlformats.org/package/2006/relationships"><Relationship Id="rId2" Type="http://schemas.microsoft.com/office/2011/relationships/chartColorStyle" Target="colors69.xml"/><Relationship Id="rId1" Type="http://schemas.microsoft.com/office/2011/relationships/chartStyle" Target="style69.xml"/></Relationships>
</file>

<file path=xl/charts/_rels/chart70.xml.rels><?xml version="1.0" encoding="UTF-8" standalone="yes"?>
<Relationships xmlns="http://schemas.openxmlformats.org/package/2006/relationships"><Relationship Id="rId2" Type="http://schemas.microsoft.com/office/2011/relationships/chartColorStyle" Target="colors70.xml"/><Relationship Id="rId1" Type="http://schemas.microsoft.com/office/2011/relationships/chartStyle" Target="style70.xml"/></Relationships>
</file>

<file path=xl/charts/_rels/chart71.xml.rels><?xml version="1.0" encoding="UTF-8" standalone="yes"?>
<Relationships xmlns="http://schemas.openxmlformats.org/package/2006/relationships"><Relationship Id="rId2" Type="http://schemas.microsoft.com/office/2011/relationships/chartColorStyle" Target="colors71.xml"/><Relationship Id="rId1" Type="http://schemas.microsoft.com/office/2011/relationships/chartStyle" Target="style71.xml"/></Relationships>
</file>

<file path=xl/charts/_rels/chart72.xml.rels><?xml version="1.0" encoding="UTF-8" standalone="yes"?>
<Relationships xmlns="http://schemas.openxmlformats.org/package/2006/relationships"><Relationship Id="rId2" Type="http://schemas.microsoft.com/office/2011/relationships/chartColorStyle" Target="colors72.xml"/><Relationship Id="rId1" Type="http://schemas.microsoft.com/office/2011/relationships/chartStyle" Target="style72.xml"/></Relationships>
</file>

<file path=xl/charts/_rels/chart73.xml.rels><?xml version="1.0" encoding="UTF-8" standalone="yes"?>
<Relationships xmlns="http://schemas.openxmlformats.org/package/2006/relationships"><Relationship Id="rId2" Type="http://schemas.microsoft.com/office/2011/relationships/chartColorStyle" Target="colors73.xml"/><Relationship Id="rId1" Type="http://schemas.microsoft.com/office/2011/relationships/chartStyle" Target="style73.xml"/></Relationships>
</file>

<file path=xl/charts/_rels/chart74.xml.rels><?xml version="1.0" encoding="UTF-8" standalone="yes"?>
<Relationships xmlns="http://schemas.openxmlformats.org/package/2006/relationships"><Relationship Id="rId2" Type="http://schemas.microsoft.com/office/2011/relationships/chartColorStyle" Target="colors74.xml"/><Relationship Id="rId1" Type="http://schemas.microsoft.com/office/2011/relationships/chartStyle" Target="style74.xml"/></Relationships>
</file>

<file path=xl/charts/_rels/chart75.xml.rels><?xml version="1.0" encoding="UTF-8" standalone="yes"?>
<Relationships xmlns="http://schemas.openxmlformats.org/package/2006/relationships"><Relationship Id="rId2" Type="http://schemas.microsoft.com/office/2011/relationships/chartColorStyle" Target="colors75.xml"/><Relationship Id="rId1" Type="http://schemas.microsoft.com/office/2011/relationships/chartStyle" Target="style75.xml"/></Relationships>
</file>

<file path=xl/charts/_rels/chart76.xml.rels><?xml version="1.0" encoding="UTF-8" standalone="yes"?>
<Relationships xmlns="http://schemas.openxmlformats.org/package/2006/relationships"><Relationship Id="rId2" Type="http://schemas.microsoft.com/office/2011/relationships/chartColorStyle" Target="colors76.xml"/><Relationship Id="rId1" Type="http://schemas.microsoft.com/office/2011/relationships/chartStyle" Target="style76.xml"/></Relationships>
</file>

<file path=xl/charts/_rels/chart77.xml.rels><?xml version="1.0" encoding="UTF-8" standalone="yes"?>
<Relationships xmlns="http://schemas.openxmlformats.org/package/2006/relationships"><Relationship Id="rId2" Type="http://schemas.microsoft.com/office/2011/relationships/chartColorStyle" Target="colors77.xml"/><Relationship Id="rId1" Type="http://schemas.microsoft.com/office/2011/relationships/chartStyle" Target="style77.xml"/></Relationships>
</file>

<file path=xl/charts/_rels/chart78.xml.rels><?xml version="1.0" encoding="UTF-8" standalone="yes"?>
<Relationships xmlns="http://schemas.openxmlformats.org/package/2006/relationships"><Relationship Id="rId2" Type="http://schemas.microsoft.com/office/2011/relationships/chartColorStyle" Target="colors78.xml"/><Relationship Id="rId1" Type="http://schemas.microsoft.com/office/2011/relationships/chartStyle" Target="style78.xml"/></Relationships>
</file>

<file path=xl/charts/_rels/chart79.xml.rels><?xml version="1.0" encoding="UTF-8" standalone="yes"?>
<Relationships xmlns="http://schemas.openxmlformats.org/package/2006/relationships"><Relationship Id="rId2" Type="http://schemas.microsoft.com/office/2011/relationships/chartColorStyle" Target="colors79.xml"/><Relationship Id="rId1" Type="http://schemas.microsoft.com/office/2011/relationships/chartStyle" Target="style79.xml"/></Relationships>
</file>

<file path=xl/charts/_rels/chart80.xml.rels><?xml version="1.0" encoding="UTF-8" standalone="yes"?>
<Relationships xmlns="http://schemas.openxmlformats.org/package/2006/relationships"><Relationship Id="rId2" Type="http://schemas.microsoft.com/office/2011/relationships/chartColorStyle" Target="colors80.xml"/><Relationship Id="rId1" Type="http://schemas.microsoft.com/office/2011/relationships/chartStyle" Target="style80.xml"/></Relationships>
</file>

<file path=xl/charts/_rels/chart81.xml.rels><?xml version="1.0" encoding="UTF-8" standalone="yes"?>
<Relationships xmlns="http://schemas.openxmlformats.org/package/2006/relationships"><Relationship Id="rId2" Type="http://schemas.microsoft.com/office/2011/relationships/chartColorStyle" Target="colors81.xml"/><Relationship Id="rId1" Type="http://schemas.microsoft.com/office/2011/relationships/chartStyle" Target="style81.xml"/></Relationships>
</file>

<file path=xl/charts/_rels/chart82.xml.rels><?xml version="1.0" encoding="UTF-8" standalone="yes"?>
<Relationships xmlns="http://schemas.openxmlformats.org/package/2006/relationships"><Relationship Id="rId2" Type="http://schemas.microsoft.com/office/2011/relationships/chartColorStyle" Target="colors82.xml"/><Relationship Id="rId1" Type="http://schemas.microsoft.com/office/2011/relationships/chartStyle" Target="style82.xml"/></Relationships>
</file>

<file path=xl/charts/_rels/chart83.xml.rels><?xml version="1.0" encoding="UTF-8" standalone="yes"?>
<Relationships xmlns="http://schemas.openxmlformats.org/package/2006/relationships"><Relationship Id="rId2" Type="http://schemas.microsoft.com/office/2011/relationships/chartColorStyle" Target="colors83.xml"/><Relationship Id="rId1" Type="http://schemas.microsoft.com/office/2011/relationships/chartStyle" Target="style83.xml"/></Relationships>
</file>

<file path=xl/charts/_rels/chart84.xml.rels><?xml version="1.0" encoding="UTF-8" standalone="yes"?>
<Relationships xmlns="http://schemas.openxmlformats.org/package/2006/relationships"><Relationship Id="rId2" Type="http://schemas.microsoft.com/office/2011/relationships/chartColorStyle" Target="colors84.xml"/><Relationship Id="rId1" Type="http://schemas.microsoft.com/office/2011/relationships/chartStyle" Target="style84.xml"/></Relationships>
</file>

<file path=xl/charts/_rels/chart85.xml.rels><?xml version="1.0" encoding="UTF-8" standalone="yes"?>
<Relationships xmlns="http://schemas.openxmlformats.org/package/2006/relationships"><Relationship Id="rId2" Type="http://schemas.microsoft.com/office/2011/relationships/chartColorStyle" Target="colors85.xml"/><Relationship Id="rId1" Type="http://schemas.microsoft.com/office/2011/relationships/chartStyle" Target="style8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power"/>
            <c:forward val="10"/>
            <c:backward val="10"/>
            <c:dispRSqr val="1"/>
            <c:dispEq val="1"/>
            <c:trendlineLbl>
              <c:layout>
                <c:manualLayout>
                  <c:x val="-0.10499188360730355"/>
                  <c:y val="-5.0079041883735652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storm_amplification!$Y$11:$Y$14</c:f>
              <c:numCache>
                <c:formatCode>0.00</c:formatCode>
                <c:ptCount val="4"/>
                <c:pt idx="0" formatCode="General">
                  <c:v>12.6789259225</c:v>
                </c:pt>
                <c:pt idx="1">
                  <c:v>21.082999999999998</c:v>
                </c:pt>
                <c:pt idx="2">
                  <c:v>20.131538750000001</c:v>
                </c:pt>
                <c:pt idx="3" formatCode="0.000">
                  <c:v>2.060445487</c:v>
                </c:pt>
              </c:numCache>
            </c:numRef>
          </c:xVal>
          <c:yVal>
            <c:numRef>
              <c:f>storm_amplification!$Z$11:$Z$15</c:f>
              <c:numCache>
                <c:formatCode>0.00</c:formatCode>
                <c:ptCount val="5"/>
                <c:pt idx="0">
                  <c:v>9.6477838015699469</c:v>
                </c:pt>
                <c:pt idx="1">
                  <c:v>61.892577433913587</c:v>
                </c:pt>
                <c:pt idx="2">
                  <c:v>44.007756782320619</c:v>
                </c:pt>
                <c:pt idx="3">
                  <c:v>2.0092989734523083</c:v>
                </c:pt>
                <c:pt idx="4">
                  <c:v>2.5105304103640393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9D8-4F8B-94D3-EB045BBAC2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30614112"/>
        <c:axId val="1830616032"/>
      </c:scatterChart>
      <c:valAx>
        <c:axId val="18306141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</a:t>
                </a:r>
                <a:r>
                  <a:rPr lang="en-US" baseline="0"/>
                  <a:t> (Pa)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0616032"/>
        <c:crosses val="autoZero"/>
        <c:crossBetween val="midCat"/>
      </c:valAx>
      <c:valAx>
        <c:axId val="1830616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Amplification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06141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2022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backward val="10"/>
            <c:dispRSqr val="1"/>
            <c:dispEq val="1"/>
            <c:trendlineLbl>
              <c:layout>
                <c:manualLayout>
                  <c:x val="-8.1118875177549274E-2"/>
                  <c:y val="1.8626883900913695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storm_amplification!$Y$11:$Y$12</c:f>
              <c:numCache>
                <c:formatCode>0.00</c:formatCode>
                <c:ptCount val="2"/>
                <c:pt idx="0" formatCode="General">
                  <c:v>12.6789259225</c:v>
                </c:pt>
                <c:pt idx="1">
                  <c:v>21.082999999999998</c:v>
                </c:pt>
              </c:numCache>
            </c:numRef>
          </c:xVal>
          <c:yVal>
            <c:numRef>
              <c:f>storm_amplification!$Z$11:$Z$12</c:f>
              <c:numCache>
                <c:formatCode>0.00</c:formatCode>
                <c:ptCount val="2"/>
                <c:pt idx="0">
                  <c:v>9.6477838015699469</c:v>
                </c:pt>
                <c:pt idx="1">
                  <c:v>61.892577433913587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90D-4440-89B2-14BE777EF3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30614112"/>
        <c:axId val="1830616032"/>
      </c:scatterChart>
      <c:valAx>
        <c:axId val="18306141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</a:t>
                </a:r>
                <a:r>
                  <a:rPr lang="en-US" baseline="0"/>
                  <a:t> (Pa)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0616032"/>
        <c:crosses val="autoZero"/>
        <c:crossBetween val="midCat"/>
      </c:valAx>
      <c:valAx>
        <c:axId val="1830616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Amplification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06141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002121263126918"/>
                  <c:y val="-1.4760126782955839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storm_amplification!$Y$13:$Y$14</c:f>
              <c:numCache>
                <c:formatCode>0.000</c:formatCode>
                <c:ptCount val="2"/>
                <c:pt idx="0" formatCode="0.00">
                  <c:v>20.131538750000001</c:v>
                </c:pt>
                <c:pt idx="1">
                  <c:v>2.060445487</c:v>
                </c:pt>
              </c:numCache>
            </c:numRef>
          </c:xVal>
          <c:yVal>
            <c:numRef>
              <c:f>storm_amplification!$Z$13:$Z$14</c:f>
              <c:numCache>
                <c:formatCode>0.00</c:formatCode>
                <c:ptCount val="2"/>
                <c:pt idx="0">
                  <c:v>44.007756782320619</c:v>
                </c:pt>
                <c:pt idx="1">
                  <c:v>2.0092989734523083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61E-4E2D-8AC9-6B4E10FBB6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30614112"/>
        <c:axId val="1830616032"/>
      </c:scatterChart>
      <c:valAx>
        <c:axId val="18306141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</a:t>
                </a:r>
                <a:r>
                  <a:rPr lang="en-US" baseline="0"/>
                  <a:t> (Pa)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0616032"/>
        <c:crosses val="autoZero"/>
        <c:crossBetween val="midCat"/>
      </c:valAx>
      <c:valAx>
        <c:axId val="1830616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Amplification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06141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Max Amplitude Equation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Gravelometer Sizes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20625945476604343"/>
                  <c:y val="0.13486452775804178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calibration!$E$3:$E$23</c:f>
              <c:numCache>
                <c:formatCode>0.0000</c:formatCode>
                <c:ptCount val="21"/>
                <c:pt idx="0">
                  <c:v>0.104819100180613</c:v>
                </c:pt>
                <c:pt idx="1">
                  <c:v>5.1422303101187901E-2</c:v>
                </c:pt>
                <c:pt idx="2">
                  <c:v>4.68499378365069E-2</c:v>
                </c:pt>
                <c:pt idx="3">
                  <c:v>5.1754391722476999E-2</c:v>
                </c:pt>
                <c:pt idx="4">
                  <c:v>4.4543546788178297E-2</c:v>
                </c:pt>
                <c:pt idx="5">
                  <c:v>9.5639162401153693E-2</c:v>
                </c:pt>
                <c:pt idx="6">
                  <c:v>2.7724885205644801E-2</c:v>
                </c:pt>
                <c:pt idx="7">
                  <c:v>2.2481115003792299E-2</c:v>
                </c:pt>
                <c:pt idx="8">
                  <c:v>1.0897008883362201E-2</c:v>
                </c:pt>
                <c:pt idx="9">
                  <c:v>1.13162316396569E-2</c:v>
                </c:pt>
                <c:pt idx="10">
                  <c:v>1.06254875376059E-2</c:v>
                </c:pt>
                <c:pt idx="11">
                  <c:v>5.4104257016193398E-3</c:v>
                </c:pt>
                <c:pt idx="12">
                  <c:v>1.40031756933689E-2</c:v>
                </c:pt>
                <c:pt idx="13">
                  <c:v>1.0890800850407899E-2</c:v>
                </c:pt>
                <c:pt idx="14">
                  <c:v>2.4016207968108199E-2</c:v>
                </c:pt>
                <c:pt idx="15">
                  <c:v>5.1502950973667999E-2</c:v>
                </c:pt>
                <c:pt idx="16">
                  <c:v>5.04335454776157E-2</c:v>
                </c:pt>
                <c:pt idx="17">
                  <c:v>9.6840712231762202E-2</c:v>
                </c:pt>
                <c:pt idx="18" formatCode="0.000">
                  <c:v>0.103785400341108</c:v>
                </c:pt>
                <c:pt idx="19" formatCode="0.000">
                  <c:v>1.7343593585544201E-2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6D2-4D3E-9E20-CE3ED58DB4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Ch3 - Imp/s * Max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5163629006002602"/>
                  <c:y val="0.17940368449356789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calibration!$W$3:$W$23</c:f>
              <c:numCache>
                <c:formatCode>0.00</c:formatCode>
                <c:ptCount val="21"/>
                <c:pt idx="0">
                  <c:v>3.9531774925259757</c:v>
                </c:pt>
                <c:pt idx="1">
                  <c:v>1.002734910473164</c:v>
                </c:pt>
                <c:pt idx="2">
                  <c:v>1.3024282718548919</c:v>
                </c:pt>
                <c:pt idx="3">
                  <c:v>1.5914475454661676</c:v>
                </c:pt>
                <c:pt idx="4">
                  <c:v>1.5293284397274549</c:v>
                </c:pt>
                <c:pt idx="5">
                  <c:v>1.9725577245237949</c:v>
                </c:pt>
                <c:pt idx="6">
                  <c:v>0.43250820920805888</c:v>
                </c:pt>
                <c:pt idx="7">
                  <c:v>0.27202149154588684</c:v>
                </c:pt>
                <c:pt idx="8">
                  <c:v>0.15528237658791136</c:v>
                </c:pt>
                <c:pt idx="9">
                  <c:v>0.14333893410232074</c:v>
                </c:pt>
                <c:pt idx="10">
                  <c:v>6.5878022733156585E-2</c:v>
                </c:pt>
                <c:pt idx="11">
                  <c:v>1.7313362245181887E-2</c:v>
                </c:pt>
                <c:pt idx="12">
                  <c:v>0.1057239764849352</c:v>
                </c:pt>
                <c:pt idx="13">
                  <c:v>5.6087624379600687E-2</c:v>
                </c:pt>
                <c:pt idx="14">
                  <c:v>0.1793210194952079</c:v>
                </c:pt>
                <c:pt idx="15">
                  <c:v>0.95795488811022489</c:v>
                </c:pt>
                <c:pt idx="16">
                  <c:v>0.6178109321007923</c:v>
                </c:pt>
                <c:pt idx="17">
                  <c:v>3.163463266237565</c:v>
                </c:pt>
                <c:pt idx="18">
                  <c:v>0.98596175038871292</c:v>
                </c:pt>
                <c:pt idx="19">
                  <c:v>3.8329350515515399E-2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7F1-4B5A-ACEE-66AF98A686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Ch2 - Imp/s * Max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3.388123994773902E-2"/>
                  <c:y val="0.23912448295509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calibration!$X$3:$X$23</c:f>
              <c:numCache>
                <c:formatCode>0.00</c:formatCode>
                <c:ptCount val="21"/>
                <c:pt idx="0">
                  <c:v>9.0443909298700369</c:v>
                </c:pt>
                <c:pt idx="1">
                  <c:v>3.2293206347546</c:v>
                </c:pt>
                <c:pt idx="2">
                  <c:v>3.879174852862771</c:v>
                </c:pt>
                <c:pt idx="3">
                  <c:v>3.1893643898976451</c:v>
                </c:pt>
                <c:pt idx="4">
                  <c:v>4.7958552041938631</c:v>
                </c:pt>
                <c:pt idx="5">
                  <c:v>6.6827864727806139</c:v>
                </c:pt>
                <c:pt idx="6">
                  <c:v>1.9130170791894914</c:v>
                </c:pt>
                <c:pt idx="7">
                  <c:v>1.4185583567392941</c:v>
                </c:pt>
                <c:pt idx="8">
                  <c:v>0.74916936073115126</c:v>
                </c:pt>
                <c:pt idx="9">
                  <c:v>0.61862066296791052</c:v>
                </c:pt>
                <c:pt idx="10">
                  <c:v>0.64496709353267823</c:v>
                </c:pt>
                <c:pt idx="11">
                  <c:v>0.28999881760679663</c:v>
                </c:pt>
                <c:pt idx="12">
                  <c:v>0.83738990646346023</c:v>
                </c:pt>
                <c:pt idx="13">
                  <c:v>0.52929292132982397</c:v>
                </c:pt>
                <c:pt idx="14">
                  <c:v>1.29847631080905</c:v>
                </c:pt>
                <c:pt idx="15">
                  <c:v>3.5434030269883583</c:v>
                </c:pt>
                <c:pt idx="16">
                  <c:v>2.9125372513323069</c:v>
                </c:pt>
                <c:pt idx="17">
                  <c:v>6.5787123842777122</c:v>
                </c:pt>
                <c:pt idx="18">
                  <c:v>3.9085599494356771</c:v>
                </c:pt>
                <c:pt idx="19">
                  <c:v>0.51423766641856639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7C9-49B3-8802-B929037C63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50"/>
              <a:t>Ch1 - Imp/s * Max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9.4545901151353792E-2"/>
                  <c:y val="0.21768905409123207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calibration!$Y$3:$Y$23</c:f>
              <c:numCache>
                <c:formatCode>0.00</c:formatCode>
                <c:ptCount val="21"/>
                <c:pt idx="0">
                  <c:v>14.644725710948503</c:v>
                </c:pt>
                <c:pt idx="1">
                  <c:v>8.6903692241007544</c:v>
                </c:pt>
                <c:pt idx="2">
                  <c:v>8.2643290343598181</c:v>
                </c:pt>
                <c:pt idx="3">
                  <c:v>8.5976983248964913</c:v>
                </c:pt>
                <c:pt idx="4">
                  <c:v>8.2999475515305559</c:v>
                </c:pt>
                <c:pt idx="5">
                  <c:v>16.545575095399588</c:v>
                </c:pt>
                <c:pt idx="6">
                  <c:v>5.2289133497846096</c:v>
                </c:pt>
                <c:pt idx="7">
                  <c:v>4.2286977322133312</c:v>
                </c:pt>
                <c:pt idx="8">
                  <c:v>2.2611293432976565</c:v>
                </c:pt>
                <c:pt idx="9">
                  <c:v>2.3160554089164456</c:v>
                </c:pt>
                <c:pt idx="10">
                  <c:v>2.0305306684364877</c:v>
                </c:pt>
                <c:pt idx="11">
                  <c:v>1.0929059917271067</c:v>
                </c:pt>
                <c:pt idx="12">
                  <c:v>2.5324743241457655</c:v>
                </c:pt>
                <c:pt idx="13">
                  <c:v>1.906434688863903</c:v>
                </c:pt>
                <c:pt idx="14">
                  <c:v>4.4958341316298549</c:v>
                </c:pt>
                <c:pt idx="15">
                  <c:v>8.824172266821785</c:v>
                </c:pt>
                <c:pt idx="16">
                  <c:v>8.4627489311439152</c:v>
                </c:pt>
                <c:pt idx="17">
                  <c:v>14.57775521462127</c:v>
                </c:pt>
                <c:pt idx="18">
                  <c:v>12.176108690063558</c:v>
                </c:pt>
                <c:pt idx="19">
                  <c:v>2.5836757223060309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2BD-4E4D-959B-409047DB3D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50"/>
              <a:t>Ch3 -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calibration!$AF$3:$AF$23</c:f>
              <c:numCache>
                <c:formatCode>General</c:formatCode>
                <c:ptCount val="21"/>
                <c:pt idx="0">
                  <c:v>0.86419329497892416</c:v>
                </c:pt>
                <c:pt idx="1">
                  <c:v>0.14228460973383072</c:v>
                </c:pt>
                <c:pt idx="2">
                  <c:v>0.31417480036142642</c:v>
                </c:pt>
                <c:pt idx="3">
                  <c:v>0.9269137565095058</c:v>
                </c:pt>
                <c:pt idx="4">
                  <c:v>0.74706421548088708</c:v>
                </c:pt>
                <c:pt idx="5">
                  <c:v>0.10648208704175006</c:v>
                </c:pt>
                <c:pt idx="6">
                  <c:v>0.22842768457182022</c:v>
                </c:pt>
                <c:pt idx="7">
                  <c:v>6.3694060178763987E-2</c:v>
                </c:pt>
                <c:pt idx="8">
                  <c:v>9.7734826664416311E-2</c:v>
                </c:pt>
                <c:pt idx="9">
                  <c:v>6.3959953876412484E-2</c:v>
                </c:pt>
                <c:pt idx="10">
                  <c:v>3.1376006620426319E-2</c:v>
                </c:pt>
                <c:pt idx="11">
                  <c:v>1.2932071222180161E-2</c:v>
                </c:pt>
                <c:pt idx="12">
                  <c:v>3.5233657170172912E-2</c:v>
                </c:pt>
                <c:pt idx="13">
                  <c:v>2.118485485417609E-2</c:v>
                </c:pt>
                <c:pt idx="14">
                  <c:v>3.184052204136556E-2</c:v>
                </c:pt>
                <c:pt idx="15">
                  <c:v>8.5002957197967563E-2</c:v>
                </c:pt>
                <c:pt idx="16">
                  <c:v>5.3733446636234493E-2</c:v>
                </c:pt>
                <c:pt idx="17">
                  <c:v>0.31166523347266217</c:v>
                </c:pt>
                <c:pt idx="18">
                  <c:v>2.529246807572098E-2</c:v>
                </c:pt>
                <c:pt idx="19">
                  <c:v>7.8791388929636916E-3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8AB-477B-A248-4D0BF78F06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Ch2 -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0765859764076684"/>
                  <c:y val="0.1750304434978082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calibration!$AG$3:$AG$23</c:f>
              <c:numCache>
                <c:formatCode>General</c:formatCode>
                <c:ptCount val="21"/>
                <c:pt idx="0">
                  <c:v>1.977169508209357</c:v>
                </c:pt>
                <c:pt idx="1">
                  <c:v>0.45822940980946508</c:v>
                </c:pt>
                <c:pt idx="2">
                  <c:v>0.93574364999734194</c:v>
                </c:pt>
                <c:pt idx="3">
                  <c:v>1.8575954551186438</c:v>
                </c:pt>
                <c:pt idx="4">
                  <c:v>2.3427353553429757</c:v>
                </c:pt>
                <c:pt idx="5">
                  <c:v>0.36074840397780777</c:v>
                </c:pt>
                <c:pt idx="6">
                  <c:v>1.0103532202215126</c:v>
                </c:pt>
                <c:pt idx="7">
                  <c:v>0.33215662787438083</c:v>
                </c:pt>
                <c:pt idx="8">
                  <c:v>0.47152767250376287</c:v>
                </c:pt>
                <c:pt idx="9">
                  <c:v>0.27603769567714864</c:v>
                </c:pt>
                <c:pt idx="10">
                  <c:v>0.30718122610643189</c:v>
                </c:pt>
                <c:pt idx="11">
                  <c:v>0.21661219297151771</c:v>
                </c:pt>
                <c:pt idx="12">
                  <c:v>0.27906923162600533</c:v>
                </c:pt>
                <c:pt idx="13">
                  <c:v>0.19991921279863262</c:v>
                </c:pt>
                <c:pt idx="14">
                  <c:v>0.23055949442453097</c:v>
                </c:pt>
                <c:pt idx="15">
                  <c:v>0.31441954060323485</c:v>
                </c:pt>
                <c:pt idx="16">
                  <c:v>0.25331481985653403</c:v>
                </c:pt>
                <c:pt idx="17">
                  <c:v>0.64813647532376073</c:v>
                </c:pt>
                <c:pt idx="18">
                  <c:v>0.10026466818227917</c:v>
                </c:pt>
                <c:pt idx="19">
                  <c:v>0.10570880912958075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403-43C0-8FDA-D78DCEC0CA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50"/>
              <a:t>Ch1 - Imp/s * Med Amp</a:t>
            </a:r>
          </a:p>
        </c:rich>
      </c:tx>
      <c:layout>
        <c:manualLayout>
          <c:xMode val="edge"/>
          <c:yMode val="edge"/>
          <c:x val="0.23729696048058893"/>
          <c:y val="4.532919841827970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28020811530066081"/>
                  <c:y val="0.17381299972935257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calibration!$AH$3:$AH$23</c:f>
              <c:numCache>
                <c:formatCode>General</c:formatCode>
                <c:ptCount val="21"/>
                <c:pt idx="0">
                  <c:v>3.201443342762833</c:v>
                </c:pt>
                <c:pt idx="1">
                  <c:v>1.2331332843598664</c:v>
                </c:pt>
                <c:pt idx="2">
                  <c:v>1.9935408195595545</c:v>
                </c:pt>
                <c:pt idx="3">
                  <c:v>5.0075950504111111</c:v>
                </c:pt>
                <c:pt idx="4">
                  <c:v>4.0544553053768526</c:v>
                </c:pt>
                <c:pt idx="5">
                  <c:v>0.89315883918655814</c:v>
                </c:pt>
                <c:pt idx="6">
                  <c:v>2.761632135272134</c:v>
                </c:pt>
                <c:pt idx="7">
                  <c:v>0.99015311732442202</c:v>
                </c:pt>
                <c:pt idx="8">
                  <c:v>1.423156247920448</c:v>
                </c:pt>
                <c:pt idx="9">
                  <c:v>1.0334582021083492</c:v>
                </c:pt>
                <c:pt idx="10">
                  <c:v>0.96708949438120484</c:v>
                </c:pt>
                <c:pt idx="11">
                  <c:v>0.81633699590012265</c:v>
                </c:pt>
                <c:pt idx="12">
                  <c:v>0.84397442373851272</c:v>
                </c:pt>
                <c:pt idx="13">
                  <c:v>0.72007938683951933</c:v>
                </c:pt>
                <c:pt idx="14">
                  <c:v>0.7982873740370936</c:v>
                </c:pt>
                <c:pt idx="15">
                  <c:v>0.78300215053324962</c:v>
                </c:pt>
                <c:pt idx="16">
                  <c:v>0.73603855882123659</c:v>
                </c:pt>
                <c:pt idx="17">
                  <c:v>1.436204279961778</c:v>
                </c:pt>
                <c:pt idx="18">
                  <c:v>0.31234866890985108</c:v>
                </c:pt>
                <c:pt idx="19">
                  <c:v>0.53111100492524932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59D-4C2D-9A1A-EC1C81A7B7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50"/>
              <a:t>Ch3 - Imp/s * Mean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calibration!$AO$3:$AO$23</c:f>
              <c:numCache>
                <c:formatCode>General</c:formatCode>
                <c:ptCount val="21"/>
                <c:pt idx="0">
                  <c:v>1.2503946558069836</c:v>
                </c:pt>
                <c:pt idx="1">
                  <c:v>0.27952466602312981</c:v>
                </c:pt>
                <c:pt idx="2">
                  <c:v>0.54868975497777428</c:v>
                </c:pt>
                <c:pt idx="3">
                  <c:v>0.72660447815343976</c:v>
                </c:pt>
                <c:pt idx="4">
                  <c:v>0.80176398766905954</c:v>
                </c:pt>
                <c:pt idx="5">
                  <c:v>0.39759779182820815</c:v>
                </c:pt>
                <c:pt idx="6">
                  <c:v>0.2258705355039588</c:v>
                </c:pt>
                <c:pt idx="7">
                  <c:v>0.11115169925709098</c:v>
                </c:pt>
                <c:pt idx="8">
                  <c:v>0.10360433688740656</c:v>
                </c:pt>
                <c:pt idx="9">
                  <c:v>8.5766649760978045E-2</c:v>
                </c:pt>
                <c:pt idx="10">
                  <c:v>3.3467254632697251E-2</c:v>
                </c:pt>
                <c:pt idx="11">
                  <c:v>1.351613247034973E-2</c:v>
                </c:pt>
                <c:pt idx="12">
                  <c:v>4.2872663103965113E-2</c:v>
                </c:pt>
                <c:pt idx="13">
                  <c:v>2.4829394023599009E-2</c:v>
                </c:pt>
                <c:pt idx="14">
                  <c:v>4.8645080756567385E-2</c:v>
                </c:pt>
                <c:pt idx="15">
                  <c:v>0.25580311513183329</c:v>
                </c:pt>
                <c:pt idx="16">
                  <c:v>0.12078825349172408</c:v>
                </c:pt>
                <c:pt idx="17">
                  <c:v>0.96085533577411786</c:v>
                </c:pt>
                <c:pt idx="18">
                  <c:v>8.8442841339912703E-2</c:v>
                </c:pt>
                <c:pt idx="19">
                  <c:v>8.2966122807820192E-3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F97-4441-8560-8C67CE52E0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MeanAmp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50"/>
              <a:t>Ch2 - Imp/s * Mean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0030197431012176"/>
                  <c:y val="0.2068217361890428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calibration!$AP$3:$AP$23</c:f>
              <c:numCache>
                <c:formatCode>General</c:formatCode>
                <c:ptCount val="21"/>
                <c:pt idx="0">
                  <c:v>2.8607514094977962</c:v>
                </c:pt>
                <c:pt idx="1">
                  <c:v>0.90021277057705384</c:v>
                </c:pt>
                <c:pt idx="2">
                  <c:v>1.6342270400057448</c:v>
                </c:pt>
                <c:pt idx="3">
                  <c:v>1.4561626330473407</c:v>
                </c:pt>
                <c:pt idx="4">
                  <c:v>2.5142695923990894</c:v>
                </c:pt>
                <c:pt idx="5">
                  <c:v>1.3470131250422324</c:v>
                </c:pt>
                <c:pt idx="6">
                  <c:v>0.999042753190587</c:v>
                </c:pt>
                <c:pt idx="7">
                  <c:v>0.57964233248945796</c:v>
                </c:pt>
                <c:pt idx="8">
                  <c:v>0.49984548498310183</c:v>
                </c:pt>
                <c:pt idx="9">
                  <c:v>0.37015080423158947</c:v>
                </c:pt>
                <c:pt idx="10">
                  <c:v>0.32765521874269726</c:v>
                </c:pt>
                <c:pt idx="11">
                  <c:v>0.22639521887835795</c:v>
                </c:pt>
                <c:pt idx="12">
                  <c:v>0.33957420577710112</c:v>
                </c:pt>
                <c:pt idx="13">
                  <c:v>0.23431233971784696</c:v>
                </c:pt>
                <c:pt idx="14">
                  <c:v>0.35224250440692989</c:v>
                </c:pt>
                <c:pt idx="15">
                  <c:v>0.94619646887473807</c:v>
                </c:pt>
                <c:pt idx="16">
                  <c:v>0.56943033788955644</c:v>
                </c:pt>
                <c:pt idx="17">
                  <c:v>1.998186912558829</c:v>
                </c:pt>
                <c:pt idx="18">
                  <c:v>0.35060604261695916</c:v>
                </c:pt>
                <c:pt idx="19">
                  <c:v>0.11130975299782211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A4D-4FD1-9FC3-BBD662ED87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MeanAmp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Ch1 - Imp/s * Mean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calibration!$AQ$3:$AQ$23</c:f>
              <c:numCache>
                <c:formatCode>General</c:formatCode>
                <c:ptCount val="21"/>
                <c:pt idx="0">
                  <c:v>4.6321438385576901</c:v>
                </c:pt>
                <c:pt idx="1">
                  <c:v>2.4225471055337917</c:v>
                </c:pt>
                <c:pt idx="2">
                  <c:v>3.481614128707891</c:v>
                </c:pt>
                <c:pt idx="3">
                  <c:v>3.9254363880728516</c:v>
                </c:pt>
                <c:pt idx="4">
                  <c:v>4.3513210592913039</c:v>
                </c:pt>
                <c:pt idx="5">
                  <c:v>3.335002084183273</c:v>
                </c:pt>
                <c:pt idx="6">
                  <c:v>2.7307168587209376</c:v>
                </c:pt>
                <c:pt idx="7">
                  <c:v>1.7279036884511416</c:v>
                </c:pt>
                <c:pt idx="8">
                  <c:v>1.5086245546762709</c:v>
                </c:pt>
                <c:pt idx="9">
                  <c:v>1.3858084987694874</c:v>
                </c:pt>
                <c:pt idx="10">
                  <c:v>1.0315471548884587</c:v>
                </c:pt>
                <c:pt idx="11">
                  <c:v>0.85320586219082661</c:v>
                </c:pt>
                <c:pt idx="12">
                  <c:v>1.0269564400466344</c:v>
                </c:pt>
                <c:pt idx="13">
                  <c:v>0.84395833472446724</c:v>
                </c:pt>
                <c:pt idx="14">
                  <c:v>1.2196016675396537</c:v>
                </c:pt>
                <c:pt idx="15">
                  <c:v>2.3563226017520127</c:v>
                </c:pt>
                <c:pt idx="16">
                  <c:v>1.654552566196841</c:v>
                </c:pt>
                <c:pt idx="17">
                  <c:v>4.4277782615876697</c:v>
                </c:pt>
                <c:pt idx="18">
                  <c:v>1.0922225416840587</c:v>
                </c:pt>
                <c:pt idx="19">
                  <c:v>0.5592517336959717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F60-4BF2-9EC9-821FF70027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MeanAmp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Max*Mean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4963079174752913"/>
                  <c:y val="0.18033641853129498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calibration!$AJ$3:$AJ$23</c:f>
              <c:numCache>
                <c:formatCode>0.000000</c:formatCode>
                <c:ptCount val="21"/>
                <c:pt idx="0">
                  <c:v>3.4752147683573759E-3</c:v>
                </c:pt>
                <c:pt idx="1">
                  <c:v>7.3711805643588205E-4</c:v>
                </c:pt>
                <c:pt idx="2">
                  <c:v>9.2467916950492537E-4</c:v>
                </c:pt>
                <c:pt idx="3">
                  <c:v>1.2229259443791579E-3</c:v>
                </c:pt>
                <c:pt idx="4">
                  <c:v>1.040196457217859E-3</c:v>
                </c:pt>
                <c:pt idx="5">
                  <c:v>1.8436809591756652E-3</c:v>
                </c:pt>
                <c:pt idx="6">
                  <c:v>4.0142529924261388E-4</c:v>
                </c:pt>
                <c:pt idx="7">
                  <c:v>2.065135647822808E-4</c:v>
                </c:pt>
                <c:pt idx="8">
                  <c:v>7.9226482766099602E-5</c:v>
                </c:pt>
                <c:pt idx="9">
                  <c:v>7.662278491993829E-5</c:v>
                </c:pt>
                <c:pt idx="10">
                  <c:v>5.735578984154967E-5</c:v>
                </c:pt>
                <c:pt idx="11">
                  <c:v>2.2852509532522461E-5</c:v>
                </c:pt>
                <c:pt idx="12">
                  <c:v>7.9517011110918925E-5</c:v>
                </c:pt>
                <c:pt idx="13">
                  <c:v>5.2507181659674734E-5</c:v>
                </c:pt>
                <c:pt idx="14">
                  <c:v>1.5646478251006346E-4</c:v>
                </c:pt>
                <c:pt idx="15">
                  <c:v>7.0831265040571822E-4</c:v>
                </c:pt>
                <c:pt idx="16">
                  <c:v>4.9728815311319511E-4</c:v>
                </c:pt>
                <c:pt idx="17">
                  <c:v>2.8484667877975898E-3</c:v>
                </c:pt>
                <c:pt idx="18">
                  <c:v>9.6621805609703243E-4</c:v>
                </c:pt>
                <c:pt idx="19">
                  <c:v>6.5109972355612588E-5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BBF-4F08-97D2-4ED20BEC01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Max*Med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17783670119908"/>
                  <c:y val="0.17065641442706986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calibration!$AI$3:$AI$23</c:f>
              <c:numCache>
                <c:formatCode>0.000000</c:formatCode>
                <c:ptCount val="21"/>
                <c:pt idx="0">
                  <c:v>2.4018475186843532E-3</c:v>
                </c:pt>
                <c:pt idx="1">
                  <c:v>3.7521037581370633E-4</c:v>
                </c:pt>
                <c:pt idx="2">
                  <c:v>5.2946294484639543E-4</c:v>
                </c:pt>
                <c:pt idx="3">
                  <c:v>1.5600604112957928E-3</c:v>
                </c:pt>
                <c:pt idx="4">
                  <c:v>9.6922980104990105E-4</c:v>
                </c:pt>
                <c:pt idx="5">
                  <c:v>4.9376279347392569E-4</c:v>
                </c:pt>
                <c:pt idx="6">
                  <c:v>4.0596995721442025E-4</c:v>
                </c:pt>
                <c:pt idx="7">
                  <c:v>1.1833995801134387E-4</c:v>
                </c:pt>
                <c:pt idx="8">
                  <c:v>7.4738054342176106E-5</c:v>
                </c:pt>
                <c:pt idx="9">
                  <c:v>5.7140972662678026E-5</c:v>
                </c:pt>
                <c:pt idx="10">
                  <c:v>5.3771833439545179E-5</c:v>
                </c:pt>
                <c:pt idx="11">
                  <c:v>2.1865003286142305E-5</c:v>
                </c:pt>
                <c:pt idx="12">
                  <c:v>6.5348753864087188E-5</c:v>
                </c:pt>
                <c:pt idx="13">
                  <c:v>4.4800006846918226E-5</c:v>
                </c:pt>
                <c:pt idx="14">
                  <c:v>1.0241365167302253E-4</c:v>
                </c:pt>
                <c:pt idx="15">
                  <c:v>2.3537113640772703E-4</c:v>
                </c:pt>
                <c:pt idx="16">
                  <c:v>2.212218958855158E-4</c:v>
                </c:pt>
                <c:pt idx="17">
                  <c:v>9.2393519961339978E-4</c:v>
                </c:pt>
                <c:pt idx="18">
                  <c:v>2.7631449835602376E-4</c:v>
                </c:pt>
                <c:pt idx="19">
                  <c:v>6.1833733835582188E-5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168-4370-9884-12137A2E17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Max/Med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Original Max Transported Size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700184235395068"/>
          <c:y val="0.16940817925849147"/>
          <c:w val="0.76822864818330439"/>
          <c:h val="0.55963181000970685"/>
        </c:manualLayout>
      </c:layout>
      <c:scatterChart>
        <c:scatterStyle val="lineMarker"/>
        <c:varyColors val="0"/>
        <c:ser>
          <c:idx val="0"/>
          <c:order val="0"/>
          <c:tx>
            <c:strRef>
              <c:f>storm_amplification!$AK$36</c:f>
              <c:strCache>
                <c:ptCount val="1"/>
                <c:pt idx="0">
                  <c:v>Max Amp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9978324584426946"/>
                  <c:y val="6.5852653834937297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storm_amplification!$AK$37:$AK$40</c:f>
              <c:numCache>
                <c:formatCode>0.00</c:formatCode>
                <c:ptCount val="4"/>
                <c:pt idx="0">
                  <c:v>48.432377801424202</c:v>
                </c:pt>
                <c:pt idx="1">
                  <c:v>23.056153181930458</c:v>
                </c:pt>
                <c:pt idx="2">
                  <c:v>40.945848734445889</c:v>
                </c:pt>
                <c:pt idx="3">
                  <c:v>121.03081478713572</c:v>
                </c:pt>
              </c:numCache>
            </c:numRef>
          </c:xVal>
          <c:yVal>
            <c:numRef>
              <c:f>storm_amplification!$AY$38:$AY$41</c:f>
              <c:numCache>
                <c:formatCode>General</c:formatCode>
                <c:ptCount val="4"/>
                <c:pt idx="0">
                  <c:v>128</c:v>
                </c:pt>
                <c:pt idx="1">
                  <c:v>128</c:v>
                </c:pt>
                <c:pt idx="2">
                  <c:v>64</c:v>
                </c:pt>
                <c:pt idx="3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D74-40EB-80D9-0EF65F02CC61}"/>
            </c:ext>
          </c:extLst>
        </c:ser>
        <c:ser>
          <c:idx val="1"/>
          <c:order val="1"/>
          <c:tx>
            <c:strRef>
              <c:f>storm_amplification!$AL$35</c:f>
              <c:strCache>
                <c:ptCount val="1"/>
                <c:pt idx="0">
                  <c:v>Imp/s * Amax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659429335789159"/>
                  <c:y val="2.9711471318931707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storm_amplification!$AN$37:$AN$40</c:f>
              <c:numCache>
                <c:formatCode>0.00</c:formatCode>
                <c:ptCount val="4"/>
                <c:pt idx="0">
                  <c:v>67.350937002666797</c:v>
                </c:pt>
                <c:pt idx="1">
                  <c:v>48.012823615060483</c:v>
                </c:pt>
                <c:pt idx="2">
                  <c:v>31.511204524949061</c:v>
                </c:pt>
                <c:pt idx="3">
                  <c:v>50.047970770631778</c:v>
                </c:pt>
              </c:numCache>
            </c:numRef>
          </c:xVal>
          <c:yVal>
            <c:numRef>
              <c:f>storm_amplification!$AY$38:$AY$42</c:f>
              <c:numCache>
                <c:formatCode>General</c:formatCode>
                <c:ptCount val="5"/>
                <c:pt idx="0">
                  <c:v>128</c:v>
                </c:pt>
                <c:pt idx="1">
                  <c:v>128</c:v>
                </c:pt>
                <c:pt idx="2">
                  <c:v>64</c:v>
                </c:pt>
                <c:pt idx="3">
                  <c:v>128</c:v>
                </c:pt>
                <c:pt idx="4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D74-40EB-80D9-0EF65F02CC61}"/>
            </c:ext>
          </c:extLst>
        </c:ser>
        <c:ser>
          <c:idx val="2"/>
          <c:order val="2"/>
          <c:tx>
            <c:strRef>
              <c:f>storm_amplification!$AO$35</c:f>
              <c:strCache>
                <c:ptCount val="1"/>
                <c:pt idx="0">
                  <c:v>Imp/s * Amedian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8827865266841644"/>
                  <c:y val="0.24519211140274133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storm_amplification!$AQ$37:$AQ$40</c:f>
              <c:numCache>
                <c:formatCode>0.00</c:formatCode>
                <c:ptCount val="4"/>
                <c:pt idx="0">
                  <c:v>77.843734132412706</c:v>
                </c:pt>
                <c:pt idx="1">
                  <c:v>69.854879427050605</c:v>
                </c:pt>
                <c:pt idx="2">
                  <c:v>56.952896606297273</c:v>
                </c:pt>
                <c:pt idx="3">
                  <c:v>63.305067507784628</c:v>
                </c:pt>
              </c:numCache>
            </c:numRef>
          </c:xVal>
          <c:yVal>
            <c:numRef>
              <c:f>storm_amplification!$AY$38:$AY$42</c:f>
              <c:numCache>
                <c:formatCode>General</c:formatCode>
                <c:ptCount val="5"/>
                <c:pt idx="0">
                  <c:v>128</c:v>
                </c:pt>
                <c:pt idx="1">
                  <c:v>128</c:v>
                </c:pt>
                <c:pt idx="2">
                  <c:v>64</c:v>
                </c:pt>
                <c:pt idx="3">
                  <c:v>128</c:v>
                </c:pt>
                <c:pt idx="4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3D74-40EB-80D9-0EF65F02CC61}"/>
            </c:ext>
          </c:extLst>
        </c:ser>
        <c:ser>
          <c:idx val="3"/>
          <c:order val="3"/>
          <c:tx>
            <c:strRef>
              <c:f>storm_amplification!$AR$35</c:f>
              <c:strCache>
                <c:ptCount val="1"/>
                <c:pt idx="0">
                  <c:v>Imp/s * Amean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6019269590429284"/>
                  <c:y val="0.34140541747354519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storm_amplification!$AT$37:$AT$40</c:f>
              <c:numCache>
                <c:formatCode>0.00</c:formatCode>
                <c:ptCount val="4"/>
                <c:pt idx="0">
                  <c:v>101.38089267119945</c:v>
                </c:pt>
                <c:pt idx="1">
                  <c:v>78.592597973875684</c:v>
                </c:pt>
                <c:pt idx="2">
                  <c:v>48.625716570268622</c:v>
                </c:pt>
                <c:pt idx="3">
                  <c:v>62.351089332669268</c:v>
                </c:pt>
              </c:numCache>
            </c:numRef>
          </c:xVal>
          <c:yVal>
            <c:numRef>
              <c:f>storm_amplification!$AY$38:$AY$41</c:f>
              <c:numCache>
                <c:formatCode>General</c:formatCode>
                <c:ptCount val="4"/>
                <c:pt idx="0">
                  <c:v>128</c:v>
                </c:pt>
                <c:pt idx="1">
                  <c:v>128</c:v>
                </c:pt>
                <c:pt idx="2">
                  <c:v>64</c:v>
                </c:pt>
                <c:pt idx="3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3D74-40EB-80D9-0EF65F02CC61}"/>
            </c:ext>
          </c:extLst>
        </c:ser>
        <c:ser>
          <c:idx val="4"/>
          <c:order val="4"/>
          <c:tx>
            <c:v>1:01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storm_amplification!$AX$57:$AX$58</c:f>
              <c:numCache>
                <c:formatCode>General</c:formatCode>
                <c:ptCount val="2"/>
                <c:pt idx="0">
                  <c:v>0.1</c:v>
                </c:pt>
                <c:pt idx="1">
                  <c:v>150</c:v>
                </c:pt>
              </c:numCache>
            </c:numRef>
          </c:xVal>
          <c:yVal>
            <c:numRef>
              <c:f>storm_amplification!$AY$57:$AY$58</c:f>
              <c:numCache>
                <c:formatCode>General</c:formatCode>
                <c:ptCount val="2"/>
                <c:pt idx="0">
                  <c:v>0.1</c:v>
                </c:pt>
                <c:pt idx="1">
                  <c:v>150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3D74-40EB-80D9-0EF65F02CC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9116399"/>
        <c:axId val="949117359"/>
      </c:scatterChart>
      <c:valAx>
        <c:axId val="949116399"/>
        <c:scaling>
          <c:orientation val="minMax"/>
          <c:max val="16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9117359"/>
        <c:crosses val="autoZero"/>
        <c:crossBetween val="midCat"/>
      </c:valAx>
      <c:valAx>
        <c:axId val="949117359"/>
        <c:scaling>
          <c:orientation val="minMax"/>
          <c:max val="1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9116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ayout>
        <c:manualLayout>
          <c:xMode val="edge"/>
          <c:yMode val="edge"/>
          <c:x val="7.1142343575176167E-2"/>
          <c:y val="0.83956531887369312"/>
          <c:w val="0.8443603498509572"/>
          <c:h val="0.1330297451448846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Radius,</a:t>
            </a:r>
            <a:r>
              <a:rPr lang="en-US" baseline="0"/>
              <a:t> </a:t>
            </a:r>
            <a:r>
              <a:rPr lang="en-US"/>
              <a:t>Max Size</a:t>
            </a:r>
            <a:r>
              <a:rPr lang="en-US" baseline="0"/>
              <a:t> - MinD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700184235395068"/>
          <c:y val="0.16940817925849147"/>
          <c:w val="0.76822864818330439"/>
          <c:h val="0.55963181000970685"/>
        </c:manualLayout>
      </c:layout>
      <c:scatterChart>
        <c:scatterStyle val="lineMarker"/>
        <c:varyColors val="0"/>
        <c:ser>
          <c:idx val="0"/>
          <c:order val="0"/>
          <c:tx>
            <c:strRef>
              <c:f>storm_amplification!$AK$36</c:f>
              <c:strCache>
                <c:ptCount val="1"/>
                <c:pt idx="0">
                  <c:v>Max Amp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9978324584426946"/>
                  <c:y val="6.5852653834937297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storm_amplification!$AK$37:$AK$40</c:f>
              <c:numCache>
                <c:formatCode>0.00</c:formatCode>
                <c:ptCount val="4"/>
                <c:pt idx="0">
                  <c:v>48.432377801424202</c:v>
                </c:pt>
                <c:pt idx="1">
                  <c:v>23.056153181930458</c:v>
                </c:pt>
                <c:pt idx="2">
                  <c:v>40.945848734445889</c:v>
                </c:pt>
                <c:pt idx="3">
                  <c:v>121.03081478713572</c:v>
                </c:pt>
              </c:numCache>
            </c:numRef>
          </c:xVal>
          <c:yVal>
            <c:numRef>
              <c:f>storm_amplification!$AZ$38:$AZ$41</c:f>
              <c:numCache>
                <c:formatCode>General</c:formatCode>
                <c:ptCount val="4"/>
                <c:pt idx="0">
                  <c:v>128</c:v>
                </c:pt>
                <c:pt idx="1">
                  <c:v>128</c:v>
                </c:pt>
                <c:pt idx="2">
                  <c:v>64</c:v>
                </c:pt>
                <c:pt idx="3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626-441C-AC55-8EACA98ABCF3}"/>
            </c:ext>
          </c:extLst>
        </c:ser>
        <c:ser>
          <c:idx val="1"/>
          <c:order val="1"/>
          <c:tx>
            <c:strRef>
              <c:f>storm_amplification!$AL$35</c:f>
              <c:strCache>
                <c:ptCount val="1"/>
                <c:pt idx="0">
                  <c:v>Imp/s * Amax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659429335789159"/>
                  <c:y val="2.9711471318931707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storm_amplification!$AN$37:$AN$40</c:f>
              <c:numCache>
                <c:formatCode>0.00</c:formatCode>
                <c:ptCount val="4"/>
                <c:pt idx="0">
                  <c:v>67.350937002666797</c:v>
                </c:pt>
                <c:pt idx="1">
                  <c:v>48.012823615060483</c:v>
                </c:pt>
                <c:pt idx="2">
                  <c:v>31.511204524949061</c:v>
                </c:pt>
                <c:pt idx="3">
                  <c:v>50.047970770631778</c:v>
                </c:pt>
              </c:numCache>
            </c:numRef>
          </c:xVal>
          <c:yVal>
            <c:numRef>
              <c:f>storm_amplification!$AZ$38:$AZ$41</c:f>
              <c:numCache>
                <c:formatCode>General</c:formatCode>
                <c:ptCount val="4"/>
                <c:pt idx="0">
                  <c:v>128</c:v>
                </c:pt>
                <c:pt idx="1">
                  <c:v>128</c:v>
                </c:pt>
                <c:pt idx="2">
                  <c:v>64</c:v>
                </c:pt>
                <c:pt idx="3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626-441C-AC55-8EACA98ABCF3}"/>
            </c:ext>
          </c:extLst>
        </c:ser>
        <c:ser>
          <c:idx val="2"/>
          <c:order val="2"/>
          <c:tx>
            <c:strRef>
              <c:f>storm_amplification!$AO$35</c:f>
              <c:strCache>
                <c:ptCount val="1"/>
                <c:pt idx="0">
                  <c:v>Imp/s * Amedian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8827865266841644"/>
                  <c:y val="0.24519211140274133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storm_amplification!$AQ$37:$AQ$40</c:f>
              <c:numCache>
                <c:formatCode>0.00</c:formatCode>
                <c:ptCount val="4"/>
                <c:pt idx="0">
                  <c:v>77.843734132412706</c:v>
                </c:pt>
                <c:pt idx="1">
                  <c:v>69.854879427050605</c:v>
                </c:pt>
                <c:pt idx="2">
                  <c:v>56.952896606297273</c:v>
                </c:pt>
                <c:pt idx="3">
                  <c:v>63.305067507784628</c:v>
                </c:pt>
              </c:numCache>
            </c:numRef>
          </c:xVal>
          <c:yVal>
            <c:numRef>
              <c:f>storm_amplification!$AZ$38:$AZ$41</c:f>
              <c:numCache>
                <c:formatCode>General</c:formatCode>
                <c:ptCount val="4"/>
                <c:pt idx="0">
                  <c:v>128</c:v>
                </c:pt>
                <c:pt idx="1">
                  <c:v>128</c:v>
                </c:pt>
                <c:pt idx="2">
                  <c:v>64</c:v>
                </c:pt>
                <c:pt idx="3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626-441C-AC55-8EACA98ABCF3}"/>
            </c:ext>
          </c:extLst>
        </c:ser>
        <c:ser>
          <c:idx val="3"/>
          <c:order val="3"/>
          <c:tx>
            <c:strRef>
              <c:f>storm_amplification!$AR$35</c:f>
              <c:strCache>
                <c:ptCount val="1"/>
                <c:pt idx="0">
                  <c:v>Imp/s * Amean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6019269590429284"/>
                  <c:y val="0.34140541747354519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storm_amplification!$AT$37:$AT$40</c:f>
              <c:numCache>
                <c:formatCode>0.00</c:formatCode>
                <c:ptCount val="4"/>
                <c:pt idx="0">
                  <c:v>101.38089267119945</c:v>
                </c:pt>
                <c:pt idx="1">
                  <c:v>78.592597973875684</c:v>
                </c:pt>
                <c:pt idx="2">
                  <c:v>48.625716570268622</c:v>
                </c:pt>
                <c:pt idx="3">
                  <c:v>62.351089332669268</c:v>
                </c:pt>
              </c:numCache>
            </c:numRef>
          </c:xVal>
          <c:yVal>
            <c:numRef>
              <c:f>storm_amplification!$AZ$38:$AZ$41</c:f>
              <c:numCache>
                <c:formatCode>General</c:formatCode>
                <c:ptCount val="4"/>
                <c:pt idx="0">
                  <c:v>128</c:v>
                </c:pt>
                <c:pt idx="1">
                  <c:v>128</c:v>
                </c:pt>
                <c:pt idx="2">
                  <c:v>64</c:v>
                </c:pt>
                <c:pt idx="3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C626-441C-AC55-8EACA98ABCF3}"/>
            </c:ext>
          </c:extLst>
        </c:ser>
        <c:ser>
          <c:idx val="4"/>
          <c:order val="4"/>
          <c:tx>
            <c:v>1:01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storm_amplification!$AX$57:$AX$58</c:f>
              <c:numCache>
                <c:formatCode>General</c:formatCode>
                <c:ptCount val="2"/>
                <c:pt idx="0">
                  <c:v>0.1</c:v>
                </c:pt>
                <c:pt idx="1">
                  <c:v>150</c:v>
                </c:pt>
              </c:numCache>
            </c:numRef>
          </c:xVal>
          <c:yVal>
            <c:numRef>
              <c:f>storm_amplification!$AY$57:$AY$58</c:f>
              <c:numCache>
                <c:formatCode>General</c:formatCode>
                <c:ptCount val="2"/>
                <c:pt idx="0">
                  <c:v>0.1</c:v>
                </c:pt>
                <c:pt idx="1">
                  <c:v>150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C626-441C-AC55-8EACA98ABC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9116399"/>
        <c:axId val="949117359"/>
      </c:scatterChart>
      <c:valAx>
        <c:axId val="949116399"/>
        <c:scaling>
          <c:orientation val="minMax"/>
          <c:max val="16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9117359"/>
        <c:crosses val="autoZero"/>
        <c:crossBetween val="midCat"/>
      </c:valAx>
      <c:valAx>
        <c:axId val="949117359"/>
        <c:scaling>
          <c:orientation val="minMax"/>
          <c:max val="1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9116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ayout>
        <c:manualLayout>
          <c:xMode val="edge"/>
          <c:yMode val="edge"/>
          <c:x val="7.1142343575176167E-2"/>
          <c:y val="0.83956531887369312"/>
          <c:w val="0.8443603498509572"/>
          <c:h val="0.1330297451448846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Radius,</a:t>
            </a:r>
            <a:r>
              <a:rPr lang="en-US" baseline="0"/>
              <a:t> Largest % - MinD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700184235395068"/>
          <c:y val="0.16940817925849147"/>
          <c:w val="0.76822864818330439"/>
          <c:h val="0.55963181000970685"/>
        </c:manualLayout>
      </c:layout>
      <c:scatterChart>
        <c:scatterStyle val="lineMarker"/>
        <c:varyColors val="0"/>
        <c:ser>
          <c:idx val="0"/>
          <c:order val="0"/>
          <c:tx>
            <c:strRef>
              <c:f>storm_amplification!$AK$36</c:f>
              <c:strCache>
                <c:ptCount val="1"/>
                <c:pt idx="0">
                  <c:v>Max Amp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9978324584426946"/>
                  <c:y val="6.5852653834937297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storm_amplification!$AK$37:$AK$40</c:f>
              <c:numCache>
                <c:formatCode>0.00</c:formatCode>
                <c:ptCount val="4"/>
                <c:pt idx="0">
                  <c:v>48.432377801424202</c:v>
                </c:pt>
                <c:pt idx="1">
                  <c:v>23.056153181930458</c:v>
                </c:pt>
                <c:pt idx="2">
                  <c:v>40.945848734445889</c:v>
                </c:pt>
                <c:pt idx="3">
                  <c:v>121.03081478713572</c:v>
                </c:pt>
              </c:numCache>
            </c:numRef>
          </c:xVal>
          <c:yVal>
            <c:numRef>
              <c:f>storm_amplification!$BC$38:$BC$41</c:f>
              <c:numCache>
                <c:formatCode>General</c:formatCode>
                <c:ptCount val="4"/>
                <c:pt idx="0">
                  <c:v>64</c:v>
                </c:pt>
                <c:pt idx="1">
                  <c:v>32</c:v>
                </c:pt>
                <c:pt idx="2">
                  <c:v>32</c:v>
                </c:pt>
                <c:pt idx="3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43F-4560-9074-3764D9B41CB8}"/>
            </c:ext>
          </c:extLst>
        </c:ser>
        <c:ser>
          <c:idx val="1"/>
          <c:order val="1"/>
          <c:tx>
            <c:strRef>
              <c:f>storm_amplification!$AL$35</c:f>
              <c:strCache>
                <c:ptCount val="1"/>
                <c:pt idx="0">
                  <c:v>Imp/s * Amax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659429335789159"/>
                  <c:y val="2.9711471318931707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storm_amplification!$AN$37:$AN$40</c:f>
              <c:numCache>
                <c:formatCode>0.00</c:formatCode>
                <c:ptCount val="4"/>
                <c:pt idx="0">
                  <c:v>67.350937002666797</c:v>
                </c:pt>
                <c:pt idx="1">
                  <c:v>48.012823615060483</c:v>
                </c:pt>
                <c:pt idx="2">
                  <c:v>31.511204524949061</c:v>
                </c:pt>
                <c:pt idx="3">
                  <c:v>50.047970770631778</c:v>
                </c:pt>
              </c:numCache>
            </c:numRef>
          </c:xVal>
          <c:yVal>
            <c:numRef>
              <c:f>storm_amplification!$BC$38:$BC$41</c:f>
              <c:numCache>
                <c:formatCode>General</c:formatCode>
                <c:ptCount val="4"/>
                <c:pt idx="0">
                  <c:v>64</c:v>
                </c:pt>
                <c:pt idx="1">
                  <c:v>32</c:v>
                </c:pt>
                <c:pt idx="2">
                  <c:v>32</c:v>
                </c:pt>
                <c:pt idx="3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43F-4560-9074-3764D9B41CB8}"/>
            </c:ext>
          </c:extLst>
        </c:ser>
        <c:ser>
          <c:idx val="2"/>
          <c:order val="2"/>
          <c:tx>
            <c:strRef>
              <c:f>storm_amplification!$AO$35</c:f>
              <c:strCache>
                <c:ptCount val="1"/>
                <c:pt idx="0">
                  <c:v>Imp/s * Amedian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49793773058661617"/>
                  <c:y val="-6.4609114622763142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storm_amplification!$AQ$37:$AQ$40</c:f>
              <c:numCache>
                <c:formatCode>0.00</c:formatCode>
                <c:ptCount val="4"/>
                <c:pt idx="0">
                  <c:v>77.843734132412706</c:v>
                </c:pt>
                <c:pt idx="1">
                  <c:v>69.854879427050605</c:v>
                </c:pt>
                <c:pt idx="2">
                  <c:v>56.952896606297273</c:v>
                </c:pt>
                <c:pt idx="3">
                  <c:v>63.305067507784628</c:v>
                </c:pt>
              </c:numCache>
            </c:numRef>
          </c:xVal>
          <c:yVal>
            <c:numRef>
              <c:f>storm_amplification!$BC$38:$BC$41</c:f>
              <c:numCache>
                <c:formatCode>General</c:formatCode>
                <c:ptCount val="4"/>
                <c:pt idx="0">
                  <c:v>64</c:v>
                </c:pt>
                <c:pt idx="1">
                  <c:v>32</c:v>
                </c:pt>
                <c:pt idx="2">
                  <c:v>32</c:v>
                </c:pt>
                <c:pt idx="3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43F-4560-9074-3764D9B41CB8}"/>
            </c:ext>
          </c:extLst>
        </c:ser>
        <c:ser>
          <c:idx val="3"/>
          <c:order val="3"/>
          <c:tx>
            <c:strRef>
              <c:f>storm_amplification!$AR$35</c:f>
              <c:strCache>
                <c:ptCount val="1"/>
                <c:pt idx="0">
                  <c:v>Imp/s * Amean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6278437926370583"/>
                  <c:y val="-0.11144314320949203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storm_amplification!$AT$37:$AT$40</c:f>
              <c:numCache>
                <c:formatCode>0.00</c:formatCode>
                <c:ptCount val="4"/>
                <c:pt idx="0">
                  <c:v>101.38089267119945</c:v>
                </c:pt>
                <c:pt idx="1">
                  <c:v>78.592597973875684</c:v>
                </c:pt>
                <c:pt idx="2">
                  <c:v>48.625716570268622</c:v>
                </c:pt>
                <c:pt idx="3">
                  <c:v>62.351089332669268</c:v>
                </c:pt>
              </c:numCache>
            </c:numRef>
          </c:xVal>
          <c:yVal>
            <c:numRef>
              <c:f>storm_amplification!$BC$38:$BC$41</c:f>
              <c:numCache>
                <c:formatCode>General</c:formatCode>
                <c:ptCount val="4"/>
                <c:pt idx="0">
                  <c:v>64</c:v>
                </c:pt>
                <c:pt idx="1">
                  <c:v>32</c:v>
                </c:pt>
                <c:pt idx="2">
                  <c:v>32</c:v>
                </c:pt>
                <c:pt idx="3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143F-4560-9074-3764D9B41CB8}"/>
            </c:ext>
          </c:extLst>
        </c:ser>
        <c:ser>
          <c:idx val="4"/>
          <c:order val="4"/>
          <c:tx>
            <c:v>1:01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storm_amplification!$AX$57:$AX$58</c:f>
              <c:numCache>
                <c:formatCode>General</c:formatCode>
                <c:ptCount val="2"/>
                <c:pt idx="0">
                  <c:v>0.1</c:v>
                </c:pt>
                <c:pt idx="1">
                  <c:v>150</c:v>
                </c:pt>
              </c:numCache>
            </c:numRef>
          </c:xVal>
          <c:yVal>
            <c:numRef>
              <c:f>storm_amplification!$AY$57:$AY$58</c:f>
              <c:numCache>
                <c:formatCode>General</c:formatCode>
                <c:ptCount val="2"/>
                <c:pt idx="0">
                  <c:v>0.1</c:v>
                </c:pt>
                <c:pt idx="1">
                  <c:v>150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143F-4560-9074-3764D9B41C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9116399"/>
        <c:axId val="949117359"/>
      </c:scatterChart>
      <c:valAx>
        <c:axId val="949116399"/>
        <c:scaling>
          <c:orientation val="minMax"/>
          <c:max val="16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9117359"/>
        <c:crosses val="autoZero"/>
        <c:crossBetween val="midCat"/>
      </c:valAx>
      <c:valAx>
        <c:axId val="949117359"/>
        <c:scaling>
          <c:orientation val="minMax"/>
          <c:max val="1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9116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ayout>
        <c:manualLayout>
          <c:xMode val="edge"/>
          <c:yMode val="edge"/>
          <c:x val="8.885523736931901E-2"/>
          <c:y val="0.82586285088298195"/>
          <c:w val="0.8443603498509572"/>
          <c:h val="0.1330297451448846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Diameter,</a:t>
            </a:r>
            <a:r>
              <a:rPr lang="en-US" baseline="0"/>
              <a:t> Max Size - MinD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700184235395068"/>
          <c:y val="0.16940817925849147"/>
          <c:w val="0.76822864818330439"/>
          <c:h val="0.55963181000970685"/>
        </c:manualLayout>
      </c:layout>
      <c:scatterChart>
        <c:scatterStyle val="lineMarker"/>
        <c:varyColors val="0"/>
        <c:ser>
          <c:idx val="0"/>
          <c:order val="0"/>
          <c:tx>
            <c:strRef>
              <c:f>storm_amplification!$AK$36</c:f>
              <c:strCache>
                <c:ptCount val="1"/>
                <c:pt idx="0">
                  <c:v>Max Amp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9978324584426946"/>
                  <c:y val="6.5852653834937297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storm_amplification!$AK$37:$AK$40</c:f>
              <c:numCache>
                <c:formatCode>0.00</c:formatCode>
                <c:ptCount val="4"/>
                <c:pt idx="0">
                  <c:v>48.432377801424202</c:v>
                </c:pt>
                <c:pt idx="1">
                  <c:v>23.056153181930458</c:v>
                </c:pt>
                <c:pt idx="2">
                  <c:v>40.945848734445889</c:v>
                </c:pt>
                <c:pt idx="3">
                  <c:v>121.03081478713572</c:v>
                </c:pt>
              </c:numCache>
            </c:numRef>
          </c:xVal>
          <c:yVal>
            <c:numRef>
              <c:f>storm_amplification!$BF$38:$BF$41</c:f>
              <c:numCache>
                <c:formatCode>General</c:formatCode>
                <c:ptCount val="4"/>
                <c:pt idx="0">
                  <c:v>45</c:v>
                </c:pt>
                <c:pt idx="1">
                  <c:v>128</c:v>
                </c:pt>
                <c:pt idx="2">
                  <c:v>64</c:v>
                </c:pt>
                <c:pt idx="3">
                  <c:v>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A01-4C26-BC77-767B3A285F7F}"/>
            </c:ext>
          </c:extLst>
        </c:ser>
        <c:ser>
          <c:idx val="1"/>
          <c:order val="1"/>
          <c:tx>
            <c:strRef>
              <c:f>storm_amplification!$AL$35</c:f>
              <c:strCache>
                <c:ptCount val="1"/>
                <c:pt idx="0">
                  <c:v>Imp/s * Amax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659429335789159"/>
                  <c:y val="2.9711471318931707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storm_amplification!$AN$37:$AN$40</c:f>
              <c:numCache>
                <c:formatCode>0.00</c:formatCode>
                <c:ptCount val="4"/>
                <c:pt idx="0">
                  <c:v>67.350937002666797</c:v>
                </c:pt>
                <c:pt idx="1">
                  <c:v>48.012823615060483</c:v>
                </c:pt>
                <c:pt idx="2">
                  <c:v>31.511204524949061</c:v>
                </c:pt>
                <c:pt idx="3">
                  <c:v>50.047970770631778</c:v>
                </c:pt>
              </c:numCache>
            </c:numRef>
          </c:xVal>
          <c:yVal>
            <c:numRef>
              <c:f>storm_amplification!$BF$38:$BF$41</c:f>
              <c:numCache>
                <c:formatCode>General</c:formatCode>
                <c:ptCount val="4"/>
                <c:pt idx="0">
                  <c:v>45</c:v>
                </c:pt>
                <c:pt idx="1">
                  <c:v>128</c:v>
                </c:pt>
                <c:pt idx="2">
                  <c:v>64</c:v>
                </c:pt>
                <c:pt idx="3">
                  <c:v>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A01-4C26-BC77-767B3A285F7F}"/>
            </c:ext>
          </c:extLst>
        </c:ser>
        <c:ser>
          <c:idx val="2"/>
          <c:order val="2"/>
          <c:tx>
            <c:strRef>
              <c:f>storm_amplification!$AO$35</c:f>
              <c:strCache>
                <c:ptCount val="1"/>
                <c:pt idx="0">
                  <c:v>Imp/s * Amedian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49793773058661617"/>
                  <c:y val="-6.4609114622763142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storm_amplification!$AQ$37:$AQ$40</c:f>
              <c:numCache>
                <c:formatCode>0.00</c:formatCode>
                <c:ptCount val="4"/>
                <c:pt idx="0">
                  <c:v>77.843734132412706</c:v>
                </c:pt>
                <c:pt idx="1">
                  <c:v>69.854879427050605</c:v>
                </c:pt>
                <c:pt idx="2">
                  <c:v>56.952896606297273</c:v>
                </c:pt>
                <c:pt idx="3">
                  <c:v>63.305067507784628</c:v>
                </c:pt>
              </c:numCache>
            </c:numRef>
          </c:xVal>
          <c:yVal>
            <c:numRef>
              <c:f>storm_amplification!$BF$38:$BF$41</c:f>
              <c:numCache>
                <c:formatCode>General</c:formatCode>
                <c:ptCount val="4"/>
                <c:pt idx="0">
                  <c:v>45</c:v>
                </c:pt>
                <c:pt idx="1">
                  <c:v>128</c:v>
                </c:pt>
                <c:pt idx="2">
                  <c:v>64</c:v>
                </c:pt>
                <c:pt idx="3">
                  <c:v>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A01-4C26-BC77-767B3A285F7F}"/>
            </c:ext>
          </c:extLst>
        </c:ser>
        <c:ser>
          <c:idx val="3"/>
          <c:order val="3"/>
          <c:tx>
            <c:strRef>
              <c:f>storm_amplification!$AR$35</c:f>
              <c:strCache>
                <c:ptCount val="1"/>
                <c:pt idx="0">
                  <c:v>Imp/s * Amean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6278437926370583"/>
                  <c:y val="-0.11144314320949203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storm_amplification!$AT$37:$AT$40</c:f>
              <c:numCache>
                <c:formatCode>0.00</c:formatCode>
                <c:ptCount val="4"/>
                <c:pt idx="0">
                  <c:v>101.38089267119945</c:v>
                </c:pt>
                <c:pt idx="1">
                  <c:v>78.592597973875684</c:v>
                </c:pt>
                <c:pt idx="2">
                  <c:v>48.625716570268622</c:v>
                </c:pt>
                <c:pt idx="3">
                  <c:v>62.351089332669268</c:v>
                </c:pt>
              </c:numCache>
            </c:numRef>
          </c:xVal>
          <c:yVal>
            <c:numRef>
              <c:f>storm_amplification!$BF$38:$BF$41</c:f>
              <c:numCache>
                <c:formatCode>General</c:formatCode>
                <c:ptCount val="4"/>
                <c:pt idx="0">
                  <c:v>45</c:v>
                </c:pt>
                <c:pt idx="1">
                  <c:v>128</c:v>
                </c:pt>
                <c:pt idx="2">
                  <c:v>64</c:v>
                </c:pt>
                <c:pt idx="3">
                  <c:v>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CA01-4C26-BC77-767B3A285F7F}"/>
            </c:ext>
          </c:extLst>
        </c:ser>
        <c:ser>
          <c:idx val="4"/>
          <c:order val="4"/>
          <c:tx>
            <c:v>1:01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storm_amplification!$AX$57:$AX$58</c:f>
              <c:numCache>
                <c:formatCode>General</c:formatCode>
                <c:ptCount val="2"/>
                <c:pt idx="0">
                  <c:v>0.1</c:v>
                </c:pt>
                <c:pt idx="1">
                  <c:v>150</c:v>
                </c:pt>
              </c:numCache>
            </c:numRef>
          </c:xVal>
          <c:yVal>
            <c:numRef>
              <c:f>storm_amplification!$AY$57:$AY$58</c:f>
              <c:numCache>
                <c:formatCode>General</c:formatCode>
                <c:ptCount val="2"/>
                <c:pt idx="0">
                  <c:v>0.1</c:v>
                </c:pt>
                <c:pt idx="1">
                  <c:v>150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CA01-4C26-BC77-767B3A285F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9116399"/>
        <c:axId val="949117359"/>
      </c:scatterChart>
      <c:valAx>
        <c:axId val="949116399"/>
        <c:scaling>
          <c:orientation val="minMax"/>
          <c:max val="16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9117359"/>
        <c:crosses val="autoZero"/>
        <c:crossBetween val="midCat"/>
      </c:valAx>
      <c:valAx>
        <c:axId val="949117359"/>
        <c:scaling>
          <c:orientation val="minMax"/>
          <c:max val="1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9116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ayout>
        <c:manualLayout>
          <c:xMode val="edge"/>
          <c:yMode val="edge"/>
          <c:x val="8.885523736931901E-2"/>
          <c:y val="0.82586285088298195"/>
          <c:w val="0.8443603498509572"/>
          <c:h val="0.1330297451448846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Diameter,</a:t>
            </a:r>
            <a:r>
              <a:rPr lang="en-US" baseline="0"/>
              <a:t> Max Size - 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700184235395068"/>
          <c:y val="0.16940817925849147"/>
          <c:w val="0.76822864818330439"/>
          <c:h val="0.55963181000970685"/>
        </c:manualLayout>
      </c:layout>
      <c:scatterChart>
        <c:scatterStyle val="lineMarker"/>
        <c:varyColors val="0"/>
        <c:ser>
          <c:idx val="0"/>
          <c:order val="0"/>
          <c:tx>
            <c:strRef>
              <c:f>storm_amplification!$AK$36</c:f>
              <c:strCache>
                <c:ptCount val="1"/>
                <c:pt idx="0">
                  <c:v>Max Amp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9978324584426946"/>
                  <c:y val="6.5852653834937297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storm_amplification!$AK$37:$AK$40</c:f>
              <c:numCache>
                <c:formatCode>0.00</c:formatCode>
                <c:ptCount val="4"/>
                <c:pt idx="0">
                  <c:v>48.432377801424202</c:v>
                </c:pt>
                <c:pt idx="1">
                  <c:v>23.056153181930458</c:v>
                </c:pt>
                <c:pt idx="2">
                  <c:v>40.945848734445889</c:v>
                </c:pt>
                <c:pt idx="3">
                  <c:v>121.03081478713572</c:v>
                </c:pt>
              </c:numCache>
            </c:numRef>
          </c:xVal>
          <c:yVal>
            <c:numRef>
              <c:f>storm_amplification!$BG$38:$BG$41</c:f>
              <c:numCache>
                <c:formatCode>General</c:formatCode>
                <c:ptCount val="4"/>
                <c:pt idx="0">
                  <c:v>90</c:v>
                </c:pt>
                <c:pt idx="1">
                  <c:v>128</c:v>
                </c:pt>
                <c:pt idx="2">
                  <c:v>64</c:v>
                </c:pt>
                <c:pt idx="3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437-449B-BE15-D08B5130B5C2}"/>
            </c:ext>
          </c:extLst>
        </c:ser>
        <c:ser>
          <c:idx val="1"/>
          <c:order val="1"/>
          <c:tx>
            <c:strRef>
              <c:f>storm_amplification!$AL$35</c:f>
              <c:strCache>
                <c:ptCount val="1"/>
                <c:pt idx="0">
                  <c:v>Imp/s * Amax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659429335789159"/>
                  <c:y val="2.9711471318931707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storm_amplification!$AN$37:$AN$40</c:f>
              <c:numCache>
                <c:formatCode>0.00</c:formatCode>
                <c:ptCount val="4"/>
                <c:pt idx="0">
                  <c:v>67.350937002666797</c:v>
                </c:pt>
                <c:pt idx="1">
                  <c:v>48.012823615060483</c:v>
                </c:pt>
                <c:pt idx="2">
                  <c:v>31.511204524949061</c:v>
                </c:pt>
                <c:pt idx="3">
                  <c:v>50.047970770631778</c:v>
                </c:pt>
              </c:numCache>
            </c:numRef>
          </c:xVal>
          <c:yVal>
            <c:numRef>
              <c:f>storm_amplification!$BG$38:$BG$41</c:f>
              <c:numCache>
                <c:formatCode>General</c:formatCode>
                <c:ptCount val="4"/>
                <c:pt idx="0">
                  <c:v>90</c:v>
                </c:pt>
                <c:pt idx="1">
                  <c:v>128</c:v>
                </c:pt>
                <c:pt idx="2">
                  <c:v>64</c:v>
                </c:pt>
                <c:pt idx="3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437-449B-BE15-D08B5130B5C2}"/>
            </c:ext>
          </c:extLst>
        </c:ser>
        <c:ser>
          <c:idx val="2"/>
          <c:order val="2"/>
          <c:tx>
            <c:strRef>
              <c:f>storm_amplification!$AO$35</c:f>
              <c:strCache>
                <c:ptCount val="1"/>
                <c:pt idx="0">
                  <c:v>Imp/s * Amedian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49793773058661617"/>
                  <c:y val="-6.4609114622763142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storm_amplification!$AQ$37:$AQ$40</c:f>
              <c:numCache>
                <c:formatCode>0.00</c:formatCode>
                <c:ptCount val="4"/>
                <c:pt idx="0">
                  <c:v>77.843734132412706</c:v>
                </c:pt>
                <c:pt idx="1">
                  <c:v>69.854879427050605</c:v>
                </c:pt>
                <c:pt idx="2">
                  <c:v>56.952896606297273</c:v>
                </c:pt>
                <c:pt idx="3">
                  <c:v>63.305067507784628</c:v>
                </c:pt>
              </c:numCache>
            </c:numRef>
          </c:xVal>
          <c:yVal>
            <c:numRef>
              <c:f>storm_amplification!$BG$38:$BG$41</c:f>
              <c:numCache>
                <c:formatCode>General</c:formatCode>
                <c:ptCount val="4"/>
                <c:pt idx="0">
                  <c:v>90</c:v>
                </c:pt>
                <c:pt idx="1">
                  <c:v>128</c:v>
                </c:pt>
                <c:pt idx="2">
                  <c:v>64</c:v>
                </c:pt>
                <c:pt idx="3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437-449B-BE15-D08B5130B5C2}"/>
            </c:ext>
          </c:extLst>
        </c:ser>
        <c:ser>
          <c:idx val="3"/>
          <c:order val="3"/>
          <c:tx>
            <c:strRef>
              <c:f>storm_amplification!$AR$35</c:f>
              <c:strCache>
                <c:ptCount val="1"/>
                <c:pt idx="0">
                  <c:v>Imp/s * Amean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6278437926370583"/>
                  <c:y val="-0.11144314320949203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storm_amplification!$AT$37:$AT$40</c:f>
              <c:numCache>
                <c:formatCode>0.00</c:formatCode>
                <c:ptCount val="4"/>
                <c:pt idx="0">
                  <c:v>101.38089267119945</c:v>
                </c:pt>
                <c:pt idx="1">
                  <c:v>78.592597973875684</c:v>
                </c:pt>
                <c:pt idx="2">
                  <c:v>48.625716570268622</c:v>
                </c:pt>
                <c:pt idx="3">
                  <c:v>62.351089332669268</c:v>
                </c:pt>
              </c:numCache>
            </c:numRef>
          </c:xVal>
          <c:yVal>
            <c:numRef>
              <c:f>storm_amplification!$BG$38:$BG$41</c:f>
              <c:numCache>
                <c:formatCode>General</c:formatCode>
                <c:ptCount val="4"/>
                <c:pt idx="0">
                  <c:v>90</c:v>
                </c:pt>
                <c:pt idx="1">
                  <c:v>128</c:v>
                </c:pt>
                <c:pt idx="2">
                  <c:v>64</c:v>
                </c:pt>
                <c:pt idx="3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3437-449B-BE15-D08B5130B5C2}"/>
            </c:ext>
          </c:extLst>
        </c:ser>
        <c:ser>
          <c:idx val="4"/>
          <c:order val="4"/>
          <c:tx>
            <c:v>1:01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storm_amplification!$AX$57:$AX$58</c:f>
              <c:numCache>
                <c:formatCode>General</c:formatCode>
                <c:ptCount val="2"/>
                <c:pt idx="0">
                  <c:v>0.1</c:v>
                </c:pt>
                <c:pt idx="1">
                  <c:v>150</c:v>
                </c:pt>
              </c:numCache>
            </c:numRef>
          </c:xVal>
          <c:yVal>
            <c:numRef>
              <c:f>storm_amplification!$AY$57:$AY$58</c:f>
              <c:numCache>
                <c:formatCode>General</c:formatCode>
                <c:ptCount val="2"/>
                <c:pt idx="0">
                  <c:v>0.1</c:v>
                </c:pt>
                <c:pt idx="1">
                  <c:v>150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3437-449B-BE15-D08B5130B5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9116399"/>
        <c:axId val="949117359"/>
      </c:scatterChart>
      <c:valAx>
        <c:axId val="949116399"/>
        <c:scaling>
          <c:orientation val="minMax"/>
          <c:max val="16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9117359"/>
        <c:crosses val="autoZero"/>
        <c:crossBetween val="midCat"/>
      </c:valAx>
      <c:valAx>
        <c:axId val="949117359"/>
        <c:scaling>
          <c:orientation val="minMax"/>
          <c:max val="1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9116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ayout>
        <c:manualLayout>
          <c:xMode val="edge"/>
          <c:yMode val="edge"/>
          <c:x val="8.885523736931901E-2"/>
          <c:y val="0.82586285088298195"/>
          <c:w val="0.8443603498509572"/>
          <c:h val="0.1330297451448846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Diameter,</a:t>
            </a:r>
            <a:r>
              <a:rPr lang="en-US" baseline="0"/>
              <a:t> Max Size - Dmax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700184235395068"/>
          <c:y val="0.16940817925849147"/>
          <c:w val="0.76822864818330439"/>
          <c:h val="0.55963181000970685"/>
        </c:manualLayout>
      </c:layout>
      <c:scatterChart>
        <c:scatterStyle val="lineMarker"/>
        <c:varyColors val="0"/>
        <c:ser>
          <c:idx val="0"/>
          <c:order val="0"/>
          <c:tx>
            <c:strRef>
              <c:f>storm_amplification!$AK$36</c:f>
              <c:strCache>
                <c:ptCount val="1"/>
                <c:pt idx="0">
                  <c:v>Max Amp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0128397751317781"/>
                  <c:y val="0.12045116724527526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storm_amplification!$AK$37:$AK$40</c:f>
              <c:numCache>
                <c:formatCode>0.00</c:formatCode>
                <c:ptCount val="4"/>
                <c:pt idx="0">
                  <c:v>48.432377801424202</c:v>
                </c:pt>
                <c:pt idx="1">
                  <c:v>23.056153181930458</c:v>
                </c:pt>
                <c:pt idx="2">
                  <c:v>40.945848734445889</c:v>
                </c:pt>
                <c:pt idx="3">
                  <c:v>121.03081478713572</c:v>
                </c:pt>
              </c:numCache>
            </c:numRef>
          </c:xVal>
          <c:yVal>
            <c:numRef>
              <c:f>storm_amplification!$BH$38:$BH$41</c:f>
              <c:numCache>
                <c:formatCode>General</c:formatCode>
                <c:ptCount val="4"/>
                <c:pt idx="0">
                  <c:v>90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05E-468E-931A-E6095480F73D}"/>
            </c:ext>
          </c:extLst>
        </c:ser>
        <c:ser>
          <c:idx val="1"/>
          <c:order val="1"/>
          <c:tx>
            <c:strRef>
              <c:f>storm_amplification!$AL$35</c:f>
              <c:strCache>
                <c:ptCount val="1"/>
                <c:pt idx="0">
                  <c:v>Imp/s * Amax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5902408249063396"/>
                  <c:y val="0.12467915185679231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storm_amplification!$AN$37:$AN$40</c:f>
              <c:numCache>
                <c:formatCode>0.00</c:formatCode>
                <c:ptCount val="4"/>
                <c:pt idx="0">
                  <c:v>67.350937002666797</c:v>
                </c:pt>
                <c:pt idx="1">
                  <c:v>48.012823615060483</c:v>
                </c:pt>
                <c:pt idx="2">
                  <c:v>31.511204524949061</c:v>
                </c:pt>
                <c:pt idx="3">
                  <c:v>50.047970770631778</c:v>
                </c:pt>
              </c:numCache>
            </c:numRef>
          </c:xVal>
          <c:yVal>
            <c:numRef>
              <c:f>storm_amplification!$BH$38:$BH$41</c:f>
              <c:numCache>
                <c:formatCode>General</c:formatCode>
                <c:ptCount val="4"/>
                <c:pt idx="0">
                  <c:v>90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05E-468E-931A-E6095480F73D}"/>
            </c:ext>
          </c:extLst>
        </c:ser>
        <c:ser>
          <c:idx val="2"/>
          <c:order val="2"/>
          <c:tx>
            <c:strRef>
              <c:f>storm_amplification!$AO$35</c:f>
              <c:strCache>
                <c:ptCount val="1"/>
                <c:pt idx="0">
                  <c:v>Imp/s * Amedian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49980975792304344"/>
                  <c:y val="-2.8059849215308928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storm_amplification!$AQ$37:$AQ$40</c:f>
              <c:numCache>
                <c:formatCode>0.00</c:formatCode>
                <c:ptCount val="4"/>
                <c:pt idx="0">
                  <c:v>77.843734132412706</c:v>
                </c:pt>
                <c:pt idx="1">
                  <c:v>69.854879427050605</c:v>
                </c:pt>
                <c:pt idx="2">
                  <c:v>56.952896606297273</c:v>
                </c:pt>
                <c:pt idx="3">
                  <c:v>63.305067507784628</c:v>
                </c:pt>
              </c:numCache>
            </c:numRef>
          </c:xVal>
          <c:yVal>
            <c:numRef>
              <c:f>storm_amplification!$BH$38:$BH$41</c:f>
              <c:numCache>
                <c:formatCode>General</c:formatCode>
                <c:ptCount val="4"/>
                <c:pt idx="0">
                  <c:v>90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05E-468E-931A-E6095480F73D}"/>
            </c:ext>
          </c:extLst>
        </c:ser>
        <c:ser>
          <c:idx val="3"/>
          <c:order val="3"/>
          <c:tx>
            <c:strRef>
              <c:f>storm_amplification!$AR$35</c:f>
              <c:strCache>
                <c:ptCount val="1"/>
                <c:pt idx="0">
                  <c:v>Imp/s * Amean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6278437926370583"/>
                  <c:y val="-0.11144314320949203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storm_amplification!$AT$37:$AT$40</c:f>
              <c:numCache>
                <c:formatCode>0.00</c:formatCode>
                <c:ptCount val="4"/>
                <c:pt idx="0">
                  <c:v>101.38089267119945</c:v>
                </c:pt>
                <c:pt idx="1">
                  <c:v>78.592597973875684</c:v>
                </c:pt>
                <c:pt idx="2">
                  <c:v>48.625716570268622</c:v>
                </c:pt>
                <c:pt idx="3">
                  <c:v>62.351089332669268</c:v>
                </c:pt>
              </c:numCache>
            </c:numRef>
          </c:xVal>
          <c:yVal>
            <c:numRef>
              <c:f>storm_amplification!$BH$38:$BH$41</c:f>
              <c:numCache>
                <c:formatCode>General</c:formatCode>
                <c:ptCount val="4"/>
                <c:pt idx="0">
                  <c:v>90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D05E-468E-931A-E6095480F73D}"/>
            </c:ext>
          </c:extLst>
        </c:ser>
        <c:ser>
          <c:idx val="4"/>
          <c:order val="4"/>
          <c:tx>
            <c:v>1:01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storm_amplification!$AX$57:$AX$58</c:f>
              <c:numCache>
                <c:formatCode>General</c:formatCode>
                <c:ptCount val="2"/>
                <c:pt idx="0">
                  <c:v>0.1</c:v>
                </c:pt>
                <c:pt idx="1">
                  <c:v>150</c:v>
                </c:pt>
              </c:numCache>
            </c:numRef>
          </c:xVal>
          <c:yVal>
            <c:numRef>
              <c:f>storm_amplification!$AY$57:$AY$58</c:f>
              <c:numCache>
                <c:formatCode>General</c:formatCode>
                <c:ptCount val="2"/>
                <c:pt idx="0">
                  <c:v>0.1</c:v>
                </c:pt>
                <c:pt idx="1">
                  <c:v>150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D05E-468E-931A-E6095480F7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9116399"/>
        <c:axId val="949117359"/>
      </c:scatterChart>
      <c:valAx>
        <c:axId val="949116399"/>
        <c:scaling>
          <c:orientation val="minMax"/>
          <c:max val="16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9117359"/>
        <c:crosses val="autoZero"/>
        <c:crossBetween val="midCat"/>
      </c:valAx>
      <c:valAx>
        <c:axId val="949117359"/>
        <c:scaling>
          <c:orientation val="minMax"/>
          <c:max val="1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9116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ayout>
        <c:manualLayout>
          <c:xMode val="edge"/>
          <c:yMode val="edge"/>
          <c:x val="8.885523736931901E-2"/>
          <c:y val="0.82586285088298195"/>
          <c:w val="0.8443603498509572"/>
          <c:h val="0.1330297451448846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Diameter,</a:t>
            </a:r>
            <a:r>
              <a:rPr lang="en-US" baseline="0"/>
              <a:t> Largest % - MinD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700184235395068"/>
          <c:y val="0.16940817925849147"/>
          <c:w val="0.76822864818330439"/>
          <c:h val="0.55963181000970685"/>
        </c:manualLayout>
      </c:layout>
      <c:scatterChart>
        <c:scatterStyle val="lineMarker"/>
        <c:varyColors val="0"/>
        <c:ser>
          <c:idx val="0"/>
          <c:order val="0"/>
          <c:tx>
            <c:strRef>
              <c:f>storm_amplification!$AK$36</c:f>
              <c:strCache>
                <c:ptCount val="1"/>
                <c:pt idx="0">
                  <c:v>Max Amp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9978324584426946"/>
                  <c:y val="6.5852653834937297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storm_amplification!$AK$37:$AK$40</c:f>
              <c:numCache>
                <c:formatCode>0.00</c:formatCode>
                <c:ptCount val="4"/>
                <c:pt idx="0">
                  <c:v>48.432377801424202</c:v>
                </c:pt>
                <c:pt idx="1">
                  <c:v>23.056153181930458</c:v>
                </c:pt>
                <c:pt idx="2">
                  <c:v>40.945848734445889</c:v>
                </c:pt>
                <c:pt idx="3">
                  <c:v>121.03081478713572</c:v>
                </c:pt>
              </c:numCache>
            </c:numRef>
          </c:xVal>
          <c:yVal>
            <c:numRef>
              <c:f>storm_amplification!$BI$38:$BI$41</c:f>
              <c:numCache>
                <c:formatCode>General</c:formatCode>
                <c:ptCount val="4"/>
                <c:pt idx="0">
                  <c:v>45</c:v>
                </c:pt>
                <c:pt idx="1">
                  <c:v>128</c:v>
                </c:pt>
                <c:pt idx="2">
                  <c:v>32</c:v>
                </c:pt>
                <c:pt idx="3">
                  <c:v>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A9E-429E-B05F-B77A3D7D87A3}"/>
            </c:ext>
          </c:extLst>
        </c:ser>
        <c:ser>
          <c:idx val="1"/>
          <c:order val="1"/>
          <c:tx>
            <c:strRef>
              <c:f>storm_amplification!$AL$35</c:f>
              <c:strCache>
                <c:ptCount val="1"/>
                <c:pt idx="0">
                  <c:v>Imp/s * Amax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659429335789159"/>
                  <c:y val="2.9711471318931707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storm_amplification!$AN$37:$AN$40</c:f>
              <c:numCache>
                <c:formatCode>0.00</c:formatCode>
                <c:ptCount val="4"/>
                <c:pt idx="0">
                  <c:v>67.350937002666797</c:v>
                </c:pt>
                <c:pt idx="1">
                  <c:v>48.012823615060483</c:v>
                </c:pt>
                <c:pt idx="2">
                  <c:v>31.511204524949061</c:v>
                </c:pt>
                <c:pt idx="3">
                  <c:v>50.047970770631778</c:v>
                </c:pt>
              </c:numCache>
            </c:numRef>
          </c:xVal>
          <c:yVal>
            <c:numRef>
              <c:f>storm_amplification!$BI$38:$BI$41</c:f>
              <c:numCache>
                <c:formatCode>General</c:formatCode>
                <c:ptCount val="4"/>
                <c:pt idx="0">
                  <c:v>45</c:v>
                </c:pt>
                <c:pt idx="1">
                  <c:v>128</c:v>
                </c:pt>
                <c:pt idx="2">
                  <c:v>32</c:v>
                </c:pt>
                <c:pt idx="3">
                  <c:v>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A9E-429E-B05F-B77A3D7D87A3}"/>
            </c:ext>
          </c:extLst>
        </c:ser>
        <c:ser>
          <c:idx val="2"/>
          <c:order val="2"/>
          <c:tx>
            <c:strRef>
              <c:f>storm_amplification!$AO$35</c:f>
              <c:strCache>
                <c:ptCount val="1"/>
                <c:pt idx="0">
                  <c:v>Imp/s * Amedian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49793773058661617"/>
                  <c:y val="-6.4609114622763142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storm_amplification!$AQ$37:$AQ$40</c:f>
              <c:numCache>
                <c:formatCode>0.00</c:formatCode>
                <c:ptCount val="4"/>
                <c:pt idx="0">
                  <c:v>77.843734132412706</c:v>
                </c:pt>
                <c:pt idx="1">
                  <c:v>69.854879427050605</c:v>
                </c:pt>
                <c:pt idx="2">
                  <c:v>56.952896606297273</c:v>
                </c:pt>
                <c:pt idx="3">
                  <c:v>63.305067507784628</c:v>
                </c:pt>
              </c:numCache>
            </c:numRef>
          </c:xVal>
          <c:yVal>
            <c:numRef>
              <c:f>storm_amplification!$BI$38:$BI$41</c:f>
              <c:numCache>
                <c:formatCode>General</c:formatCode>
                <c:ptCount val="4"/>
                <c:pt idx="0">
                  <c:v>45</c:v>
                </c:pt>
                <c:pt idx="1">
                  <c:v>128</c:v>
                </c:pt>
                <c:pt idx="2">
                  <c:v>32</c:v>
                </c:pt>
                <c:pt idx="3">
                  <c:v>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A9E-429E-B05F-B77A3D7D87A3}"/>
            </c:ext>
          </c:extLst>
        </c:ser>
        <c:ser>
          <c:idx val="3"/>
          <c:order val="3"/>
          <c:tx>
            <c:strRef>
              <c:f>storm_amplification!$AR$35</c:f>
              <c:strCache>
                <c:ptCount val="1"/>
                <c:pt idx="0">
                  <c:v>Imp/s * Amean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6278437926370583"/>
                  <c:y val="-0.11144314320949203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storm_amplification!$AT$37:$AT$40</c:f>
              <c:numCache>
                <c:formatCode>0.00</c:formatCode>
                <c:ptCount val="4"/>
                <c:pt idx="0">
                  <c:v>101.38089267119945</c:v>
                </c:pt>
                <c:pt idx="1">
                  <c:v>78.592597973875684</c:v>
                </c:pt>
                <c:pt idx="2">
                  <c:v>48.625716570268622</c:v>
                </c:pt>
                <c:pt idx="3">
                  <c:v>62.351089332669268</c:v>
                </c:pt>
              </c:numCache>
            </c:numRef>
          </c:xVal>
          <c:yVal>
            <c:numRef>
              <c:f>storm_amplification!$BI$38:$BI$41</c:f>
              <c:numCache>
                <c:formatCode>General</c:formatCode>
                <c:ptCount val="4"/>
                <c:pt idx="0">
                  <c:v>45</c:v>
                </c:pt>
                <c:pt idx="1">
                  <c:v>128</c:v>
                </c:pt>
                <c:pt idx="2">
                  <c:v>32</c:v>
                </c:pt>
                <c:pt idx="3">
                  <c:v>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4A9E-429E-B05F-B77A3D7D87A3}"/>
            </c:ext>
          </c:extLst>
        </c:ser>
        <c:ser>
          <c:idx val="4"/>
          <c:order val="4"/>
          <c:tx>
            <c:v>1:01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storm_amplification!$AX$57:$AX$58</c:f>
              <c:numCache>
                <c:formatCode>General</c:formatCode>
                <c:ptCount val="2"/>
                <c:pt idx="0">
                  <c:v>0.1</c:v>
                </c:pt>
                <c:pt idx="1">
                  <c:v>150</c:v>
                </c:pt>
              </c:numCache>
            </c:numRef>
          </c:xVal>
          <c:yVal>
            <c:numRef>
              <c:f>storm_amplification!$AY$57:$AY$58</c:f>
              <c:numCache>
                <c:formatCode>General</c:formatCode>
                <c:ptCount val="2"/>
                <c:pt idx="0">
                  <c:v>0.1</c:v>
                </c:pt>
                <c:pt idx="1">
                  <c:v>150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4A9E-429E-B05F-B77A3D7D87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9116399"/>
        <c:axId val="949117359"/>
      </c:scatterChart>
      <c:valAx>
        <c:axId val="949116399"/>
        <c:scaling>
          <c:orientation val="minMax"/>
          <c:max val="16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9117359"/>
        <c:crosses val="autoZero"/>
        <c:crossBetween val="midCat"/>
      </c:valAx>
      <c:valAx>
        <c:axId val="949117359"/>
        <c:scaling>
          <c:orientation val="minMax"/>
          <c:max val="1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9116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ayout>
        <c:manualLayout>
          <c:xMode val="edge"/>
          <c:yMode val="edge"/>
          <c:x val="8.885523736931901E-2"/>
          <c:y val="0.82586285088298195"/>
          <c:w val="0.8443603498509572"/>
          <c:h val="0.1330297451448846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Diameter,</a:t>
            </a:r>
            <a:r>
              <a:rPr lang="en-US" baseline="0"/>
              <a:t> Largest % - 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700184235395068"/>
          <c:y val="0.16940817925849147"/>
          <c:w val="0.76822864818330439"/>
          <c:h val="0.55963181000970685"/>
        </c:manualLayout>
      </c:layout>
      <c:scatterChart>
        <c:scatterStyle val="lineMarker"/>
        <c:varyColors val="0"/>
        <c:ser>
          <c:idx val="0"/>
          <c:order val="0"/>
          <c:tx>
            <c:strRef>
              <c:f>storm_amplification!$AK$36</c:f>
              <c:strCache>
                <c:ptCount val="1"/>
                <c:pt idx="0">
                  <c:v>Max Amp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9978324584426946"/>
                  <c:y val="6.5852653834937297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storm_amplification!$AK$37:$AK$40</c:f>
              <c:numCache>
                <c:formatCode>0.00</c:formatCode>
                <c:ptCount val="4"/>
                <c:pt idx="0">
                  <c:v>48.432377801424202</c:v>
                </c:pt>
                <c:pt idx="1">
                  <c:v>23.056153181930458</c:v>
                </c:pt>
                <c:pt idx="2">
                  <c:v>40.945848734445889</c:v>
                </c:pt>
                <c:pt idx="3">
                  <c:v>121.03081478713572</c:v>
                </c:pt>
              </c:numCache>
            </c:numRef>
          </c:xVal>
          <c:yVal>
            <c:numRef>
              <c:f>storm_amplification!$BJ$38:$BJ$41</c:f>
              <c:numCache>
                <c:formatCode>General</c:formatCode>
                <c:ptCount val="4"/>
                <c:pt idx="0">
                  <c:v>45</c:v>
                </c:pt>
                <c:pt idx="1">
                  <c:v>64</c:v>
                </c:pt>
                <c:pt idx="2">
                  <c:v>45</c:v>
                </c:pt>
                <c:pt idx="3">
                  <c:v>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1F7-4DDD-A3EE-B9EB18EBDD34}"/>
            </c:ext>
          </c:extLst>
        </c:ser>
        <c:ser>
          <c:idx val="1"/>
          <c:order val="1"/>
          <c:tx>
            <c:strRef>
              <c:f>storm_amplification!$AL$35</c:f>
              <c:strCache>
                <c:ptCount val="1"/>
                <c:pt idx="0">
                  <c:v>Imp/s * Amax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659429335789159"/>
                  <c:y val="2.9711471318931707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storm_amplification!$AN$37:$AN$40</c:f>
              <c:numCache>
                <c:formatCode>0.00</c:formatCode>
                <c:ptCount val="4"/>
                <c:pt idx="0">
                  <c:v>67.350937002666797</c:v>
                </c:pt>
                <c:pt idx="1">
                  <c:v>48.012823615060483</c:v>
                </c:pt>
                <c:pt idx="2">
                  <c:v>31.511204524949061</c:v>
                </c:pt>
                <c:pt idx="3">
                  <c:v>50.047970770631778</c:v>
                </c:pt>
              </c:numCache>
            </c:numRef>
          </c:xVal>
          <c:yVal>
            <c:numRef>
              <c:f>storm_amplification!$BJ$38:$BJ$41</c:f>
              <c:numCache>
                <c:formatCode>General</c:formatCode>
                <c:ptCount val="4"/>
                <c:pt idx="0">
                  <c:v>45</c:v>
                </c:pt>
                <c:pt idx="1">
                  <c:v>64</c:v>
                </c:pt>
                <c:pt idx="2">
                  <c:v>45</c:v>
                </c:pt>
                <c:pt idx="3">
                  <c:v>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1F7-4DDD-A3EE-B9EB18EBDD34}"/>
            </c:ext>
          </c:extLst>
        </c:ser>
        <c:ser>
          <c:idx val="2"/>
          <c:order val="2"/>
          <c:tx>
            <c:strRef>
              <c:f>storm_amplification!$AO$35</c:f>
              <c:strCache>
                <c:ptCount val="1"/>
                <c:pt idx="0">
                  <c:v>Imp/s * Amedian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49793773058661617"/>
                  <c:y val="-6.4609114622763142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storm_amplification!$AQ$37:$AQ$40</c:f>
              <c:numCache>
                <c:formatCode>0.00</c:formatCode>
                <c:ptCount val="4"/>
                <c:pt idx="0">
                  <c:v>77.843734132412706</c:v>
                </c:pt>
                <c:pt idx="1">
                  <c:v>69.854879427050605</c:v>
                </c:pt>
                <c:pt idx="2">
                  <c:v>56.952896606297273</c:v>
                </c:pt>
                <c:pt idx="3">
                  <c:v>63.305067507784628</c:v>
                </c:pt>
              </c:numCache>
            </c:numRef>
          </c:xVal>
          <c:yVal>
            <c:numRef>
              <c:f>storm_amplification!$BJ$38:$BJ$41</c:f>
              <c:numCache>
                <c:formatCode>General</c:formatCode>
                <c:ptCount val="4"/>
                <c:pt idx="0">
                  <c:v>45</c:v>
                </c:pt>
                <c:pt idx="1">
                  <c:v>64</c:v>
                </c:pt>
                <c:pt idx="2">
                  <c:v>45</c:v>
                </c:pt>
                <c:pt idx="3">
                  <c:v>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1F7-4DDD-A3EE-B9EB18EBDD34}"/>
            </c:ext>
          </c:extLst>
        </c:ser>
        <c:ser>
          <c:idx val="3"/>
          <c:order val="3"/>
          <c:tx>
            <c:strRef>
              <c:f>storm_amplification!$AR$35</c:f>
              <c:strCache>
                <c:ptCount val="1"/>
                <c:pt idx="0">
                  <c:v>Imp/s * Amean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6278437926370583"/>
                  <c:y val="-0.11144314320949203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storm_amplification!$AT$37:$AT$40</c:f>
              <c:numCache>
                <c:formatCode>0.00</c:formatCode>
                <c:ptCount val="4"/>
                <c:pt idx="0">
                  <c:v>101.38089267119945</c:v>
                </c:pt>
                <c:pt idx="1">
                  <c:v>78.592597973875684</c:v>
                </c:pt>
                <c:pt idx="2">
                  <c:v>48.625716570268622</c:v>
                </c:pt>
                <c:pt idx="3">
                  <c:v>62.351089332669268</c:v>
                </c:pt>
              </c:numCache>
            </c:numRef>
          </c:xVal>
          <c:yVal>
            <c:numRef>
              <c:f>storm_amplification!$BJ$38:$BJ$41</c:f>
              <c:numCache>
                <c:formatCode>General</c:formatCode>
                <c:ptCount val="4"/>
                <c:pt idx="0">
                  <c:v>45</c:v>
                </c:pt>
                <c:pt idx="1">
                  <c:v>64</c:v>
                </c:pt>
                <c:pt idx="2">
                  <c:v>45</c:v>
                </c:pt>
                <c:pt idx="3">
                  <c:v>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51F7-4DDD-A3EE-B9EB18EBDD34}"/>
            </c:ext>
          </c:extLst>
        </c:ser>
        <c:ser>
          <c:idx val="4"/>
          <c:order val="4"/>
          <c:tx>
            <c:v>1:01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storm_amplification!$AX$57:$AX$58</c:f>
              <c:numCache>
                <c:formatCode>General</c:formatCode>
                <c:ptCount val="2"/>
                <c:pt idx="0">
                  <c:v>0.1</c:v>
                </c:pt>
                <c:pt idx="1">
                  <c:v>150</c:v>
                </c:pt>
              </c:numCache>
            </c:numRef>
          </c:xVal>
          <c:yVal>
            <c:numRef>
              <c:f>storm_amplification!$AY$57:$AY$58</c:f>
              <c:numCache>
                <c:formatCode>General</c:formatCode>
                <c:ptCount val="2"/>
                <c:pt idx="0">
                  <c:v>0.1</c:v>
                </c:pt>
                <c:pt idx="1">
                  <c:v>150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51F7-4DDD-A3EE-B9EB18EBDD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9116399"/>
        <c:axId val="949117359"/>
      </c:scatterChart>
      <c:valAx>
        <c:axId val="949116399"/>
        <c:scaling>
          <c:orientation val="minMax"/>
          <c:max val="16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9117359"/>
        <c:crosses val="autoZero"/>
        <c:crossBetween val="midCat"/>
      </c:valAx>
      <c:valAx>
        <c:axId val="949117359"/>
        <c:scaling>
          <c:orientation val="minMax"/>
          <c:max val="1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9116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ayout>
        <c:manualLayout>
          <c:xMode val="edge"/>
          <c:yMode val="edge"/>
          <c:x val="8.885523736931901E-2"/>
          <c:y val="0.82586285088298195"/>
          <c:w val="0.8443603498509572"/>
          <c:h val="0.1330297451448846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Diameter,</a:t>
            </a:r>
            <a:r>
              <a:rPr lang="en-US" baseline="0"/>
              <a:t> Largest % - Dmax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700184235395068"/>
          <c:y val="0.16940817925849147"/>
          <c:w val="0.76822864818330439"/>
          <c:h val="0.55963181000970685"/>
        </c:manualLayout>
      </c:layout>
      <c:scatterChart>
        <c:scatterStyle val="lineMarker"/>
        <c:varyColors val="0"/>
        <c:ser>
          <c:idx val="0"/>
          <c:order val="0"/>
          <c:tx>
            <c:strRef>
              <c:f>storm_amplification!$AK$36</c:f>
              <c:strCache>
                <c:ptCount val="1"/>
                <c:pt idx="0">
                  <c:v>Max Amp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9978324584426946"/>
                  <c:y val="6.5852653834937297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storm_amplification!$AK$37:$AK$40</c:f>
              <c:numCache>
                <c:formatCode>0.00</c:formatCode>
                <c:ptCount val="4"/>
                <c:pt idx="0">
                  <c:v>48.432377801424202</c:v>
                </c:pt>
                <c:pt idx="1">
                  <c:v>23.056153181930458</c:v>
                </c:pt>
                <c:pt idx="2">
                  <c:v>40.945848734445889</c:v>
                </c:pt>
                <c:pt idx="3">
                  <c:v>121.03081478713572</c:v>
                </c:pt>
              </c:numCache>
            </c:numRef>
          </c:xVal>
          <c:yVal>
            <c:numRef>
              <c:f>storm_amplification!$BK$38:$BK$41</c:f>
              <c:numCache>
                <c:formatCode>General</c:formatCode>
                <c:ptCount val="4"/>
                <c:pt idx="0">
                  <c:v>90</c:v>
                </c:pt>
                <c:pt idx="1">
                  <c:v>32</c:v>
                </c:pt>
                <c:pt idx="2">
                  <c:v>64</c:v>
                </c:pt>
                <c:pt idx="3">
                  <c:v>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63C-4416-A3FA-3AC8F612A126}"/>
            </c:ext>
          </c:extLst>
        </c:ser>
        <c:ser>
          <c:idx val="1"/>
          <c:order val="1"/>
          <c:tx>
            <c:strRef>
              <c:f>storm_amplification!$AL$35</c:f>
              <c:strCache>
                <c:ptCount val="1"/>
                <c:pt idx="0">
                  <c:v>Imp/s * Amax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659429335789159"/>
                  <c:y val="2.9711471318931707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storm_amplification!$AN$37:$AN$40</c:f>
              <c:numCache>
                <c:formatCode>0.00</c:formatCode>
                <c:ptCount val="4"/>
                <c:pt idx="0">
                  <c:v>67.350937002666797</c:v>
                </c:pt>
                <c:pt idx="1">
                  <c:v>48.012823615060483</c:v>
                </c:pt>
                <c:pt idx="2">
                  <c:v>31.511204524949061</c:v>
                </c:pt>
                <c:pt idx="3">
                  <c:v>50.047970770631778</c:v>
                </c:pt>
              </c:numCache>
            </c:numRef>
          </c:xVal>
          <c:yVal>
            <c:numRef>
              <c:f>storm_amplification!$BK$38:$BK$41</c:f>
              <c:numCache>
                <c:formatCode>General</c:formatCode>
                <c:ptCount val="4"/>
                <c:pt idx="0">
                  <c:v>90</c:v>
                </c:pt>
                <c:pt idx="1">
                  <c:v>32</c:v>
                </c:pt>
                <c:pt idx="2">
                  <c:v>64</c:v>
                </c:pt>
                <c:pt idx="3">
                  <c:v>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63C-4416-A3FA-3AC8F612A126}"/>
            </c:ext>
          </c:extLst>
        </c:ser>
        <c:ser>
          <c:idx val="2"/>
          <c:order val="2"/>
          <c:tx>
            <c:strRef>
              <c:f>storm_amplification!$AO$35</c:f>
              <c:strCache>
                <c:ptCount val="1"/>
                <c:pt idx="0">
                  <c:v>Imp/s * Amedian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49793773058661617"/>
                  <c:y val="-6.4609114622763142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storm_amplification!$AQ$37:$AQ$40</c:f>
              <c:numCache>
                <c:formatCode>0.00</c:formatCode>
                <c:ptCount val="4"/>
                <c:pt idx="0">
                  <c:v>77.843734132412706</c:v>
                </c:pt>
                <c:pt idx="1">
                  <c:v>69.854879427050605</c:v>
                </c:pt>
                <c:pt idx="2">
                  <c:v>56.952896606297273</c:v>
                </c:pt>
                <c:pt idx="3">
                  <c:v>63.305067507784628</c:v>
                </c:pt>
              </c:numCache>
            </c:numRef>
          </c:xVal>
          <c:yVal>
            <c:numRef>
              <c:f>storm_amplification!$BK$38:$BK$41</c:f>
              <c:numCache>
                <c:formatCode>General</c:formatCode>
                <c:ptCount val="4"/>
                <c:pt idx="0">
                  <c:v>90</c:v>
                </c:pt>
                <c:pt idx="1">
                  <c:v>32</c:v>
                </c:pt>
                <c:pt idx="2">
                  <c:v>64</c:v>
                </c:pt>
                <c:pt idx="3">
                  <c:v>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63C-4416-A3FA-3AC8F612A126}"/>
            </c:ext>
          </c:extLst>
        </c:ser>
        <c:ser>
          <c:idx val="3"/>
          <c:order val="3"/>
          <c:tx>
            <c:strRef>
              <c:f>storm_amplification!$AR$35</c:f>
              <c:strCache>
                <c:ptCount val="1"/>
                <c:pt idx="0">
                  <c:v>Imp/s * Amean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6278437926370583"/>
                  <c:y val="-0.11144314320949203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storm_amplification!$AT$37:$AT$40</c:f>
              <c:numCache>
                <c:formatCode>0.00</c:formatCode>
                <c:ptCount val="4"/>
                <c:pt idx="0">
                  <c:v>101.38089267119945</c:v>
                </c:pt>
                <c:pt idx="1">
                  <c:v>78.592597973875684</c:v>
                </c:pt>
                <c:pt idx="2">
                  <c:v>48.625716570268622</c:v>
                </c:pt>
                <c:pt idx="3">
                  <c:v>62.351089332669268</c:v>
                </c:pt>
              </c:numCache>
            </c:numRef>
          </c:xVal>
          <c:yVal>
            <c:numRef>
              <c:f>storm_amplification!$BK$38:$BK$41</c:f>
              <c:numCache>
                <c:formatCode>General</c:formatCode>
                <c:ptCount val="4"/>
                <c:pt idx="0">
                  <c:v>90</c:v>
                </c:pt>
                <c:pt idx="1">
                  <c:v>32</c:v>
                </c:pt>
                <c:pt idx="2">
                  <c:v>64</c:v>
                </c:pt>
                <c:pt idx="3">
                  <c:v>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63C-4416-A3FA-3AC8F612A126}"/>
            </c:ext>
          </c:extLst>
        </c:ser>
        <c:ser>
          <c:idx val="4"/>
          <c:order val="4"/>
          <c:tx>
            <c:v>1:01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storm_amplification!$AX$57:$AX$58</c:f>
              <c:numCache>
                <c:formatCode>General</c:formatCode>
                <c:ptCount val="2"/>
                <c:pt idx="0">
                  <c:v>0.1</c:v>
                </c:pt>
                <c:pt idx="1">
                  <c:v>150</c:v>
                </c:pt>
              </c:numCache>
            </c:numRef>
          </c:xVal>
          <c:yVal>
            <c:numRef>
              <c:f>storm_amplification!$AY$57:$AY$58</c:f>
              <c:numCache>
                <c:formatCode>General</c:formatCode>
                <c:ptCount val="2"/>
                <c:pt idx="0">
                  <c:v>0.1</c:v>
                </c:pt>
                <c:pt idx="1">
                  <c:v>150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63C-4416-A3FA-3AC8F612A1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9116399"/>
        <c:axId val="949117359"/>
      </c:scatterChart>
      <c:valAx>
        <c:axId val="949116399"/>
        <c:scaling>
          <c:orientation val="minMax"/>
          <c:max val="16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9117359"/>
        <c:crosses val="autoZero"/>
        <c:crossBetween val="midCat"/>
      </c:valAx>
      <c:valAx>
        <c:axId val="949117359"/>
        <c:scaling>
          <c:orientation val="minMax"/>
          <c:max val="1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9116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ayout>
        <c:manualLayout>
          <c:xMode val="edge"/>
          <c:yMode val="edge"/>
          <c:x val="8.885523736931901E-2"/>
          <c:y val="0.82586285088298195"/>
          <c:w val="0.8443603498509572"/>
          <c:h val="0.1330297451448846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Original Max Transported Size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700184235395068"/>
          <c:y val="0.16940817925849147"/>
          <c:w val="0.76822864818330439"/>
          <c:h val="0.55963181000970685"/>
        </c:manualLayout>
      </c:layout>
      <c:scatterChart>
        <c:scatterStyle val="lineMarker"/>
        <c:varyColors val="0"/>
        <c:ser>
          <c:idx val="0"/>
          <c:order val="0"/>
          <c:tx>
            <c:strRef>
              <c:f>storm_amplification!$AK$36</c:f>
              <c:strCache>
                <c:ptCount val="1"/>
                <c:pt idx="0">
                  <c:v>Max Amp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9978324584426946"/>
                  <c:y val="6.5852653834937297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storm_amplification!$AK$57:$AK$60</c:f>
              <c:numCache>
                <c:formatCode>0.00</c:formatCode>
                <c:ptCount val="4"/>
                <c:pt idx="0">
                  <c:v>23.592532434189209</c:v>
                </c:pt>
                <c:pt idx="1">
                  <c:v>25.494613307951109</c:v>
                </c:pt>
                <c:pt idx="2">
                  <c:v>42.282288448981511</c:v>
                </c:pt>
                <c:pt idx="3">
                  <c:v>36.493931005493906</c:v>
                </c:pt>
              </c:numCache>
            </c:numRef>
          </c:xVal>
          <c:yVal>
            <c:numRef>
              <c:f>storm_amplification!$AY$38:$AY$41</c:f>
              <c:numCache>
                <c:formatCode>General</c:formatCode>
                <c:ptCount val="4"/>
                <c:pt idx="0">
                  <c:v>128</c:v>
                </c:pt>
                <c:pt idx="1">
                  <c:v>128</c:v>
                </c:pt>
                <c:pt idx="2">
                  <c:v>64</c:v>
                </c:pt>
                <c:pt idx="3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8C6-4BE0-B848-AC18972AC4CD}"/>
            </c:ext>
          </c:extLst>
        </c:ser>
        <c:ser>
          <c:idx val="1"/>
          <c:order val="1"/>
          <c:tx>
            <c:strRef>
              <c:f>storm_amplification!$AL$35</c:f>
              <c:strCache>
                <c:ptCount val="1"/>
                <c:pt idx="0">
                  <c:v>Imp/s * Amax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659429335789159"/>
                  <c:y val="2.9711471318931707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storm_amplification!$AN$57:$AN$60</c:f>
              <c:numCache>
                <c:formatCode>0.00</c:formatCode>
                <c:ptCount val="4"/>
                <c:pt idx="0">
                  <c:v>43.693410576363654</c:v>
                </c:pt>
                <c:pt idx="1">
                  <c:v>44.60632266612668</c:v>
                </c:pt>
                <c:pt idx="2">
                  <c:v>31.098695993070375</c:v>
                </c:pt>
                <c:pt idx="3">
                  <c:v>37.127843822750485</c:v>
                </c:pt>
              </c:numCache>
            </c:numRef>
          </c:xVal>
          <c:yVal>
            <c:numRef>
              <c:f>storm_amplification!$AY$38:$AY$42</c:f>
              <c:numCache>
                <c:formatCode>General</c:formatCode>
                <c:ptCount val="5"/>
                <c:pt idx="0">
                  <c:v>128</c:v>
                </c:pt>
                <c:pt idx="1">
                  <c:v>128</c:v>
                </c:pt>
                <c:pt idx="2">
                  <c:v>64</c:v>
                </c:pt>
                <c:pt idx="3">
                  <c:v>128</c:v>
                </c:pt>
                <c:pt idx="4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8C6-4BE0-B848-AC18972AC4CD}"/>
            </c:ext>
          </c:extLst>
        </c:ser>
        <c:ser>
          <c:idx val="2"/>
          <c:order val="2"/>
          <c:tx>
            <c:strRef>
              <c:f>storm_amplification!$AO$35</c:f>
              <c:strCache>
                <c:ptCount val="1"/>
                <c:pt idx="0">
                  <c:v>Imp/s * Amedian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8827865266841644"/>
                  <c:y val="0.24519211140274133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storm_amplification!$AQ$57:$AQ$60</c:f>
              <c:numCache>
                <c:formatCode>0.00</c:formatCode>
                <c:ptCount val="4"/>
                <c:pt idx="0">
                  <c:v>65.169308726977391</c:v>
                </c:pt>
                <c:pt idx="1">
                  <c:v>66.655091622255412</c:v>
                </c:pt>
                <c:pt idx="2">
                  <c:v>57.606542971146652</c:v>
                </c:pt>
                <c:pt idx="3">
                  <c:v>55.780048424499455</c:v>
                </c:pt>
              </c:numCache>
            </c:numRef>
          </c:xVal>
          <c:yVal>
            <c:numRef>
              <c:f>storm_amplification!$AY$38:$AY$42</c:f>
              <c:numCache>
                <c:formatCode>General</c:formatCode>
                <c:ptCount val="5"/>
                <c:pt idx="0">
                  <c:v>128</c:v>
                </c:pt>
                <c:pt idx="1">
                  <c:v>128</c:v>
                </c:pt>
                <c:pt idx="2">
                  <c:v>64</c:v>
                </c:pt>
                <c:pt idx="3">
                  <c:v>128</c:v>
                </c:pt>
                <c:pt idx="4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8C6-4BE0-B848-AC18972AC4CD}"/>
            </c:ext>
          </c:extLst>
        </c:ser>
        <c:ser>
          <c:idx val="3"/>
          <c:order val="3"/>
          <c:tx>
            <c:strRef>
              <c:f>storm_amplification!$AR$35</c:f>
              <c:strCache>
                <c:ptCount val="1"/>
                <c:pt idx="0">
                  <c:v>Imp/s * Amean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6019269590429284"/>
                  <c:y val="0.34140541747354519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storm_amplification!$AT$57:$AT$60</c:f>
              <c:numCache>
                <c:formatCode>0.00</c:formatCode>
                <c:ptCount val="4"/>
                <c:pt idx="0">
                  <c:v>66.75462392048108</c:v>
                </c:pt>
                <c:pt idx="1">
                  <c:v>70.38840182826543</c:v>
                </c:pt>
                <c:pt idx="2">
                  <c:v>49.948109803800001</c:v>
                </c:pt>
                <c:pt idx="3">
                  <c:v>46.303888574263681</c:v>
                </c:pt>
              </c:numCache>
            </c:numRef>
          </c:xVal>
          <c:yVal>
            <c:numRef>
              <c:f>storm_amplification!$AY$38:$AY$41</c:f>
              <c:numCache>
                <c:formatCode>General</c:formatCode>
                <c:ptCount val="4"/>
                <c:pt idx="0">
                  <c:v>128</c:v>
                </c:pt>
                <c:pt idx="1">
                  <c:v>128</c:v>
                </c:pt>
                <c:pt idx="2">
                  <c:v>64</c:v>
                </c:pt>
                <c:pt idx="3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8C6-4BE0-B848-AC18972AC4CD}"/>
            </c:ext>
          </c:extLst>
        </c:ser>
        <c:ser>
          <c:idx val="4"/>
          <c:order val="4"/>
          <c:tx>
            <c:v>1:01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storm_amplification!$AX$57:$AX$58</c:f>
              <c:numCache>
                <c:formatCode>General</c:formatCode>
                <c:ptCount val="2"/>
                <c:pt idx="0">
                  <c:v>0.1</c:v>
                </c:pt>
                <c:pt idx="1">
                  <c:v>150</c:v>
                </c:pt>
              </c:numCache>
            </c:numRef>
          </c:xVal>
          <c:yVal>
            <c:numRef>
              <c:f>storm_amplification!$AY$57:$AY$58</c:f>
              <c:numCache>
                <c:formatCode>General</c:formatCode>
                <c:ptCount val="2"/>
                <c:pt idx="0">
                  <c:v>0.1</c:v>
                </c:pt>
                <c:pt idx="1">
                  <c:v>150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8C6-4BE0-B848-AC18972AC4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9116399"/>
        <c:axId val="949117359"/>
      </c:scatterChart>
      <c:valAx>
        <c:axId val="949116399"/>
        <c:scaling>
          <c:orientation val="minMax"/>
          <c:max val="16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9117359"/>
        <c:crosses val="autoZero"/>
        <c:crossBetween val="midCat"/>
      </c:valAx>
      <c:valAx>
        <c:axId val="949117359"/>
        <c:scaling>
          <c:orientation val="minMax"/>
          <c:max val="1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9116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ayout>
        <c:manualLayout>
          <c:xMode val="edge"/>
          <c:yMode val="edge"/>
          <c:x val="7.1142343575176167E-2"/>
          <c:y val="0.83956531887369312"/>
          <c:w val="0.8443603498509572"/>
          <c:h val="0.1330297451448846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Radius,</a:t>
            </a:r>
            <a:r>
              <a:rPr lang="en-US" baseline="0"/>
              <a:t> </a:t>
            </a:r>
            <a:r>
              <a:rPr lang="en-US"/>
              <a:t>Max Size</a:t>
            </a:r>
            <a:r>
              <a:rPr lang="en-US" baseline="0"/>
              <a:t> - MinD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700184235395068"/>
          <c:y val="0.16940817925849147"/>
          <c:w val="0.76822864818330439"/>
          <c:h val="0.55963181000970685"/>
        </c:manualLayout>
      </c:layout>
      <c:scatterChart>
        <c:scatterStyle val="lineMarker"/>
        <c:varyColors val="0"/>
        <c:ser>
          <c:idx val="0"/>
          <c:order val="0"/>
          <c:tx>
            <c:strRef>
              <c:f>storm_amplification!$AK$36</c:f>
              <c:strCache>
                <c:ptCount val="1"/>
                <c:pt idx="0">
                  <c:v>Max Amp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9978324584426946"/>
                  <c:y val="6.5852653834937297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storm_amplification!$AK$57:$AK$60</c:f>
              <c:numCache>
                <c:formatCode>0.00</c:formatCode>
                <c:ptCount val="4"/>
                <c:pt idx="0">
                  <c:v>23.592532434189209</c:v>
                </c:pt>
                <c:pt idx="1">
                  <c:v>25.494613307951109</c:v>
                </c:pt>
                <c:pt idx="2">
                  <c:v>42.282288448981511</c:v>
                </c:pt>
                <c:pt idx="3">
                  <c:v>36.493931005493906</c:v>
                </c:pt>
              </c:numCache>
            </c:numRef>
          </c:xVal>
          <c:yVal>
            <c:numRef>
              <c:f>storm_amplification!$AZ$38:$AZ$41</c:f>
              <c:numCache>
                <c:formatCode>General</c:formatCode>
                <c:ptCount val="4"/>
                <c:pt idx="0">
                  <c:v>128</c:v>
                </c:pt>
                <c:pt idx="1">
                  <c:v>128</c:v>
                </c:pt>
                <c:pt idx="2">
                  <c:v>64</c:v>
                </c:pt>
                <c:pt idx="3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142-4ABE-9EC8-6EE45C007D2C}"/>
            </c:ext>
          </c:extLst>
        </c:ser>
        <c:ser>
          <c:idx val="1"/>
          <c:order val="1"/>
          <c:tx>
            <c:strRef>
              <c:f>storm_amplification!$AL$35</c:f>
              <c:strCache>
                <c:ptCount val="1"/>
                <c:pt idx="0">
                  <c:v>Imp/s * Amax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659429335789159"/>
                  <c:y val="2.9711471318931707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storm_amplification!$AN$57:$AN$60</c:f>
              <c:numCache>
                <c:formatCode>0.00</c:formatCode>
                <c:ptCount val="4"/>
                <c:pt idx="0">
                  <c:v>43.693410576363654</c:v>
                </c:pt>
                <c:pt idx="1">
                  <c:v>44.60632266612668</c:v>
                </c:pt>
                <c:pt idx="2">
                  <c:v>31.098695993070375</c:v>
                </c:pt>
                <c:pt idx="3">
                  <c:v>37.127843822750485</c:v>
                </c:pt>
              </c:numCache>
            </c:numRef>
          </c:xVal>
          <c:yVal>
            <c:numRef>
              <c:f>storm_amplification!$AZ$38:$AZ$41</c:f>
              <c:numCache>
                <c:formatCode>General</c:formatCode>
                <c:ptCount val="4"/>
                <c:pt idx="0">
                  <c:v>128</c:v>
                </c:pt>
                <c:pt idx="1">
                  <c:v>128</c:v>
                </c:pt>
                <c:pt idx="2">
                  <c:v>64</c:v>
                </c:pt>
                <c:pt idx="3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142-4ABE-9EC8-6EE45C007D2C}"/>
            </c:ext>
          </c:extLst>
        </c:ser>
        <c:ser>
          <c:idx val="2"/>
          <c:order val="2"/>
          <c:tx>
            <c:strRef>
              <c:f>storm_amplification!$AO$35</c:f>
              <c:strCache>
                <c:ptCount val="1"/>
                <c:pt idx="0">
                  <c:v>Imp/s * Amedian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8827865266841644"/>
                  <c:y val="0.24519211140274133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storm_amplification!$AQ$57:$AQ$60</c:f>
              <c:numCache>
                <c:formatCode>0.00</c:formatCode>
                <c:ptCount val="4"/>
                <c:pt idx="0">
                  <c:v>65.169308726977391</c:v>
                </c:pt>
                <c:pt idx="1">
                  <c:v>66.655091622255412</c:v>
                </c:pt>
                <c:pt idx="2">
                  <c:v>57.606542971146652</c:v>
                </c:pt>
                <c:pt idx="3">
                  <c:v>55.780048424499455</c:v>
                </c:pt>
              </c:numCache>
            </c:numRef>
          </c:xVal>
          <c:yVal>
            <c:numRef>
              <c:f>storm_amplification!$AZ$38:$AZ$41</c:f>
              <c:numCache>
                <c:formatCode>General</c:formatCode>
                <c:ptCount val="4"/>
                <c:pt idx="0">
                  <c:v>128</c:v>
                </c:pt>
                <c:pt idx="1">
                  <c:v>128</c:v>
                </c:pt>
                <c:pt idx="2">
                  <c:v>64</c:v>
                </c:pt>
                <c:pt idx="3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142-4ABE-9EC8-6EE45C007D2C}"/>
            </c:ext>
          </c:extLst>
        </c:ser>
        <c:ser>
          <c:idx val="3"/>
          <c:order val="3"/>
          <c:tx>
            <c:strRef>
              <c:f>storm_amplification!$AR$35</c:f>
              <c:strCache>
                <c:ptCount val="1"/>
                <c:pt idx="0">
                  <c:v>Imp/s * Amean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6019269590429284"/>
                  <c:y val="0.34140541747354519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storm_amplification!$AT$57:$AT$60</c:f>
              <c:numCache>
                <c:formatCode>0.00</c:formatCode>
                <c:ptCount val="4"/>
                <c:pt idx="0">
                  <c:v>66.75462392048108</c:v>
                </c:pt>
                <c:pt idx="1">
                  <c:v>70.38840182826543</c:v>
                </c:pt>
                <c:pt idx="2">
                  <c:v>49.948109803800001</c:v>
                </c:pt>
                <c:pt idx="3">
                  <c:v>46.303888574263681</c:v>
                </c:pt>
              </c:numCache>
            </c:numRef>
          </c:xVal>
          <c:yVal>
            <c:numRef>
              <c:f>storm_amplification!$AZ$38:$AZ$41</c:f>
              <c:numCache>
                <c:formatCode>General</c:formatCode>
                <c:ptCount val="4"/>
                <c:pt idx="0">
                  <c:v>128</c:v>
                </c:pt>
                <c:pt idx="1">
                  <c:v>128</c:v>
                </c:pt>
                <c:pt idx="2">
                  <c:v>64</c:v>
                </c:pt>
                <c:pt idx="3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142-4ABE-9EC8-6EE45C007D2C}"/>
            </c:ext>
          </c:extLst>
        </c:ser>
        <c:ser>
          <c:idx val="4"/>
          <c:order val="4"/>
          <c:tx>
            <c:v>1:01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storm_amplification!$AX$57:$AX$58</c:f>
              <c:numCache>
                <c:formatCode>General</c:formatCode>
                <c:ptCount val="2"/>
                <c:pt idx="0">
                  <c:v>0.1</c:v>
                </c:pt>
                <c:pt idx="1">
                  <c:v>150</c:v>
                </c:pt>
              </c:numCache>
            </c:numRef>
          </c:xVal>
          <c:yVal>
            <c:numRef>
              <c:f>storm_amplification!$AY$57:$AY$58</c:f>
              <c:numCache>
                <c:formatCode>General</c:formatCode>
                <c:ptCount val="2"/>
                <c:pt idx="0">
                  <c:v>0.1</c:v>
                </c:pt>
                <c:pt idx="1">
                  <c:v>150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142-4ABE-9EC8-6EE45C007D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9116399"/>
        <c:axId val="949117359"/>
      </c:scatterChart>
      <c:valAx>
        <c:axId val="949116399"/>
        <c:scaling>
          <c:orientation val="minMax"/>
          <c:max val="16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9117359"/>
        <c:crosses val="autoZero"/>
        <c:crossBetween val="midCat"/>
      </c:valAx>
      <c:valAx>
        <c:axId val="949117359"/>
        <c:scaling>
          <c:orientation val="minMax"/>
          <c:max val="1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9116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ayout>
        <c:manualLayout>
          <c:xMode val="edge"/>
          <c:yMode val="edge"/>
          <c:x val="7.1142343575176167E-2"/>
          <c:y val="0.83956531887369312"/>
          <c:w val="0.8443603498509572"/>
          <c:h val="0.1330297451448846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Radius,</a:t>
            </a:r>
            <a:r>
              <a:rPr lang="en-US" baseline="0"/>
              <a:t> Largest % - MinD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700184235395068"/>
          <c:y val="0.16940817925849147"/>
          <c:w val="0.76822864818330439"/>
          <c:h val="0.55963181000970685"/>
        </c:manualLayout>
      </c:layout>
      <c:scatterChart>
        <c:scatterStyle val="lineMarker"/>
        <c:varyColors val="0"/>
        <c:ser>
          <c:idx val="0"/>
          <c:order val="0"/>
          <c:tx>
            <c:strRef>
              <c:f>storm_amplification!$AK$36</c:f>
              <c:strCache>
                <c:ptCount val="1"/>
                <c:pt idx="0">
                  <c:v>Max Amp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9978324584426946"/>
                  <c:y val="6.5852653834937297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storm_amplification!$AK$57:$AK$60</c:f>
              <c:numCache>
                <c:formatCode>0.00</c:formatCode>
                <c:ptCount val="4"/>
                <c:pt idx="0">
                  <c:v>23.592532434189209</c:v>
                </c:pt>
                <c:pt idx="1">
                  <c:v>25.494613307951109</c:v>
                </c:pt>
                <c:pt idx="2">
                  <c:v>42.282288448981511</c:v>
                </c:pt>
                <c:pt idx="3">
                  <c:v>36.493931005493906</c:v>
                </c:pt>
              </c:numCache>
            </c:numRef>
          </c:xVal>
          <c:yVal>
            <c:numRef>
              <c:f>storm_amplification!$BC$38:$BC$41</c:f>
              <c:numCache>
                <c:formatCode>General</c:formatCode>
                <c:ptCount val="4"/>
                <c:pt idx="0">
                  <c:v>64</c:v>
                </c:pt>
                <c:pt idx="1">
                  <c:v>32</c:v>
                </c:pt>
                <c:pt idx="2">
                  <c:v>32</c:v>
                </c:pt>
                <c:pt idx="3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FDF-4495-A20F-B4779D5DFC45}"/>
            </c:ext>
          </c:extLst>
        </c:ser>
        <c:ser>
          <c:idx val="1"/>
          <c:order val="1"/>
          <c:tx>
            <c:strRef>
              <c:f>storm_amplification!$AL$35</c:f>
              <c:strCache>
                <c:ptCount val="1"/>
                <c:pt idx="0">
                  <c:v>Imp/s * Amax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659429335789159"/>
                  <c:y val="2.9711471318931707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storm_amplification!$AN$57:$AN$60</c:f>
              <c:numCache>
                <c:formatCode>0.00</c:formatCode>
                <c:ptCount val="4"/>
                <c:pt idx="0">
                  <c:v>43.693410576363654</c:v>
                </c:pt>
                <c:pt idx="1">
                  <c:v>44.60632266612668</c:v>
                </c:pt>
                <c:pt idx="2">
                  <c:v>31.098695993070375</c:v>
                </c:pt>
                <c:pt idx="3">
                  <c:v>37.127843822750485</c:v>
                </c:pt>
              </c:numCache>
            </c:numRef>
          </c:xVal>
          <c:yVal>
            <c:numRef>
              <c:f>storm_amplification!$BC$38:$BC$41</c:f>
              <c:numCache>
                <c:formatCode>General</c:formatCode>
                <c:ptCount val="4"/>
                <c:pt idx="0">
                  <c:v>64</c:v>
                </c:pt>
                <c:pt idx="1">
                  <c:v>32</c:v>
                </c:pt>
                <c:pt idx="2">
                  <c:v>32</c:v>
                </c:pt>
                <c:pt idx="3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FDF-4495-A20F-B4779D5DFC45}"/>
            </c:ext>
          </c:extLst>
        </c:ser>
        <c:ser>
          <c:idx val="2"/>
          <c:order val="2"/>
          <c:tx>
            <c:strRef>
              <c:f>storm_amplification!$AO$35</c:f>
              <c:strCache>
                <c:ptCount val="1"/>
                <c:pt idx="0">
                  <c:v>Imp/s * Amedian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49793773058661617"/>
                  <c:y val="-6.4609114622763142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storm_amplification!$AQ$57:$AQ$60</c:f>
              <c:numCache>
                <c:formatCode>0.00</c:formatCode>
                <c:ptCount val="4"/>
                <c:pt idx="0">
                  <c:v>65.169308726977391</c:v>
                </c:pt>
                <c:pt idx="1">
                  <c:v>66.655091622255412</c:v>
                </c:pt>
                <c:pt idx="2">
                  <c:v>57.606542971146652</c:v>
                </c:pt>
                <c:pt idx="3">
                  <c:v>55.780048424499455</c:v>
                </c:pt>
              </c:numCache>
            </c:numRef>
          </c:xVal>
          <c:yVal>
            <c:numRef>
              <c:f>storm_amplification!$BC$38:$BC$41</c:f>
              <c:numCache>
                <c:formatCode>General</c:formatCode>
                <c:ptCount val="4"/>
                <c:pt idx="0">
                  <c:v>64</c:v>
                </c:pt>
                <c:pt idx="1">
                  <c:v>32</c:v>
                </c:pt>
                <c:pt idx="2">
                  <c:v>32</c:v>
                </c:pt>
                <c:pt idx="3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FDF-4495-A20F-B4779D5DFC45}"/>
            </c:ext>
          </c:extLst>
        </c:ser>
        <c:ser>
          <c:idx val="3"/>
          <c:order val="3"/>
          <c:tx>
            <c:strRef>
              <c:f>storm_amplification!$AR$35</c:f>
              <c:strCache>
                <c:ptCount val="1"/>
                <c:pt idx="0">
                  <c:v>Imp/s * Amean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6278437926370583"/>
                  <c:y val="-0.11144314320949203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storm_amplification!$AT$57:$AT$60</c:f>
              <c:numCache>
                <c:formatCode>0.00</c:formatCode>
                <c:ptCount val="4"/>
                <c:pt idx="0">
                  <c:v>66.75462392048108</c:v>
                </c:pt>
                <c:pt idx="1">
                  <c:v>70.38840182826543</c:v>
                </c:pt>
                <c:pt idx="2">
                  <c:v>49.948109803800001</c:v>
                </c:pt>
                <c:pt idx="3">
                  <c:v>46.303888574263681</c:v>
                </c:pt>
              </c:numCache>
            </c:numRef>
          </c:xVal>
          <c:yVal>
            <c:numRef>
              <c:f>storm_amplification!$BC$38:$BC$41</c:f>
              <c:numCache>
                <c:formatCode>General</c:formatCode>
                <c:ptCount val="4"/>
                <c:pt idx="0">
                  <c:v>64</c:v>
                </c:pt>
                <c:pt idx="1">
                  <c:v>32</c:v>
                </c:pt>
                <c:pt idx="2">
                  <c:v>32</c:v>
                </c:pt>
                <c:pt idx="3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4FDF-4495-A20F-B4779D5DFC45}"/>
            </c:ext>
          </c:extLst>
        </c:ser>
        <c:ser>
          <c:idx val="4"/>
          <c:order val="4"/>
          <c:tx>
            <c:v>1:01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storm_amplification!$AX$57:$AX$58</c:f>
              <c:numCache>
                <c:formatCode>General</c:formatCode>
                <c:ptCount val="2"/>
                <c:pt idx="0">
                  <c:v>0.1</c:v>
                </c:pt>
                <c:pt idx="1">
                  <c:v>150</c:v>
                </c:pt>
              </c:numCache>
            </c:numRef>
          </c:xVal>
          <c:yVal>
            <c:numRef>
              <c:f>storm_amplification!$AY$57:$AY$58</c:f>
              <c:numCache>
                <c:formatCode>General</c:formatCode>
                <c:ptCount val="2"/>
                <c:pt idx="0">
                  <c:v>0.1</c:v>
                </c:pt>
                <c:pt idx="1">
                  <c:v>150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4FDF-4495-A20F-B4779D5DFC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9116399"/>
        <c:axId val="949117359"/>
      </c:scatterChart>
      <c:valAx>
        <c:axId val="949116399"/>
        <c:scaling>
          <c:orientation val="minMax"/>
          <c:max val="16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9117359"/>
        <c:crosses val="autoZero"/>
        <c:crossBetween val="midCat"/>
      </c:valAx>
      <c:valAx>
        <c:axId val="949117359"/>
        <c:scaling>
          <c:orientation val="minMax"/>
          <c:max val="1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9116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ayout>
        <c:manualLayout>
          <c:xMode val="edge"/>
          <c:yMode val="edge"/>
          <c:x val="8.885523736931901E-2"/>
          <c:y val="0.82586285088298195"/>
          <c:w val="0.8443603498509572"/>
          <c:h val="0.1330297451448846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Diameter,</a:t>
            </a:r>
            <a:r>
              <a:rPr lang="en-US" baseline="0"/>
              <a:t> Max Size - MinD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700184235395068"/>
          <c:y val="0.16940817925849147"/>
          <c:w val="0.76822864818330439"/>
          <c:h val="0.55963181000970685"/>
        </c:manualLayout>
      </c:layout>
      <c:scatterChart>
        <c:scatterStyle val="lineMarker"/>
        <c:varyColors val="0"/>
        <c:ser>
          <c:idx val="0"/>
          <c:order val="0"/>
          <c:tx>
            <c:strRef>
              <c:f>storm_amplification!$AK$36</c:f>
              <c:strCache>
                <c:ptCount val="1"/>
                <c:pt idx="0">
                  <c:v>Max Amp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9978324584426946"/>
                  <c:y val="6.5852653834937297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storm_amplification!$AK$57:$AK$60</c:f>
              <c:numCache>
                <c:formatCode>0.00</c:formatCode>
                <c:ptCount val="4"/>
                <c:pt idx="0">
                  <c:v>23.592532434189209</c:v>
                </c:pt>
                <c:pt idx="1">
                  <c:v>25.494613307951109</c:v>
                </c:pt>
                <c:pt idx="2">
                  <c:v>42.282288448981511</c:v>
                </c:pt>
                <c:pt idx="3">
                  <c:v>36.493931005493906</c:v>
                </c:pt>
              </c:numCache>
            </c:numRef>
          </c:xVal>
          <c:yVal>
            <c:numRef>
              <c:f>storm_amplification!$BF$38:$BF$41</c:f>
              <c:numCache>
                <c:formatCode>General</c:formatCode>
                <c:ptCount val="4"/>
                <c:pt idx="0">
                  <c:v>45</c:v>
                </c:pt>
                <c:pt idx="1">
                  <c:v>128</c:v>
                </c:pt>
                <c:pt idx="2">
                  <c:v>64</c:v>
                </c:pt>
                <c:pt idx="3">
                  <c:v>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FD-4E66-B19A-4A9DF75B8478}"/>
            </c:ext>
          </c:extLst>
        </c:ser>
        <c:ser>
          <c:idx val="1"/>
          <c:order val="1"/>
          <c:tx>
            <c:strRef>
              <c:f>storm_amplification!$AL$35</c:f>
              <c:strCache>
                <c:ptCount val="1"/>
                <c:pt idx="0">
                  <c:v>Imp/s * Amax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659429335789159"/>
                  <c:y val="2.9711471318931707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storm_amplification!$AN$57:$AN$60</c:f>
              <c:numCache>
                <c:formatCode>0.00</c:formatCode>
                <c:ptCount val="4"/>
                <c:pt idx="0">
                  <c:v>43.693410576363654</c:v>
                </c:pt>
                <c:pt idx="1">
                  <c:v>44.60632266612668</c:v>
                </c:pt>
                <c:pt idx="2">
                  <c:v>31.098695993070375</c:v>
                </c:pt>
                <c:pt idx="3">
                  <c:v>37.127843822750485</c:v>
                </c:pt>
              </c:numCache>
            </c:numRef>
          </c:xVal>
          <c:yVal>
            <c:numRef>
              <c:f>storm_amplification!$BF$38:$BF$41</c:f>
              <c:numCache>
                <c:formatCode>General</c:formatCode>
                <c:ptCount val="4"/>
                <c:pt idx="0">
                  <c:v>45</c:v>
                </c:pt>
                <c:pt idx="1">
                  <c:v>128</c:v>
                </c:pt>
                <c:pt idx="2">
                  <c:v>64</c:v>
                </c:pt>
                <c:pt idx="3">
                  <c:v>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FD-4E66-B19A-4A9DF75B8478}"/>
            </c:ext>
          </c:extLst>
        </c:ser>
        <c:ser>
          <c:idx val="2"/>
          <c:order val="2"/>
          <c:tx>
            <c:strRef>
              <c:f>storm_amplification!$AO$35</c:f>
              <c:strCache>
                <c:ptCount val="1"/>
                <c:pt idx="0">
                  <c:v>Imp/s * Amedian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49793773058661617"/>
                  <c:y val="-6.4609114622763142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storm_amplification!$AQ$57:$AQ$60</c:f>
              <c:numCache>
                <c:formatCode>0.00</c:formatCode>
                <c:ptCount val="4"/>
                <c:pt idx="0">
                  <c:v>65.169308726977391</c:v>
                </c:pt>
                <c:pt idx="1">
                  <c:v>66.655091622255412</c:v>
                </c:pt>
                <c:pt idx="2">
                  <c:v>57.606542971146652</c:v>
                </c:pt>
                <c:pt idx="3">
                  <c:v>55.780048424499455</c:v>
                </c:pt>
              </c:numCache>
            </c:numRef>
          </c:xVal>
          <c:yVal>
            <c:numRef>
              <c:f>storm_amplification!$BF$38:$BF$41</c:f>
              <c:numCache>
                <c:formatCode>General</c:formatCode>
                <c:ptCount val="4"/>
                <c:pt idx="0">
                  <c:v>45</c:v>
                </c:pt>
                <c:pt idx="1">
                  <c:v>128</c:v>
                </c:pt>
                <c:pt idx="2">
                  <c:v>64</c:v>
                </c:pt>
                <c:pt idx="3">
                  <c:v>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FD-4E66-B19A-4A9DF75B8478}"/>
            </c:ext>
          </c:extLst>
        </c:ser>
        <c:ser>
          <c:idx val="3"/>
          <c:order val="3"/>
          <c:tx>
            <c:strRef>
              <c:f>storm_amplification!$AR$35</c:f>
              <c:strCache>
                <c:ptCount val="1"/>
                <c:pt idx="0">
                  <c:v>Imp/s * Amean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6278437926370583"/>
                  <c:y val="-0.11144314320949203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storm_amplification!$AT$57:$AT$60</c:f>
              <c:numCache>
                <c:formatCode>0.00</c:formatCode>
                <c:ptCount val="4"/>
                <c:pt idx="0">
                  <c:v>66.75462392048108</c:v>
                </c:pt>
                <c:pt idx="1">
                  <c:v>70.38840182826543</c:v>
                </c:pt>
                <c:pt idx="2">
                  <c:v>49.948109803800001</c:v>
                </c:pt>
                <c:pt idx="3">
                  <c:v>46.303888574263681</c:v>
                </c:pt>
              </c:numCache>
            </c:numRef>
          </c:xVal>
          <c:yVal>
            <c:numRef>
              <c:f>storm_amplification!$BF$38:$BF$41</c:f>
              <c:numCache>
                <c:formatCode>General</c:formatCode>
                <c:ptCount val="4"/>
                <c:pt idx="0">
                  <c:v>45</c:v>
                </c:pt>
                <c:pt idx="1">
                  <c:v>128</c:v>
                </c:pt>
                <c:pt idx="2">
                  <c:v>64</c:v>
                </c:pt>
                <c:pt idx="3">
                  <c:v>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FD-4E66-B19A-4A9DF75B8478}"/>
            </c:ext>
          </c:extLst>
        </c:ser>
        <c:ser>
          <c:idx val="4"/>
          <c:order val="4"/>
          <c:tx>
            <c:v>1:01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storm_amplification!$AX$57:$AX$58</c:f>
              <c:numCache>
                <c:formatCode>General</c:formatCode>
                <c:ptCount val="2"/>
                <c:pt idx="0">
                  <c:v>0.1</c:v>
                </c:pt>
                <c:pt idx="1">
                  <c:v>150</c:v>
                </c:pt>
              </c:numCache>
            </c:numRef>
          </c:xVal>
          <c:yVal>
            <c:numRef>
              <c:f>storm_amplification!$AY$57:$AY$58</c:f>
              <c:numCache>
                <c:formatCode>General</c:formatCode>
                <c:ptCount val="2"/>
                <c:pt idx="0">
                  <c:v>0.1</c:v>
                </c:pt>
                <c:pt idx="1">
                  <c:v>150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FD-4E66-B19A-4A9DF75B84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9116399"/>
        <c:axId val="949117359"/>
      </c:scatterChart>
      <c:valAx>
        <c:axId val="949116399"/>
        <c:scaling>
          <c:orientation val="minMax"/>
          <c:max val="16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9117359"/>
        <c:crosses val="autoZero"/>
        <c:crossBetween val="midCat"/>
      </c:valAx>
      <c:valAx>
        <c:axId val="949117359"/>
        <c:scaling>
          <c:orientation val="minMax"/>
          <c:max val="1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9116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ayout>
        <c:manualLayout>
          <c:xMode val="edge"/>
          <c:yMode val="edge"/>
          <c:x val="8.885523736931901E-2"/>
          <c:y val="0.82586285088298195"/>
          <c:w val="0.8443603498509572"/>
          <c:h val="0.1330297451448846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Diameter,</a:t>
            </a:r>
            <a:r>
              <a:rPr lang="en-US" baseline="0"/>
              <a:t> Max Size - 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700184235395068"/>
          <c:y val="0.16940817925849147"/>
          <c:w val="0.76822864818330439"/>
          <c:h val="0.55963181000970685"/>
        </c:manualLayout>
      </c:layout>
      <c:scatterChart>
        <c:scatterStyle val="lineMarker"/>
        <c:varyColors val="0"/>
        <c:ser>
          <c:idx val="0"/>
          <c:order val="0"/>
          <c:tx>
            <c:strRef>
              <c:f>storm_amplification!$AK$36</c:f>
              <c:strCache>
                <c:ptCount val="1"/>
                <c:pt idx="0">
                  <c:v>Max Amp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9978324584426946"/>
                  <c:y val="6.5852653834937297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storm_amplification!$AK$57:$AK$60</c:f>
              <c:numCache>
                <c:formatCode>0.00</c:formatCode>
                <c:ptCount val="4"/>
                <c:pt idx="0">
                  <c:v>23.592532434189209</c:v>
                </c:pt>
                <c:pt idx="1">
                  <c:v>25.494613307951109</c:v>
                </c:pt>
                <c:pt idx="2">
                  <c:v>42.282288448981511</c:v>
                </c:pt>
                <c:pt idx="3">
                  <c:v>36.493931005493906</c:v>
                </c:pt>
              </c:numCache>
            </c:numRef>
          </c:xVal>
          <c:yVal>
            <c:numRef>
              <c:f>storm_amplification!$BG$38:$BG$41</c:f>
              <c:numCache>
                <c:formatCode>General</c:formatCode>
                <c:ptCount val="4"/>
                <c:pt idx="0">
                  <c:v>90</c:v>
                </c:pt>
                <c:pt idx="1">
                  <c:v>128</c:v>
                </c:pt>
                <c:pt idx="2">
                  <c:v>64</c:v>
                </c:pt>
                <c:pt idx="3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257-470D-B860-2F28345C1CBD}"/>
            </c:ext>
          </c:extLst>
        </c:ser>
        <c:ser>
          <c:idx val="1"/>
          <c:order val="1"/>
          <c:tx>
            <c:strRef>
              <c:f>storm_amplification!$AL$35</c:f>
              <c:strCache>
                <c:ptCount val="1"/>
                <c:pt idx="0">
                  <c:v>Imp/s * Amax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659429335789159"/>
                  <c:y val="2.9711471318931707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storm_amplification!$AN$57:$AN$60</c:f>
              <c:numCache>
                <c:formatCode>0.00</c:formatCode>
                <c:ptCount val="4"/>
                <c:pt idx="0">
                  <c:v>43.693410576363654</c:v>
                </c:pt>
                <c:pt idx="1">
                  <c:v>44.60632266612668</c:v>
                </c:pt>
                <c:pt idx="2">
                  <c:v>31.098695993070375</c:v>
                </c:pt>
                <c:pt idx="3">
                  <c:v>37.127843822750485</c:v>
                </c:pt>
              </c:numCache>
            </c:numRef>
          </c:xVal>
          <c:yVal>
            <c:numRef>
              <c:f>storm_amplification!$BG$38:$BG$41</c:f>
              <c:numCache>
                <c:formatCode>General</c:formatCode>
                <c:ptCount val="4"/>
                <c:pt idx="0">
                  <c:v>90</c:v>
                </c:pt>
                <c:pt idx="1">
                  <c:v>128</c:v>
                </c:pt>
                <c:pt idx="2">
                  <c:v>64</c:v>
                </c:pt>
                <c:pt idx="3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257-470D-B860-2F28345C1CBD}"/>
            </c:ext>
          </c:extLst>
        </c:ser>
        <c:ser>
          <c:idx val="2"/>
          <c:order val="2"/>
          <c:tx>
            <c:strRef>
              <c:f>storm_amplification!$AO$35</c:f>
              <c:strCache>
                <c:ptCount val="1"/>
                <c:pt idx="0">
                  <c:v>Imp/s * Amedian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49793773058661617"/>
                  <c:y val="-6.4609114622763142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storm_amplification!$AQ$57:$AQ$60</c:f>
              <c:numCache>
                <c:formatCode>0.00</c:formatCode>
                <c:ptCount val="4"/>
                <c:pt idx="0">
                  <c:v>65.169308726977391</c:v>
                </c:pt>
                <c:pt idx="1">
                  <c:v>66.655091622255412</c:v>
                </c:pt>
                <c:pt idx="2">
                  <c:v>57.606542971146652</c:v>
                </c:pt>
                <c:pt idx="3">
                  <c:v>55.780048424499455</c:v>
                </c:pt>
              </c:numCache>
            </c:numRef>
          </c:xVal>
          <c:yVal>
            <c:numRef>
              <c:f>storm_amplification!$BG$38:$BG$41</c:f>
              <c:numCache>
                <c:formatCode>General</c:formatCode>
                <c:ptCount val="4"/>
                <c:pt idx="0">
                  <c:v>90</c:v>
                </c:pt>
                <c:pt idx="1">
                  <c:v>128</c:v>
                </c:pt>
                <c:pt idx="2">
                  <c:v>64</c:v>
                </c:pt>
                <c:pt idx="3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257-470D-B860-2F28345C1CBD}"/>
            </c:ext>
          </c:extLst>
        </c:ser>
        <c:ser>
          <c:idx val="3"/>
          <c:order val="3"/>
          <c:tx>
            <c:strRef>
              <c:f>storm_amplification!$AR$35</c:f>
              <c:strCache>
                <c:ptCount val="1"/>
                <c:pt idx="0">
                  <c:v>Imp/s * Amean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6278437926370583"/>
                  <c:y val="-0.11144314320949203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storm_amplification!$AT$57:$AT$60</c:f>
              <c:numCache>
                <c:formatCode>0.00</c:formatCode>
                <c:ptCount val="4"/>
                <c:pt idx="0">
                  <c:v>66.75462392048108</c:v>
                </c:pt>
                <c:pt idx="1">
                  <c:v>70.38840182826543</c:v>
                </c:pt>
                <c:pt idx="2">
                  <c:v>49.948109803800001</c:v>
                </c:pt>
                <c:pt idx="3">
                  <c:v>46.303888574263681</c:v>
                </c:pt>
              </c:numCache>
            </c:numRef>
          </c:xVal>
          <c:yVal>
            <c:numRef>
              <c:f>storm_amplification!$BG$38:$BG$41</c:f>
              <c:numCache>
                <c:formatCode>General</c:formatCode>
                <c:ptCount val="4"/>
                <c:pt idx="0">
                  <c:v>90</c:v>
                </c:pt>
                <c:pt idx="1">
                  <c:v>128</c:v>
                </c:pt>
                <c:pt idx="2">
                  <c:v>64</c:v>
                </c:pt>
                <c:pt idx="3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257-470D-B860-2F28345C1CBD}"/>
            </c:ext>
          </c:extLst>
        </c:ser>
        <c:ser>
          <c:idx val="4"/>
          <c:order val="4"/>
          <c:tx>
            <c:v>1:01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storm_amplification!$AX$57:$AX$58</c:f>
              <c:numCache>
                <c:formatCode>General</c:formatCode>
                <c:ptCount val="2"/>
                <c:pt idx="0">
                  <c:v>0.1</c:v>
                </c:pt>
                <c:pt idx="1">
                  <c:v>150</c:v>
                </c:pt>
              </c:numCache>
            </c:numRef>
          </c:xVal>
          <c:yVal>
            <c:numRef>
              <c:f>storm_amplification!$AY$57:$AY$58</c:f>
              <c:numCache>
                <c:formatCode>General</c:formatCode>
                <c:ptCount val="2"/>
                <c:pt idx="0">
                  <c:v>0.1</c:v>
                </c:pt>
                <c:pt idx="1">
                  <c:v>150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257-470D-B860-2F28345C1C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9116399"/>
        <c:axId val="949117359"/>
      </c:scatterChart>
      <c:valAx>
        <c:axId val="949116399"/>
        <c:scaling>
          <c:orientation val="minMax"/>
          <c:max val="16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9117359"/>
        <c:crosses val="autoZero"/>
        <c:crossBetween val="midCat"/>
      </c:valAx>
      <c:valAx>
        <c:axId val="949117359"/>
        <c:scaling>
          <c:orientation val="minMax"/>
          <c:max val="1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9116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ayout>
        <c:manualLayout>
          <c:xMode val="edge"/>
          <c:yMode val="edge"/>
          <c:x val="8.885523736931901E-2"/>
          <c:y val="0.82586285088298195"/>
          <c:w val="0.8443603498509572"/>
          <c:h val="0.1330297451448846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Diameter,</a:t>
            </a:r>
            <a:r>
              <a:rPr lang="en-US" baseline="0"/>
              <a:t> Max Size - Dmax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700184235395068"/>
          <c:y val="0.16940817925849147"/>
          <c:w val="0.76822864818330439"/>
          <c:h val="0.55963181000970685"/>
        </c:manualLayout>
      </c:layout>
      <c:scatterChart>
        <c:scatterStyle val="lineMarker"/>
        <c:varyColors val="0"/>
        <c:ser>
          <c:idx val="0"/>
          <c:order val="0"/>
          <c:tx>
            <c:strRef>
              <c:f>storm_amplification!$AK$36</c:f>
              <c:strCache>
                <c:ptCount val="1"/>
                <c:pt idx="0">
                  <c:v>Max Amp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0128397751317781"/>
                  <c:y val="0.12045116724527526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storm_amplification!$AK$57:$AK$60</c:f>
              <c:numCache>
                <c:formatCode>0.00</c:formatCode>
                <c:ptCount val="4"/>
                <c:pt idx="0">
                  <c:v>23.592532434189209</c:v>
                </c:pt>
                <c:pt idx="1">
                  <c:v>25.494613307951109</c:v>
                </c:pt>
                <c:pt idx="2">
                  <c:v>42.282288448981511</c:v>
                </c:pt>
                <c:pt idx="3">
                  <c:v>36.493931005493906</c:v>
                </c:pt>
              </c:numCache>
            </c:numRef>
          </c:xVal>
          <c:yVal>
            <c:numRef>
              <c:f>storm_amplification!$BH$38:$BH$41</c:f>
              <c:numCache>
                <c:formatCode>General</c:formatCode>
                <c:ptCount val="4"/>
                <c:pt idx="0">
                  <c:v>90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CFB-474F-81DF-C8A969F8C4EE}"/>
            </c:ext>
          </c:extLst>
        </c:ser>
        <c:ser>
          <c:idx val="1"/>
          <c:order val="1"/>
          <c:tx>
            <c:strRef>
              <c:f>storm_amplification!$AL$35</c:f>
              <c:strCache>
                <c:ptCount val="1"/>
                <c:pt idx="0">
                  <c:v>Imp/s * Amax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5902408249063396"/>
                  <c:y val="0.12467915185679231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storm_amplification!$AN$57:$AN$60</c:f>
              <c:numCache>
                <c:formatCode>0.00</c:formatCode>
                <c:ptCount val="4"/>
                <c:pt idx="0">
                  <c:v>43.693410576363654</c:v>
                </c:pt>
                <c:pt idx="1">
                  <c:v>44.60632266612668</c:v>
                </c:pt>
                <c:pt idx="2">
                  <c:v>31.098695993070375</c:v>
                </c:pt>
                <c:pt idx="3">
                  <c:v>37.127843822750485</c:v>
                </c:pt>
              </c:numCache>
            </c:numRef>
          </c:xVal>
          <c:yVal>
            <c:numRef>
              <c:f>storm_amplification!$BH$38:$BH$41</c:f>
              <c:numCache>
                <c:formatCode>General</c:formatCode>
                <c:ptCount val="4"/>
                <c:pt idx="0">
                  <c:v>90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CFB-474F-81DF-C8A969F8C4EE}"/>
            </c:ext>
          </c:extLst>
        </c:ser>
        <c:ser>
          <c:idx val="2"/>
          <c:order val="2"/>
          <c:tx>
            <c:strRef>
              <c:f>storm_amplification!$AO$35</c:f>
              <c:strCache>
                <c:ptCount val="1"/>
                <c:pt idx="0">
                  <c:v>Imp/s * Amedian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49980975792304344"/>
                  <c:y val="-2.8059849215308928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storm_amplification!$AQ$57:$AQ$60</c:f>
              <c:numCache>
                <c:formatCode>0.00</c:formatCode>
                <c:ptCount val="4"/>
                <c:pt idx="0">
                  <c:v>65.169308726977391</c:v>
                </c:pt>
                <c:pt idx="1">
                  <c:v>66.655091622255412</c:v>
                </c:pt>
                <c:pt idx="2">
                  <c:v>57.606542971146652</c:v>
                </c:pt>
                <c:pt idx="3">
                  <c:v>55.780048424499455</c:v>
                </c:pt>
              </c:numCache>
            </c:numRef>
          </c:xVal>
          <c:yVal>
            <c:numRef>
              <c:f>storm_amplification!$BH$38:$BH$41</c:f>
              <c:numCache>
                <c:formatCode>General</c:formatCode>
                <c:ptCount val="4"/>
                <c:pt idx="0">
                  <c:v>90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CFB-474F-81DF-C8A969F8C4EE}"/>
            </c:ext>
          </c:extLst>
        </c:ser>
        <c:ser>
          <c:idx val="3"/>
          <c:order val="3"/>
          <c:tx>
            <c:strRef>
              <c:f>storm_amplification!$AR$35</c:f>
              <c:strCache>
                <c:ptCount val="1"/>
                <c:pt idx="0">
                  <c:v>Imp/s * Amean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6278437926370583"/>
                  <c:y val="-0.11144314320949203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storm_amplification!$AT$57:$AT$60</c:f>
              <c:numCache>
                <c:formatCode>0.00</c:formatCode>
                <c:ptCount val="4"/>
                <c:pt idx="0">
                  <c:v>66.75462392048108</c:v>
                </c:pt>
                <c:pt idx="1">
                  <c:v>70.38840182826543</c:v>
                </c:pt>
                <c:pt idx="2">
                  <c:v>49.948109803800001</c:v>
                </c:pt>
                <c:pt idx="3">
                  <c:v>46.303888574263681</c:v>
                </c:pt>
              </c:numCache>
            </c:numRef>
          </c:xVal>
          <c:yVal>
            <c:numRef>
              <c:f>storm_amplification!$BH$38:$BH$41</c:f>
              <c:numCache>
                <c:formatCode>General</c:formatCode>
                <c:ptCount val="4"/>
                <c:pt idx="0">
                  <c:v>90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9CFB-474F-81DF-C8A969F8C4EE}"/>
            </c:ext>
          </c:extLst>
        </c:ser>
        <c:ser>
          <c:idx val="4"/>
          <c:order val="4"/>
          <c:tx>
            <c:v>1:01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storm_amplification!$AX$57:$AX$58</c:f>
              <c:numCache>
                <c:formatCode>General</c:formatCode>
                <c:ptCount val="2"/>
                <c:pt idx="0">
                  <c:v>0.1</c:v>
                </c:pt>
                <c:pt idx="1">
                  <c:v>150</c:v>
                </c:pt>
              </c:numCache>
            </c:numRef>
          </c:xVal>
          <c:yVal>
            <c:numRef>
              <c:f>storm_amplification!$AY$57:$AY$58</c:f>
              <c:numCache>
                <c:formatCode>General</c:formatCode>
                <c:ptCount val="2"/>
                <c:pt idx="0">
                  <c:v>0.1</c:v>
                </c:pt>
                <c:pt idx="1">
                  <c:v>150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9CFB-474F-81DF-C8A969F8C4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9116399"/>
        <c:axId val="949117359"/>
      </c:scatterChart>
      <c:valAx>
        <c:axId val="949116399"/>
        <c:scaling>
          <c:orientation val="minMax"/>
          <c:max val="16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9117359"/>
        <c:crosses val="autoZero"/>
        <c:crossBetween val="midCat"/>
      </c:valAx>
      <c:valAx>
        <c:axId val="949117359"/>
        <c:scaling>
          <c:orientation val="minMax"/>
          <c:max val="1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9116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ayout>
        <c:manualLayout>
          <c:xMode val="edge"/>
          <c:yMode val="edge"/>
          <c:x val="8.885523736931901E-2"/>
          <c:y val="0.82586285088298195"/>
          <c:w val="0.8443603498509572"/>
          <c:h val="0.1330297451448846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Diameter,</a:t>
            </a:r>
            <a:r>
              <a:rPr lang="en-US" baseline="0"/>
              <a:t> Largest % - MinD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700184235395068"/>
          <c:y val="0.16940817925849147"/>
          <c:w val="0.76822864818330439"/>
          <c:h val="0.55963181000970685"/>
        </c:manualLayout>
      </c:layout>
      <c:scatterChart>
        <c:scatterStyle val="lineMarker"/>
        <c:varyColors val="0"/>
        <c:ser>
          <c:idx val="0"/>
          <c:order val="0"/>
          <c:tx>
            <c:strRef>
              <c:f>storm_amplification!$AK$36</c:f>
              <c:strCache>
                <c:ptCount val="1"/>
                <c:pt idx="0">
                  <c:v>Max Amp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9978324584426946"/>
                  <c:y val="6.5852653834937297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storm_amplification!$AK$57:$AK$60</c:f>
              <c:numCache>
                <c:formatCode>0.00</c:formatCode>
                <c:ptCount val="4"/>
                <c:pt idx="0">
                  <c:v>23.592532434189209</c:v>
                </c:pt>
                <c:pt idx="1">
                  <c:v>25.494613307951109</c:v>
                </c:pt>
                <c:pt idx="2">
                  <c:v>42.282288448981511</c:v>
                </c:pt>
                <c:pt idx="3">
                  <c:v>36.493931005493906</c:v>
                </c:pt>
              </c:numCache>
            </c:numRef>
          </c:xVal>
          <c:yVal>
            <c:numRef>
              <c:f>storm_amplification!$BI$38:$BI$41</c:f>
              <c:numCache>
                <c:formatCode>General</c:formatCode>
                <c:ptCount val="4"/>
                <c:pt idx="0">
                  <c:v>45</c:v>
                </c:pt>
                <c:pt idx="1">
                  <c:v>128</c:v>
                </c:pt>
                <c:pt idx="2">
                  <c:v>32</c:v>
                </c:pt>
                <c:pt idx="3">
                  <c:v>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28D-4413-A75A-5AF4A75C2D2F}"/>
            </c:ext>
          </c:extLst>
        </c:ser>
        <c:ser>
          <c:idx val="1"/>
          <c:order val="1"/>
          <c:tx>
            <c:strRef>
              <c:f>storm_amplification!$AL$35</c:f>
              <c:strCache>
                <c:ptCount val="1"/>
                <c:pt idx="0">
                  <c:v>Imp/s * Amax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659429335789159"/>
                  <c:y val="2.9711471318931707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storm_amplification!$AN$57:$AN$60</c:f>
              <c:numCache>
                <c:formatCode>0.00</c:formatCode>
                <c:ptCount val="4"/>
                <c:pt idx="0">
                  <c:v>43.693410576363654</c:v>
                </c:pt>
                <c:pt idx="1">
                  <c:v>44.60632266612668</c:v>
                </c:pt>
                <c:pt idx="2">
                  <c:v>31.098695993070375</c:v>
                </c:pt>
                <c:pt idx="3">
                  <c:v>37.127843822750485</c:v>
                </c:pt>
              </c:numCache>
            </c:numRef>
          </c:xVal>
          <c:yVal>
            <c:numRef>
              <c:f>storm_amplification!$BI$38:$BI$41</c:f>
              <c:numCache>
                <c:formatCode>General</c:formatCode>
                <c:ptCount val="4"/>
                <c:pt idx="0">
                  <c:v>45</c:v>
                </c:pt>
                <c:pt idx="1">
                  <c:v>128</c:v>
                </c:pt>
                <c:pt idx="2">
                  <c:v>32</c:v>
                </c:pt>
                <c:pt idx="3">
                  <c:v>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28D-4413-A75A-5AF4A75C2D2F}"/>
            </c:ext>
          </c:extLst>
        </c:ser>
        <c:ser>
          <c:idx val="2"/>
          <c:order val="2"/>
          <c:tx>
            <c:strRef>
              <c:f>storm_amplification!$AO$35</c:f>
              <c:strCache>
                <c:ptCount val="1"/>
                <c:pt idx="0">
                  <c:v>Imp/s * Amedian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49793773058661617"/>
                  <c:y val="-6.4609114622763142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storm_amplification!$AQ$57:$AQ$60</c:f>
              <c:numCache>
                <c:formatCode>0.00</c:formatCode>
                <c:ptCount val="4"/>
                <c:pt idx="0">
                  <c:v>65.169308726977391</c:v>
                </c:pt>
                <c:pt idx="1">
                  <c:v>66.655091622255412</c:v>
                </c:pt>
                <c:pt idx="2">
                  <c:v>57.606542971146652</c:v>
                </c:pt>
                <c:pt idx="3">
                  <c:v>55.780048424499455</c:v>
                </c:pt>
              </c:numCache>
            </c:numRef>
          </c:xVal>
          <c:yVal>
            <c:numRef>
              <c:f>storm_amplification!$BI$38:$BI$41</c:f>
              <c:numCache>
                <c:formatCode>General</c:formatCode>
                <c:ptCount val="4"/>
                <c:pt idx="0">
                  <c:v>45</c:v>
                </c:pt>
                <c:pt idx="1">
                  <c:v>128</c:v>
                </c:pt>
                <c:pt idx="2">
                  <c:v>32</c:v>
                </c:pt>
                <c:pt idx="3">
                  <c:v>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28D-4413-A75A-5AF4A75C2D2F}"/>
            </c:ext>
          </c:extLst>
        </c:ser>
        <c:ser>
          <c:idx val="3"/>
          <c:order val="3"/>
          <c:tx>
            <c:strRef>
              <c:f>storm_amplification!$AR$35</c:f>
              <c:strCache>
                <c:ptCount val="1"/>
                <c:pt idx="0">
                  <c:v>Imp/s * Amean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6278437926370583"/>
                  <c:y val="-0.11144314320949203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storm_amplification!$AT$57:$AT$60</c:f>
              <c:numCache>
                <c:formatCode>0.00</c:formatCode>
                <c:ptCount val="4"/>
                <c:pt idx="0">
                  <c:v>66.75462392048108</c:v>
                </c:pt>
                <c:pt idx="1">
                  <c:v>70.38840182826543</c:v>
                </c:pt>
                <c:pt idx="2">
                  <c:v>49.948109803800001</c:v>
                </c:pt>
                <c:pt idx="3">
                  <c:v>46.303888574263681</c:v>
                </c:pt>
              </c:numCache>
            </c:numRef>
          </c:xVal>
          <c:yVal>
            <c:numRef>
              <c:f>storm_amplification!$BI$38:$BI$41</c:f>
              <c:numCache>
                <c:formatCode>General</c:formatCode>
                <c:ptCount val="4"/>
                <c:pt idx="0">
                  <c:v>45</c:v>
                </c:pt>
                <c:pt idx="1">
                  <c:v>128</c:v>
                </c:pt>
                <c:pt idx="2">
                  <c:v>32</c:v>
                </c:pt>
                <c:pt idx="3">
                  <c:v>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28D-4413-A75A-5AF4A75C2D2F}"/>
            </c:ext>
          </c:extLst>
        </c:ser>
        <c:ser>
          <c:idx val="4"/>
          <c:order val="4"/>
          <c:tx>
            <c:v>1:01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storm_amplification!$AX$57:$AX$58</c:f>
              <c:numCache>
                <c:formatCode>General</c:formatCode>
                <c:ptCount val="2"/>
                <c:pt idx="0">
                  <c:v>0.1</c:v>
                </c:pt>
                <c:pt idx="1">
                  <c:v>150</c:v>
                </c:pt>
              </c:numCache>
            </c:numRef>
          </c:xVal>
          <c:yVal>
            <c:numRef>
              <c:f>storm_amplification!$AY$57:$AY$58</c:f>
              <c:numCache>
                <c:formatCode>General</c:formatCode>
                <c:ptCount val="2"/>
                <c:pt idx="0">
                  <c:v>0.1</c:v>
                </c:pt>
                <c:pt idx="1">
                  <c:v>150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28D-4413-A75A-5AF4A75C2D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9116399"/>
        <c:axId val="949117359"/>
      </c:scatterChart>
      <c:valAx>
        <c:axId val="949116399"/>
        <c:scaling>
          <c:orientation val="minMax"/>
          <c:max val="16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9117359"/>
        <c:crosses val="autoZero"/>
        <c:crossBetween val="midCat"/>
      </c:valAx>
      <c:valAx>
        <c:axId val="949117359"/>
        <c:scaling>
          <c:orientation val="minMax"/>
          <c:max val="1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9116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ayout>
        <c:manualLayout>
          <c:xMode val="edge"/>
          <c:yMode val="edge"/>
          <c:x val="8.885523736931901E-2"/>
          <c:y val="0.82586285088298195"/>
          <c:w val="0.8443603498509572"/>
          <c:h val="0.1330297451448846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Diameter,</a:t>
            </a:r>
            <a:r>
              <a:rPr lang="en-US" baseline="0"/>
              <a:t> Largest % - 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700184235395068"/>
          <c:y val="0.16940817925849147"/>
          <c:w val="0.76822864818330439"/>
          <c:h val="0.55963181000970685"/>
        </c:manualLayout>
      </c:layout>
      <c:scatterChart>
        <c:scatterStyle val="lineMarker"/>
        <c:varyColors val="0"/>
        <c:ser>
          <c:idx val="0"/>
          <c:order val="0"/>
          <c:tx>
            <c:strRef>
              <c:f>storm_amplification!$AK$36</c:f>
              <c:strCache>
                <c:ptCount val="1"/>
                <c:pt idx="0">
                  <c:v>Max Amp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9978324584426946"/>
                  <c:y val="6.5852653834937297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storm_amplification!$AK$57:$AK$60</c:f>
              <c:numCache>
                <c:formatCode>0.00</c:formatCode>
                <c:ptCount val="4"/>
                <c:pt idx="0">
                  <c:v>23.592532434189209</c:v>
                </c:pt>
                <c:pt idx="1">
                  <c:v>25.494613307951109</c:v>
                </c:pt>
                <c:pt idx="2">
                  <c:v>42.282288448981511</c:v>
                </c:pt>
                <c:pt idx="3">
                  <c:v>36.493931005493906</c:v>
                </c:pt>
              </c:numCache>
            </c:numRef>
          </c:xVal>
          <c:yVal>
            <c:numRef>
              <c:f>storm_amplification!$BJ$38:$BJ$41</c:f>
              <c:numCache>
                <c:formatCode>General</c:formatCode>
                <c:ptCount val="4"/>
                <c:pt idx="0">
                  <c:v>45</c:v>
                </c:pt>
                <c:pt idx="1">
                  <c:v>64</c:v>
                </c:pt>
                <c:pt idx="2">
                  <c:v>45</c:v>
                </c:pt>
                <c:pt idx="3">
                  <c:v>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414-4457-BA7D-3850C39A3925}"/>
            </c:ext>
          </c:extLst>
        </c:ser>
        <c:ser>
          <c:idx val="1"/>
          <c:order val="1"/>
          <c:tx>
            <c:strRef>
              <c:f>storm_amplification!$AL$35</c:f>
              <c:strCache>
                <c:ptCount val="1"/>
                <c:pt idx="0">
                  <c:v>Imp/s * Amax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659429335789159"/>
                  <c:y val="2.9711471318931707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storm_amplification!$AN$57:$AN$60</c:f>
              <c:numCache>
                <c:formatCode>0.00</c:formatCode>
                <c:ptCount val="4"/>
                <c:pt idx="0">
                  <c:v>43.693410576363654</c:v>
                </c:pt>
                <c:pt idx="1">
                  <c:v>44.60632266612668</c:v>
                </c:pt>
                <c:pt idx="2">
                  <c:v>31.098695993070375</c:v>
                </c:pt>
                <c:pt idx="3">
                  <c:v>37.127843822750485</c:v>
                </c:pt>
              </c:numCache>
            </c:numRef>
          </c:xVal>
          <c:yVal>
            <c:numRef>
              <c:f>storm_amplification!$BJ$38:$BJ$41</c:f>
              <c:numCache>
                <c:formatCode>General</c:formatCode>
                <c:ptCount val="4"/>
                <c:pt idx="0">
                  <c:v>45</c:v>
                </c:pt>
                <c:pt idx="1">
                  <c:v>64</c:v>
                </c:pt>
                <c:pt idx="2">
                  <c:v>45</c:v>
                </c:pt>
                <c:pt idx="3">
                  <c:v>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414-4457-BA7D-3850C39A3925}"/>
            </c:ext>
          </c:extLst>
        </c:ser>
        <c:ser>
          <c:idx val="2"/>
          <c:order val="2"/>
          <c:tx>
            <c:strRef>
              <c:f>storm_amplification!$AO$35</c:f>
              <c:strCache>
                <c:ptCount val="1"/>
                <c:pt idx="0">
                  <c:v>Imp/s * Amedian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49793773058661617"/>
                  <c:y val="-6.4609114622763142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storm_amplification!$AQ$57:$AQ$60</c:f>
              <c:numCache>
                <c:formatCode>0.00</c:formatCode>
                <c:ptCount val="4"/>
                <c:pt idx="0">
                  <c:v>65.169308726977391</c:v>
                </c:pt>
                <c:pt idx="1">
                  <c:v>66.655091622255412</c:v>
                </c:pt>
                <c:pt idx="2">
                  <c:v>57.606542971146652</c:v>
                </c:pt>
                <c:pt idx="3">
                  <c:v>55.780048424499455</c:v>
                </c:pt>
              </c:numCache>
            </c:numRef>
          </c:xVal>
          <c:yVal>
            <c:numRef>
              <c:f>storm_amplification!$BJ$38:$BJ$41</c:f>
              <c:numCache>
                <c:formatCode>General</c:formatCode>
                <c:ptCount val="4"/>
                <c:pt idx="0">
                  <c:v>45</c:v>
                </c:pt>
                <c:pt idx="1">
                  <c:v>64</c:v>
                </c:pt>
                <c:pt idx="2">
                  <c:v>45</c:v>
                </c:pt>
                <c:pt idx="3">
                  <c:v>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414-4457-BA7D-3850C39A3925}"/>
            </c:ext>
          </c:extLst>
        </c:ser>
        <c:ser>
          <c:idx val="3"/>
          <c:order val="3"/>
          <c:tx>
            <c:strRef>
              <c:f>storm_amplification!$AR$35</c:f>
              <c:strCache>
                <c:ptCount val="1"/>
                <c:pt idx="0">
                  <c:v>Imp/s * Amean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6278437926370583"/>
                  <c:y val="-0.11144314320949203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storm_amplification!$AT$57:$AT$60</c:f>
              <c:numCache>
                <c:formatCode>0.00</c:formatCode>
                <c:ptCount val="4"/>
                <c:pt idx="0">
                  <c:v>66.75462392048108</c:v>
                </c:pt>
                <c:pt idx="1">
                  <c:v>70.38840182826543</c:v>
                </c:pt>
                <c:pt idx="2">
                  <c:v>49.948109803800001</c:v>
                </c:pt>
                <c:pt idx="3">
                  <c:v>46.303888574263681</c:v>
                </c:pt>
              </c:numCache>
            </c:numRef>
          </c:xVal>
          <c:yVal>
            <c:numRef>
              <c:f>storm_amplification!$BJ$38:$BJ$41</c:f>
              <c:numCache>
                <c:formatCode>General</c:formatCode>
                <c:ptCount val="4"/>
                <c:pt idx="0">
                  <c:v>45</c:v>
                </c:pt>
                <c:pt idx="1">
                  <c:v>64</c:v>
                </c:pt>
                <c:pt idx="2">
                  <c:v>45</c:v>
                </c:pt>
                <c:pt idx="3">
                  <c:v>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414-4457-BA7D-3850C39A3925}"/>
            </c:ext>
          </c:extLst>
        </c:ser>
        <c:ser>
          <c:idx val="4"/>
          <c:order val="4"/>
          <c:tx>
            <c:v>1:01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storm_amplification!$AX$57:$AX$58</c:f>
              <c:numCache>
                <c:formatCode>General</c:formatCode>
                <c:ptCount val="2"/>
                <c:pt idx="0">
                  <c:v>0.1</c:v>
                </c:pt>
                <c:pt idx="1">
                  <c:v>150</c:v>
                </c:pt>
              </c:numCache>
            </c:numRef>
          </c:xVal>
          <c:yVal>
            <c:numRef>
              <c:f>storm_amplification!$AY$57:$AY$58</c:f>
              <c:numCache>
                <c:formatCode>General</c:formatCode>
                <c:ptCount val="2"/>
                <c:pt idx="0">
                  <c:v>0.1</c:v>
                </c:pt>
                <c:pt idx="1">
                  <c:v>150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414-4457-BA7D-3850C39A3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9116399"/>
        <c:axId val="949117359"/>
      </c:scatterChart>
      <c:valAx>
        <c:axId val="949116399"/>
        <c:scaling>
          <c:orientation val="minMax"/>
          <c:max val="16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9117359"/>
        <c:crosses val="autoZero"/>
        <c:crossBetween val="midCat"/>
      </c:valAx>
      <c:valAx>
        <c:axId val="949117359"/>
        <c:scaling>
          <c:orientation val="minMax"/>
          <c:max val="1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9116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ayout>
        <c:manualLayout>
          <c:xMode val="edge"/>
          <c:yMode val="edge"/>
          <c:x val="8.885523736931901E-2"/>
          <c:y val="0.82586285088298195"/>
          <c:w val="0.8443603498509572"/>
          <c:h val="0.1330297451448846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Diameter,</a:t>
            </a:r>
            <a:r>
              <a:rPr lang="en-US" baseline="0"/>
              <a:t> Largest % - Dmax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700184235395068"/>
          <c:y val="0.16940817925849147"/>
          <c:w val="0.76822864818330439"/>
          <c:h val="0.55963181000970685"/>
        </c:manualLayout>
      </c:layout>
      <c:scatterChart>
        <c:scatterStyle val="lineMarker"/>
        <c:varyColors val="0"/>
        <c:ser>
          <c:idx val="0"/>
          <c:order val="0"/>
          <c:tx>
            <c:strRef>
              <c:f>storm_amplification!$AK$36</c:f>
              <c:strCache>
                <c:ptCount val="1"/>
                <c:pt idx="0">
                  <c:v>Max Amp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9978324584426946"/>
                  <c:y val="6.5852653834937297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storm_amplification!$AK$57:$AK$60</c:f>
              <c:numCache>
                <c:formatCode>0.00</c:formatCode>
                <c:ptCount val="4"/>
                <c:pt idx="0">
                  <c:v>23.592532434189209</c:v>
                </c:pt>
                <c:pt idx="1">
                  <c:v>25.494613307951109</c:v>
                </c:pt>
                <c:pt idx="2">
                  <c:v>42.282288448981511</c:v>
                </c:pt>
                <c:pt idx="3">
                  <c:v>36.493931005493906</c:v>
                </c:pt>
              </c:numCache>
            </c:numRef>
          </c:xVal>
          <c:yVal>
            <c:numRef>
              <c:f>storm_amplification!$BK$38:$BK$41</c:f>
              <c:numCache>
                <c:formatCode>General</c:formatCode>
                <c:ptCount val="4"/>
                <c:pt idx="0">
                  <c:v>90</c:v>
                </c:pt>
                <c:pt idx="1">
                  <c:v>32</c:v>
                </c:pt>
                <c:pt idx="2">
                  <c:v>64</c:v>
                </c:pt>
                <c:pt idx="3">
                  <c:v>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DF3-47C3-8347-38A52086CC65}"/>
            </c:ext>
          </c:extLst>
        </c:ser>
        <c:ser>
          <c:idx val="1"/>
          <c:order val="1"/>
          <c:tx>
            <c:strRef>
              <c:f>storm_amplification!$AL$35</c:f>
              <c:strCache>
                <c:ptCount val="1"/>
                <c:pt idx="0">
                  <c:v>Imp/s * Amax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659429335789159"/>
                  <c:y val="2.9711471318931707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storm_amplification!$AN$57:$AN$60</c:f>
              <c:numCache>
                <c:formatCode>0.00</c:formatCode>
                <c:ptCount val="4"/>
                <c:pt idx="0">
                  <c:v>43.693410576363654</c:v>
                </c:pt>
                <c:pt idx="1">
                  <c:v>44.60632266612668</c:v>
                </c:pt>
                <c:pt idx="2">
                  <c:v>31.098695993070375</c:v>
                </c:pt>
                <c:pt idx="3">
                  <c:v>37.127843822750485</c:v>
                </c:pt>
              </c:numCache>
            </c:numRef>
          </c:xVal>
          <c:yVal>
            <c:numRef>
              <c:f>storm_amplification!$BK$38:$BK$41</c:f>
              <c:numCache>
                <c:formatCode>General</c:formatCode>
                <c:ptCount val="4"/>
                <c:pt idx="0">
                  <c:v>90</c:v>
                </c:pt>
                <c:pt idx="1">
                  <c:v>32</c:v>
                </c:pt>
                <c:pt idx="2">
                  <c:v>64</c:v>
                </c:pt>
                <c:pt idx="3">
                  <c:v>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DF3-47C3-8347-38A52086CC65}"/>
            </c:ext>
          </c:extLst>
        </c:ser>
        <c:ser>
          <c:idx val="2"/>
          <c:order val="2"/>
          <c:tx>
            <c:strRef>
              <c:f>storm_amplification!$AO$35</c:f>
              <c:strCache>
                <c:ptCount val="1"/>
                <c:pt idx="0">
                  <c:v>Imp/s * Amedian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49793773058661617"/>
                  <c:y val="-6.4609114622763142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storm_amplification!$AQ$57:$AQ$60</c:f>
              <c:numCache>
                <c:formatCode>0.00</c:formatCode>
                <c:ptCount val="4"/>
                <c:pt idx="0">
                  <c:v>65.169308726977391</c:v>
                </c:pt>
                <c:pt idx="1">
                  <c:v>66.655091622255412</c:v>
                </c:pt>
                <c:pt idx="2">
                  <c:v>57.606542971146652</c:v>
                </c:pt>
                <c:pt idx="3">
                  <c:v>55.780048424499455</c:v>
                </c:pt>
              </c:numCache>
            </c:numRef>
          </c:xVal>
          <c:yVal>
            <c:numRef>
              <c:f>storm_amplification!$BK$38:$BK$41</c:f>
              <c:numCache>
                <c:formatCode>General</c:formatCode>
                <c:ptCount val="4"/>
                <c:pt idx="0">
                  <c:v>90</c:v>
                </c:pt>
                <c:pt idx="1">
                  <c:v>32</c:v>
                </c:pt>
                <c:pt idx="2">
                  <c:v>64</c:v>
                </c:pt>
                <c:pt idx="3">
                  <c:v>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DF3-47C3-8347-38A52086CC65}"/>
            </c:ext>
          </c:extLst>
        </c:ser>
        <c:ser>
          <c:idx val="3"/>
          <c:order val="3"/>
          <c:tx>
            <c:strRef>
              <c:f>storm_amplification!$AR$35</c:f>
              <c:strCache>
                <c:ptCount val="1"/>
                <c:pt idx="0">
                  <c:v>Imp/s * Amean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6278437926370583"/>
                  <c:y val="-0.11144314320949203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storm_amplification!$AT$57:$AT$60</c:f>
              <c:numCache>
                <c:formatCode>0.00</c:formatCode>
                <c:ptCount val="4"/>
                <c:pt idx="0">
                  <c:v>66.75462392048108</c:v>
                </c:pt>
                <c:pt idx="1">
                  <c:v>70.38840182826543</c:v>
                </c:pt>
                <c:pt idx="2">
                  <c:v>49.948109803800001</c:v>
                </c:pt>
                <c:pt idx="3">
                  <c:v>46.303888574263681</c:v>
                </c:pt>
              </c:numCache>
            </c:numRef>
          </c:xVal>
          <c:yVal>
            <c:numRef>
              <c:f>storm_amplification!$BK$38:$BK$41</c:f>
              <c:numCache>
                <c:formatCode>General</c:formatCode>
                <c:ptCount val="4"/>
                <c:pt idx="0">
                  <c:v>90</c:v>
                </c:pt>
                <c:pt idx="1">
                  <c:v>32</c:v>
                </c:pt>
                <c:pt idx="2">
                  <c:v>64</c:v>
                </c:pt>
                <c:pt idx="3">
                  <c:v>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DF3-47C3-8347-38A52086CC65}"/>
            </c:ext>
          </c:extLst>
        </c:ser>
        <c:ser>
          <c:idx val="4"/>
          <c:order val="4"/>
          <c:tx>
            <c:v>1:01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storm_amplification!$AX$57:$AX$58</c:f>
              <c:numCache>
                <c:formatCode>General</c:formatCode>
                <c:ptCount val="2"/>
                <c:pt idx="0">
                  <c:v>0.1</c:v>
                </c:pt>
                <c:pt idx="1">
                  <c:v>150</c:v>
                </c:pt>
              </c:numCache>
            </c:numRef>
          </c:xVal>
          <c:yVal>
            <c:numRef>
              <c:f>storm_amplification!$AY$57:$AY$58</c:f>
              <c:numCache>
                <c:formatCode>General</c:formatCode>
                <c:ptCount val="2"/>
                <c:pt idx="0">
                  <c:v>0.1</c:v>
                </c:pt>
                <c:pt idx="1">
                  <c:v>150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DF3-47C3-8347-38A52086CC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9116399"/>
        <c:axId val="949117359"/>
      </c:scatterChart>
      <c:valAx>
        <c:axId val="949116399"/>
        <c:scaling>
          <c:orientation val="minMax"/>
          <c:max val="16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9117359"/>
        <c:crosses val="autoZero"/>
        <c:crossBetween val="midCat"/>
      </c:valAx>
      <c:valAx>
        <c:axId val="949117359"/>
        <c:scaling>
          <c:orientation val="minMax"/>
          <c:max val="1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9116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ayout>
        <c:manualLayout>
          <c:xMode val="edge"/>
          <c:yMode val="edge"/>
          <c:x val="8.885523736931901E-2"/>
          <c:y val="0.82586285088298195"/>
          <c:w val="0.8443603498509572"/>
          <c:h val="0.1330297451448846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Spring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backward val="30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storm_amplification!$Y$15:$Y$16</c:f>
              <c:numCache>
                <c:formatCode>General</c:formatCode>
                <c:ptCount val="2"/>
                <c:pt idx="0" formatCode="0.00">
                  <c:v>66.655720000000002</c:v>
                </c:pt>
                <c:pt idx="1">
                  <c:v>20</c:v>
                </c:pt>
              </c:numCache>
            </c:numRef>
          </c:xVal>
          <c:yVal>
            <c:numRef>
              <c:f>storm_amplification!$Z$15:$Z$16</c:f>
              <c:numCache>
                <c:formatCode>General</c:formatCode>
                <c:ptCount val="2"/>
                <c:pt idx="0" formatCode="0.00">
                  <c:v>2.5105304103640393</c:v>
                </c:pt>
                <c:pt idx="1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EB2-46E6-9BB6-812593FC0A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57747056"/>
        <c:axId val="1257752336"/>
      </c:scatterChart>
      <c:valAx>
        <c:axId val="12577470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7752336"/>
        <c:crosses val="autoZero"/>
        <c:crossBetween val="midCat"/>
      </c:valAx>
      <c:valAx>
        <c:axId val="1257752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77470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 Amplitude Equation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Gravelometer Sizes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28869925688569326"/>
                  <c:y val="8.4023330417031208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calibration!$E$3:$E$23</c:f>
              <c:numCache>
                <c:formatCode>0.0000</c:formatCode>
                <c:ptCount val="21"/>
                <c:pt idx="0">
                  <c:v>0.104819100180613</c:v>
                </c:pt>
                <c:pt idx="1">
                  <c:v>5.1422303101187901E-2</c:v>
                </c:pt>
                <c:pt idx="2">
                  <c:v>4.68499378365069E-2</c:v>
                </c:pt>
                <c:pt idx="3">
                  <c:v>5.1754391722476999E-2</c:v>
                </c:pt>
                <c:pt idx="4">
                  <c:v>4.4543546788178297E-2</c:v>
                </c:pt>
                <c:pt idx="5">
                  <c:v>9.5639162401153693E-2</c:v>
                </c:pt>
                <c:pt idx="6">
                  <c:v>2.7724885205644801E-2</c:v>
                </c:pt>
                <c:pt idx="7">
                  <c:v>2.2481115003792299E-2</c:v>
                </c:pt>
                <c:pt idx="8">
                  <c:v>1.0897008883362201E-2</c:v>
                </c:pt>
                <c:pt idx="9">
                  <c:v>1.13162316396569E-2</c:v>
                </c:pt>
                <c:pt idx="10">
                  <c:v>1.06254875376059E-2</c:v>
                </c:pt>
                <c:pt idx="11">
                  <c:v>5.4104257016193398E-3</c:v>
                </c:pt>
                <c:pt idx="12">
                  <c:v>1.40031756933689E-2</c:v>
                </c:pt>
                <c:pt idx="13">
                  <c:v>1.0890800850407899E-2</c:v>
                </c:pt>
                <c:pt idx="14">
                  <c:v>2.4016207968108199E-2</c:v>
                </c:pt>
                <c:pt idx="15">
                  <c:v>5.1502950973667999E-2</c:v>
                </c:pt>
                <c:pt idx="16">
                  <c:v>5.04335454776157E-2</c:v>
                </c:pt>
                <c:pt idx="17">
                  <c:v>9.6840712231762202E-2</c:v>
                </c:pt>
                <c:pt idx="18" formatCode="0.000">
                  <c:v>0.103785400341108</c:v>
                </c:pt>
                <c:pt idx="19" formatCode="0.000">
                  <c:v>1.7343593585544201E-2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823-4746-AD79-DBC6CD0EE50A}"/>
            </c:ext>
          </c:extLst>
        </c:ser>
        <c:ser>
          <c:idx val="1"/>
          <c:order val="1"/>
          <c:tx>
            <c:v>B-Axis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calibration!$E$3:$E$23</c:f>
              <c:numCache>
                <c:formatCode>0.0000</c:formatCode>
                <c:ptCount val="21"/>
                <c:pt idx="0">
                  <c:v>0.104819100180613</c:v>
                </c:pt>
                <c:pt idx="1">
                  <c:v>5.1422303101187901E-2</c:v>
                </c:pt>
                <c:pt idx="2">
                  <c:v>4.68499378365069E-2</c:v>
                </c:pt>
                <c:pt idx="3">
                  <c:v>5.1754391722476999E-2</c:v>
                </c:pt>
                <c:pt idx="4">
                  <c:v>4.4543546788178297E-2</c:v>
                </c:pt>
                <c:pt idx="5">
                  <c:v>9.5639162401153693E-2</c:v>
                </c:pt>
                <c:pt idx="6">
                  <c:v>2.7724885205644801E-2</c:v>
                </c:pt>
                <c:pt idx="7">
                  <c:v>2.2481115003792299E-2</c:v>
                </c:pt>
                <c:pt idx="8">
                  <c:v>1.0897008883362201E-2</c:v>
                </c:pt>
                <c:pt idx="9">
                  <c:v>1.13162316396569E-2</c:v>
                </c:pt>
                <c:pt idx="10">
                  <c:v>1.06254875376059E-2</c:v>
                </c:pt>
                <c:pt idx="11">
                  <c:v>5.4104257016193398E-3</c:v>
                </c:pt>
                <c:pt idx="12">
                  <c:v>1.40031756933689E-2</c:v>
                </c:pt>
                <c:pt idx="13">
                  <c:v>1.0890800850407899E-2</c:v>
                </c:pt>
                <c:pt idx="14">
                  <c:v>2.4016207968108199E-2</c:v>
                </c:pt>
                <c:pt idx="15">
                  <c:v>5.1502950973667999E-2</c:v>
                </c:pt>
                <c:pt idx="16">
                  <c:v>5.04335454776157E-2</c:v>
                </c:pt>
                <c:pt idx="17">
                  <c:v>9.6840712231762202E-2</c:v>
                </c:pt>
                <c:pt idx="18" formatCode="0.000">
                  <c:v>0.103785400341108</c:v>
                </c:pt>
                <c:pt idx="19" formatCode="0.000">
                  <c:v>1.7343593585544201E-2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823-4746-AD79-DBC6CD0EE5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Mean Amplitude Equation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6082432934096644"/>
                  <c:y val="0.23338310488966657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calibration!$F$3:$F$23</c:f>
              <c:numCache>
                <c:formatCode>0.0000</c:formatCode>
                <c:ptCount val="21"/>
                <c:pt idx="0">
                  <c:v>3.3154403752457901E-2</c:v>
                </c:pt>
                <c:pt idx="1">
                  <c:v>1.43345982575964E-2</c:v>
                </c:pt>
                <c:pt idx="2">
                  <c:v>1.9737041545963101E-2</c:v>
                </c:pt>
                <c:pt idx="3">
                  <c:v>2.3629413923689099E-2</c:v>
                </c:pt>
                <c:pt idx="4">
                  <c:v>2.3352349155409499E-2</c:v>
                </c:pt>
                <c:pt idx="5">
                  <c:v>1.9277468694701001E-2</c:v>
                </c:pt>
                <c:pt idx="6">
                  <c:v>1.4478880481023E-2</c:v>
                </c:pt>
                <c:pt idx="7">
                  <c:v>9.1860908476934702E-3</c:v>
                </c:pt>
                <c:pt idx="8">
                  <c:v>7.27047978157239E-3</c:v>
                </c:pt>
                <c:pt idx="9">
                  <c:v>6.77105129691932E-3</c:v>
                </c:pt>
                <c:pt idx="10">
                  <c:v>5.3979442955963304E-3</c:v>
                </c:pt>
                <c:pt idx="11">
                  <c:v>4.2237913969842902E-3</c:v>
                </c:pt>
                <c:pt idx="12">
                  <c:v>5.6784984243662398E-3</c:v>
                </c:pt>
                <c:pt idx="13">
                  <c:v>4.8212415579803897E-3</c:v>
                </c:pt>
                <c:pt idx="14">
                  <c:v>6.5149661727545603E-3</c:v>
                </c:pt>
                <c:pt idx="15">
                  <c:v>1.37528556522491E-2</c:v>
                </c:pt>
                <c:pt idx="16">
                  <c:v>9.8602655911611495E-3</c:v>
                </c:pt>
                <c:pt idx="17">
                  <c:v>2.94139388502281E-2</c:v>
                </c:pt>
                <c:pt idx="18" formatCode="0.000">
                  <c:v>9.3097685505032102E-3</c:v>
                </c:pt>
                <c:pt idx="19" formatCode="0.000">
                  <c:v>3.7541223526986601E-3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793-4C61-BDE4-B8AB06180A26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calibration!$F$3:$F$23</c:f>
              <c:numCache>
                <c:formatCode>0.0000</c:formatCode>
                <c:ptCount val="21"/>
                <c:pt idx="0">
                  <c:v>3.3154403752457901E-2</c:v>
                </c:pt>
                <c:pt idx="1">
                  <c:v>1.43345982575964E-2</c:v>
                </c:pt>
                <c:pt idx="2">
                  <c:v>1.9737041545963101E-2</c:v>
                </c:pt>
                <c:pt idx="3">
                  <c:v>2.3629413923689099E-2</c:v>
                </c:pt>
                <c:pt idx="4">
                  <c:v>2.3352349155409499E-2</c:v>
                </c:pt>
                <c:pt idx="5">
                  <c:v>1.9277468694701001E-2</c:v>
                </c:pt>
                <c:pt idx="6">
                  <c:v>1.4478880481023E-2</c:v>
                </c:pt>
                <c:pt idx="7">
                  <c:v>9.1860908476934702E-3</c:v>
                </c:pt>
                <c:pt idx="8">
                  <c:v>7.27047978157239E-3</c:v>
                </c:pt>
                <c:pt idx="9">
                  <c:v>6.77105129691932E-3</c:v>
                </c:pt>
                <c:pt idx="10">
                  <c:v>5.3979442955963304E-3</c:v>
                </c:pt>
                <c:pt idx="11">
                  <c:v>4.2237913969842902E-3</c:v>
                </c:pt>
                <c:pt idx="12">
                  <c:v>5.6784984243662398E-3</c:v>
                </c:pt>
                <c:pt idx="13">
                  <c:v>4.8212415579803897E-3</c:v>
                </c:pt>
                <c:pt idx="14">
                  <c:v>6.5149661727545603E-3</c:v>
                </c:pt>
                <c:pt idx="15">
                  <c:v>1.37528556522491E-2</c:v>
                </c:pt>
                <c:pt idx="16">
                  <c:v>9.8602655911611495E-3</c:v>
                </c:pt>
                <c:pt idx="17">
                  <c:v>2.94139388502281E-2</c:v>
                </c:pt>
                <c:pt idx="18" formatCode="0.000">
                  <c:v>9.3097685505032102E-3</c:v>
                </c:pt>
                <c:pt idx="19" formatCode="0.000">
                  <c:v>3.7541223526986601E-3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793-4C61-BDE4-B8AB06180A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Median Amplitude Equation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8.2255133741036712E-2"/>
                  <c:y val="0.1759937785554583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calibration!$G$3:$G$23</c:f>
              <c:numCache>
                <c:formatCode>0.0000</c:formatCode>
                <c:ptCount val="21"/>
                <c:pt idx="0">
                  <c:v>2.2914216154744201E-2</c:v>
                </c:pt>
                <c:pt idx="1">
                  <c:v>7.2966466530169603E-3</c:v>
                </c:pt>
                <c:pt idx="2">
                  <c:v>1.1301251811562101E-2</c:v>
                </c:pt>
                <c:pt idx="3">
                  <c:v>3.0143536797057099E-2</c:v>
                </c:pt>
                <c:pt idx="4">
                  <c:v>2.1759151907210301E-2</c:v>
                </c:pt>
                <c:pt idx="5">
                  <c:v>5.1627678565697001E-3</c:v>
                </c:pt>
                <c:pt idx="6">
                  <c:v>1.4642800293065399E-2</c:v>
                </c:pt>
                <c:pt idx="7">
                  <c:v>5.26397191560033E-3</c:v>
                </c:pt>
                <c:pt idx="8">
                  <c:v>6.8585843273274603E-3</c:v>
                </c:pt>
                <c:pt idx="9">
                  <c:v>5.0494700428746703E-3</c:v>
                </c:pt>
                <c:pt idx="10">
                  <c:v>5.0606462291010196E-3</c:v>
                </c:pt>
                <c:pt idx="11">
                  <c:v>4.0412722569313003E-3</c:v>
                </c:pt>
                <c:pt idx="12">
                  <c:v>4.6667095589632999E-3</c:v>
                </c:pt>
                <c:pt idx="13">
                  <c:v>4.1135640493545804E-3</c:v>
                </c:pt>
                <c:pt idx="14">
                  <c:v>4.26435563054003E-3</c:v>
                </c:pt>
                <c:pt idx="15">
                  <c:v>4.5700514622563203E-3</c:v>
                </c:pt>
                <c:pt idx="16">
                  <c:v>4.3864038070395503E-3</c:v>
                </c:pt>
                <c:pt idx="17">
                  <c:v>9.5407724532447606E-3</c:v>
                </c:pt>
                <c:pt idx="18" formatCode="0.000">
                  <c:v>2.6623638531804101E-3</c:v>
                </c:pt>
                <c:pt idx="19" formatCode="0.000">
                  <c:v>3.5652204100954199E-3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FEF-40B2-81D4-DFB3BC0AC133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calibration!$G$3:$G$23</c:f>
              <c:numCache>
                <c:formatCode>0.0000</c:formatCode>
                <c:ptCount val="21"/>
                <c:pt idx="0">
                  <c:v>2.2914216154744201E-2</c:v>
                </c:pt>
                <c:pt idx="1">
                  <c:v>7.2966466530169603E-3</c:v>
                </c:pt>
                <c:pt idx="2">
                  <c:v>1.1301251811562101E-2</c:v>
                </c:pt>
                <c:pt idx="3">
                  <c:v>3.0143536797057099E-2</c:v>
                </c:pt>
                <c:pt idx="4">
                  <c:v>2.1759151907210301E-2</c:v>
                </c:pt>
                <c:pt idx="5">
                  <c:v>5.1627678565697001E-3</c:v>
                </c:pt>
                <c:pt idx="6">
                  <c:v>1.4642800293065399E-2</c:v>
                </c:pt>
                <c:pt idx="7">
                  <c:v>5.26397191560033E-3</c:v>
                </c:pt>
                <c:pt idx="8">
                  <c:v>6.8585843273274603E-3</c:v>
                </c:pt>
                <c:pt idx="9">
                  <c:v>5.0494700428746703E-3</c:v>
                </c:pt>
                <c:pt idx="10">
                  <c:v>5.0606462291010196E-3</c:v>
                </c:pt>
                <c:pt idx="11">
                  <c:v>4.0412722569313003E-3</c:v>
                </c:pt>
                <c:pt idx="12">
                  <c:v>4.6667095589632999E-3</c:v>
                </c:pt>
                <c:pt idx="13">
                  <c:v>4.1135640493545804E-3</c:v>
                </c:pt>
                <c:pt idx="14">
                  <c:v>4.26435563054003E-3</c:v>
                </c:pt>
                <c:pt idx="15">
                  <c:v>4.5700514622563203E-3</c:v>
                </c:pt>
                <c:pt idx="16">
                  <c:v>4.3864038070395503E-3</c:v>
                </c:pt>
                <c:pt idx="17">
                  <c:v>9.5407724532447606E-3</c:v>
                </c:pt>
                <c:pt idx="18" formatCode="0.000">
                  <c:v>2.6623638531804101E-3</c:v>
                </c:pt>
                <c:pt idx="19" formatCode="0.000">
                  <c:v>3.5652204100954199E-3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FEF-40B2-81D4-DFB3BC0AC1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Median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Ch6 - Imp/s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calibration!$N$3:$N$23</c:f>
              <c:numCache>
                <c:formatCode>0.00</c:formatCode>
                <c:ptCount val="21"/>
                <c:pt idx="0">
                  <c:v>0.8571428571428571</c:v>
                </c:pt>
                <c:pt idx="1">
                  <c:v>0.2</c:v>
                </c:pt>
                <c:pt idx="2">
                  <c:v>0.4</c:v>
                </c:pt>
                <c:pt idx="3">
                  <c:v>0.75</c:v>
                </c:pt>
                <c:pt idx="4">
                  <c:v>1</c:v>
                </c:pt>
                <c:pt idx="5">
                  <c:v>0.375</c:v>
                </c:pt>
                <c:pt idx="6">
                  <c:v>0.2</c:v>
                </c:pt>
                <c:pt idx="14">
                  <c:v>6.6666666666666666E-2</c:v>
                </c:pt>
                <c:pt idx="15">
                  <c:v>0.13333333333333333</c:v>
                </c:pt>
                <c:pt idx="16">
                  <c:v>0.2</c:v>
                </c:pt>
                <c:pt idx="17">
                  <c:v>0.8</c:v>
                </c:pt>
                <c:pt idx="18">
                  <c:v>0.1400000634920924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352-451B-9FEB-BF00245CAA32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calibration!$N$3:$N$23</c:f>
              <c:numCache>
                <c:formatCode>0.00</c:formatCode>
                <c:ptCount val="21"/>
                <c:pt idx="0">
                  <c:v>0.8571428571428571</c:v>
                </c:pt>
                <c:pt idx="1">
                  <c:v>0.2</c:v>
                </c:pt>
                <c:pt idx="2">
                  <c:v>0.4</c:v>
                </c:pt>
                <c:pt idx="3">
                  <c:v>0.75</c:v>
                </c:pt>
                <c:pt idx="4">
                  <c:v>1</c:v>
                </c:pt>
                <c:pt idx="5">
                  <c:v>0.375</c:v>
                </c:pt>
                <c:pt idx="6">
                  <c:v>0.2</c:v>
                </c:pt>
                <c:pt idx="14">
                  <c:v>6.6666666666666666E-2</c:v>
                </c:pt>
                <c:pt idx="15">
                  <c:v>0.13333333333333333</c:v>
                </c:pt>
                <c:pt idx="16">
                  <c:v>0.2</c:v>
                </c:pt>
                <c:pt idx="17">
                  <c:v>0.8</c:v>
                </c:pt>
                <c:pt idx="18">
                  <c:v>0.1400000634920924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352-451B-9FEB-BF00245CAA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Ch5 - Imp/s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calibration!$O$3:$O$23</c:f>
              <c:numCache>
                <c:formatCode>0.00</c:formatCode>
                <c:ptCount val="21"/>
                <c:pt idx="0">
                  <c:v>2.2857142857142856</c:v>
                </c:pt>
                <c:pt idx="1">
                  <c:v>0.8</c:v>
                </c:pt>
                <c:pt idx="2">
                  <c:v>3.2</c:v>
                </c:pt>
                <c:pt idx="3">
                  <c:v>3.625</c:v>
                </c:pt>
                <c:pt idx="4">
                  <c:v>4.666666666666667</c:v>
                </c:pt>
                <c:pt idx="5">
                  <c:v>2.75</c:v>
                </c:pt>
                <c:pt idx="6">
                  <c:v>2.6</c:v>
                </c:pt>
                <c:pt idx="7">
                  <c:v>0.8</c:v>
                </c:pt>
                <c:pt idx="8">
                  <c:v>0.25</c:v>
                </c:pt>
                <c:pt idx="9">
                  <c:v>0.16666666666666666</c:v>
                </c:pt>
                <c:pt idx="10">
                  <c:v>0.1</c:v>
                </c:pt>
                <c:pt idx="12">
                  <c:v>0.05</c:v>
                </c:pt>
                <c:pt idx="13">
                  <c:v>0.05</c:v>
                </c:pt>
                <c:pt idx="14">
                  <c:v>0.33333333333333331</c:v>
                </c:pt>
                <c:pt idx="15">
                  <c:v>2</c:v>
                </c:pt>
                <c:pt idx="16">
                  <c:v>1</c:v>
                </c:pt>
                <c:pt idx="17">
                  <c:v>4.0666666666666664</c:v>
                </c:pt>
                <c:pt idx="18">
                  <c:v>0.64000029024956528</c:v>
                </c:pt>
                <c:pt idx="19">
                  <c:v>3.0000006802722641E-2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E41-448F-9398-BAE9519A9CDD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calibration!$O$3:$O$23</c:f>
              <c:numCache>
                <c:formatCode>0.00</c:formatCode>
                <c:ptCount val="21"/>
                <c:pt idx="0">
                  <c:v>2.2857142857142856</c:v>
                </c:pt>
                <c:pt idx="1">
                  <c:v>0.8</c:v>
                </c:pt>
                <c:pt idx="2">
                  <c:v>3.2</c:v>
                </c:pt>
                <c:pt idx="3">
                  <c:v>3.625</c:v>
                </c:pt>
                <c:pt idx="4">
                  <c:v>4.666666666666667</c:v>
                </c:pt>
                <c:pt idx="5">
                  <c:v>2.75</c:v>
                </c:pt>
                <c:pt idx="6">
                  <c:v>2.6</c:v>
                </c:pt>
                <c:pt idx="7">
                  <c:v>0.8</c:v>
                </c:pt>
                <c:pt idx="8">
                  <c:v>0.25</c:v>
                </c:pt>
                <c:pt idx="9">
                  <c:v>0.16666666666666666</c:v>
                </c:pt>
                <c:pt idx="10">
                  <c:v>0.1</c:v>
                </c:pt>
                <c:pt idx="12">
                  <c:v>0.05</c:v>
                </c:pt>
                <c:pt idx="13">
                  <c:v>0.05</c:v>
                </c:pt>
                <c:pt idx="14">
                  <c:v>0.33333333333333331</c:v>
                </c:pt>
                <c:pt idx="15">
                  <c:v>2</c:v>
                </c:pt>
                <c:pt idx="16">
                  <c:v>1</c:v>
                </c:pt>
                <c:pt idx="17">
                  <c:v>4.0666666666666664</c:v>
                </c:pt>
                <c:pt idx="18">
                  <c:v>0.64000029024956528</c:v>
                </c:pt>
                <c:pt idx="19">
                  <c:v>3.0000006802722641E-2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E41-448F-9398-BAE9519A9C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Ch4 - Imp/s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calibration!$P$3:$P$23</c:f>
              <c:numCache>
                <c:formatCode>0.00</c:formatCode>
                <c:ptCount val="21"/>
                <c:pt idx="0">
                  <c:v>13.714285714285714</c:v>
                </c:pt>
                <c:pt idx="1">
                  <c:v>6.5</c:v>
                </c:pt>
                <c:pt idx="2">
                  <c:v>8.1999999999999993</c:v>
                </c:pt>
                <c:pt idx="3">
                  <c:v>12.75</c:v>
                </c:pt>
                <c:pt idx="4">
                  <c:v>13.666666666666666</c:v>
                </c:pt>
                <c:pt idx="5">
                  <c:v>7.25</c:v>
                </c:pt>
                <c:pt idx="6">
                  <c:v>7.8</c:v>
                </c:pt>
                <c:pt idx="7">
                  <c:v>4</c:v>
                </c:pt>
                <c:pt idx="8">
                  <c:v>3</c:v>
                </c:pt>
                <c:pt idx="9">
                  <c:v>2.8333333333333335</c:v>
                </c:pt>
                <c:pt idx="10">
                  <c:v>1.1000000000000001</c:v>
                </c:pt>
                <c:pt idx="11">
                  <c:v>0.2</c:v>
                </c:pt>
                <c:pt idx="12">
                  <c:v>0.9</c:v>
                </c:pt>
                <c:pt idx="13">
                  <c:v>0.55000000000000004</c:v>
                </c:pt>
                <c:pt idx="14">
                  <c:v>1.7333333333333334</c:v>
                </c:pt>
                <c:pt idx="15">
                  <c:v>7.333333333333333</c:v>
                </c:pt>
                <c:pt idx="16">
                  <c:v>3.4</c:v>
                </c:pt>
                <c:pt idx="17">
                  <c:v>12.466666666666667</c:v>
                </c:pt>
                <c:pt idx="18">
                  <c:v>2.9600013424042393</c:v>
                </c:pt>
                <c:pt idx="19">
                  <c:v>0.17000003854876164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557-4BAB-9032-5DE494D45B54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calibration!$P$3:$P$23</c:f>
              <c:numCache>
                <c:formatCode>0.00</c:formatCode>
                <c:ptCount val="21"/>
                <c:pt idx="0">
                  <c:v>13.714285714285714</c:v>
                </c:pt>
                <c:pt idx="1">
                  <c:v>6.5</c:v>
                </c:pt>
                <c:pt idx="2">
                  <c:v>8.1999999999999993</c:v>
                </c:pt>
                <c:pt idx="3">
                  <c:v>12.75</c:v>
                </c:pt>
                <c:pt idx="4">
                  <c:v>13.666666666666666</c:v>
                </c:pt>
                <c:pt idx="5">
                  <c:v>7.25</c:v>
                </c:pt>
                <c:pt idx="6">
                  <c:v>7.8</c:v>
                </c:pt>
                <c:pt idx="7">
                  <c:v>4</c:v>
                </c:pt>
                <c:pt idx="8">
                  <c:v>3</c:v>
                </c:pt>
                <c:pt idx="9">
                  <c:v>2.8333333333333335</c:v>
                </c:pt>
                <c:pt idx="10">
                  <c:v>1.1000000000000001</c:v>
                </c:pt>
                <c:pt idx="11">
                  <c:v>0.2</c:v>
                </c:pt>
                <c:pt idx="12">
                  <c:v>0.9</c:v>
                </c:pt>
                <c:pt idx="13">
                  <c:v>0.55000000000000004</c:v>
                </c:pt>
                <c:pt idx="14">
                  <c:v>1.7333333333333334</c:v>
                </c:pt>
                <c:pt idx="15">
                  <c:v>7.333333333333333</c:v>
                </c:pt>
                <c:pt idx="16">
                  <c:v>3.4</c:v>
                </c:pt>
                <c:pt idx="17">
                  <c:v>12.466666666666667</c:v>
                </c:pt>
                <c:pt idx="18">
                  <c:v>2.9600013424042393</c:v>
                </c:pt>
                <c:pt idx="19">
                  <c:v>0.17000003854876164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557-4BAB-9032-5DE494D45B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Ch3 - Imp/s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calibration!$Q$3:$Q$23</c:f>
              <c:numCache>
                <c:formatCode>0.00</c:formatCode>
                <c:ptCount val="21"/>
                <c:pt idx="0">
                  <c:v>37.714285714285715</c:v>
                </c:pt>
                <c:pt idx="1">
                  <c:v>19.5</c:v>
                </c:pt>
                <c:pt idx="2">
                  <c:v>27.8</c:v>
                </c:pt>
                <c:pt idx="3">
                  <c:v>30.75</c:v>
                </c:pt>
                <c:pt idx="4">
                  <c:v>34.333333333333336</c:v>
                </c:pt>
                <c:pt idx="5">
                  <c:v>20.625</c:v>
                </c:pt>
                <c:pt idx="6">
                  <c:v>15.6</c:v>
                </c:pt>
                <c:pt idx="7">
                  <c:v>12.1</c:v>
                </c:pt>
                <c:pt idx="8">
                  <c:v>14.25</c:v>
                </c:pt>
                <c:pt idx="9">
                  <c:v>12.666666666666666</c:v>
                </c:pt>
                <c:pt idx="10">
                  <c:v>6.2</c:v>
                </c:pt>
                <c:pt idx="11">
                  <c:v>3.2</c:v>
                </c:pt>
                <c:pt idx="12">
                  <c:v>7.55</c:v>
                </c:pt>
                <c:pt idx="13">
                  <c:v>5.15</c:v>
                </c:pt>
                <c:pt idx="14">
                  <c:v>7.4666666666666668</c:v>
                </c:pt>
                <c:pt idx="15">
                  <c:v>18.600000000000001</c:v>
                </c:pt>
                <c:pt idx="16">
                  <c:v>12.25</c:v>
                </c:pt>
                <c:pt idx="17">
                  <c:v>32.666666666666664</c:v>
                </c:pt>
                <c:pt idx="18">
                  <c:v>9.5000043083919845</c:v>
                </c:pt>
                <c:pt idx="19">
                  <c:v>2.2100005011339015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123-4390-8FAE-A72D1997182E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calibration!$Q$3:$Q$23</c:f>
              <c:numCache>
                <c:formatCode>0.00</c:formatCode>
                <c:ptCount val="21"/>
                <c:pt idx="0">
                  <c:v>37.714285714285715</c:v>
                </c:pt>
                <c:pt idx="1">
                  <c:v>19.5</c:v>
                </c:pt>
                <c:pt idx="2">
                  <c:v>27.8</c:v>
                </c:pt>
                <c:pt idx="3">
                  <c:v>30.75</c:v>
                </c:pt>
                <c:pt idx="4">
                  <c:v>34.333333333333336</c:v>
                </c:pt>
                <c:pt idx="5">
                  <c:v>20.625</c:v>
                </c:pt>
                <c:pt idx="6">
                  <c:v>15.6</c:v>
                </c:pt>
                <c:pt idx="7">
                  <c:v>12.1</c:v>
                </c:pt>
                <c:pt idx="8">
                  <c:v>14.25</c:v>
                </c:pt>
                <c:pt idx="9">
                  <c:v>12.666666666666666</c:v>
                </c:pt>
                <c:pt idx="10">
                  <c:v>6.2</c:v>
                </c:pt>
                <c:pt idx="11">
                  <c:v>3.2</c:v>
                </c:pt>
                <c:pt idx="12">
                  <c:v>7.55</c:v>
                </c:pt>
                <c:pt idx="13">
                  <c:v>5.15</c:v>
                </c:pt>
                <c:pt idx="14">
                  <c:v>7.4666666666666668</c:v>
                </c:pt>
                <c:pt idx="15">
                  <c:v>18.600000000000001</c:v>
                </c:pt>
                <c:pt idx="16">
                  <c:v>12.25</c:v>
                </c:pt>
                <c:pt idx="17">
                  <c:v>32.666666666666664</c:v>
                </c:pt>
                <c:pt idx="18">
                  <c:v>9.5000043083919845</c:v>
                </c:pt>
                <c:pt idx="19">
                  <c:v>2.2100005011339015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123-4390-8FAE-A72D199718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Ch2- Imp/s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calibration!$R$3:$R$23</c:f>
              <c:numCache>
                <c:formatCode>0.00</c:formatCode>
                <c:ptCount val="21"/>
                <c:pt idx="0">
                  <c:v>86.285714285714292</c:v>
                </c:pt>
                <c:pt idx="1">
                  <c:v>62.8</c:v>
                </c:pt>
                <c:pt idx="2">
                  <c:v>82.8</c:v>
                </c:pt>
                <c:pt idx="3">
                  <c:v>61.625</c:v>
                </c:pt>
                <c:pt idx="4">
                  <c:v>107.66666666666667</c:v>
                </c:pt>
                <c:pt idx="5">
                  <c:v>69.875</c:v>
                </c:pt>
                <c:pt idx="6">
                  <c:v>69</c:v>
                </c:pt>
                <c:pt idx="7">
                  <c:v>63.1</c:v>
                </c:pt>
                <c:pt idx="8">
                  <c:v>68.75</c:v>
                </c:pt>
                <c:pt idx="9">
                  <c:v>54.666666666666664</c:v>
                </c:pt>
                <c:pt idx="10">
                  <c:v>60.7</c:v>
                </c:pt>
                <c:pt idx="11">
                  <c:v>53.6</c:v>
                </c:pt>
                <c:pt idx="12">
                  <c:v>59.8</c:v>
                </c:pt>
                <c:pt idx="13">
                  <c:v>48.6</c:v>
                </c:pt>
                <c:pt idx="14">
                  <c:v>54.06666666666667</c:v>
                </c:pt>
                <c:pt idx="15">
                  <c:v>68.8</c:v>
                </c:pt>
                <c:pt idx="16">
                  <c:v>57.75</c:v>
                </c:pt>
                <c:pt idx="17">
                  <c:v>67.933333333333337</c:v>
                </c:pt>
                <c:pt idx="18">
                  <c:v>37.660017079372857</c:v>
                </c:pt>
                <c:pt idx="19">
                  <c:v>29.650006723357546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CA4-45B8-B254-87973F1E7E5A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calibration!$R$3:$R$23</c:f>
              <c:numCache>
                <c:formatCode>0.00</c:formatCode>
                <c:ptCount val="21"/>
                <c:pt idx="0">
                  <c:v>86.285714285714292</c:v>
                </c:pt>
                <c:pt idx="1">
                  <c:v>62.8</c:v>
                </c:pt>
                <c:pt idx="2">
                  <c:v>82.8</c:v>
                </c:pt>
                <c:pt idx="3">
                  <c:v>61.625</c:v>
                </c:pt>
                <c:pt idx="4">
                  <c:v>107.66666666666667</c:v>
                </c:pt>
                <c:pt idx="5">
                  <c:v>69.875</c:v>
                </c:pt>
                <c:pt idx="6">
                  <c:v>69</c:v>
                </c:pt>
                <c:pt idx="7">
                  <c:v>63.1</c:v>
                </c:pt>
                <c:pt idx="8">
                  <c:v>68.75</c:v>
                </c:pt>
                <c:pt idx="9">
                  <c:v>54.666666666666664</c:v>
                </c:pt>
                <c:pt idx="10">
                  <c:v>60.7</c:v>
                </c:pt>
                <c:pt idx="11">
                  <c:v>53.6</c:v>
                </c:pt>
                <c:pt idx="12">
                  <c:v>59.8</c:v>
                </c:pt>
                <c:pt idx="13">
                  <c:v>48.6</c:v>
                </c:pt>
                <c:pt idx="14">
                  <c:v>54.06666666666667</c:v>
                </c:pt>
                <c:pt idx="15">
                  <c:v>68.8</c:v>
                </c:pt>
                <c:pt idx="16">
                  <c:v>57.75</c:v>
                </c:pt>
                <c:pt idx="17">
                  <c:v>67.933333333333337</c:v>
                </c:pt>
                <c:pt idx="18">
                  <c:v>37.660017079372857</c:v>
                </c:pt>
                <c:pt idx="19">
                  <c:v>29.650006723357546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CA4-45B8-B254-87973F1E7E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Ch1- Imp/s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calibration!$S$3:$S$23</c:f>
              <c:numCache>
                <c:formatCode>0.00</c:formatCode>
                <c:ptCount val="21"/>
                <c:pt idx="0">
                  <c:v>139.71428571428572</c:v>
                </c:pt>
                <c:pt idx="1">
                  <c:v>169</c:v>
                </c:pt>
                <c:pt idx="2">
                  <c:v>176.4</c:v>
                </c:pt>
                <c:pt idx="3">
                  <c:v>166.125</c:v>
                </c:pt>
                <c:pt idx="4">
                  <c:v>186.33333333333334</c:v>
                </c:pt>
                <c:pt idx="5">
                  <c:v>173</c:v>
                </c:pt>
                <c:pt idx="6">
                  <c:v>188.6</c:v>
                </c:pt>
                <c:pt idx="7">
                  <c:v>188.1</c:v>
                </c:pt>
                <c:pt idx="8">
                  <c:v>207.5</c:v>
                </c:pt>
                <c:pt idx="9">
                  <c:v>204.66666666666666</c:v>
                </c:pt>
                <c:pt idx="10">
                  <c:v>191.1</c:v>
                </c:pt>
                <c:pt idx="11">
                  <c:v>202</c:v>
                </c:pt>
                <c:pt idx="12">
                  <c:v>180.85</c:v>
                </c:pt>
                <c:pt idx="13">
                  <c:v>175.05</c:v>
                </c:pt>
                <c:pt idx="14">
                  <c:v>187.2</c:v>
                </c:pt>
                <c:pt idx="15">
                  <c:v>171.33333333333334</c:v>
                </c:pt>
                <c:pt idx="16">
                  <c:v>167.8</c:v>
                </c:pt>
                <c:pt idx="17">
                  <c:v>150.53333333333333</c:v>
                </c:pt>
                <c:pt idx="18">
                  <c:v>117.32005320637343</c:v>
                </c:pt>
                <c:pt idx="19">
                  <c:v>148.97003378005306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B5F-4FB5-9059-56A920A2E454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5.6677282585334401E-2"/>
                  <c:y val="-0.1350460114183826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calibration!$S$3:$S$23</c:f>
              <c:numCache>
                <c:formatCode>0.00</c:formatCode>
                <c:ptCount val="21"/>
                <c:pt idx="0">
                  <c:v>139.71428571428572</c:v>
                </c:pt>
                <c:pt idx="1">
                  <c:v>169</c:v>
                </c:pt>
                <c:pt idx="2">
                  <c:v>176.4</c:v>
                </c:pt>
                <c:pt idx="3">
                  <c:v>166.125</c:v>
                </c:pt>
                <c:pt idx="4">
                  <c:v>186.33333333333334</c:v>
                </c:pt>
                <c:pt idx="5">
                  <c:v>173</c:v>
                </c:pt>
                <c:pt idx="6">
                  <c:v>188.6</c:v>
                </c:pt>
                <c:pt idx="7">
                  <c:v>188.1</c:v>
                </c:pt>
                <c:pt idx="8">
                  <c:v>207.5</c:v>
                </c:pt>
                <c:pt idx="9">
                  <c:v>204.66666666666666</c:v>
                </c:pt>
                <c:pt idx="10">
                  <c:v>191.1</c:v>
                </c:pt>
                <c:pt idx="11">
                  <c:v>202</c:v>
                </c:pt>
                <c:pt idx="12">
                  <c:v>180.85</c:v>
                </c:pt>
                <c:pt idx="13">
                  <c:v>175.05</c:v>
                </c:pt>
                <c:pt idx="14">
                  <c:v>187.2</c:v>
                </c:pt>
                <c:pt idx="15">
                  <c:v>171.33333333333334</c:v>
                </c:pt>
                <c:pt idx="16">
                  <c:v>167.8</c:v>
                </c:pt>
                <c:pt idx="17">
                  <c:v>150.53333333333333</c:v>
                </c:pt>
                <c:pt idx="18">
                  <c:v>117.32005320637343</c:v>
                </c:pt>
                <c:pt idx="19">
                  <c:v>148.97003378005306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B5F-4FB5-9059-56A920A2E4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Ch6 - Imp/s * Max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calibration!$T$3:$T$23</c:f>
              <c:numCache>
                <c:formatCode>0.00</c:formatCode>
                <c:ptCount val="21"/>
                <c:pt idx="0">
                  <c:v>8.984494301195399E-2</c:v>
                </c:pt>
                <c:pt idx="1">
                  <c:v>1.0284460620237581E-2</c:v>
                </c:pt>
                <c:pt idx="2">
                  <c:v>1.8739975134602762E-2</c:v>
                </c:pt>
                <c:pt idx="3">
                  <c:v>3.8815793791857747E-2</c:v>
                </c:pt>
                <c:pt idx="4">
                  <c:v>4.4543546788178297E-2</c:v>
                </c:pt>
                <c:pt idx="5">
                  <c:v>3.5864685900432638E-2</c:v>
                </c:pt>
                <c:pt idx="6">
                  <c:v>5.5449770411289609E-3</c:v>
                </c:pt>
                <c:pt idx="15">
                  <c:v>6.8670601298223997E-3</c:v>
                </c:pt>
                <c:pt idx="16">
                  <c:v>1.0086709095523141E-2</c:v>
                </c:pt>
                <c:pt idx="17">
                  <c:v>7.747256978540977E-2</c:v>
                </c:pt>
                <c:pt idx="18">
                  <c:v>1.452996263730735E-2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A8A-44AE-98F4-018346AC8251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calibration!$T$3:$T$23</c:f>
              <c:numCache>
                <c:formatCode>0.00</c:formatCode>
                <c:ptCount val="21"/>
                <c:pt idx="0">
                  <c:v>8.984494301195399E-2</c:v>
                </c:pt>
                <c:pt idx="1">
                  <c:v>1.0284460620237581E-2</c:v>
                </c:pt>
                <c:pt idx="2">
                  <c:v>1.8739975134602762E-2</c:v>
                </c:pt>
                <c:pt idx="3">
                  <c:v>3.8815793791857747E-2</c:v>
                </c:pt>
                <c:pt idx="4">
                  <c:v>4.4543546788178297E-2</c:v>
                </c:pt>
                <c:pt idx="5">
                  <c:v>3.5864685900432638E-2</c:v>
                </c:pt>
                <c:pt idx="6">
                  <c:v>5.5449770411289609E-3</c:v>
                </c:pt>
                <c:pt idx="15">
                  <c:v>6.8670601298223997E-3</c:v>
                </c:pt>
                <c:pt idx="16">
                  <c:v>1.0086709095523141E-2</c:v>
                </c:pt>
                <c:pt idx="17">
                  <c:v>7.747256978540977E-2</c:v>
                </c:pt>
                <c:pt idx="18">
                  <c:v>1.452996263730735E-2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A8A-44AE-98F4-018346AC82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Ch5 - Imp/s * Max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calibration!$U$3:$U$23</c:f>
              <c:numCache>
                <c:formatCode>0.00</c:formatCode>
                <c:ptCount val="21"/>
                <c:pt idx="0">
                  <c:v>0.23958651469854397</c:v>
                </c:pt>
                <c:pt idx="1">
                  <c:v>4.1137842480950322E-2</c:v>
                </c:pt>
                <c:pt idx="2">
                  <c:v>0.1499198010768221</c:v>
                </c:pt>
                <c:pt idx="3">
                  <c:v>0.18760966999397913</c:v>
                </c:pt>
                <c:pt idx="4">
                  <c:v>0.20786988501149872</c:v>
                </c:pt>
                <c:pt idx="5">
                  <c:v>0.26300769660317264</c:v>
                </c:pt>
                <c:pt idx="6">
                  <c:v>7.2084701534676485E-2</c:v>
                </c:pt>
                <c:pt idx="7">
                  <c:v>1.7984892003033839E-2</c:v>
                </c:pt>
                <c:pt idx="14">
                  <c:v>8.0054026560360658E-3</c:v>
                </c:pt>
                <c:pt idx="15">
                  <c:v>0.103005901947336</c:v>
                </c:pt>
                <c:pt idx="16">
                  <c:v>5.04335454776157E-2</c:v>
                </c:pt>
                <c:pt idx="17">
                  <c:v>0.39381889640916629</c:v>
                </c:pt>
                <c:pt idx="18">
                  <c:v>6.6422686341976456E-2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C77-4914-84F6-08EDFF0DCD27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calibration!$U$3:$U$23</c:f>
              <c:numCache>
                <c:formatCode>0.00</c:formatCode>
                <c:ptCount val="21"/>
                <c:pt idx="0">
                  <c:v>0.23958651469854397</c:v>
                </c:pt>
                <c:pt idx="1">
                  <c:v>4.1137842480950322E-2</c:v>
                </c:pt>
                <c:pt idx="2">
                  <c:v>0.1499198010768221</c:v>
                </c:pt>
                <c:pt idx="3">
                  <c:v>0.18760966999397913</c:v>
                </c:pt>
                <c:pt idx="4">
                  <c:v>0.20786988501149872</c:v>
                </c:pt>
                <c:pt idx="5">
                  <c:v>0.26300769660317264</c:v>
                </c:pt>
                <c:pt idx="6">
                  <c:v>7.2084701534676485E-2</c:v>
                </c:pt>
                <c:pt idx="7">
                  <c:v>1.7984892003033839E-2</c:v>
                </c:pt>
                <c:pt idx="14">
                  <c:v>8.0054026560360658E-3</c:v>
                </c:pt>
                <c:pt idx="15">
                  <c:v>0.103005901947336</c:v>
                </c:pt>
                <c:pt idx="16">
                  <c:v>5.04335454776157E-2</c:v>
                </c:pt>
                <c:pt idx="17">
                  <c:v>0.39381889640916629</c:v>
                </c:pt>
                <c:pt idx="18">
                  <c:v>6.6422686341976456E-2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C77-4914-84F6-08EDFF0DCD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Ch4 - Imp/s * Max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calibration!$V$3:$V$23</c:f>
              <c:numCache>
                <c:formatCode>0.00</c:formatCode>
                <c:ptCount val="21"/>
                <c:pt idx="0">
                  <c:v>1.4375190881912638</c:v>
                </c:pt>
                <c:pt idx="1">
                  <c:v>0.33424497015772137</c:v>
                </c:pt>
                <c:pt idx="2">
                  <c:v>0.38416949025935654</c:v>
                </c:pt>
                <c:pt idx="3">
                  <c:v>0.65986849446158169</c:v>
                </c:pt>
                <c:pt idx="4">
                  <c:v>0.60876180610510333</c:v>
                </c:pt>
                <c:pt idx="5">
                  <c:v>0.6933839274083643</c:v>
                </c:pt>
                <c:pt idx="6">
                  <c:v>0.21625410460402944</c:v>
                </c:pt>
                <c:pt idx="7">
                  <c:v>8.9924460015169197E-2</c:v>
                </c:pt>
                <c:pt idx="8">
                  <c:v>3.2691026650086601E-2</c:v>
                </c:pt>
                <c:pt idx="9">
                  <c:v>3.2062656312361215E-2</c:v>
                </c:pt>
                <c:pt idx="10">
                  <c:v>1.1688036291366491E-2</c:v>
                </c:pt>
                <c:pt idx="11">
                  <c:v>1.082085140323868E-3</c:v>
                </c:pt>
                <c:pt idx="12">
                  <c:v>1.260285812403201E-2</c:v>
                </c:pt>
                <c:pt idx="13">
                  <c:v>5.9899404677243454E-3</c:v>
                </c:pt>
                <c:pt idx="14">
                  <c:v>4.1628093811387545E-2</c:v>
                </c:pt>
                <c:pt idx="15">
                  <c:v>0.37768830714023199</c:v>
                </c:pt>
                <c:pt idx="16">
                  <c:v>0.17147405462389337</c:v>
                </c:pt>
                <c:pt idx="17">
                  <c:v>1.2072808791559688</c:v>
                </c:pt>
                <c:pt idx="18">
                  <c:v>0.30720492433164109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D26-478C-B192-486CB10221D6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calibration!$V$3:$V$23</c:f>
              <c:numCache>
                <c:formatCode>0.00</c:formatCode>
                <c:ptCount val="21"/>
                <c:pt idx="0">
                  <c:v>1.4375190881912638</c:v>
                </c:pt>
                <c:pt idx="1">
                  <c:v>0.33424497015772137</c:v>
                </c:pt>
                <c:pt idx="2">
                  <c:v>0.38416949025935654</c:v>
                </c:pt>
                <c:pt idx="3">
                  <c:v>0.65986849446158169</c:v>
                </c:pt>
                <c:pt idx="4">
                  <c:v>0.60876180610510333</c:v>
                </c:pt>
                <c:pt idx="5">
                  <c:v>0.6933839274083643</c:v>
                </c:pt>
                <c:pt idx="6">
                  <c:v>0.21625410460402944</c:v>
                </c:pt>
                <c:pt idx="7">
                  <c:v>8.9924460015169197E-2</c:v>
                </c:pt>
                <c:pt idx="8">
                  <c:v>3.2691026650086601E-2</c:v>
                </c:pt>
                <c:pt idx="9">
                  <c:v>3.2062656312361215E-2</c:v>
                </c:pt>
                <c:pt idx="10">
                  <c:v>1.1688036291366491E-2</c:v>
                </c:pt>
                <c:pt idx="11">
                  <c:v>1.082085140323868E-3</c:v>
                </c:pt>
                <c:pt idx="12">
                  <c:v>1.260285812403201E-2</c:v>
                </c:pt>
                <c:pt idx="13">
                  <c:v>5.9899404677243454E-3</c:v>
                </c:pt>
                <c:pt idx="14">
                  <c:v>4.1628093811387545E-2</c:v>
                </c:pt>
                <c:pt idx="15">
                  <c:v>0.37768830714023199</c:v>
                </c:pt>
                <c:pt idx="16">
                  <c:v>0.17147405462389337</c:v>
                </c:pt>
                <c:pt idx="17">
                  <c:v>1.2072808791559688</c:v>
                </c:pt>
                <c:pt idx="18">
                  <c:v>0.30720492433164109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D26-478C-B192-486CB10221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Ch3 - Imp/s * Max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calibration!$W$3:$W$23</c:f>
              <c:numCache>
                <c:formatCode>0.00</c:formatCode>
                <c:ptCount val="21"/>
                <c:pt idx="0">
                  <c:v>3.9531774925259757</c:v>
                </c:pt>
                <c:pt idx="1">
                  <c:v>1.002734910473164</c:v>
                </c:pt>
                <c:pt idx="2">
                  <c:v>1.3024282718548919</c:v>
                </c:pt>
                <c:pt idx="3">
                  <c:v>1.5914475454661676</c:v>
                </c:pt>
                <c:pt idx="4">
                  <c:v>1.5293284397274549</c:v>
                </c:pt>
                <c:pt idx="5">
                  <c:v>1.9725577245237949</c:v>
                </c:pt>
                <c:pt idx="6">
                  <c:v>0.43250820920805888</c:v>
                </c:pt>
                <c:pt idx="7">
                  <c:v>0.27202149154588684</c:v>
                </c:pt>
                <c:pt idx="8">
                  <c:v>0.15528237658791136</c:v>
                </c:pt>
                <c:pt idx="9">
                  <c:v>0.14333893410232074</c:v>
                </c:pt>
                <c:pt idx="10">
                  <c:v>6.5878022733156585E-2</c:v>
                </c:pt>
                <c:pt idx="11">
                  <c:v>1.7313362245181887E-2</c:v>
                </c:pt>
                <c:pt idx="12">
                  <c:v>0.1057239764849352</c:v>
                </c:pt>
                <c:pt idx="13">
                  <c:v>5.6087624379600687E-2</c:v>
                </c:pt>
                <c:pt idx="14">
                  <c:v>0.1793210194952079</c:v>
                </c:pt>
                <c:pt idx="15">
                  <c:v>0.95795488811022489</c:v>
                </c:pt>
                <c:pt idx="16">
                  <c:v>0.6178109321007923</c:v>
                </c:pt>
                <c:pt idx="17">
                  <c:v>3.163463266237565</c:v>
                </c:pt>
                <c:pt idx="18">
                  <c:v>0.98596175038871292</c:v>
                </c:pt>
                <c:pt idx="19">
                  <c:v>3.8329350515515399E-2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F39-4083-A5FB-40E5EC1FE7E3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calibration!$W$3:$W$23</c:f>
              <c:numCache>
                <c:formatCode>0.00</c:formatCode>
                <c:ptCount val="21"/>
                <c:pt idx="0">
                  <c:v>3.9531774925259757</c:v>
                </c:pt>
                <c:pt idx="1">
                  <c:v>1.002734910473164</c:v>
                </c:pt>
                <c:pt idx="2">
                  <c:v>1.3024282718548919</c:v>
                </c:pt>
                <c:pt idx="3">
                  <c:v>1.5914475454661676</c:v>
                </c:pt>
                <c:pt idx="4">
                  <c:v>1.5293284397274549</c:v>
                </c:pt>
                <c:pt idx="5">
                  <c:v>1.9725577245237949</c:v>
                </c:pt>
                <c:pt idx="6">
                  <c:v>0.43250820920805888</c:v>
                </c:pt>
                <c:pt idx="7">
                  <c:v>0.27202149154588684</c:v>
                </c:pt>
                <c:pt idx="8">
                  <c:v>0.15528237658791136</c:v>
                </c:pt>
                <c:pt idx="9">
                  <c:v>0.14333893410232074</c:v>
                </c:pt>
                <c:pt idx="10">
                  <c:v>6.5878022733156585E-2</c:v>
                </c:pt>
                <c:pt idx="11">
                  <c:v>1.7313362245181887E-2</c:v>
                </c:pt>
                <c:pt idx="12">
                  <c:v>0.1057239764849352</c:v>
                </c:pt>
                <c:pt idx="13">
                  <c:v>5.6087624379600687E-2</c:v>
                </c:pt>
                <c:pt idx="14">
                  <c:v>0.1793210194952079</c:v>
                </c:pt>
                <c:pt idx="15">
                  <c:v>0.95795488811022489</c:v>
                </c:pt>
                <c:pt idx="16">
                  <c:v>0.6178109321007923</c:v>
                </c:pt>
                <c:pt idx="17">
                  <c:v>3.163463266237565</c:v>
                </c:pt>
                <c:pt idx="18">
                  <c:v>0.98596175038871292</c:v>
                </c:pt>
                <c:pt idx="19">
                  <c:v>3.8329350515515399E-2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F39-4083-A5FB-40E5EC1FE7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Ch2 - Imp/s * Max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calibration!$X$3:$X$23</c:f>
              <c:numCache>
                <c:formatCode>0.00</c:formatCode>
                <c:ptCount val="21"/>
                <c:pt idx="0">
                  <c:v>9.0443909298700369</c:v>
                </c:pt>
                <c:pt idx="1">
                  <c:v>3.2293206347546</c:v>
                </c:pt>
                <c:pt idx="2">
                  <c:v>3.879174852862771</c:v>
                </c:pt>
                <c:pt idx="3">
                  <c:v>3.1893643898976451</c:v>
                </c:pt>
                <c:pt idx="4">
                  <c:v>4.7958552041938631</c:v>
                </c:pt>
                <c:pt idx="5">
                  <c:v>6.6827864727806139</c:v>
                </c:pt>
                <c:pt idx="6">
                  <c:v>1.9130170791894914</c:v>
                </c:pt>
                <c:pt idx="7">
                  <c:v>1.4185583567392941</c:v>
                </c:pt>
                <c:pt idx="8">
                  <c:v>0.74916936073115126</c:v>
                </c:pt>
                <c:pt idx="9">
                  <c:v>0.61862066296791052</c:v>
                </c:pt>
                <c:pt idx="10">
                  <c:v>0.64496709353267823</c:v>
                </c:pt>
                <c:pt idx="11">
                  <c:v>0.28999881760679663</c:v>
                </c:pt>
                <c:pt idx="12">
                  <c:v>0.83738990646346023</c:v>
                </c:pt>
                <c:pt idx="13">
                  <c:v>0.52929292132982397</c:v>
                </c:pt>
                <c:pt idx="14">
                  <c:v>1.29847631080905</c:v>
                </c:pt>
                <c:pt idx="15">
                  <c:v>3.5434030269883583</c:v>
                </c:pt>
                <c:pt idx="16">
                  <c:v>2.9125372513323069</c:v>
                </c:pt>
                <c:pt idx="17">
                  <c:v>6.5787123842777122</c:v>
                </c:pt>
                <c:pt idx="18">
                  <c:v>3.9085599494356771</c:v>
                </c:pt>
                <c:pt idx="19">
                  <c:v>0.51423766641856639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5DA-456F-BF87-60219BA5844A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calibration!$X$3:$X$23</c:f>
              <c:numCache>
                <c:formatCode>0.00</c:formatCode>
                <c:ptCount val="21"/>
                <c:pt idx="0">
                  <c:v>9.0443909298700369</c:v>
                </c:pt>
                <c:pt idx="1">
                  <c:v>3.2293206347546</c:v>
                </c:pt>
                <c:pt idx="2">
                  <c:v>3.879174852862771</c:v>
                </c:pt>
                <c:pt idx="3">
                  <c:v>3.1893643898976451</c:v>
                </c:pt>
                <c:pt idx="4">
                  <c:v>4.7958552041938631</c:v>
                </c:pt>
                <c:pt idx="5">
                  <c:v>6.6827864727806139</c:v>
                </c:pt>
                <c:pt idx="6">
                  <c:v>1.9130170791894914</c:v>
                </c:pt>
                <c:pt idx="7">
                  <c:v>1.4185583567392941</c:v>
                </c:pt>
                <c:pt idx="8">
                  <c:v>0.74916936073115126</c:v>
                </c:pt>
                <c:pt idx="9">
                  <c:v>0.61862066296791052</c:v>
                </c:pt>
                <c:pt idx="10">
                  <c:v>0.64496709353267823</c:v>
                </c:pt>
                <c:pt idx="11">
                  <c:v>0.28999881760679663</c:v>
                </c:pt>
                <c:pt idx="12">
                  <c:v>0.83738990646346023</c:v>
                </c:pt>
                <c:pt idx="13">
                  <c:v>0.52929292132982397</c:v>
                </c:pt>
                <c:pt idx="14">
                  <c:v>1.29847631080905</c:v>
                </c:pt>
                <c:pt idx="15">
                  <c:v>3.5434030269883583</c:v>
                </c:pt>
                <c:pt idx="16">
                  <c:v>2.9125372513323069</c:v>
                </c:pt>
                <c:pt idx="17">
                  <c:v>6.5787123842777122</c:v>
                </c:pt>
                <c:pt idx="18">
                  <c:v>3.9085599494356771</c:v>
                </c:pt>
                <c:pt idx="19">
                  <c:v>0.51423766641856639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5DA-456F-BF87-60219BA584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Ch1 - Imp/s * Max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calibration!$Y$3:$Y$23</c:f>
              <c:numCache>
                <c:formatCode>0.00</c:formatCode>
                <c:ptCount val="21"/>
                <c:pt idx="0">
                  <c:v>14.644725710948503</c:v>
                </c:pt>
                <c:pt idx="1">
                  <c:v>8.6903692241007544</c:v>
                </c:pt>
                <c:pt idx="2">
                  <c:v>8.2643290343598181</c:v>
                </c:pt>
                <c:pt idx="3">
                  <c:v>8.5976983248964913</c:v>
                </c:pt>
                <c:pt idx="4">
                  <c:v>8.2999475515305559</c:v>
                </c:pt>
                <c:pt idx="5">
                  <c:v>16.545575095399588</c:v>
                </c:pt>
                <c:pt idx="6">
                  <c:v>5.2289133497846096</c:v>
                </c:pt>
                <c:pt idx="7">
                  <c:v>4.2286977322133312</c:v>
                </c:pt>
                <c:pt idx="8">
                  <c:v>2.2611293432976565</c:v>
                </c:pt>
                <c:pt idx="9">
                  <c:v>2.3160554089164456</c:v>
                </c:pt>
                <c:pt idx="10">
                  <c:v>2.0305306684364877</c:v>
                </c:pt>
                <c:pt idx="11">
                  <c:v>1.0929059917271067</c:v>
                </c:pt>
                <c:pt idx="12">
                  <c:v>2.5324743241457655</c:v>
                </c:pt>
                <c:pt idx="13">
                  <c:v>1.906434688863903</c:v>
                </c:pt>
                <c:pt idx="14">
                  <c:v>4.4958341316298549</c:v>
                </c:pt>
                <c:pt idx="15">
                  <c:v>8.824172266821785</c:v>
                </c:pt>
                <c:pt idx="16">
                  <c:v>8.4627489311439152</c:v>
                </c:pt>
                <c:pt idx="17">
                  <c:v>14.57775521462127</c:v>
                </c:pt>
                <c:pt idx="18">
                  <c:v>12.176108690063558</c:v>
                </c:pt>
                <c:pt idx="19">
                  <c:v>2.5836757223060309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F52-4982-B999-0A4314E18B76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calibration!$Y$3:$Y$23</c:f>
              <c:numCache>
                <c:formatCode>0.00</c:formatCode>
                <c:ptCount val="21"/>
                <c:pt idx="0">
                  <c:v>14.644725710948503</c:v>
                </c:pt>
                <c:pt idx="1">
                  <c:v>8.6903692241007544</c:v>
                </c:pt>
                <c:pt idx="2">
                  <c:v>8.2643290343598181</c:v>
                </c:pt>
                <c:pt idx="3">
                  <c:v>8.5976983248964913</c:v>
                </c:pt>
                <c:pt idx="4">
                  <c:v>8.2999475515305559</c:v>
                </c:pt>
                <c:pt idx="5">
                  <c:v>16.545575095399588</c:v>
                </c:pt>
                <c:pt idx="6">
                  <c:v>5.2289133497846096</c:v>
                </c:pt>
                <c:pt idx="7">
                  <c:v>4.2286977322133312</c:v>
                </c:pt>
                <c:pt idx="8">
                  <c:v>2.2611293432976565</c:v>
                </c:pt>
                <c:pt idx="9">
                  <c:v>2.3160554089164456</c:v>
                </c:pt>
                <c:pt idx="10">
                  <c:v>2.0305306684364877</c:v>
                </c:pt>
                <c:pt idx="11">
                  <c:v>1.0929059917271067</c:v>
                </c:pt>
                <c:pt idx="12">
                  <c:v>2.5324743241457655</c:v>
                </c:pt>
                <c:pt idx="13">
                  <c:v>1.906434688863903</c:v>
                </c:pt>
                <c:pt idx="14">
                  <c:v>4.4958341316298549</c:v>
                </c:pt>
                <c:pt idx="15">
                  <c:v>8.824172266821785</c:v>
                </c:pt>
                <c:pt idx="16">
                  <c:v>8.4627489311439152</c:v>
                </c:pt>
                <c:pt idx="17">
                  <c:v>14.57775521462127</c:v>
                </c:pt>
                <c:pt idx="18">
                  <c:v>12.176108690063558</c:v>
                </c:pt>
                <c:pt idx="19">
                  <c:v>2.5836757223060309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F52-4982-B999-0A4314E18B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Max/Med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calibration!$Z$3:$Z$23</c:f>
              <c:numCache>
                <c:formatCode>0.0000</c:formatCode>
                <c:ptCount val="21"/>
                <c:pt idx="0">
                  <c:v>4.5744135200937714</c:v>
                </c:pt>
                <c:pt idx="1">
                  <c:v>7.0473884164208789</c:v>
                </c:pt>
                <c:pt idx="2">
                  <c:v>4.1455529544590446</c:v>
                </c:pt>
                <c:pt idx="3">
                  <c:v>1.7169316285250826</c:v>
                </c:pt>
                <c:pt idx="4">
                  <c:v>2.0471177818937862</c:v>
                </c:pt>
                <c:pt idx="5">
                  <c:v>18.52478458419381</c:v>
                </c:pt>
                <c:pt idx="6">
                  <c:v>1.8934141455698792</c:v>
                </c:pt>
                <c:pt idx="7">
                  <c:v>4.2707513193919535</c:v>
                </c:pt>
                <c:pt idx="8">
                  <c:v>1.5888131374202068</c:v>
                </c:pt>
                <c:pt idx="9">
                  <c:v>2.2410731311546814</c:v>
                </c:pt>
                <c:pt idx="10">
                  <c:v>2.0996305721795983</c:v>
                </c:pt>
                <c:pt idx="11">
                  <c:v>1.3387926765735136</c:v>
                </c:pt>
                <c:pt idx="12">
                  <c:v>3.0006529261014645</c:v>
                </c:pt>
                <c:pt idx="13">
                  <c:v>2.6475340409775971</c:v>
                </c:pt>
                <c:pt idx="14">
                  <c:v>5.6318492285472992</c:v>
                </c:pt>
                <c:pt idx="15">
                  <c:v>11.26966542915909</c:v>
                </c:pt>
                <c:pt idx="16">
                  <c:v>11.497697817213517</c:v>
                </c:pt>
                <c:pt idx="17">
                  <c:v>10.150196192848854</c:v>
                </c:pt>
                <c:pt idx="18">
                  <c:v>38.982425417595685</c:v>
                </c:pt>
                <c:pt idx="19">
                  <c:v>4.8646623744308739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B22-492C-870E-DAA7A0E715BC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calibration!$Z$3:$Z$23</c:f>
              <c:numCache>
                <c:formatCode>0.0000</c:formatCode>
                <c:ptCount val="21"/>
                <c:pt idx="0">
                  <c:v>4.5744135200937714</c:v>
                </c:pt>
                <c:pt idx="1">
                  <c:v>7.0473884164208789</c:v>
                </c:pt>
                <c:pt idx="2">
                  <c:v>4.1455529544590446</c:v>
                </c:pt>
                <c:pt idx="3">
                  <c:v>1.7169316285250826</c:v>
                </c:pt>
                <c:pt idx="4">
                  <c:v>2.0471177818937862</c:v>
                </c:pt>
                <c:pt idx="5">
                  <c:v>18.52478458419381</c:v>
                </c:pt>
                <c:pt idx="6">
                  <c:v>1.8934141455698792</c:v>
                </c:pt>
                <c:pt idx="7">
                  <c:v>4.2707513193919535</c:v>
                </c:pt>
                <c:pt idx="8">
                  <c:v>1.5888131374202068</c:v>
                </c:pt>
                <c:pt idx="9">
                  <c:v>2.2410731311546814</c:v>
                </c:pt>
                <c:pt idx="10">
                  <c:v>2.0996305721795983</c:v>
                </c:pt>
                <c:pt idx="11">
                  <c:v>1.3387926765735136</c:v>
                </c:pt>
                <c:pt idx="12">
                  <c:v>3.0006529261014645</c:v>
                </c:pt>
                <c:pt idx="13">
                  <c:v>2.6475340409775971</c:v>
                </c:pt>
                <c:pt idx="14">
                  <c:v>5.6318492285472992</c:v>
                </c:pt>
                <c:pt idx="15">
                  <c:v>11.26966542915909</c:v>
                </c:pt>
                <c:pt idx="16">
                  <c:v>11.497697817213517</c:v>
                </c:pt>
                <c:pt idx="17">
                  <c:v>10.150196192848854</c:v>
                </c:pt>
                <c:pt idx="18">
                  <c:v>38.982425417595685</c:v>
                </c:pt>
                <c:pt idx="19">
                  <c:v>4.8646623744308739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B22-492C-870E-DAA7A0E715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Max/Med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Max/Mean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calibration!$AA$3:$AA$23</c:f>
              <c:numCache>
                <c:formatCode>0.000</c:formatCode>
                <c:ptCount val="21"/>
                <c:pt idx="0">
                  <c:v>3.1615438167197394</c:v>
                </c:pt>
                <c:pt idx="1">
                  <c:v>3.5872859620559958</c:v>
                </c:pt>
                <c:pt idx="2">
                  <c:v>2.3737061974259923</c:v>
                </c:pt>
                <c:pt idx="3">
                  <c:v>2.1902528725264694</c:v>
                </c:pt>
                <c:pt idx="4">
                  <c:v>1.9074546415755318</c:v>
                </c:pt>
                <c:pt idx="5">
                  <c:v>4.9611888321957451</c:v>
                </c:pt>
                <c:pt idx="6">
                  <c:v>1.9148500633030923</c:v>
                </c:pt>
                <c:pt idx="7">
                  <c:v>2.4472994417899829</c:v>
                </c:pt>
                <c:pt idx="8">
                  <c:v>1.4988018962629588</c:v>
                </c:pt>
                <c:pt idx="9">
                  <c:v>1.6712665645888014</c:v>
                </c:pt>
                <c:pt idx="10">
                  <c:v>1.9684322319284075</c:v>
                </c:pt>
                <c:pt idx="11">
                  <c:v>1.2809405562694893</c:v>
                </c:pt>
                <c:pt idx="12">
                  <c:v>2.4659997497369655</c:v>
                </c:pt>
                <c:pt idx="13">
                  <c:v>2.2589203879197535</c:v>
                </c:pt>
                <c:pt idx="14">
                  <c:v>3.6863135327614489</c:v>
                </c:pt>
                <c:pt idx="15">
                  <c:v>3.7448914084432614</c:v>
                </c:pt>
                <c:pt idx="16">
                  <c:v>5.1148262702806795</c:v>
                </c:pt>
                <c:pt idx="17">
                  <c:v>3.2923408430561558</c:v>
                </c:pt>
                <c:pt idx="18">
                  <c:v>11.148010799419735</c:v>
                </c:pt>
                <c:pt idx="19">
                  <c:v>4.6198796832172278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E66-40E7-8224-B70A4CA6784B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calibration!$AA$3:$AA$23</c:f>
              <c:numCache>
                <c:formatCode>0.000</c:formatCode>
                <c:ptCount val="21"/>
                <c:pt idx="0">
                  <c:v>3.1615438167197394</c:v>
                </c:pt>
                <c:pt idx="1">
                  <c:v>3.5872859620559958</c:v>
                </c:pt>
                <c:pt idx="2">
                  <c:v>2.3737061974259923</c:v>
                </c:pt>
                <c:pt idx="3">
                  <c:v>2.1902528725264694</c:v>
                </c:pt>
                <c:pt idx="4">
                  <c:v>1.9074546415755318</c:v>
                </c:pt>
                <c:pt idx="5">
                  <c:v>4.9611888321957451</c:v>
                </c:pt>
                <c:pt idx="6">
                  <c:v>1.9148500633030923</c:v>
                </c:pt>
                <c:pt idx="7">
                  <c:v>2.4472994417899829</c:v>
                </c:pt>
                <c:pt idx="8">
                  <c:v>1.4988018962629588</c:v>
                </c:pt>
                <c:pt idx="9">
                  <c:v>1.6712665645888014</c:v>
                </c:pt>
                <c:pt idx="10">
                  <c:v>1.9684322319284075</c:v>
                </c:pt>
                <c:pt idx="11">
                  <c:v>1.2809405562694893</c:v>
                </c:pt>
                <c:pt idx="12">
                  <c:v>2.4659997497369655</c:v>
                </c:pt>
                <c:pt idx="13">
                  <c:v>2.2589203879197535</c:v>
                </c:pt>
                <c:pt idx="14">
                  <c:v>3.6863135327614489</c:v>
                </c:pt>
                <c:pt idx="15">
                  <c:v>3.7448914084432614</c:v>
                </c:pt>
                <c:pt idx="16">
                  <c:v>5.1148262702806795</c:v>
                </c:pt>
                <c:pt idx="17">
                  <c:v>3.2923408430561558</c:v>
                </c:pt>
                <c:pt idx="18">
                  <c:v>11.148010799419735</c:v>
                </c:pt>
                <c:pt idx="19">
                  <c:v>4.6198796832172278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E66-40E7-8224-B70A4CA678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Med/Mean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calibration!$AB$3:$AB$23</c:f>
              <c:numCache>
                <c:formatCode>0.0000</c:formatCode>
                <c:ptCount val="21"/>
                <c:pt idx="0">
                  <c:v>0.69113642717961588</c:v>
                </c:pt>
                <c:pt idx="1">
                  <c:v>0.50902344955152234</c:v>
                </c:pt>
                <c:pt idx="2">
                  <c:v>0.57259097242330081</c:v>
                </c:pt>
                <c:pt idx="3">
                  <c:v>1.2756785629303071</c:v>
                </c:pt>
                <c:pt idx="4">
                  <c:v>0.93177571825444638</c:v>
                </c:pt>
                <c:pt idx="5">
                  <c:v>0.26781357751543616</c:v>
                </c:pt>
                <c:pt idx="6">
                  <c:v>1.011321304313358</c:v>
                </c:pt>
                <c:pt idx="7">
                  <c:v>0.57303721494568682</c:v>
                </c:pt>
                <c:pt idx="8">
                  <c:v>0.9433468675218778</c:v>
                </c:pt>
                <c:pt idx="9">
                  <c:v>0.7457438766077682</c:v>
                </c:pt>
                <c:pt idx="10">
                  <c:v>0.9375136073985646</c:v>
                </c:pt>
                <c:pt idx="11">
                  <c:v>0.95678784227286762</c:v>
                </c:pt>
                <c:pt idx="12">
                  <c:v>0.82182105377340797</c:v>
                </c:pt>
                <c:pt idx="13">
                  <c:v>0.85321674923040902</c:v>
                </c:pt>
                <c:pt idx="14">
                  <c:v>0.65454762426449242</c:v>
                </c:pt>
                <c:pt idx="15">
                  <c:v>0.33229836608580621</c:v>
                </c:pt>
                <c:pt idx="16">
                  <c:v>0.4448565575121598</c:v>
                </c:pt>
                <c:pt idx="17">
                  <c:v>0.3243622862556802</c:v>
                </c:pt>
                <c:pt idx="18">
                  <c:v>0.28597529989470089</c:v>
                </c:pt>
                <c:pt idx="19">
                  <c:v>0.94968146350705707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EDC-4B67-BDDB-77C69E972792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calibration!$AB$3:$AB$23</c:f>
              <c:numCache>
                <c:formatCode>0.0000</c:formatCode>
                <c:ptCount val="21"/>
                <c:pt idx="0">
                  <c:v>0.69113642717961588</c:v>
                </c:pt>
                <c:pt idx="1">
                  <c:v>0.50902344955152234</c:v>
                </c:pt>
                <c:pt idx="2">
                  <c:v>0.57259097242330081</c:v>
                </c:pt>
                <c:pt idx="3">
                  <c:v>1.2756785629303071</c:v>
                </c:pt>
                <c:pt idx="4">
                  <c:v>0.93177571825444638</c:v>
                </c:pt>
                <c:pt idx="5">
                  <c:v>0.26781357751543616</c:v>
                </c:pt>
                <c:pt idx="6">
                  <c:v>1.011321304313358</c:v>
                </c:pt>
                <c:pt idx="7">
                  <c:v>0.57303721494568682</c:v>
                </c:pt>
                <c:pt idx="8">
                  <c:v>0.9433468675218778</c:v>
                </c:pt>
                <c:pt idx="9">
                  <c:v>0.7457438766077682</c:v>
                </c:pt>
                <c:pt idx="10">
                  <c:v>0.9375136073985646</c:v>
                </c:pt>
                <c:pt idx="11">
                  <c:v>0.95678784227286762</c:v>
                </c:pt>
                <c:pt idx="12">
                  <c:v>0.82182105377340797</c:v>
                </c:pt>
                <c:pt idx="13">
                  <c:v>0.85321674923040902</c:v>
                </c:pt>
                <c:pt idx="14">
                  <c:v>0.65454762426449242</c:v>
                </c:pt>
                <c:pt idx="15">
                  <c:v>0.33229836608580621</c:v>
                </c:pt>
                <c:pt idx="16">
                  <c:v>0.4448565575121598</c:v>
                </c:pt>
                <c:pt idx="17">
                  <c:v>0.3243622862556802</c:v>
                </c:pt>
                <c:pt idx="18">
                  <c:v>0.28597529989470089</c:v>
                </c:pt>
                <c:pt idx="19">
                  <c:v>0.94968146350705707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EDC-4B67-BDDB-77C69E9727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Med/Mean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Ch6 -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calibration!$AC$3:$AC$23</c:f>
              <c:numCache>
                <c:formatCode>General</c:formatCode>
                <c:ptCount val="21"/>
                <c:pt idx="0">
                  <c:v>1.9640756704066457E-2</c:v>
                </c:pt>
                <c:pt idx="1">
                  <c:v>1.4593293306033922E-3</c:v>
                </c:pt>
                <c:pt idx="2">
                  <c:v>4.5205007246248404E-3</c:v>
                </c:pt>
                <c:pt idx="3">
                  <c:v>2.2607652597792825E-2</c:v>
                </c:pt>
                <c:pt idx="4">
                  <c:v>2.1759151907210301E-2</c:v>
                </c:pt>
                <c:pt idx="5">
                  <c:v>1.9360379462136377E-3</c:v>
                </c:pt>
                <c:pt idx="6">
                  <c:v>2.9285600586130799E-3</c:v>
                </c:pt>
                <c:pt idx="14">
                  <c:v>2.8429037536933531E-4</c:v>
                </c:pt>
                <c:pt idx="15">
                  <c:v>6.0934019496750936E-4</c:v>
                </c:pt>
                <c:pt idx="16">
                  <c:v>8.7728076140791006E-4</c:v>
                </c:pt>
                <c:pt idx="17">
                  <c:v>7.632617962595809E-3</c:v>
                </c:pt>
                <c:pt idx="18">
                  <c:v>3.7273110848430916E-4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E2E-4239-BD95-2AB8E35E46BC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calibration!$AC$3:$AC$23</c:f>
              <c:numCache>
                <c:formatCode>General</c:formatCode>
                <c:ptCount val="21"/>
                <c:pt idx="0">
                  <c:v>1.9640756704066457E-2</c:v>
                </c:pt>
                <c:pt idx="1">
                  <c:v>1.4593293306033922E-3</c:v>
                </c:pt>
                <c:pt idx="2">
                  <c:v>4.5205007246248404E-3</c:v>
                </c:pt>
                <c:pt idx="3">
                  <c:v>2.2607652597792825E-2</c:v>
                </c:pt>
                <c:pt idx="4">
                  <c:v>2.1759151907210301E-2</c:v>
                </c:pt>
                <c:pt idx="5">
                  <c:v>1.9360379462136377E-3</c:v>
                </c:pt>
                <c:pt idx="6">
                  <c:v>2.9285600586130799E-3</c:v>
                </c:pt>
                <c:pt idx="14">
                  <c:v>2.8429037536933531E-4</c:v>
                </c:pt>
                <c:pt idx="15">
                  <c:v>6.0934019496750936E-4</c:v>
                </c:pt>
                <c:pt idx="16">
                  <c:v>8.7728076140791006E-4</c:v>
                </c:pt>
                <c:pt idx="17">
                  <c:v>7.632617962595809E-3</c:v>
                </c:pt>
                <c:pt idx="18">
                  <c:v>3.7273110848430916E-4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E2E-4239-BD95-2AB8E35E46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Ch5 -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calibration!$AD$3:$AD$23</c:f>
              <c:numCache>
                <c:formatCode>General</c:formatCode>
                <c:ptCount val="21"/>
                <c:pt idx="0">
                  <c:v>5.2375351210843885E-2</c:v>
                </c:pt>
                <c:pt idx="1">
                  <c:v>5.8373173224135688E-3</c:v>
                </c:pt>
                <c:pt idx="2">
                  <c:v>3.6164005796998723E-2</c:v>
                </c:pt>
                <c:pt idx="3">
                  <c:v>0.10927032088933199</c:v>
                </c:pt>
                <c:pt idx="4">
                  <c:v>0.10154270890031475</c:v>
                </c:pt>
                <c:pt idx="5">
                  <c:v>1.4197611605566676E-2</c:v>
                </c:pt>
                <c:pt idx="6">
                  <c:v>3.8071280761970042E-2</c:v>
                </c:pt>
                <c:pt idx="7">
                  <c:v>4.2111775324802639E-3</c:v>
                </c:pt>
                <c:pt idx="8">
                  <c:v>1.7146460818318651E-3</c:v>
                </c:pt>
                <c:pt idx="9">
                  <c:v>8.4157834047911165E-4</c:v>
                </c:pt>
                <c:pt idx="10">
                  <c:v>5.0606462291010194E-4</c:v>
                </c:pt>
                <c:pt idx="12">
                  <c:v>2.33335477948165E-4</c:v>
                </c:pt>
                <c:pt idx="13">
                  <c:v>2.0567820246772904E-4</c:v>
                </c:pt>
                <c:pt idx="14">
                  <c:v>1.4214518768466767E-3</c:v>
                </c:pt>
                <c:pt idx="15">
                  <c:v>9.1401029245126407E-3</c:v>
                </c:pt>
                <c:pt idx="16">
                  <c:v>4.3864038070395503E-3</c:v>
                </c:pt>
                <c:pt idx="17">
                  <c:v>3.8799141309862027E-2</c:v>
                </c:pt>
                <c:pt idx="18">
                  <c:v>1.7039136387854135E-3</c:v>
                </c:pt>
                <c:pt idx="19">
                  <c:v>1.069566365560682E-4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CF2-48BC-A693-1F102596C176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calibration!$AD$3:$AD$23</c:f>
              <c:numCache>
                <c:formatCode>General</c:formatCode>
                <c:ptCount val="21"/>
                <c:pt idx="0">
                  <c:v>5.2375351210843885E-2</c:v>
                </c:pt>
                <c:pt idx="1">
                  <c:v>5.8373173224135688E-3</c:v>
                </c:pt>
                <c:pt idx="2">
                  <c:v>3.6164005796998723E-2</c:v>
                </c:pt>
                <c:pt idx="3">
                  <c:v>0.10927032088933199</c:v>
                </c:pt>
                <c:pt idx="4">
                  <c:v>0.10154270890031475</c:v>
                </c:pt>
                <c:pt idx="5">
                  <c:v>1.4197611605566676E-2</c:v>
                </c:pt>
                <c:pt idx="6">
                  <c:v>3.8071280761970042E-2</c:v>
                </c:pt>
                <c:pt idx="7">
                  <c:v>4.2111775324802639E-3</c:v>
                </c:pt>
                <c:pt idx="8">
                  <c:v>1.7146460818318651E-3</c:v>
                </c:pt>
                <c:pt idx="9">
                  <c:v>8.4157834047911165E-4</c:v>
                </c:pt>
                <c:pt idx="10">
                  <c:v>5.0606462291010194E-4</c:v>
                </c:pt>
                <c:pt idx="12">
                  <c:v>2.33335477948165E-4</c:v>
                </c:pt>
                <c:pt idx="13">
                  <c:v>2.0567820246772904E-4</c:v>
                </c:pt>
                <c:pt idx="14">
                  <c:v>1.4214518768466767E-3</c:v>
                </c:pt>
                <c:pt idx="15">
                  <c:v>9.1401029245126407E-3</c:v>
                </c:pt>
                <c:pt idx="16">
                  <c:v>4.3864038070395503E-3</c:v>
                </c:pt>
                <c:pt idx="17">
                  <c:v>3.8799141309862027E-2</c:v>
                </c:pt>
                <c:pt idx="18">
                  <c:v>1.7039136387854135E-3</c:v>
                </c:pt>
                <c:pt idx="19">
                  <c:v>1.069566365560682E-4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CF2-48BC-A693-1F102596C1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Ch4 -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calibration!$AE$3:$AE$23</c:f>
              <c:numCache>
                <c:formatCode>General</c:formatCode>
                <c:ptCount val="21"/>
                <c:pt idx="0">
                  <c:v>0.31425210726506331</c:v>
                </c:pt>
                <c:pt idx="1">
                  <c:v>4.7428203244610244E-2</c:v>
                </c:pt>
                <c:pt idx="2">
                  <c:v>9.2670264854809212E-2</c:v>
                </c:pt>
                <c:pt idx="3">
                  <c:v>0.38433009416247804</c:v>
                </c:pt>
                <c:pt idx="4">
                  <c:v>0.29737507606520741</c:v>
                </c:pt>
                <c:pt idx="5">
                  <c:v>3.7430066960130327E-2</c:v>
                </c:pt>
                <c:pt idx="6">
                  <c:v>0.11421384228591011</c:v>
                </c:pt>
                <c:pt idx="7">
                  <c:v>2.105588766240132E-2</c:v>
                </c:pt>
                <c:pt idx="8">
                  <c:v>2.057575298198238E-2</c:v>
                </c:pt>
                <c:pt idx="9">
                  <c:v>1.4306831788144901E-2</c:v>
                </c:pt>
                <c:pt idx="10">
                  <c:v>5.5667108520111221E-3</c:v>
                </c:pt>
                <c:pt idx="11">
                  <c:v>8.0825445138626008E-4</c:v>
                </c:pt>
                <c:pt idx="12">
                  <c:v>4.2000386030669702E-3</c:v>
                </c:pt>
                <c:pt idx="13">
                  <c:v>2.2624602271450194E-3</c:v>
                </c:pt>
                <c:pt idx="14">
                  <c:v>7.3915497596027191E-3</c:v>
                </c:pt>
                <c:pt idx="15">
                  <c:v>3.3513710723213012E-2</c:v>
                </c:pt>
                <c:pt idx="16">
                  <c:v>1.4913772943934471E-2</c:v>
                </c:pt>
                <c:pt idx="17">
                  <c:v>0.11894162991711801</c:v>
                </c:pt>
                <c:pt idx="18">
                  <c:v>7.8806005793825365E-3</c:v>
                </c:pt>
                <c:pt idx="19">
                  <c:v>6.0608760715105312E-4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D3C-451C-8908-23FAA195D6C5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calibration!$AE$3:$AE$23</c:f>
              <c:numCache>
                <c:formatCode>General</c:formatCode>
                <c:ptCount val="21"/>
                <c:pt idx="0">
                  <c:v>0.31425210726506331</c:v>
                </c:pt>
                <c:pt idx="1">
                  <c:v>4.7428203244610244E-2</c:v>
                </c:pt>
                <c:pt idx="2">
                  <c:v>9.2670264854809212E-2</c:v>
                </c:pt>
                <c:pt idx="3">
                  <c:v>0.38433009416247804</c:v>
                </c:pt>
                <c:pt idx="4">
                  <c:v>0.29737507606520741</c:v>
                </c:pt>
                <c:pt idx="5">
                  <c:v>3.7430066960130327E-2</c:v>
                </c:pt>
                <c:pt idx="6">
                  <c:v>0.11421384228591011</c:v>
                </c:pt>
                <c:pt idx="7">
                  <c:v>2.105588766240132E-2</c:v>
                </c:pt>
                <c:pt idx="8">
                  <c:v>2.057575298198238E-2</c:v>
                </c:pt>
                <c:pt idx="9">
                  <c:v>1.4306831788144901E-2</c:v>
                </c:pt>
                <c:pt idx="10">
                  <c:v>5.5667108520111221E-3</c:v>
                </c:pt>
                <c:pt idx="11">
                  <c:v>8.0825445138626008E-4</c:v>
                </c:pt>
                <c:pt idx="12">
                  <c:v>4.2000386030669702E-3</c:v>
                </c:pt>
                <c:pt idx="13">
                  <c:v>2.2624602271450194E-3</c:v>
                </c:pt>
                <c:pt idx="14">
                  <c:v>7.3915497596027191E-3</c:v>
                </c:pt>
                <c:pt idx="15">
                  <c:v>3.3513710723213012E-2</c:v>
                </c:pt>
                <c:pt idx="16">
                  <c:v>1.4913772943934471E-2</c:v>
                </c:pt>
                <c:pt idx="17">
                  <c:v>0.11894162991711801</c:v>
                </c:pt>
                <c:pt idx="18">
                  <c:v>7.8806005793825365E-3</c:v>
                </c:pt>
                <c:pt idx="19">
                  <c:v>6.0608760715105312E-4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D3C-451C-8908-23FAA195D6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Ch3 -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calibration!$AF$3:$AF$23</c:f>
              <c:numCache>
                <c:formatCode>General</c:formatCode>
                <c:ptCount val="21"/>
                <c:pt idx="0">
                  <c:v>0.86419329497892416</c:v>
                </c:pt>
                <c:pt idx="1">
                  <c:v>0.14228460973383072</c:v>
                </c:pt>
                <c:pt idx="2">
                  <c:v>0.31417480036142642</c:v>
                </c:pt>
                <c:pt idx="3">
                  <c:v>0.9269137565095058</c:v>
                </c:pt>
                <c:pt idx="4">
                  <c:v>0.74706421548088708</c:v>
                </c:pt>
                <c:pt idx="5">
                  <c:v>0.10648208704175006</c:v>
                </c:pt>
                <c:pt idx="6">
                  <c:v>0.22842768457182022</c:v>
                </c:pt>
                <c:pt idx="7">
                  <c:v>6.3694060178763987E-2</c:v>
                </c:pt>
                <c:pt idx="8">
                  <c:v>9.7734826664416311E-2</c:v>
                </c:pt>
                <c:pt idx="9">
                  <c:v>6.3959953876412484E-2</c:v>
                </c:pt>
                <c:pt idx="10">
                  <c:v>3.1376006620426319E-2</c:v>
                </c:pt>
                <c:pt idx="11">
                  <c:v>1.2932071222180161E-2</c:v>
                </c:pt>
                <c:pt idx="12">
                  <c:v>3.5233657170172912E-2</c:v>
                </c:pt>
                <c:pt idx="13">
                  <c:v>2.118485485417609E-2</c:v>
                </c:pt>
                <c:pt idx="14">
                  <c:v>3.184052204136556E-2</c:v>
                </c:pt>
                <c:pt idx="15">
                  <c:v>8.5002957197967563E-2</c:v>
                </c:pt>
                <c:pt idx="16">
                  <c:v>5.3733446636234493E-2</c:v>
                </c:pt>
                <c:pt idx="17">
                  <c:v>0.31166523347266217</c:v>
                </c:pt>
                <c:pt idx="18">
                  <c:v>2.529246807572098E-2</c:v>
                </c:pt>
                <c:pt idx="19">
                  <c:v>7.8791388929636916E-3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560-4818-9ECF-7B96F5FAEC02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calibration!$AF$3:$AF$23</c:f>
              <c:numCache>
                <c:formatCode>General</c:formatCode>
                <c:ptCount val="21"/>
                <c:pt idx="0">
                  <c:v>0.86419329497892416</c:v>
                </c:pt>
                <c:pt idx="1">
                  <c:v>0.14228460973383072</c:v>
                </c:pt>
                <c:pt idx="2">
                  <c:v>0.31417480036142642</c:v>
                </c:pt>
                <c:pt idx="3">
                  <c:v>0.9269137565095058</c:v>
                </c:pt>
                <c:pt idx="4">
                  <c:v>0.74706421548088708</c:v>
                </c:pt>
                <c:pt idx="5">
                  <c:v>0.10648208704175006</c:v>
                </c:pt>
                <c:pt idx="6">
                  <c:v>0.22842768457182022</c:v>
                </c:pt>
                <c:pt idx="7">
                  <c:v>6.3694060178763987E-2</c:v>
                </c:pt>
                <c:pt idx="8">
                  <c:v>9.7734826664416311E-2</c:v>
                </c:pt>
                <c:pt idx="9">
                  <c:v>6.3959953876412484E-2</c:v>
                </c:pt>
                <c:pt idx="10">
                  <c:v>3.1376006620426319E-2</c:v>
                </c:pt>
                <c:pt idx="11">
                  <c:v>1.2932071222180161E-2</c:v>
                </c:pt>
                <c:pt idx="12">
                  <c:v>3.5233657170172912E-2</c:v>
                </c:pt>
                <c:pt idx="13">
                  <c:v>2.118485485417609E-2</c:v>
                </c:pt>
                <c:pt idx="14">
                  <c:v>3.184052204136556E-2</c:v>
                </c:pt>
                <c:pt idx="15">
                  <c:v>8.5002957197967563E-2</c:v>
                </c:pt>
                <c:pt idx="16">
                  <c:v>5.3733446636234493E-2</c:v>
                </c:pt>
                <c:pt idx="17">
                  <c:v>0.31166523347266217</c:v>
                </c:pt>
                <c:pt idx="18">
                  <c:v>2.529246807572098E-2</c:v>
                </c:pt>
                <c:pt idx="19">
                  <c:v>7.8791388929636916E-3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560-4818-9ECF-7B96F5FAEC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Ch2 -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calibration!$AG$3:$AG$23</c:f>
              <c:numCache>
                <c:formatCode>General</c:formatCode>
                <c:ptCount val="21"/>
                <c:pt idx="0">
                  <c:v>1.977169508209357</c:v>
                </c:pt>
                <c:pt idx="1">
                  <c:v>0.45822940980946508</c:v>
                </c:pt>
                <c:pt idx="2">
                  <c:v>0.93574364999734194</c:v>
                </c:pt>
                <c:pt idx="3">
                  <c:v>1.8575954551186438</c:v>
                </c:pt>
                <c:pt idx="4">
                  <c:v>2.3427353553429757</c:v>
                </c:pt>
                <c:pt idx="5">
                  <c:v>0.36074840397780777</c:v>
                </c:pt>
                <c:pt idx="6">
                  <c:v>1.0103532202215126</c:v>
                </c:pt>
                <c:pt idx="7">
                  <c:v>0.33215662787438083</c:v>
                </c:pt>
                <c:pt idx="8">
                  <c:v>0.47152767250376287</c:v>
                </c:pt>
                <c:pt idx="9">
                  <c:v>0.27603769567714864</c:v>
                </c:pt>
                <c:pt idx="10">
                  <c:v>0.30718122610643189</c:v>
                </c:pt>
                <c:pt idx="11">
                  <c:v>0.21661219297151771</c:v>
                </c:pt>
                <c:pt idx="12">
                  <c:v>0.27906923162600533</c:v>
                </c:pt>
                <c:pt idx="13">
                  <c:v>0.19991921279863262</c:v>
                </c:pt>
                <c:pt idx="14">
                  <c:v>0.23055949442453097</c:v>
                </c:pt>
                <c:pt idx="15">
                  <c:v>0.31441954060323485</c:v>
                </c:pt>
                <c:pt idx="16">
                  <c:v>0.25331481985653403</c:v>
                </c:pt>
                <c:pt idx="17">
                  <c:v>0.64813647532376073</c:v>
                </c:pt>
                <c:pt idx="18">
                  <c:v>0.10026466818227917</c:v>
                </c:pt>
                <c:pt idx="19">
                  <c:v>0.10570880912958075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583-4CA3-926E-2EB6613C0053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calibration!$AG$3:$AG$23</c:f>
              <c:numCache>
                <c:formatCode>General</c:formatCode>
                <c:ptCount val="21"/>
                <c:pt idx="0">
                  <c:v>1.977169508209357</c:v>
                </c:pt>
                <c:pt idx="1">
                  <c:v>0.45822940980946508</c:v>
                </c:pt>
                <c:pt idx="2">
                  <c:v>0.93574364999734194</c:v>
                </c:pt>
                <c:pt idx="3">
                  <c:v>1.8575954551186438</c:v>
                </c:pt>
                <c:pt idx="4">
                  <c:v>2.3427353553429757</c:v>
                </c:pt>
                <c:pt idx="5">
                  <c:v>0.36074840397780777</c:v>
                </c:pt>
                <c:pt idx="6">
                  <c:v>1.0103532202215126</c:v>
                </c:pt>
                <c:pt idx="7">
                  <c:v>0.33215662787438083</c:v>
                </c:pt>
                <c:pt idx="8">
                  <c:v>0.47152767250376287</c:v>
                </c:pt>
                <c:pt idx="9">
                  <c:v>0.27603769567714864</c:v>
                </c:pt>
                <c:pt idx="10">
                  <c:v>0.30718122610643189</c:v>
                </c:pt>
                <c:pt idx="11">
                  <c:v>0.21661219297151771</c:v>
                </c:pt>
                <c:pt idx="12">
                  <c:v>0.27906923162600533</c:v>
                </c:pt>
                <c:pt idx="13">
                  <c:v>0.19991921279863262</c:v>
                </c:pt>
                <c:pt idx="14">
                  <c:v>0.23055949442453097</c:v>
                </c:pt>
                <c:pt idx="15">
                  <c:v>0.31441954060323485</c:v>
                </c:pt>
                <c:pt idx="16">
                  <c:v>0.25331481985653403</c:v>
                </c:pt>
                <c:pt idx="17">
                  <c:v>0.64813647532376073</c:v>
                </c:pt>
                <c:pt idx="18">
                  <c:v>0.10026466818227917</c:v>
                </c:pt>
                <c:pt idx="19">
                  <c:v>0.10570880912958075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583-4CA3-926E-2EB6613C00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Ch1 - Imp/s * Med Amp</a:t>
            </a:r>
          </a:p>
        </c:rich>
      </c:tx>
      <c:layout>
        <c:manualLayout>
          <c:xMode val="edge"/>
          <c:yMode val="edge"/>
          <c:x val="0.23729696048058893"/>
          <c:y val="4.532919841827970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calibration!$AH$3:$AH$23</c:f>
              <c:numCache>
                <c:formatCode>General</c:formatCode>
                <c:ptCount val="21"/>
                <c:pt idx="0">
                  <c:v>3.201443342762833</c:v>
                </c:pt>
                <c:pt idx="1">
                  <c:v>1.2331332843598664</c:v>
                </c:pt>
                <c:pt idx="2">
                  <c:v>1.9935408195595545</c:v>
                </c:pt>
                <c:pt idx="3">
                  <c:v>5.0075950504111111</c:v>
                </c:pt>
                <c:pt idx="4">
                  <c:v>4.0544553053768526</c:v>
                </c:pt>
                <c:pt idx="5">
                  <c:v>0.89315883918655814</c:v>
                </c:pt>
                <c:pt idx="6">
                  <c:v>2.761632135272134</c:v>
                </c:pt>
                <c:pt idx="7">
                  <c:v>0.99015311732442202</c:v>
                </c:pt>
                <c:pt idx="8">
                  <c:v>1.423156247920448</c:v>
                </c:pt>
                <c:pt idx="9">
                  <c:v>1.0334582021083492</c:v>
                </c:pt>
                <c:pt idx="10">
                  <c:v>0.96708949438120484</c:v>
                </c:pt>
                <c:pt idx="11">
                  <c:v>0.81633699590012265</c:v>
                </c:pt>
                <c:pt idx="12">
                  <c:v>0.84397442373851272</c:v>
                </c:pt>
                <c:pt idx="13">
                  <c:v>0.72007938683951933</c:v>
                </c:pt>
                <c:pt idx="14">
                  <c:v>0.7982873740370936</c:v>
                </c:pt>
                <c:pt idx="15">
                  <c:v>0.78300215053324962</c:v>
                </c:pt>
                <c:pt idx="16">
                  <c:v>0.73603855882123659</c:v>
                </c:pt>
                <c:pt idx="17">
                  <c:v>1.436204279961778</c:v>
                </c:pt>
                <c:pt idx="18">
                  <c:v>0.31234866890985108</c:v>
                </c:pt>
                <c:pt idx="19">
                  <c:v>0.53111100492524932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541-43B1-A1B7-22BFFABC518D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calibration!$AH$3:$AH$23</c:f>
              <c:numCache>
                <c:formatCode>General</c:formatCode>
                <c:ptCount val="21"/>
                <c:pt idx="0">
                  <c:v>3.201443342762833</c:v>
                </c:pt>
                <c:pt idx="1">
                  <c:v>1.2331332843598664</c:v>
                </c:pt>
                <c:pt idx="2">
                  <c:v>1.9935408195595545</c:v>
                </c:pt>
                <c:pt idx="3">
                  <c:v>5.0075950504111111</c:v>
                </c:pt>
                <c:pt idx="4">
                  <c:v>4.0544553053768526</c:v>
                </c:pt>
                <c:pt idx="5">
                  <c:v>0.89315883918655814</c:v>
                </c:pt>
                <c:pt idx="6">
                  <c:v>2.761632135272134</c:v>
                </c:pt>
                <c:pt idx="7">
                  <c:v>0.99015311732442202</c:v>
                </c:pt>
                <c:pt idx="8">
                  <c:v>1.423156247920448</c:v>
                </c:pt>
                <c:pt idx="9">
                  <c:v>1.0334582021083492</c:v>
                </c:pt>
                <c:pt idx="10">
                  <c:v>0.96708949438120484</c:v>
                </c:pt>
                <c:pt idx="11">
                  <c:v>0.81633699590012265</c:v>
                </c:pt>
                <c:pt idx="12">
                  <c:v>0.84397442373851272</c:v>
                </c:pt>
                <c:pt idx="13">
                  <c:v>0.72007938683951933</c:v>
                </c:pt>
                <c:pt idx="14">
                  <c:v>0.7982873740370936</c:v>
                </c:pt>
                <c:pt idx="15">
                  <c:v>0.78300215053324962</c:v>
                </c:pt>
                <c:pt idx="16">
                  <c:v>0.73603855882123659</c:v>
                </c:pt>
                <c:pt idx="17">
                  <c:v>1.436204279961778</c:v>
                </c:pt>
                <c:pt idx="18">
                  <c:v>0.31234866890985108</c:v>
                </c:pt>
                <c:pt idx="19">
                  <c:v>0.53111100492524932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541-43B1-A1B7-22BFFABC51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Max/Med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calibration!$Z$3:$Z$23</c:f>
              <c:numCache>
                <c:formatCode>0.0000</c:formatCode>
                <c:ptCount val="21"/>
                <c:pt idx="0">
                  <c:v>4.5744135200937714</c:v>
                </c:pt>
                <c:pt idx="1">
                  <c:v>7.0473884164208789</c:v>
                </c:pt>
                <c:pt idx="2">
                  <c:v>4.1455529544590446</c:v>
                </c:pt>
                <c:pt idx="3">
                  <c:v>1.7169316285250826</c:v>
                </c:pt>
                <c:pt idx="4">
                  <c:v>2.0471177818937862</c:v>
                </c:pt>
                <c:pt idx="5">
                  <c:v>18.52478458419381</c:v>
                </c:pt>
                <c:pt idx="6">
                  <c:v>1.8934141455698792</c:v>
                </c:pt>
                <c:pt idx="7">
                  <c:v>4.2707513193919535</c:v>
                </c:pt>
                <c:pt idx="8">
                  <c:v>1.5888131374202068</c:v>
                </c:pt>
                <c:pt idx="9">
                  <c:v>2.2410731311546814</c:v>
                </c:pt>
                <c:pt idx="10">
                  <c:v>2.0996305721795983</c:v>
                </c:pt>
                <c:pt idx="11">
                  <c:v>1.3387926765735136</c:v>
                </c:pt>
                <c:pt idx="12">
                  <c:v>3.0006529261014645</c:v>
                </c:pt>
                <c:pt idx="13">
                  <c:v>2.6475340409775971</c:v>
                </c:pt>
                <c:pt idx="14">
                  <c:v>5.6318492285472992</c:v>
                </c:pt>
                <c:pt idx="15">
                  <c:v>11.26966542915909</c:v>
                </c:pt>
                <c:pt idx="16">
                  <c:v>11.497697817213517</c:v>
                </c:pt>
                <c:pt idx="17">
                  <c:v>10.150196192848854</c:v>
                </c:pt>
                <c:pt idx="18">
                  <c:v>38.982425417595685</c:v>
                </c:pt>
                <c:pt idx="19">
                  <c:v>4.8646623744308739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B22-492C-870E-DAA7A0E715BC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calibration!$Z$3:$Z$23</c:f>
              <c:numCache>
                <c:formatCode>0.0000</c:formatCode>
                <c:ptCount val="21"/>
                <c:pt idx="0">
                  <c:v>4.5744135200937714</c:v>
                </c:pt>
                <c:pt idx="1">
                  <c:v>7.0473884164208789</c:v>
                </c:pt>
                <c:pt idx="2">
                  <c:v>4.1455529544590446</c:v>
                </c:pt>
                <c:pt idx="3">
                  <c:v>1.7169316285250826</c:v>
                </c:pt>
                <c:pt idx="4">
                  <c:v>2.0471177818937862</c:v>
                </c:pt>
                <c:pt idx="5">
                  <c:v>18.52478458419381</c:v>
                </c:pt>
                <c:pt idx="6">
                  <c:v>1.8934141455698792</c:v>
                </c:pt>
                <c:pt idx="7">
                  <c:v>4.2707513193919535</c:v>
                </c:pt>
                <c:pt idx="8">
                  <c:v>1.5888131374202068</c:v>
                </c:pt>
                <c:pt idx="9">
                  <c:v>2.2410731311546814</c:v>
                </c:pt>
                <c:pt idx="10">
                  <c:v>2.0996305721795983</c:v>
                </c:pt>
                <c:pt idx="11">
                  <c:v>1.3387926765735136</c:v>
                </c:pt>
                <c:pt idx="12">
                  <c:v>3.0006529261014645</c:v>
                </c:pt>
                <c:pt idx="13">
                  <c:v>2.6475340409775971</c:v>
                </c:pt>
                <c:pt idx="14">
                  <c:v>5.6318492285472992</c:v>
                </c:pt>
                <c:pt idx="15">
                  <c:v>11.26966542915909</c:v>
                </c:pt>
                <c:pt idx="16">
                  <c:v>11.497697817213517</c:v>
                </c:pt>
                <c:pt idx="17">
                  <c:v>10.150196192848854</c:v>
                </c:pt>
                <c:pt idx="18">
                  <c:v>38.982425417595685</c:v>
                </c:pt>
                <c:pt idx="19">
                  <c:v>4.8646623744308739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B22-492C-870E-DAA7A0E715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Max/Med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Max/Mean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calibration!$AA$3:$AA$23</c:f>
              <c:numCache>
                <c:formatCode>0.000</c:formatCode>
                <c:ptCount val="21"/>
                <c:pt idx="0">
                  <c:v>3.1615438167197394</c:v>
                </c:pt>
                <c:pt idx="1">
                  <c:v>3.5872859620559958</c:v>
                </c:pt>
                <c:pt idx="2">
                  <c:v>2.3737061974259923</c:v>
                </c:pt>
                <c:pt idx="3">
                  <c:v>2.1902528725264694</c:v>
                </c:pt>
                <c:pt idx="4">
                  <c:v>1.9074546415755318</c:v>
                </c:pt>
                <c:pt idx="5">
                  <c:v>4.9611888321957451</c:v>
                </c:pt>
                <c:pt idx="6">
                  <c:v>1.9148500633030923</c:v>
                </c:pt>
                <c:pt idx="7">
                  <c:v>2.4472994417899829</c:v>
                </c:pt>
                <c:pt idx="8">
                  <c:v>1.4988018962629588</c:v>
                </c:pt>
                <c:pt idx="9">
                  <c:v>1.6712665645888014</c:v>
                </c:pt>
                <c:pt idx="10">
                  <c:v>1.9684322319284075</c:v>
                </c:pt>
                <c:pt idx="11">
                  <c:v>1.2809405562694893</c:v>
                </c:pt>
                <c:pt idx="12">
                  <c:v>2.4659997497369655</c:v>
                </c:pt>
                <c:pt idx="13">
                  <c:v>2.2589203879197535</c:v>
                </c:pt>
                <c:pt idx="14">
                  <c:v>3.6863135327614489</c:v>
                </c:pt>
                <c:pt idx="15">
                  <c:v>3.7448914084432614</c:v>
                </c:pt>
                <c:pt idx="16">
                  <c:v>5.1148262702806795</c:v>
                </c:pt>
                <c:pt idx="17">
                  <c:v>3.2923408430561558</c:v>
                </c:pt>
                <c:pt idx="18">
                  <c:v>11.148010799419735</c:v>
                </c:pt>
                <c:pt idx="19">
                  <c:v>4.6198796832172278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E66-40E7-8224-B70A4CA6784B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calibration!$AA$3:$AA$23</c:f>
              <c:numCache>
                <c:formatCode>0.000</c:formatCode>
                <c:ptCount val="21"/>
                <c:pt idx="0">
                  <c:v>3.1615438167197394</c:v>
                </c:pt>
                <c:pt idx="1">
                  <c:v>3.5872859620559958</c:v>
                </c:pt>
                <c:pt idx="2">
                  <c:v>2.3737061974259923</c:v>
                </c:pt>
                <c:pt idx="3">
                  <c:v>2.1902528725264694</c:v>
                </c:pt>
                <c:pt idx="4">
                  <c:v>1.9074546415755318</c:v>
                </c:pt>
                <c:pt idx="5">
                  <c:v>4.9611888321957451</c:v>
                </c:pt>
                <c:pt idx="6">
                  <c:v>1.9148500633030923</c:v>
                </c:pt>
                <c:pt idx="7">
                  <c:v>2.4472994417899829</c:v>
                </c:pt>
                <c:pt idx="8">
                  <c:v>1.4988018962629588</c:v>
                </c:pt>
                <c:pt idx="9">
                  <c:v>1.6712665645888014</c:v>
                </c:pt>
                <c:pt idx="10">
                  <c:v>1.9684322319284075</c:v>
                </c:pt>
                <c:pt idx="11">
                  <c:v>1.2809405562694893</c:v>
                </c:pt>
                <c:pt idx="12">
                  <c:v>2.4659997497369655</c:v>
                </c:pt>
                <c:pt idx="13">
                  <c:v>2.2589203879197535</c:v>
                </c:pt>
                <c:pt idx="14">
                  <c:v>3.6863135327614489</c:v>
                </c:pt>
                <c:pt idx="15">
                  <c:v>3.7448914084432614</c:v>
                </c:pt>
                <c:pt idx="16">
                  <c:v>5.1148262702806795</c:v>
                </c:pt>
                <c:pt idx="17">
                  <c:v>3.2923408430561558</c:v>
                </c:pt>
                <c:pt idx="18">
                  <c:v>11.148010799419735</c:v>
                </c:pt>
                <c:pt idx="19">
                  <c:v>4.6198796832172278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E66-40E7-8224-B70A4CA678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Med*Mean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1.541320618550701E-2"/>
                  <c:y val="0.22908044254351076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calibration!$AK$3:$AK$23</c:f>
              <c:numCache>
                <c:formatCode>0.000000</c:formatCode>
                <c:ptCount val="21"/>
                <c:pt idx="0">
                  <c:v>7.597071740654826E-4</c:v>
                </c:pt>
                <c:pt idx="1">
                  <c:v>1.0459449839863352E-4</c:v>
                </c:pt>
                <c:pt idx="2">
                  <c:v>2.2305327652619194E-4</c:v>
                </c:pt>
                <c:pt idx="3">
                  <c:v>7.122741081016157E-4</c:v>
                </c:pt>
                <c:pt idx="4">
                  <c:v>5.0812731266276941E-4</c:v>
                </c:pt>
                <c:pt idx="5">
                  <c:v>9.9525095733030979E-5</c:v>
                </c:pt>
                <c:pt idx="6">
                  <c:v>2.1201135535078248E-4</c:v>
                </c:pt>
                <c:pt idx="7">
                  <c:v>4.8355324236411653E-5</c:v>
                </c:pt>
                <c:pt idx="8">
                  <c:v>4.9865198682043573E-5</c:v>
                </c:pt>
                <c:pt idx="9">
                  <c:v>3.4190220682561793E-5</c:v>
                </c:pt>
                <c:pt idx="10">
                  <c:v>2.731708644440693E-5</c:v>
                </c:pt>
                <c:pt idx="11">
                  <c:v>1.7069490991697714E-5</c:v>
                </c:pt>
                <c:pt idx="12">
                  <c:v>2.6499902877547969E-5</c:v>
                </c:pt>
                <c:pt idx="13">
                  <c:v>1.9832485946162398E-5</c:v>
                </c:pt>
                <c:pt idx="14">
                  <c:v>2.778213268156374E-5</c:v>
                </c:pt>
                <c:pt idx="15">
                  <c:v>6.2851258083761093E-5</c:v>
                </c:pt>
                <c:pt idx="16">
                  <c:v>4.325110652749035E-5</c:v>
                </c:pt>
                <c:pt idx="17">
                  <c:v>2.8063169752368214E-4</c:v>
                </c:pt>
                <c:pt idx="18">
                  <c:v>2.4785991270335527E-5</c:v>
                </c:pt>
                <c:pt idx="19">
                  <c:v>1.33842736338367E-5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0E5-430D-9A71-74A6BE11829D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calibration!$AK$3:$AK$23</c:f>
              <c:numCache>
                <c:formatCode>0.000000</c:formatCode>
                <c:ptCount val="21"/>
                <c:pt idx="0">
                  <c:v>7.597071740654826E-4</c:v>
                </c:pt>
                <c:pt idx="1">
                  <c:v>1.0459449839863352E-4</c:v>
                </c:pt>
                <c:pt idx="2">
                  <c:v>2.2305327652619194E-4</c:v>
                </c:pt>
                <c:pt idx="3">
                  <c:v>7.122741081016157E-4</c:v>
                </c:pt>
                <c:pt idx="4">
                  <c:v>5.0812731266276941E-4</c:v>
                </c:pt>
                <c:pt idx="5">
                  <c:v>9.9525095733030979E-5</c:v>
                </c:pt>
                <c:pt idx="6">
                  <c:v>2.1201135535078248E-4</c:v>
                </c:pt>
                <c:pt idx="7">
                  <c:v>4.8355324236411653E-5</c:v>
                </c:pt>
                <c:pt idx="8">
                  <c:v>4.9865198682043573E-5</c:v>
                </c:pt>
                <c:pt idx="9">
                  <c:v>3.4190220682561793E-5</c:v>
                </c:pt>
                <c:pt idx="10">
                  <c:v>2.731708644440693E-5</c:v>
                </c:pt>
                <c:pt idx="11">
                  <c:v>1.7069490991697714E-5</c:v>
                </c:pt>
                <c:pt idx="12">
                  <c:v>2.6499902877547969E-5</c:v>
                </c:pt>
                <c:pt idx="13">
                  <c:v>1.9832485946162398E-5</c:v>
                </c:pt>
                <c:pt idx="14">
                  <c:v>2.778213268156374E-5</c:v>
                </c:pt>
                <c:pt idx="15">
                  <c:v>6.2851258083761093E-5</c:v>
                </c:pt>
                <c:pt idx="16">
                  <c:v>4.325110652749035E-5</c:v>
                </c:pt>
                <c:pt idx="17">
                  <c:v>2.8063169752368214E-4</c:v>
                </c:pt>
                <c:pt idx="18">
                  <c:v>2.4785991270335527E-5</c:v>
                </c:pt>
                <c:pt idx="19">
                  <c:v>1.33842736338367E-5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0E5-430D-9A71-74A6BE1182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Med/Mean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Max*Med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calibration!$AI$3:$AI$23</c:f>
              <c:numCache>
                <c:formatCode>0.000000</c:formatCode>
                <c:ptCount val="21"/>
                <c:pt idx="0">
                  <c:v>2.4018475186843532E-3</c:v>
                </c:pt>
                <c:pt idx="1">
                  <c:v>3.7521037581370633E-4</c:v>
                </c:pt>
                <c:pt idx="2">
                  <c:v>5.2946294484639543E-4</c:v>
                </c:pt>
                <c:pt idx="3">
                  <c:v>1.5600604112957928E-3</c:v>
                </c:pt>
                <c:pt idx="4">
                  <c:v>9.6922980104990105E-4</c:v>
                </c:pt>
                <c:pt idx="5">
                  <c:v>4.9376279347392569E-4</c:v>
                </c:pt>
                <c:pt idx="6">
                  <c:v>4.0596995721442025E-4</c:v>
                </c:pt>
                <c:pt idx="7">
                  <c:v>1.1833995801134387E-4</c:v>
                </c:pt>
                <c:pt idx="8">
                  <c:v>7.4738054342176106E-5</c:v>
                </c:pt>
                <c:pt idx="9">
                  <c:v>5.7140972662678026E-5</c:v>
                </c:pt>
                <c:pt idx="10">
                  <c:v>5.3771833439545179E-5</c:v>
                </c:pt>
                <c:pt idx="11">
                  <c:v>2.1865003286142305E-5</c:v>
                </c:pt>
                <c:pt idx="12">
                  <c:v>6.5348753864087188E-5</c:v>
                </c:pt>
                <c:pt idx="13">
                  <c:v>4.4800006846918226E-5</c:v>
                </c:pt>
                <c:pt idx="14">
                  <c:v>1.0241365167302253E-4</c:v>
                </c:pt>
                <c:pt idx="15">
                  <c:v>2.3537113640772703E-4</c:v>
                </c:pt>
                <c:pt idx="16">
                  <c:v>2.212218958855158E-4</c:v>
                </c:pt>
                <c:pt idx="17">
                  <c:v>9.2393519961339978E-4</c:v>
                </c:pt>
                <c:pt idx="18">
                  <c:v>2.7631449835602376E-4</c:v>
                </c:pt>
                <c:pt idx="19">
                  <c:v>6.1833733835582188E-5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219-44C1-986D-DC882FD8255E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calibration!$AI$3:$AI$23</c:f>
              <c:numCache>
                <c:formatCode>0.000000</c:formatCode>
                <c:ptCount val="21"/>
                <c:pt idx="0">
                  <c:v>2.4018475186843532E-3</c:v>
                </c:pt>
                <c:pt idx="1">
                  <c:v>3.7521037581370633E-4</c:v>
                </c:pt>
                <c:pt idx="2">
                  <c:v>5.2946294484639543E-4</c:v>
                </c:pt>
                <c:pt idx="3">
                  <c:v>1.5600604112957928E-3</c:v>
                </c:pt>
                <c:pt idx="4">
                  <c:v>9.6922980104990105E-4</c:v>
                </c:pt>
                <c:pt idx="5">
                  <c:v>4.9376279347392569E-4</c:v>
                </c:pt>
                <c:pt idx="6">
                  <c:v>4.0596995721442025E-4</c:v>
                </c:pt>
                <c:pt idx="7">
                  <c:v>1.1833995801134387E-4</c:v>
                </c:pt>
                <c:pt idx="8">
                  <c:v>7.4738054342176106E-5</c:v>
                </c:pt>
                <c:pt idx="9">
                  <c:v>5.7140972662678026E-5</c:v>
                </c:pt>
                <c:pt idx="10">
                  <c:v>5.3771833439545179E-5</c:v>
                </c:pt>
                <c:pt idx="11">
                  <c:v>2.1865003286142305E-5</c:v>
                </c:pt>
                <c:pt idx="12">
                  <c:v>6.5348753864087188E-5</c:v>
                </c:pt>
                <c:pt idx="13">
                  <c:v>4.4800006846918226E-5</c:v>
                </c:pt>
                <c:pt idx="14">
                  <c:v>1.0241365167302253E-4</c:v>
                </c:pt>
                <c:pt idx="15">
                  <c:v>2.3537113640772703E-4</c:v>
                </c:pt>
                <c:pt idx="16">
                  <c:v>2.212218958855158E-4</c:v>
                </c:pt>
                <c:pt idx="17">
                  <c:v>9.2393519961339978E-4</c:v>
                </c:pt>
                <c:pt idx="18">
                  <c:v>2.7631449835602376E-4</c:v>
                </c:pt>
                <c:pt idx="19">
                  <c:v>6.1833733835582188E-5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219-44C1-986D-DC882FD825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Max/Med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Max*Mean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calibration!$AJ$3:$AJ$23</c:f>
              <c:numCache>
                <c:formatCode>0.000000</c:formatCode>
                <c:ptCount val="21"/>
                <c:pt idx="0">
                  <c:v>3.4752147683573759E-3</c:v>
                </c:pt>
                <c:pt idx="1">
                  <c:v>7.3711805643588205E-4</c:v>
                </c:pt>
                <c:pt idx="2">
                  <c:v>9.2467916950492537E-4</c:v>
                </c:pt>
                <c:pt idx="3">
                  <c:v>1.2229259443791579E-3</c:v>
                </c:pt>
                <c:pt idx="4">
                  <c:v>1.040196457217859E-3</c:v>
                </c:pt>
                <c:pt idx="5">
                  <c:v>1.8436809591756652E-3</c:v>
                </c:pt>
                <c:pt idx="6">
                  <c:v>4.0142529924261388E-4</c:v>
                </c:pt>
                <c:pt idx="7">
                  <c:v>2.065135647822808E-4</c:v>
                </c:pt>
                <c:pt idx="8">
                  <c:v>7.9226482766099602E-5</c:v>
                </c:pt>
                <c:pt idx="9">
                  <c:v>7.662278491993829E-5</c:v>
                </c:pt>
                <c:pt idx="10">
                  <c:v>5.735578984154967E-5</c:v>
                </c:pt>
                <c:pt idx="11">
                  <c:v>2.2852509532522461E-5</c:v>
                </c:pt>
                <c:pt idx="12">
                  <c:v>7.9517011110918925E-5</c:v>
                </c:pt>
                <c:pt idx="13">
                  <c:v>5.2507181659674734E-5</c:v>
                </c:pt>
                <c:pt idx="14">
                  <c:v>1.5646478251006346E-4</c:v>
                </c:pt>
                <c:pt idx="15">
                  <c:v>7.0831265040571822E-4</c:v>
                </c:pt>
                <c:pt idx="16">
                  <c:v>4.9728815311319511E-4</c:v>
                </c:pt>
                <c:pt idx="17">
                  <c:v>2.8484667877975898E-3</c:v>
                </c:pt>
                <c:pt idx="18">
                  <c:v>9.6621805609703243E-4</c:v>
                </c:pt>
                <c:pt idx="19">
                  <c:v>6.5109972355612588E-5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85-4342-8BAA-3C1AAD4D3AAB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calibration!$AJ$3:$AJ$23</c:f>
              <c:numCache>
                <c:formatCode>0.000000</c:formatCode>
                <c:ptCount val="21"/>
                <c:pt idx="0">
                  <c:v>3.4752147683573759E-3</c:v>
                </c:pt>
                <c:pt idx="1">
                  <c:v>7.3711805643588205E-4</c:v>
                </c:pt>
                <c:pt idx="2">
                  <c:v>9.2467916950492537E-4</c:v>
                </c:pt>
                <c:pt idx="3">
                  <c:v>1.2229259443791579E-3</c:v>
                </c:pt>
                <c:pt idx="4">
                  <c:v>1.040196457217859E-3</c:v>
                </c:pt>
                <c:pt idx="5">
                  <c:v>1.8436809591756652E-3</c:v>
                </c:pt>
                <c:pt idx="6">
                  <c:v>4.0142529924261388E-4</c:v>
                </c:pt>
                <c:pt idx="7">
                  <c:v>2.065135647822808E-4</c:v>
                </c:pt>
                <c:pt idx="8">
                  <c:v>7.9226482766099602E-5</c:v>
                </c:pt>
                <c:pt idx="9">
                  <c:v>7.662278491993829E-5</c:v>
                </c:pt>
                <c:pt idx="10">
                  <c:v>5.735578984154967E-5</c:v>
                </c:pt>
                <c:pt idx="11">
                  <c:v>2.2852509532522461E-5</c:v>
                </c:pt>
                <c:pt idx="12">
                  <c:v>7.9517011110918925E-5</c:v>
                </c:pt>
                <c:pt idx="13">
                  <c:v>5.2507181659674734E-5</c:v>
                </c:pt>
                <c:pt idx="14">
                  <c:v>1.5646478251006346E-4</c:v>
                </c:pt>
                <c:pt idx="15">
                  <c:v>7.0831265040571822E-4</c:v>
                </c:pt>
                <c:pt idx="16">
                  <c:v>4.9728815311319511E-4</c:v>
                </c:pt>
                <c:pt idx="17">
                  <c:v>2.8484667877975898E-3</c:v>
                </c:pt>
                <c:pt idx="18">
                  <c:v>9.6621805609703243E-4</c:v>
                </c:pt>
                <c:pt idx="19">
                  <c:v>6.5109972355612588E-5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85-4342-8BAA-3C1AAD4D3A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Ch6 -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calibration!$AC$3:$AC$23</c:f>
              <c:numCache>
                <c:formatCode>General</c:formatCode>
                <c:ptCount val="21"/>
                <c:pt idx="0">
                  <c:v>1.9640756704066457E-2</c:v>
                </c:pt>
                <c:pt idx="1">
                  <c:v>1.4593293306033922E-3</c:v>
                </c:pt>
                <c:pt idx="2">
                  <c:v>4.5205007246248404E-3</c:v>
                </c:pt>
                <c:pt idx="3">
                  <c:v>2.2607652597792825E-2</c:v>
                </c:pt>
                <c:pt idx="4">
                  <c:v>2.1759151907210301E-2</c:v>
                </c:pt>
                <c:pt idx="5">
                  <c:v>1.9360379462136377E-3</c:v>
                </c:pt>
                <c:pt idx="6">
                  <c:v>2.9285600586130799E-3</c:v>
                </c:pt>
                <c:pt idx="14">
                  <c:v>2.8429037536933531E-4</c:v>
                </c:pt>
                <c:pt idx="15">
                  <c:v>6.0934019496750936E-4</c:v>
                </c:pt>
                <c:pt idx="16">
                  <c:v>8.7728076140791006E-4</c:v>
                </c:pt>
                <c:pt idx="17">
                  <c:v>7.632617962595809E-3</c:v>
                </c:pt>
                <c:pt idx="18">
                  <c:v>3.7273110848430916E-4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E2E-4239-BD95-2AB8E35E46BC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calibration!$AC$3:$AC$23</c:f>
              <c:numCache>
                <c:formatCode>General</c:formatCode>
                <c:ptCount val="21"/>
                <c:pt idx="0">
                  <c:v>1.9640756704066457E-2</c:v>
                </c:pt>
                <c:pt idx="1">
                  <c:v>1.4593293306033922E-3</c:v>
                </c:pt>
                <c:pt idx="2">
                  <c:v>4.5205007246248404E-3</c:v>
                </c:pt>
                <c:pt idx="3">
                  <c:v>2.2607652597792825E-2</c:v>
                </c:pt>
                <c:pt idx="4">
                  <c:v>2.1759151907210301E-2</c:v>
                </c:pt>
                <c:pt idx="5">
                  <c:v>1.9360379462136377E-3</c:v>
                </c:pt>
                <c:pt idx="6">
                  <c:v>2.9285600586130799E-3</c:v>
                </c:pt>
                <c:pt idx="14">
                  <c:v>2.8429037536933531E-4</c:v>
                </c:pt>
                <c:pt idx="15">
                  <c:v>6.0934019496750936E-4</c:v>
                </c:pt>
                <c:pt idx="16">
                  <c:v>8.7728076140791006E-4</c:v>
                </c:pt>
                <c:pt idx="17">
                  <c:v>7.632617962595809E-3</c:v>
                </c:pt>
                <c:pt idx="18">
                  <c:v>3.7273110848430916E-4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E2E-4239-BD95-2AB8E35E46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Ch5 -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calibration!$AD$3:$AD$23</c:f>
              <c:numCache>
                <c:formatCode>General</c:formatCode>
                <c:ptCount val="21"/>
                <c:pt idx="0">
                  <c:v>5.2375351210843885E-2</c:v>
                </c:pt>
                <c:pt idx="1">
                  <c:v>5.8373173224135688E-3</c:v>
                </c:pt>
                <c:pt idx="2">
                  <c:v>3.6164005796998723E-2</c:v>
                </c:pt>
                <c:pt idx="3">
                  <c:v>0.10927032088933199</c:v>
                </c:pt>
                <c:pt idx="4">
                  <c:v>0.10154270890031475</c:v>
                </c:pt>
                <c:pt idx="5">
                  <c:v>1.4197611605566676E-2</c:v>
                </c:pt>
                <c:pt idx="6">
                  <c:v>3.8071280761970042E-2</c:v>
                </c:pt>
                <c:pt idx="7">
                  <c:v>4.2111775324802639E-3</c:v>
                </c:pt>
                <c:pt idx="8">
                  <c:v>1.7146460818318651E-3</c:v>
                </c:pt>
                <c:pt idx="9">
                  <c:v>8.4157834047911165E-4</c:v>
                </c:pt>
                <c:pt idx="10">
                  <c:v>5.0606462291010194E-4</c:v>
                </c:pt>
                <c:pt idx="12">
                  <c:v>2.33335477948165E-4</c:v>
                </c:pt>
                <c:pt idx="13">
                  <c:v>2.0567820246772904E-4</c:v>
                </c:pt>
                <c:pt idx="14">
                  <c:v>1.4214518768466767E-3</c:v>
                </c:pt>
                <c:pt idx="15">
                  <c:v>9.1401029245126407E-3</c:v>
                </c:pt>
                <c:pt idx="16">
                  <c:v>4.3864038070395503E-3</c:v>
                </c:pt>
                <c:pt idx="17">
                  <c:v>3.8799141309862027E-2</c:v>
                </c:pt>
                <c:pt idx="18">
                  <c:v>1.7039136387854135E-3</c:v>
                </c:pt>
                <c:pt idx="19">
                  <c:v>1.069566365560682E-4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CF2-48BC-A693-1F102596C176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calibration!$AD$3:$AD$23</c:f>
              <c:numCache>
                <c:formatCode>General</c:formatCode>
                <c:ptCount val="21"/>
                <c:pt idx="0">
                  <c:v>5.2375351210843885E-2</c:v>
                </c:pt>
                <c:pt idx="1">
                  <c:v>5.8373173224135688E-3</c:v>
                </c:pt>
                <c:pt idx="2">
                  <c:v>3.6164005796998723E-2</c:v>
                </c:pt>
                <c:pt idx="3">
                  <c:v>0.10927032088933199</c:v>
                </c:pt>
                <c:pt idx="4">
                  <c:v>0.10154270890031475</c:v>
                </c:pt>
                <c:pt idx="5">
                  <c:v>1.4197611605566676E-2</c:v>
                </c:pt>
                <c:pt idx="6">
                  <c:v>3.8071280761970042E-2</c:v>
                </c:pt>
                <c:pt idx="7">
                  <c:v>4.2111775324802639E-3</c:v>
                </c:pt>
                <c:pt idx="8">
                  <c:v>1.7146460818318651E-3</c:v>
                </c:pt>
                <c:pt idx="9">
                  <c:v>8.4157834047911165E-4</c:v>
                </c:pt>
                <c:pt idx="10">
                  <c:v>5.0606462291010194E-4</c:v>
                </c:pt>
                <c:pt idx="12">
                  <c:v>2.33335477948165E-4</c:v>
                </c:pt>
                <c:pt idx="13">
                  <c:v>2.0567820246772904E-4</c:v>
                </c:pt>
                <c:pt idx="14">
                  <c:v>1.4214518768466767E-3</c:v>
                </c:pt>
                <c:pt idx="15">
                  <c:v>9.1401029245126407E-3</c:v>
                </c:pt>
                <c:pt idx="16">
                  <c:v>4.3864038070395503E-3</c:v>
                </c:pt>
                <c:pt idx="17">
                  <c:v>3.8799141309862027E-2</c:v>
                </c:pt>
                <c:pt idx="18">
                  <c:v>1.7039136387854135E-3</c:v>
                </c:pt>
                <c:pt idx="19">
                  <c:v>1.069566365560682E-4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CF2-48BC-A693-1F102596C1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Ch6 - Imp/s * Mean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calibration!$AL$3:$AL$23</c:f>
              <c:numCache>
                <c:formatCode>General</c:formatCode>
                <c:ptCount val="21"/>
                <c:pt idx="0">
                  <c:v>2.8418060359249629E-2</c:v>
                </c:pt>
                <c:pt idx="1">
                  <c:v>2.8669196515192803E-3</c:v>
                </c:pt>
                <c:pt idx="2">
                  <c:v>7.8948166183852413E-3</c:v>
                </c:pt>
                <c:pt idx="3">
                  <c:v>1.7722060442766824E-2</c:v>
                </c:pt>
                <c:pt idx="4">
                  <c:v>2.3352349155409499E-2</c:v>
                </c:pt>
                <c:pt idx="5">
                  <c:v>7.2290507605128757E-3</c:v>
                </c:pt>
                <c:pt idx="6">
                  <c:v>2.8957760962046004E-3</c:v>
                </c:pt>
                <c:pt idx="14">
                  <c:v>4.3433107818363734E-4</c:v>
                </c:pt>
                <c:pt idx="15">
                  <c:v>1.8337140869665466E-3</c:v>
                </c:pt>
                <c:pt idx="16">
                  <c:v>1.9720531182322301E-3</c:v>
                </c:pt>
                <c:pt idx="17">
                  <c:v>2.3531151080182482E-2</c:v>
                </c:pt>
                <c:pt idx="18">
                  <c:v>1.3033681881671345E-3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5AB-4873-9DAD-9F4EB04D7989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calibration!$AL$3:$AL$23</c:f>
              <c:numCache>
                <c:formatCode>General</c:formatCode>
                <c:ptCount val="21"/>
                <c:pt idx="0">
                  <c:v>2.8418060359249629E-2</c:v>
                </c:pt>
                <c:pt idx="1">
                  <c:v>2.8669196515192803E-3</c:v>
                </c:pt>
                <c:pt idx="2">
                  <c:v>7.8948166183852413E-3</c:v>
                </c:pt>
                <c:pt idx="3">
                  <c:v>1.7722060442766824E-2</c:v>
                </c:pt>
                <c:pt idx="4">
                  <c:v>2.3352349155409499E-2</c:v>
                </c:pt>
                <c:pt idx="5">
                  <c:v>7.2290507605128757E-3</c:v>
                </c:pt>
                <c:pt idx="6">
                  <c:v>2.8957760962046004E-3</c:v>
                </c:pt>
                <c:pt idx="14">
                  <c:v>4.3433107818363734E-4</c:v>
                </c:pt>
                <c:pt idx="15">
                  <c:v>1.8337140869665466E-3</c:v>
                </c:pt>
                <c:pt idx="16">
                  <c:v>1.9720531182322301E-3</c:v>
                </c:pt>
                <c:pt idx="17">
                  <c:v>2.3531151080182482E-2</c:v>
                </c:pt>
                <c:pt idx="18">
                  <c:v>1.3033681881671345E-3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5AB-4873-9DAD-9F4EB04D79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MeanAmp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Ch5 - Imp/s * Mean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calibration!$AM$3:$AM$23</c:f>
              <c:numCache>
                <c:formatCode>General</c:formatCode>
                <c:ptCount val="21"/>
                <c:pt idx="0">
                  <c:v>7.5781494291332338E-2</c:v>
                </c:pt>
                <c:pt idx="1">
                  <c:v>1.1467678606077121E-2</c:v>
                </c:pt>
                <c:pt idx="2">
                  <c:v>6.315853294708193E-2</c:v>
                </c:pt>
                <c:pt idx="3">
                  <c:v>8.565662547337298E-2</c:v>
                </c:pt>
                <c:pt idx="4">
                  <c:v>0.108977629391911</c:v>
                </c:pt>
                <c:pt idx="5">
                  <c:v>5.3013038910427752E-2</c:v>
                </c:pt>
                <c:pt idx="6">
                  <c:v>3.7645089250659805E-2</c:v>
                </c:pt>
                <c:pt idx="7">
                  <c:v>7.3488726781547765E-3</c:v>
                </c:pt>
                <c:pt idx="8">
                  <c:v>1.8176199453930975E-3</c:v>
                </c:pt>
                <c:pt idx="9">
                  <c:v>1.1285085494865533E-3</c:v>
                </c:pt>
                <c:pt idx="10">
                  <c:v>5.3979442955963311E-4</c:v>
                </c:pt>
                <c:pt idx="12">
                  <c:v>2.8392492121831199E-4</c:v>
                </c:pt>
                <c:pt idx="13">
                  <c:v>2.4106207789901949E-4</c:v>
                </c:pt>
                <c:pt idx="14">
                  <c:v>2.1716553909181865E-3</c:v>
                </c:pt>
                <c:pt idx="15">
                  <c:v>2.75057113044982E-2</c:v>
                </c:pt>
                <c:pt idx="16">
                  <c:v>9.8602655911611495E-3</c:v>
                </c:pt>
                <c:pt idx="17">
                  <c:v>0.11961668465759427</c:v>
                </c:pt>
                <c:pt idx="18">
                  <c:v>5.9582545744783291E-3</c:v>
                </c:pt>
                <c:pt idx="19">
                  <c:v>1.1262369611921293E-4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E55-4879-9D06-99824DF9D933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calibration!$AM$3:$AM$23</c:f>
              <c:numCache>
                <c:formatCode>General</c:formatCode>
                <c:ptCount val="21"/>
                <c:pt idx="0">
                  <c:v>7.5781494291332338E-2</c:v>
                </c:pt>
                <c:pt idx="1">
                  <c:v>1.1467678606077121E-2</c:v>
                </c:pt>
                <c:pt idx="2">
                  <c:v>6.315853294708193E-2</c:v>
                </c:pt>
                <c:pt idx="3">
                  <c:v>8.565662547337298E-2</c:v>
                </c:pt>
                <c:pt idx="4">
                  <c:v>0.108977629391911</c:v>
                </c:pt>
                <c:pt idx="5">
                  <c:v>5.3013038910427752E-2</c:v>
                </c:pt>
                <c:pt idx="6">
                  <c:v>3.7645089250659805E-2</c:v>
                </c:pt>
                <c:pt idx="7">
                  <c:v>7.3488726781547765E-3</c:v>
                </c:pt>
                <c:pt idx="8">
                  <c:v>1.8176199453930975E-3</c:v>
                </c:pt>
                <c:pt idx="9">
                  <c:v>1.1285085494865533E-3</c:v>
                </c:pt>
                <c:pt idx="10">
                  <c:v>5.3979442955963311E-4</c:v>
                </c:pt>
                <c:pt idx="12">
                  <c:v>2.8392492121831199E-4</c:v>
                </c:pt>
                <c:pt idx="13">
                  <c:v>2.4106207789901949E-4</c:v>
                </c:pt>
                <c:pt idx="14">
                  <c:v>2.1716553909181865E-3</c:v>
                </c:pt>
                <c:pt idx="15">
                  <c:v>2.75057113044982E-2</c:v>
                </c:pt>
                <c:pt idx="16">
                  <c:v>9.8602655911611495E-3</c:v>
                </c:pt>
                <c:pt idx="17">
                  <c:v>0.11961668465759427</c:v>
                </c:pt>
                <c:pt idx="18">
                  <c:v>5.9582545744783291E-3</c:v>
                </c:pt>
                <c:pt idx="19">
                  <c:v>1.1262369611921293E-4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E55-4879-9D06-99824DF9D9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MeanAmp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Ch4 - Imp/s * Mean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calibration!$AN$3:$AN$23</c:f>
              <c:numCache>
                <c:formatCode>General</c:formatCode>
                <c:ptCount val="21"/>
                <c:pt idx="0">
                  <c:v>0.45468896574799406</c:v>
                </c:pt>
                <c:pt idx="1">
                  <c:v>9.3174888674376594E-2</c:v>
                </c:pt>
                <c:pt idx="2">
                  <c:v>0.16184374067689741</c:v>
                </c:pt>
                <c:pt idx="3">
                  <c:v>0.301275027527036</c:v>
                </c:pt>
                <c:pt idx="4">
                  <c:v>0.31914877179059647</c:v>
                </c:pt>
                <c:pt idx="5">
                  <c:v>0.13976164803658225</c:v>
                </c:pt>
                <c:pt idx="6">
                  <c:v>0.1129352677519794</c:v>
                </c:pt>
                <c:pt idx="7">
                  <c:v>3.6744363390773881E-2</c:v>
                </c:pt>
                <c:pt idx="8">
                  <c:v>2.181143934471717E-2</c:v>
                </c:pt>
                <c:pt idx="9">
                  <c:v>1.9184645341271407E-2</c:v>
                </c:pt>
                <c:pt idx="10">
                  <c:v>5.9377387251559636E-3</c:v>
                </c:pt>
                <c:pt idx="11">
                  <c:v>8.4475827939685811E-4</c:v>
                </c:pt>
                <c:pt idx="12">
                  <c:v>5.1106485819296162E-3</c:v>
                </c:pt>
                <c:pt idx="13">
                  <c:v>2.6516828568892144E-3</c:v>
                </c:pt>
                <c:pt idx="14">
                  <c:v>1.1292608032774572E-2</c:v>
                </c:pt>
                <c:pt idx="15">
                  <c:v>0.10085427478316006</c:v>
                </c:pt>
                <c:pt idx="16">
                  <c:v>3.3524903009947905E-2</c:v>
                </c:pt>
                <c:pt idx="17">
                  <c:v>0.36669377099951034</c:v>
                </c:pt>
                <c:pt idx="18">
                  <c:v>2.7556927406962271E-2</c:v>
                </c:pt>
                <c:pt idx="19">
                  <c:v>6.3820094467553995E-4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641-46D6-AF6A-DBC132FF92D7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calibration!$AN$3:$AN$23</c:f>
              <c:numCache>
                <c:formatCode>General</c:formatCode>
                <c:ptCount val="21"/>
                <c:pt idx="0">
                  <c:v>0.45468896574799406</c:v>
                </c:pt>
                <c:pt idx="1">
                  <c:v>9.3174888674376594E-2</c:v>
                </c:pt>
                <c:pt idx="2">
                  <c:v>0.16184374067689741</c:v>
                </c:pt>
                <c:pt idx="3">
                  <c:v>0.301275027527036</c:v>
                </c:pt>
                <c:pt idx="4">
                  <c:v>0.31914877179059647</c:v>
                </c:pt>
                <c:pt idx="5">
                  <c:v>0.13976164803658225</c:v>
                </c:pt>
                <c:pt idx="6">
                  <c:v>0.1129352677519794</c:v>
                </c:pt>
                <c:pt idx="7">
                  <c:v>3.6744363390773881E-2</c:v>
                </c:pt>
                <c:pt idx="8">
                  <c:v>2.181143934471717E-2</c:v>
                </c:pt>
                <c:pt idx="9">
                  <c:v>1.9184645341271407E-2</c:v>
                </c:pt>
                <c:pt idx="10">
                  <c:v>5.9377387251559636E-3</c:v>
                </c:pt>
                <c:pt idx="11">
                  <c:v>8.4475827939685811E-4</c:v>
                </c:pt>
                <c:pt idx="12">
                  <c:v>5.1106485819296162E-3</c:v>
                </c:pt>
                <c:pt idx="13">
                  <c:v>2.6516828568892144E-3</c:v>
                </c:pt>
                <c:pt idx="14">
                  <c:v>1.1292608032774572E-2</c:v>
                </c:pt>
                <c:pt idx="15">
                  <c:v>0.10085427478316006</c:v>
                </c:pt>
                <c:pt idx="16">
                  <c:v>3.3524903009947905E-2</c:v>
                </c:pt>
                <c:pt idx="17">
                  <c:v>0.36669377099951034</c:v>
                </c:pt>
                <c:pt idx="18">
                  <c:v>2.7556927406962271E-2</c:v>
                </c:pt>
                <c:pt idx="19">
                  <c:v>6.3820094467553995E-4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641-46D6-AF6A-DBC132FF92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MeanAmp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Ch3 - Imp/s * Mean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calibration!$AO$3:$AO$23</c:f>
              <c:numCache>
                <c:formatCode>General</c:formatCode>
                <c:ptCount val="21"/>
                <c:pt idx="0">
                  <c:v>1.2503946558069836</c:v>
                </c:pt>
                <c:pt idx="1">
                  <c:v>0.27952466602312981</c:v>
                </c:pt>
                <c:pt idx="2">
                  <c:v>0.54868975497777428</c:v>
                </c:pt>
                <c:pt idx="3">
                  <c:v>0.72660447815343976</c:v>
                </c:pt>
                <c:pt idx="4">
                  <c:v>0.80176398766905954</c:v>
                </c:pt>
                <c:pt idx="5">
                  <c:v>0.39759779182820815</c:v>
                </c:pt>
                <c:pt idx="6">
                  <c:v>0.2258705355039588</c:v>
                </c:pt>
                <c:pt idx="7">
                  <c:v>0.11115169925709098</c:v>
                </c:pt>
                <c:pt idx="8">
                  <c:v>0.10360433688740656</c:v>
                </c:pt>
                <c:pt idx="9">
                  <c:v>8.5766649760978045E-2</c:v>
                </c:pt>
                <c:pt idx="10">
                  <c:v>3.3467254632697251E-2</c:v>
                </c:pt>
                <c:pt idx="11">
                  <c:v>1.351613247034973E-2</c:v>
                </c:pt>
                <c:pt idx="12">
                  <c:v>4.2872663103965113E-2</c:v>
                </c:pt>
                <c:pt idx="13">
                  <c:v>2.4829394023599009E-2</c:v>
                </c:pt>
                <c:pt idx="14">
                  <c:v>4.8645080756567385E-2</c:v>
                </c:pt>
                <c:pt idx="15">
                  <c:v>0.25580311513183329</c:v>
                </c:pt>
                <c:pt idx="16">
                  <c:v>0.12078825349172408</c:v>
                </c:pt>
                <c:pt idx="17">
                  <c:v>0.96085533577411786</c:v>
                </c:pt>
                <c:pt idx="18">
                  <c:v>8.8442841339912703E-2</c:v>
                </c:pt>
                <c:pt idx="19">
                  <c:v>8.2966122807820192E-3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F6E-45EA-AA79-F9321E0B30C2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calibration!$AO$3:$AO$23</c:f>
              <c:numCache>
                <c:formatCode>General</c:formatCode>
                <c:ptCount val="21"/>
                <c:pt idx="0">
                  <c:v>1.2503946558069836</c:v>
                </c:pt>
                <c:pt idx="1">
                  <c:v>0.27952466602312981</c:v>
                </c:pt>
                <c:pt idx="2">
                  <c:v>0.54868975497777428</c:v>
                </c:pt>
                <c:pt idx="3">
                  <c:v>0.72660447815343976</c:v>
                </c:pt>
                <c:pt idx="4">
                  <c:v>0.80176398766905954</c:v>
                </c:pt>
                <c:pt idx="5">
                  <c:v>0.39759779182820815</c:v>
                </c:pt>
                <c:pt idx="6">
                  <c:v>0.2258705355039588</c:v>
                </c:pt>
                <c:pt idx="7">
                  <c:v>0.11115169925709098</c:v>
                </c:pt>
                <c:pt idx="8">
                  <c:v>0.10360433688740656</c:v>
                </c:pt>
                <c:pt idx="9">
                  <c:v>8.5766649760978045E-2</c:v>
                </c:pt>
                <c:pt idx="10">
                  <c:v>3.3467254632697251E-2</c:v>
                </c:pt>
                <c:pt idx="11">
                  <c:v>1.351613247034973E-2</c:v>
                </c:pt>
                <c:pt idx="12">
                  <c:v>4.2872663103965113E-2</c:v>
                </c:pt>
                <c:pt idx="13">
                  <c:v>2.4829394023599009E-2</c:v>
                </c:pt>
                <c:pt idx="14">
                  <c:v>4.8645080756567385E-2</c:v>
                </c:pt>
                <c:pt idx="15">
                  <c:v>0.25580311513183329</c:v>
                </c:pt>
                <c:pt idx="16">
                  <c:v>0.12078825349172408</c:v>
                </c:pt>
                <c:pt idx="17">
                  <c:v>0.96085533577411786</c:v>
                </c:pt>
                <c:pt idx="18">
                  <c:v>8.8442841339912703E-2</c:v>
                </c:pt>
                <c:pt idx="19">
                  <c:v>8.2966122807820192E-3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F6E-45EA-AA79-F9321E0B30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MeanAmp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Ch2 - Imp/s * Mean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calibration!$AP$3:$AP$23</c:f>
              <c:numCache>
                <c:formatCode>General</c:formatCode>
                <c:ptCount val="21"/>
                <c:pt idx="0">
                  <c:v>2.8607514094977962</c:v>
                </c:pt>
                <c:pt idx="1">
                  <c:v>0.90021277057705384</c:v>
                </c:pt>
                <c:pt idx="2">
                  <c:v>1.6342270400057448</c:v>
                </c:pt>
                <c:pt idx="3">
                  <c:v>1.4561626330473407</c:v>
                </c:pt>
                <c:pt idx="4">
                  <c:v>2.5142695923990894</c:v>
                </c:pt>
                <c:pt idx="5">
                  <c:v>1.3470131250422324</c:v>
                </c:pt>
                <c:pt idx="6">
                  <c:v>0.999042753190587</c:v>
                </c:pt>
                <c:pt idx="7">
                  <c:v>0.57964233248945796</c:v>
                </c:pt>
                <c:pt idx="8">
                  <c:v>0.49984548498310183</c:v>
                </c:pt>
                <c:pt idx="9">
                  <c:v>0.37015080423158947</c:v>
                </c:pt>
                <c:pt idx="10">
                  <c:v>0.32765521874269726</c:v>
                </c:pt>
                <c:pt idx="11">
                  <c:v>0.22639521887835795</c:v>
                </c:pt>
                <c:pt idx="12">
                  <c:v>0.33957420577710112</c:v>
                </c:pt>
                <c:pt idx="13">
                  <c:v>0.23431233971784696</c:v>
                </c:pt>
                <c:pt idx="14">
                  <c:v>0.35224250440692989</c:v>
                </c:pt>
                <c:pt idx="15">
                  <c:v>0.94619646887473807</c:v>
                </c:pt>
                <c:pt idx="16">
                  <c:v>0.56943033788955644</c:v>
                </c:pt>
                <c:pt idx="17">
                  <c:v>1.998186912558829</c:v>
                </c:pt>
                <c:pt idx="18">
                  <c:v>0.35060604261695916</c:v>
                </c:pt>
                <c:pt idx="19">
                  <c:v>0.11130975299782211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240-4D12-959C-8476D2C4DE7F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calibration!$AP$3:$AP$23</c:f>
              <c:numCache>
                <c:formatCode>General</c:formatCode>
                <c:ptCount val="21"/>
                <c:pt idx="0">
                  <c:v>2.8607514094977962</c:v>
                </c:pt>
                <c:pt idx="1">
                  <c:v>0.90021277057705384</c:v>
                </c:pt>
                <c:pt idx="2">
                  <c:v>1.6342270400057448</c:v>
                </c:pt>
                <c:pt idx="3">
                  <c:v>1.4561626330473407</c:v>
                </c:pt>
                <c:pt idx="4">
                  <c:v>2.5142695923990894</c:v>
                </c:pt>
                <c:pt idx="5">
                  <c:v>1.3470131250422324</c:v>
                </c:pt>
                <c:pt idx="6">
                  <c:v>0.999042753190587</c:v>
                </c:pt>
                <c:pt idx="7">
                  <c:v>0.57964233248945796</c:v>
                </c:pt>
                <c:pt idx="8">
                  <c:v>0.49984548498310183</c:v>
                </c:pt>
                <c:pt idx="9">
                  <c:v>0.37015080423158947</c:v>
                </c:pt>
                <c:pt idx="10">
                  <c:v>0.32765521874269726</c:v>
                </c:pt>
                <c:pt idx="11">
                  <c:v>0.22639521887835795</c:v>
                </c:pt>
                <c:pt idx="12">
                  <c:v>0.33957420577710112</c:v>
                </c:pt>
                <c:pt idx="13">
                  <c:v>0.23431233971784696</c:v>
                </c:pt>
                <c:pt idx="14">
                  <c:v>0.35224250440692989</c:v>
                </c:pt>
                <c:pt idx="15">
                  <c:v>0.94619646887473807</c:v>
                </c:pt>
                <c:pt idx="16">
                  <c:v>0.56943033788955644</c:v>
                </c:pt>
                <c:pt idx="17">
                  <c:v>1.998186912558829</c:v>
                </c:pt>
                <c:pt idx="18">
                  <c:v>0.35060604261695916</c:v>
                </c:pt>
                <c:pt idx="19">
                  <c:v>0.11130975299782211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240-4D12-959C-8476D2C4DE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MeanAmp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Ch1 - Imp/s * Mean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calibration!$AQ$3:$AQ$23</c:f>
              <c:numCache>
                <c:formatCode>General</c:formatCode>
                <c:ptCount val="21"/>
                <c:pt idx="0">
                  <c:v>4.6321438385576901</c:v>
                </c:pt>
                <c:pt idx="1">
                  <c:v>2.4225471055337917</c:v>
                </c:pt>
                <c:pt idx="2">
                  <c:v>3.481614128707891</c:v>
                </c:pt>
                <c:pt idx="3">
                  <c:v>3.9254363880728516</c:v>
                </c:pt>
                <c:pt idx="4">
                  <c:v>4.3513210592913039</c:v>
                </c:pt>
                <c:pt idx="5">
                  <c:v>3.335002084183273</c:v>
                </c:pt>
                <c:pt idx="6">
                  <c:v>2.7307168587209376</c:v>
                </c:pt>
                <c:pt idx="7">
                  <c:v>1.7279036884511416</c:v>
                </c:pt>
                <c:pt idx="8">
                  <c:v>1.5086245546762709</c:v>
                </c:pt>
                <c:pt idx="9">
                  <c:v>1.3858084987694874</c:v>
                </c:pt>
                <c:pt idx="10">
                  <c:v>1.0315471548884587</c:v>
                </c:pt>
                <c:pt idx="11">
                  <c:v>0.85320586219082661</c:v>
                </c:pt>
                <c:pt idx="12">
                  <c:v>1.0269564400466344</c:v>
                </c:pt>
                <c:pt idx="13">
                  <c:v>0.84395833472446724</c:v>
                </c:pt>
                <c:pt idx="14">
                  <c:v>1.2196016675396537</c:v>
                </c:pt>
                <c:pt idx="15">
                  <c:v>2.3563226017520127</c:v>
                </c:pt>
                <c:pt idx="16">
                  <c:v>1.654552566196841</c:v>
                </c:pt>
                <c:pt idx="17">
                  <c:v>4.4277782615876697</c:v>
                </c:pt>
                <c:pt idx="18">
                  <c:v>1.0922225416840587</c:v>
                </c:pt>
                <c:pt idx="19">
                  <c:v>0.5592517336959717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343-461F-9ECF-1CA71720356D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calibration!$AQ$3:$AQ$23</c:f>
              <c:numCache>
                <c:formatCode>General</c:formatCode>
                <c:ptCount val="21"/>
                <c:pt idx="0">
                  <c:v>4.6321438385576901</c:v>
                </c:pt>
                <c:pt idx="1">
                  <c:v>2.4225471055337917</c:v>
                </c:pt>
                <c:pt idx="2">
                  <c:v>3.481614128707891</c:v>
                </c:pt>
                <c:pt idx="3">
                  <c:v>3.9254363880728516</c:v>
                </c:pt>
                <c:pt idx="4">
                  <c:v>4.3513210592913039</c:v>
                </c:pt>
                <c:pt idx="5">
                  <c:v>3.335002084183273</c:v>
                </c:pt>
                <c:pt idx="6">
                  <c:v>2.7307168587209376</c:v>
                </c:pt>
                <c:pt idx="7">
                  <c:v>1.7279036884511416</c:v>
                </c:pt>
                <c:pt idx="8">
                  <c:v>1.5086245546762709</c:v>
                </c:pt>
                <c:pt idx="9">
                  <c:v>1.3858084987694874</c:v>
                </c:pt>
                <c:pt idx="10">
                  <c:v>1.0315471548884587</c:v>
                </c:pt>
                <c:pt idx="11">
                  <c:v>0.85320586219082661</c:v>
                </c:pt>
                <c:pt idx="12">
                  <c:v>1.0269564400466344</c:v>
                </c:pt>
                <c:pt idx="13">
                  <c:v>0.84395833472446724</c:v>
                </c:pt>
                <c:pt idx="14">
                  <c:v>1.2196016675396537</c:v>
                </c:pt>
                <c:pt idx="15">
                  <c:v>2.3563226017520127</c:v>
                </c:pt>
                <c:pt idx="16">
                  <c:v>1.654552566196841</c:v>
                </c:pt>
                <c:pt idx="17">
                  <c:v>4.4277782615876697</c:v>
                </c:pt>
                <c:pt idx="18">
                  <c:v>1.0922225416840587</c:v>
                </c:pt>
                <c:pt idx="19">
                  <c:v>0.5592517336959717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D343-461F-9ECF-1CA7172035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MeanAmp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Mean/Med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1.541320618550701E-2"/>
                  <c:y val="0.22908044254351076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calibration!$AT$3:$AT$23</c:f>
              <c:numCache>
                <c:formatCode>0.000</c:formatCode>
                <c:ptCount val="21"/>
                <c:pt idx="0">
                  <c:v>1.4468923365547266</c:v>
                </c:pt>
                <c:pt idx="1">
                  <c:v>1.9645460359067055</c:v>
                </c:pt>
                <c:pt idx="2">
                  <c:v>1.7464473737122201</c:v>
                </c:pt>
                <c:pt idx="3">
                  <c:v>0.78389653088074351</c:v>
                </c:pt>
                <c:pt idx="4">
                  <c:v>1.0732196390279007</c:v>
                </c:pt>
                <c:pt idx="5">
                  <c:v>3.7339406361589802</c:v>
                </c:pt>
                <c:pt idx="6">
                  <c:v>0.98880543278869759</c:v>
                </c:pt>
                <c:pt idx="7">
                  <c:v>1.745087358933191</c:v>
                </c:pt>
                <c:pt idx="8">
                  <c:v>1.0600554625542427</c:v>
                </c:pt>
                <c:pt idx="9">
                  <c:v>1.3409429582563779</c:v>
                </c:pt>
                <c:pt idx="10">
                  <c:v>1.0666511846956803</c:v>
                </c:pt>
                <c:pt idx="11">
                  <c:v>1.0451637822074338</c:v>
                </c:pt>
                <c:pt idx="12">
                  <c:v>1.2168099069845921</c:v>
                </c:pt>
                <c:pt idx="13">
                  <c:v>1.1720351257778141</c:v>
                </c:pt>
                <c:pt idx="14">
                  <c:v>1.5277727134426444</c:v>
                </c:pt>
                <c:pt idx="15">
                  <c:v>3.0093437165495409</c:v>
                </c:pt>
                <c:pt idx="16">
                  <c:v>2.2479156103541662</c:v>
                </c:pt>
                <c:pt idx="17">
                  <c:v>3.082972473599304</c:v>
                </c:pt>
                <c:pt idx="18">
                  <c:v>3.4968054946291187</c:v>
                </c:pt>
                <c:pt idx="19">
                  <c:v>1.0529846463540762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40E-436B-BAEA-B62C351E0D8C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calibration!$AT$3:$AT$23</c:f>
              <c:numCache>
                <c:formatCode>0.000</c:formatCode>
                <c:ptCount val="21"/>
                <c:pt idx="0">
                  <c:v>1.4468923365547266</c:v>
                </c:pt>
                <c:pt idx="1">
                  <c:v>1.9645460359067055</c:v>
                </c:pt>
                <c:pt idx="2">
                  <c:v>1.7464473737122201</c:v>
                </c:pt>
                <c:pt idx="3">
                  <c:v>0.78389653088074351</c:v>
                </c:pt>
                <c:pt idx="4">
                  <c:v>1.0732196390279007</c:v>
                </c:pt>
                <c:pt idx="5">
                  <c:v>3.7339406361589802</c:v>
                </c:pt>
                <c:pt idx="6">
                  <c:v>0.98880543278869759</c:v>
                </c:pt>
                <c:pt idx="7">
                  <c:v>1.745087358933191</c:v>
                </c:pt>
                <c:pt idx="8">
                  <c:v>1.0600554625542427</c:v>
                </c:pt>
                <c:pt idx="9">
                  <c:v>1.3409429582563779</c:v>
                </c:pt>
                <c:pt idx="10">
                  <c:v>1.0666511846956803</c:v>
                </c:pt>
                <c:pt idx="11">
                  <c:v>1.0451637822074338</c:v>
                </c:pt>
                <c:pt idx="12">
                  <c:v>1.2168099069845921</c:v>
                </c:pt>
                <c:pt idx="13">
                  <c:v>1.1720351257778141</c:v>
                </c:pt>
                <c:pt idx="14">
                  <c:v>1.5277727134426444</c:v>
                </c:pt>
                <c:pt idx="15">
                  <c:v>3.0093437165495409</c:v>
                </c:pt>
                <c:pt idx="16">
                  <c:v>2.2479156103541662</c:v>
                </c:pt>
                <c:pt idx="17">
                  <c:v>3.082972473599304</c:v>
                </c:pt>
                <c:pt idx="18">
                  <c:v>3.4968054946291187</c:v>
                </c:pt>
                <c:pt idx="19">
                  <c:v>1.0529846463540762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40E-436B-BAEA-B62C351E0D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Med/Mean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Med/Max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calibration!$AR$3:$AR$23</c:f>
              <c:numCache>
                <c:formatCode>0.000</c:formatCode>
                <c:ptCount val="21"/>
                <c:pt idx="0">
                  <c:v>0.21860725874636291</c:v>
                </c:pt>
                <c:pt idx="1">
                  <c:v>0.14189653541302394</c:v>
                </c:pt>
                <c:pt idx="2">
                  <c:v>0.24122234379478344</c:v>
                </c:pt>
                <c:pt idx="3">
                  <c:v>0.5824343750129658</c:v>
                </c:pt>
                <c:pt idx="4">
                  <c:v>0.48849167783345676</c:v>
                </c:pt>
                <c:pt idx="5">
                  <c:v>5.3981734332999784E-2</c:v>
                </c:pt>
                <c:pt idx="6">
                  <c:v>0.52814647146254434</c:v>
                </c:pt>
                <c:pt idx="7">
                  <c:v>0.23415083792384675</c:v>
                </c:pt>
                <c:pt idx="8">
                  <c:v>0.62940063651772382</c:v>
                </c:pt>
                <c:pt idx="9">
                  <c:v>0.44621480044462636</c:v>
                </c:pt>
                <c:pt idx="10">
                  <c:v>0.47627426141062207</c:v>
                </c:pt>
                <c:pt idx="11">
                  <c:v>0.74694164189737378</c:v>
                </c:pt>
                <c:pt idx="12">
                  <c:v>0.33326080177464212</c:v>
                </c:pt>
                <c:pt idx="13">
                  <c:v>0.3777099687944907</c:v>
                </c:pt>
                <c:pt idx="14">
                  <c:v>0.17756157159376651</c:v>
                </c:pt>
                <c:pt idx="15">
                  <c:v>8.8733778858474693E-2</c:v>
                </c:pt>
                <c:pt idx="16">
                  <c:v>8.6973933034043799E-2</c:v>
                </c:pt>
                <c:pt idx="17">
                  <c:v>9.85202631555568E-2</c:v>
                </c:pt>
                <c:pt idx="18">
                  <c:v>2.5652585473776735E-2</c:v>
                </c:pt>
                <c:pt idx="19">
                  <c:v>0.20556411175749723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479-432D-B543-B9A158CCE9B4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calibration!$AR$3:$AR$23</c:f>
              <c:numCache>
                <c:formatCode>0.000</c:formatCode>
                <c:ptCount val="21"/>
                <c:pt idx="0">
                  <c:v>0.21860725874636291</c:v>
                </c:pt>
                <c:pt idx="1">
                  <c:v>0.14189653541302394</c:v>
                </c:pt>
                <c:pt idx="2">
                  <c:v>0.24122234379478344</c:v>
                </c:pt>
                <c:pt idx="3">
                  <c:v>0.5824343750129658</c:v>
                </c:pt>
                <c:pt idx="4">
                  <c:v>0.48849167783345676</c:v>
                </c:pt>
                <c:pt idx="5">
                  <c:v>5.3981734332999784E-2</c:v>
                </c:pt>
                <c:pt idx="6">
                  <c:v>0.52814647146254434</c:v>
                </c:pt>
                <c:pt idx="7">
                  <c:v>0.23415083792384675</c:v>
                </c:pt>
                <c:pt idx="8">
                  <c:v>0.62940063651772382</c:v>
                </c:pt>
                <c:pt idx="9">
                  <c:v>0.44621480044462636</c:v>
                </c:pt>
                <c:pt idx="10">
                  <c:v>0.47627426141062207</c:v>
                </c:pt>
                <c:pt idx="11">
                  <c:v>0.74694164189737378</c:v>
                </c:pt>
                <c:pt idx="12">
                  <c:v>0.33326080177464212</c:v>
                </c:pt>
                <c:pt idx="13">
                  <c:v>0.3777099687944907</c:v>
                </c:pt>
                <c:pt idx="14">
                  <c:v>0.17756157159376651</c:v>
                </c:pt>
                <c:pt idx="15">
                  <c:v>8.8733778858474693E-2</c:v>
                </c:pt>
                <c:pt idx="16">
                  <c:v>8.6973933034043799E-2</c:v>
                </c:pt>
                <c:pt idx="17">
                  <c:v>9.85202631555568E-2</c:v>
                </c:pt>
                <c:pt idx="18">
                  <c:v>2.5652585473776735E-2</c:v>
                </c:pt>
                <c:pt idx="19">
                  <c:v>0.20556411175749723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479-432D-B543-B9A158CCE9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Max/Med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Mean/Max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calibration!$AS$3:$AS$23</c:f>
              <c:numCache>
                <c:formatCode>0.000</c:formatCode>
                <c:ptCount val="21"/>
                <c:pt idx="0">
                  <c:v>0.31630116739534875</c:v>
                </c:pt>
                <c:pt idx="1">
                  <c:v>0.27876227615455168</c:v>
                </c:pt>
                <c:pt idx="2">
                  <c:v>0.42128212880110583</c:v>
                </c:pt>
                <c:pt idx="3">
                  <c:v>0.45656828603835786</c:v>
                </c:pt>
                <c:pt idx="4">
                  <c:v>0.52425886215255613</c:v>
                </c:pt>
                <c:pt idx="5">
                  <c:v>0.20156459143632627</c:v>
                </c:pt>
                <c:pt idx="6">
                  <c:v>0.52223410029034467</c:v>
                </c:pt>
                <c:pt idx="7">
                  <c:v>0.40861366734451937</c:v>
                </c:pt>
                <c:pt idx="8">
                  <c:v>0.66719958287573045</c:v>
                </c:pt>
                <c:pt idx="9">
                  <c:v>0.59834859452599665</c:v>
                </c:pt>
                <c:pt idx="10">
                  <c:v>0.50801850517370029</c:v>
                </c:pt>
                <c:pt idx="11">
                  <c:v>0.78067635153368986</c:v>
                </c:pt>
                <c:pt idx="12">
                  <c:v>0.40551504520901288</c:v>
                </c:pt>
                <c:pt idx="13">
                  <c:v>0.44268935078358512</c:v>
                </c:pt>
                <c:pt idx="14">
                  <c:v>0.27127372403694905</c:v>
                </c:pt>
                <c:pt idx="15">
                  <c:v>0.26703043985344732</c:v>
                </c:pt>
                <c:pt idx="16">
                  <c:v>0.19551006176112495</c:v>
                </c:pt>
                <c:pt idx="17">
                  <c:v>0.30373525940034135</c:v>
                </c:pt>
                <c:pt idx="18">
                  <c:v>8.9702101836145604E-2</c:v>
                </c:pt>
                <c:pt idx="19">
                  <c:v>0.21645585352205798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0D3-4260-B0D9-7C6C5C503C6B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calibration!$AS$3:$AS$23</c:f>
              <c:numCache>
                <c:formatCode>0.000</c:formatCode>
                <c:ptCount val="21"/>
                <c:pt idx="0">
                  <c:v>0.31630116739534875</c:v>
                </c:pt>
                <c:pt idx="1">
                  <c:v>0.27876227615455168</c:v>
                </c:pt>
                <c:pt idx="2">
                  <c:v>0.42128212880110583</c:v>
                </c:pt>
                <c:pt idx="3">
                  <c:v>0.45656828603835786</c:v>
                </c:pt>
                <c:pt idx="4">
                  <c:v>0.52425886215255613</c:v>
                </c:pt>
                <c:pt idx="5">
                  <c:v>0.20156459143632627</c:v>
                </c:pt>
                <c:pt idx="6">
                  <c:v>0.52223410029034467</c:v>
                </c:pt>
                <c:pt idx="7">
                  <c:v>0.40861366734451937</c:v>
                </c:pt>
                <c:pt idx="8">
                  <c:v>0.66719958287573045</c:v>
                </c:pt>
                <c:pt idx="9">
                  <c:v>0.59834859452599665</c:v>
                </c:pt>
                <c:pt idx="10">
                  <c:v>0.50801850517370029</c:v>
                </c:pt>
                <c:pt idx="11">
                  <c:v>0.78067635153368986</c:v>
                </c:pt>
                <c:pt idx="12">
                  <c:v>0.40551504520901288</c:v>
                </c:pt>
                <c:pt idx="13">
                  <c:v>0.44268935078358512</c:v>
                </c:pt>
                <c:pt idx="14">
                  <c:v>0.27127372403694905</c:v>
                </c:pt>
                <c:pt idx="15">
                  <c:v>0.26703043985344732</c:v>
                </c:pt>
                <c:pt idx="16">
                  <c:v>0.19551006176112495</c:v>
                </c:pt>
                <c:pt idx="17">
                  <c:v>0.30373525940034135</c:v>
                </c:pt>
                <c:pt idx="18">
                  <c:v>8.9702101836145604E-2</c:v>
                </c:pt>
                <c:pt idx="19">
                  <c:v>0.21645585352205798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0D3-4260-B0D9-7C6C5C503C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Ch6 - Imp/s * Ch6</a:t>
            </a:r>
            <a:r>
              <a:rPr lang="en-US" baseline="0"/>
              <a:t> </a:t>
            </a:r>
            <a:r>
              <a:rPr lang="en-US"/>
              <a:t>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calibration!$BA$3:$BA$23</c:f>
              <c:numCache>
                <c:formatCode>0.000000</c:formatCode>
                <c:ptCount val="21"/>
                <c:pt idx="0">
                  <c:v>1.8207238150363132E-3</c:v>
                </c:pt>
                <c:pt idx="1">
                  <c:v>1.4742361276493072E-4</c:v>
                </c:pt>
                <c:pt idx="2">
                  <c:v>3.6987167073013237E-4</c:v>
                </c:pt>
                <c:pt idx="3">
                  <c:v>6.9835699924031681E-4</c:v>
                </c:pt>
                <c:pt idx="4">
                  <c:v>9.0105684124097045E-4</c:v>
                </c:pt>
                <c:pt idx="5">
                  <c:v>6.913803619169386E-4</c:v>
                </c:pt>
                <c:pt idx="6">
                  <c:v>8.0285061388412523E-5</c:v>
                </c:pt>
                <c:pt idx="15">
                  <c:v>5.2660054790256215E-5</c:v>
                </c:pt>
                <c:pt idx="16">
                  <c:v>8.3022729956097811E-5</c:v>
                </c:pt>
                <c:pt idx="17">
                  <c:v>1.6394029560580711E-3</c:v>
                </c:pt>
                <c:pt idx="18">
                  <c:v>1.140334715236959E-4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B51-4147-A6E1-B847D98D0185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calibration!$BA$3:$BA$23</c:f>
              <c:numCache>
                <c:formatCode>0.000000</c:formatCode>
                <c:ptCount val="21"/>
                <c:pt idx="0">
                  <c:v>1.8207238150363132E-3</c:v>
                </c:pt>
                <c:pt idx="1">
                  <c:v>1.4742361276493072E-4</c:v>
                </c:pt>
                <c:pt idx="2">
                  <c:v>3.6987167073013237E-4</c:v>
                </c:pt>
                <c:pt idx="3">
                  <c:v>6.9835699924031681E-4</c:v>
                </c:pt>
                <c:pt idx="4">
                  <c:v>9.0105684124097045E-4</c:v>
                </c:pt>
                <c:pt idx="5">
                  <c:v>6.913803619169386E-4</c:v>
                </c:pt>
                <c:pt idx="6">
                  <c:v>8.0285061388412523E-5</c:v>
                </c:pt>
                <c:pt idx="15">
                  <c:v>5.2660054790256215E-5</c:v>
                </c:pt>
                <c:pt idx="16">
                  <c:v>8.3022729956097811E-5</c:v>
                </c:pt>
                <c:pt idx="17">
                  <c:v>1.6394029560580711E-3</c:v>
                </c:pt>
                <c:pt idx="18">
                  <c:v>1.140334715236959E-4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B51-4147-A6E1-B847D98D01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Ch5 - Imp/s * Ch5</a:t>
            </a:r>
            <a:r>
              <a:rPr lang="en-US" baseline="0"/>
              <a:t> </a:t>
            </a:r>
            <a:r>
              <a:rPr lang="en-US"/>
              <a:t>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calibration!$BB$3:$BB$23</c:f>
              <c:numCache>
                <c:formatCode>0.000000</c:formatCode>
                <c:ptCount val="21"/>
                <c:pt idx="0">
                  <c:v>1.3595731882182523E-2</c:v>
                </c:pt>
                <c:pt idx="1">
                  <c:v>1.5653941384754174E-3</c:v>
                </c:pt>
                <c:pt idx="2">
                  <c:v>7.9172145055472695E-3</c:v>
                </c:pt>
                <c:pt idx="3">
                  <c:v>1.3185769947201612E-2</c:v>
                </c:pt>
                <c:pt idx="4">
                  <c:v>1.279569555756015E-2</c:v>
                </c:pt>
                <c:pt idx="5">
                  <c:v>9.8507558094203581E-3</c:v>
                </c:pt>
                <c:pt idx="6">
                  <c:v>2.9618387416505579E-3</c:v>
                </c:pt>
                <c:pt idx="7">
                  <c:v>5.7291188973186062E-4</c:v>
                </c:pt>
                <c:pt idx="14">
                  <c:v>1.3396305149770212E-4</c:v>
                </c:pt>
                <c:pt idx="15">
                  <c:v>3.1872428437725985E-3</c:v>
                </c:pt>
                <c:pt idx="16">
                  <c:v>1.0595779053355556E-3</c:v>
                </c:pt>
                <c:pt idx="17">
                  <c:v>2.533750009233569E-2</c:v>
                </c:pt>
                <c:pt idx="18">
                  <c:v>1.2469509770945588E-3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586-4D25-B969-1301F7359E47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calibration!$BB$3:$BB$23</c:f>
              <c:numCache>
                <c:formatCode>0.000000</c:formatCode>
                <c:ptCount val="21"/>
                <c:pt idx="0">
                  <c:v>1.3595731882182523E-2</c:v>
                </c:pt>
                <c:pt idx="1">
                  <c:v>1.5653941384754174E-3</c:v>
                </c:pt>
                <c:pt idx="2">
                  <c:v>7.9172145055472695E-3</c:v>
                </c:pt>
                <c:pt idx="3">
                  <c:v>1.3185769947201612E-2</c:v>
                </c:pt>
                <c:pt idx="4">
                  <c:v>1.279569555756015E-2</c:v>
                </c:pt>
                <c:pt idx="5">
                  <c:v>9.8507558094203581E-3</c:v>
                </c:pt>
                <c:pt idx="6">
                  <c:v>2.9618387416505579E-3</c:v>
                </c:pt>
                <c:pt idx="7">
                  <c:v>5.7291188973186062E-4</c:v>
                </c:pt>
                <c:pt idx="14">
                  <c:v>1.3396305149770212E-4</c:v>
                </c:pt>
                <c:pt idx="15">
                  <c:v>3.1872428437725985E-3</c:v>
                </c:pt>
                <c:pt idx="16">
                  <c:v>1.0595779053355556E-3</c:v>
                </c:pt>
                <c:pt idx="17">
                  <c:v>2.533750009233569E-2</c:v>
                </c:pt>
                <c:pt idx="18">
                  <c:v>1.2469509770945588E-3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586-4D25-B969-1301F7359E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Ch4 - Imp/s * Ch4</a:t>
            </a:r>
            <a:r>
              <a:rPr lang="en-US" baseline="0"/>
              <a:t> </a:t>
            </a:r>
            <a:r>
              <a:rPr lang="en-US"/>
              <a:t>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calibration!$BC$3:$BC$23</c:f>
              <c:numCache>
                <c:formatCode>0.000000</c:formatCode>
                <c:ptCount val="21"/>
                <c:pt idx="0">
                  <c:v>0.27157622493165545</c:v>
                </c:pt>
                <c:pt idx="1">
                  <c:v>2.4928273110192231E-2</c:v>
                </c:pt>
                <c:pt idx="2">
                  <c:v>7.1314268782948373E-2</c:v>
                </c:pt>
                <c:pt idx="3">
                  <c:v>0.14137896816355472</c:v>
                </c:pt>
                <c:pt idx="4">
                  <c:v>0.14989243367427635</c:v>
                </c:pt>
                <c:pt idx="5">
                  <c:v>8.4606287463909344E-2</c:v>
                </c:pt>
                <c:pt idx="6">
                  <c:v>2.9939799712359102E-2</c:v>
                </c:pt>
                <c:pt idx="7">
                  <c:v>8.8684191608701911E-3</c:v>
                </c:pt>
                <c:pt idx="8">
                  <c:v>2.8586148488777556E-3</c:v>
                </c:pt>
                <c:pt idx="9">
                  <c:v>2.4378441184649468E-3</c:v>
                </c:pt>
                <c:pt idx="10">
                  <c:v>6.9100157689060691E-4</c:v>
                </c:pt>
                <c:pt idx="12">
                  <c:v>9.0266449333367574E-4</c:v>
                </c:pt>
                <c:pt idx="13">
                  <c:v>3.8922699090874552E-4</c:v>
                </c:pt>
                <c:pt idx="14">
                  <c:v>2.2232297425665896E-3</c:v>
                </c:pt>
                <c:pt idx="15">
                  <c:v>4.2795587014884444E-2</c:v>
                </c:pt>
                <c:pt idx="16">
                  <c:v>1.1498414924353792E-2</c:v>
                </c:pt>
                <c:pt idx="17">
                  <c:v>0.26356734157705508</c:v>
                </c:pt>
                <c:pt idx="18">
                  <c:v>1.4634773420707379E-2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5EA-42A5-9E26-E385C36AD276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calibration!$BC$3:$BC$23</c:f>
              <c:numCache>
                <c:formatCode>0.000000</c:formatCode>
                <c:ptCount val="21"/>
                <c:pt idx="0">
                  <c:v>0.27157622493165545</c:v>
                </c:pt>
                <c:pt idx="1">
                  <c:v>2.4928273110192231E-2</c:v>
                </c:pt>
                <c:pt idx="2">
                  <c:v>7.1314268782948373E-2</c:v>
                </c:pt>
                <c:pt idx="3">
                  <c:v>0.14137896816355472</c:v>
                </c:pt>
                <c:pt idx="4">
                  <c:v>0.14989243367427635</c:v>
                </c:pt>
                <c:pt idx="5">
                  <c:v>8.4606287463909344E-2</c:v>
                </c:pt>
                <c:pt idx="6">
                  <c:v>2.9939799712359102E-2</c:v>
                </c:pt>
                <c:pt idx="7">
                  <c:v>8.8684191608701911E-3</c:v>
                </c:pt>
                <c:pt idx="8">
                  <c:v>2.8586148488777556E-3</c:v>
                </c:pt>
                <c:pt idx="9">
                  <c:v>2.4378441184649468E-3</c:v>
                </c:pt>
                <c:pt idx="10">
                  <c:v>6.9100157689060691E-4</c:v>
                </c:pt>
                <c:pt idx="12">
                  <c:v>9.0266449333367574E-4</c:v>
                </c:pt>
                <c:pt idx="13">
                  <c:v>3.8922699090874552E-4</c:v>
                </c:pt>
                <c:pt idx="14">
                  <c:v>2.2232297425665896E-3</c:v>
                </c:pt>
                <c:pt idx="15">
                  <c:v>4.2795587014884444E-2</c:v>
                </c:pt>
                <c:pt idx="16">
                  <c:v>1.1498414924353792E-2</c:v>
                </c:pt>
                <c:pt idx="17">
                  <c:v>0.26356734157705508</c:v>
                </c:pt>
                <c:pt idx="18">
                  <c:v>1.4634773420707379E-2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5EA-42A5-9E26-E385C36AD2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Ch3 - Imp/s * Ch3</a:t>
            </a:r>
            <a:r>
              <a:rPr lang="en-US" baseline="0"/>
              <a:t> </a:t>
            </a:r>
            <a:r>
              <a:rPr lang="en-US"/>
              <a:t>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calibration!$BD$3:$BD$23</c:f>
              <c:numCache>
                <c:formatCode>0.000000</c:formatCode>
                <c:ptCount val="21"/>
                <c:pt idx="0">
                  <c:v>2.653189713845872</c:v>
                </c:pt>
                <c:pt idx="1">
                  <c:v>0.27603160920571362</c:v>
                </c:pt>
                <c:pt idx="2">
                  <c:v>0.8074245362077126</c:v>
                </c:pt>
                <c:pt idx="3">
                  <c:v>1.2119294228748561</c:v>
                </c:pt>
                <c:pt idx="4">
                  <c:v>1.1982766392565218</c:v>
                </c:pt>
                <c:pt idx="5">
                  <c:v>0.4905394557709713</c:v>
                </c:pt>
                <c:pt idx="6">
                  <c:v>0.20930256111477435</c:v>
                </c:pt>
                <c:pt idx="7">
                  <c:v>6.9171066217892055E-2</c:v>
                </c:pt>
                <c:pt idx="8">
                  <c:v>5.431368212867746E-2</c:v>
                </c:pt>
                <c:pt idx="9">
                  <c:v>3.7166744589754337E-2</c:v>
                </c:pt>
                <c:pt idx="10">
                  <c:v>1.2333836441003014E-2</c:v>
                </c:pt>
                <c:pt idx="11">
                  <c:v>3.8660650791375421E-3</c:v>
                </c:pt>
                <c:pt idx="12">
                  <c:v>1.594854842025039E-2</c:v>
                </c:pt>
                <c:pt idx="13">
                  <c:v>8.1462471518383098E-3</c:v>
                </c:pt>
                <c:pt idx="14">
                  <c:v>2.2544421625052324E-2</c:v>
                </c:pt>
                <c:pt idx="15">
                  <c:v>0.2639315208580415</c:v>
                </c:pt>
                <c:pt idx="16">
                  <c:v>9.1782118936434981E-2</c:v>
                </c:pt>
                <c:pt idx="17">
                  <c:v>2.3398999957462618</c:v>
                </c:pt>
                <c:pt idx="18">
                  <c:v>0.10107115599242855</c:v>
                </c:pt>
                <c:pt idx="19">
                  <c:v>2.4994925843965211E-3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F25-471D-9296-C341269C16E7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calibration!$BD$3:$BD$23</c:f>
              <c:numCache>
                <c:formatCode>0.000000</c:formatCode>
                <c:ptCount val="21"/>
                <c:pt idx="0">
                  <c:v>2.653189713845872</c:v>
                </c:pt>
                <c:pt idx="1">
                  <c:v>0.27603160920571362</c:v>
                </c:pt>
                <c:pt idx="2">
                  <c:v>0.8074245362077126</c:v>
                </c:pt>
                <c:pt idx="3">
                  <c:v>1.2119294228748561</c:v>
                </c:pt>
                <c:pt idx="4">
                  <c:v>1.1982766392565218</c:v>
                </c:pt>
                <c:pt idx="5">
                  <c:v>0.4905394557709713</c:v>
                </c:pt>
                <c:pt idx="6">
                  <c:v>0.20930256111477435</c:v>
                </c:pt>
                <c:pt idx="7">
                  <c:v>6.9171066217892055E-2</c:v>
                </c:pt>
                <c:pt idx="8">
                  <c:v>5.431368212867746E-2</c:v>
                </c:pt>
                <c:pt idx="9">
                  <c:v>3.7166744589754337E-2</c:v>
                </c:pt>
                <c:pt idx="10">
                  <c:v>1.2333836441003014E-2</c:v>
                </c:pt>
                <c:pt idx="11">
                  <c:v>3.8660650791375421E-3</c:v>
                </c:pt>
                <c:pt idx="12">
                  <c:v>1.594854842025039E-2</c:v>
                </c:pt>
                <c:pt idx="13">
                  <c:v>8.1462471518383098E-3</c:v>
                </c:pt>
                <c:pt idx="14">
                  <c:v>2.2544421625052324E-2</c:v>
                </c:pt>
                <c:pt idx="15">
                  <c:v>0.2639315208580415</c:v>
                </c:pt>
                <c:pt idx="16">
                  <c:v>9.1782118936434981E-2</c:v>
                </c:pt>
                <c:pt idx="17">
                  <c:v>2.3398999957462618</c:v>
                </c:pt>
                <c:pt idx="18">
                  <c:v>0.10107115599242855</c:v>
                </c:pt>
                <c:pt idx="19">
                  <c:v>2.4994925843965211E-3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F25-471D-9296-C341269C16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Ch2 - Imp/s * Ch2</a:t>
            </a:r>
            <a:r>
              <a:rPr lang="en-US" baseline="0"/>
              <a:t> </a:t>
            </a:r>
            <a:r>
              <a:rPr lang="en-US"/>
              <a:t>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calibration!$BE$3:$BE$23</c:f>
              <c:numCache>
                <c:formatCode>0.000000</c:formatCode>
                <c:ptCount val="21"/>
                <c:pt idx="0">
                  <c:v>24.280705866104647</c:v>
                </c:pt>
                <c:pt idx="1">
                  <c:v>3.30347225336845</c:v>
                </c:pt>
                <c:pt idx="2">
                  <c:v>8.2572306069583874</c:v>
                </c:pt>
                <c:pt idx="3">
                  <c:v>8.8085170177106527</c:v>
                </c:pt>
                <c:pt idx="4">
                  <c:v>15.030809882712923</c:v>
                </c:pt>
                <c:pt idx="5">
                  <c:v>6.6475528672963282</c:v>
                </c:pt>
                <c:pt idx="6">
                  <c:v>3.703045312030619</c:v>
                </c:pt>
                <c:pt idx="7">
                  <c:v>1.3631096639136489</c:v>
                </c:pt>
                <c:pt idx="8">
                  <c:v>0.93033382443093693</c:v>
                </c:pt>
                <c:pt idx="9">
                  <c:v>0.64161538028628318</c:v>
                </c:pt>
                <c:pt idx="10">
                  <c:v>0.45277814259728422</c:v>
                </c:pt>
                <c:pt idx="11">
                  <c:v>0.24479902187834415</c:v>
                </c:pt>
                <c:pt idx="12">
                  <c:v>0.49363752766993313</c:v>
                </c:pt>
                <c:pt idx="13">
                  <c:v>0.28919715578759758</c:v>
                </c:pt>
                <c:pt idx="14">
                  <c:v>0.58748108820927669</c:v>
                </c:pt>
                <c:pt idx="15">
                  <c:v>3.331303284506133</c:v>
                </c:pt>
                <c:pt idx="16">
                  <c:v>1.4373719980174464</c:v>
                </c:pt>
                <c:pt idx="17">
                  <c:v>15.04628420027689</c:v>
                </c:pt>
                <c:pt idx="18">
                  <c:v>0.85066727643562667</c:v>
                </c:pt>
                <c:pt idx="19">
                  <c:v>0.10697483054143762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C41-4792-BC7F-FED4A6648BAE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calibration!$BE$3:$BE$23</c:f>
              <c:numCache>
                <c:formatCode>0.000000</c:formatCode>
                <c:ptCount val="21"/>
                <c:pt idx="0">
                  <c:v>24.280705866104647</c:v>
                </c:pt>
                <c:pt idx="1">
                  <c:v>3.30347225336845</c:v>
                </c:pt>
                <c:pt idx="2">
                  <c:v>8.2572306069583874</c:v>
                </c:pt>
                <c:pt idx="3">
                  <c:v>8.8085170177106527</c:v>
                </c:pt>
                <c:pt idx="4">
                  <c:v>15.030809882712923</c:v>
                </c:pt>
                <c:pt idx="5">
                  <c:v>6.6475528672963282</c:v>
                </c:pt>
                <c:pt idx="6">
                  <c:v>3.703045312030619</c:v>
                </c:pt>
                <c:pt idx="7">
                  <c:v>1.3631096639136489</c:v>
                </c:pt>
                <c:pt idx="8">
                  <c:v>0.93033382443093693</c:v>
                </c:pt>
                <c:pt idx="9">
                  <c:v>0.64161538028628318</c:v>
                </c:pt>
                <c:pt idx="10">
                  <c:v>0.45277814259728422</c:v>
                </c:pt>
                <c:pt idx="11">
                  <c:v>0.24479902187834415</c:v>
                </c:pt>
                <c:pt idx="12">
                  <c:v>0.49363752766993313</c:v>
                </c:pt>
                <c:pt idx="13">
                  <c:v>0.28919715578759758</c:v>
                </c:pt>
                <c:pt idx="14">
                  <c:v>0.58748108820927669</c:v>
                </c:pt>
                <c:pt idx="15">
                  <c:v>3.331303284506133</c:v>
                </c:pt>
                <c:pt idx="16">
                  <c:v>1.4373719980174464</c:v>
                </c:pt>
                <c:pt idx="17">
                  <c:v>15.04628420027689</c:v>
                </c:pt>
                <c:pt idx="18">
                  <c:v>0.85066727643562667</c:v>
                </c:pt>
                <c:pt idx="19">
                  <c:v>0.10697483054143762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C41-4792-BC7F-FED4A6648B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Ch1 - Imp/s * Ch1</a:t>
            </a:r>
            <a:r>
              <a:rPr lang="en-US" baseline="0"/>
              <a:t> </a:t>
            </a:r>
            <a:r>
              <a:rPr lang="en-US"/>
              <a:t>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calibration!$BF$3:$BF$23</c:f>
              <c:numCache>
                <c:formatCode>0.000000</c:formatCode>
                <c:ptCount val="21"/>
                <c:pt idx="0">
                  <c:v>157.2617903115916</c:v>
                </c:pt>
                <c:pt idx="1">
                  <c:v>35.559669478934083</c:v>
                </c:pt>
                <c:pt idx="2">
                  <c:v>70.365965172340893</c:v>
                </c:pt>
                <c:pt idx="3">
                  <c:v>94.981899525658974</c:v>
                </c:pt>
                <c:pt idx="4">
                  <c:v>104.05229380107126</c:v>
                </c:pt>
                <c:pt idx="5">
                  <c:v>65.833367930862963</c:v>
                </c:pt>
                <c:pt idx="6">
                  <c:v>40.486628744867993</c:v>
                </c:pt>
                <c:pt idx="7">
                  <c:v>16.253624582070231</c:v>
                </c:pt>
                <c:pt idx="8">
                  <c:v>11.231666534948083</c:v>
                </c:pt>
                <c:pt idx="9">
                  <c:v>9.6085815486775505</c:v>
                </c:pt>
                <c:pt idx="10">
                  <c:v>5.701871700187227</c:v>
                </c:pt>
                <c:pt idx="11">
                  <c:v>3.6902539118974436</c:v>
                </c:pt>
                <c:pt idx="12">
                  <c:v>5.9715282193383086</c:v>
                </c:pt>
                <c:pt idx="13">
                  <c:v>4.1665812444953874</c:v>
                </c:pt>
                <c:pt idx="14">
                  <c:v>8.136359534854039</c:v>
                </c:pt>
                <c:pt idx="15">
                  <c:v>33.183912562715946</c:v>
                </c:pt>
                <c:pt idx="16">
                  <c:v>16.705871602931776</c:v>
                </c:pt>
                <c:pt idx="17">
                  <c:v>133.36412060539811</c:v>
                </c:pt>
                <c:pt idx="18">
                  <c:v>10.412379206370238</c:v>
                </c:pt>
                <c:pt idx="19">
                  <c:v>2.149887420675606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9AC-41AE-AA5B-C5A0B17E6EA6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calibration!$BF$3:$BF$23</c:f>
              <c:numCache>
                <c:formatCode>0.000000</c:formatCode>
                <c:ptCount val="21"/>
                <c:pt idx="0">
                  <c:v>157.2617903115916</c:v>
                </c:pt>
                <c:pt idx="1">
                  <c:v>35.559669478934083</c:v>
                </c:pt>
                <c:pt idx="2">
                  <c:v>70.365965172340893</c:v>
                </c:pt>
                <c:pt idx="3">
                  <c:v>94.981899525658974</c:v>
                </c:pt>
                <c:pt idx="4">
                  <c:v>104.05229380107126</c:v>
                </c:pt>
                <c:pt idx="5">
                  <c:v>65.833367930862963</c:v>
                </c:pt>
                <c:pt idx="6">
                  <c:v>40.486628744867993</c:v>
                </c:pt>
                <c:pt idx="7">
                  <c:v>16.253624582070231</c:v>
                </c:pt>
                <c:pt idx="8">
                  <c:v>11.231666534948083</c:v>
                </c:pt>
                <c:pt idx="9">
                  <c:v>9.6085815486775505</c:v>
                </c:pt>
                <c:pt idx="10">
                  <c:v>5.701871700187227</c:v>
                </c:pt>
                <c:pt idx="11">
                  <c:v>3.6902539118974436</c:v>
                </c:pt>
                <c:pt idx="12">
                  <c:v>5.9715282193383086</c:v>
                </c:pt>
                <c:pt idx="13">
                  <c:v>4.1665812444953874</c:v>
                </c:pt>
                <c:pt idx="14">
                  <c:v>8.136359534854039</c:v>
                </c:pt>
                <c:pt idx="15">
                  <c:v>33.183912562715946</c:v>
                </c:pt>
                <c:pt idx="16">
                  <c:v>16.705871602931776</c:v>
                </c:pt>
                <c:pt idx="17">
                  <c:v>133.36412060539811</c:v>
                </c:pt>
                <c:pt idx="18">
                  <c:v>10.412379206370238</c:v>
                </c:pt>
                <c:pt idx="19">
                  <c:v>2.149887420675606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9AC-41AE-AA5B-C5A0B17E6E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Ch3 - Imp/s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calibration!$Q$3:$Q$23</c:f>
              <c:numCache>
                <c:formatCode>0.00</c:formatCode>
                <c:ptCount val="21"/>
                <c:pt idx="0">
                  <c:v>37.714285714285715</c:v>
                </c:pt>
                <c:pt idx="1">
                  <c:v>19.5</c:v>
                </c:pt>
                <c:pt idx="2">
                  <c:v>27.8</c:v>
                </c:pt>
                <c:pt idx="3">
                  <c:v>30.75</c:v>
                </c:pt>
                <c:pt idx="4">
                  <c:v>34.333333333333336</c:v>
                </c:pt>
                <c:pt idx="5">
                  <c:v>20.625</c:v>
                </c:pt>
                <c:pt idx="6">
                  <c:v>15.6</c:v>
                </c:pt>
                <c:pt idx="7">
                  <c:v>12.1</c:v>
                </c:pt>
                <c:pt idx="8">
                  <c:v>14.25</c:v>
                </c:pt>
                <c:pt idx="9">
                  <c:v>12.666666666666666</c:v>
                </c:pt>
                <c:pt idx="10">
                  <c:v>6.2</c:v>
                </c:pt>
                <c:pt idx="11">
                  <c:v>3.2</c:v>
                </c:pt>
                <c:pt idx="12">
                  <c:v>7.55</c:v>
                </c:pt>
                <c:pt idx="13">
                  <c:v>5.15</c:v>
                </c:pt>
                <c:pt idx="14">
                  <c:v>7.4666666666666668</c:v>
                </c:pt>
                <c:pt idx="15">
                  <c:v>18.600000000000001</c:v>
                </c:pt>
                <c:pt idx="16">
                  <c:v>12.25</c:v>
                </c:pt>
                <c:pt idx="17">
                  <c:v>32.666666666666664</c:v>
                </c:pt>
                <c:pt idx="18">
                  <c:v>9.5000043083919845</c:v>
                </c:pt>
                <c:pt idx="19">
                  <c:v>2.2100005011339015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123-4390-8FAE-A72D1997182E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calibration!$Q$3:$Q$23</c:f>
              <c:numCache>
                <c:formatCode>0.00</c:formatCode>
                <c:ptCount val="21"/>
                <c:pt idx="0">
                  <c:v>37.714285714285715</c:v>
                </c:pt>
                <c:pt idx="1">
                  <c:v>19.5</c:v>
                </c:pt>
                <c:pt idx="2">
                  <c:v>27.8</c:v>
                </c:pt>
                <c:pt idx="3">
                  <c:v>30.75</c:v>
                </c:pt>
                <c:pt idx="4">
                  <c:v>34.333333333333336</c:v>
                </c:pt>
                <c:pt idx="5">
                  <c:v>20.625</c:v>
                </c:pt>
                <c:pt idx="6">
                  <c:v>15.6</c:v>
                </c:pt>
                <c:pt idx="7">
                  <c:v>12.1</c:v>
                </c:pt>
                <c:pt idx="8">
                  <c:v>14.25</c:v>
                </c:pt>
                <c:pt idx="9">
                  <c:v>12.666666666666666</c:v>
                </c:pt>
                <c:pt idx="10">
                  <c:v>6.2</c:v>
                </c:pt>
                <c:pt idx="11">
                  <c:v>3.2</c:v>
                </c:pt>
                <c:pt idx="12">
                  <c:v>7.55</c:v>
                </c:pt>
                <c:pt idx="13">
                  <c:v>5.15</c:v>
                </c:pt>
                <c:pt idx="14">
                  <c:v>7.4666666666666668</c:v>
                </c:pt>
                <c:pt idx="15">
                  <c:v>18.600000000000001</c:v>
                </c:pt>
                <c:pt idx="16">
                  <c:v>12.25</c:v>
                </c:pt>
                <c:pt idx="17">
                  <c:v>32.666666666666664</c:v>
                </c:pt>
                <c:pt idx="18">
                  <c:v>9.5000043083919845</c:v>
                </c:pt>
                <c:pt idx="19">
                  <c:v>2.2100005011339015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123-4390-8FAE-A72D199718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Gravelometer Measured</a:t>
            </a:r>
            <a:r>
              <a:rPr lang="en-US" sz="1200" baseline="0"/>
              <a:t> vs Predicted - Amplitude Based </a:t>
            </a:r>
            <a:endParaRPr lang="en-US" sz="1200"/>
          </a:p>
        </c:rich>
      </c:tx>
      <c:layout>
        <c:manualLayout>
          <c:xMode val="edge"/>
          <c:yMode val="edge"/>
          <c:x val="0.15374406656614728"/>
          <c:y val="3.593887562331887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validation!$C$28</c:f>
              <c:strCache>
                <c:ptCount val="1"/>
                <c:pt idx="0">
                  <c:v>Max Amp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</c:numCache>
            </c:numRef>
          </c:xVal>
          <c:yVal>
            <c:numRef>
              <c:f>validation!$C$29:$C$49</c:f>
              <c:numCache>
                <c:formatCode>0.00</c:formatCode>
                <c:ptCount val="21"/>
                <c:pt idx="0">
                  <c:v>142.60831146005137</c:v>
                </c:pt>
                <c:pt idx="1">
                  <c:v>99.702281630840119</c:v>
                </c:pt>
                <c:pt idx="2">
                  <c:v>80.494299517891292</c:v>
                </c:pt>
                <c:pt idx="3">
                  <c:v>108.52826698393112</c:v>
                </c:pt>
                <c:pt idx="4">
                  <c:v>51.711320397363707</c:v>
                </c:pt>
                <c:pt idx="5">
                  <c:v>110.07828843908854</c:v>
                </c:pt>
                <c:pt idx="6">
                  <c:v>28.138895212995983</c:v>
                </c:pt>
                <c:pt idx="7">
                  <c:v>43.154717980702401</c:v>
                </c:pt>
                <c:pt idx="8">
                  <c:v>45.758265516180927</c:v>
                </c:pt>
                <c:pt idx="9">
                  <c:v>35.608707540523334</c:v>
                </c:pt>
                <c:pt idx="10">
                  <c:v>18.385700320150519</c:v>
                </c:pt>
                <c:pt idx="11">
                  <c:v>21.41250921689856</c:v>
                </c:pt>
                <c:pt idx="12">
                  <c:v>44.21810982361545</c:v>
                </c:pt>
                <c:pt idx="13">
                  <c:v>56.991450556743601</c:v>
                </c:pt>
                <c:pt idx="14">
                  <c:v>39.729031757563774</c:v>
                </c:pt>
                <c:pt idx="15">
                  <c:v>122.90534144639936</c:v>
                </c:pt>
                <c:pt idx="16">
                  <c:v>62.934080327892111</c:v>
                </c:pt>
                <c:pt idx="17">
                  <c:v>82.301765378972704</c:v>
                </c:pt>
                <c:pt idx="18">
                  <c:v>103.79561762782475</c:v>
                </c:pt>
                <c:pt idx="19">
                  <c:v>11.127940878470998</c:v>
                </c:pt>
                <c:pt idx="20">
                  <c:v>5.2974378120966987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202-4E5F-9E53-C5D60AD46CF2}"/>
            </c:ext>
          </c:extLst>
        </c:ser>
        <c:ser>
          <c:idx val="1"/>
          <c:order val="1"/>
          <c:tx>
            <c:strRef>
              <c:f>validation!$M$28</c:f>
              <c:strCache>
                <c:ptCount val="1"/>
                <c:pt idx="0">
                  <c:v>Max*Mean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</c:numCache>
            </c:numRef>
          </c:xVal>
          <c:yVal>
            <c:numRef>
              <c:f>validation!$M$29:$M$49</c:f>
              <c:numCache>
                <c:formatCode>0.00</c:formatCode>
                <c:ptCount val="21"/>
                <c:pt idx="0">
                  <c:v>148.51264954109695</c:v>
                </c:pt>
                <c:pt idx="1">
                  <c:v>102.06933912439833</c:v>
                </c:pt>
                <c:pt idx="2">
                  <c:v>85.292131472281028</c:v>
                </c:pt>
                <c:pt idx="3">
                  <c:v>112.46258633271916</c:v>
                </c:pt>
                <c:pt idx="4">
                  <c:v>60.677327684459591</c:v>
                </c:pt>
                <c:pt idx="5">
                  <c:v>98.992268531121866</c:v>
                </c:pt>
                <c:pt idx="6">
                  <c:v>28.086060484113897</c:v>
                </c:pt>
                <c:pt idx="7">
                  <c:v>45.907042188380011</c:v>
                </c:pt>
                <c:pt idx="8">
                  <c:v>45.322803330337265</c:v>
                </c:pt>
                <c:pt idx="9">
                  <c:v>39.799314160287572</c:v>
                </c:pt>
                <c:pt idx="10">
                  <c:v>19.607181438968368</c:v>
                </c:pt>
                <c:pt idx="11">
                  <c:v>23.347499534220773</c:v>
                </c:pt>
                <c:pt idx="12">
                  <c:v>46.038254907884948</c:v>
                </c:pt>
                <c:pt idx="13">
                  <c:v>50.778205890389032</c:v>
                </c:pt>
                <c:pt idx="14">
                  <c:v>40.295260239584771</c:v>
                </c:pt>
                <c:pt idx="15">
                  <c:v>102.91199725897496</c:v>
                </c:pt>
                <c:pt idx="16">
                  <c:v>58.832968719528274</c:v>
                </c:pt>
                <c:pt idx="17">
                  <c:v>81.315610363652823</c:v>
                </c:pt>
                <c:pt idx="18">
                  <c:v>57.972240615240565</c:v>
                </c:pt>
                <c:pt idx="19">
                  <c:v>10.477626579927524</c:v>
                </c:pt>
                <c:pt idx="20">
                  <c:v>4.5123184858532124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202-4E5F-9E53-C5D60AD46CF2}"/>
            </c:ext>
          </c:extLst>
        </c:ser>
        <c:ser>
          <c:idx val="2"/>
          <c:order val="2"/>
          <c:tx>
            <c:strRef>
              <c:f>validation!$N$28</c:f>
              <c:strCache>
                <c:ptCount val="1"/>
                <c:pt idx="0">
                  <c:v>Max*Med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validation!$B$29:$B$47</c:f>
              <c:numCache>
                <c:formatCode>General</c:formatCode>
                <c:ptCount val="19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</c:numCache>
            </c:numRef>
          </c:xVal>
          <c:yVal>
            <c:numRef>
              <c:f>validation!$N$29:$N$47</c:f>
              <c:numCache>
                <c:formatCode>0.00</c:formatCode>
                <c:ptCount val="19"/>
                <c:pt idx="0">
                  <c:v>110.58117716759436</c:v>
                </c:pt>
                <c:pt idx="1">
                  <c:v>94.836512436415049</c:v>
                </c:pt>
                <c:pt idx="2">
                  <c:v>64.555212382437986</c:v>
                </c:pt>
                <c:pt idx="3">
                  <c:v>95.122649124916435</c:v>
                </c:pt>
                <c:pt idx="4">
                  <c:v>59.81684128500595</c:v>
                </c:pt>
                <c:pt idx="5">
                  <c:v>83.599915485968992</c:v>
                </c:pt>
                <c:pt idx="6">
                  <c:v>29.908779346397502</c:v>
                </c:pt>
                <c:pt idx="7">
                  <c:v>45.539576890893976</c:v>
                </c:pt>
                <c:pt idx="8">
                  <c:v>40.378282611221621</c:v>
                </c:pt>
                <c:pt idx="9">
                  <c:v>42.833464874460979</c:v>
                </c:pt>
                <c:pt idx="10">
                  <c:v>20.209898403573217</c:v>
                </c:pt>
                <c:pt idx="11">
                  <c:v>24.850877167472145</c:v>
                </c:pt>
                <c:pt idx="12">
                  <c:v>45.653523329179976</c:v>
                </c:pt>
                <c:pt idx="13">
                  <c:v>45.55594040850918</c:v>
                </c:pt>
                <c:pt idx="14">
                  <c:v>40.195470850604011</c:v>
                </c:pt>
                <c:pt idx="15">
                  <c:v>80.105211136678733</c:v>
                </c:pt>
                <c:pt idx="16">
                  <c:v>58.43516419455667</c:v>
                </c:pt>
                <c:pt idx="17">
                  <c:v>82.06675104088508</c:v>
                </c:pt>
                <c:pt idx="18">
                  <c:v>60.642260994368897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202-4E5F-9E53-C5D60AD46C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scatterChart>
        <c:scatterStyle val="smoothMarker"/>
        <c:varyColors val="0"/>
        <c:ser>
          <c:idx val="3"/>
          <c:order val="3"/>
          <c:tx>
            <c:v>1:1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validation!$AF$45:$AF$46</c:f>
              <c:numCache>
                <c:formatCode>General</c:formatCode>
                <c:ptCount val="2"/>
                <c:pt idx="0">
                  <c:v>20</c:v>
                </c:pt>
                <c:pt idx="1">
                  <c:v>150</c:v>
                </c:pt>
              </c:numCache>
            </c:numRef>
          </c:xVal>
          <c:yVal>
            <c:numRef>
              <c:f>validation!$AG$45:$AG$46</c:f>
              <c:numCache>
                <c:formatCode>General</c:formatCode>
                <c:ptCount val="2"/>
                <c:pt idx="0">
                  <c:v>20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CED-4A9A-BB65-0196B29423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valAx>
        <c:axId val="695731343"/>
        <c:scaling>
          <c:logBase val="10"/>
          <c:orientation val="minMax"/>
          <c:max val="150"/>
          <c:min val="18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4703"/>
        <c:crosses val="autoZero"/>
        <c:crossBetween val="midCat"/>
      </c:valAx>
      <c:valAx>
        <c:axId val="695734703"/>
        <c:scaling>
          <c:logBase val="10"/>
          <c:orientation val="minMax"/>
          <c:max val="200"/>
          <c:min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Predicted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13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Gravelometer Measured</a:t>
            </a:r>
            <a:r>
              <a:rPr lang="en-US" sz="1200" baseline="0"/>
              <a:t> vs Predicted -</a:t>
            </a:r>
          </a:p>
          <a:p>
            <a:pPr>
              <a:defRPr sz="1200"/>
            </a:pPr>
            <a:r>
              <a:rPr lang="en-US" sz="1200" baseline="0"/>
              <a:t> Imp/s * Amax</a:t>
            </a:r>
            <a:endParaRPr lang="en-US" sz="1200"/>
          </a:p>
        </c:rich>
      </c:tx>
      <c:layout>
        <c:manualLayout>
          <c:xMode val="edge"/>
          <c:yMode val="edge"/>
          <c:x val="0.15374406656614728"/>
          <c:y val="3.593887562331887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validation!$D$28</c:f>
              <c:strCache>
                <c:ptCount val="1"/>
                <c:pt idx="0">
                  <c:v>Ch3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</c:numCache>
            </c:numRef>
          </c:xVal>
          <c:yVal>
            <c:numRef>
              <c:f>validation!$D$29:$D$49</c:f>
              <c:numCache>
                <c:formatCode>0.000</c:formatCode>
                <c:ptCount val="21"/>
                <c:pt idx="0">
                  <c:v>116.95068108498626</c:v>
                </c:pt>
                <c:pt idx="1">
                  <c:v>98.667109532910658</c:v>
                </c:pt>
                <c:pt idx="2">
                  <c:v>81.839656470222096</c:v>
                </c:pt>
                <c:pt idx="3">
                  <c:v>100.40951956926615</c:v>
                </c:pt>
                <c:pt idx="4">
                  <c:v>64.278148375633563</c:v>
                </c:pt>
                <c:pt idx="5">
                  <c:v>84.645419959614827</c:v>
                </c:pt>
                <c:pt idx="6">
                  <c:v>26.736932705849615</c:v>
                </c:pt>
                <c:pt idx="7">
                  <c:v>53.16003696048103</c:v>
                </c:pt>
                <c:pt idx="8">
                  <c:v>46.625545153582543</c:v>
                </c:pt>
                <c:pt idx="9">
                  <c:v>45.215301267981694</c:v>
                </c:pt>
                <c:pt idx="10">
                  <c:v>15.458241908347745</c:v>
                </c:pt>
                <c:pt idx="11">
                  <c:v>23.336350030250173</c:v>
                </c:pt>
                <c:pt idx="12">
                  <c:v>52.950371279609229</c:v>
                </c:pt>
                <c:pt idx="13">
                  <c:v>52.083412584564385</c:v>
                </c:pt>
                <c:pt idx="14">
                  <c:v>48.039697797790794</c:v>
                </c:pt>
                <c:pt idx="15">
                  <c:v>93.859595433595302</c:v>
                </c:pt>
                <c:pt idx="16">
                  <c:v>66.673723886903545</c:v>
                </c:pt>
                <c:pt idx="17">
                  <c:v>82.551125132717345</c:v>
                </c:pt>
                <c:pt idx="18">
                  <c:v>42.984318298384501</c:v>
                </c:pt>
                <c:pt idx="19">
                  <c:v>10.108290582502551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59E-456A-A305-3D3B59D10220}"/>
            </c:ext>
          </c:extLst>
        </c:ser>
        <c:ser>
          <c:idx val="1"/>
          <c:order val="1"/>
          <c:tx>
            <c:strRef>
              <c:f>validation!$E$28</c:f>
              <c:strCache>
                <c:ptCount val="1"/>
                <c:pt idx="0">
                  <c:v>Ch2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validation!$B$29:$B$47</c:f>
              <c:numCache>
                <c:formatCode>General</c:formatCode>
                <c:ptCount val="19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</c:numCache>
            </c:numRef>
          </c:xVal>
          <c:yVal>
            <c:numRef>
              <c:f>validation!$E$29:$E$47</c:f>
              <c:numCache>
                <c:formatCode>0.000</c:formatCode>
                <c:ptCount val="19"/>
                <c:pt idx="0">
                  <c:v>115.20235701400605</c:v>
                </c:pt>
                <c:pt idx="1">
                  <c:v>82.464193841089326</c:v>
                </c:pt>
                <c:pt idx="2">
                  <c:v>80.096224013454005</c:v>
                </c:pt>
                <c:pt idx="3">
                  <c:v>107.31183736382886</c:v>
                </c:pt>
                <c:pt idx="4">
                  <c:v>64.292992001684325</c:v>
                </c:pt>
                <c:pt idx="5">
                  <c:v>98.930237776466655</c:v>
                </c:pt>
                <c:pt idx="6">
                  <c:v>28.10042237838346</c:v>
                </c:pt>
                <c:pt idx="7">
                  <c:v>47.762566472643172</c:v>
                </c:pt>
                <c:pt idx="8">
                  <c:v>46.738237285038721</c:v>
                </c:pt>
                <c:pt idx="9">
                  <c:v>43.135793875140585</c:v>
                </c:pt>
                <c:pt idx="10">
                  <c:v>16.910762054923712</c:v>
                </c:pt>
                <c:pt idx="11">
                  <c:v>21.579159215396679</c:v>
                </c:pt>
                <c:pt idx="12">
                  <c:v>52.065455706577225</c:v>
                </c:pt>
                <c:pt idx="13">
                  <c:v>56.677837419095475</c:v>
                </c:pt>
                <c:pt idx="14">
                  <c:v>44.539875444295852</c:v>
                </c:pt>
                <c:pt idx="15">
                  <c:v>110.89242834341546</c:v>
                </c:pt>
                <c:pt idx="16">
                  <c:v>66.462917937619366</c:v>
                </c:pt>
                <c:pt idx="17">
                  <c:v>88.309972427913436</c:v>
                </c:pt>
                <c:pt idx="18">
                  <c:v>67.830233196402276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59E-456A-A305-3D3B59D10220}"/>
            </c:ext>
          </c:extLst>
        </c:ser>
        <c:ser>
          <c:idx val="2"/>
          <c:order val="2"/>
          <c:tx>
            <c:strRef>
              <c:f>validation!$F$28</c:f>
              <c:strCache>
                <c:ptCount val="1"/>
                <c:pt idx="0">
                  <c:v>Ch1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</c:numCache>
            </c:numRef>
          </c:xVal>
          <c:yVal>
            <c:numRef>
              <c:f>validation!$F$29:$F$49</c:f>
              <c:numCache>
                <c:formatCode>0.000</c:formatCode>
                <c:ptCount val="21"/>
                <c:pt idx="0">
                  <c:v>151.38755107192091</c:v>
                </c:pt>
                <c:pt idx="1">
                  <c:v>94.005035092273431</c:v>
                </c:pt>
                <c:pt idx="2">
                  <c:v>82.058911589663026</c:v>
                </c:pt>
                <c:pt idx="3">
                  <c:v>118.23889856838431</c:v>
                </c:pt>
                <c:pt idx="4">
                  <c:v>52.825760217034208</c:v>
                </c:pt>
                <c:pt idx="5">
                  <c:v>124.70779520648537</c:v>
                </c:pt>
                <c:pt idx="6">
                  <c:v>27.901091442354769</c:v>
                </c:pt>
                <c:pt idx="7">
                  <c:v>45.725264313361798</c:v>
                </c:pt>
                <c:pt idx="8">
                  <c:v>50.693872679641075</c:v>
                </c:pt>
                <c:pt idx="9">
                  <c:v>37.809091337666921</c:v>
                </c:pt>
                <c:pt idx="10">
                  <c:v>17.937037785470327</c:v>
                </c:pt>
                <c:pt idx="11">
                  <c:v>20.816449369009678</c:v>
                </c:pt>
                <c:pt idx="12">
                  <c:v>44.439476416146661</c:v>
                </c:pt>
                <c:pt idx="13">
                  <c:v>58.476691429138036</c:v>
                </c:pt>
                <c:pt idx="14">
                  <c:v>40.699633570833882</c:v>
                </c:pt>
                <c:pt idx="15">
                  <c:v>137.04560139288705</c:v>
                </c:pt>
                <c:pt idx="16">
                  <c:v>64.565347307891471</c:v>
                </c:pt>
                <c:pt idx="17">
                  <c:v>86.414678018681897</c:v>
                </c:pt>
                <c:pt idx="18">
                  <c:v>101.31423534097813</c:v>
                </c:pt>
                <c:pt idx="19">
                  <c:v>10.258375738206395</c:v>
                </c:pt>
                <c:pt idx="20">
                  <c:v>1.1834815249814366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59E-456A-A305-3D3B59D102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scatterChart>
        <c:scatterStyle val="smoothMarker"/>
        <c:varyColors val="0"/>
        <c:ser>
          <c:idx val="3"/>
          <c:order val="3"/>
          <c:tx>
            <c:v>1:1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validation!$AF$45:$AF$46</c:f>
              <c:numCache>
                <c:formatCode>General</c:formatCode>
                <c:ptCount val="2"/>
                <c:pt idx="0">
                  <c:v>20</c:v>
                </c:pt>
                <c:pt idx="1">
                  <c:v>150</c:v>
                </c:pt>
              </c:numCache>
            </c:numRef>
          </c:xVal>
          <c:yVal>
            <c:numRef>
              <c:f>validation!$AG$45:$AG$46</c:f>
              <c:numCache>
                <c:formatCode>General</c:formatCode>
                <c:ptCount val="2"/>
                <c:pt idx="0">
                  <c:v>20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1BF7-45DC-B602-07F3715EC1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valAx>
        <c:axId val="69573134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4703"/>
        <c:crosses val="autoZero"/>
        <c:crossBetween val="midCat"/>
      </c:valAx>
      <c:valAx>
        <c:axId val="695734703"/>
        <c:scaling>
          <c:orientation val="minMax"/>
          <c:max val="16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Predicted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13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Gravelometer Measured</a:t>
            </a:r>
            <a:r>
              <a:rPr lang="en-US" sz="1200" baseline="0"/>
              <a:t> vs Predicted -</a:t>
            </a:r>
          </a:p>
          <a:p>
            <a:pPr>
              <a:defRPr sz="1200"/>
            </a:pPr>
            <a:r>
              <a:rPr lang="en-US" sz="1200" baseline="0"/>
              <a:t> Imp/s * Amedian</a:t>
            </a:r>
            <a:endParaRPr lang="en-US" sz="1200"/>
          </a:p>
        </c:rich>
      </c:tx>
      <c:layout>
        <c:manualLayout>
          <c:xMode val="edge"/>
          <c:yMode val="edge"/>
          <c:x val="0.15374406656614728"/>
          <c:y val="3.593887562331887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3"/>
          <c:order val="3"/>
          <c:tx>
            <c:v>1:1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validation!$AF$45:$AF$46</c:f>
              <c:numCache>
                <c:formatCode>General</c:formatCode>
                <c:ptCount val="2"/>
                <c:pt idx="0">
                  <c:v>20</c:v>
                </c:pt>
                <c:pt idx="1">
                  <c:v>150</c:v>
                </c:pt>
              </c:numCache>
            </c:numRef>
          </c:xVal>
          <c:yVal>
            <c:numRef>
              <c:f>validation!$AG$45:$AG$46</c:f>
              <c:numCache>
                <c:formatCode>General</c:formatCode>
                <c:ptCount val="2"/>
                <c:pt idx="0">
                  <c:v>20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867-419D-9F4B-A85986A5F6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scatterChart>
        <c:scatterStyle val="lineMarker"/>
        <c:varyColors val="0"/>
        <c:ser>
          <c:idx val="0"/>
          <c:order val="0"/>
          <c:tx>
            <c:strRef>
              <c:f>validation!$G$28</c:f>
              <c:strCache>
                <c:ptCount val="1"/>
                <c:pt idx="0">
                  <c:v>Ch3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</c:numCache>
            </c:numRef>
          </c:xVal>
          <c:yVal>
            <c:numRef>
              <c:f>validation!$G$29:$G$49</c:f>
              <c:numCache>
                <c:formatCode>0.00</c:formatCode>
                <c:ptCount val="21"/>
                <c:pt idx="0">
                  <c:v>65.384578047646713</c:v>
                </c:pt>
                <c:pt idx="1">
                  <c:v>71.795875306103753</c:v>
                </c:pt>
                <c:pt idx="2">
                  <c:v>57.107285520757799</c:v>
                </c:pt>
                <c:pt idx="3">
                  <c:v>67.228863069123221</c:v>
                </c:pt>
                <c:pt idx="4">
                  <c:v>67.790158190567425</c:v>
                </c:pt>
                <c:pt idx="5">
                  <c:v>52.229548635315865</c:v>
                </c:pt>
                <c:pt idx="6">
                  <c:v>35.266075271003764</c:v>
                </c:pt>
                <c:pt idx="7">
                  <c:v>56.481737181745252</c:v>
                </c:pt>
                <c:pt idx="8">
                  <c:v>43.736421375108904</c:v>
                </c:pt>
                <c:pt idx="9">
                  <c:v>56.805792312904344</c:v>
                </c:pt>
                <c:pt idx="10">
                  <c:v>25.250107129129805</c:v>
                </c:pt>
                <c:pt idx="11">
                  <c:v>35.860619902777074</c:v>
                </c:pt>
                <c:pt idx="12">
                  <c:v>55.070994541852556</c:v>
                </c:pt>
                <c:pt idx="13">
                  <c:v>42.327678645468538</c:v>
                </c:pt>
                <c:pt idx="14">
                  <c:v>51.321814032058477</c:v>
                </c:pt>
                <c:pt idx="15">
                  <c:v>49.641114279051997</c:v>
                </c:pt>
                <c:pt idx="16">
                  <c:v>56.762094883418058</c:v>
                </c:pt>
                <c:pt idx="17">
                  <c:v>67.001302816277274</c:v>
                </c:pt>
                <c:pt idx="18">
                  <c:v>24.654925635784203</c:v>
                </c:pt>
                <c:pt idx="19">
                  <c:v>17.808367221275912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8E1-4096-ACAF-78E4BC985C8B}"/>
            </c:ext>
          </c:extLst>
        </c:ser>
        <c:ser>
          <c:idx val="1"/>
          <c:order val="1"/>
          <c:tx>
            <c:strRef>
              <c:f>validation!$H$28</c:f>
              <c:strCache>
                <c:ptCount val="1"/>
                <c:pt idx="0">
                  <c:v>Ch2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</c:numCache>
            </c:numRef>
          </c:xVal>
          <c:yVal>
            <c:numRef>
              <c:f>validation!$H$29:$H$49</c:f>
              <c:numCache>
                <c:formatCode>0.00</c:formatCode>
                <c:ptCount val="21"/>
                <c:pt idx="0">
                  <c:v>51.628818352445393</c:v>
                </c:pt>
                <c:pt idx="1">
                  <c:v>54.586371705837585</c:v>
                </c:pt>
                <c:pt idx="2">
                  <c:v>49.706959685477116</c:v>
                </c:pt>
                <c:pt idx="3">
                  <c:v>58.649038570468207</c:v>
                </c:pt>
                <c:pt idx="4">
                  <c:v>65.448134471991892</c:v>
                </c:pt>
                <c:pt idx="5">
                  <c:v>49.69916480382139</c:v>
                </c:pt>
                <c:pt idx="6">
                  <c:v>43.811709923510548</c:v>
                </c:pt>
                <c:pt idx="7">
                  <c:v>53.444660669019079</c:v>
                </c:pt>
                <c:pt idx="8">
                  <c:v>45.109768952226155</c:v>
                </c:pt>
                <c:pt idx="9">
                  <c:v>58.682124784073622</c:v>
                </c:pt>
                <c:pt idx="10">
                  <c:v>37.151370987424627</c:v>
                </c:pt>
                <c:pt idx="11">
                  <c:v>43.103065572380601</c:v>
                </c:pt>
                <c:pt idx="12">
                  <c:v>54.980619547343714</c:v>
                </c:pt>
                <c:pt idx="13">
                  <c:v>44.18193950713075</c:v>
                </c:pt>
                <c:pt idx="14">
                  <c:v>50.693032441828286</c:v>
                </c:pt>
                <c:pt idx="15">
                  <c:v>45.826527086844514</c:v>
                </c:pt>
                <c:pt idx="16">
                  <c:v>53.267136543491972</c:v>
                </c:pt>
                <c:pt idx="17">
                  <c:v>62.193390742230939</c:v>
                </c:pt>
                <c:pt idx="18">
                  <c:v>32.715728904805879</c:v>
                </c:pt>
                <c:pt idx="19">
                  <c:v>23.325025604259231</c:v>
                </c:pt>
                <c:pt idx="20">
                  <c:v>5.5647743521472153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8E1-4096-ACAF-78E4BC985C8B}"/>
            </c:ext>
          </c:extLst>
        </c:ser>
        <c:ser>
          <c:idx val="2"/>
          <c:order val="2"/>
          <c:tx>
            <c:strRef>
              <c:f>validation!$I$28</c:f>
              <c:strCache>
                <c:ptCount val="1"/>
                <c:pt idx="0">
                  <c:v>Ch1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</c:numCache>
            </c:numRef>
          </c:xVal>
          <c:yVal>
            <c:numRef>
              <c:f>validation!$I$29:$I$49</c:f>
              <c:numCache>
                <c:formatCode>0.00</c:formatCode>
                <c:ptCount val="21"/>
                <c:pt idx="0">
                  <c:v>52.643434084458356</c:v>
                </c:pt>
                <c:pt idx="1">
                  <c:v>54.712432439892552</c:v>
                </c:pt>
                <c:pt idx="2">
                  <c:v>47.264726179696602</c:v>
                </c:pt>
                <c:pt idx="3">
                  <c:v>55.822006645722404</c:v>
                </c:pt>
                <c:pt idx="4">
                  <c:v>58.554474525039957</c:v>
                </c:pt>
                <c:pt idx="5">
                  <c:v>50.684987955350557</c:v>
                </c:pt>
                <c:pt idx="6">
                  <c:v>47.568351400075024</c:v>
                </c:pt>
                <c:pt idx="7">
                  <c:v>53.261989913258184</c:v>
                </c:pt>
                <c:pt idx="8">
                  <c:v>47.5106298842461</c:v>
                </c:pt>
                <c:pt idx="9">
                  <c:v>57.143620920571067</c:v>
                </c:pt>
                <c:pt idx="10">
                  <c:v>44.514321903194059</c:v>
                </c:pt>
                <c:pt idx="11">
                  <c:v>47.936496620170558</c:v>
                </c:pt>
                <c:pt idx="12">
                  <c:v>51.228547124253282</c:v>
                </c:pt>
                <c:pt idx="13">
                  <c:v>44.090548863460931</c:v>
                </c:pt>
                <c:pt idx="14">
                  <c:v>49.75878646363784</c:v>
                </c:pt>
                <c:pt idx="15">
                  <c:v>45.321140149968969</c:v>
                </c:pt>
                <c:pt idx="16">
                  <c:v>50.913070065770825</c:v>
                </c:pt>
                <c:pt idx="17">
                  <c:v>57.670539519757106</c:v>
                </c:pt>
                <c:pt idx="18">
                  <c:v>37.493598149762107</c:v>
                </c:pt>
                <c:pt idx="19">
                  <c:v>34.332532721250736</c:v>
                </c:pt>
                <c:pt idx="20">
                  <c:v>12.428167053090949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8E1-4096-ACAF-78E4BC985C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1611808"/>
        <c:axId val="971611328"/>
      </c:scatterChart>
      <c:valAx>
        <c:axId val="695731343"/>
        <c:scaling>
          <c:orientation val="minMax"/>
          <c:max val="16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4703"/>
        <c:crosses val="autoZero"/>
        <c:crossBetween val="midCat"/>
      </c:valAx>
      <c:valAx>
        <c:axId val="6957347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Predicted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1343"/>
        <c:crosses val="autoZero"/>
        <c:crossBetween val="midCat"/>
      </c:valAx>
      <c:valAx>
        <c:axId val="971611328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1611808"/>
        <c:crosses val="max"/>
        <c:crossBetween val="midCat"/>
      </c:valAx>
      <c:valAx>
        <c:axId val="971611808"/>
        <c:scaling>
          <c:orientation val="minMax"/>
        </c:scaling>
        <c:delete val="1"/>
        <c:axPos val="t"/>
        <c:numFmt formatCode="General" sourceLinked="1"/>
        <c:majorTickMark val="out"/>
        <c:minorTickMark val="none"/>
        <c:tickLblPos val="nextTo"/>
        <c:crossAx val="971611328"/>
        <c:crosses val="max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Gravelometer Measured</a:t>
            </a:r>
            <a:r>
              <a:rPr lang="en-US" sz="1200" baseline="0"/>
              <a:t> vs Predicted -</a:t>
            </a:r>
          </a:p>
          <a:p>
            <a:pPr>
              <a:defRPr sz="1200"/>
            </a:pPr>
            <a:r>
              <a:rPr lang="en-US" sz="1200" baseline="0"/>
              <a:t> Imp/s * Amean</a:t>
            </a:r>
            <a:endParaRPr lang="en-US" sz="1200"/>
          </a:p>
        </c:rich>
      </c:tx>
      <c:layout>
        <c:manualLayout>
          <c:xMode val="edge"/>
          <c:yMode val="edge"/>
          <c:x val="0.15374406656614728"/>
          <c:y val="3.593887562331887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3"/>
          <c:order val="3"/>
          <c:tx>
            <c:v>1:1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validation!$AF$45:$AF$46</c:f>
              <c:numCache>
                <c:formatCode>General</c:formatCode>
                <c:ptCount val="2"/>
                <c:pt idx="0">
                  <c:v>20</c:v>
                </c:pt>
                <c:pt idx="1">
                  <c:v>150</c:v>
                </c:pt>
              </c:numCache>
            </c:numRef>
          </c:xVal>
          <c:yVal>
            <c:numRef>
              <c:f>validation!$AG$45:$AG$46</c:f>
              <c:numCache>
                <c:formatCode>General</c:formatCode>
                <c:ptCount val="2"/>
                <c:pt idx="0">
                  <c:v>20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B52B-4637-84E5-DA883195E3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scatterChart>
        <c:scatterStyle val="lineMarker"/>
        <c:varyColors val="0"/>
        <c:ser>
          <c:idx val="0"/>
          <c:order val="0"/>
          <c:tx>
            <c:strRef>
              <c:f>validation!$J$28</c:f>
              <c:strCache>
                <c:ptCount val="1"/>
                <c:pt idx="0">
                  <c:v>Ch3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</c:numCache>
            </c:numRef>
          </c:xVal>
          <c:yVal>
            <c:numRef>
              <c:f>validation!$J$29:$J$49</c:f>
              <c:numCache>
                <c:formatCode>0.00</c:formatCode>
                <c:ptCount val="21"/>
                <c:pt idx="0">
                  <c:v>92.842677817177901</c:v>
                </c:pt>
                <c:pt idx="1">
                  <c:v>83.292592946891432</c:v>
                </c:pt>
                <c:pt idx="2">
                  <c:v>74.954810960620108</c:v>
                </c:pt>
                <c:pt idx="3">
                  <c:v>84.252068948159007</c:v>
                </c:pt>
                <c:pt idx="4">
                  <c:v>71.06874423077123</c:v>
                </c:pt>
                <c:pt idx="5">
                  <c:v>62.949579087623313</c:v>
                </c:pt>
                <c:pt idx="6">
                  <c:v>30.079911506948299</c:v>
                </c:pt>
                <c:pt idx="7">
                  <c:v>56.269015182775313</c:v>
                </c:pt>
                <c:pt idx="8">
                  <c:v>46.106882454418574</c:v>
                </c:pt>
                <c:pt idx="9">
                  <c:v>52.340891171179685</c:v>
                </c:pt>
                <c:pt idx="10">
                  <c:v>20.606898398021112</c:v>
                </c:pt>
                <c:pt idx="11">
                  <c:v>30.150375188185901</c:v>
                </c:pt>
                <c:pt idx="12">
                  <c:v>54.735478167433257</c:v>
                </c:pt>
                <c:pt idx="13">
                  <c:v>44.660696204200569</c:v>
                </c:pt>
                <c:pt idx="14">
                  <c:v>49.758189863230243</c:v>
                </c:pt>
                <c:pt idx="15">
                  <c:v>63.758286007908318</c:v>
                </c:pt>
                <c:pt idx="16">
                  <c:v>57.802109090072939</c:v>
                </c:pt>
                <c:pt idx="17">
                  <c:v>70.67174735147897</c:v>
                </c:pt>
                <c:pt idx="18">
                  <c:v>21.865693822315428</c:v>
                </c:pt>
                <c:pt idx="19">
                  <c:v>13.557015660581559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03B-4D72-AAB6-8E1C6C02382F}"/>
            </c:ext>
          </c:extLst>
        </c:ser>
        <c:ser>
          <c:idx val="1"/>
          <c:order val="1"/>
          <c:tx>
            <c:strRef>
              <c:f>validation!$K$28</c:f>
              <c:strCache>
                <c:ptCount val="1"/>
                <c:pt idx="0">
                  <c:v>Ch2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</c:numCache>
            </c:numRef>
          </c:xVal>
          <c:yVal>
            <c:numRef>
              <c:f>validation!$K$29:$K$49</c:f>
              <c:numCache>
                <c:formatCode>0.00</c:formatCode>
                <c:ptCount val="21"/>
                <c:pt idx="0">
                  <c:v>81.072571300785981</c:v>
                </c:pt>
                <c:pt idx="1">
                  <c:v>64.795355664056643</c:v>
                </c:pt>
                <c:pt idx="2">
                  <c:v>69.961722164412535</c:v>
                </c:pt>
                <c:pt idx="3">
                  <c:v>81.425656805169879</c:v>
                </c:pt>
                <c:pt idx="4">
                  <c:v>73.967491919762509</c:v>
                </c:pt>
                <c:pt idx="5">
                  <c:v>62.769226707154601</c:v>
                </c:pt>
                <c:pt idx="6">
                  <c:v>33.739575287705421</c:v>
                </c:pt>
                <c:pt idx="7">
                  <c:v>52.444532611877179</c:v>
                </c:pt>
                <c:pt idx="8">
                  <c:v>46.153491480304773</c:v>
                </c:pt>
                <c:pt idx="9">
                  <c:v>53.775932795362614</c:v>
                </c:pt>
                <c:pt idx="10">
                  <c:v>26.193008149886403</c:v>
                </c:pt>
                <c:pt idx="11">
                  <c:v>32.169770578692088</c:v>
                </c:pt>
                <c:pt idx="12">
                  <c:v>54.736965281607354</c:v>
                </c:pt>
                <c:pt idx="13">
                  <c:v>45.05127682505821</c:v>
                </c:pt>
                <c:pt idx="14">
                  <c:v>47.369550102291711</c:v>
                </c:pt>
                <c:pt idx="15">
                  <c:v>61.512353564056511</c:v>
                </c:pt>
                <c:pt idx="16">
                  <c:v>53.818834117110711</c:v>
                </c:pt>
                <c:pt idx="17">
                  <c:v>69.320260916444269</c:v>
                </c:pt>
                <c:pt idx="18">
                  <c:v>24.552341859803199</c:v>
                </c:pt>
                <c:pt idx="19">
                  <c:v>12.586421633483333</c:v>
                </c:pt>
                <c:pt idx="20">
                  <c:v>1.5333218368011026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03B-4D72-AAB6-8E1C6C02382F}"/>
            </c:ext>
          </c:extLst>
        </c:ser>
        <c:ser>
          <c:idx val="2"/>
          <c:order val="2"/>
          <c:tx>
            <c:strRef>
              <c:f>validation!$L$28</c:f>
              <c:strCache>
                <c:ptCount val="1"/>
                <c:pt idx="0">
                  <c:v>Ch1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</c:numCache>
            </c:numRef>
          </c:xVal>
          <c:yVal>
            <c:numRef>
              <c:f>validation!$L$29:$L$49</c:f>
              <c:numCache>
                <c:formatCode>0.00</c:formatCode>
                <c:ptCount val="21"/>
                <c:pt idx="0">
                  <c:v>100.44423476914439</c:v>
                </c:pt>
                <c:pt idx="1">
                  <c:v>70.157847245573649</c:v>
                </c:pt>
                <c:pt idx="2">
                  <c:v>71.098076504051448</c:v>
                </c:pt>
                <c:pt idx="3">
                  <c:v>86.878941050514186</c:v>
                </c:pt>
                <c:pt idx="4">
                  <c:v>66.185835174744469</c:v>
                </c:pt>
                <c:pt idx="5">
                  <c:v>70.11199502976369</c:v>
                </c:pt>
                <c:pt idx="6">
                  <c:v>33.314079141418567</c:v>
                </c:pt>
                <c:pt idx="7">
                  <c:v>51.457953253671036</c:v>
                </c:pt>
                <c:pt idx="8">
                  <c:v>48.788996478358897</c:v>
                </c:pt>
                <c:pt idx="9">
                  <c:v>50.415003086487374</c:v>
                </c:pt>
                <c:pt idx="10">
                  <c:v>28.806524264497664</c:v>
                </c:pt>
                <c:pt idx="11">
                  <c:v>32.721980499652865</c:v>
                </c:pt>
                <c:pt idx="12">
                  <c:v>47.65088313560797</c:v>
                </c:pt>
                <c:pt idx="13">
                  <c:v>42.405450139647805</c:v>
                </c:pt>
                <c:pt idx="14">
                  <c:v>43.4303454246649</c:v>
                </c:pt>
                <c:pt idx="15">
                  <c:v>64.601613003966577</c:v>
                </c:pt>
                <c:pt idx="16">
                  <c:v>49.116994051864594</c:v>
                </c:pt>
                <c:pt idx="17">
                  <c:v>65.18559131526824</c:v>
                </c:pt>
                <c:pt idx="18">
                  <c:v>24.355555477494292</c:v>
                </c:pt>
                <c:pt idx="19">
                  <c:v>16.107479264570827</c:v>
                </c:pt>
                <c:pt idx="20">
                  <c:v>2.1613038684227579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03B-4D72-AAB6-8E1C6C0238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valAx>
        <c:axId val="6957313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4703"/>
        <c:crosses val="autoZero"/>
        <c:crossBetween val="midCat"/>
      </c:valAx>
      <c:valAx>
        <c:axId val="6957347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Predicted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13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26" Type="http://schemas.openxmlformats.org/officeDocument/2006/relationships/chart" Target="../charts/chart26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34" Type="http://schemas.openxmlformats.org/officeDocument/2006/relationships/chart" Target="../charts/chart34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33" Type="http://schemas.openxmlformats.org/officeDocument/2006/relationships/chart" Target="../charts/chart33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29" Type="http://schemas.openxmlformats.org/officeDocument/2006/relationships/chart" Target="../charts/chart29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32" Type="http://schemas.openxmlformats.org/officeDocument/2006/relationships/chart" Target="../charts/chart32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28" Type="http://schemas.openxmlformats.org/officeDocument/2006/relationships/chart" Target="../charts/chart28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31" Type="http://schemas.openxmlformats.org/officeDocument/2006/relationships/chart" Target="../charts/chart31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Relationship Id="rId27" Type="http://schemas.openxmlformats.org/officeDocument/2006/relationships/chart" Target="../charts/chart27.xml"/><Relationship Id="rId30" Type="http://schemas.openxmlformats.org/officeDocument/2006/relationships/chart" Target="../charts/chart30.xml"/><Relationship Id="rId8" Type="http://schemas.openxmlformats.org/officeDocument/2006/relationships/chart" Target="../charts/chart8.xml"/></Relationships>
</file>

<file path=xl/drawings/_rels/drawing2.xml.rels><?xml version="1.0" encoding="UTF-8" standalone="yes"?>
<Relationships xmlns="http://schemas.openxmlformats.org/package/2006/relationships"><Relationship Id="rId13" Type="http://schemas.openxmlformats.org/officeDocument/2006/relationships/chart" Target="../charts/chart47.xml"/><Relationship Id="rId18" Type="http://schemas.openxmlformats.org/officeDocument/2006/relationships/chart" Target="../charts/chart52.xml"/><Relationship Id="rId26" Type="http://schemas.openxmlformats.org/officeDocument/2006/relationships/chart" Target="../charts/chart60.xml"/><Relationship Id="rId39" Type="http://schemas.openxmlformats.org/officeDocument/2006/relationships/chart" Target="../charts/chart73.xml"/><Relationship Id="rId21" Type="http://schemas.openxmlformats.org/officeDocument/2006/relationships/chart" Target="../charts/chart55.xml"/><Relationship Id="rId34" Type="http://schemas.openxmlformats.org/officeDocument/2006/relationships/chart" Target="../charts/chart68.xml"/><Relationship Id="rId42" Type="http://schemas.openxmlformats.org/officeDocument/2006/relationships/chart" Target="../charts/chart76.xml"/><Relationship Id="rId47" Type="http://schemas.openxmlformats.org/officeDocument/2006/relationships/chart" Target="../charts/chart81.xml"/><Relationship Id="rId7" Type="http://schemas.openxmlformats.org/officeDocument/2006/relationships/chart" Target="../charts/chart41.xml"/><Relationship Id="rId2" Type="http://schemas.openxmlformats.org/officeDocument/2006/relationships/chart" Target="../charts/chart36.xml"/><Relationship Id="rId16" Type="http://schemas.openxmlformats.org/officeDocument/2006/relationships/chart" Target="../charts/chart50.xml"/><Relationship Id="rId29" Type="http://schemas.openxmlformats.org/officeDocument/2006/relationships/chart" Target="../charts/chart63.xml"/><Relationship Id="rId1" Type="http://schemas.openxmlformats.org/officeDocument/2006/relationships/chart" Target="../charts/chart35.xml"/><Relationship Id="rId6" Type="http://schemas.openxmlformats.org/officeDocument/2006/relationships/chart" Target="../charts/chart40.xml"/><Relationship Id="rId11" Type="http://schemas.openxmlformats.org/officeDocument/2006/relationships/chart" Target="../charts/chart45.xml"/><Relationship Id="rId24" Type="http://schemas.openxmlformats.org/officeDocument/2006/relationships/chart" Target="../charts/chart58.xml"/><Relationship Id="rId32" Type="http://schemas.openxmlformats.org/officeDocument/2006/relationships/chart" Target="../charts/chart66.xml"/><Relationship Id="rId37" Type="http://schemas.openxmlformats.org/officeDocument/2006/relationships/chart" Target="../charts/chart71.xml"/><Relationship Id="rId40" Type="http://schemas.openxmlformats.org/officeDocument/2006/relationships/chart" Target="../charts/chart74.xml"/><Relationship Id="rId45" Type="http://schemas.openxmlformats.org/officeDocument/2006/relationships/chart" Target="../charts/chart79.xml"/><Relationship Id="rId5" Type="http://schemas.openxmlformats.org/officeDocument/2006/relationships/chart" Target="../charts/chart39.xml"/><Relationship Id="rId15" Type="http://schemas.openxmlformats.org/officeDocument/2006/relationships/chart" Target="../charts/chart49.xml"/><Relationship Id="rId23" Type="http://schemas.openxmlformats.org/officeDocument/2006/relationships/chart" Target="../charts/chart57.xml"/><Relationship Id="rId28" Type="http://schemas.openxmlformats.org/officeDocument/2006/relationships/chart" Target="../charts/chart62.xml"/><Relationship Id="rId36" Type="http://schemas.openxmlformats.org/officeDocument/2006/relationships/chart" Target="../charts/chart70.xml"/><Relationship Id="rId10" Type="http://schemas.openxmlformats.org/officeDocument/2006/relationships/chart" Target="../charts/chart44.xml"/><Relationship Id="rId19" Type="http://schemas.openxmlformats.org/officeDocument/2006/relationships/chart" Target="../charts/chart53.xml"/><Relationship Id="rId31" Type="http://schemas.openxmlformats.org/officeDocument/2006/relationships/chart" Target="../charts/chart65.xml"/><Relationship Id="rId44" Type="http://schemas.openxmlformats.org/officeDocument/2006/relationships/chart" Target="../charts/chart78.xml"/><Relationship Id="rId4" Type="http://schemas.openxmlformats.org/officeDocument/2006/relationships/chart" Target="../charts/chart38.xml"/><Relationship Id="rId9" Type="http://schemas.openxmlformats.org/officeDocument/2006/relationships/chart" Target="../charts/chart43.xml"/><Relationship Id="rId14" Type="http://schemas.openxmlformats.org/officeDocument/2006/relationships/chart" Target="../charts/chart48.xml"/><Relationship Id="rId22" Type="http://schemas.openxmlformats.org/officeDocument/2006/relationships/chart" Target="../charts/chart56.xml"/><Relationship Id="rId27" Type="http://schemas.openxmlformats.org/officeDocument/2006/relationships/chart" Target="../charts/chart61.xml"/><Relationship Id="rId30" Type="http://schemas.openxmlformats.org/officeDocument/2006/relationships/chart" Target="../charts/chart64.xml"/><Relationship Id="rId35" Type="http://schemas.openxmlformats.org/officeDocument/2006/relationships/chart" Target="../charts/chart69.xml"/><Relationship Id="rId43" Type="http://schemas.openxmlformats.org/officeDocument/2006/relationships/chart" Target="../charts/chart77.xml"/><Relationship Id="rId8" Type="http://schemas.openxmlformats.org/officeDocument/2006/relationships/chart" Target="../charts/chart42.xml"/><Relationship Id="rId3" Type="http://schemas.openxmlformats.org/officeDocument/2006/relationships/chart" Target="../charts/chart37.xml"/><Relationship Id="rId12" Type="http://schemas.openxmlformats.org/officeDocument/2006/relationships/chart" Target="../charts/chart46.xml"/><Relationship Id="rId17" Type="http://schemas.openxmlformats.org/officeDocument/2006/relationships/chart" Target="../charts/chart51.xml"/><Relationship Id="rId25" Type="http://schemas.openxmlformats.org/officeDocument/2006/relationships/chart" Target="../charts/chart59.xml"/><Relationship Id="rId33" Type="http://schemas.openxmlformats.org/officeDocument/2006/relationships/chart" Target="../charts/chart67.xml"/><Relationship Id="rId38" Type="http://schemas.openxmlformats.org/officeDocument/2006/relationships/chart" Target="../charts/chart72.xml"/><Relationship Id="rId46" Type="http://schemas.openxmlformats.org/officeDocument/2006/relationships/chart" Target="../charts/chart80.xml"/><Relationship Id="rId20" Type="http://schemas.openxmlformats.org/officeDocument/2006/relationships/chart" Target="../charts/chart54.xml"/><Relationship Id="rId41" Type="http://schemas.openxmlformats.org/officeDocument/2006/relationships/chart" Target="../charts/chart75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4.xml"/><Relationship Id="rId2" Type="http://schemas.openxmlformats.org/officeDocument/2006/relationships/chart" Target="../charts/chart83.xml"/><Relationship Id="rId1" Type="http://schemas.openxmlformats.org/officeDocument/2006/relationships/chart" Target="../charts/chart82.xml"/><Relationship Id="rId4" Type="http://schemas.openxmlformats.org/officeDocument/2006/relationships/chart" Target="../charts/chart8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29</xdr:col>
      <xdr:colOff>82827</xdr:colOff>
      <xdr:row>18</xdr:row>
      <xdr:rowOff>149087</xdr:rowOff>
    </xdr:from>
    <xdr:to>
      <xdr:col>33</xdr:col>
      <xdr:colOff>121802</xdr:colOff>
      <xdr:row>32</xdr:row>
      <xdr:rowOff>140804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B6BB611F-E2FA-48C6-A183-9A35388717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403970</xdr:colOff>
      <xdr:row>18</xdr:row>
      <xdr:rowOff>168089</xdr:rowOff>
    </xdr:from>
    <xdr:to>
      <xdr:col>24</xdr:col>
      <xdr:colOff>560853</xdr:colOff>
      <xdr:row>32</xdr:row>
      <xdr:rowOff>166967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F95F0CB-6CAA-E330-9D2B-050CAC5058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30184</xdr:colOff>
      <xdr:row>18</xdr:row>
      <xdr:rowOff>165653</xdr:rowOff>
    </xdr:from>
    <xdr:to>
      <xdr:col>29</xdr:col>
      <xdr:colOff>69159</xdr:colOff>
      <xdr:row>32</xdr:row>
      <xdr:rowOff>157370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D1273B3-E416-AF2A-E3EF-AEE0794FBD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21</xdr:col>
      <xdr:colOff>422413</xdr:colOff>
      <xdr:row>34</xdr:row>
      <xdr:rowOff>16565</xdr:rowOff>
    </xdr:from>
    <xdr:to>
      <xdr:col>24</xdr:col>
      <xdr:colOff>459892</xdr:colOff>
      <xdr:row>43</xdr:row>
      <xdr:rowOff>181640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EE15B30-9554-475E-9EDE-66CF7ECF254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24</xdr:col>
      <xdr:colOff>488673</xdr:colOff>
      <xdr:row>34</xdr:row>
      <xdr:rowOff>24849</xdr:rowOff>
    </xdr:from>
    <xdr:to>
      <xdr:col>27</xdr:col>
      <xdr:colOff>545766</xdr:colOff>
      <xdr:row>44</xdr:row>
      <xdr:rowOff>27374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703249A-A857-4E72-AC23-81D7AA8CAD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27</xdr:col>
      <xdr:colOff>604630</xdr:colOff>
      <xdr:row>34</xdr:row>
      <xdr:rowOff>8284</xdr:rowOff>
    </xdr:from>
    <xdr:to>
      <xdr:col>30</xdr:col>
      <xdr:colOff>596347</xdr:colOff>
      <xdr:row>44</xdr:row>
      <xdr:rowOff>41414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EB59CD9-244C-4659-8F85-AC22D892C7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31</xdr:col>
      <xdr:colOff>74544</xdr:colOff>
      <xdr:row>34</xdr:row>
      <xdr:rowOff>16566</xdr:rowOff>
    </xdr:from>
    <xdr:to>
      <xdr:col>34</xdr:col>
      <xdr:colOff>157369</xdr:colOff>
      <xdr:row>44</xdr:row>
      <xdr:rowOff>57978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282BC1B-5F9B-4480-AEAC-F777951834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21</xdr:col>
      <xdr:colOff>323022</xdr:colOff>
      <xdr:row>44</xdr:row>
      <xdr:rowOff>57978</xdr:rowOff>
    </xdr:from>
    <xdr:to>
      <xdr:col>24</xdr:col>
      <xdr:colOff>480393</xdr:colOff>
      <xdr:row>54</xdr:row>
      <xdr:rowOff>149087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C888814E-0034-46FD-A5E1-9E71562C252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24</xdr:col>
      <xdr:colOff>530087</xdr:colOff>
      <xdr:row>44</xdr:row>
      <xdr:rowOff>57977</xdr:rowOff>
    </xdr:from>
    <xdr:to>
      <xdr:col>27</xdr:col>
      <xdr:colOff>588066</xdr:colOff>
      <xdr:row>54</xdr:row>
      <xdr:rowOff>173934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B58B67D3-9CFE-4C15-9163-D19FF3706B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28</xdr:col>
      <xdr:colOff>24848</xdr:colOff>
      <xdr:row>44</xdr:row>
      <xdr:rowOff>91109</xdr:rowOff>
    </xdr:from>
    <xdr:to>
      <xdr:col>30</xdr:col>
      <xdr:colOff>571500</xdr:colOff>
      <xdr:row>54</xdr:row>
      <xdr:rowOff>173935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CADAFAF0-A500-4C38-B928-857DB65DEF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31</xdr:col>
      <xdr:colOff>67236</xdr:colOff>
      <xdr:row>44</xdr:row>
      <xdr:rowOff>100854</xdr:rowOff>
    </xdr:from>
    <xdr:to>
      <xdr:col>34</xdr:col>
      <xdr:colOff>168088</xdr:colOff>
      <xdr:row>55</xdr:row>
      <xdr:rowOff>22412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5BF61F80-C2F6-4A93-9701-4CC72B31A0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21</xdr:col>
      <xdr:colOff>302559</xdr:colOff>
      <xdr:row>55</xdr:row>
      <xdr:rowOff>0</xdr:rowOff>
    </xdr:from>
    <xdr:to>
      <xdr:col>24</xdr:col>
      <xdr:colOff>504265</xdr:colOff>
      <xdr:row>65</xdr:row>
      <xdr:rowOff>100853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0C6682DB-F393-42B1-9299-509F959D5F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24</xdr:col>
      <xdr:colOff>504265</xdr:colOff>
      <xdr:row>55</xdr:row>
      <xdr:rowOff>11206</xdr:rowOff>
    </xdr:from>
    <xdr:to>
      <xdr:col>27</xdr:col>
      <xdr:colOff>526677</xdr:colOff>
      <xdr:row>65</xdr:row>
      <xdr:rowOff>67235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E1593FCF-D063-45F9-A12C-762451B70E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28</xdr:col>
      <xdr:colOff>14286</xdr:colOff>
      <xdr:row>55</xdr:row>
      <xdr:rowOff>33337</xdr:rowOff>
    </xdr:from>
    <xdr:to>
      <xdr:col>30</xdr:col>
      <xdr:colOff>561975</xdr:colOff>
      <xdr:row>65</xdr:row>
      <xdr:rowOff>38101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6A23727A-98A1-4C0C-821A-2B2E414E03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31</xdr:col>
      <xdr:colOff>38101</xdr:colOff>
      <xdr:row>55</xdr:row>
      <xdr:rowOff>38101</xdr:rowOff>
    </xdr:from>
    <xdr:to>
      <xdr:col>34</xdr:col>
      <xdr:colOff>180975</xdr:colOff>
      <xdr:row>65</xdr:row>
      <xdr:rowOff>57150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BD78DAF1-70C7-46E2-B39D-9B42E628D5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64</xdr:col>
      <xdr:colOff>41158</xdr:colOff>
      <xdr:row>43</xdr:row>
      <xdr:rowOff>186401</xdr:rowOff>
    </xdr:from>
    <xdr:to>
      <xdr:col>68</xdr:col>
      <xdr:colOff>137863</xdr:colOff>
      <xdr:row>58</xdr:row>
      <xdr:rowOff>109422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6103E0A5-5EDB-2091-C673-C6CC672C35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68</xdr:col>
      <xdr:colOff>182685</xdr:colOff>
      <xdr:row>43</xdr:row>
      <xdr:rowOff>154246</xdr:rowOff>
    </xdr:from>
    <xdr:to>
      <xdr:col>73</xdr:col>
      <xdr:colOff>13434</xdr:colOff>
      <xdr:row>58</xdr:row>
      <xdr:rowOff>77267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8538CE1A-3A82-403A-BA9B-D496C7382FD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73</xdr:col>
      <xdr:colOff>101523</xdr:colOff>
      <xdr:row>43</xdr:row>
      <xdr:rowOff>187864</xdr:rowOff>
    </xdr:from>
    <xdr:to>
      <xdr:col>77</xdr:col>
      <xdr:colOff>541129</xdr:colOff>
      <xdr:row>58</xdr:row>
      <xdr:rowOff>110885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23B2BC7E-5C2B-4DAE-8A2D-F7A56B7B75F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64</xdr:col>
      <xdr:colOff>59501</xdr:colOff>
      <xdr:row>58</xdr:row>
      <xdr:rowOff>136317</xdr:rowOff>
    </xdr:from>
    <xdr:to>
      <xdr:col>68</xdr:col>
      <xdr:colOff>165731</xdr:colOff>
      <xdr:row>73</xdr:row>
      <xdr:rowOff>59338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83C2E01D-7C14-468C-A36E-6821EDFD81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68</xdr:col>
      <xdr:colOff>195572</xdr:colOff>
      <xdr:row>58</xdr:row>
      <xdr:rowOff>155367</xdr:rowOff>
    </xdr:from>
    <xdr:to>
      <xdr:col>73</xdr:col>
      <xdr:colOff>20135</xdr:colOff>
      <xdr:row>73</xdr:row>
      <xdr:rowOff>78388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9D15E62F-835C-478A-BDD5-F5421AF48F9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73</xdr:col>
      <xdr:colOff>119372</xdr:colOff>
      <xdr:row>58</xdr:row>
      <xdr:rowOff>136317</xdr:rowOff>
    </xdr:from>
    <xdr:to>
      <xdr:col>77</xdr:col>
      <xdr:colOff>556257</xdr:colOff>
      <xdr:row>73</xdr:row>
      <xdr:rowOff>59338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FE35B30F-84C2-43FB-BF2A-FC695406CF2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64</xdr:col>
      <xdr:colOff>107126</xdr:colOff>
      <xdr:row>73</xdr:row>
      <xdr:rowOff>136317</xdr:rowOff>
    </xdr:from>
    <xdr:to>
      <xdr:col>68</xdr:col>
      <xdr:colOff>213356</xdr:colOff>
      <xdr:row>88</xdr:row>
      <xdr:rowOff>59338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888B85D8-0006-4211-AD18-206E035862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68</xdr:col>
      <xdr:colOff>272332</xdr:colOff>
      <xdr:row>73</xdr:row>
      <xdr:rowOff>109423</xdr:rowOff>
    </xdr:from>
    <xdr:to>
      <xdr:col>73</xdr:col>
      <xdr:colOff>96895</xdr:colOff>
      <xdr:row>88</xdr:row>
      <xdr:rowOff>32444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075B6184-8287-4C71-8E0A-2F78A03282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73</xdr:col>
      <xdr:colOff>101523</xdr:colOff>
      <xdr:row>73</xdr:row>
      <xdr:rowOff>109423</xdr:rowOff>
    </xdr:from>
    <xdr:to>
      <xdr:col>77</xdr:col>
      <xdr:colOff>541129</xdr:colOff>
      <xdr:row>88</xdr:row>
      <xdr:rowOff>32444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C0D4CD12-D946-47C1-B1CA-2C255F97660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79</xdr:col>
      <xdr:colOff>10205</xdr:colOff>
      <xdr:row>44</xdr:row>
      <xdr:rowOff>28754</xdr:rowOff>
    </xdr:from>
    <xdr:to>
      <xdr:col>83</xdr:col>
      <xdr:colOff>443687</xdr:colOff>
      <xdr:row>58</xdr:row>
      <xdr:rowOff>142275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3415AE3C-16C9-48C2-BB8E-13C80FAC39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83</xdr:col>
      <xdr:colOff>488509</xdr:colOff>
      <xdr:row>43</xdr:row>
      <xdr:rowOff>187099</xdr:rowOff>
    </xdr:from>
    <xdr:to>
      <xdr:col>88</xdr:col>
      <xdr:colOff>313072</xdr:colOff>
      <xdr:row>58</xdr:row>
      <xdr:rowOff>110120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26A584A5-60D5-4E2A-9865-A51F52A379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88</xdr:col>
      <xdr:colOff>407347</xdr:colOff>
      <xdr:row>44</xdr:row>
      <xdr:rowOff>30217</xdr:rowOff>
    </xdr:from>
    <xdr:to>
      <xdr:col>93</xdr:col>
      <xdr:colOff>227827</xdr:colOff>
      <xdr:row>58</xdr:row>
      <xdr:rowOff>143738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C11CB907-0C52-4D5B-847B-5405626193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79</xdr:col>
      <xdr:colOff>28548</xdr:colOff>
      <xdr:row>58</xdr:row>
      <xdr:rowOff>169170</xdr:rowOff>
    </xdr:from>
    <xdr:to>
      <xdr:col>83</xdr:col>
      <xdr:colOff>471555</xdr:colOff>
      <xdr:row>73</xdr:row>
      <xdr:rowOff>92191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41B233B4-6EB7-426E-B8B7-2BECB96148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83</xdr:col>
      <xdr:colOff>501396</xdr:colOff>
      <xdr:row>58</xdr:row>
      <xdr:rowOff>188220</xdr:rowOff>
    </xdr:from>
    <xdr:to>
      <xdr:col>88</xdr:col>
      <xdr:colOff>325959</xdr:colOff>
      <xdr:row>73</xdr:row>
      <xdr:rowOff>111241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7D99A646-3642-4C76-9442-A754C48466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88</xdr:col>
      <xdr:colOff>425196</xdr:colOff>
      <xdr:row>58</xdr:row>
      <xdr:rowOff>169170</xdr:rowOff>
    </xdr:from>
    <xdr:to>
      <xdr:col>93</xdr:col>
      <xdr:colOff>249759</xdr:colOff>
      <xdr:row>73</xdr:row>
      <xdr:rowOff>92191</xdr:rowOff>
    </xdr:to>
    <xdr:graphicFrame macro="">
      <xdr:nvGraphicFramePr>
        <xdr:cNvPr id="35" name="Chart 34">
          <a:extLst>
            <a:ext uri="{FF2B5EF4-FFF2-40B4-BE49-F238E27FC236}">
              <a16:creationId xmlns:a16="http://schemas.microsoft.com/office/drawing/2014/main" id="{9AF8BE21-E9E6-4131-BEED-35538F08EA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79</xdr:col>
      <xdr:colOff>76173</xdr:colOff>
      <xdr:row>73</xdr:row>
      <xdr:rowOff>169170</xdr:rowOff>
    </xdr:from>
    <xdr:to>
      <xdr:col>83</xdr:col>
      <xdr:colOff>519180</xdr:colOff>
      <xdr:row>88</xdr:row>
      <xdr:rowOff>92191</xdr:rowOff>
    </xdr:to>
    <xdr:graphicFrame macro="">
      <xdr:nvGraphicFramePr>
        <xdr:cNvPr id="36" name="Chart 35">
          <a:extLst>
            <a:ext uri="{FF2B5EF4-FFF2-40B4-BE49-F238E27FC236}">
              <a16:creationId xmlns:a16="http://schemas.microsoft.com/office/drawing/2014/main" id="{98732EAC-3DB8-4CF8-A2FC-97B540BB80A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83</xdr:col>
      <xdr:colOff>578156</xdr:colOff>
      <xdr:row>73</xdr:row>
      <xdr:rowOff>142276</xdr:rowOff>
    </xdr:from>
    <xdr:to>
      <xdr:col>88</xdr:col>
      <xdr:colOff>402719</xdr:colOff>
      <xdr:row>88</xdr:row>
      <xdr:rowOff>65297</xdr:rowOff>
    </xdr:to>
    <xdr:graphicFrame macro="">
      <xdr:nvGraphicFramePr>
        <xdr:cNvPr id="37" name="Chart 36">
          <a:extLst>
            <a:ext uri="{FF2B5EF4-FFF2-40B4-BE49-F238E27FC236}">
              <a16:creationId xmlns:a16="http://schemas.microsoft.com/office/drawing/2014/main" id="{7E565855-614B-4351-AC8B-8FB3696168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88</xdr:col>
      <xdr:colOff>407347</xdr:colOff>
      <xdr:row>73</xdr:row>
      <xdr:rowOff>142276</xdr:rowOff>
    </xdr:from>
    <xdr:to>
      <xdr:col>93</xdr:col>
      <xdr:colOff>227827</xdr:colOff>
      <xdr:row>88</xdr:row>
      <xdr:rowOff>65297</xdr:rowOff>
    </xdr:to>
    <xdr:graphicFrame macro="">
      <xdr:nvGraphicFramePr>
        <xdr:cNvPr id="38" name="Chart 37">
          <a:extLst>
            <a:ext uri="{FF2B5EF4-FFF2-40B4-BE49-F238E27FC236}">
              <a16:creationId xmlns:a16="http://schemas.microsoft.com/office/drawing/2014/main" id="{AE6FDB8C-6464-4322-9EB5-325AC3E9DA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oneCellAnchor>
    <xdr:from>
      <xdr:col>39</xdr:col>
      <xdr:colOff>767703</xdr:colOff>
      <xdr:row>64</xdr:row>
      <xdr:rowOff>138546</xdr:rowOff>
    </xdr:from>
    <xdr:ext cx="3561842" cy="593304"/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0CCD7CFE-B291-7DB0-71BD-B4E9B81CDE91}"/>
            </a:ext>
          </a:extLst>
        </xdr:cNvPr>
        <xdr:cNvSpPr/>
      </xdr:nvSpPr>
      <xdr:spPr>
        <a:xfrm>
          <a:off x="28875112" y="12330546"/>
          <a:ext cx="3561842" cy="593304"/>
        </a:xfrm>
        <a:prstGeom prst="rect">
          <a:avLst/>
        </a:prstGeom>
        <a:noFill/>
      </xdr:spPr>
      <xdr:txBody>
        <a:bodyPr wrap="square" lIns="91440" tIns="45720" rIns="91440" bIns="45720">
          <a:spAutoFit/>
          <a:scene3d>
            <a:camera prst="orthographicFront"/>
            <a:lightRig rig="soft" dir="t">
              <a:rot lat="0" lon="0" rev="15600000"/>
            </a:lightRig>
          </a:scene3d>
          <a:sp3d extrusionH="57150" prstMaterial="softEdge">
            <a:bevelT w="25400" h="38100"/>
          </a:sp3d>
        </a:bodyPr>
        <a:lstStyle/>
        <a:p>
          <a:pPr algn="ctr"/>
          <a:r>
            <a:rPr lang="en-US" sz="3200" b="1" cap="none" spc="0">
              <a:ln/>
              <a:solidFill>
                <a:schemeClr val="accent4"/>
              </a:solidFill>
              <a:effectLst/>
            </a:rPr>
            <a:t>RMSE</a:t>
          </a:r>
          <a:r>
            <a:rPr lang="en-US" sz="3200" b="1" cap="none" spc="0" baseline="0">
              <a:ln/>
              <a:solidFill>
                <a:schemeClr val="accent4"/>
              </a:solidFill>
              <a:effectLst/>
            </a:rPr>
            <a:t> calculations</a:t>
          </a:r>
          <a:endParaRPr lang="en-US" sz="3200" b="1" cap="none" spc="0">
            <a:ln/>
            <a:solidFill>
              <a:schemeClr val="accent4"/>
            </a:solidFill>
            <a:effectLst/>
          </a:endParaRPr>
        </a:p>
      </xdr:txBody>
    </xdr:sp>
    <xdr:clientData/>
  </xdr:oneCellAnchor>
  <xdr:twoCellAnchor>
    <xdr:from>
      <xdr:col>26</xdr:col>
      <xdr:colOff>600075</xdr:colOff>
      <xdr:row>5</xdr:row>
      <xdr:rowOff>104774</xdr:rowOff>
    </xdr:from>
    <xdr:to>
      <xdr:col>31</xdr:col>
      <xdr:colOff>71437</xdr:colOff>
      <xdr:row>17</xdr:row>
      <xdr:rowOff>4761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E031641E-45AE-C7F8-F59B-A4213F47A4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198120</xdr:colOff>
      <xdr:row>23</xdr:row>
      <xdr:rowOff>156210</xdr:rowOff>
    </xdr:from>
    <xdr:to>
      <xdr:col>4</xdr:col>
      <xdr:colOff>45720</xdr:colOff>
      <xdr:row>37</xdr:row>
      <xdr:rowOff>167640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2E12F54-842E-EF26-944B-4B77362E3E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137160</xdr:colOff>
      <xdr:row>23</xdr:row>
      <xdr:rowOff>175260</xdr:rowOff>
    </xdr:from>
    <xdr:to>
      <xdr:col>8</xdr:col>
      <xdr:colOff>30480</xdr:colOff>
      <xdr:row>38</xdr:row>
      <xdr:rowOff>3810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504AAA3-2378-4168-B3EF-25EC477C12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129540</xdr:colOff>
      <xdr:row>23</xdr:row>
      <xdr:rowOff>175260</xdr:rowOff>
    </xdr:from>
    <xdr:to>
      <xdr:col>13</xdr:col>
      <xdr:colOff>152400</xdr:colOff>
      <xdr:row>38</xdr:row>
      <xdr:rowOff>3810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5DC9181-5B24-470C-8BFB-A77E52D802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270734</xdr:colOff>
      <xdr:row>38</xdr:row>
      <xdr:rowOff>53340</xdr:rowOff>
    </xdr:from>
    <xdr:to>
      <xdr:col>4</xdr:col>
      <xdr:colOff>118334</xdr:colOff>
      <xdr:row>52</xdr:row>
      <xdr:rowOff>64770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7171632-65DB-447A-8A32-D5C3EEA4FA7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</xdr:col>
      <xdr:colOff>137160</xdr:colOff>
      <xdr:row>38</xdr:row>
      <xdr:rowOff>45720</xdr:rowOff>
    </xdr:from>
    <xdr:to>
      <xdr:col>8</xdr:col>
      <xdr:colOff>30480</xdr:colOff>
      <xdr:row>52</xdr:row>
      <xdr:rowOff>57150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DE96E72-9F15-4FFC-850F-CBEC6BA624B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182880</xdr:colOff>
      <xdr:row>38</xdr:row>
      <xdr:rowOff>53340</xdr:rowOff>
    </xdr:from>
    <xdr:to>
      <xdr:col>13</xdr:col>
      <xdr:colOff>205740</xdr:colOff>
      <xdr:row>52</xdr:row>
      <xdr:rowOff>64770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51845B7-E4E4-49B3-B2AE-9CE31D0DF87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179294</xdr:colOff>
      <xdr:row>52</xdr:row>
      <xdr:rowOff>161364</xdr:rowOff>
    </xdr:from>
    <xdr:to>
      <xdr:col>4</xdr:col>
      <xdr:colOff>22860</xdr:colOff>
      <xdr:row>66</xdr:row>
      <xdr:rowOff>172794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EAE4F3F8-6C68-4AFF-B12B-A5579477AC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</xdr:col>
      <xdr:colOff>143435</xdr:colOff>
      <xdr:row>53</xdr:row>
      <xdr:rowOff>17929</xdr:rowOff>
    </xdr:from>
    <xdr:to>
      <xdr:col>8</xdr:col>
      <xdr:colOff>40789</xdr:colOff>
      <xdr:row>67</xdr:row>
      <xdr:rowOff>29359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B54FA16C-A787-4881-861F-26E6CE3C28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161365</xdr:colOff>
      <xdr:row>53</xdr:row>
      <xdr:rowOff>26895</xdr:rowOff>
    </xdr:from>
    <xdr:to>
      <xdr:col>13</xdr:col>
      <xdr:colOff>184225</xdr:colOff>
      <xdr:row>67</xdr:row>
      <xdr:rowOff>38325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B2C539D5-F45E-41F2-A080-D27CE4D76CE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14</xdr:col>
      <xdr:colOff>30154</xdr:colOff>
      <xdr:row>38</xdr:row>
      <xdr:rowOff>110836</xdr:rowOff>
    </xdr:from>
    <xdr:to>
      <xdr:col>19</xdr:col>
      <xdr:colOff>57048</xdr:colOff>
      <xdr:row>52</xdr:row>
      <xdr:rowOff>122266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76D0D5BE-3C4B-425C-90F5-981D1204EB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19</xdr:col>
      <xdr:colOff>200484</xdr:colOff>
      <xdr:row>38</xdr:row>
      <xdr:rowOff>110836</xdr:rowOff>
    </xdr:from>
    <xdr:to>
      <xdr:col>24</xdr:col>
      <xdr:colOff>227378</xdr:colOff>
      <xdr:row>52</xdr:row>
      <xdr:rowOff>122266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B4BE2079-652B-4F91-979C-AE9883268E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24</xdr:col>
      <xdr:colOff>299096</xdr:colOff>
      <xdr:row>38</xdr:row>
      <xdr:rowOff>119800</xdr:rowOff>
    </xdr:from>
    <xdr:to>
      <xdr:col>27</xdr:col>
      <xdr:colOff>137730</xdr:colOff>
      <xdr:row>52</xdr:row>
      <xdr:rowOff>131230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9C6F47B4-1641-41A6-AB09-41B0EB3457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14</xdr:col>
      <xdr:colOff>12224</xdr:colOff>
      <xdr:row>53</xdr:row>
      <xdr:rowOff>21189</xdr:rowOff>
    </xdr:from>
    <xdr:to>
      <xdr:col>19</xdr:col>
      <xdr:colOff>39118</xdr:colOff>
      <xdr:row>67</xdr:row>
      <xdr:rowOff>32620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71523273-9254-4417-A708-41BBFBB89F9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19</xdr:col>
      <xdr:colOff>164625</xdr:colOff>
      <xdr:row>53</xdr:row>
      <xdr:rowOff>30152</xdr:rowOff>
    </xdr:from>
    <xdr:to>
      <xdr:col>24</xdr:col>
      <xdr:colOff>191519</xdr:colOff>
      <xdr:row>67</xdr:row>
      <xdr:rowOff>41583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169AEE9B-5B4C-4A1C-9538-99805345C9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343920</xdr:colOff>
      <xdr:row>53</xdr:row>
      <xdr:rowOff>48083</xdr:rowOff>
    </xdr:from>
    <xdr:to>
      <xdr:col>27</xdr:col>
      <xdr:colOff>182554</xdr:colOff>
      <xdr:row>67</xdr:row>
      <xdr:rowOff>59514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67219C6F-924E-4CDA-A182-2B92BC5DA4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14</xdr:col>
      <xdr:colOff>27709</xdr:colOff>
      <xdr:row>23</xdr:row>
      <xdr:rowOff>124691</xdr:rowOff>
    </xdr:from>
    <xdr:to>
      <xdr:col>19</xdr:col>
      <xdr:colOff>55418</xdr:colOff>
      <xdr:row>37</xdr:row>
      <xdr:rowOff>136121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B663C2EF-ED15-4F57-B5E2-7CB0F57E8F9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19</xdr:col>
      <xdr:colOff>152400</xdr:colOff>
      <xdr:row>23</xdr:row>
      <xdr:rowOff>108857</xdr:rowOff>
    </xdr:from>
    <xdr:to>
      <xdr:col>24</xdr:col>
      <xdr:colOff>180109</xdr:colOff>
      <xdr:row>37</xdr:row>
      <xdr:rowOff>120287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336E0EE8-2E82-4DF8-B509-65ED3CEE41A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24</xdr:col>
      <xdr:colOff>283030</xdr:colOff>
      <xdr:row>23</xdr:row>
      <xdr:rowOff>97972</xdr:rowOff>
    </xdr:from>
    <xdr:to>
      <xdr:col>27</xdr:col>
      <xdr:colOff>97973</xdr:colOff>
      <xdr:row>37</xdr:row>
      <xdr:rowOff>109402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028888A6-39CD-40D4-8E04-AEBBD5F874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27</xdr:col>
      <xdr:colOff>489858</xdr:colOff>
      <xdr:row>38</xdr:row>
      <xdr:rowOff>108857</xdr:rowOff>
    </xdr:from>
    <xdr:to>
      <xdr:col>31</xdr:col>
      <xdr:colOff>527637</xdr:colOff>
      <xdr:row>52</xdr:row>
      <xdr:rowOff>120287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F5E06319-2CAA-4596-96A7-4E2E13B8DA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32</xdr:col>
      <xdr:colOff>10885</xdr:colOff>
      <xdr:row>38</xdr:row>
      <xdr:rowOff>97972</xdr:rowOff>
    </xdr:from>
    <xdr:to>
      <xdr:col>35</xdr:col>
      <xdr:colOff>405038</xdr:colOff>
      <xdr:row>52</xdr:row>
      <xdr:rowOff>109402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F934E58C-6D96-4E02-9FE9-7E8B0F5CF0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35</xdr:col>
      <xdr:colOff>544285</xdr:colOff>
      <xdr:row>38</xdr:row>
      <xdr:rowOff>87086</xdr:rowOff>
    </xdr:from>
    <xdr:to>
      <xdr:col>39</xdr:col>
      <xdr:colOff>130629</xdr:colOff>
      <xdr:row>52</xdr:row>
      <xdr:rowOff>98516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4AFACF81-F117-4E0D-BB6C-557A1BCB08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27</xdr:col>
      <xdr:colOff>468086</xdr:colOff>
      <xdr:row>53</xdr:row>
      <xdr:rowOff>-1</xdr:rowOff>
    </xdr:from>
    <xdr:to>
      <xdr:col>31</xdr:col>
      <xdr:colOff>505865</xdr:colOff>
      <xdr:row>67</xdr:row>
      <xdr:rowOff>11429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7BBF4E2F-E10D-414C-9FA7-ACF84ADF23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31</xdr:col>
      <xdr:colOff>555172</xdr:colOff>
      <xdr:row>52</xdr:row>
      <xdr:rowOff>130629</xdr:rowOff>
    </xdr:from>
    <xdr:to>
      <xdr:col>35</xdr:col>
      <xdr:colOff>435428</xdr:colOff>
      <xdr:row>66</xdr:row>
      <xdr:rowOff>142059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387C153C-20DF-48A3-8A95-8C020B51BFE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35</xdr:col>
      <xdr:colOff>511627</xdr:colOff>
      <xdr:row>52</xdr:row>
      <xdr:rowOff>174173</xdr:rowOff>
    </xdr:from>
    <xdr:to>
      <xdr:col>39</xdr:col>
      <xdr:colOff>97971</xdr:colOff>
      <xdr:row>67</xdr:row>
      <xdr:rowOff>545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381C30A8-137C-4778-88D5-F48C4F908F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14</xdr:col>
      <xdr:colOff>60366</xdr:colOff>
      <xdr:row>23</xdr:row>
      <xdr:rowOff>135577</xdr:rowOff>
    </xdr:from>
    <xdr:to>
      <xdr:col>19</xdr:col>
      <xdr:colOff>88075</xdr:colOff>
      <xdr:row>37</xdr:row>
      <xdr:rowOff>147007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B5602EC0-7454-282B-11EC-EDACE2A844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19</xdr:col>
      <xdr:colOff>185057</xdr:colOff>
      <xdr:row>23</xdr:row>
      <xdr:rowOff>119743</xdr:rowOff>
    </xdr:from>
    <xdr:to>
      <xdr:col>24</xdr:col>
      <xdr:colOff>212766</xdr:colOff>
      <xdr:row>37</xdr:row>
      <xdr:rowOff>131173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FDE58B64-FF7B-D759-9984-E90B94496D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35</xdr:col>
      <xdr:colOff>777836</xdr:colOff>
      <xdr:row>23</xdr:row>
      <xdr:rowOff>87086</xdr:rowOff>
    </xdr:from>
    <xdr:to>
      <xdr:col>39</xdr:col>
      <xdr:colOff>141515</xdr:colOff>
      <xdr:row>37</xdr:row>
      <xdr:rowOff>98516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BC59D53C-5826-4C5F-B355-5722A1BEDB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27</xdr:col>
      <xdr:colOff>489858</xdr:colOff>
      <xdr:row>23</xdr:row>
      <xdr:rowOff>124691</xdr:rowOff>
    </xdr:from>
    <xdr:to>
      <xdr:col>31</xdr:col>
      <xdr:colOff>528452</xdr:colOff>
      <xdr:row>37</xdr:row>
      <xdr:rowOff>136121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853300DD-952C-409B-AF41-E0FCAB1ABE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32</xdr:col>
      <xdr:colOff>15834</xdr:colOff>
      <xdr:row>23</xdr:row>
      <xdr:rowOff>108857</xdr:rowOff>
    </xdr:from>
    <xdr:to>
      <xdr:col>35</xdr:col>
      <xdr:colOff>707572</xdr:colOff>
      <xdr:row>37</xdr:row>
      <xdr:rowOff>120287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A69B0290-B576-4BDC-8B7A-AC3496FDC7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27</xdr:col>
      <xdr:colOff>566059</xdr:colOff>
      <xdr:row>38</xdr:row>
      <xdr:rowOff>141514</xdr:rowOff>
    </xdr:from>
    <xdr:to>
      <xdr:col>31</xdr:col>
      <xdr:colOff>435428</xdr:colOff>
      <xdr:row>52</xdr:row>
      <xdr:rowOff>152944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44CB5930-32E0-729F-C9E7-921D166258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32</xdr:col>
      <xdr:colOff>43543</xdr:colOff>
      <xdr:row>38</xdr:row>
      <xdr:rowOff>97972</xdr:rowOff>
    </xdr:from>
    <xdr:to>
      <xdr:col>35</xdr:col>
      <xdr:colOff>437696</xdr:colOff>
      <xdr:row>52</xdr:row>
      <xdr:rowOff>109402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E3A2A6BA-CB15-B323-C6E4-4C97F191E0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39</xdr:col>
      <xdr:colOff>555170</xdr:colOff>
      <xdr:row>38</xdr:row>
      <xdr:rowOff>97972</xdr:rowOff>
    </xdr:from>
    <xdr:to>
      <xdr:col>44</xdr:col>
      <xdr:colOff>87086</xdr:colOff>
      <xdr:row>52</xdr:row>
      <xdr:rowOff>109402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6E2332F8-03E8-4992-8175-2C2016A947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44</xdr:col>
      <xdr:colOff>119742</xdr:colOff>
      <xdr:row>38</xdr:row>
      <xdr:rowOff>87085</xdr:rowOff>
    </xdr:from>
    <xdr:to>
      <xdr:col>47</xdr:col>
      <xdr:colOff>76200</xdr:colOff>
      <xdr:row>52</xdr:row>
      <xdr:rowOff>98515</xdr:rowOff>
    </xdr:to>
    <xdr:graphicFrame macro="">
      <xdr:nvGraphicFramePr>
        <xdr:cNvPr id="35" name="Chart 34">
          <a:extLst>
            <a:ext uri="{FF2B5EF4-FFF2-40B4-BE49-F238E27FC236}">
              <a16:creationId xmlns:a16="http://schemas.microsoft.com/office/drawing/2014/main" id="{0DEE3052-068B-4009-BFC5-A6D18A61FDD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47</xdr:col>
      <xdr:colOff>206828</xdr:colOff>
      <xdr:row>38</xdr:row>
      <xdr:rowOff>108857</xdr:rowOff>
    </xdr:from>
    <xdr:to>
      <xdr:col>52</xdr:col>
      <xdr:colOff>65312</xdr:colOff>
      <xdr:row>52</xdr:row>
      <xdr:rowOff>120287</xdr:rowOff>
    </xdr:to>
    <xdr:graphicFrame macro="">
      <xdr:nvGraphicFramePr>
        <xdr:cNvPr id="36" name="Chart 35">
          <a:extLst>
            <a:ext uri="{FF2B5EF4-FFF2-40B4-BE49-F238E27FC236}">
              <a16:creationId xmlns:a16="http://schemas.microsoft.com/office/drawing/2014/main" id="{23022863-8246-4D3F-8E30-4F8DDF5943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39</xdr:col>
      <xdr:colOff>533399</xdr:colOff>
      <xdr:row>53</xdr:row>
      <xdr:rowOff>0</xdr:rowOff>
    </xdr:from>
    <xdr:to>
      <xdr:col>44</xdr:col>
      <xdr:colOff>65315</xdr:colOff>
      <xdr:row>67</xdr:row>
      <xdr:rowOff>11430</xdr:rowOff>
    </xdr:to>
    <xdr:graphicFrame macro="">
      <xdr:nvGraphicFramePr>
        <xdr:cNvPr id="37" name="Chart 36">
          <a:extLst>
            <a:ext uri="{FF2B5EF4-FFF2-40B4-BE49-F238E27FC236}">
              <a16:creationId xmlns:a16="http://schemas.microsoft.com/office/drawing/2014/main" id="{C0D94379-44AE-474F-8173-A0FF030E9E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>
    <xdr:from>
      <xdr:col>44</xdr:col>
      <xdr:colOff>141514</xdr:colOff>
      <xdr:row>53</xdr:row>
      <xdr:rowOff>65313</xdr:rowOff>
    </xdr:from>
    <xdr:to>
      <xdr:col>47</xdr:col>
      <xdr:colOff>97972</xdr:colOff>
      <xdr:row>67</xdr:row>
      <xdr:rowOff>76743</xdr:rowOff>
    </xdr:to>
    <xdr:graphicFrame macro="">
      <xdr:nvGraphicFramePr>
        <xdr:cNvPr id="38" name="Chart 37">
          <a:extLst>
            <a:ext uri="{FF2B5EF4-FFF2-40B4-BE49-F238E27FC236}">
              <a16:creationId xmlns:a16="http://schemas.microsoft.com/office/drawing/2014/main" id="{47398B51-C732-42A2-91DB-0938EF00BE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>
    <xdr:from>
      <xdr:col>47</xdr:col>
      <xdr:colOff>283028</xdr:colOff>
      <xdr:row>53</xdr:row>
      <xdr:rowOff>43541</xdr:rowOff>
    </xdr:from>
    <xdr:to>
      <xdr:col>52</xdr:col>
      <xdr:colOff>141512</xdr:colOff>
      <xdr:row>67</xdr:row>
      <xdr:rowOff>54971</xdr:rowOff>
    </xdr:to>
    <xdr:graphicFrame macro="">
      <xdr:nvGraphicFramePr>
        <xdr:cNvPr id="39" name="Chart 38">
          <a:extLst>
            <a:ext uri="{FF2B5EF4-FFF2-40B4-BE49-F238E27FC236}">
              <a16:creationId xmlns:a16="http://schemas.microsoft.com/office/drawing/2014/main" id="{023D5905-2C00-443F-AE5A-D157B25B2A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>
    <xdr:from>
      <xdr:col>47</xdr:col>
      <xdr:colOff>298864</xdr:colOff>
      <xdr:row>23</xdr:row>
      <xdr:rowOff>65315</xdr:rowOff>
    </xdr:from>
    <xdr:to>
      <xdr:col>52</xdr:col>
      <xdr:colOff>0</xdr:colOff>
      <xdr:row>37</xdr:row>
      <xdr:rowOff>76745</xdr:rowOff>
    </xdr:to>
    <xdr:graphicFrame macro="">
      <xdr:nvGraphicFramePr>
        <xdr:cNvPr id="40" name="Chart 39">
          <a:extLst>
            <a:ext uri="{FF2B5EF4-FFF2-40B4-BE49-F238E27FC236}">
              <a16:creationId xmlns:a16="http://schemas.microsoft.com/office/drawing/2014/main" id="{7A49CD4C-89CB-49C7-BC39-BF6ED0691E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>
    <xdr:from>
      <xdr:col>39</xdr:col>
      <xdr:colOff>500743</xdr:colOff>
      <xdr:row>23</xdr:row>
      <xdr:rowOff>102920</xdr:rowOff>
    </xdr:from>
    <xdr:to>
      <xdr:col>44</xdr:col>
      <xdr:colOff>71252</xdr:colOff>
      <xdr:row>37</xdr:row>
      <xdr:rowOff>114350</xdr:rowOff>
    </xdr:to>
    <xdr:graphicFrame macro="">
      <xdr:nvGraphicFramePr>
        <xdr:cNvPr id="41" name="Chart 40">
          <a:extLst>
            <a:ext uri="{FF2B5EF4-FFF2-40B4-BE49-F238E27FC236}">
              <a16:creationId xmlns:a16="http://schemas.microsoft.com/office/drawing/2014/main" id="{E73737D3-D367-4513-8B53-435D7E9D899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>
    <xdr:from>
      <xdr:col>44</xdr:col>
      <xdr:colOff>168234</xdr:colOff>
      <xdr:row>23</xdr:row>
      <xdr:rowOff>87086</xdr:rowOff>
    </xdr:from>
    <xdr:to>
      <xdr:col>47</xdr:col>
      <xdr:colOff>228600</xdr:colOff>
      <xdr:row>37</xdr:row>
      <xdr:rowOff>98516</xdr:rowOff>
    </xdr:to>
    <xdr:graphicFrame macro="">
      <xdr:nvGraphicFramePr>
        <xdr:cNvPr id="42" name="Chart 41">
          <a:extLst>
            <a:ext uri="{FF2B5EF4-FFF2-40B4-BE49-F238E27FC236}">
              <a16:creationId xmlns:a16="http://schemas.microsoft.com/office/drawing/2014/main" id="{40517A88-8DB0-4DBF-9FE8-9E76900AE92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  <xdr:twoCellAnchor>
    <xdr:from>
      <xdr:col>52</xdr:col>
      <xdr:colOff>239486</xdr:colOff>
      <xdr:row>23</xdr:row>
      <xdr:rowOff>87087</xdr:rowOff>
    </xdr:from>
    <xdr:to>
      <xdr:col>55</xdr:col>
      <xdr:colOff>533398</xdr:colOff>
      <xdr:row>37</xdr:row>
      <xdr:rowOff>98517</xdr:rowOff>
    </xdr:to>
    <xdr:graphicFrame macro="">
      <xdr:nvGraphicFramePr>
        <xdr:cNvPr id="44" name="Chart 43">
          <a:extLst>
            <a:ext uri="{FF2B5EF4-FFF2-40B4-BE49-F238E27FC236}">
              <a16:creationId xmlns:a16="http://schemas.microsoft.com/office/drawing/2014/main" id="{436BAC01-7C0D-4EC1-B782-8785655513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1"/>
        </a:graphicData>
      </a:graphic>
    </xdr:graphicFrame>
    <xdr:clientData/>
  </xdr:twoCellAnchor>
  <xdr:twoCellAnchor>
    <xdr:from>
      <xdr:col>55</xdr:col>
      <xdr:colOff>609600</xdr:colOff>
      <xdr:row>23</xdr:row>
      <xdr:rowOff>97972</xdr:rowOff>
    </xdr:from>
    <xdr:to>
      <xdr:col>59</xdr:col>
      <xdr:colOff>217713</xdr:colOff>
      <xdr:row>37</xdr:row>
      <xdr:rowOff>109402</xdr:rowOff>
    </xdr:to>
    <xdr:graphicFrame macro="">
      <xdr:nvGraphicFramePr>
        <xdr:cNvPr id="45" name="Chart 44">
          <a:extLst>
            <a:ext uri="{FF2B5EF4-FFF2-40B4-BE49-F238E27FC236}">
              <a16:creationId xmlns:a16="http://schemas.microsoft.com/office/drawing/2014/main" id="{99641584-D13B-4A0C-9189-A4304902352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2"/>
        </a:graphicData>
      </a:graphic>
    </xdr:graphicFrame>
    <xdr:clientData/>
  </xdr:twoCellAnchor>
  <xdr:twoCellAnchor>
    <xdr:from>
      <xdr:col>59</xdr:col>
      <xdr:colOff>337457</xdr:colOff>
      <xdr:row>23</xdr:row>
      <xdr:rowOff>141515</xdr:rowOff>
    </xdr:from>
    <xdr:to>
      <xdr:col>64</xdr:col>
      <xdr:colOff>195941</xdr:colOff>
      <xdr:row>37</xdr:row>
      <xdr:rowOff>152945</xdr:rowOff>
    </xdr:to>
    <xdr:graphicFrame macro="">
      <xdr:nvGraphicFramePr>
        <xdr:cNvPr id="46" name="Chart 45">
          <a:extLst>
            <a:ext uri="{FF2B5EF4-FFF2-40B4-BE49-F238E27FC236}">
              <a16:creationId xmlns:a16="http://schemas.microsoft.com/office/drawing/2014/main" id="{5FD475E9-9980-4407-9596-7C88868371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3"/>
        </a:graphicData>
      </a:graphic>
    </xdr:graphicFrame>
    <xdr:clientData/>
  </xdr:twoCellAnchor>
  <xdr:twoCellAnchor>
    <xdr:from>
      <xdr:col>52</xdr:col>
      <xdr:colOff>233083</xdr:colOff>
      <xdr:row>38</xdr:row>
      <xdr:rowOff>98612</xdr:rowOff>
    </xdr:from>
    <xdr:to>
      <xdr:col>55</xdr:col>
      <xdr:colOff>530837</xdr:colOff>
      <xdr:row>52</xdr:row>
      <xdr:rowOff>110041</xdr:rowOff>
    </xdr:to>
    <xdr:graphicFrame macro="">
      <xdr:nvGraphicFramePr>
        <xdr:cNvPr id="47" name="Chart 46">
          <a:extLst>
            <a:ext uri="{FF2B5EF4-FFF2-40B4-BE49-F238E27FC236}">
              <a16:creationId xmlns:a16="http://schemas.microsoft.com/office/drawing/2014/main" id="{BCD78710-6C80-4856-80AB-D2F9876BB7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4"/>
        </a:graphicData>
      </a:graphic>
    </xdr:graphicFrame>
    <xdr:clientData/>
  </xdr:twoCellAnchor>
  <xdr:twoCellAnchor>
    <xdr:from>
      <xdr:col>55</xdr:col>
      <xdr:colOff>645458</xdr:colOff>
      <xdr:row>38</xdr:row>
      <xdr:rowOff>71718</xdr:rowOff>
    </xdr:from>
    <xdr:to>
      <xdr:col>59</xdr:col>
      <xdr:colOff>261895</xdr:colOff>
      <xdr:row>52</xdr:row>
      <xdr:rowOff>83147</xdr:rowOff>
    </xdr:to>
    <xdr:graphicFrame macro="">
      <xdr:nvGraphicFramePr>
        <xdr:cNvPr id="48" name="Chart 47">
          <a:extLst>
            <a:ext uri="{FF2B5EF4-FFF2-40B4-BE49-F238E27FC236}">
              <a16:creationId xmlns:a16="http://schemas.microsoft.com/office/drawing/2014/main" id="{B202B030-A520-4FC6-B522-EB28B07A98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5"/>
        </a:graphicData>
      </a:graphic>
    </xdr:graphicFrame>
    <xdr:clientData/>
  </xdr:twoCellAnchor>
  <xdr:twoCellAnchor>
    <xdr:from>
      <xdr:col>59</xdr:col>
      <xdr:colOff>340659</xdr:colOff>
      <xdr:row>38</xdr:row>
      <xdr:rowOff>80683</xdr:rowOff>
    </xdr:from>
    <xdr:to>
      <xdr:col>64</xdr:col>
      <xdr:colOff>199143</xdr:colOff>
      <xdr:row>52</xdr:row>
      <xdr:rowOff>92112</xdr:rowOff>
    </xdr:to>
    <xdr:graphicFrame macro="">
      <xdr:nvGraphicFramePr>
        <xdr:cNvPr id="49" name="Chart 48">
          <a:extLst>
            <a:ext uri="{FF2B5EF4-FFF2-40B4-BE49-F238E27FC236}">
              <a16:creationId xmlns:a16="http://schemas.microsoft.com/office/drawing/2014/main" id="{F58B7479-A9F0-41EE-AA25-F70FE94D22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6"/>
        </a:graphicData>
      </a:graphic>
    </xdr:graphicFrame>
    <xdr:clientData/>
  </xdr:twoCellAnchor>
  <xdr:twoCellAnchor>
    <xdr:from>
      <xdr:col>0</xdr:col>
      <xdr:colOff>206188</xdr:colOff>
      <xdr:row>52</xdr:row>
      <xdr:rowOff>161364</xdr:rowOff>
    </xdr:from>
    <xdr:to>
      <xdr:col>4</xdr:col>
      <xdr:colOff>49754</xdr:colOff>
      <xdr:row>66</xdr:row>
      <xdr:rowOff>172794</xdr:rowOff>
    </xdr:to>
    <xdr:graphicFrame macro="">
      <xdr:nvGraphicFramePr>
        <xdr:cNvPr id="50" name="Chart 49">
          <a:extLst>
            <a:ext uri="{FF2B5EF4-FFF2-40B4-BE49-F238E27FC236}">
              <a16:creationId xmlns:a16="http://schemas.microsoft.com/office/drawing/2014/main" id="{0088961E-EAEE-4CBA-FAC5-AF5DEF146A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7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180975</xdr:colOff>
      <xdr:row>26</xdr:row>
      <xdr:rowOff>95250</xdr:rowOff>
    </xdr:from>
    <xdr:to>
      <xdr:col>19</xdr:col>
      <xdr:colOff>219075</xdr:colOff>
      <xdr:row>41</xdr:row>
      <xdr:rowOff>9526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A408D55-643D-7DFD-3250-199073F338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314325</xdr:colOff>
      <xdr:row>26</xdr:row>
      <xdr:rowOff>123826</xdr:rowOff>
    </xdr:from>
    <xdr:to>
      <xdr:col>24</xdr:col>
      <xdr:colOff>476250</xdr:colOff>
      <xdr:row>41</xdr:row>
      <xdr:rowOff>38102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30EB16E-A7A9-4A1D-87F6-63F22479FA0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24</xdr:col>
      <xdr:colOff>552450</xdr:colOff>
      <xdr:row>26</xdr:row>
      <xdr:rowOff>142875</xdr:rowOff>
    </xdr:from>
    <xdr:to>
      <xdr:col>30</xdr:col>
      <xdr:colOff>104775</xdr:colOff>
      <xdr:row>41</xdr:row>
      <xdr:rowOff>57151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8ADF5D6-A90C-4624-A3FC-71D9FA2381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30</xdr:col>
      <xdr:colOff>180975</xdr:colOff>
      <xdr:row>26</xdr:row>
      <xdr:rowOff>123825</xdr:rowOff>
    </xdr:from>
    <xdr:to>
      <xdr:col>34</xdr:col>
      <xdr:colOff>171450</xdr:colOff>
      <xdr:row>41</xdr:row>
      <xdr:rowOff>38101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2B5AEBA-D4A6-435E-A92F-8538DBD3562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9D673-A6E9-4A50-ABDD-A71D46703B35}">
  <dimension ref="A1:BF44"/>
  <sheetViews>
    <sheetView workbookViewId="0"/>
  </sheetViews>
  <sheetFormatPr defaultRowHeight="15" x14ac:dyDescent="0.25"/>
  <cols>
    <col min="2" max="2" width="13.7109375" customWidth="1"/>
    <col min="3" max="3" width="12.5703125" customWidth="1"/>
    <col min="4" max="4" width="13" customWidth="1"/>
    <col min="5" max="6" width="12.28515625" customWidth="1"/>
    <col min="7" max="7" width="13.7109375" customWidth="1"/>
    <col min="10" max="11" width="9" bestFit="1" customWidth="1"/>
    <col min="12" max="13" width="9.5703125" bestFit="1" customWidth="1"/>
  </cols>
  <sheetData>
    <row r="1" spans="1:58" x14ac:dyDescent="0.25">
      <c r="E1" s="119" t="s">
        <v>48</v>
      </c>
      <c r="F1" s="119"/>
      <c r="G1" s="119"/>
      <c r="O1" t="s">
        <v>49</v>
      </c>
      <c r="AC1" t="s">
        <v>50</v>
      </c>
    </row>
    <row r="2" spans="1:58" x14ac:dyDescent="0.25">
      <c r="A2" s="1" t="s">
        <v>0</v>
      </c>
      <c r="B2" s="1" t="s">
        <v>46</v>
      </c>
      <c r="C2" s="1" t="s">
        <v>45</v>
      </c>
      <c r="D2" s="1" t="s">
        <v>47</v>
      </c>
      <c r="E2" s="1" t="s">
        <v>1</v>
      </c>
      <c r="F2" s="1" t="s">
        <v>2</v>
      </c>
      <c r="G2" s="1" t="s">
        <v>3</v>
      </c>
      <c r="H2" s="5" t="s">
        <v>4</v>
      </c>
      <c r="I2" s="1" t="s">
        <v>5</v>
      </c>
      <c r="J2" s="1" t="s">
        <v>6</v>
      </c>
      <c r="K2" s="1" t="s">
        <v>7</v>
      </c>
      <c r="L2" s="1" t="s">
        <v>8</v>
      </c>
      <c r="M2" s="6" t="s">
        <v>9</v>
      </c>
      <c r="O2" s="31" t="s">
        <v>0</v>
      </c>
      <c r="P2" s="32" t="s">
        <v>46</v>
      </c>
      <c r="Q2" s="32" t="s">
        <v>45</v>
      </c>
      <c r="R2" s="32" t="s">
        <v>47</v>
      </c>
      <c r="S2" s="32" t="s">
        <v>1</v>
      </c>
      <c r="T2" s="32" t="s">
        <v>2</v>
      </c>
      <c r="U2" s="32" t="s">
        <v>3</v>
      </c>
      <c r="V2" s="31" t="s">
        <v>4</v>
      </c>
      <c r="W2" s="32" t="s">
        <v>5</v>
      </c>
      <c r="X2" s="32" t="s">
        <v>6</v>
      </c>
      <c r="Y2" s="32" t="s">
        <v>7</v>
      </c>
      <c r="Z2" s="32" t="s">
        <v>8</v>
      </c>
      <c r="AA2" s="33" t="s">
        <v>9</v>
      </c>
      <c r="AC2" s="31" t="s">
        <v>0</v>
      </c>
      <c r="AD2" s="32" t="s">
        <v>46</v>
      </c>
      <c r="AE2" s="32" t="s">
        <v>45</v>
      </c>
      <c r="AF2" s="32" t="s">
        <v>47</v>
      </c>
      <c r="AG2" s="32" t="s">
        <v>1</v>
      </c>
      <c r="AH2" s="32" t="s">
        <v>2</v>
      </c>
      <c r="AI2" s="32" t="s">
        <v>3</v>
      </c>
      <c r="AJ2" s="31" t="s">
        <v>4</v>
      </c>
      <c r="AK2" s="32" t="s">
        <v>5</v>
      </c>
      <c r="AL2" s="32" t="s">
        <v>6</v>
      </c>
      <c r="AM2" s="32" t="s">
        <v>7</v>
      </c>
      <c r="AN2" s="32" t="s">
        <v>8</v>
      </c>
      <c r="AO2" s="33" t="s">
        <v>9</v>
      </c>
      <c r="AS2" s="1" t="s">
        <v>0</v>
      </c>
      <c r="AT2" t="s">
        <v>10</v>
      </c>
      <c r="AU2" t="s">
        <v>11</v>
      </c>
      <c r="AV2" t="s">
        <v>12</v>
      </c>
      <c r="AW2" t="s">
        <v>13</v>
      </c>
      <c r="AX2" t="s">
        <v>14</v>
      </c>
      <c r="AY2" t="s">
        <v>15</v>
      </c>
      <c r="BA2" t="s">
        <v>27</v>
      </c>
      <c r="BB2" t="s">
        <v>28</v>
      </c>
      <c r="BC2" t="s">
        <v>29</v>
      </c>
      <c r="BD2" t="s">
        <v>30</v>
      </c>
      <c r="BE2" t="s">
        <v>31</v>
      </c>
      <c r="BF2" t="s">
        <v>32</v>
      </c>
    </row>
    <row r="3" spans="1:58" x14ac:dyDescent="0.25">
      <c r="A3" s="2">
        <v>167</v>
      </c>
      <c r="B3" s="2">
        <v>128</v>
      </c>
      <c r="C3" s="2">
        <v>220</v>
      </c>
      <c r="D3" s="2">
        <v>7</v>
      </c>
      <c r="E3" s="27">
        <v>0.104819100180613</v>
      </c>
      <c r="F3" s="27">
        <v>3.3154403752457901E-2</v>
      </c>
      <c r="G3" s="27">
        <v>2.2914216154744201E-2</v>
      </c>
      <c r="H3" s="30">
        <v>6</v>
      </c>
      <c r="I3" s="8">
        <v>16</v>
      </c>
      <c r="J3" s="8">
        <v>96</v>
      </c>
      <c r="K3" s="8">
        <v>264</v>
      </c>
      <c r="L3" s="8">
        <v>604</v>
      </c>
      <c r="M3" s="29">
        <v>978</v>
      </c>
      <c r="O3" s="34">
        <v>167</v>
      </c>
      <c r="P3" s="2">
        <v>128</v>
      </c>
      <c r="Q3" s="2">
        <v>220</v>
      </c>
      <c r="R3" s="2">
        <v>7</v>
      </c>
      <c r="S3" s="27">
        <v>0.104819100180613</v>
      </c>
      <c r="T3" s="27">
        <v>3.3154403752457901E-2</v>
      </c>
      <c r="U3" s="27">
        <v>2.2914216154744201E-2</v>
      </c>
      <c r="V3" s="30">
        <v>6</v>
      </c>
      <c r="W3" s="8">
        <v>16</v>
      </c>
      <c r="X3" s="8">
        <v>96</v>
      </c>
      <c r="Y3" s="8">
        <v>264</v>
      </c>
      <c r="Z3" s="8">
        <v>604</v>
      </c>
      <c r="AA3" s="29">
        <v>978</v>
      </c>
      <c r="AC3" s="34">
        <v>8</v>
      </c>
      <c r="AD3" s="2">
        <v>128</v>
      </c>
      <c r="AE3" s="2">
        <v>160</v>
      </c>
      <c r="AF3" s="2">
        <v>10</v>
      </c>
      <c r="AG3" s="27">
        <v>0.161944718485239</v>
      </c>
      <c r="AH3" s="27">
        <v>3.2526116479269097E-2</v>
      </c>
      <c r="AI3" s="27">
        <v>7.7989329746457701E-3</v>
      </c>
      <c r="AJ3" s="30">
        <v>10</v>
      </c>
      <c r="AK3" s="8">
        <v>31</v>
      </c>
      <c r="AL3" s="8">
        <v>89</v>
      </c>
      <c r="AM3" s="8">
        <v>230</v>
      </c>
      <c r="AN3" s="8">
        <v>509</v>
      </c>
      <c r="AO3" s="29">
        <v>1493</v>
      </c>
      <c r="AS3" s="2">
        <v>167</v>
      </c>
      <c r="AT3">
        <v>6.4069250048013796E-2</v>
      </c>
      <c r="AU3">
        <v>0.17940701762775299</v>
      </c>
      <c r="AV3">
        <v>0.59727911911144405</v>
      </c>
      <c r="AW3">
        <v>2.1218818406845701</v>
      </c>
      <c r="AX3">
        <v>8.4875273627382803</v>
      </c>
      <c r="AY3">
        <v>33.9501094509531</v>
      </c>
      <c r="BA3">
        <v>0.104819100180613</v>
      </c>
      <c r="BB3">
        <v>0.41927640072245398</v>
      </c>
      <c r="BC3">
        <v>1.6771056028898099</v>
      </c>
      <c r="BD3">
        <v>6.7084224115592699</v>
      </c>
      <c r="BE3">
        <v>26.833689646237001</v>
      </c>
      <c r="BF3">
        <v>107.33475858494801</v>
      </c>
    </row>
    <row r="4" spans="1:58" x14ac:dyDescent="0.25">
      <c r="A4" s="2">
        <v>6</v>
      </c>
      <c r="B4" s="2">
        <v>128</v>
      </c>
      <c r="C4" s="2">
        <v>150</v>
      </c>
      <c r="D4" s="2">
        <v>10</v>
      </c>
      <c r="E4" s="27">
        <v>5.1422303101187901E-2</v>
      </c>
      <c r="F4" s="27">
        <v>1.43345982575964E-2</v>
      </c>
      <c r="G4" s="27">
        <v>7.2966466530169603E-3</v>
      </c>
      <c r="H4" s="30">
        <v>2</v>
      </c>
      <c r="I4" s="8">
        <v>8</v>
      </c>
      <c r="J4" s="8">
        <v>65</v>
      </c>
      <c r="K4" s="8">
        <v>195</v>
      </c>
      <c r="L4" s="8">
        <v>628</v>
      </c>
      <c r="M4" s="29">
        <v>1690</v>
      </c>
      <c r="O4" s="34">
        <v>6</v>
      </c>
      <c r="P4" s="2">
        <v>128</v>
      </c>
      <c r="Q4" s="2">
        <v>150</v>
      </c>
      <c r="R4" s="2">
        <v>10</v>
      </c>
      <c r="S4" s="27">
        <v>5.1422303101187901E-2</v>
      </c>
      <c r="T4" s="27">
        <v>1.43345982575964E-2</v>
      </c>
      <c r="U4" s="27">
        <v>7.2966466530169603E-3</v>
      </c>
      <c r="V4" s="30">
        <v>2</v>
      </c>
      <c r="W4" s="8">
        <v>8</v>
      </c>
      <c r="X4" s="8">
        <v>65</v>
      </c>
      <c r="Y4" s="8">
        <v>195</v>
      </c>
      <c r="Z4" s="8">
        <v>628</v>
      </c>
      <c r="AA4" s="29">
        <v>1690</v>
      </c>
      <c r="AC4" s="34">
        <v>168</v>
      </c>
      <c r="AD4" s="2">
        <v>128</v>
      </c>
      <c r="AE4" s="2">
        <v>196</v>
      </c>
      <c r="AF4" s="2">
        <v>10</v>
      </c>
      <c r="AG4" s="27">
        <v>8.9416636847151898E-2</v>
      </c>
      <c r="AH4" s="27">
        <v>2.1060905578879598E-2</v>
      </c>
      <c r="AI4" s="27">
        <v>9.6694169987568603E-3</v>
      </c>
      <c r="AJ4" s="30">
        <v>4</v>
      </c>
      <c r="AK4" s="8">
        <v>16</v>
      </c>
      <c r="AL4" s="8">
        <v>110</v>
      </c>
      <c r="AM4" s="8">
        <v>255</v>
      </c>
      <c r="AN4" s="8">
        <v>489</v>
      </c>
      <c r="AO4" s="29">
        <v>1351</v>
      </c>
      <c r="AS4" s="2">
        <v>6</v>
      </c>
      <c r="AT4">
        <v>5.1422303616638097E-2</v>
      </c>
      <c r="AU4">
        <v>0.136504884052633</v>
      </c>
      <c r="AV4">
        <v>0.26754282688021702</v>
      </c>
      <c r="AW4">
        <v>0.98750358289623297</v>
      </c>
      <c r="AX4">
        <v>3.6696571758817198</v>
      </c>
      <c r="AY4">
        <v>14.678628703526799</v>
      </c>
      <c r="BA4">
        <v>5.1422303101187901E-2</v>
      </c>
      <c r="BB4">
        <v>0.20568921240475099</v>
      </c>
      <c r="BC4">
        <v>0.82275684961900697</v>
      </c>
      <c r="BD4">
        <v>3.2910273984760301</v>
      </c>
      <c r="BE4">
        <v>13.164109593904101</v>
      </c>
      <c r="BF4">
        <v>52.656438375616403</v>
      </c>
    </row>
    <row r="5" spans="1:58" x14ac:dyDescent="0.25">
      <c r="A5" s="2">
        <v>8</v>
      </c>
      <c r="B5" s="2">
        <v>128</v>
      </c>
      <c r="C5" s="2">
        <v>160</v>
      </c>
      <c r="D5" s="2">
        <v>10</v>
      </c>
      <c r="E5" s="27">
        <v>0.161944718485239</v>
      </c>
      <c r="F5" s="27">
        <v>3.2526116479269097E-2</v>
      </c>
      <c r="G5" s="27">
        <v>7.7989329746457701E-3</v>
      </c>
      <c r="H5" s="30">
        <v>10</v>
      </c>
      <c r="I5" s="8">
        <v>31</v>
      </c>
      <c r="J5" s="8">
        <v>89</v>
      </c>
      <c r="K5" s="8">
        <v>230</v>
      </c>
      <c r="L5" s="8">
        <v>509</v>
      </c>
      <c r="M5" s="29">
        <v>1493</v>
      </c>
      <c r="O5" s="34">
        <v>150</v>
      </c>
      <c r="P5" s="2">
        <v>90</v>
      </c>
      <c r="Q5" s="2">
        <v>108.42</v>
      </c>
      <c r="R5" s="2">
        <v>5</v>
      </c>
      <c r="S5" s="27">
        <v>4.68499378365069E-2</v>
      </c>
      <c r="T5" s="27">
        <v>1.9737041545963101E-2</v>
      </c>
      <c r="U5" s="27">
        <v>1.1301251811562101E-2</v>
      </c>
      <c r="V5" s="30">
        <v>2</v>
      </c>
      <c r="W5" s="8">
        <v>16</v>
      </c>
      <c r="X5" s="8">
        <v>41</v>
      </c>
      <c r="Y5" s="8">
        <v>139</v>
      </c>
      <c r="Z5" s="8">
        <v>414</v>
      </c>
      <c r="AA5" s="29">
        <v>882</v>
      </c>
      <c r="AC5" s="34">
        <v>22</v>
      </c>
      <c r="AD5" s="2">
        <v>90</v>
      </c>
      <c r="AE5" s="2"/>
      <c r="AF5" s="2">
        <v>10</v>
      </c>
      <c r="AG5" s="27">
        <v>6.2688332148029005E-2</v>
      </c>
      <c r="AH5" s="27">
        <v>1.8357479777712401E-2</v>
      </c>
      <c r="AI5" s="27">
        <v>5.3392743586913897E-3</v>
      </c>
      <c r="AJ5" s="30">
        <v>3</v>
      </c>
      <c r="AK5" s="8">
        <v>21</v>
      </c>
      <c r="AL5" s="8">
        <v>91</v>
      </c>
      <c r="AM5" s="8">
        <v>212</v>
      </c>
      <c r="AN5" s="8">
        <v>660</v>
      </c>
      <c r="AO5" s="29">
        <v>1581</v>
      </c>
      <c r="AS5" s="2">
        <v>8</v>
      </c>
      <c r="AT5">
        <v>9.4968206718967205E-2</v>
      </c>
      <c r="AU5">
        <v>0.31788484763340902</v>
      </c>
      <c r="AV5">
        <v>0.78149567271952003</v>
      </c>
      <c r="AW5">
        <v>2.2740324054836099</v>
      </c>
      <c r="AX5">
        <v>8.3266858207082599</v>
      </c>
      <c r="AY5">
        <v>33.306743282832997</v>
      </c>
      <c r="BA5">
        <v>0.161944718485239</v>
      </c>
      <c r="BB5">
        <v>0.64777887394095901</v>
      </c>
      <c r="BC5">
        <v>2.5911154957638298</v>
      </c>
      <c r="BD5">
        <v>10.3644619830553</v>
      </c>
      <c r="BE5">
        <v>41.457847932221398</v>
      </c>
      <c r="BF5">
        <v>165.831391728885</v>
      </c>
    </row>
    <row r="6" spans="1:58" x14ac:dyDescent="0.25">
      <c r="A6" s="2">
        <v>168</v>
      </c>
      <c r="B6" s="2">
        <v>128</v>
      </c>
      <c r="C6" s="2">
        <v>196</v>
      </c>
      <c r="D6" s="2">
        <v>10</v>
      </c>
      <c r="E6" s="27">
        <v>8.9416636847151898E-2</v>
      </c>
      <c r="F6" s="27">
        <v>2.1060905578879598E-2</v>
      </c>
      <c r="G6" s="27">
        <v>9.6694169987568603E-3</v>
      </c>
      <c r="H6" s="30">
        <v>4</v>
      </c>
      <c r="I6" s="8">
        <v>16</v>
      </c>
      <c r="J6" s="8">
        <v>110</v>
      </c>
      <c r="K6" s="8">
        <v>255</v>
      </c>
      <c r="L6" s="8">
        <v>489</v>
      </c>
      <c r="M6" s="29">
        <v>1351</v>
      </c>
      <c r="O6" s="34">
        <v>11</v>
      </c>
      <c r="P6" s="2">
        <v>90</v>
      </c>
      <c r="Q6" s="2">
        <v>127.22</v>
      </c>
      <c r="R6" s="2">
        <v>8</v>
      </c>
      <c r="S6" s="27">
        <v>5.1754391722476999E-2</v>
      </c>
      <c r="T6" s="27">
        <v>2.3629413923689099E-2</v>
      </c>
      <c r="U6" s="27">
        <v>3.0143536797057099E-2</v>
      </c>
      <c r="V6" s="30">
        <v>6</v>
      </c>
      <c r="W6" s="8">
        <v>29</v>
      </c>
      <c r="X6" s="8">
        <v>102</v>
      </c>
      <c r="Y6" s="8">
        <v>246</v>
      </c>
      <c r="Z6" s="8">
        <v>493</v>
      </c>
      <c r="AA6" s="29">
        <v>1329</v>
      </c>
      <c r="AC6" s="34">
        <v>152</v>
      </c>
      <c r="AD6" s="2">
        <v>90</v>
      </c>
      <c r="AE6" s="2">
        <v>91.54</v>
      </c>
      <c r="AF6" s="2">
        <v>10</v>
      </c>
      <c r="AG6" s="27">
        <v>0.10293183462706799</v>
      </c>
      <c r="AH6" s="27">
        <v>2.3869849132825499E-2</v>
      </c>
      <c r="AI6" s="27">
        <v>8.4624680045280194E-3</v>
      </c>
      <c r="AJ6" s="30">
        <v>9</v>
      </c>
      <c r="AK6" s="8">
        <v>32</v>
      </c>
      <c r="AL6" s="8">
        <v>75</v>
      </c>
      <c r="AM6" s="8">
        <v>233</v>
      </c>
      <c r="AN6" s="8">
        <v>700</v>
      </c>
      <c r="AO6" s="29">
        <v>1639</v>
      </c>
      <c r="AS6" s="2">
        <v>168</v>
      </c>
      <c r="AT6">
        <v>5.6005964760614799E-2</v>
      </c>
      <c r="AU6">
        <v>0.16309275016740199</v>
      </c>
      <c r="AV6">
        <v>0.449858505678978</v>
      </c>
      <c r="AW6">
        <v>1.61414237742101</v>
      </c>
      <c r="AX6">
        <v>5.3915917727487104</v>
      </c>
      <c r="AY6">
        <v>21.566367090994799</v>
      </c>
      <c r="BA6">
        <v>8.9416636847151898E-2</v>
      </c>
      <c r="BB6">
        <v>0.35766654738860698</v>
      </c>
      <c r="BC6">
        <v>1.4306661895544299</v>
      </c>
      <c r="BD6">
        <v>5.7226647582177197</v>
      </c>
      <c r="BE6">
        <v>22.890659032870801</v>
      </c>
      <c r="BF6">
        <v>91.562636131483501</v>
      </c>
    </row>
    <row r="7" spans="1:58" x14ac:dyDescent="0.25">
      <c r="A7" s="2">
        <v>150</v>
      </c>
      <c r="B7" s="2">
        <v>90</v>
      </c>
      <c r="C7" s="2">
        <v>108.42</v>
      </c>
      <c r="D7" s="2">
        <v>5</v>
      </c>
      <c r="E7" s="27">
        <v>4.68499378365069E-2</v>
      </c>
      <c r="F7" s="27">
        <v>1.9737041545963101E-2</v>
      </c>
      <c r="G7" s="27">
        <v>1.1301251811562101E-2</v>
      </c>
      <c r="H7" s="30">
        <v>2</v>
      </c>
      <c r="I7" s="8">
        <v>16</v>
      </c>
      <c r="J7" s="8">
        <v>41</v>
      </c>
      <c r="K7" s="8">
        <v>139</v>
      </c>
      <c r="L7" s="8">
        <v>414</v>
      </c>
      <c r="M7" s="29">
        <v>882</v>
      </c>
      <c r="O7" s="34">
        <v>12</v>
      </c>
      <c r="P7" s="2">
        <v>64</v>
      </c>
      <c r="Q7" s="2">
        <v>84.2</v>
      </c>
      <c r="R7" s="2">
        <v>3</v>
      </c>
      <c r="S7" s="27">
        <v>4.4543546788178297E-2</v>
      </c>
      <c r="T7" s="27">
        <v>2.3352349155409499E-2</v>
      </c>
      <c r="U7" s="27">
        <v>2.1759151907210301E-2</v>
      </c>
      <c r="V7" s="30">
        <v>3</v>
      </c>
      <c r="W7" s="8">
        <v>14</v>
      </c>
      <c r="X7" s="8">
        <v>41</v>
      </c>
      <c r="Y7" s="8">
        <v>103</v>
      </c>
      <c r="Z7" s="8">
        <v>323</v>
      </c>
      <c r="AA7" s="29">
        <v>559</v>
      </c>
      <c r="AC7" s="34">
        <v>101</v>
      </c>
      <c r="AD7" s="2">
        <v>64</v>
      </c>
      <c r="AE7" s="2">
        <v>108.92</v>
      </c>
      <c r="AF7" s="2">
        <v>6</v>
      </c>
      <c r="AG7" s="27">
        <v>3.00794247374499E-2</v>
      </c>
      <c r="AH7" s="27">
        <v>1.50358559887077E-2</v>
      </c>
      <c r="AI7" s="27">
        <v>9.2196022769056602E-3</v>
      </c>
      <c r="AJ7" s="30">
        <v>2</v>
      </c>
      <c r="AK7" s="8">
        <v>9</v>
      </c>
      <c r="AL7" s="8">
        <v>49</v>
      </c>
      <c r="AM7" s="8">
        <v>132</v>
      </c>
      <c r="AN7" s="8">
        <v>544</v>
      </c>
      <c r="AO7" s="29">
        <v>1041</v>
      </c>
      <c r="AS7" s="2">
        <v>150</v>
      </c>
      <c r="AT7">
        <v>4.6849938207403699E-2</v>
      </c>
      <c r="AU7">
        <v>0.12535462962986799</v>
      </c>
      <c r="AV7">
        <v>0.44063655773576799</v>
      </c>
      <c r="AW7">
        <v>1.4715502319528799</v>
      </c>
      <c r="AX7">
        <v>5.0526826474058097</v>
      </c>
      <c r="AY7">
        <v>20.2107305896232</v>
      </c>
      <c r="BA7">
        <v>4.68499378365069E-2</v>
      </c>
      <c r="BB7">
        <v>0.18739975134602699</v>
      </c>
      <c r="BC7">
        <v>0.74959900538411095</v>
      </c>
      <c r="BD7">
        <v>2.9983960215364398</v>
      </c>
      <c r="BE7">
        <v>11.993584086145701</v>
      </c>
      <c r="BF7">
        <v>47.974336344583101</v>
      </c>
    </row>
    <row r="8" spans="1:58" x14ac:dyDescent="0.25">
      <c r="A8" s="2">
        <v>11</v>
      </c>
      <c r="B8" s="2">
        <v>90</v>
      </c>
      <c r="C8" s="2">
        <v>127.22</v>
      </c>
      <c r="D8" s="2">
        <v>8</v>
      </c>
      <c r="E8" s="27">
        <v>5.1754391722476999E-2</v>
      </c>
      <c r="F8" s="27">
        <v>2.3629413923689099E-2</v>
      </c>
      <c r="G8" s="27">
        <v>3.0143536797057099E-2</v>
      </c>
      <c r="H8" s="30">
        <v>6</v>
      </c>
      <c r="I8" s="8">
        <v>29</v>
      </c>
      <c r="J8" s="8">
        <v>102</v>
      </c>
      <c r="K8" s="8">
        <v>246</v>
      </c>
      <c r="L8" s="8">
        <v>493</v>
      </c>
      <c r="M8" s="29">
        <v>1329</v>
      </c>
      <c r="O8" s="34">
        <v>96</v>
      </c>
      <c r="P8" s="2">
        <v>64</v>
      </c>
      <c r="Q8" s="2">
        <v>86.98</v>
      </c>
      <c r="R8" s="2">
        <v>8</v>
      </c>
      <c r="S8" s="27">
        <v>9.5639162401153693E-2</v>
      </c>
      <c r="T8" s="27">
        <v>1.9277468694701001E-2</v>
      </c>
      <c r="U8" s="27">
        <v>5.1627678565697001E-3</v>
      </c>
      <c r="V8" s="30">
        <v>3</v>
      </c>
      <c r="W8" s="8">
        <v>22</v>
      </c>
      <c r="X8" s="8">
        <v>58</v>
      </c>
      <c r="Y8" s="8">
        <v>165</v>
      </c>
      <c r="Z8" s="8">
        <v>559</v>
      </c>
      <c r="AA8" s="29">
        <v>1384</v>
      </c>
      <c r="AC8" s="34">
        <v>24</v>
      </c>
      <c r="AD8" s="2">
        <v>64</v>
      </c>
      <c r="AE8" s="2">
        <v>87.08</v>
      </c>
      <c r="AF8" s="2">
        <v>10</v>
      </c>
      <c r="AG8" s="27">
        <v>0.10538288704710901</v>
      </c>
      <c r="AH8" s="27">
        <v>1.6430974908246999E-2</v>
      </c>
      <c r="AI8" s="27">
        <v>6.0105568763227698E-3</v>
      </c>
      <c r="AJ8" s="30">
        <v>5</v>
      </c>
      <c r="AK8" s="8">
        <v>18</v>
      </c>
      <c r="AL8" s="8">
        <v>43</v>
      </c>
      <c r="AM8" s="8">
        <v>139</v>
      </c>
      <c r="AN8" s="8">
        <v>586</v>
      </c>
      <c r="AO8" s="29">
        <v>1730</v>
      </c>
      <c r="AS8" s="2">
        <v>11</v>
      </c>
      <c r="AT8">
        <v>3.9406083818281298E-2</v>
      </c>
      <c r="AU8">
        <v>0.15393753693111001</v>
      </c>
      <c r="AV8">
        <v>0.46926879178815301</v>
      </c>
      <c r="AW8">
        <v>1.6679355265670801</v>
      </c>
      <c r="AX8">
        <v>6.0491299651584196</v>
      </c>
      <c r="AY8">
        <v>24.1965198606337</v>
      </c>
      <c r="BA8">
        <v>5.1754391722476999E-2</v>
      </c>
      <c r="BB8">
        <v>0.20701756688990799</v>
      </c>
      <c r="BC8">
        <v>0.82807026755963298</v>
      </c>
      <c r="BD8">
        <v>3.3122810702385301</v>
      </c>
      <c r="BE8">
        <v>13.249124280954099</v>
      </c>
      <c r="BF8">
        <v>52.996497123816503</v>
      </c>
    </row>
    <row r="9" spans="1:58" x14ac:dyDescent="0.25">
      <c r="A9" s="2">
        <v>22</v>
      </c>
      <c r="B9" s="2">
        <v>90</v>
      </c>
      <c r="C9" s="2"/>
      <c r="D9" s="2">
        <v>10</v>
      </c>
      <c r="E9" s="27">
        <v>6.2688332148029005E-2</v>
      </c>
      <c r="F9" s="27">
        <v>1.8357479777712401E-2</v>
      </c>
      <c r="G9" s="27">
        <v>5.3392743586913897E-3</v>
      </c>
      <c r="H9" s="30">
        <v>3</v>
      </c>
      <c r="I9" s="8">
        <v>21</v>
      </c>
      <c r="J9" s="8">
        <v>91</v>
      </c>
      <c r="K9" s="8">
        <v>212</v>
      </c>
      <c r="L9" s="8">
        <v>660</v>
      </c>
      <c r="M9" s="29">
        <v>1581</v>
      </c>
      <c r="O9" s="34">
        <v>107</v>
      </c>
      <c r="P9" s="2">
        <v>45</v>
      </c>
      <c r="Q9" s="2">
        <v>52.94</v>
      </c>
      <c r="R9" s="2">
        <v>5</v>
      </c>
      <c r="S9" s="27">
        <v>2.7724885205644801E-2</v>
      </c>
      <c r="T9" s="27">
        <v>1.4478880481023E-2</v>
      </c>
      <c r="U9" s="27">
        <v>1.4642800293065399E-2</v>
      </c>
      <c r="V9" s="30">
        <v>1</v>
      </c>
      <c r="W9" s="8">
        <v>13</v>
      </c>
      <c r="X9" s="8">
        <v>39</v>
      </c>
      <c r="Y9" s="8">
        <v>78</v>
      </c>
      <c r="Z9" s="8">
        <v>345</v>
      </c>
      <c r="AA9" s="29">
        <v>943</v>
      </c>
      <c r="AC9" s="34">
        <v>159</v>
      </c>
      <c r="AD9" s="2">
        <v>45</v>
      </c>
      <c r="AE9" s="2">
        <v>54.11</v>
      </c>
      <c r="AF9" s="2">
        <v>15</v>
      </c>
      <c r="AG9" s="27">
        <v>1.09573532088619E-2</v>
      </c>
      <c r="AH9" s="27">
        <v>4.9905746416529098E-3</v>
      </c>
      <c r="AI9" s="27">
        <v>4.5767283517164602E-3</v>
      </c>
      <c r="AJ9" s="30">
        <v>0</v>
      </c>
      <c r="AK9" s="8">
        <v>0</v>
      </c>
      <c r="AL9" s="8">
        <v>11</v>
      </c>
      <c r="AM9" s="8">
        <v>72</v>
      </c>
      <c r="AN9" s="8">
        <v>777</v>
      </c>
      <c r="AO9" s="29">
        <v>2820</v>
      </c>
      <c r="AS9" s="2">
        <v>22</v>
      </c>
      <c r="AT9">
        <v>4.5463397559226001E-2</v>
      </c>
      <c r="AU9">
        <v>0.16338445100562901</v>
      </c>
      <c r="AV9">
        <v>0.426009200925964</v>
      </c>
      <c r="AW9">
        <v>1.2687679005852299</v>
      </c>
      <c r="AX9">
        <v>4.6995148199797203</v>
      </c>
      <c r="AY9">
        <v>18.7980592799188</v>
      </c>
      <c r="BA9">
        <v>4.5463397884194803E-2</v>
      </c>
      <c r="BB9">
        <v>0.25075332859211602</v>
      </c>
      <c r="BC9">
        <v>1.0030133143684601</v>
      </c>
      <c r="BD9">
        <v>4.0120532574738599</v>
      </c>
      <c r="BE9">
        <v>16.0482130298954</v>
      </c>
      <c r="BF9">
        <v>64.192852119581701</v>
      </c>
    </row>
    <row r="10" spans="1:58" x14ac:dyDescent="0.25">
      <c r="A10" s="2">
        <v>152</v>
      </c>
      <c r="B10" s="2">
        <v>90</v>
      </c>
      <c r="C10" s="2">
        <v>91.54</v>
      </c>
      <c r="D10" s="2">
        <v>10</v>
      </c>
      <c r="E10" s="27">
        <v>0.10293183462706799</v>
      </c>
      <c r="F10" s="27">
        <v>2.3869849132825499E-2</v>
      </c>
      <c r="G10" s="27">
        <v>8.4624680045280194E-3</v>
      </c>
      <c r="H10" s="30">
        <v>9</v>
      </c>
      <c r="I10" s="8">
        <v>32</v>
      </c>
      <c r="J10" s="8">
        <v>75</v>
      </c>
      <c r="K10" s="8">
        <v>233</v>
      </c>
      <c r="L10" s="8">
        <v>700</v>
      </c>
      <c r="M10" s="29">
        <v>1639</v>
      </c>
      <c r="O10" s="34">
        <v>162</v>
      </c>
      <c r="P10" s="2">
        <v>45</v>
      </c>
      <c r="Q10" s="2">
        <v>54.05</v>
      </c>
      <c r="R10" s="2">
        <v>10</v>
      </c>
      <c r="S10" s="27">
        <v>2.2481115003792299E-2</v>
      </c>
      <c r="T10" s="27">
        <v>9.1860908476934702E-3</v>
      </c>
      <c r="U10" s="27">
        <v>5.26397191560033E-3</v>
      </c>
      <c r="V10" s="30">
        <v>0</v>
      </c>
      <c r="W10" s="8">
        <v>8</v>
      </c>
      <c r="X10" s="8">
        <v>40</v>
      </c>
      <c r="Y10" s="8">
        <v>121</v>
      </c>
      <c r="Z10" s="8">
        <v>631</v>
      </c>
      <c r="AA10" s="29">
        <v>1881</v>
      </c>
      <c r="AC10" s="34">
        <v>35</v>
      </c>
      <c r="AD10" s="2">
        <v>45</v>
      </c>
      <c r="AE10" s="2">
        <v>64.849999999999994</v>
      </c>
      <c r="AF10" s="2">
        <v>6</v>
      </c>
      <c r="AG10" s="27">
        <v>2.2279504588702301E-2</v>
      </c>
      <c r="AH10" s="27">
        <v>9.4453501582737708E-3</v>
      </c>
      <c r="AI10" s="27">
        <v>6.3512880877902899E-3</v>
      </c>
      <c r="AJ10" s="30">
        <v>0</v>
      </c>
      <c r="AK10" s="8">
        <v>6</v>
      </c>
      <c r="AL10" s="8">
        <v>24</v>
      </c>
      <c r="AM10" s="8">
        <v>103</v>
      </c>
      <c r="AN10" s="8">
        <v>418</v>
      </c>
      <c r="AO10" s="29">
        <v>1139</v>
      </c>
      <c r="AS10" s="2">
        <v>152</v>
      </c>
      <c r="AT10">
        <v>9.5743592288179996E-2</v>
      </c>
      <c r="AU10">
        <v>0.18723147718286101</v>
      </c>
      <c r="AV10">
        <v>0.64667150537108198</v>
      </c>
      <c r="AW10">
        <v>1.81287477386409</v>
      </c>
      <c r="AX10">
        <v>6.1106814199081896</v>
      </c>
      <c r="AY10">
        <v>24.442725679632701</v>
      </c>
      <c r="BA10">
        <v>0.10293183462706799</v>
      </c>
      <c r="BB10">
        <v>0.41172733850827198</v>
      </c>
      <c r="BC10">
        <v>1.6469093540330899</v>
      </c>
      <c r="BD10">
        <v>6.5876374161323596</v>
      </c>
      <c r="BE10">
        <v>26.3505496645294</v>
      </c>
      <c r="BF10">
        <v>105.402198658117</v>
      </c>
    </row>
    <row r="11" spans="1:58" x14ac:dyDescent="0.25">
      <c r="A11" s="2">
        <v>12</v>
      </c>
      <c r="B11" s="2">
        <v>64</v>
      </c>
      <c r="C11" s="2">
        <v>84.2</v>
      </c>
      <c r="D11" s="2">
        <v>3</v>
      </c>
      <c r="E11" s="27">
        <v>4.4543546788178297E-2</v>
      </c>
      <c r="F11" s="27">
        <v>2.3352349155409499E-2</v>
      </c>
      <c r="G11" s="27">
        <v>2.1759151907210301E-2</v>
      </c>
      <c r="H11" s="30">
        <v>3</v>
      </c>
      <c r="I11" s="8">
        <v>14</v>
      </c>
      <c r="J11" s="8">
        <v>41</v>
      </c>
      <c r="K11" s="8">
        <v>103</v>
      </c>
      <c r="L11" s="8">
        <v>323</v>
      </c>
      <c r="M11" s="29">
        <v>559</v>
      </c>
      <c r="O11" s="34">
        <v>69</v>
      </c>
      <c r="P11" s="2">
        <v>32</v>
      </c>
      <c r="Q11" s="2"/>
      <c r="R11" s="2">
        <v>4</v>
      </c>
      <c r="S11" s="27">
        <v>1.0897008883362201E-2</v>
      </c>
      <c r="T11" s="27">
        <v>7.27047978157239E-3</v>
      </c>
      <c r="U11" s="27">
        <v>6.8585843273274603E-3</v>
      </c>
      <c r="V11" s="30">
        <v>0</v>
      </c>
      <c r="W11" s="8">
        <v>1</v>
      </c>
      <c r="X11" s="8">
        <v>12</v>
      </c>
      <c r="Y11" s="8">
        <v>57</v>
      </c>
      <c r="Z11" s="8">
        <v>275</v>
      </c>
      <c r="AA11" s="29">
        <v>830</v>
      </c>
      <c r="AC11" s="34">
        <v>61</v>
      </c>
      <c r="AD11" s="2">
        <v>32</v>
      </c>
      <c r="AE11" s="2"/>
      <c r="AF11" s="2">
        <v>6</v>
      </c>
      <c r="AG11" s="27">
        <v>2.4554138346802101E-2</v>
      </c>
      <c r="AH11" s="27">
        <v>8.2745106205033593E-3</v>
      </c>
      <c r="AI11" s="27">
        <v>4.2829956428710502E-3</v>
      </c>
      <c r="AJ11" s="30">
        <v>0</v>
      </c>
      <c r="AK11" s="8">
        <v>6</v>
      </c>
      <c r="AL11" s="8">
        <v>27</v>
      </c>
      <c r="AM11" s="8">
        <v>64</v>
      </c>
      <c r="AN11" s="8">
        <v>364</v>
      </c>
      <c r="AO11" s="29">
        <v>1201</v>
      </c>
      <c r="AS11" s="2">
        <v>12</v>
      </c>
      <c r="AT11">
        <v>3.8585276164057498E-2</v>
      </c>
      <c r="AU11">
        <v>0.117415800187244</v>
      </c>
      <c r="AV11">
        <v>0.46966320074897699</v>
      </c>
      <c r="AW11">
        <v>1.4945503386105301</v>
      </c>
      <c r="AX11">
        <v>5.97820135444214</v>
      </c>
      <c r="AY11">
        <v>23.912805417768499</v>
      </c>
      <c r="BA11">
        <v>4.4543546788178297E-2</v>
      </c>
      <c r="BB11">
        <v>0.17817418715271299</v>
      </c>
      <c r="BC11">
        <v>0.71269674861085297</v>
      </c>
      <c r="BD11">
        <v>2.8507869944434101</v>
      </c>
      <c r="BE11">
        <v>11.4031479777736</v>
      </c>
      <c r="BF11">
        <v>45.612591911094597</v>
      </c>
    </row>
    <row r="12" spans="1:58" x14ac:dyDescent="0.25">
      <c r="A12" s="2">
        <v>96</v>
      </c>
      <c r="B12" s="2">
        <v>64</v>
      </c>
      <c r="C12" s="2">
        <v>86.98</v>
      </c>
      <c r="D12" s="2">
        <v>8</v>
      </c>
      <c r="E12" s="27">
        <v>9.5639162401153693E-2</v>
      </c>
      <c r="F12" s="27">
        <v>1.9277468694701001E-2</v>
      </c>
      <c r="G12" s="27">
        <v>5.1627678565697001E-3</v>
      </c>
      <c r="H12" s="30">
        <v>3</v>
      </c>
      <c r="I12" s="8">
        <v>22</v>
      </c>
      <c r="J12" s="8">
        <v>58</v>
      </c>
      <c r="K12" s="8">
        <v>165</v>
      </c>
      <c r="L12" s="8">
        <v>559</v>
      </c>
      <c r="M12" s="29">
        <v>1384</v>
      </c>
      <c r="O12" s="34">
        <v>85</v>
      </c>
      <c r="P12" s="2">
        <v>32</v>
      </c>
      <c r="Q12" s="2">
        <v>43.73</v>
      </c>
      <c r="R12" s="2">
        <v>6</v>
      </c>
      <c r="S12" s="27">
        <v>1.13162316396569E-2</v>
      </c>
      <c r="T12" s="27">
        <v>6.77105129691932E-3</v>
      </c>
      <c r="U12" s="27">
        <v>5.0494700428746703E-3</v>
      </c>
      <c r="V12" s="30">
        <v>0</v>
      </c>
      <c r="W12" s="8">
        <v>1</v>
      </c>
      <c r="X12" s="8">
        <v>17</v>
      </c>
      <c r="Y12" s="8">
        <v>76</v>
      </c>
      <c r="Z12" s="8">
        <v>328</v>
      </c>
      <c r="AA12" s="29">
        <v>1228</v>
      </c>
      <c r="AC12" s="34">
        <v>52</v>
      </c>
      <c r="AD12" s="2">
        <v>32</v>
      </c>
      <c r="AE12" s="2">
        <v>45.6</v>
      </c>
      <c r="AF12" s="2">
        <v>5</v>
      </c>
      <c r="AG12" s="27">
        <v>1.6195175632876601E-2</v>
      </c>
      <c r="AH12" s="27">
        <v>8.7837172608482301E-3</v>
      </c>
      <c r="AI12" s="27">
        <v>7.5116788153303899E-3</v>
      </c>
      <c r="AJ12" s="30">
        <v>0</v>
      </c>
      <c r="AK12" s="8">
        <v>3</v>
      </c>
      <c r="AL12" s="8">
        <v>21</v>
      </c>
      <c r="AM12" s="8">
        <v>74</v>
      </c>
      <c r="AN12" s="8">
        <v>395</v>
      </c>
      <c r="AO12" s="29">
        <v>990</v>
      </c>
      <c r="AS12" s="2">
        <v>96</v>
      </c>
      <c r="AT12">
        <v>9.5639162709086803E-2</v>
      </c>
      <c r="AU12">
        <v>0.18581760283662399</v>
      </c>
      <c r="AV12">
        <v>0.60536126077852104</v>
      </c>
      <c r="AW12">
        <v>1.2337579982911999</v>
      </c>
      <c r="AX12">
        <v>4.9350319931648103</v>
      </c>
      <c r="AY12">
        <v>19.740127972659199</v>
      </c>
      <c r="BA12">
        <v>9.5639162401153693E-2</v>
      </c>
      <c r="BB12">
        <v>0.382556649604614</v>
      </c>
      <c r="BC12">
        <v>1.53022659841845</v>
      </c>
      <c r="BD12">
        <v>6.1209063936738302</v>
      </c>
      <c r="BE12">
        <v>24.483625574695299</v>
      </c>
      <c r="BF12">
        <v>97.934502298781396</v>
      </c>
    </row>
    <row r="13" spans="1:58" x14ac:dyDescent="0.25">
      <c r="A13" s="2">
        <v>101</v>
      </c>
      <c r="B13" s="2">
        <v>64</v>
      </c>
      <c r="C13" s="2">
        <v>108.92</v>
      </c>
      <c r="D13" s="2">
        <v>6</v>
      </c>
      <c r="E13" s="27">
        <v>3.00794247374499E-2</v>
      </c>
      <c r="F13" s="27">
        <v>1.50358559887077E-2</v>
      </c>
      <c r="G13" s="27">
        <v>9.2196022769056602E-3</v>
      </c>
      <c r="H13" s="30">
        <v>2</v>
      </c>
      <c r="I13" s="8">
        <v>9</v>
      </c>
      <c r="J13" s="8">
        <v>49</v>
      </c>
      <c r="K13" s="8">
        <v>132</v>
      </c>
      <c r="L13" s="8">
        <v>544</v>
      </c>
      <c r="M13" s="29">
        <v>1041</v>
      </c>
      <c r="O13" s="34">
        <v>165</v>
      </c>
      <c r="P13" s="2">
        <v>16</v>
      </c>
      <c r="Q13" s="2"/>
      <c r="R13" s="2">
        <v>10</v>
      </c>
      <c r="S13" s="27">
        <v>1.06254875376059E-2</v>
      </c>
      <c r="T13" s="27">
        <v>5.3979442955963304E-3</v>
      </c>
      <c r="U13" s="27">
        <v>5.0606462291010196E-3</v>
      </c>
      <c r="V13" s="30">
        <v>0</v>
      </c>
      <c r="W13" s="8">
        <v>1</v>
      </c>
      <c r="X13" s="8">
        <v>11</v>
      </c>
      <c r="Y13" s="8">
        <v>62</v>
      </c>
      <c r="Z13" s="8">
        <v>607</v>
      </c>
      <c r="AA13" s="29">
        <v>1911</v>
      </c>
      <c r="AC13" s="34">
        <v>53</v>
      </c>
      <c r="AD13" s="2">
        <v>22.6</v>
      </c>
      <c r="AE13" s="2">
        <v>29.55</v>
      </c>
      <c r="AF13" s="2">
        <v>15</v>
      </c>
      <c r="AG13" s="27">
        <v>5.4074185586351197E-3</v>
      </c>
      <c r="AH13" s="27">
        <v>3.7739188928974099E-3</v>
      </c>
      <c r="AI13" s="27">
        <v>3.5257352179030601E-3</v>
      </c>
      <c r="AJ13" s="30">
        <v>0</v>
      </c>
      <c r="AK13" s="8">
        <v>0</v>
      </c>
      <c r="AL13" s="8">
        <v>2</v>
      </c>
      <c r="AM13" s="8">
        <v>30</v>
      </c>
      <c r="AN13" s="8">
        <v>601</v>
      </c>
      <c r="AO13" s="29">
        <v>3003</v>
      </c>
      <c r="AS13" s="2">
        <v>101</v>
      </c>
      <c r="AT13">
        <v>2.85197693561322E-2</v>
      </c>
      <c r="AU13">
        <v>0.101347429024516</v>
      </c>
      <c r="AV13">
        <v>0.24057369702033901</v>
      </c>
      <c r="AW13">
        <v>0.96229478808135804</v>
      </c>
      <c r="AX13">
        <v>3.84917915232543</v>
      </c>
      <c r="AY13">
        <v>15.3967166093017</v>
      </c>
      <c r="BA13">
        <v>3.00794247374499E-2</v>
      </c>
      <c r="BB13">
        <v>0.120317698949799</v>
      </c>
      <c r="BC13">
        <v>0.48127079579919901</v>
      </c>
      <c r="BD13">
        <v>1.9250831831967901</v>
      </c>
      <c r="BE13">
        <v>7.7003327327871904</v>
      </c>
      <c r="BF13">
        <v>30.801330931148701</v>
      </c>
    </row>
    <row r="14" spans="1:58" x14ac:dyDescent="0.25">
      <c r="A14" s="2">
        <v>24</v>
      </c>
      <c r="B14" s="2">
        <v>64</v>
      </c>
      <c r="C14" s="2">
        <v>87.08</v>
      </c>
      <c r="D14" s="2">
        <v>10</v>
      </c>
      <c r="E14" s="27">
        <v>0.10538288704710901</v>
      </c>
      <c r="F14" s="27">
        <v>1.6430974908246999E-2</v>
      </c>
      <c r="G14" s="27">
        <v>6.0105568763227698E-3</v>
      </c>
      <c r="H14" s="30">
        <v>5</v>
      </c>
      <c r="I14" s="8">
        <v>18</v>
      </c>
      <c r="J14" s="8">
        <v>43</v>
      </c>
      <c r="K14" s="8">
        <v>139</v>
      </c>
      <c r="L14" s="8">
        <v>586</v>
      </c>
      <c r="M14" s="29">
        <v>1730</v>
      </c>
      <c r="O14" s="34">
        <v>166</v>
      </c>
      <c r="P14" s="2">
        <v>16</v>
      </c>
      <c r="Q14" s="2"/>
      <c r="R14" s="2">
        <v>10</v>
      </c>
      <c r="S14" s="27">
        <v>5.4104257016193398E-3</v>
      </c>
      <c r="T14" s="27">
        <v>4.2237913969842902E-3</v>
      </c>
      <c r="U14" s="27">
        <v>4.0412722569313003E-3</v>
      </c>
      <c r="V14" s="30">
        <v>0</v>
      </c>
      <c r="W14" s="8">
        <v>0</v>
      </c>
      <c r="X14" s="8">
        <v>2</v>
      </c>
      <c r="Y14" s="8">
        <v>32</v>
      </c>
      <c r="Z14" s="8">
        <v>536</v>
      </c>
      <c r="AA14" s="29">
        <v>2020</v>
      </c>
      <c r="AC14" s="34">
        <v>45</v>
      </c>
      <c r="AD14" s="2">
        <v>22.6</v>
      </c>
      <c r="AE14" s="2">
        <v>22.6</v>
      </c>
      <c r="AF14" s="2">
        <v>10</v>
      </c>
      <c r="AG14" s="27">
        <v>6.9634801117522301E-3</v>
      </c>
      <c r="AH14" s="27">
        <v>4.7306891897243297E-3</v>
      </c>
      <c r="AI14" s="27">
        <v>4.5595536316889104E-3</v>
      </c>
      <c r="AJ14" s="30">
        <v>0</v>
      </c>
      <c r="AK14" s="8">
        <v>1</v>
      </c>
      <c r="AL14" s="8">
        <v>4</v>
      </c>
      <c r="AM14" s="8">
        <v>51</v>
      </c>
      <c r="AN14" s="8">
        <v>494</v>
      </c>
      <c r="AO14" s="29">
        <v>1931</v>
      </c>
      <c r="AS14" s="2">
        <v>24</v>
      </c>
      <c r="AT14">
        <v>0.10538288717717199</v>
      </c>
      <c r="AU14">
        <v>0.15056990486005101</v>
      </c>
      <c r="AV14">
        <v>0.50129083006757003</v>
      </c>
      <c r="AW14">
        <v>1.0515823951961401</v>
      </c>
      <c r="AX14">
        <v>4.2063295807845602</v>
      </c>
      <c r="AY14">
        <v>16.825318323138202</v>
      </c>
      <c r="BA14">
        <v>0.10538288704710901</v>
      </c>
      <c r="BB14">
        <v>0.42153154818843802</v>
      </c>
      <c r="BC14">
        <v>1.6861261927537501</v>
      </c>
      <c r="BD14">
        <v>6.7445047710150003</v>
      </c>
      <c r="BE14">
        <v>26.978019084060001</v>
      </c>
      <c r="BF14">
        <v>107.91207633624001</v>
      </c>
    </row>
    <row r="15" spans="1:58" x14ac:dyDescent="0.25">
      <c r="A15" s="2">
        <v>107</v>
      </c>
      <c r="B15" s="2">
        <v>45</v>
      </c>
      <c r="C15" s="2">
        <v>52.94</v>
      </c>
      <c r="D15" s="2">
        <v>5</v>
      </c>
      <c r="E15" s="27">
        <v>2.7724885205644801E-2</v>
      </c>
      <c r="F15" s="27">
        <v>1.4478880481023E-2</v>
      </c>
      <c r="G15" s="27">
        <v>1.4642800293065399E-2</v>
      </c>
      <c r="H15" s="30">
        <v>1</v>
      </c>
      <c r="I15" s="8">
        <v>13</v>
      </c>
      <c r="J15" s="8">
        <v>39</v>
      </c>
      <c r="K15" s="8">
        <v>78</v>
      </c>
      <c r="L15" s="8">
        <v>345</v>
      </c>
      <c r="M15" s="29">
        <v>943</v>
      </c>
      <c r="O15" s="7">
        <v>1.1000000000000001</v>
      </c>
      <c r="P15" s="3">
        <v>32</v>
      </c>
      <c r="Q15" s="3">
        <v>45.6</v>
      </c>
      <c r="R15" s="3">
        <v>20</v>
      </c>
      <c r="S15" s="26">
        <v>1.40031756933689E-2</v>
      </c>
      <c r="T15" s="26">
        <v>5.6784984243662398E-3</v>
      </c>
      <c r="U15" s="26">
        <v>4.6667095589632999E-3</v>
      </c>
      <c r="V15" s="30">
        <v>0</v>
      </c>
      <c r="W15" s="8">
        <v>1</v>
      </c>
      <c r="X15" s="8">
        <v>18</v>
      </c>
      <c r="Y15" s="8">
        <v>151</v>
      </c>
      <c r="Z15" s="8">
        <v>1196</v>
      </c>
      <c r="AA15" s="29">
        <v>3617</v>
      </c>
      <c r="AC15" s="7">
        <v>1.3</v>
      </c>
      <c r="AD15" s="3">
        <v>32</v>
      </c>
      <c r="AE15" s="3">
        <v>42.84</v>
      </c>
      <c r="AF15" s="3">
        <v>10</v>
      </c>
      <c r="AG15" s="26">
        <v>2.3197934886697399E-2</v>
      </c>
      <c r="AH15" s="26">
        <v>9.1426900455134907E-3</v>
      </c>
      <c r="AI15" s="26">
        <v>6.1375608082080103E-3</v>
      </c>
      <c r="AJ15" s="30">
        <v>0</v>
      </c>
      <c r="AK15" s="8">
        <v>4</v>
      </c>
      <c r="AL15" s="8">
        <v>35</v>
      </c>
      <c r="AM15" s="8">
        <v>163</v>
      </c>
      <c r="AN15" s="8">
        <v>788</v>
      </c>
      <c r="AO15" s="29">
        <v>1749</v>
      </c>
      <c r="AS15" s="2">
        <v>107</v>
      </c>
      <c r="AT15">
        <v>2.77248857374158E-2</v>
      </c>
      <c r="AU15">
        <v>7.8677957752448305E-2</v>
      </c>
      <c r="AV15">
        <v>0.26510584610390098</v>
      </c>
      <c r="AW15">
        <v>0.92664835919294097</v>
      </c>
      <c r="AX15">
        <v>3.7065934367717599</v>
      </c>
      <c r="AY15">
        <v>14.826373747087001</v>
      </c>
      <c r="BA15">
        <v>2.7724885205644801E-2</v>
      </c>
      <c r="BB15">
        <v>0.110899540822579</v>
      </c>
      <c r="BC15">
        <v>0.44359816329031698</v>
      </c>
      <c r="BD15">
        <v>1.7743926531612599</v>
      </c>
      <c r="BE15">
        <v>7.0975706126450699</v>
      </c>
      <c r="BF15">
        <v>28.390282450580202</v>
      </c>
    </row>
    <row r="16" spans="1:58" x14ac:dyDescent="0.25">
      <c r="A16" s="2">
        <v>162</v>
      </c>
      <c r="B16" s="2">
        <v>45</v>
      </c>
      <c r="C16" s="2">
        <v>54.05</v>
      </c>
      <c r="D16" s="2">
        <v>10</v>
      </c>
      <c r="E16" s="27">
        <v>2.2481115003792299E-2</v>
      </c>
      <c r="F16" s="27">
        <v>9.1860908476934702E-3</v>
      </c>
      <c r="G16" s="27">
        <v>5.26397191560033E-3</v>
      </c>
      <c r="H16" s="30">
        <v>0</v>
      </c>
      <c r="I16" s="8">
        <v>8</v>
      </c>
      <c r="J16" s="8">
        <v>40</v>
      </c>
      <c r="K16" s="8">
        <v>121</v>
      </c>
      <c r="L16" s="8">
        <v>631</v>
      </c>
      <c r="M16" s="29">
        <v>1881</v>
      </c>
      <c r="O16" s="7">
        <v>1.2</v>
      </c>
      <c r="P16" s="3">
        <v>32</v>
      </c>
      <c r="Q16" s="3">
        <v>44.2</v>
      </c>
      <c r="R16" s="3">
        <v>20</v>
      </c>
      <c r="S16" s="26">
        <v>1.0890800850407899E-2</v>
      </c>
      <c r="T16" s="26">
        <v>4.8212415579803897E-3</v>
      </c>
      <c r="U16" s="26">
        <v>4.1135640493545804E-3</v>
      </c>
      <c r="V16" s="30">
        <v>0</v>
      </c>
      <c r="W16" s="8">
        <v>1</v>
      </c>
      <c r="X16" s="8">
        <v>11</v>
      </c>
      <c r="Y16" s="8">
        <v>103</v>
      </c>
      <c r="Z16" s="8">
        <v>972</v>
      </c>
      <c r="AA16" s="29">
        <v>3501</v>
      </c>
      <c r="AC16" s="7">
        <v>2.1</v>
      </c>
      <c r="AD16" s="3">
        <v>45</v>
      </c>
      <c r="AE16" s="3">
        <v>52.94</v>
      </c>
      <c r="AF16" s="3">
        <v>20</v>
      </c>
      <c r="AG16" s="26">
        <v>3.5345925929864103E-2</v>
      </c>
      <c r="AH16" s="26">
        <v>7.8507383881498607E-3</v>
      </c>
      <c r="AI16" s="26">
        <v>4.0069409325786598E-3</v>
      </c>
      <c r="AJ16" s="30">
        <v>0</v>
      </c>
      <c r="AK16" s="8">
        <v>11</v>
      </c>
      <c r="AL16" s="8">
        <v>56</v>
      </c>
      <c r="AM16" s="8">
        <v>204</v>
      </c>
      <c r="AN16" s="8">
        <v>1215</v>
      </c>
      <c r="AO16" s="29">
        <v>3424</v>
      </c>
      <c r="AS16" s="2">
        <v>162</v>
      </c>
      <c r="AU16">
        <v>7.7959153032395798E-2</v>
      </c>
      <c r="AV16">
        <v>0.24135454645261201</v>
      </c>
      <c r="AW16">
        <v>0.62231226944989104</v>
      </c>
      <c r="AX16">
        <v>2.3516392566763402</v>
      </c>
      <c r="AY16">
        <v>9.4065570267053804</v>
      </c>
      <c r="BB16">
        <v>8.9924460015169197E-2</v>
      </c>
      <c r="BC16">
        <v>0.35969784006067601</v>
      </c>
      <c r="BD16">
        <v>1.4387913602427</v>
      </c>
      <c r="BE16">
        <v>5.7551654409708304</v>
      </c>
      <c r="BF16">
        <v>23.0206617638833</v>
      </c>
    </row>
    <row r="17" spans="1:58" x14ac:dyDescent="0.25">
      <c r="A17" s="2">
        <v>159</v>
      </c>
      <c r="B17" s="2">
        <v>45</v>
      </c>
      <c r="C17" s="2">
        <v>54.11</v>
      </c>
      <c r="D17" s="2">
        <v>15</v>
      </c>
      <c r="E17" s="27">
        <v>1.09573532088619E-2</v>
      </c>
      <c r="F17" s="27">
        <v>4.9905746416529098E-3</v>
      </c>
      <c r="G17" s="27">
        <v>4.5767283517164602E-3</v>
      </c>
      <c r="H17" s="30">
        <v>0</v>
      </c>
      <c r="I17" s="8">
        <v>0</v>
      </c>
      <c r="J17" s="8">
        <v>11</v>
      </c>
      <c r="K17" s="8">
        <v>72</v>
      </c>
      <c r="L17" s="8">
        <v>777</v>
      </c>
      <c r="M17" s="29">
        <v>2820</v>
      </c>
      <c r="O17" s="7">
        <v>2.2000000000000002</v>
      </c>
      <c r="P17" s="3">
        <v>45</v>
      </c>
      <c r="Q17" s="3">
        <v>54.05</v>
      </c>
      <c r="R17" s="3">
        <v>15</v>
      </c>
      <c r="S17" s="26">
        <v>2.4016207968108199E-2</v>
      </c>
      <c r="T17" s="26">
        <v>6.5149661727545603E-3</v>
      </c>
      <c r="U17" s="26">
        <v>4.26435563054003E-3</v>
      </c>
      <c r="V17" s="30">
        <v>1</v>
      </c>
      <c r="W17" s="8">
        <v>5</v>
      </c>
      <c r="X17" s="8">
        <v>26</v>
      </c>
      <c r="Y17" s="8">
        <v>112</v>
      </c>
      <c r="Z17" s="8">
        <v>811</v>
      </c>
      <c r="AA17" s="29">
        <v>2808</v>
      </c>
      <c r="AC17" s="7">
        <v>2.2999999999999998</v>
      </c>
      <c r="AD17" s="3">
        <v>45</v>
      </c>
      <c r="AE17" s="3">
        <v>54.11</v>
      </c>
      <c r="AF17" s="3">
        <v>10</v>
      </c>
      <c r="AG17" s="26">
        <v>1.9422121419342901E-2</v>
      </c>
      <c r="AH17" s="26">
        <v>7.5773751595888898E-3</v>
      </c>
      <c r="AI17" s="26">
        <v>5.3544304928017398E-3</v>
      </c>
      <c r="AJ17" s="30">
        <v>0</v>
      </c>
      <c r="AK17" s="8">
        <v>3</v>
      </c>
      <c r="AL17" s="8">
        <v>28</v>
      </c>
      <c r="AM17" s="8">
        <v>147</v>
      </c>
      <c r="AN17" s="8">
        <v>700</v>
      </c>
      <c r="AO17" s="29">
        <v>1838</v>
      </c>
      <c r="AS17" s="2">
        <v>159</v>
      </c>
      <c r="AV17">
        <v>0.12254395097085501</v>
      </c>
      <c r="AW17">
        <v>0.35900970208783201</v>
      </c>
      <c r="AX17">
        <v>1.2775871078584</v>
      </c>
      <c r="AY17">
        <v>5.1103484314336303</v>
      </c>
      <c r="BC17">
        <v>0.175317651341791</v>
      </c>
      <c r="BD17">
        <v>0.70127060536716501</v>
      </c>
      <c r="BE17">
        <v>2.80508242146866</v>
      </c>
      <c r="BF17">
        <v>11.220329685874599</v>
      </c>
    </row>
    <row r="18" spans="1:58" x14ac:dyDescent="0.25">
      <c r="A18" s="2">
        <v>35</v>
      </c>
      <c r="B18" s="2">
        <v>45</v>
      </c>
      <c r="C18" s="2">
        <v>64.849999999999994</v>
      </c>
      <c r="D18" s="2">
        <v>6</v>
      </c>
      <c r="E18" s="27">
        <v>2.2279504588702301E-2</v>
      </c>
      <c r="F18" s="27">
        <v>9.4453501582737708E-3</v>
      </c>
      <c r="G18" s="27">
        <v>6.3512880877902899E-3</v>
      </c>
      <c r="H18" s="30">
        <v>0</v>
      </c>
      <c r="I18" s="8">
        <v>6</v>
      </c>
      <c r="J18" s="8">
        <v>24</v>
      </c>
      <c r="K18" s="8">
        <v>103</v>
      </c>
      <c r="L18" s="8">
        <v>418</v>
      </c>
      <c r="M18" s="29">
        <v>1139</v>
      </c>
      <c r="O18" s="7">
        <v>3.2</v>
      </c>
      <c r="P18" s="3">
        <v>64</v>
      </c>
      <c r="Q18" s="3">
        <v>86.98</v>
      </c>
      <c r="R18" s="3">
        <v>15</v>
      </c>
      <c r="S18" s="26">
        <v>5.1502950973667999E-2</v>
      </c>
      <c r="T18" s="26">
        <v>1.37528556522491E-2</v>
      </c>
      <c r="U18" s="26">
        <v>4.5700514622563203E-3</v>
      </c>
      <c r="V18" s="30">
        <v>2</v>
      </c>
      <c r="W18" s="8">
        <v>30</v>
      </c>
      <c r="X18" s="8">
        <v>110</v>
      </c>
      <c r="Y18" s="8">
        <v>279</v>
      </c>
      <c r="Z18" s="8">
        <v>1032</v>
      </c>
      <c r="AA18" s="29">
        <v>2570</v>
      </c>
      <c r="AC18" s="7">
        <v>3.1</v>
      </c>
      <c r="AD18" s="3">
        <v>64</v>
      </c>
      <c r="AE18" s="3">
        <v>84.98</v>
      </c>
      <c r="AF18" s="3">
        <v>20</v>
      </c>
      <c r="AG18" s="26">
        <v>0.12653412852816501</v>
      </c>
      <c r="AH18" s="26">
        <v>1.5222331559222001E-2</v>
      </c>
      <c r="AI18" s="26">
        <v>4.5052689799184196E-3</v>
      </c>
      <c r="AJ18" s="30">
        <v>10</v>
      </c>
      <c r="AK18" s="8">
        <v>38</v>
      </c>
      <c r="AL18" s="8">
        <v>113</v>
      </c>
      <c r="AM18" s="8">
        <v>312</v>
      </c>
      <c r="AN18" s="8">
        <v>1212</v>
      </c>
      <c r="AO18" s="29">
        <v>3306</v>
      </c>
      <c r="AS18" s="2">
        <v>35</v>
      </c>
      <c r="AU18">
        <v>7.2703926665255297E-2</v>
      </c>
      <c r="AV18">
        <v>0.21382124817687001</v>
      </c>
      <c r="AW18">
        <v>0.60450240905165797</v>
      </c>
      <c r="AX18">
        <v>2.4180096362066301</v>
      </c>
      <c r="AY18">
        <v>9.6720385448265294</v>
      </c>
      <c r="BB18">
        <v>8.9118018354809397E-2</v>
      </c>
      <c r="BC18">
        <v>0.35647207341923698</v>
      </c>
      <c r="BD18">
        <v>1.4258882936769499</v>
      </c>
      <c r="BE18">
        <v>5.7035531747077997</v>
      </c>
      <c r="BF18">
        <v>22.814212698831199</v>
      </c>
    </row>
    <row r="19" spans="1:58" x14ac:dyDescent="0.25">
      <c r="A19" s="2">
        <v>69</v>
      </c>
      <c r="B19" s="2">
        <v>32</v>
      </c>
      <c r="C19" s="2"/>
      <c r="D19" s="2">
        <v>4</v>
      </c>
      <c r="E19" s="27">
        <v>1.0897008883362201E-2</v>
      </c>
      <c r="F19" s="27">
        <v>7.27047978157239E-3</v>
      </c>
      <c r="G19" s="27">
        <v>6.8585843273274603E-3</v>
      </c>
      <c r="H19" s="30">
        <v>0</v>
      </c>
      <c r="I19" s="8">
        <v>1</v>
      </c>
      <c r="J19" s="8">
        <v>12</v>
      </c>
      <c r="K19" s="8">
        <v>57</v>
      </c>
      <c r="L19" s="8">
        <v>275</v>
      </c>
      <c r="M19" s="29">
        <v>830</v>
      </c>
      <c r="O19" s="7">
        <v>3.3</v>
      </c>
      <c r="P19" s="3">
        <v>64</v>
      </c>
      <c r="Q19" s="3">
        <v>87.98</v>
      </c>
      <c r="R19" s="3">
        <v>20</v>
      </c>
      <c r="S19" s="26">
        <v>5.04335454776157E-2</v>
      </c>
      <c r="T19" s="26">
        <v>9.8602655911611495E-3</v>
      </c>
      <c r="U19" s="26">
        <v>4.3864038070395503E-3</v>
      </c>
      <c r="V19" s="30">
        <v>4</v>
      </c>
      <c r="W19" s="8">
        <v>20</v>
      </c>
      <c r="X19" s="8">
        <v>68</v>
      </c>
      <c r="Y19" s="8">
        <v>245</v>
      </c>
      <c r="Z19" s="8">
        <v>1155</v>
      </c>
      <c r="AA19" s="29">
        <v>3356</v>
      </c>
      <c r="AC19" s="7">
        <v>4.2</v>
      </c>
      <c r="AD19" s="3">
        <v>90</v>
      </c>
      <c r="AE19" s="3">
        <v>127.22</v>
      </c>
      <c r="AF19" s="3">
        <v>20</v>
      </c>
      <c r="AG19" s="26">
        <v>4.1669974213015902E-2</v>
      </c>
      <c r="AH19" s="26">
        <v>9.9725509064199202E-3</v>
      </c>
      <c r="AI19" s="26">
        <v>6.2822795747625101E-3</v>
      </c>
      <c r="AJ19" s="30">
        <v>0</v>
      </c>
      <c r="AK19" s="8">
        <v>15</v>
      </c>
      <c r="AL19" s="8">
        <v>82</v>
      </c>
      <c r="AM19" s="8">
        <v>353</v>
      </c>
      <c r="AN19" s="8">
        <v>1394</v>
      </c>
      <c r="AO19" s="29">
        <v>3355</v>
      </c>
      <c r="AS19" s="2">
        <v>69</v>
      </c>
      <c r="AU19">
        <v>4.3588035701968897E-2</v>
      </c>
      <c r="AV19">
        <v>0.13106034882425699</v>
      </c>
      <c r="AW19">
        <v>0.52424139529702896</v>
      </c>
      <c r="AX19">
        <v>1.86124282879616</v>
      </c>
      <c r="AY19">
        <v>7.4449713151846701</v>
      </c>
      <c r="BB19">
        <v>4.3588035533449102E-2</v>
      </c>
      <c r="BC19">
        <v>0.17435214213379599</v>
      </c>
      <c r="BD19">
        <v>0.69740856853518496</v>
      </c>
      <c r="BE19">
        <v>2.7896342741407398</v>
      </c>
      <c r="BF19">
        <v>11.158537096562901</v>
      </c>
    </row>
    <row r="20" spans="1:58" x14ac:dyDescent="0.25">
      <c r="A20" s="2">
        <v>85</v>
      </c>
      <c r="B20" s="2">
        <v>32</v>
      </c>
      <c r="C20" s="2">
        <v>43.73</v>
      </c>
      <c r="D20" s="2">
        <v>6</v>
      </c>
      <c r="E20" s="27">
        <v>1.13162316396569E-2</v>
      </c>
      <c r="F20" s="27">
        <v>6.77105129691932E-3</v>
      </c>
      <c r="G20" s="27">
        <v>5.0494700428746703E-3</v>
      </c>
      <c r="H20" s="30">
        <v>0</v>
      </c>
      <c r="I20" s="8">
        <v>1</v>
      </c>
      <c r="J20" s="8">
        <v>17</v>
      </c>
      <c r="K20" s="8">
        <v>76</v>
      </c>
      <c r="L20" s="8">
        <v>328</v>
      </c>
      <c r="M20" s="29">
        <v>1228</v>
      </c>
      <c r="O20" s="7">
        <v>4.0999999999999996</v>
      </c>
      <c r="P20" s="3">
        <v>90</v>
      </c>
      <c r="Q20" s="3">
        <v>108.42</v>
      </c>
      <c r="R20" s="3">
        <v>15</v>
      </c>
      <c r="S20" s="26">
        <v>9.6840712231762202E-2</v>
      </c>
      <c r="T20" s="26">
        <v>2.94139388502281E-2</v>
      </c>
      <c r="U20" s="26">
        <v>9.5407724532447606E-3</v>
      </c>
      <c r="V20" s="30">
        <v>12</v>
      </c>
      <c r="W20" s="8">
        <v>61</v>
      </c>
      <c r="X20" s="8">
        <v>187</v>
      </c>
      <c r="Y20" s="8">
        <v>490</v>
      </c>
      <c r="Z20" s="8">
        <v>1019</v>
      </c>
      <c r="AA20" s="29">
        <v>2258</v>
      </c>
      <c r="AC20" s="7">
        <v>4.3</v>
      </c>
      <c r="AD20" s="3">
        <v>90</v>
      </c>
      <c r="AE20" s="3">
        <v>91.54</v>
      </c>
      <c r="AF20" s="3">
        <v>20</v>
      </c>
      <c r="AG20" s="26">
        <v>6.5041528765672305E-2</v>
      </c>
      <c r="AH20" s="26">
        <v>1.5521667521925899E-2</v>
      </c>
      <c r="AI20" s="26">
        <v>9.3037999635866304E-3</v>
      </c>
      <c r="AJ20" s="30">
        <v>6</v>
      </c>
      <c r="AK20" s="8">
        <v>32</v>
      </c>
      <c r="AL20" s="8">
        <v>142</v>
      </c>
      <c r="AM20" s="8">
        <v>419</v>
      </c>
      <c r="AN20" s="8">
        <v>1531</v>
      </c>
      <c r="AO20" s="29">
        <v>3286</v>
      </c>
      <c r="AS20" s="2">
        <v>85</v>
      </c>
      <c r="AU20">
        <v>4.5264926352280903E-2</v>
      </c>
      <c r="AV20">
        <v>0.12707267062271299</v>
      </c>
      <c r="AW20">
        <v>0.43334728234498898</v>
      </c>
      <c r="AX20">
        <v>1.7333891293799499</v>
      </c>
      <c r="AY20">
        <v>6.9335565175198299</v>
      </c>
      <c r="BB20">
        <v>4.5264926558627801E-2</v>
      </c>
      <c r="BC20">
        <v>0.18105970623451101</v>
      </c>
      <c r="BD20">
        <v>0.72423882493804503</v>
      </c>
      <c r="BE20">
        <v>2.8969552997521801</v>
      </c>
      <c r="BF20">
        <v>11.587821199008699</v>
      </c>
    </row>
    <row r="21" spans="1:58" x14ac:dyDescent="0.25">
      <c r="A21" s="2">
        <v>61</v>
      </c>
      <c r="B21" s="2">
        <v>32</v>
      </c>
      <c r="C21" s="2"/>
      <c r="D21" s="2">
        <v>6</v>
      </c>
      <c r="E21" s="27">
        <v>2.4554138346802101E-2</v>
      </c>
      <c r="F21" s="27">
        <v>8.2745106205033593E-3</v>
      </c>
      <c r="G21" s="27">
        <v>4.2829956428710502E-3</v>
      </c>
      <c r="H21" s="30">
        <v>0</v>
      </c>
      <c r="I21" s="8">
        <v>6</v>
      </c>
      <c r="J21" s="8">
        <v>27</v>
      </c>
      <c r="K21" s="8">
        <v>64</v>
      </c>
      <c r="L21" s="8">
        <v>364</v>
      </c>
      <c r="M21" s="29">
        <v>1201</v>
      </c>
      <c r="O21" s="35" t="s">
        <v>22</v>
      </c>
      <c r="P21" s="14">
        <v>90</v>
      </c>
      <c r="Q21" s="14">
        <v>113.98</v>
      </c>
      <c r="R21" s="25">
        <v>49.999977324263</v>
      </c>
      <c r="S21" s="15">
        <v>0.103785400341108</v>
      </c>
      <c r="T21" s="15">
        <v>9.3097685505032102E-3</v>
      </c>
      <c r="U21" s="15">
        <v>2.6623638531804101E-3</v>
      </c>
      <c r="V21" s="30">
        <v>7</v>
      </c>
      <c r="W21" s="8">
        <v>32</v>
      </c>
      <c r="X21" s="8">
        <v>148</v>
      </c>
      <c r="Y21" s="8">
        <v>475</v>
      </c>
      <c r="Z21" s="8">
        <v>1883</v>
      </c>
      <c r="AA21" s="29">
        <v>5866</v>
      </c>
      <c r="AC21" s="35" t="s">
        <v>24</v>
      </c>
      <c r="AD21" s="14">
        <v>90</v>
      </c>
      <c r="AE21" s="14">
        <v>108.42</v>
      </c>
      <c r="AF21" s="25">
        <v>149.999977324263</v>
      </c>
      <c r="AG21" s="15">
        <v>9.5590751489404505E-2</v>
      </c>
      <c r="AH21" s="15">
        <v>4.1750172724988703E-3</v>
      </c>
      <c r="AI21" s="15">
        <v>3.0008966016067001E-3</v>
      </c>
      <c r="AJ21" s="30">
        <v>4</v>
      </c>
      <c r="AK21" s="8">
        <v>7</v>
      </c>
      <c r="AL21" s="8">
        <v>43</v>
      </c>
      <c r="AM21" s="8">
        <v>325</v>
      </c>
      <c r="AN21" s="8">
        <v>4737</v>
      </c>
      <c r="AO21" s="29">
        <v>21140</v>
      </c>
      <c r="AS21" s="2">
        <v>61</v>
      </c>
      <c r="AU21">
        <v>6.4224427234734496E-2</v>
      </c>
      <c r="AV21">
        <v>0.22893530246709601</v>
      </c>
      <c r="AW21">
        <v>0.58198300914003198</v>
      </c>
      <c r="AX21">
        <v>2.1182747223488398</v>
      </c>
      <c r="AY21">
        <v>8.4730988893953594</v>
      </c>
      <c r="BB21">
        <v>9.8216553387208499E-2</v>
      </c>
      <c r="BC21">
        <v>0.392866213548834</v>
      </c>
      <c r="BD21">
        <v>1.57146485419533</v>
      </c>
      <c r="BE21">
        <v>6.2858594167813404</v>
      </c>
      <c r="BF21">
        <v>25.143437667125301</v>
      </c>
    </row>
    <row r="22" spans="1:58" x14ac:dyDescent="0.25">
      <c r="A22" s="2">
        <v>52</v>
      </c>
      <c r="B22" s="2">
        <v>32</v>
      </c>
      <c r="C22" s="2">
        <v>45.6</v>
      </c>
      <c r="D22" s="2">
        <v>5</v>
      </c>
      <c r="E22" s="27">
        <v>1.6195175632876601E-2</v>
      </c>
      <c r="F22" s="27">
        <v>8.7837172608482301E-3</v>
      </c>
      <c r="G22" s="27">
        <v>7.5116788153303899E-3</v>
      </c>
      <c r="H22" s="30">
        <v>0</v>
      </c>
      <c r="I22" s="8">
        <v>3</v>
      </c>
      <c r="J22" s="8">
        <v>21</v>
      </c>
      <c r="K22" s="8">
        <v>74</v>
      </c>
      <c r="L22" s="8">
        <v>395</v>
      </c>
      <c r="M22" s="29">
        <v>990</v>
      </c>
      <c r="O22" s="35" t="s">
        <v>23</v>
      </c>
      <c r="P22" s="14">
        <v>45</v>
      </c>
      <c r="Q22" s="14">
        <v>56.56</v>
      </c>
      <c r="R22" s="25">
        <v>99.999977324263</v>
      </c>
      <c r="S22" s="15">
        <v>1.7343593585544201E-2</v>
      </c>
      <c r="T22" s="15">
        <v>3.7541223526986601E-3</v>
      </c>
      <c r="U22" s="15">
        <v>3.5652204100954199E-3</v>
      </c>
      <c r="V22" s="30">
        <v>0</v>
      </c>
      <c r="W22" s="8">
        <v>3</v>
      </c>
      <c r="X22" s="8">
        <v>17</v>
      </c>
      <c r="Y22" s="8">
        <v>221</v>
      </c>
      <c r="Z22" s="8">
        <v>2965</v>
      </c>
      <c r="AA22" s="29">
        <v>14897</v>
      </c>
      <c r="AC22" s="28" t="s">
        <v>42</v>
      </c>
      <c r="AD22" s="11">
        <v>128</v>
      </c>
      <c r="AE22" s="11">
        <v>128</v>
      </c>
      <c r="AF22" s="23">
        <v>60</v>
      </c>
      <c r="AG22" s="24">
        <v>6.3874222410114402E-3</v>
      </c>
      <c r="AH22" s="24">
        <v>4.0872753866210698E-3</v>
      </c>
      <c r="AI22" s="24">
        <v>4.1324979636846596E-3</v>
      </c>
      <c r="AJ22" s="30">
        <v>0</v>
      </c>
      <c r="AK22" s="8">
        <v>0</v>
      </c>
      <c r="AL22" s="8">
        <v>0</v>
      </c>
      <c r="AM22" s="8">
        <v>32.479999999999997</v>
      </c>
      <c r="AN22" s="8">
        <v>580</v>
      </c>
      <c r="AO22" s="29">
        <v>8760.32</v>
      </c>
      <c r="AS22" s="2">
        <v>52</v>
      </c>
      <c r="AU22">
        <v>5.66060042990124E-2</v>
      </c>
      <c r="AV22">
        <v>0.173305439270318</v>
      </c>
      <c r="AW22">
        <v>0.56215790367475604</v>
      </c>
      <c r="AX22">
        <v>2.2486316146990202</v>
      </c>
      <c r="AY22">
        <v>8.9945264587960896</v>
      </c>
      <c r="BB22">
        <v>6.4780702531506598E-2</v>
      </c>
      <c r="BC22">
        <v>0.259122810126026</v>
      </c>
      <c r="BD22">
        <v>1.0364912405041</v>
      </c>
      <c r="BE22">
        <v>4.1459649620164196</v>
      </c>
      <c r="BF22">
        <v>16.5838598480656</v>
      </c>
    </row>
    <row r="23" spans="1:58" x14ac:dyDescent="0.25">
      <c r="A23" s="2">
        <v>165</v>
      </c>
      <c r="B23" s="2">
        <v>16</v>
      </c>
      <c r="C23" s="2"/>
      <c r="D23" s="2">
        <v>10</v>
      </c>
      <c r="E23" s="27">
        <v>1.06254875376059E-2</v>
      </c>
      <c r="F23" s="27">
        <v>5.3979442955963304E-3</v>
      </c>
      <c r="G23" s="27">
        <v>5.0606462291010196E-3</v>
      </c>
      <c r="H23" s="30">
        <v>0</v>
      </c>
      <c r="I23" s="8">
        <v>1</v>
      </c>
      <c r="J23" s="8">
        <v>11</v>
      </c>
      <c r="K23" s="8">
        <v>62</v>
      </c>
      <c r="L23" s="8">
        <v>607</v>
      </c>
      <c r="M23" s="29">
        <v>1911</v>
      </c>
      <c r="O23" s="36" t="s">
        <v>44</v>
      </c>
      <c r="P23" s="37">
        <v>128</v>
      </c>
      <c r="Q23" s="37">
        <v>128</v>
      </c>
      <c r="R23" s="38">
        <v>60</v>
      </c>
      <c r="S23" s="39">
        <v>3.4734349552416499E-2</v>
      </c>
      <c r="T23" s="39">
        <v>1.59772775618169E-2</v>
      </c>
      <c r="U23" s="39">
        <v>1.5617522696591399E-2</v>
      </c>
      <c r="V23" s="40">
        <v>0</v>
      </c>
      <c r="W23" s="41">
        <v>0</v>
      </c>
      <c r="X23" s="41">
        <v>69.12</v>
      </c>
      <c r="Y23" s="41">
        <v>1622.3999999999901</v>
      </c>
      <c r="Z23" s="41">
        <v>12195.84</v>
      </c>
      <c r="AA23" s="42">
        <v>18165.12</v>
      </c>
      <c r="AC23" s="36" t="s">
        <v>43</v>
      </c>
      <c r="AD23" s="37">
        <v>64</v>
      </c>
      <c r="AE23" s="37">
        <v>64</v>
      </c>
      <c r="AF23" s="38">
        <v>60</v>
      </c>
      <c r="AG23" s="39">
        <v>2.3944348715607398E-3</v>
      </c>
      <c r="AH23" s="39">
        <v>1.5049965491053801E-3</v>
      </c>
      <c r="AI23" s="39">
        <v>1.48965533935772E-3</v>
      </c>
      <c r="AJ23" s="40">
        <v>0</v>
      </c>
      <c r="AK23" s="41">
        <v>0</v>
      </c>
      <c r="AL23" s="41">
        <v>0</v>
      </c>
      <c r="AM23" s="41">
        <v>0</v>
      </c>
      <c r="AN23" s="41">
        <v>23.2</v>
      </c>
      <c r="AO23" s="42">
        <v>969.75999999999897</v>
      </c>
      <c r="AS23" s="2">
        <v>165</v>
      </c>
      <c r="AU23">
        <v>4.2501949944915698E-2</v>
      </c>
      <c r="AV23">
        <v>0.116374533955678</v>
      </c>
      <c r="AW23">
        <v>0.36853445483851999</v>
      </c>
      <c r="AX23">
        <v>1.38187374013061</v>
      </c>
      <c r="AY23">
        <v>5.5274949605224499</v>
      </c>
      <c r="BB23">
        <v>4.2501950150423698E-2</v>
      </c>
      <c r="BC23">
        <v>0.17000780060169399</v>
      </c>
      <c r="BD23">
        <v>0.68003120240677895</v>
      </c>
      <c r="BE23">
        <v>2.72012480962711</v>
      </c>
      <c r="BF23">
        <v>10.880499238508399</v>
      </c>
    </row>
    <row r="24" spans="1:58" x14ac:dyDescent="0.25">
      <c r="A24" s="2">
        <v>166</v>
      </c>
      <c r="B24" s="2">
        <v>16</v>
      </c>
      <c r="C24" s="2"/>
      <c r="D24" s="2">
        <v>10</v>
      </c>
      <c r="E24" s="27">
        <v>5.4104257016193398E-3</v>
      </c>
      <c r="F24" s="27">
        <v>4.2237913969842902E-3</v>
      </c>
      <c r="G24" s="27">
        <v>4.0412722569313003E-3</v>
      </c>
      <c r="H24" s="30">
        <v>0</v>
      </c>
      <c r="I24" s="8">
        <v>0</v>
      </c>
      <c r="J24" s="8">
        <v>2</v>
      </c>
      <c r="K24" s="8">
        <v>32</v>
      </c>
      <c r="L24" s="8">
        <v>536</v>
      </c>
      <c r="M24" s="29">
        <v>2020</v>
      </c>
      <c r="AS24" s="2">
        <v>166</v>
      </c>
      <c r="AV24">
        <v>7.8663658425102104E-2</v>
      </c>
      <c r="AW24">
        <v>0.286033381784213</v>
      </c>
      <c r="AX24">
        <v>1.08129059920596</v>
      </c>
      <c r="AY24">
        <v>4.3251623968238597</v>
      </c>
      <c r="BC24">
        <v>8.56390953438151E-2</v>
      </c>
      <c r="BD24">
        <v>0.34626724490363803</v>
      </c>
      <c r="BE24">
        <v>1.3850689796145501</v>
      </c>
      <c r="BF24">
        <v>5.5402759184582102</v>
      </c>
    </row>
    <row r="25" spans="1:58" x14ac:dyDescent="0.25">
      <c r="A25" s="2">
        <v>53</v>
      </c>
      <c r="B25" s="2">
        <v>22.6</v>
      </c>
      <c r="C25" s="2">
        <v>29.55</v>
      </c>
      <c r="D25" s="2">
        <v>15</v>
      </c>
      <c r="E25" s="27">
        <v>5.4074185586351197E-3</v>
      </c>
      <c r="F25" s="27">
        <v>3.7739188928974099E-3</v>
      </c>
      <c r="G25" s="27">
        <v>3.5257352179030601E-3</v>
      </c>
      <c r="H25" s="30">
        <v>0</v>
      </c>
      <c r="I25" s="8">
        <v>0</v>
      </c>
      <c r="J25" s="8">
        <v>2</v>
      </c>
      <c r="K25" s="8">
        <v>30</v>
      </c>
      <c r="L25" s="8">
        <v>601</v>
      </c>
      <c r="M25" s="29">
        <v>3003</v>
      </c>
      <c r="AS25" s="2">
        <v>53</v>
      </c>
      <c r="AV25">
        <v>8.5713068849887802E-2</v>
      </c>
      <c r="AW25">
        <v>0.28274257889141102</v>
      </c>
      <c r="AX25">
        <v>0.96612323561066804</v>
      </c>
      <c r="AY25">
        <v>3.8644929424426699</v>
      </c>
      <c r="BC25">
        <v>8.5713069200916994E-2</v>
      </c>
      <c r="BD25">
        <v>0.346074787752647</v>
      </c>
      <c r="BE25">
        <v>1.38429915101059</v>
      </c>
      <c r="BF25">
        <v>5.5371966040423599</v>
      </c>
    </row>
    <row r="26" spans="1:58" x14ac:dyDescent="0.25">
      <c r="A26" s="2">
        <v>45</v>
      </c>
      <c r="B26" s="2">
        <v>22.6</v>
      </c>
      <c r="C26" s="2">
        <v>22.6</v>
      </c>
      <c r="D26" s="2">
        <v>10</v>
      </c>
      <c r="E26" s="27">
        <v>6.9634801117522301E-3</v>
      </c>
      <c r="F26" s="27">
        <v>4.7306891897243297E-3</v>
      </c>
      <c r="G26" s="27">
        <v>4.5595536316889104E-3</v>
      </c>
      <c r="H26" s="30">
        <v>0</v>
      </c>
      <c r="I26" s="8">
        <v>1</v>
      </c>
      <c r="J26" s="8">
        <v>4</v>
      </c>
      <c r="K26" s="8">
        <v>51</v>
      </c>
      <c r="L26" s="8">
        <v>494</v>
      </c>
      <c r="M26" s="29">
        <v>1931</v>
      </c>
      <c r="AS26" s="2">
        <v>45</v>
      </c>
      <c r="AU26">
        <v>2.7853920384742901E-2</v>
      </c>
      <c r="AV26">
        <v>0.102227488893629</v>
      </c>
      <c r="AW26">
        <v>0.312084224737535</v>
      </c>
      <c r="AX26">
        <v>1.21105643309446</v>
      </c>
      <c r="AY26">
        <v>4.8442257323778604</v>
      </c>
      <c r="BB26">
        <v>2.7853920447008899E-2</v>
      </c>
      <c r="BC26">
        <v>0.111415681788035</v>
      </c>
      <c r="BD26">
        <v>0.445662727152142</v>
      </c>
      <c r="BE26">
        <v>1.78265090860857</v>
      </c>
      <c r="BF26">
        <v>7.13060363443428</v>
      </c>
    </row>
    <row r="27" spans="1:58" x14ac:dyDescent="0.25">
      <c r="A27" s="3">
        <v>1.1000000000000001</v>
      </c>
      <c r="B27" s="3">
        <v>32</v>
      </c>
      <c r="C27" s="3">
        <v>45.6</v>
      </c>
      <c r="D27" s="3">
        <v>20</v>
      </c>
      <c r="E27" s="26">
        <v>1.40031756933689E-2</v>
      </c>
      <c r="F27" s="26">
        <v>5.6784984243662398E-3</v>
      </c>
      <c r="G27" s="26">
        <v>4.6667095589632999E-3</v>
      </c>
      <c r="H27" s="30">
        <v>0</v>
      </c>
      <c r="I27" s="8">
        <v>1</v>
      </c>
      <c r="J27" s="8">
        <v>18</v>
      </c>
      <c r="K27" s="8">
        <v>151</v>
      </c>
      <c r="L27" s="8">
        <v>1196</v>
      </c>
      <c r="M27" s="29">
        <v>3617</v>
      </c>
      <c r="AS27" s="3">
        <v>1.1000000000000001</v>
      </c>
      <c r="AU27">
        <v>5.6012702773475899E-2</v>
      </c>
      <c r="AV27">
        <v>0.17662425401843199</v>
      </c>
      <c r="AW27">
        <v>0.371998081424883</v>
      </c>
      <c r="AX27">
        <v>1.4536955966377501</v>
      </c>
      <c r="AY27">
        <v>5.8147823865510198</v>
      </c>
      <c r="BB27">
        <v>5.6012702773475899E-2</v>
      </c>
      <c r="BC27">
        <v>0.22405081109390301</v>
      </c>
      <c r="BD27">
        <v>0.89620324437561405</v>
      </c>
      <c r="BE27">
        <v>3.58481297750245</v>
      </c>
      <c r="BF27">
        <v>14.3392519100098</v>
      </c>
    </row>
    <row r="28" spans="1:58" x14ac:dyDescent="0.25">
      <c r="A28" s="3">
        <v>1.2</v>
      </c>
      <c r="B28" s="3">
        <v>32</v>
      </c>
      <c r="C28" s="3">
        <v>44.2</v>
      </c>
      <c r="D28" s="3">
        <v>20</v>
      </c>
      <c r="E28" s="26">
        <v>1.0890800850407899E-2</v>
      </c>
      <c r="F28" s="26">
        <v>4.8212415579803897E-3</v>
      </c>
      <c r="G28" s="26">
        <v>4.1135640493545804E-3</v>
      </c>
      <c r="H28" s="30">
        <v>0</v>
      </c>
      <c r="I28" s="8">
        <v>1</v>
      </c>
      <c r="J28" s="8">
        <v>11</v>
      </c>
      <c r="K28" s="8">
        <v>103</v>
      </c>
      <c r="L28" s="8">
        <v>972</v>
      </c>
      <c r="M28" s="29">
        <v>3501</v>
      </c>
      <c r="AS28" s="3">
        <v>1.2</v>
      </c>
      <c r="AU28">
        <v>4.3563203401631702E-2</v>
      </c>
      <c r="AV28">
        <v>0.14678489544762599</v>
      </c>
      <c r="AW28">
        <v>0.32808884276820199</v>
      </c>
      <c r="AX28">
        <v>1.23423783884298</v>
      </c>
      <c r="AY28">
        <v>4.93695135537192</v>
      </c>
      <c r="BB28">
        <v>4.3563203401631702E-2</v>
      </c>
      <c r="BC28">
        <v>0.174252813606527</v>
      </c>
      <c r="BD28">
        <v>0.69701125442610801</v>
      </c>
      <c r="BE28">
        <v>2.7880450177044298</v>
      </c>
      <c r="BF28">
        <v>11.1521800708177</v>
      </c>
    </row>
    <row r="29" spans="1:58" x14ac:dyDescent="0.25">
      <c r="A29" s="3">
        <v>1.3</v>
      </c>
      <c r="B29" s="3">
        <v>32</v>
      </c>
      <c r="C29" s="3">
        <v>42.84</v>
      </c>
      <c r="D29" s="3">
        <v>10</v>
      </c>
      <c r="E29" s="26">
        <v>2.3197934886697399E-2</v>
      </c>
      <c r="F29" s="26">
        <v>9.1426900455134907E-3</v>
      </c>
      <c r="G29" s="26">
        <v>6.1375608082080103E-3</v>
      </c>
      <c r="H29" s="30">
        <v>0</v>
      </c>
      <c r="I29" s="8">
        <v>4</v>
      </c>
      <c r="J29" s="8">
        <v>35</v>
      </c>
      <c r="K29" s="8">
        <v>163</v>
      </c>
      <c r="L29" s="8">
        <v>788</v>
      </c>
      <c r="M29" s="29">
        <v>1749</v>
      </c>
      <c r="AS29" s="3">
        <v>1.3</v>
      </c>
      <c r="AU29">
        <v>9.2791739546789598E-2</v>
      </c>
      <c r="AV29">
        <v>0.222368887754927</v>
      </c>
      <c r="AW29">
        <v>0.58513216291286296</v>
      </c>
      <c r="AX29">
        <v>2.3405286516514501</v>
      </c>
      <c r="AY29">
        <v>9.3621146066058198</v>
      </c>
      <c r="BB29">
        <v>9.2791739546789598E-2</v>
      </c>
      <c r="BC29">
        <v>0.371166958187158</v>
      </c>
      <c r="BD29">
        <v>1.48466783274863</v>
      </c>
      <c r="BE29">
        <v>5.9386713309945298</v>
      </c>
      <c r="BF29">
        <v>23.754685323978102</v>
      </c>
    </row>
    <row r="30" spans="1:58" x14ac:dyDescent="0.25">
      <c r="A30" s="3">
        <v>2.1</v>
      </c>
      <c r="B30" s="3">
        <v>45</v>
      </c>
      <c r="C30" s="3">
        <v>52.94</v>
      </c>
      <c r="D30" s="3">
        <v>20</v>
      </c>
      <c r="E30" s="26">
        <v>3.5345925929864103E-2</v>
      </c>
      <c r="F30" s="26">
        <v>7.8507383881498607E-3</v>
      </c>
      <c r="G30" s="26">
        <v>4.0069409325786598E-3</v>
      </c>
      <c r="H30" s="30">
        <v>0</v>
      </c>
      <c r="I30" s="8">
        <v>11</v>
      </c>
      <c r="J30" s="8">
        <v>56</v>
      </c>
      <c r="K30" s="8">
        <v>204</v>
      </c>
      <c r="L30" s="8">
        <v>1215</v>
      </c>
      <c r="M30" s="29">
        <v>3424</v>
      </c>
      <c r="AS30" s="3">
        <v>2.1</v>
      </c>
      <c r="AU30">
        <v>8.2766257918429495E-2</v>
      </c>
      <c r="AV30">
        <v>0.28137760228112102</v>
      </c>
      <c r="AW30">
        <v>0.60837215584300797</v>
      </c>
      <c r="AX30">
        <v>2.0097890273663599</v>
      </c>
      <c r="AY30">
        <v>8.0391561094654609</v>
      </c>
      <c r="BB30">
        <v>0.14138370371945599</v>
      </c>
      <c r="BC30">
        <v>0.56553481487782498</v>
      </c>
      <c r="BD30">
        <v>2.2621392595112999</v>
      </c>
      <c r="BE30">
        <v>9.0485570380452103</v>
      </c>
      <c r="BF30">
        <v>36.194228152180798</v>
      </c>
    </row>
    <row r="31" spans="1:58" x14ac:dyDescent="0.25">
      <c r="A31" s="3">
        <v>2.2000000000000002</v>
      </c>
      <c r="B31" s="3">
        <v>45</v>
      </c>
      <c r="C31" s="3">
        <v>54.05</v>
      </c>
      <c r="D31" s="3">
        <v>15</v>
      </c>
      <c r="E31" s="26">
        <v>2.4016207968108199E-2</v>
      </c>
      <c r="F31" s="26">
        <v>6.5149661727545603E-3</v>
      </c>
      <c r="G31" s="26">
        <v>4.26435563054003E-3</v>
      </c>
      <c r="H31" s="30">
        <v>1</v>
      </c>
      <c r="I31" s="8">
        <v>5</v>
      </c>
      <c r="J31" s="8">
        <v>26</v>
      </c>
      <c r="K31" s="8">
        <v>112</v>
      </c>
      <c r="L31" s="8">
        <v>811</v>
      </c>
      <c r="M31" s="29">
        <v>2808</v>
      </c>
      <c r="AS31" s="3">
        <v>2.2000000000000002</v>
      </c>
      <c r="AT31">
        <v>2.4016207968108199E-2</v>
      </c>
      <c r="AU31">
        <v>6.1687066952672398E-2</v>
      </c>
      <c r="AV31">
        <v>0.19687478181427201</v>
      </c>
      <c r="AW31">
        <v>0.46344710039377801</v>
      </c>
      <c r="AX31">
        <v>1.6678313402251601</v>
      </c>
      <c r="AY31">
        <v>6.6713253609006697</v>
      </c>
      <c r="BA31">
        <v>2.4016207968108199E-2</v>
      </c>
      <c r="BB31">
        <v>9.6064831872432796E-2</v>
      </c>
      <c r="BC31">
        <v>0.38425932748973102</v>
      </c>
      <c r="BD31">
        <v>1.5370373099589201</v>
      </c>
      <c r="BE31">
        <v>6.1481492398356998</v>
      </c>
      <c r="BF31">
        <v>24.592596959342799</v>
      </c>
    </row>
    <row r="32" spans="1:58" x14ac:dyDescent="0.25">
      <c r="A32" s="3">
        <v>2.2999999999999998</v>
      </c>
      <c r="B32" s="3">
        <v>45</v>
      </c>
      <c r="C32" s="3">
        <v>54.11</v>
      </c>
      <c r="D32" s="3">
        <v>10</v>
      </c>
      <c r="E32" s="26">
        <v>1.9422121419342901E-2</v>
      </c>
      <c r="F32" s="26">
        <v>7.5773751595888898E-3</v>
      </c>
      <c r="G32" s="26">
        <v>5.3544304928017398E-3</v>
      </c>
      <c r="H32" s="30">
        <v>0</v>
      </c>
      <c r="I32" s="8">
        <v>3</v>
      </c>
      <c r="J32" s="8">
        <v>28</v>
      </c>
      <c r="K32" s="8">
        <v>147</v>
      </c>
      <c r="L32" s="8">
        <v>700</v>
      </c>
      <c r="M32" s="29">
        <v>1838</v>
      </c>
      <c r="AS32" s="3">
        <v>2.2999999999999998</v>
      </c>
      <c r="AU32">
        <v>6.6744949341475304E-2</v>
      </c>
      <c r="AV32">
        <v>0.16107374150092801</v>
      </c>
      <c r="AW32">
        <v>0.484952010213689</v>
      </c>
      <c r="AX32">
        <v>1.93980804085475</v>
      </c>
      <c r="AY32">
        <v>7.7592321634190196</v>
      </c>
      <c r="BB32">
        <v>7.7688485677371896E-2</v>
      </c>
      <c r="BC32">
        <v>0.31075394270948697</v>
      </c>
      <c r="BD32">
        <v>1.2430157708379499</v>
      </c>
      <c r="BE32">
        <v>4.9720630833517996</v>
      </c>
      <c r="BF32">
        <v>19.888252333407198</v>
      </c>
    </row>
    <row r="33" spans="1:58" x14ac:dyDescent="0.25">
      <c r="A33" s="3">
        <v>3.1</v>
      </c>
      <c r="B33" s="3">
        <v>64</v>
      </c>
      <c r="C33" s="3">
        <v>84.98</v>
      </c>
      <c r="D33" s="3">
        <v>20</v>
      </c>
      <c r="E33" s="26">
        <v>0.12653412852816501</v>
      </c>
      <c r="F33" s="26">
        <v>1.5222331559222001E-2</v>
      </c>
      <c r="G33" s="26">
        <v>4.5052689799184196E-3</v>
      </c>
      <c r="H33" s="30">
        <v>10</v>
      </c>
      <c r="I33" s="8">
        <v>38</v>
      </c>
      <c r="J33" s="8">
        <v>113</v>
      </c>
      <c r="K33" s="8">
        <v>312</v>
      </c>
      <c r="L33" s="8">
        <v>1212</v>
      </c>
      <c r="M33" s="29">
        <v>3306</v>
      </c>
      <c r="AS33" s="3">
        <v>3.1</v>
      </c>
      <c r="AT33">
        <v>9.5477972807156197E-2</v>
      </c>
      <c r="AU33">
        <v>0.192484405703403</v>
      </c>
      <c r="AV33">
        <v>0.54260603351381897</v>
      </c>
      <c r="AW33">
        <v>1.4445985101020999</v>
      </c>
      <c r="AX33">
        <v>3.8969168791608402</v>
      </c>
      <c r="AY33">
        <v>15.5876675166433</v>
      </c>
      <c r="BA33">
        <v>0.12653412852816501</v>
      </c>
      <c r="BB33">
        <v>0.50613651411266203</v>
      </c>
      <c r="BC33">
        <v>2.0245460564506401</v>
      </c>
      <c r="BD33">
        <v>8.0981842258025907</v>
      </c>
      <c r="BE33">
        <v>32.392736903210299</v>
      </c>
      <c r="BF33">
        <v>129.570947612841</v>
      </c>
    </row>
    <row r="34" spans="1:58" x14ac:dyDescent="0.25">
      <c r="A34" s="3">
        <v>3.2</v>
      </c>
      <c r="B34" s="3">
        <v>64</v>
      </c>
      <c r="C34" s="3">
        <v>86.98</v>
      </c>
      <c r="D34" s="3">
        <v>15</v>
      </c>
      <c r="E34" s="26">
        <v>5.1502950973667999E-2</v>
      </c>
      <c r="F34" s="26">
        <v>1.37528556522491E-2</v>
      </c>
      <c r="G34" s="26">
        <v>4.5700514622563203E-3</v>
      </c>
      <c r="H34" s="30">
        <v>2</v>
      </c>
      <c r="I34" s="8">
        <v>30</v>
      </c>
      <c r="J34" s="8">
        <v>110</v>
      </c>
      <c r="K34" s="8">
        <v>279</v>
      </c>
      <c r="L34" s="8">
        <v>1032</v>
      </c>
      <c r="M34" s="29">
        <v>2570</v>
      </c>
      <c r="AS34" s="3">
        <v>3.2</v>
      </c>
      <c r="AT34">
        <v>2.8717702047744001E-2</v>
      </c>
      <c r="AU34">
        <v>0.11587567427319601</v>
      </c>
      <c r="AV34">
        <v>0.424330918118209</v>
      </c>
      <c r="AW34">
        <v>1.0317760232201201</v>
      </c>
      <c r="AX34">
        <v>3.52073104697577</v>
      </c>
      <c r="AY34">
        <v>14.082924187903</v>
      </c>
      <c r="BA34">
        <v>3.4786896818932399E-2</v>
      </c>
      <c r="BB34">
        <v>0.206011803894672</v>
      </c>
      <c r="BC34">
        <v>0.82404721557868799</v>
      </c>
      <c r="BD34">
        <v>3.2961888623147502</v>
      </c>
      <c r="BE34">
        <v>13.184755449259001</v>
      </c>
      <c r="BF34">
        <v>52.739021797036003</v>
      </c>
    </row>
    <row r="35" spans="1:58" x14ac:dyDescent="0.25">
      <c r="A35" s="3">
        <v>3.3</v>
      </c>
      <c r="B35" s="3">
        <v>64</v>
      </c>
      <c r="C35" s="3">
        <v>87.98</v>
      </c>
      <c r="D35" s="3">
        <v>20</v>
      </c>
      <c r="E35" s="26">
        <v>5.04335454776157E-2</v>
      </c>
      <c r="F35" s="26">
        <v>9.8602655911611495E-3</v>
      </c>
      <c r="G35" s="26">
        <v>4.3864038070395503E-3</v>
      </c>
      <c r="H35" s="30">
        <v>4</v>
      </c>
      <c r="I35" s="8">
        <v>20</v>
      </c>
      <c r="J35" s="8">
        <v>68</v>
      </c>
      <c r="K35" s="8">
        <v>245</v>
      </c>
      <c r="L35" s="8">
        <v>1155</v>
      </c>
      <c r="M35" s="29">
        <v>3356</v>
      </c>
      <c r="AS35" s="3">
        <v>3.3</v>
      </c>
      <c r="AT35">
        <v>4.2099641834455401E-2</v>
      </c>
      <c r="AU35">
        <v>0.10745936765490099</v>
      </c>
      <c r="AV35">
        <v>0.342981303210388</v>
      </c>
      <c r="AW35">
        <v>0.759859641009906</v>
      </c>
      <c r="AX35">
        <v>2.5242279913372498</v>
      </c>
      <c r="AY35">
        <v>10.096911965348999</v>
      </c>
      <c r="BA35">
        <v>5.04335454776157E-2</v>
      </c>
      <c r="BB35">
        <v>0.201734181910463</v>
      </c>
      <c r="BC35">
        <v>0.80693672764185198</v>
      </c>
      <c r="BD35">
        <v>3.2277469105674101</v>
      </c>
      <c r="BE35">
        <v>12.9109876422696</v>
      </c>
      <c r="BF35">
        <v>51.643950569078498</v>
      </c>
    </row>
    <row r="36" spans="1:58" x14ac:dyDescent="0.25">
      <c r="A36" s="3">
        <v>4.0999999999999996</v>
      </c>
      <c r="B36" s="3">
        <v>90</v>
      </c>
      <c r="C36" s="3">
        <v>108.42</v>
      </c>
      <c r="D36" s="3">
        <v>15</v>
      </c>
      <c r="E36" s="26">
        <v>9.6840712231762202E-2</v>
      </c>
      <c r="F36" s="26">
        <v>2.94139388502281E-2</v>
      </c>
      <c r="G36" s="26">
        <v>9.5407724532447606E-3</v>
      </c>
      <c r="H36" s="30">
        <v>12</v>
      </c>
      <c r="I36" s="8">
        <v>61</v>
      </c>
      <c r="J36" s="8">
        <v>187</v>
      </c>
      <c r="K36" s="8">
        <v>490</v>
      </c>
      <c r="L36" s="8">
        <v>1019</v>
      </c>
      <c r="M36" s="29">
        <v>2258</v>
      </c>
      <c r="AS36" s="3">
        <v>4.0999999999999996</v>
      </c>
      <c r="AT36">
        <v>6.9669475601588704E-2</v>
      </c>
      <c r="AU36">
        <v>0.21182245741774999</v>
      </c>
      <c r="AV36">
        <v>0.71876689058186105</v>
      </c>
      <c r="AW36">
        <v>2.4352261038974299</v>
      </c>
      <c r="AX36">
        <v>7.5299683456584097</v>
      </c>
      <c r="AY36">
        <v>30.1198733826336</v>
      </c>
      <c r="BA36">
        <v>9.6840712231762202E-2</v>
      </c>
      <c r="BB36">
        <v>0.38736284892704798</v>
      </c>
      <c r="BC36">
        <v>1.5494513957081899</v>
      </c>
      <c r="BD36">
        <v>6.19780558283278</v>
      </c>
      <c r="BE36">
        <v>24.791222331331099</v>
      </c>
      <c r="BF36">
        <v>99.164889325324495</v>
      </c>
    </row>
    <row r="37" spans="1:58" x14ac:dyDescent="0.25">
      <c r="A37" s="3">
        <v>4.2</v>
      </c>
      <c r="B37" s="3">
        <v>90</v>
      </c>
      <c r="C37" s="3">
        <v>127.22</v>
      </c>
      <c r="D37" s="3">
        <v>20</v>
      </c>
      <c r="E37" s="26">
        <v>4.1669974213015902E-2</v>
      </c>
      <c r="F37" s="26">
        <v>9.9725509064199202E-3</v>
      </c>
      <c r="G37" s="26">
        <v>6.2822795747625101E-3</v>
      </c>
      <c r="H37" s="30">
        <v>0</v>
      </c>
      <c r="I37" s="8">
        <v>15</v>
      </c>
      <c r="J37" s="8">
        <v>82</v>
      </c>
      <c r="K37" s="8">
        <v>353</v>
      </c>
      <c r="L37" s="8">
        <v>1394</v>
      </c>
      <c r="M37" s="29">
        <v>3355</v>
      </c>
      <c r="AS37" s="3">
        <v>4.2</v>
      </c>
      <c r="AU37">
        <v>7.9120500982877304E-2</v>
      </c>
      <c r="AV37">
        <v>0.25286216921415</v>
      </c>
      <c r="AW37">
        <v>0.66084681493743003</v>
      </c>
      <c r="AX37">
        <v>2.5529730320435</v>
      </c>
      <c r="AY37">
        <v>10.211892128174</v>
      </c>
      <c r="BB37">
        <v>0.166679896852063</v>
      </c>
      <c r="BC37">
        <v>0.66671958740825399</v>
      </c>
      <c r="BD37">
        <v>2.6668783496330102</v>
      </c>
      <c r="BE37">
        <v>10.667513398532</v>
      </c>
      <c r="BF37">
        <v>42.670053594128298</v>
      </c>
    </row>
    <row r="38" spans="1:58" x14ac:dyDescent="0.25">
      <c r="A38" s="3">
        <v>4.3</v>
      </c>
      <c r="B38" s="3">
        <v>90</v>
      </c>
      <c r="C38" s="3">
        <v>91.54</v>
      </c>
      <c r="D38" s="3">
        <v>20</v>
      </c>
      <c r="E38" s="26">
        <v>6.5041528765672305E-2</v>
      </c>
      <c r="F38" s="26">
        <v>1.5521667521925899E-2</v>
      </c>
      <c r="G38" s="26">
        <v>9.3037999635866304E-3</v>
      </c>
      <c r="H38" s="30">
        <v>6</v>
      </c>
      <c r="I38" s="8">
        <v>32</v>
      </c>
      <c r="J38" s="8">
        <v>142</v>
      </c>
      <c r="K38" s="8">
        <v>419</v>
      </c>
      <c r="L38" s="8">
        <v>1531</v>
      </c>
      <c r="M38" s="29">
        <v>3286</v>
      </c>
      <c r="AS38" s="3">
        <v>4.3</v>
      </c>
      <c r="AT38">
        <v>6.2038722824561902E-2</v>
      </c>
      <c r="AU38">
        <v>0.13350547172294899</v>
      </c>
      <c r="AV38">
        <v>0.41039439745539202</v>
      </c>
      <c r="AW38">
        <v>1.17781242915115</v>
      </c>
      <c r="AX38">
        <v>3.97354688561304</v>
      </c>
      <c r="AY38">
        <v>15.8941875424521</v>
      </c>
      <c r="BA38">
        <v>6.5041528765672305E-2</v>
      </c>
      <c r="BB38">
        <v>0.260166115062689</v>
      </c>
      <c r="BC38">
        <v>1.04066446025075</v>
      </c>
      <c r="BD38">
        <v>4.1626578410030204</v>
      </c>
      <c r="BE38">
        <v>16.650631364012099</v>
      </c>
      <c r="BF38">
        <v>66.602525456048397</v>
      </c>
    </row>
    <row r="39" spans="1:58" x14ac:dyDescent="0.25">
      <c r="A39" s="14" t="s">
        <v>22</v>
      </c>
      <c r="B39" s="14">
        <v>90</v>
      </c>
      <c r="C39" s="14">
        <v>113.98</v>
      </c>
      <c r="D39" s="25">
        <v>49.999977324263</v>
      </c>
      <c r="E39" s="15">
        <v>0.103785400341108</v>
      </c>
      <c r="F39" s="15">
        <v>9.3097685505032102E-3</v>
      </c>
      <c r="G39" s="15">
        <v>2.6623638531804101E-3</v>
      </c>
      <c r="H39" s="30">
        <v>7</v>
      </c>
      <c r="I39" s="8">
        <v>32</v>
      </c>
      <c r="J39" s="8">
        <v>148</v>
      </c>
      <c r="K39" s="8">
        <v>475</v>
      </c>
      <c r="L39" s="8">
        <v>1883</v>
      </c>
      <c r="M39" s="29">
        <v>5866</v>
      </c>
      <c r="AS39" s="14" t="s">
        <v>22</v>
      </c>
    </row>
    <row r="40" spans="1:58" x14ac:dyDescent="0.25">
      <c r="A40" s="14" t="s">
        <v>23</v>
      </c>
      <c r="B40" s="14">
        <v>45</v>
      </c>
      <c r="C40" s="14">
        <v>56.56</v>
      </c>
      <c r="D40" s="25">
        <v>99.999977324263</v>
      </c>
      <c r="E40" s="15">
        <v>1.7343593585544201E-2</v>
      </c>
      <c r="F40" s="15">
        <v>3.7541223526986601E-3</v>
      </c>
      <c r="G40" s="15">
        <v>3.5652204100954199E-3</v>
      </c>
      <c r="H40" s="30">
        <v>0</v>
      </c>
      <c r="I40" s="8">
        <v>3</v>
      </c>
      <c r="J40" s="8">
        <v>17</v>
      </c>
      <c r="K40" s="8">
        <v>221</v>
      </c>
      <c r="L40" s="8">
        <v>2965</v>
      </c>
      <c r="M40" s="29">
        <v>14897</v>
      </c>
      <c r="AS40" s="14" t="s">
        <v>23</v>
      </c>
    </row>
    <row r="41" spans="1:58" x14ac:dyDescent="0.25">
      <c r="A41" s="14" t="s">
        <v>24</v>
      </c>
      <c r="B41" s="14">
        <v>90</v>
      </c>
      <c r="C41" s="14">
        <v>108.42</v>
      </c>
      <c r="D41" s="25">
        <v>149.999977324263</v>
      </c>
      <c r="E41" s="15">
        <v>9.5590751489404505E-2</v>
      </c>
      <c r="F41" s="15">
        <v>4.1750172724988703E-3</v>
      </c>
      <c r="G41" s="15">
        <v>3.0008966016067001E-3</v>
      </c>
      <c r="H41" s="30">
        <v>4</v>
      </c>
      <c r="I41" s="8">
        <v>7</v>
      </c>
      <c r="J41" s="8">
        <v>43</v>
      </c>
      <c r="K41" s="8">
        <v>325</v>
      </c>
      <c r="L41" s="8">
        <v>4737</v>
      </c>
      <c r="M41" s="29">
        <v>21140</v>
      </c>
      <c r="AS41" s="14" t="s">
        <v>24</v>
      </c>
    </row>
    <row r="42" spans="1:58" x14ac:dyDescent="0.25">
      <c r="A42" s="11" t="s">
        <v>42</v>
      </c>
      <c r="B42" s="11">
        <v>128</v>
      </c>
      <c r="C42" s="11">
        <v>128</v>
      </c>
      <c r="D42" s="23">
        <v>60</v>
      </c>
      <c r="E42" s="24">
        <v>6.3874222410114402E-3</v>
      </c>
      <c r="F42" s="24">
        <v>4.0872753866210698E-3</v>
      </c>
      <c r="G42" s="24">
        <v>4.1324979636846596E-3</v>
      </c>
      <c r="H42" s="30">
        <v>0</v>
      </c>
      <c r="I42" s="8">
        <v>0</v>
      </c>
      <c r="J42" s="8">
        <v>0</v>
      </c>
      <c r="K42" s="8">
        <v>32.479999999999997</v>
      </c>
      <c r="L42" s="8">
        <v>580</v>
      </c>
      <c r="M42" s="29">
        <v>8760.32</v>
      </c>
      <c r="AS42" s="11" t="s">
        <v>42</v>
      </c>
    </row>
    <row r="43" spans="1:58" x14ac:dyDescent="0.25">
      <c r="A43" s="11" t="s">
        <v>43</v>
      </c>
      <c r="B43" s="11">
        <v>64</v>
      </c>
      <c r="C43" s="11">
        <v>64</v>
      </c>
      <c r="D43" s="23">
        <v>60</v>
      </c>
      <c r="E43" s="24">
        <v>2.3944348715607398E-3</v>
      </c>
      <c r="F43" s="24">
        <v>1.5049965491053801E-3</v>
      </c>
      <c r="G43" s="24">
        <v>1.48965533935772E-3</v>
      </c>
      <c r="H43" s="30">
        <v>0</v>
      </c>
      <c r="I43" s="8">
        <v>0</v>
      </c>
      <c r="J43" s="8">
        <v>0</v>
      </c>
      <c r="K43" s="8">
        <v>0</v>
      </c>
      <c r="L43" s="8">
        <v>23.2</v>
      </c>
      <c r="M43" s="29">
        <v>969.75999999999897</v>
      </c>
      <c r="AS43" s="11" t="s">
        <v>43</v>
      </c>
    </row>
    <row r="44" spans="1:58" x14ac:dyDescent="0.25">
      <c r="A44" s="11" t="s">
        <v>44</v>
      </c>
      <c r="B44" s="11">
        <v>128</v>
      </c>
      <c r="C44" s="11">
        <v>128</v>
      </c>
      <c r="D44" s="23">
        <v>60</v>
      </c>
      <c r="E44" s="24">
        <v>3.4734349552416499E-2</v>
      </c>
      <c r="F44" s="24">
        <v>1.59772775618169E-2</v>
      </c>
      <c r="G44" s="24">
        <v>1.5617522696591399E-2</v>
      </c>
      <c r="H44" s="30">
        <v>0</v>
      </c>
      <c r="I44" s="8">
        <v>0</v>
      </c>
      <c r="J44" s="8">
        <v>69.12</v>
      </c>
      <c r="K44" s="8">
        <v>1622.3999999999901</v>
      </c>
      <c r="L44" s="8">
        <v>12195.84</v>
      </c>
      <c r="M44" s="29">
        <v>18165.12</v>
      </c>
      <c r="AS44" s="11" t="s">
        <v>44</v>
      </c>
    </row>
  </sheetData>
  <mergeCells count="1">
    <mergeCell ref="E1:G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780307-38BE-4A59-A990-DF65022A51E1}">
  <dimension ref="B1:CB120"/>
  <sheetViews>
    <sheetView tabSelected="1" topLeftCell="S13" zoomScale="145" zoomScaleNormal="145" workbookViewId="0">
      <selection activeCell="AG17" sqref="AG17"/>
    </sheetView>
  </sheetViews>
  <sheetFormatPr defaultRowHeight="15" x14ac:dyDescent="0.25"/>
  <cols>
    <col min="3" max="3" width="17.42578125" customWidth="1"/>
    <col min="4" max="4" width="15.5703125" customWidth="1"/>
    <col min="5" max="5" width="13.28515625" customWidth="1"/>
    <col min="6" max="6" width="10.7109375" customWidth="1"/>
    <col min="7" max="7" width="10.42578125" customWidth="1"/>
    <col min="8" max="8" width="11.5703125" customWidth="1"/>
    <col min="9" max="10" width="10.7109375" customWidth="1"/>
    <col min="11" max="11" width="12.140625" customWidth="1"/>
    <col min="12" max="12" width="11.7109375" bestFit="1" customWidth="1"/>
    <col min="13" max="13" width="13.28515625" customWidth="1"/>
    <col min="14" max="14" width="13.140625" customWidth="1"/>
    <col min="26" max="26" width="12.42578125" customWidth="1"/>
    <col min="35" max="35" width="14.28515625" customWidth="1"/>
    <col min="36" max="36" width="16.140625" customWidth="1"/>
    <col min="37" max="37" width="13.85546875" customWidth="1"/>
    <col min="38" max="38" width="16.85546875" customWidth="1"/>
    <col min="39" max="39" width="15" customWidth="1"/>
    <col min="40" max="40" width="14.5703125" customWidth="1"/>
    <col min="41" max="41" width="14" customWidth="1"/>
    <col min="42" max="42" width="14.28515625" customWidth="1"/>
    <col min="43" max="43" width="16" customWidth="1"/>
    <col min="44" max="44" width="16.7109375" customWidth="1"/>
    <col min="45" max="45" width="17.140625" customWidth="1"/>
    <col min="46" max="46" width="17.85546875" customWidth="1"/>
    <col min="47" max="47" width="11.5703125" customWidth="1"/>
    <col min="48" max="48" width="12.5703125" customWidth="1"/>
    <col min="51" max="51" width="18.140625" customWidth="1"/>
    <col min="64" max="64" width="14.42578125" customWidth="1"/>
    <col min="65" max="65" width="14.28515625" customWidth="1"/>
  </cols>
  <sheetData>
    <row r="1" spans="2:65" x14ac:dyDescent="0.25">
      <c r="B1" t="s">
        <v>69</v>
      </c>
      <c r="D1" s="125" t="s">
        <v>72</v>
      </c>
      <c r="E1" s="124"/>
      <c r="F1" s="124"/>
      <c r="G1" s="124"/>
      <c r="H1" s="124"/>
      <c r="I1" s="126"/>
      <c r="J1" s="127" t="s">
        <v>117</v>
      </c>
      <c r="K1" s="127"/>
      <c r="L1" s="127"/>
      <c r="M1" s="127"/>
      <c r="N1" s="127"/>
      <c r="O1" s="127"/>
      <c r="P1" s="68"/>
      <c r="AJ1" s="68" t="s">
        <v>99</v>
      </c>
    </row>
    <row r="2" spans="2:65" x14ac:dyDescent="0.25">
      <c r="D2" s="125" t="s">
        <v>76</v>
      </c>
      <c r="E2" s="124"/>
      <c r="F2" s="124"/>
      <c r="G2" s="124" t="s">
        <v>77</v>
      </c>
      <c r="H2" s="124"/>
      <c r="I2" s="126"/>
      <c r="J2" s="125" t="s">
        <v>76</v>
      </c>
      <c r="K2" s="124"/>
      <c r="L2" s="124"/>
      <c r="M2" s="124" t="s">
        <v>77</v>
      </c>
      <c r="N2" s="124"/>
      <c r="O2" s="126"/>
      <c r="P2" s="68" t="s">
        <v>79</v>
      </c>
      <c r="AJ2" t="s">
        <v>107</v>
      </c>
      <c r="AV2" s="119" t="s">
        <v>112</v>
      </c>
      <c r="AW2" s="119"/>
      <c r="AX2" s="119"/>
      <c r="AY2" s="119"/>
      <c r="AZ2" s="119"/>
      <c r="BA2" s="119"/>
      <c r="BC2" s="119" t="s">
        <v>64</v>
      </c>
      <c r="BD2" s="119"/>
      <c r="BE2" s="119"/>
      <c r="BF2" s="119" t="s">
        <v>65</v>
      </c>
      <c r="BG2" s="119"/>
      <c r="BH2" s="119"/>
      <c r="BI2" s="119" t="s">
        <v>66</v>
      </c>
      <c r="BJ2" s="119"/>
      <c r="BK2" s="119"/>
      <c r="BL2" s="1"/>
      <c r="BM2" s="1"/>
    </row>
    <row r="3" spans="2:65" x14ac:dyDescent="0.25">
      <c r="C3" s="1" t="s">
        <v>70</v>
      </c>
      <c r="D3" s="5" t="s">
        <v>73</v>
      </c>
      <c r="E3" s="1" t="s">
        <v>74</v>
      </c>
      <c r="F3" s="1" t="s">
        <v>75</v>
      </c>
      <c r="G3" s="1" t="s">
        <v>73</v>
      </c>
      <c r="H3" s="1" t="s">
        <v>74</v>
      </c>
      <c r="I3" s="6" t="s">
        <v>75</v>
      </c>
      <c r="J3" s="5" t="s">
        <v>73</v>
      </c>
      <c r="K3" s="1" t="s">
        <v>74</v>
      </c>
      <c r="L3" s="1" t="s">
        <v>75</v>
      </c>
      <c r="M3" s="1" t="s">
        <v>73</v>
      </c>
      <c r="N3" s="1" t="s">
        <v>74</v>
      </c>
      <c r="O3" s="6" t="s">
        <v>75</v>
      </c>
      <c r="P3" s="1" t="s">
        <v>78</v>
      </c>
      <c r="AK3" s="1" t="s">
        <v>1</v>
      </c>
      <c r="AL3" s="1" t="s">
        <v>2</v>
      </c>
      <c r="AM3" s="1" t="s">
        <v>3</v>
      </c>
      <c r="AN3" s="1" t="s">
        <v>100</v>
      </c>
      <c r="AO3" s="1" t="s">
        <v>101</v>
      </c>
      <c r="AP3" s="1" t="s">
        <v>102</v>
      </c>
      <c r="AQ3" s="1" t="s">
        <v>103</v>
      </c>
      <c r="AR3" s="1" t="s">
        <v>104</v>
      </c>
      <c r="AS3" s="1" t="s">
        <v>105</v>
      </c>
      <c r="AT3" s="1" t="s">
        <v>106</v>
      </c>
      <c r="AU3" s="1"/>
      <c r="AV3" s="1" t="s">
        <v>21</v>
      </c>
      <c r="AW3" s="1" t="s">
        <v>20</v>
      </c>
      <c r="AX3" s="1" t="s">
        <v>19</v>
      </c>
      <c r="AY3" s="1" t="s">
        <v>18</v>
      </c>
      <c r="AZ3" s="1" t="s">
        <v>17</v>
      </c>
      <c r="BA3" s="1" t="s">
        <v>16</v>
      </c>
      <c r="BC3" s="1" t="s">
        <v>41</v>
      </c>
      <c r="BD3" s="1" t="s">
        <v>40</v>
      </c>
      <c r="BE3" s="1" t="s">
        <v>39</v>
      </c>
      <c r="BF3" s="1" t="s">
        <v>41</v>
      </c>
      <c r="BG3" s="1" t="s">
        <v>40</v>
      </c>
      <c r="BH3" s="1" t="s">
        <v>39</v>
      </c>
      <c r="BI3" s="1" t="s">
        <v>41</v>
      </c>
      <c r="BJ3" s="1" t="s">
        <v>40</v>
      </c>
      <c r="BK3" s="1" t="s">
        <v>39</v>
      </c>
      <c r="BL3" s="1" t="s">
        <v>68</v>
      </c>
      <c r="BM3" s="1" t="s">
        <v>67</v>
      </c>
    </row>
    <row r="4" spans="2:65" x14ac:dyDescent="0.25">
      <c r="B4" s="12" t="s">
        <v>42</v>
      </c>
      <c r="C4" s="12">
        <v>128</v>
      </c>
      <c r="D4" s="5">
        <v>128</v>
      </c>
      <c r="E4" s="1">
        <v>128</v>
      </c>
      <c r="F4" s="1">
        <v>128</v>
      </c>
      <c r="G4" s="21">
        <v>64</v>
      </c>
      <c r="H4" s="21">
        <v>128</v>
      </c>
      <c r="I4" s="73">
        <v>128</v>
      </c>
      <c r="J4" s="5">
        <v>45</v>
      </c>
      <c r="K4" s="1">
        <v>90</v>
      </c>
      <c r="L4" s="1">
        <v>90</v>
      </c>
      <c r="M4" s="21">
        <v>45</v>
      </c>
      <c r="N4" s="21">
        <v>45</v>
      </c>
      <c r="O4" s="73">
        <v>90</v>
      </c>
      <c r="P4" s="1">
        <v>90</v>
      </c>
      <c r="AJ4" s="12" t="s">
        <v>42</v>
      </c>
      <c r="AK4" s="4">
        <v>2.69809798557826E-2</v>
      </c>
      <c r="AL4" s="4">
        <v>1.7871787179046798E-2</v>
      </c>
      <c r="AM4" s="4">
        <v>1.82855690728208E-2</v>
      </c>
      <c r="AN4" s="1">
        <v>0</v>
      </c>
      <c r="AO4" s="1">
        <v>42</v>
      </c>
      <c r="AP4" s="1">
        <v>644</v>
      </c>
      <c r="AQ4" s="1">
        <v>7815</v>
      </c>
      <c r="AR4" s="1">
        <v>28605</v>
      </c>
      <c r="AS4" s="1">
        <v>17245</v>
      </c>
      <c r="AT4" s="87">
        <v>44776.625694444447</v>
      </c>
      <c r="AU4" s="1"/>
      <c r="AV4" s="1">
        <f>AN4/60</f>
        <v>0</v>
      </c>
      <c r="AW4" s="9">
        <f t="shared" ref="AW4:BA9" si="0">AO4/60</f>
        <v>0.7</v>
      </c>
      <c r="AX4" s="9">
        <f t="shared" si="0"/>
        <v>10.733333333333333</v>
      </c>
      <c r="AY4" s="9">
        <f t="shared" si="0"/>
        <v>130.25</v>
      </c>
      <c r="AZ4" s="9">
        <f t="shared" si="0"/>
        <v>476.75</v>
      </c>
      <c r="BA4" s="9">
        <f t="shared" si="0"/>
        <v>287.41666666666669</v>
      </c>
      <c r="BC4" s="9">
        <f>AY4*$AK4</f>
        <v>3.5142726262156838</v>
      </c>
      <c r="BD4" s="9">
        <f>AZ4*$AK4</f>
        <v>12.863182146244354</v>
      </c>
      <c r="BE4" s="9">
        <f>BA4*$AK4</f>
        <v>7.754783293549516</v>
      </c>
      <c r="BF4" s="1">
        <f>AY4*$AM4</f>
        <v>2.3816953717349092</v>
      </c>
      <c r="BG4" s="1">
        <f t="shared" ref="BG4:BH4" si="1">AZ4*$AM4</f>
        <v>8.7176450554673171</v>
      </c>
      <c r="BH4" s="1">
        <f t="shared" si="1"/>
        <v>5.2555773110132451</v>
      </c>
      <c r="BI4" s="9">
        <f>AY4*$AM4</f>
        <v>2.3816953717349092</v>
      </c>
      <c r="BJ4" s="9">
        <f t="shared" ref="BJ4:BK4" si="2">AZ4*$AM4</f>
        <v>8.7176450554673171</v>
      </c>
      <c r="BK4" s="9">
        <f t="shared" si="2"/>
        <v>5.2555773110132451</v>
      </c>
      <c r="BL4" s="88">
        <f>AK4*AL4</f>
        <v>4.8219832986469538E-4</v>
      </c>
      <c r="BM4" s="88">
        <f>AK4*AM4</f>
        <v>4.933625708052993E-4</v>
      </c>
    </row>
    <row r="5" spans="2:65" x14ac:dyDescent="0.25">
      <c r="B5" s="12" t="s">
        <v>43</v>
      </c>
      <c r="C5" s="12">
        <v>64</v>
      </c>
      <c r="D5" s="5">
        <v>64</v>
      </c>
      <c r="E5" s="1">
        <v>128</v>
      </c>
      <c r="F5" s="1">
        <v>128</v>
      </c>
      <c r="G5" s="21">
        <v>32</v>
      </c>
      <c r="H5" s="21">
        <v>45</v>
      </c>
      <c r="I5" s="73">
        <v>128</v>
      </c>
      <c r="J5" s="5">
        <v>64</v>
      </c>
      <c r="K5" s="1">
        <v>64</v>
      </c>
      <c r="L5" s="1">
        <v>128</v>
      </c>
      <c r="M5" s="21">
        <v>32</v>
      </c>
      <c r="N5" s="21">
        <v>45</v>
      </c>
      <c r="O5" s="73">
        <v>64</v>
      </c>
      <c r="P5" s="1">
        <v>45</v>
      </c>
      <c r="AJ5" s="12" t="s">
        <v>71</v>
      </c>
      <c r="AK5" s="4">
        <v>7.8727690427952603E-3</v>
      </c>
      <c r="AL5" s="4">
        <v>6.0762222597507496E-3</v>
      </c>
      <c r="AM5" s="4">
        <v>5.97164615398732E-3</v>
      </c>
      <c r="AN5" s="1">
        <v>0</v>
      </c>
      <c r="AO5" s="1">
        <v>0</v>
      </c>
      <c r="AP5" s="1">
        <v>15</v>
      </c>
      <c r="AQ5" s="1">
        <v>892</v>
      </c>
      <c r="AR5" s="1">
        <v>12196</v>
      </c>
      <c r="AS5" s="1">
        <v>35500</v>
      </c>
      <c r="AT5" s="87">
        <v>44781.552777777775</v>
      </c>
      <c r="AV5" s="1">
        <f t="shared" ref="AV5:AV9" si="3">AN5/60</f>
        <v>0</v>
      </c>
      <c r="AW5" s="1">
        <f t="shared" si="0"/>
        <v>0</v>
      </c>
      <c r="AX5" s="9">
        <f t="shared" si="0"/>
        <v>0.25</v>
      </c>
      <c r="AY5" s="9">
        <f t="shared" si="0"/>
        <v>14.866666666666667</v>
      </c>
      <c r="AZ5" s="9">
        <f t="shared" si="0"/>
        <v>203.26666666666668</v>
      </c>
      <c r="BA5" s="9">
        <f t="shared" si="0"/>
        <v>591.66666666666663</v>
      </c>
      <c r="BC5" s="9">
        <f t="shared" ref="BC5:BC9" si="4">AY5*$AK5</f>
        <v>0.11704183310288954</v>
      </c>
      <c r="BD5" s="9">
        <f t="shared" ref="BD5:BD9" si="5">AZ5*$AK5</f>
        <v>1.6002715207655167</v>
      </c>
      <c r="BE5" s="9">
        <f t="shared" ref="BE5:BE9" si="6">BA5*$AK5</f>
        <v>4.6580550169871957</v>
      </c>
      <c r="BF5" s="1">
        <f t="shared" ref="BF5:BF9" si="7">AY5*$AM5</f>
        <v>8.877847282261149E-2</v>
      </c>
      <c r="BG5" s="1">
        <f t="shared" ref="BG5:BG9" si="8">AZ5*$AM5</f>
        <v>1.2138366082338226</v>
      </c>
      <c r="BH5" s="1">
        <f t="shared" ref="BH5:BH8" si="9">BA5*$AM5</f>
        <v>3.5332239744424974</v>
      </c>
      <c r="BI5" s="9">
        <f t="shared" ref="BI5:BI9" si="10">AY5*$AM5</f>
        <v>8.877847282261149E-2</v>
      </c>
      <c r="BJ5" s="9">
        <f t="shared" ref="BJ5:BJ9" si="11">AZ5*$AM5</f>
        <v>1.2138366082338226</v>
      </c>
      <c r="BK5" s="9">
        <f t="shared" ref="BK5:BK9" si="12">BA5*$AM5</f>
        <v>3.5332239744424974</v>
      </c>
      <c r="BL5" s="88">
        <f t="shared" ref="BL5:BL9" si="13">AK5*AL5</f>
        <v>4.7836694503709161E-5</v>
      </c>
      <c r="BM5" s="88">
        <f t="shared" ref="BM5:BM9" si="14">AK5*AM5</f>
        <v>4.7013390975638751E-5</v>
      </c>
    </row>
    <row r="6" spans="2:65" x14ac:dyDescent="0.25">
      <c r="B6" s="12" t="s">
        <v>44</v>
      </c>
      <c r="C6" s="12">
        <v>128</v>
      </c>
      <c r="D6" s="5">
        <v>128</v>
      </c>
      <c r="E6" s="1">
        <v>128</v>
      </c>
      <c r="F6" s="1">
        <v>128</v>
      </c>
      <c r="G6" s="21">
        <v>45</v>
      </c>
      <c r="H6" s="21">
        <v>32</v>
      </c>
      <c r="I6" s="73">
        <v>128</v>
      </c>
      <c r="J6" s="5">
        <v>64</v>
      </c>
      <c r="K6" s="1">
        <v>128</v>
      </c>
      <c r="L6" s="1">
        <v>128</v>
      </c>
      <c r="M6" s="21">
        <v>64</v>
      </c>
      <c r="N6" s="21">
        <v>32</v>
      </c>
      <c r="O6" s="73">
        <v>32</v>
      </c>
      <c r="P6" s="1">
        <v>64</v>
      </c>
      <c r="AJ6" s="12" t="s">
        <v>43</v>
      </c>
      <c r="AK6" s="4">
        <v>2.0419210341953199E-2</v>
      </c>
      <c r="AL6" s="4">
        <v>1.4221591680543899E-2</v>
      </c>
      <c r="AM6" s="4">
        <v>1.3811781264661699E-2</v>
      </c>
      <c r="AN6" s="1">
        <v>0</v>
      </c>
      <c r="AO6" s="1">
        <v>0</v>
      </c>
      <c r="AP6" s="1">
        <v>15</v>
      </c>
      <c r="AQ6" s="1">
        <v>2144</v>
      </c>
      <c r="AR6" s="1">
        <v>16504</v>
      </c>
      <c r="AS6" s="1">
        <v>7259</v>
      </c>
      <c r="AT6" s="87">
        <v>45136.666666666664</v>
      </c>
      <c r="AV6" s="1">
        <f t="shared" si="3"/>
        <v>0</v>
      </c>
      <c r="AW6" s="1">
        <f t="shared" si="0"/>
        <v>0</v>
      </c>
      <c r="AX6" s="9">
        <f t="shared" si="0"/>
        <v>0.25</v>
      </c>
      <c r="AY6" s="9">
        <f t="shared" si="0"/>
        <v>35.733333333333334</v>
      </c>
      <c r="AZ6" s="9">
        <f t="shared" si="0"/>
        <v>275.06666666666666</v>
      </c>
      <c r="BA6" s="9">
        <f t="shared" si="0"/>
        <v>120.98333333333333</v>
      </c>
      <c r="BC6" s="9">
        <f t="shared" si="4"/>
        <v>0.72964644955246094</v>
      </c>
      <c r="BD6" s="9">
        <f t="shared" si="5"/>
        <v>5.6166441247265935</v>
      </c>
      <c r="BE6" s="9">
        <f t="shared" si="6"/>
        <v>2.4703841312039709</v>
      </c>
      <c r="BF6" s="1">
        <f t="shared" si="7"/>
        <v>0.49354098385724471</v>
      </c>
      <c r="BG6" s="1">
        <f t="shared" si="8"/>
        <v>3.7991606331996115</v>
      </c>
      <c r="BH6" s="1">
        <f t="shared" si="9"/>
        <v>1.6709953366696546</v>
      </c>
      <c r="BI6" s="9">
        <f t="shared" si="10"/>
        <v>0.49354098385724471</v>
      </c>
      <c r="BJ6" s="9">
        <f t="shared" si="11"/>
        <v>3.7991606331996115</v>
      </c>
      <c r="BK6" s="9">
        <f t="shared" si="12"/>
        <v>1.6709953366696546</v>
      </c>
      <c r="BL6" s="88">
        <f t="shared" si="13"/>
        <v>2.9039367192239756E-4</v>
      </c>
      <c r="BM6" s="88">
        <f t="shared" si="14"/>
        <v>2.8202566684017562E-4</v>
      </c>
    </row>
    <row r="7" spans="2:65" x14ac:dyDescent="0.25">
      <c r="B7" s="1" t="s">
        <v>71</v>
      </c>
      <c r="C7" s="1">
        <v>128</v>
      </c>
      <c r="D7" s="5">
        <v>128</v>
      </c>
      <c r="E7" s="1">
        <v>128</v>
      </c>
      <c r="F7" s="1">
        <v>128</v>
      </c>
      <c r="G7" s="21">
        <v>32</v>
      </c>
      <c r="H7" s="21">
        <v>42</v>
      </c>
      <c r="I7" s="73">
        <v>128</v>
      </c>
      <c r="J7" s="5">
        <v>128</v>
      </c>
      <c r="K7" s="1">
        <v>128</v>
      </c>
      <c r="L7" s="1">
        <v>128</v>
      </c>
      <c r="M7" s="21">
        <v>128</v>
      </c>
      <c r="N7" s="21">
        <v>64</v>
      </c>
      <c r="O7" s="73">
        <v>32</v>
      </c>
      <c r="P7" s="1">
        <v>128</v>
      </c>
      <c r="AJ7" s="1" t="s">
        <v>108</v>
      </c>
      <c r="AK7" s="4">
        <v>3.3371691929410502E-2</v>
      </c>
      <c r="AL7" s="4">
        <v>1.9796190039283301E-2</v>
      </c>
      <c r="AM7" s="4">
        <v>1.89736335867749E-2</v>
      </c>
      <c r="AN7" s="1">
        <v>0</v>
      </c>
      <c r="AO7" s="1">
        <v>43</v>
      </c>
      <c r="AP7" s="1">
        <v>379</v>
      </c>
      <c r="AQ7" s="1">
        <v>4520</v>
      </c>
      <c r="AR7" s="1">
        <v>16818</v>
      </c>
      <c r="AS7" s="1">
        <v>8763</v>
      </c>
      <c r="AT7" s="87">
        <v>45151.770833333336</v>
      </c>
      <c r="AV7" s="1">
        <f t="shared" si="3"/>
        <v>0</v>
      </c>
      <c r="AW7" s="9">
        <f t="shared" si="0"/>
        <v>0.71666666666666667</v>
      </c>
      <c r="AX7" s="9">
        <f t="shared" si="0"/>
        <v>6.3166666666666664</v>
      </c>
      <c r="AY7" s="9">
        <f t="shared" si="0"/>
        <v>75.333333333333329</v>
      </c>
      <c r="AZ7" s="9">
        <f t="shared" si="0"/>
        <v>280.3</v>
      </c>
      <c r="BA7" s="9">
        <f t="shared" si="0"/>
        <v>146.05000000000001</v>
      </c>
      <c r="BC7" s="9">
        <f t="shared" si="4"/>
        <v>2.5140007920155911</v>
      </c>
      <c r="BD7" s="9">
        <f t="shared" si="5"/>
        <v>9.3540852478137637</v>
      </c>
      <c r="BE7" s="9">
        <f t="shared" si="6"/>
        <v>4.873935606290404</v>
      </c>
      <c r="BF7" s="1">
        <f t="shared" si="7"/>
        <v>1.4293470635370424</v>
      </c>
      <c r="BG7" s="1">
        <f t="shared" si="8"/>
        <v>5.3183094943730049</v>
      </c>
      <c r="BH7" s="1">
        <f t="shared" si="9"/>
        <v>2.7710991853484743</v>
      </c>
      <c r="BI7" s="9">
        <f t="shared" si="10"/>
        <v>1.4293470635370424</v>
      </c>
      <c r="BJ7" s="9">
        <f t="shared" si="11"/>
        <v>5.3183094943730049</v>
      </c>
      <c r="BK7" s="9">
        <f t="shared" si="12"/>
        <v>2.7710991853484743</v>
      </c>
      <c r="BL7" s="88">
        <f t="shared" si="13"/>
        <v>6.6063235536702712E-4</v>
      </c>
      <c r="BM7" s="88">
        <f t="shared" si="14"/>
        <v>6.3318225483936796E-4</v>
      </c>
    </row>
    <row r="8" spans="2:65" x14ac:dyDescent="0.25">
      <c r="B8" s="1" t="s">
        <v>97</v>
      </c>
      <c r="C8" s="1">
        <v>128</v>
      </c>
      <c r="D8" s="1">
        <v>128</v>
      </c>
      <c r="E8" s="1">
        <v>128</v>
      </c>
      <c r="F8" s="1">
        <v>128</v>
      </c>
      <c r="G8" s="21">
        <v>90</v>
      </c>
      <c r="H8" s="21">
        <v>128</v>
      </c>
      <c r="I8" s="21">
        <v>128</v>
      </c>
      <c r="J8" s="1">
        <v>128</v>
      </c>
      <c r="K8" s="1">
        <v>128</v>
      </c>
      <c r="L8" s="1">
        <v>128</v>
      </c>
      <c r="M8" s="21">
        <v>32</v>
      </c>
      <c r="N8" s="21">
        <v>32</v>
      </c>
      <c r="O8" s="21">
        <v>128</v>
      </c>
      <c r="P8" s="1">
        <v>128</v>
      </c>
      <c r="AJ8" s="1" t="s">
        <v>109</v>
      </c>
      <c r="AK8" s="4">
        <v>6.8289421653344007E-2</v>
      </c>
      <c r="AL8" s="4">
        <v>4.3282348716963702E-2</v>
      </c>
      <c r="AM8" s="4">
        <v>4.21716802191935E-2</v>
      </c>
      <c r="AN8" s="1">
        <v>3</v>
      </c>
      <c r="AO8" s="1">
        <v>52</v>
      </c>
      <c r="AP8" s="1">
        <v>1578</v>
      </c>
      <c r="AQ8" s="1">
        <v>13845</v>
      </c>
      <c r="AR8" s="1">
        <v>10907</v>
      </c>
      <c r="AS8" s="1">
        <v>2968</v>
      </c>
      <c r="AT8" s="87">
        <v>45166.510416666664</v>
      </c>
      <c r="AV8" s="9">
        <f t="shared" si="3"/>
        <v>0.05</v>
      </c>
      <c r="AW8" s="9">
        <f t="shared" si="0"/>
        <v>0.8666666666666667</v>
      </c>
      <c r="AX8" s="9">
        <f t="shared" si="0"/>
        <v>26.3</v>
      </c>
      <c r="AY8" s="9">
        <f t="shared" si="0"/>
        <v>230.75</v>
      </c>
      <c r="AZ8" s="9">
        <f t="shared" si="0"/>
        <v>181.78333333333333</v>
      </c>
      <c r="BA8" s="9">
        <f t="shared" si="0"/>
        <v>49.466666666666669</v>
      </c>
      <c r="BC8" s="9">
        <f t="shared" si="4"/>
        <v>15.75778404650913</v>
      </c>
      <c r="BD8" s="9">
        <f t="shared" si="5"/>
        <v>12.413878699550384</v>
      </c>
      <c r="BE8" s="9">
        <f t="shared" si="6"/>
        <v>3.3780500577854169</v>
      </c>
      <c r="BF8" s="1">
        <f t="shared" si="7"/>
        <v>9.7311152105789009</v>
      </c>
      <c r="BG8" s="1">
        <f t="shared" si="8"/>
        <v>7.6661086025123915</v>
      </c>
      <c r="BH8" s="1">
        <f t="shared" si="9"/>
        <v>2.0860924481761054</v>
      </c>
      <c r="BI8" s="9">
        <f t="shared" si="10"/>
        <v>9.7311152105789009</v>
      </c>
      <c r="BJ8" s="9">
        <f t="shared" si="11"/>
        <v>7.6661086025123915</v>
      </c>
      <c r="BK8" s="9">
        <f t="shared" si="12"/>
        <v>2.0860924481761054</v>
      </c>
      <c r="BL8" s="88">
        <f t="shared" si="13"/>
        <v>2.9557265616798074E-3</v>
      </c>
      <c r="BM8" s="88">
        <f t="shared" si="14"/>
        <v>2.8798796523184919E-3</v>
      </c>
    </row>
    <row r="9" spans="2:65" x14ac:dyDescent="0.25">
      <c r="AJ9" s="12" t="s">
        <v>44</v>
      </c>
      <c r="AK9" s="4">
        <v>0.123347686825746</v>
      </c>
      <c r="AL9" s="4">
        <v>6.1651879452771001E-2</v>
      </c>
      <c r="AM9" s="4">
        <v>6.1256066915833102E-2</v>
      </c>
      <c r="AN9" s="1">
        <v>5</v>
      </c>
      <c r="AO9" s="1">
        <v>203</v>
      </c>
      <c r="AP9" s="1">
        <v>3111</v>
      </c>
      <c r="AQ9" s="1">
        <v>13601</v>
      </c>
      <c r="AR9" s="1">
        <v>8839</v>
      </c>
      <c r="AS9" s="1">
        <v>2412</v>
      </c>
      <c r="AT9" s="87">
        <v>45183.9375</v>
      </c>
      <c r="AV9" s="9">
        <f t="shared" si="3"/>
        <v>8.3333333333333329E-2</v>
      </c>
      <c r="AW9" s="9">
        <f t="shared" si="0"/>
        <v>3.3833333333333333</v>
      </c>
      <c r="AX9" s="9">
        <f t="shared" si="0"/>
        <v>51.85</v>
      </c>
      <c r="AY9" s="9">
        <f t="shared" si="0"/>
        <v>226.68333333333334</v>
      </c>
      <c r="AZ9" s="9">
        <f t="shared" si="0"/>
        <v>147.31666666666666</v>
      </c>
      <c r="BA9" s="9">
        <f t="shared" si="0"/>
        <v>40.200000000000003</v>
      </c>
      <c r="BC9" s="9">
        <f t="shared" si="4"/>
        <v>27.96086480861619</v>
      </c>
      <c r="BD9" s="9">
        <f t="shared" si="5"/>
        <v>18.171170064212813</v>
      </c>
      <c r="BE9" s="9">
        <f t="shared" si="6"/>
        <v>4.9585770103949898</v>
      </c>
      <c r="BF9" s="1">
        <f t="shared" si="7"/>
        <v>13.885729435370767</v>
      </c>
      <c r="BG9" s="1">
        <f t="shared" si="8"/>
        <v>9.024039591150812</v>
      </c>
      <c r="BH9" s="1">
        <f>BA9*$AM9</f>
        <v>2.462493890016491</v>
      </c>
      <c r="BI9" s="9">
        <f t="shared" si="10"/>
        <v>13.885729435370767</v>
      </c>
      <c r="BJ9" s="9">
        <f t="shared" si="11"/>
        <v>9.024039591150812</v>
      </c>
      <c r="BK9" s="9">
        <f t="shared" si="12"/>
        <v>2.462493890016491</v>
      </c>
      <c r="BL9" s="88">
        <f t="shared" si="13"/>
        <v>7.6046167189590423E-3</v>
      </c>
      <c r="BM9" s="88">
        <f t="shared" si="14"/>
        <v>7.5557941581111216E-3</v>
      </c>
    </row>
    <row r="10" spans="2:65" x14ac:dyDescent="0.25">
      <c r="B10" s="59" t="s">
        <v>98</v>
      </c>
      <c r="C10" s="69"/>
      <c r="D10" s="121" t="s">
        <v>64</v>
      </c>
      <c r="E10" s="121"/>
      <c r="F10" s="121"/>
      <c r="G10" s="121" t="s">
        <v>65</v>
      </c>
      <c r="H10" s="121"/>
      <c r="I10" s="121"/>
      <c r="J10" s="121" t="s">
        <v>66</v>
      </c>
      <c r="K10" s="121"/>
      <c r="L10" s="121"/>
      <c r="M10" s="69"/>
      <c r="N10" s="70"/>
      <c r="R10" s="1" t="s">
        <v>92</v>
      </c>
      <c r="S10" s="1"/>
      <c r="T10" s="1" t="s">
        <v>90</v>
      </c>
      <c r="U10" s="1"/>
      <c r="V10" s="1" t="s">
        <v>93</v>
      </c>
      <c r="W10" s="1" t="s">
        <v>94</v>
      </c>
      <c r="Y10" s="1" t="s">
        <v>125</v>
      </c>
      <c r="Z10" s="1" t="s">
        <v>95</v>
      </c>
      <c r="AC10" s="1"/>
      <c r="AJ10" s="12" t="s">
        <v>96</v>
      </c>
    </row>
    <row r="11" spans="2:65" x14ac:dyDescent="0.25">
      <c r="B11" s="53"/>
      <c r="C11" s="75" t="s">
        <v>26</v>
      </c>
      <c r="D11" s="76" t="s">
        <v>41</v>
      </c>
      <c r="E11" s="75" t="s">
        <v>40</v>
      </c>
      <c r="F11" s="21" t="s">
        <v>39</v>
      </c>
      <c r="G11" s="21" t="s">
        <v>41</v>
      </c>
      <c r="H11" s="21" t="s">
        <v>40</v>
      </c>
      <c r="I11" s="21" t="s">
        <v>39</v>
      </c>
      <c r="J11" s="74" t="s">
        <v>41</v>
      </c>
      <c r="K11" s="21" t="s">
        <v>40</v>
      </c>
      <c r="L11" s="21" t="s">
        <v>39</v>
      </c>
      <c r="M11" s="75" t="s">
        <v>68</v>
      </c>
      <c r="N11" s="78" t="s">
        <v>67</v>
      </c>
      <c r="R11" s="12" t="s">
        <v>42</v>
      </c>
      <c r="S11" s="10">
        <f>AVERAGE(S21,S35,S42,S92,S99)</f>
        <v>9.6477838015699469</v>
      </c>
      <c r="T11" s="10">
        <f>_xlfn.STDEV.P(S21,S42,S63,S92,S99)</f>
        <v>0.27090561800536583</v>
      </c>
      <c r="U11" s="10">
        <f>_xlfn.STDEV.S(S21,S42,S63,S92,S99)</f>
        <v>0.31281486296075983</v>
      </c>
      <c r="V11" s="10">
        <f>MIN(S21,S42,S63,S92,S99)</f>
        <v>8.5178125334125632</v>
      </c>
      <c r="W11" s="10">
        <f>MAX(S21,S42,S63,S92,S99)</f>
        <v>9.2398364716446704</v>
      </c>
      <c r="Y11" s="137">
        <v>12.6789259225</v>
      </c>
      <c r="Z11" s="138">
        <f>S11</f>
        <v>9.6477838015699469</v>
      </c>
      <c r="AD11" s="16"/>
    </row>
    <row r="12" spans="2:65" x14ac:dyDescent="0.25">
      <c r="B12" s="71" t="s">
        <v>42</v>
      </c>
      <c r="C12" s="18">
        <v>11.127940878470998</v>
      </c>
      <c r="D12" s="77">
        <v>10.108290582502551</v>
      </c>
      <c r="E12" s="136">
        <v>7.6670920378069045</v>
      </c>
      <c r="F12" s="10">
        <v>10.258375738206395</v>
      </c>
      <c r="G12" s="10">
        <v>17.808367221275912</v>
      </c>
      <c r="H12" s="10">
        <v>23.325025604259231</v>
      </c>
      <c r="I12" s="10">
        <v>34.332532721250736</v>
      </c>
      <c r="J12" s="19">
        <v>13.557015660581559</v>
      </c>
      <c r="K12" s="10">
        <v>12.586421633483333</v>
      </c>
      <c r="L12" s="10">
        <v>16.107479264570827</v>
      </c>
      <c r="M12" s="18">
        <v>10.477626579927524</v>
      </c>
      <c r="N12" s="79">
        <v>10.448028614454108</v>
      </c>
      <c r="R12" s="1" t="s">
        <v>71</v>
      </c>
      <c r="S12" s="10">
        <f>AVERAGE(S24,S38,S45,S95,S102)</f>
        <v>61.892577433913587</v>
      </c>
      <c r="T12" s="10">
        <f>_xlfn.STDEV.P(S24,S45,S66,S95,S102)</f>
        <v>28.13432260344803</v>
      </c>
      <c r="U12" s="10">
        <f>_xlfn.STDEV.S(S24,S45,S66,S95,S102)</f>
        <v>32.486717457136983</v>
      </c>
      <c r="V12" s="10">
        <f>MIN(S24,S45,S66,S95,S102)</f>
        <v>19.551230660022707</v>
      </c>
      <c r="W12" s="10">
        <f>MAX(S24,S45,S66,S95,S102)</f>
        <v>87.51419129508858</v>
      </c>
      <c r="Y12" s="139">
        <v>21.082999999999998</v>
      </c>
      <c r="Z12" s="138">
        <f>S12</f>
        <v>61.892577433913587</v>
      </c>
      <c r="AD12" s="16"/>
      <c r="AJ12" t="s">
        <v>110</v>
      </c>
      <c r="AV12" s="119" t="s">
        <v>112</v>
      </c>
      <c r="AW12" s="119"/>
      <c r="AX12" s="119"/>
      <c r="AY12" s="119"/>
      <c r="AZ12" s="119"/>
      <c r="BA12" s="119"/>
      <c r="BC12" s="119" t="s">
        <v>64</v>
      </c>
      <c r="BD12" s="119"/>
      <c r="BE12" s="119"/>
      <c r="BF12" s="119" t="s">
        <v>65</v>
      </c>
      <c r="BG12" s="119"/>
      <c r="BH12" s="119"/>
      <c r="BI12" s="119" t="s">
        <v>66</v>
      </c>
      <c r="BJ12" s="119"/>
      <c r="BK12" s="119"/>
      <c r="BL12" s="1"/>
      <c r="BM12" s="1"/>
    </row>
    <row r="13" spans="2:65" x14ac:dyDescent="0.25">
      <c r="B13" s="71" t="s">
        <v>43</v>
      </c>
      <c r="C13" s="18">
        <v>5.2974378120966987</v>
      </c>
      <c r="D13" s="77">
        <v>0</v>
      </c>
      <c r="E13" s="136">
        <v>0.67367564345011255</v>
      </c>
      <c r="F13" s="10">
        <v>1.1834815249814366</v>
      </c>
      <c r="G13" s="10">
        <v>0</v>
      </c>
      <c r="H13" s="10">
        <v>5.5647743521472153</v>
      </c>
      <c r="I13" s="10">
        <v>12.428167053090949</v>
      </c>
      <c r="J13" s="19">
        <v>0</v>
      </c>
      <c r="K13" s="10">
        <v>1.5333218368011026</v>
      </c>
      <c r="L13" s="10">
        <v>2.1613038684227579</v>
      </c>
      <c r="M13" s="18">
        <v>4.5123184858532124</v>
      </c>
      <c r="N13" s="79">
        <v>4.0294474686782884</v>
      </c>
      <c r="R13" s="12" t="s">
        <v>43</v>
      </c>
      <c r="S13" s="10">
        <f>AVERAGE(S22,S36,S43,S93,S100)</f>
        <v>44.007756782320619</v>
      </c>
      <c r="T13" s="10">
        <f>_xlfn.STDEV.P(S22,S43,S64,S93,S100)</f>
        <v>20.004473520106835</v>
      </c>
      <c r="U13" s="10">
        <f>_xlfn.STDEV.S(S22,S43,S64,S93,S100)</f>
        <v>23.099176343660844</v>
      </c>
      <c r="V13" s="10">
        <f>MIN(S22,S43,S64,S93,S100)</f>
        <v>13.90159917964373</v>
      </c>
      <c r="W13" s="10">
        <f>MAX(S22,S43,S64,S93,S100)</f>
        <v>62.225607741542298</v>
      </c>
      <c r="Y13" s="140">
        <v>20.131538750000001</v>
      </c>
      <c r="Z13" s="136">
        <f>S13</f>
        <v>44.007756782320619</v>
      </c>
      <c r="AC13" s="13"/>
      <c r="AD13" s="16"/>
      <c r="AK13" s="1" t="s">
        <v>1</v>
      </c>
      <c r="AL13" s="1" t="s">
        <v>2</v>
      </c>
      <c r="AM13" s="1" t="s">
        <v>3</v>
      </c>
      <c r="AN13" s="1" t="s">
        <v>100</v>
      </c>
      <c r="AO13" s="1" t="s">
        <v>101</v>
      </c>
      <c r="AP13" s="1" t="s">
        <v>102</v>
      </c>
      <c r="AQ13" s="1" t="s">
        <v>103</v>
      </c>
      <c r="AR13" s="1" t="s">
        <v>104</v>
      </c>
      <c r="AS13" s="1" t="s">
        <v>105</v>
      </c>
      <c r="AT13" s="1" t="s">
        <v>106</v>
      </c>
      <c r="AV13" s="1" t="s">
        <v>21</v>
      </c>
      <c r="AW13" s="1" t="s">
        <v>20</v>
      </c>
      <c r="AX13" s="1" t="s">
        <v>19</v>
      </c>
      <c r="AY13" s="1" t="s">
        <v>18</v>
      </c>
      <c r="AZ13" s="1" t="s">
        <v>17</v>
      </c>
      <c r="BA13" s="1" t="s">
        <v>16</v>
      </c>
      <c r="BC13" s="1" t="s">
        <v>41</v>
      </c>
      <c r="BD13" s="1" t="s">
        <v>40</v>
      </c>
      <c r="BE13" s="1" t="s">
        <v>39</v>
      </c>
      <c r="BF13" s="1" t="s">
        <v>41</v>
      </c>
      <c r="BG13" s="1" t="s">
        <v>40</v>
      </c>
      <c r="BH13" s="1" t="s">
        <v>39</v>
      </c>
      <c r="BI13" s="1" t="s">
        <v>41</v>
      </c>
      <c r="BJ13" s="1" t="s">
        <v>40</v>
      </c>
      <c r="BK13" s="1" t="s">
        <v>39</v>
      </c>
      <c r="BL13" s="1" t="s">
        <v>68</v>
      </c>
      <c r="BM13" s="1" t="s">
        <v>67</v>
      </c>
    </row>
    <row r="14" spans="2:65" x14ac:dyDescent="0.25">
      <c r="B14" s="71" t="s">
        <v>44</v>
      </c>
      <c r="C14" s="18">
        <v>36.682276004117632</v>
      </c>
      <c r="D14" s="77">
        <v>49.173395719419638</v>
      </c>
      <c r="E14" s="136">
        <v>61.844363802740844</v>
      </c>
      <c r="F14" s="10">
        <v>41.28542966920206</v>
      </c>
      <c r="G14" s="10">
        <v>62.236678884846377</v>
      </c>
      <c r="H14" s="10">
        <v>74.552316651716168</v>
      </c>
      <c r="I14" s="10">
        <v>61.030991834353728</v>
      </c>
      <c r="J14" s="19">
        <v>14.529921959653377</v>
      </c>
      <c r="K14" s="10">
        <v>10.439498861671252</v>
      </c>
      <c r="L14" s="10">
        <v>3.3761292025595022</v>
      </c>
      <c r="M14" s="18">
        <v>40.04522796174556</v>
      </c>
      <c r="N14" s="79">
        <v>45.831063100933925</v>
      </c>
      <c r="R14" s="12" t="s">
        <v>44</v>
      </c>
      <c r="S14" s="10">
        <f>AVERAGE(S23,S37,S44,S94,S101)</f>
        <v>2.0092989734523083</v>
      </c>
      <c r="T14" s="10">
        <f>_xlfn.STDEV.P(S23,S44,S65,S94,S101)</f>
        <v>0.17051381981222699</v>
      </c>
      <c r="U14" s="10">
        <f>_xlfn.STDEV.S(S23,S44,S65,S94,S101)</f>
        <v>0.19689239953828119</v>
      </c>
      <c r="V14" s="10">
        <f>MIN(S23,S44,S65,S94,S101)</f>
        <v>1.9154195505433393</v>
      </c>
      <c r="W14" s="10">
        <f>MAX(S23,S44,S65,S94,S101)</f>
        <v>2.3931370636832954</v>
      </c>
      <c r="Y14" s="141">
        <v>2.060445487</v>
      </c>
      <c r="Z14" s="18">
        <f>S14</f>
        <v>2.0092989734523083</v>
      </c>
      <c r="AJ14" s="12" t="s">
        <v>42</v>
      </c>
      <c r="AK14" s="4">
        <v>3.0194890839779602E-3</v>
      </c>
      <c r="AL14" s="4">
        <v>2.30725901968859E-3</v>
      </c>
      <c r="AM14" s="4">
        <v>2.27534202919115E-3</v>
      </c>
      <c r="AN14" s="1">
        <v>0</v>
      </c>
      <c r="AO14" s="1">
        <v>0</v>
      </c>
      <c r="AP14" s="1">
        <v>0</v>
      </c>
      <c r="AQ14" s="1">
        <v>26</v>
      </c>
      <c r="AR14" s="1">
        <v>1832</v>
      </c>
      <c r="AS14" s="1">
        <v>30296</v>
      </c>
      <c r="AT14" s="87">
        <v>44776.636111111111</v>
      </c>
      <c r="AV14" s="1">
        <f>AN14/60</f>
        <v>0</v>
      </c>
      <c r="AW14" s="9">
        <f t="shared" ref="AW14:AW19" si="15">AO14/60</f>
        <v>0</v>
      </c>
      <c r="AX14" s="9">
        <f t="shared" ref="AX14:AX19" si="16">AP14/60</f>
        <v>0</v>
      </c>
      <c r="AY14" s="9">
        <f t="shared" ref="AY14:AY19" si="17">AQ14/60</f>
        <v>0.43333333333333335</v>
      </c>
      <c r="AZ14" s="9">
        <f t="shared" ref="AZ14:AZ19" si="18">AR14/60</f>
        <v>30.533333333333335</v>
      </c>
      <c r="BA14" s="9">
        <f t="shared" ref="BA14:BA19" si="19">AS14/60</f>
        <v>504.93333333333334</v>
      </c>
      <c r="BC14" s="9">
        <f>AY14*$AK14</f>
        <v>1.3084452697237829E-3</v>
      </c>
      <c r="BD14" s="9">
        <f>AZ14*$AK14</f>
        <v>9.2195066697460387E-2</v>
      </c>
      <c r="BE14" s="9">
        <f>BA14*$AK14</f>
        <v>1.5246406881366048</v>
      </c>
      <c r="BF14" s="1">
        <f>AY14*$AM14</f>
        <v>9.8598154598283179E-4</v>
      </c>
      <c r="BG14" s="1">
        <f t="shared" ref="BG14:BG19" si="20">AZ14*$AM14</f>
        <v>6.9473776624636455E-2</v>
      </c>
      <c r="BH14" s="1">
        <f t="shared" ref="BH14:BH18" si="21">BA14*$AM14</f>
        <v>1.1488960352729181</v>
      </c>
      <c r="BI14" s="9">
        <f>AY14*$AM14</f>
        <v>9.8598154598283179E-4</v>
      </c>
      <c r="BJ14" s="9">
        <f t="shared" ref="BJ14:BJ19" si="22">AZ14*$AM14</f>
        <v>6.9473776624636455E-2</v>
      </c>
      <c r="BK14" s="9">
        <f t="shared" ref="BK14:BK19" si="23">BA14*$AM14</f>
        <v>1.1488960352729181</v>
      </c>
      <c r="BL14" s="88">
        <f>AK14*AL14</f>
        <v>6.9667434238593871E-6</v>
      </c>
      <c r="BM14" s="88">
        <f>AK14*AM14</f>
        <v>6.8703704194589384E-6</v>
      </c>
    </row>
    <row r="15" spans="2:65" x14ac:dyDescent="0.25">
      <c r="B15" s="5" t="s">
        <v>71</v>
      </c>
      <c r="C15" s="18">
        <v>5.2974378120966987</v>
      </c>
      <c r="D15" s="77">
        <v>0</v>
      </c>
      <c r="E15" s="136">
        <v>0.67367564345011255</v>
      </c>
      <c r="F15" s="10">
        <v>1.1834815249814366</v>
      </c>
      <c r="G15" s="10">
        <v>0</v>
      </c>
      <c r="H15" s="10">
        <v>5.5647743521472153</v>
      </c>
      <c r="I15" s="10">
        <v>12.428167053090949</v>
      </c>
      <c r="J15" s="19">
        <v>0</v>
      </c>
      <c r="K15" s="10">
        <v>4.920356307662023E-2</v>
      </c>
      <c r="L15" s="10">
        <v>1.6249770792562599E-2</v>
      </c>
      <c r="M15" s="18">
        <v>4.5123184858532124</v>
      </c>
      <c r="N15" s="79">
        <v>4.0294474686782884</v>
      </c>
      <c r="R15" s="12" t="s">
        <v>97</v>
      </c>
      <c r="S15" s="10">
        <f t="shared" ref="S12:S15" si="24">AVERAGE(S25,S39,S46,S96,S103)</f>
        <v>2.5105304103640393</v>
      </c>
      <c r="T15" s="10">
        <f>_xlfn.STDEV.P(S25,S46,S67,S96,S103)</f>
        <v>0.87920867427043092</v>
      </c>
      <c r="U15" s="10">
        <f>_xlfn.STDEV.S(S25,S46,S67,S96,S103)</f>
        <v>1.0152227295277745</v>
      </c>
      <c r="V15" s="10">
        <f>MIN(S25,S46,S67,S96,S103)</f>
        <v>1.2422094400615336</v>
      </c>
      <c r="W15" s="10">
        <f>MAX(S25,S46,S67,S96,S103)</f>
        <v>3.5081623870597909</v>
      </c>
      <c r="Y15" s="134">
        <v>66.655720000000002</v>
      </c>
      <c r="Z15" s="10">
        <f>S15</f>
        <v>2.5105304103640393</v>
      </c>
      <c r="AJ15" s="12" t="s">
        <v>71</v>
      </c>
      <c r="AK15" s="4">
        <v>8.9943480211758207E-3</v>
      </c>
      <c r="AL15" s="4">
        <v>7.3498348235841596E-3</v>
      </c>
      <c r="AM15" s="4">
        <v>7.2506506127722097E-3</v>
      </c>
      <c r="AN15" s="1">
        <v>0</v>
      </c>
      <c r="AO15" s="1">
        <v>0</v>
      </c>
      <c r="AP15" s="1">
        <v>17</v>
      </c>
      <c r="AQ15" s="1">
        <v>939</v>
      </c>
      <c r="AR15" s="1">
        <v>24043</v>
      </c>
      <c r="AS15" s="1">
        <v>26403</v>
      </c>
      <c r="AT15" s="87">
        <v>44781.636111111111</v>
      </c>
      <c r="AV15" s="1">
        <f t="shared" ref="AV15:AV19" si="25">AN15/60</f>
        <v>0</v>
      </c>
      <c r="AW15" s="1">
        <f t="shared" si="15"/>
        <v>0</v>
      </c>
      <c r="AX15" s="9">
        <f t="shared" si="16"/>
        <v>0.28333333333333333</v>
      </c>
      <c r="AY15" s="9">
        <f t="shared" si="17"/>
        <v>15.65</v>
      </c>
      <c r="AZ15" s="9">
        <f t="shared" si="18"/>
        <v>400.71666666666664</v>
      </c>
      <c r="BA15" s="9">
        <f t="shared" si="19"/>
        <v>440.05</v>
      </c>
      <c r="BC15" s="9">
        <f t="shared" ref="BC15:BC19" si="26">AY15*$AK15</f>
        <v>0.1407615465314016</v>
      </c>
      <c r="BD15" s="9">
        <f t="shared" ref="BD15:BD19" si="27">AZ15*$AK15</f>
        <v>3.604185157885504</v>
      </c>
      <c r="BE15" s="9">
        <f t="shared" ref="BE15:BE19" si="28">BA15*$AK15</f>
        <v>3.95796284671842</v>
      </c>
      <c r="BF15" s="1">
        <f t="shared" ref="BF15:BF19" si="29">AY15*$AM15</f>
        <v>0.11347268208988509</v>
      </c>
      <c r="BG15" s="1">
        <f t="shared" si="20"/>
        <v>2.9054565447147036</v>
      </c>
      <c r="BH15" s="1">
        <f t="shared" si="21"/>
        <v>3.1906488021504109</v>
      </c>
      <c r="BI15" s="9">
        <f t="shared" ref="BI15:BI19" si="30">AY15*$AM15</f>
        <v>0.11347268208988509</v>
      </c>
      <c r="BJ15" s="9">
        <f t="shared" si="22"/>
        <v>2.9054565447147036</v>
      </c>
      <c r="BK15" s="9">
        <f t="shared" si="23"/>
        <v>3.1906488021504109</v>
      </c>
      <c r="BL15" s="88">
        <f t="shared" ref="BL15:BL19" si="31">AK15*AL15</f>
        <v>6.6106972301473323E-5</v>
      </c>
      <c r="BM15" s="88">
        <f t="shared" ref="BM15:BM19" si="32">AK15*AM15</f>
        <v>6.5214874991224972E-5</v>
      </c>
    </row>
    <row r="16" spans="2:65" x14ac:dyDescent="0.25">
      <c r="B16" s="1" t="s">
        <v>96</v>
      </c>
      <c r="C16" s="18">
        <v>38.090877401267164</v>
      </c>
      <c r="D16" s="77">
        <v>0</v>
      </c>
      <c r="E16" s="136">
        <v>67.213719960455052</v>
      </c>
      <c r="F16" s="10">
        <v>89.81692214953847</v>
      </c>
      <c r="G16" s="10">
        <v>20.018414469847663</v>
      </c>
      <c r="H16" s="10">
        <v>60.571592306793953</v>
      </c>
      <c r="I16" s="10">
        <v>67.983638265854324</v>
      </c>
      <c r="J16" s="19">
        <v>0</v>
      </c>
      <c r="K16" s="10">
        <v>8.1030197496243286</v>
      </c>
      <c r="L16" s="10">
        <v>4.5281170916063544</v>
      </c>
      <c r="M16" s="18">
        <v>31.803382016457103</v>
      </c>
      <c r="N16" s="18">
        <v>34.722356383183225</v>
      </c>
      <c r="Y16" s="1">
        <v>20</v>
      </c>
      <c r="Z16" s="1">
        <v>1</v>
      </c>
      <c r="AJ16" s="12" t="s">
        <v>43</v>
      </c>
      <c r="AK16" s="4">
        <v>3.8667081914818199E-2</v>
      </c>
      <c r="AL16" s="4">
        <v>2.79043072021825E-2</v>
      </c>
      <c r="AM16" s="4">
        <v>2.7819201820590899E-2</v>
      </c>
      <c r="AN16" s="1">
        <v>0</v>
      </c>
      <c r="AO16" s="1">
        <v>1</v>
      </c>
      <c r="AP16" s="1">
        <v>241</v>
      </c>
      <c r="AQ16" s="1">
        <v>10366</v>
      </c>
      <c r="AR16" s="1">
        <v>13086</v>
      </c>
      <c r="AS16" s="1">
        <v>3801</v>
      </c>
      <c r="AT16" s="87">
        <v>45136.65625</v>
      </c>
      <c r="AV16" s="1">
        <f t="shared" si="25"/>
        <v>0</v>
      </c>
      <c r="AW16" s="1">
        <f t="shared" si="15"/>
        <v>1.6666666666666666E-2</v>
      </c>
      <c r="AX16" s="9">
        <f t="shared" si="16"/>
        <v>4.0166666666666666</v>
      </c>
      <c r="AY16" s="9">
        <f t="shared" si="17"/>
        <v>172.76666666666668</v>
      </c>
      <c r="AZ16" s="9">
        <f t="shared" si="18"/>
        <v>218.1</v>
      </c>
      <c r="BA16" s="9">
        <f t="shared" si="19"/>
        <v>63.35</v>
      </c>
      <c r="BC16" s="9">
        <f t="shared" si="26"/>
        <v>6.6803828521500916</v>
      </c>
      <c r="BD16" s="9">
        <f t="shared" si="27"/>
        <v>8.4332905656218493</v>
      </c>
      <c r="BE16" s="9">
        <f t="shared" si="28"/>
        <v>2.4495596393037329</v>
      </c>
      <c r="BF16" s="1">
        <f t="shared" si="29"/>
        <v>4.8062307678707548</v>
      </c>
      <c r="BG16" s="1">
        <f t="shared" si="20"/>
        <v>6.0673679170708752</v>
      </c>
      <c r="BH16" s="1">
        <f t="shared" si="21"/>
        <v>1.7623464353344336</v>
      </c>
      <c r="BI16" s="9">
        <f t="shared" si="30"/>
        <v>4.8062307678707548</v>
      </c>
      <c r="BJ16" s="9">
        <f t="shared" si="22"/>
        <v>6.0673679170708752</v>
      </c>
      <c r="BK16" s="9">
        <f t="shared" si="23"/>
        <v>1.7623464353344336</v>
      </c>
      <c r="BL16" s="88">
        <f t="shared" si="31"/>
        <v>1.0789781323630422E-3</v>
      </c>
      <c r="BM16" s="88">
        <f t="shared" si="32"/>
        <v>1.0756873556016478E-3</v>
      </c>
    </row>
    <row r="17" spans="2:65" x14ac:dyDescent="0.25">
      <c r="AJ17" s="1" t="s">
        <v>108</v>
      </c>
      <c r="AK17" s="4">
        <v>3.0943712647888701E-4</v>
      </c>
      <c r="AL17" s="4">
        <v>2.2263822327193601E-4</v>
      </c>
      <c r="AM17" s="4">
        <v>2.2289332505166101E-4</v>
      </c>
      <c r="AN17" s="1">
        <v>0</v>
      </c>
      <c r="AO17" s="1">
        <v>0</v>
      </c>
      <c r="AP17" s="1">
        <v>0</v>
      </c>
      <c r="AQ17" s="1">
        <v>0</v>
      </c>
      <c r="AR17" s="1">
        <v>0</v>
      </c>
      <c r="AS17" s="1">
        <v>51</v>
      </c>
      <c r="AT17" s="87">
        <v>45151.78125</v>
      </c>
      <c r="AV17" s="1">
        <f t="shared" si="25"/>
        <v>0</v>
      </c>
      <c r="AW17" s="9">
        <f t="shared" si="15"/>
        <v>0</v>
      </c>
      <c r="AX17" s="9">
        <f t="shared" si="16"/>
        <v>0</v>
      </c>
      <c r="AY17" s="9">
        <f t="shared" si="17"/>
        <v>0</v>
      </c>
      <c r="AZ17" s="9">
        <f t="shared" si="18"/>
        <v>0</v>
      </c>
      <c r="BA17" s="9">
        <f t="shared" si="19"/>
        <v>0.85</v>
      </c>
      <c r="BC17" s="9">
        <f t="shared" si="26"/>
        <v>0</v>
      </c>
      <c r="BD17" s="9">
        <f t="shared" si="27"/>
        <v>0</v>
      </c>
      <c r="BE17" s="9">
        <f t="shared" si="28"/>
        <v>2.6302155750705398E-4</v>
      </c>
      <c r="BF17" s="1">
        <f t="shared" si="29"/>
        <v>0</v>
      </c>
      <c r="BG17" s="1">
        <f t="shared" si="20"/>
        <v>0</v>
      </c>
      <c r="BH17" s="1">
        <f t="shared" si="21"/>
        <v>1.8945932629391184E-4</v>
      </c>
      <c r="BI17" s="9">
        <f t="shared" si="30"/>
        <v>0</v>
      </c>
      <c r="BJ17" s="9">
        <f t="shared" si="22"/>
        <v>0</v>
      </c>
      <c r="BK17" s="9">
        <f t="shared" si="23"/>
        <v>1.8945932629391184E-4</v>
      </c>
      <c r="BL17" s="88">
        <f t="shared" si="31"/>
        <v>6.8892532053632753E-8</v>
      </c>
      <c r="BM17" s="88">
        <f t="shared" si="32"/>
        <v>6.8971470015310505E-8</v>
      </c>
    </row>
    <row r="18" spans="2:65" x14ac:dyDescent="0.25">
      <c r="D18" s="127" t="s">
        <v>72</v>
      </c>
      <c r="E18" s="127"/>
      <c r="F18" s="127"/>
      <c r="G18" s="127"/>
      <c r="H18" s="127"/>
      <c r="I18" s="127"/>
      <c r="J18" s="127" t="s">
        <v>117</v>
      </c>
      <c r="K18" s="127"/>
      <c r="L18" s="127"/>
      <c r="M18" s="127"/>
      <c r="N18" s="127"/>
      <c r="O18" s="127"/>
      <c r="AJ18" s="1" t="s">
        <v>109</v>
      </c>
      <c r="AK18" s="4">
        <v>1.0750210509432401E-3</v>
      </c>
      <c r="AL18" s="4">
        <v>6.8135642210139598E-4</v>
      </c>
      <c r="AM18" s="4">
        <v>6.6387213263375297E-4</v>
      </c>
      <c r="AN18" s="1">
        <v>0</v>
      </c>
      <c r="AO18" s="1">
        <v>0</v>
      </c>
      <c r="AP18" s="1">
        <v>0</v>
      </c>
      <c r="AQ18" s="1">
        <v>3</v>
      </c>
      <c r="AR18" s="1">
        <v>53</v>
      </c>
      <c r="AS18" s="1">
        <v>1607</v>
      </c>
      <c r="AT18" s="87">
        <v>45166.510416666664</v>
      </c>
      <c r="AV18" s="9">
        <f t="shared" si="25"/>
        <v>0</v>
      </c>
      <c r="AW18" s="9">
        <f t="shared" si="15"/>
        <v>0</v>
      </c>
      <c r="AX18" s="9">
        <f t="shared" si="16"/>
        <v>0</v>
      </c>
      <c r="AY18" s="9">
        <f t="shared" si="17"/>
        <v>0.05</v>
      </c>
      <c r="AZ18" s="9">
        <f t="shared" si="18"/>
        <v>0.8833333333333333</v>
      </c>
      <c r="BA18" s="9">
        <f t="shared" si="19"/>
        <v>26.783333333333335</v>
      </c>
      <c r="BC18" s="9">
        <f t="shared" si="26"/>
        <v>5.375105254716201E-5</v>
      </c>
      <c r="BD18" s="9">
        <f t="shared" si="27"/>
        <v>9.4960192833319537E-4</v>
      </c>
      <c r="BE18" s="9">
        <f t="shared" si="28"/>
        <v>2.8792647147763115E-2</v>
      </c>
      <c r="BF18" s="1">
        <f t="shared" si="29"/>
        <v>3.3193606631687651E-5</v>
      </c>
      <c r="BG18" s="1">
        <f t="shared" si="20"/>
        <v>5.8642038382648181E-4</v>
      </c>
      <c r="BH18" s="1">
        <f t="shared" si="21"/>
        <v>1.7780708619040686E-2</v>
      </c>
      <c r="BI18" s="9">
        <f t="shared" si="30"/>
        <v>3.3193606631687651E-5</v>
      </c>
      <c r="BJ18" s="9">
        <f t="shared" si="22"/>
        <v>5.8642038382648181E-4</v>
      </c>
      <c r="BK18" s="9">
        <f t="shared" si="23"/>
        <v>1.7780708619040686E-2</v>
      </c>
      <c r="BL18" s="88">
        <f t="shared" si="31"/>
        <v>7.3247249695436859E-7</v>
      </c>
      <c r="BM18" s="88">
        <f t="shared" si="32"/>
        <v>7.1367651771586724E-7</v>
      </c>
    </row>
    <row r="19" spans="2:65" x14ac:dyDescent="0.25">
      <c r="B19" s="124" t="s">
        <v>26</v>
      </c>
      <c r="C19" s="124"/>
      <c r="D19" s="119" t="s">
        <v>76</v>
      </c>
      <c r="E19" s="119"/>
      <c r="F19" s="119"/>
      <c r="G19" s="119" t="s">
        <v>77</v>
      </c>
      <c r="H19" s="119"/>
      <c r="I19" s="119"/>
      <c r="J19" s="119" t="s">
        <v>76</v>
      </c>
      <c r="K19" s="119"/>
      <c r="L19" s="119"/>
      <c r="M19" s="119" t="s">
        <v>77</v>
      </c>
      <c r="N19" s="119"/>
      <c r="O19" s="119"/>
      <c r="AJ19" s="12" t="s">
        <v>44</v>
      </c>
      <c r="AK19" s="4">
        <v>1.6768651053045799E-2</v>
      </c>
      <c r="AL19" s="4">
        <v>8.9192262729874093E-3</v>
      </c>
      <c r="AM19" s="4">
        <v>8.2089751540785003E-3</v>
      </c>
      <c r="AN19" s="1">
        <v>0</v>
      </c>
      <c r="AO19" s="1">
        <v>0</v>
      </c>
      <c r="AP19" s="1">
        <v>35</v>
      </c>
      <c r="AQ19" s="1">
        <v>887</v>
      </c>
      <c r="AR19" s="1">
        <v>10799</v>
      </c>
      <c r="AS19" s="1">
        <v>11286</v>
      </c>
      <c r="AT19" s="87">
        <v>45183.75</v>
      </c>
      <c r="AV19" s="9">
        <f t="shared" si="25"/>
        <v>0</v>
      </c>
      <c r="AW19" s="9">
        <f t="shared" si="15"/>
        <v>0</v>
      </c>
      <c r="AX19" s="9">
        <f t="shared" si="16"/>
        <v>0.58333333333333337</v>
      </c>
      <c r="AY19" s="9">
        <f t="shared" si="17"/>
        <v>14.783333333333333</v>
      </c>
      <c r="AZ19" s="9">
        <f t="shared" si="18"/>
        <v>179.98333333333332</v>
      </c>
      <c r="BA19" s="9">
        <f t="shared" si="19"/>
        <v>188.1</v>
      </c>
      <c r="BC19" s="9">
        <f t="shared" si="26"/>
        <v>0.24789655806752706</v>
      </c>
      <c r="BD19" s="9">
        <f t="shared" si="27"/>
        <v>3.018077712030693</v>
      </c>
      <c r="BE19" s="9">
        <f t="shared" si="28"/>
        <v>3.1541832630779147</v>
      </c>
      <c r="BF19" s="1">
        <f t="shared" si="29"/>
        <v>0.12135601602779383</v>
      </c>
      <c r="BG19" s="1">
        <f t="shared" si="20"/>
        <v>1.477478711481562</v>
      </c>
      <c r="BH19" s="1">
        <f>BA19*$AM19</f>
        <v>1.5441082264821659</v>
      </c>
      <c r="BI19" s="9">
        <f t="shared" si="30"/>
        <v>0.12135601602779383</v>
      </c>
      <c r="BJ19" s="9">
        <f t="shared" si="22"/>
        <v>1.477478711481562</v>
      </c>
      <c r="BK19" s="9">
        <f t="shared" si="23"/>
        <v>1.5441082264821659</v>
      </c>
      <c r="BL19" s="88">
        <f t="shared" si="31"/>
        <v>1.4956339303488409E-4</v>
      </c>
      <c r="BM19" s="88">
        <f t="shared" si="32"/>
        <v>1.3765343986186525E-4</v>
      </c>
    </row>
    <row r="20" spans="2:65" x14ac:dyDescent="0.25">
      <c r="B20" t="s">
        <v>80</v>
      </c>
      <c r="C20" s="1" t="s">
        <v>70</v>
      </c>
      <c r="D20" s="1" t="s">
        <v>73</v>
      </c>
      <c r="E20" s="1" t="s">
        <v>74</v>
      </c>
      <c r="F20" s="1" t="s">
        <v>75</v>
      </c>
      <c r="G20" s="1" t="s">
        <v>73</v>
      </c>
      <c r="H20" s="1" t="s">
        <v>74</v>
      </c>
      <c r="I20" s="1" t="s">
        <v>75</v>
      </c>
      <c r="J20" s="1" t="s">
        <v>73</v>
      </c>
      <c r="K20" s="1" t="s">
        <v>74</v>
      </c>
      <c r="L20" s="1" t="s">
        <v>75</v>
      </c>
      <c r="M20" s="1" t="s">
        <v>73</v>
      </c>
      <c r="N20" s="1" t="s">
        <v>74</v>
      </c>
      <c r="O20" s="1" t="s">
        <v>75</v>
      </c>
      <c r="P20" s="1" t="s">
        <v>78</v>
      </c>
      <c r="R20" s="1"/>
      <c r="S20" s="1" t="s">
        <v>91</v>
      </c>
      <c r="T20" s="1" t="s">
        <v>90</v>
      </c>
      <c r="AJ20" s="12" t="s">
        <v>96</v>
      </c>
    </row>
    <row r="21" spans="2:65" x14ac:dyDescent="0.25">
      <c r="B21" s="12" t="s">
        <v>42</v>
      </c>
      <c r="C21" s="10">
        <f>C4/$C12</f>
        <v>11.502577287019831</v>
      </c>
      <c r="D21" s="10">
        <f>D4/$C12</f>
        <v>11.502577287019831</v>
      </c>
      <c r="E21" s="10">
        <f>E4/$C12</f>
        <v>11.502577287019831</v>
      </c>
      <c r="F21" s="10">
        <f>F4/$C12</f>
        <v>11.502577287019831</v>
      </c>
      <c r="G21" s="10">
        <f t="shared" ref="G21:O21" si="33">G4/$C12</f>
        <v>5.7512886435099153</v>
      </c>
      <c r="H21" s="10">
        <f t="shared" si="33"/>
        <v>11.502577287019831</v>
      </c>
      <c r="I21" s="10">
        <f>I4/$C12</f>
        <v>11.502577287019831</v>
      </c>
      <c r="J21" s="10">
        <f t="shared" si="33"/>
        <v>4.043874827467909</v>
      </c>
      <c r="K21" s="10">
        <f t="shared" si="33"/>
        <v>8.0877496549358181</v>
      </c>
      <c r="L21" s="10">
        <f>L4/$C12</f>
        <v>8.0877496549358181</v>
      </c>
      <c r="M21" s="10">
        <f t="shared" si="33"/>
        <v>4.043874827467909</v>
      </c>
      <c r="N21" s="10">
        <f t="shared" si="33"/>
        <v>4.043874827467909</v>
      </c>
      <c r="O21" s="10">
        <f t="shared" si="33"/>
        <v>8.0877496549358181</v>
      </c>
      <c r="P21" s="10">
        <f t="shared" ref="P21" si="34">P4/$C12</f>
        <v>8.0877496549358181</v>
      </c>
      <c r="R21" s="12" t="s">
        <v>42</v>
      </c>
      <c r="S21" s="10">
        <f>AVERAGE(C21:P21)</f>
        <v>8.5178125334125632</v>
      </c>
      <c r="T21" s="10">
        <f>_xlfn.STDEV.P(C21:P21)</f>
        <v>2.9507232811568485</v>
      </c>
    </row>
    <row r="22" spans="2:65" x14ac:dyDescent="0.25">
      <c r="B22" s="12" t="s">
        <v>43</v>
      </c>
      <c r="C22" s="10">
        <f>C5/$C13</f>
        <v>12.081312187158858</v>
      </c>
      <c r="D22" s="10">
        <f t="shared" ref="D22:O22" si="35">D5/$C13</f>
        <v>12.081312187158858</v>
      </c>
      <c r="E22" s="10">
        <f t="shared" si="35"/>
        <v>24.162624374317716</v>
      </c>
      <c r="F22" s="10">
        <f t="shared" si="35"/>
        <v>24.162624374317716</v>
      </c>
      <c r="G22" s="10">
        <f t="shared" si="35"/>
        <v>6.0406560935794289</v>
      </c>
      <c r="H22" s="10">
        <f t="shared" si="35"/>
        <v>8.494672631596071</v>
      </c>
      <c r="I22" s="10">
        <f t="shared" si="35"/>
        <v>24.162624374317716</v>
      </c>
      <c r="J22" s="10">
        <f t="shared" si="35"/>
        <v>12.081312187158858</v>
      </c>
      <c r="K22" s="10">
        <f t="shared" si="35"/>
        <v>12.081312187158858</v>
      </c>
      <c r="L22" s="10">
        <f t="shared" si="35"/>
        <v>24.162624374317716</v>
      </c>
      <c r="M22" s="10">
        <f t="shared" si="35"/>
        <v>6.0406560935794289</v>
      </c>
      <c r="N22" s="10">
        <f t="shared" si="35"/>
        <v>8.494672631596071</v>
      </c>
      <c r="O22" s="10">
        <f t="shared" si="35"/>
        <v>12.081312187158858</v>
      </c>
      <c r="P22" s="10">
        <f t="shared" ref="P22" si="36">P5/$C13</f>
        <v>8.494672631596071</v>
      </c>
      <c r="R22" s="12" t="s">
        <v>43</v>
      </c>
      <c r="S22" s="10">
        <f>AVERAGE(C22:P22)</f>
        <v>13.90159917964373</v>
      </c>
      <c r="T22" s="10">
        <f>_xlfn.STDEV.P(C22:P22)</f>
        <v>6.8086876874361089</v>
      </c>
      <c r="AJ22" t="s">
        <v>111</v>
      </c>
      <c r="AV22" s="119" t="s">
        <v>112</v>
      </c>
      <c r="AW22" s="119"/>
      <c r="AX22" s="119"/>
      <c r="AY22" s="119"/>
      <c r="AZ22" s="119"/>
      <c r="BA22" s="119"/>
      <c r="BC22" s="119" t="s">
        <v>64</v>
      </c>
      <c r="BD22" s="119"/>
      <c r="BE22" s="119"/>
      <c r="BF22" s="119" t="s">
        <v>65</v>
      </c>
      <c r="BG22" s="119"/>
      <c r="BH22" s="119"/>
      <c r="BI22" s="119" t="s">
        <v>66</v>
      </c>
      <c r="BJ22" s="119"/>
      <c r="BK22" s="119"/>
      <c r="BL22" s="1"/>
      <c r="BM22" s="1"/>
    </row>
    <row r="23" spans="2:65" x14ac:dyDescent="0.25">
      <c r="B23" s="12" t="s">
        <v>44</v>
      </c>
      <c r="C23" s="10">
        <f>C6/$C14</f>
        <v>3.4894236111639265</v>
      </c>
      <c r="D23" s="10">
        <f t="shared" ref="D23:O23" si="37">D6/$C14</f>
        <v>3.4894236111639265</v>
      </c>
      <c r="E23" s="10">
        <f t="shared" si="37"/>
        <v>3.4894236111639265</v>
      </c>
      <c r="F23" s="10">
        <f t="shared" si="37"/>
        <v>3.4894236111639265</v>
      </c>
      <c r="G23" s="10">
        <f t="shared" si="37"/>
        <v>1.2267504882998179</v>
      </c>
      <c r="H23" s="10">
        <f t="shared" si="37"/>
        <v>0.87235590279098163</v>
      </c>
      <c r="I23" s="10">
        <f t="shared" si="37"/>
        <v>3.4894236111639265</v>
      </c>
      <c r="J23" s="10">
        <f t="shared" si="37"/>
        <v>1.7447118055819633</v>
      </c>
      <c r="K23" s="10">
        <f t="shared" si="37"/>
        <v>3.4894236111639265</v>
      </c>
      <c r="L23" s="10">
        <f t="shared" si="37"/>
        <v>3.4894236111639265</v>
      </c>
      <c r="M23" s="10">
        <f t="shared" si="37"/>
        <v>1.7447118055819633</v>
      </c>
      <c r="N23" s="10">
        <f t="shared" si="37"/>
        <v>0.87235590279098163</v>
      </c>
      <c r="O23" s="10">
        <f t="shared" si="37"/>
        <v>0.87235590279098163</v>
      </c>
      <c r="P23" s="10">
        <f t="shared" ref="P23" si="38">P6/$C14</f>
        <v>1.7447118055819633</v>
      </c>
      <c r="R23" s="12" t="s">
        <v>44</v>
      </c>
      <c r="S23" s="10">
        <f>AVERAGE(C23:P23)</f>
        <v>2.3931370636832954</v>
      </c>
      <c r="T23" s="10">
        <f>_xlfn.STDEV.P(C23:P23)</f>
        <v>1.1330445384812324</v>
      </c>
      <c r="AK23" s="1" t="s">
        <v>1</v>
      </c>
      <c r="AL23" s="1" t="s">
        <v>2</v>
      </c>
      <c r="AM23" s="1" t="s">
        <v>3</v>
      </c>
      <c r="AN23" s="1" t="s">
        <v>100</v>
      </c>
      <c r="AO23" s="1" t="s">
        <v>101</v>
      </c>
      <c r="AP23" s="1" t="s">
        <v>102</v>
      </c>
      <c r="AQ23" s="1" t="s">
        <v>103</v>
      </c>
      <c r="AR23" s="1" t="s">
        <v>104</v>
      </c>
      <c r="AS23" s="1" t="s">
        <v>105</v>
      </c>
      <c r="AT23" s="1" t="s">
        <v>106</v>
      </c>
      <c r="AV23" s="1" t="s">
        <v>21</v>
      </c>
      <c r="AW23" s="1" t="s">
        <v>20</v>
      </c>
      <c r="AX23" s="1" t="s">
        <v>19</v>
      </c>
      <c r="AY23" s="1" t="s">
        <v>18</v>
      </c>
      <c r="AZ23" s="1" t="s">
        <v>17</v>
      </c>
      <c r="BA23" s="1" t="s">
        <v>16</v>
      </c>
      <c r="BC23" s="1" t="s">
        <v>41</v>
      </c>
      <c r="BD23" s="1" t="s">
        <v>40</v>
      </c>
      <c r="BE23" s="1" t="s">
        <v>39</v>
      </c>
      <c r="BF23" s="1" t="s">
        <v>41</v>
      </c>
      <c r="BG23" s="1" t="s">
        <v>40</v>
      </c>
      <c r="BH23" s="1" t="s">
        <v>39</v>
      </c>
      <c r="BI23" s="1" t="s">
        <v>41</v>
      </c>
      <c r="BJ23" s="1" t="s">
        <v>40</v>
      </c>
      <c r="BK23" s="1" t="s">
        <v>39</v>
      </c>
      <c r="BL23" s="1" t="s">
        <v>68</v>
      </c>
      <c r="BM23" s="1" t="s">
        <v>67</v>
      </c>
    </row>
    <row r="24" spans="2:65" x14ac:dyDescent="0.25">
      <c r="B24" s="12" t="s">
        <v>71</v>
      </c>
      <c r="C24" s="10">
        <f>C7/$C15</f>
        <v>24.162624374317716</v>
      </c>
      <c r="D24" s="10">
        <f t="shared" ref="D24:P24" si="39">D7/$C15</f>
        <v>24.162624374317716</v>
      </c>
      <c r="E24" s="10">
        <f t="shared" si="39"/>
        <v>24.162624374317716</v>
      </c>
      <c r="F24" s="10">
        <f t="shared" si="39"/>
        <v>24.162624374317716</v>
      </c>
      <c r="G24" s="10">
        <f t="shared" si="39"/>
        <v>6.0406560935794289</v>
      </c>
      <c r="H24" s="10">
        <f t="shared" si="39"/>
        <v>7.9283611228230004</v>
      </c>
      <c r="I24" s="10">
        <f t="shared" si="39"/>
        <v>24.162624374317716</v>
      </c>
      <c r="J24" s="10">
        <f t="shared" si="39"/>
        <v>24.162624374317716</v>
      </c>
      <c r="K24" s="10">
        <f t="shared" si="39"/>
        <v>24.162624374317716</v>
      </c>
      <c r="L24" s="10">
        <f t="shared" si="39"/>
        <v>24.162624374317716</v>
      </c>
      <c r="M24" s="10">
        <f t="shared" si="39"/>
        <v>24.162624374317716</v>
      </c>
      <c r="N24" s="10">
        <f t="shared" si="39"/>
        <v>12.081312187158858</v>
      </c>
      <c r="O24" s="10">
        <f t="shared" si="39"/>
        <v>6.0406560935794289</v>
      </c>
      <c r="P24" s="10">
        <f t="shared" si="39"/>
        <v>24.162624374317716</v>
      </c>
      <c r="R24" s="12" t="s">
        <v>71</v>
      </c>
      <c r="S24" s="10">
        <f>AVERAGE(C24:P24)</f>
        <v>19.551230660022707</v>
      </c>
      <c r="T24" s="10">
        <f>AVERAGE(C24:P24)</f>
        <v>19.551230660022707</v>
      </c>
      <c r="AJ24" s="12" t="s">
        <v>42</v>
      </c>
      <c r="AK24" s="4">
        <v>8.1790313970628494E-3</v>
      </c>
      <c r="AL24" s="4">
        <v>5.4176649343818696E-3</v>
      </c>
      <c r="AM24" s="4">
        <v>5.5430990408714903E-3</v>
      </c>
      <c r="AN24" s="1">
        <v>0</v>
      </c>
      <c r="AO24" s="1">
        <v>2</v>
      </c>
      <c r="AP24" s="1">
        <v>59</v>
      </c>
      <c r="AQ24" s="1">
        <v>949</v>
      </c>
      <c r="AR24" s="1">
        <v>10223</v>
      </c>
      <c r="AS24" s="1">
        <v>29648</v>
      </c>
      <c r="AT24" s="86">
        <v>44776.625694444447</v>
      </c>
      <c r="AV24" s="1">
        <f>AN24/60</f>
        <v>0</v>
      </c>
      <c r="AW24" s="9">
        <f t="shared" ref="AW24:AW29" si="40">AO24/60</f>
        <v>3.3333333333333333E-2</v>
      </c>
      <c r="AX24" s="9">
        <f>AP24/60</f>
        <v>0.98333333333333328</v>
      </c>
      <c r="AY24" s="9">
        <f t="shared" ref="AY24:AY29" si="41">AQ24/60</f>
        <v>15.816666666666666</v>
      </c>
      <c r="AZ24" s="9">
        <f t="shared" ref="AZ24:AZ29" si="42">AR24/60</f>
        <v>170.38333333333333</v>
      </c>
      <c r="BA24" s="9">
        <f t="shared" ref="BA24:BA29" si="43">AS24/60</f>
        <v>494.13333333333333</v>
      </c>
      <c r="BC24" s="9">
        <f>AY24*$AK24</f>
        <v>0.12936501326354408</v>
      </c>
      <c r="BD24" s="9">
        <f>AZ24*$AK24</f>
        <v>1.3935706328695585</v>
      </c>
      <c r="BE24" s="9">
        <f>BA24*$AK24</f>
        <v>4.0415320476686558</v>
      </c>
      <c r="BF24" s="1">
        <f>AY24*$AM24</f>
        <v>8.7673349829784072E-2</v>
      </c>
      <c r="BG24" s="1">
        <f t="shared" ref="BG24:BG29" si="44">AZ24*$AM24</f>
        <v>0.94445169158048736</v>
      </c>
      <c r="BH24" s="1">
        <f t="shared" ref="BH24:BH28" si="45">BA24*$AM24</f>
        <v>2.7390300060626322</v>
      </c>
      <c r="BI24" s="9">
        <f>AY24*$AM24</f>
        <v>8.7673349829784072E-2</v>
      </c>
      <c r="BJ24" s="9">
        <f t="shared" ref="BJ24:BJ29" si="46">AZ24*$AM24</f>
        <v>0.94445169158048736</v>
      </c>
      <c r="BK24" s="9">
        <f t="shared" ref="BK24:BK29" si="47">BA24*$AM24</f>
        <v>2.7390300060626322</v>
      </c>
      <c r="BL24" s="88">
        <f>AK24*AL24</f>
        <v>4.431125159707575E-5</v>
      </c>
      <c r="BM24" s="88">
        <f>AK24*AM24</f>
        <v>4.5337181092316886E-5</v>
      </c>
    </row>
    <row r="25" spans="2:65" x14ac:dyDescent="0.25">
      <c r="B25" s="12" t="s">
        <v>97</v>
      </c>
      <c r="C25" s="10">
        <f>C8/$C16</f>
        <v>3.3603846572392642</v>
      </c>
      <c r="D25" s="10">
        <f t="shared" ref="D25:P25" si="48">D8/$C16</f>
        <v>3.3603846572392642</v>
      </c>
      <c r="E25" s="10">
        <f t="shared" si="48"/>
        <v>3.3603846572392642</v>
      </c>
      <c r="F25" s="10">
        <f t="shared" si="48"/>
        <v>3.3603846572392642</v>
      </c>
      <c r="G25" s="10">
        <f t="shared" si="48"/>
        <v>2.3627704621213579</v>
      </c>
      <c r="H25" s="10">
        <f t="shared" si="48"/>
        <v>3.3603846572392642</v>
      </c>
      <c r="I25" s="10">
        <f t="shared" si="48"/>
        <v>3.3603846572392642</v>
      </c>
      <c r="J25" s="10">
        <f t="shared" si="48"/>
        <v>3.3603846572392642</v>
      </c>
      <c r="K25" s="10">
        <f t="shared" si="48"/>
        <v>3.3603846572392642</v>
      </c>
      <c r="L25" s="10">
        <f t="shared" si="48"/>
        <v>3.3603846572392642</v>
      </c>
      <c r="M25" s="10">
        <f t="shared" si="48"/>
        <v>0.84009616430981604</v>
      </c>
      <c r="N25" s="10">
        <f t="shared" si="48"/>
        <v>0.84009616430981604</v>
      </c>
      <c r="O25" s="10">
        <f t="shared" si="48"/>
        <v>3.3603846572392642</v>
      </c>
      <c r="P25" s="10">
        <f t="shared" si="48"/>
        <v>3.3603846572392642</v>
      </c>
      <c r="R25" s="12" t="s">
        <v>97</v>
      </c>
      <c r="S25" s="10">
        <f>AVERAGE(C25:P25)</f>
        <v>2.9290852871694923</v>
      </c>
      <c r="T25" s="10">
        <f>AVERAGE(C25:P25)</f>
        <v>2.9290852871694923</v>
      </c>
      <c r="AJ25" s="12" t="s">
        <v>71</v>
      </c>
      <c r="AK25" s="4">
        <v>9.3021392923925104E-3</v>
      </c>
      <c r="AL25" s="4">
        <v>6.7341365149251797E-3</v>
      </c>
      <c r="AM25" s="4">
        <v>6.6375810185178097E-3</v>
      </c>
      <c r="AN25" s="1">
        <v>0</v>
      </c>
      <c r="AO25" s="1">
        <v>0</v>
      </c>
      <c r="AP25" s="1">
        <v>2</v>
      </c>
      <c r="AQ25" s="1">
        <v>671</v>
      </c>
      <c r="AR25" s="1">
        <v>23102</v>
      </c>
      <c r="AS25" s="1">
        <v>26893</v>
      </c>
      <c r="AT25" s="86">
        <v>44781.625694444447</v>
      </c>
      <c r="AV25" s="1">
        <f t="shared" ref="AV25:AV29" si="49">AN25/60</f>
        <v>0</v>
      </c>
      <c r="AW25" s="1">
        <f t="shared" si="40"/>
        <v>0</v>
      </c>
      <c r="AX25" s="9">
        <f t="shared" ref="AX25:AX29" si="50">AP25/60</f>
        <v>3.3333333333333333E-2</v>
      </c>
      <c r="AY25" s="9">
        <f t="shared" si="41"/>
        <v>11.183333333333334</v>
      </c>
      <c r="AZ25" s="9">
        <f t="shared" si="42"/>
        <v>385.03333333333336</v>
      </c>
      <c r="BA25" s="9">
        <f t="shared" si="43"/>
        <v>448.21666666666664</v>
      </c>
      <c r="BC25" s="9">
        <f t="shared" ref="BC25:BC28" si="51">AY25*$AK25</f>
        <v>0.10402892441992291</v>
      </c>
      <c r="BD25" s="9">
        <f t="shared" ref="BD25:BD29" si="52">AZ25*$AK25</f>
        <v>3.581633698880863</v>
      </c>
      <c r="BE25" s="9">
        <f t="shared" ref="BE25:BE29" si="53">BA25*$AK25</f>
        <v>4.1693738665051958</v>
      </c>
      <c r="BF25" s="1">
        <f t="shared" ref="BF25:BF29" si="54">AY25*$AM25</f>
        <v>7.4230281057090841E-2</v>
      </c>
      <c r="BG25" s="1">
        <f t="shared" si="44"/>
        <v>2.5556899448299744</v>
      </c>
      <c r="BH25" s="1">
        <f t="shared" si="45"/>
        <v>2.9750744388499908</v>
      </c>
      <c r="BI25" s="9">
        <f t="shared" ref="BI25:BI29" si="55">AY25*$AM25</f>
        <v>7.4230281057090841E-2</v>
      </c>
      <c r="BJ25" s="9">
        <f t="shared" si="46"/>
        <v>2.5556899448299744</v>
      </c>
      <c r="BK25" s="9">
        <f t="shared" si="47"/>
        <v>2.9750744388499908</v>
      </c>
      <c r="BL25" s="88">
        <f t="shared" ref="BL25:BL29" si="56">AK25*AL25</f>
        <v>6.2641875875820682E-5</v>
      </c>
      <c r="BM25" s="88">
        <f t="shared" ref="BM25:BM29" si="57">AK25*AM25</f>
        <v>6.1743703198793216E-5</v>
      </c>
    </row>
    <row r="26" spans="2:65" x14ac:dyDescent="0.25">
      <c r="B26" s="124" t="s">
        <v>83</v>
      </c>
      <c r="C26" s="124"/>
      <c r="D26" s="119" t="s">
        <v>76</v>
      </c>
      <c r="E26" s="119"/>
      <c r="F26" s="119"/>
      <c r="G26" s="119" t="s">
        <v>77</v>
      </c>
      <c r="H26" s="119"/>
      <c r="I26" s="119"/>
      <c r="J26" s="119" t="s">
        <v>76</v>
      </c>
      <c r="K26" s="119"/>
      <c r="L26" s="119"/>
      <c r="M26" s="119" t="s">
        <v>77</v>
      </c>
      <c r="N26" s="119"/>
      <c r="O26" s="119"/>
      <c r="AJ26" s="12" t="s">
        <v>43</v>
      </c>
      <c r="AK26" s="4">
        <v>2.1537054937389201E-2</v>
      </c>
      <c r="AL26" s="4">
        <v>1.55423312915689E-2</v>
      </c>
      <c r="AM26" s="4">
        <v>1.54949287157126E-2</v>
      </c>
      <c r="AN26" s="1">
        <v>0</v>
      </c>
      <c r="AO26" s="1">
        <v>0</v>
      </c>
      <c r="AP26" s="1">
        <v>30</v>
      </c>
      <c r="AQ26" s="1">
        <v>2909</v>
      </c>
      <c r="AR26" s="1">
        <v>16936</v>
      </c>
      <c r="AS26" s="1">
        <v>6747</v>
      </c>
      <c r="AT26" s="86">
        <v>45136.65625</v>
      </c>
      <c r="AV26" s="1">
        <f t="shared" si="49"/>
        <v>0</v>
      </c>
      <c r="AW26" s="1">
        <f t="shared" si="40"/>
        <v>0</v>
      </c>
      <c r="AX26" s="9">
        <f t="shared" si="50"/>
        <v>0.5</v>
      </c>
      <c r="AY26" s="9">
        <f t="shared" si="41"/>
        <v>48.483333333333334</v>
      </c>
      <c r="AZ26" s="9">
        <f t="shared" si="42"/>
        <v>282.26666666666665</v>
      </c>
      <c r="BA26" s="9">
        <f t="shared" si="43"/>
        <v>112.45</v>
      </c>
      <c r="BC26" s="9">
        <f t="shared" si="51"/>
        <v>1.0441882135477532</v>
      </c>
      <c r="BD26" s="9">
        <f t="shared" si="52"/>
        <v>6.0791927069937248</v>
      </c>
      <c r="BE26" s="9">
        <f t="shared" si="53"/>
        <v>2.4218418277094158</v>
      </c>
      <c r="BF26" s="1">
        <f t="shared" si="54"/>
        <v>0.75124579390013257</v>
      </c>
      <c r="BG26" s="1">
        <f t="shared" si="44"/>
        <v>4.3737018788218096</v>
      </c>
      <c r="BH26" s="1">
        <f t="shared" si="45"/>
        <v>1.742404734081882</v>
      </c>
      <c r="BI26" s="9">
        <f t="shared" si="55"/>
        <v>0.75124579390013257</v>
      </c>
      <c r="BJ26" s="9">
        <f t="shared" si="46"/>
        <v>4.3737018788218096</v>
      </c>
      <c r="BK26" s="9">
        <f t="shared" si="47"/>
        <v>1.742404734081882</v>
      </c>
      <c r="BL26" s="88">
        <f t="shared" si="56"/>
        <v>3.3473604288162265E-4</v>
      </c>
      <c r="BM26" s="88">
        <f t="shared" si="57"/>
        <v>3.3371513100123178E-4</v>
      </c>
    </row>
    <row r="27" spans="2:65" x14ac:dyDescent="0.25">
      <c r="B27" t="s">
        <v>80</v>
      </c>
      <c r="C27" s="1" t="s">
        <v>70</v>
      </c>
      <c r="D27" s="1" t="s">
        <v>73</v>
      </c>
      <c r="E27" s="1" t="s">
        <v>74</v>
      </c>
      <c r="F27" s="1" t="s">
        <v>75</v>
      </c>
      <c r="G27" s="1" t="s">
        <v>73</v>
      </c>
      <c r="H27" s="1" t="s">
        <v>74</v>
      </c>
      <c r="I27" s="1" t="s">
        <v>75</v>
      </c>
      <c r="J27" s="1" t="s">
        <v>73</v>
      </c>
      <c r="K27" s="1" t="s">
        <v>74</v>
      </c>
      <c r="L27" s="1" t="s">
        <v>75</v>
      </c>
      <c r="M27" s="1" t="s">
        <v>73</v>
      </c>
      <c r="N27" s="1" t="s">
        <v>74</v>
      </c>
      <c r="O27" s="1" t="s">
        <v>75</v>
      </c>
      <c r="P27" s="1" t="s">
        <v>78</v>
      </c>
      <c r="R27" s="1"/>
      <c r="S27" s="1"/>
      <c r="T27" s="1"/>
      <c r="AJ27" s="1" t="s">
        <v>108</v>
      </c>
      <c r="AK27" s="4">
        <v>5.0027030270208001E-4</v>
      </c>
      <c r="AL27" s="4">
        <v>3.5994159012851503E-4</v>
      </c>
      <c r="AM27" s="4">
        <v>3.6035401589828699E-4</v>
      </c>
      <c r="AN27" s="1">
        <v>0</v>
      </c>
      <c r="AO27" s="1">
        <v>0</v>
      </c>
      <c r="AP27" s="1">
        <v>0</v>
      </c>
      <c r="AQ27" s="1">
        <v>0</v>
      </c>
      <c r="AR27" s="1">
        <v>2</v>
      </c>
      <c r="AS27" s="1">
        <v>239</v>
      </c>
      <c r="AT27" s="86">
        <v>45151.78125</v>
      </c>
      <c r="AV27" s="1">
        <f t="shared" si="49"/>
        <v>0</v>
      </c>
      <c r="AW27" s="1">
        <f t="shared" si="40"/>
        <v>0</v>
      </c>
      <c r="AX27" s="1">
        <f t="shared" si="50"/>
        <v>0</v>
      </c>
      <c r="AY27" s="1">
        <f t="shared" si="41"/>
        <v>0</v>
      </c>
      <c r="AZ27" s="9">
        <f t="shared" si="42"/>
        <v>3.3333333333333333E-2</v>
      </c>
      <c r="BA27" s="9">
        <f t="shared" si="43"/>
        <v>3.9833333333333334</v>
      </c>
      <c r="BC27" s="9">
        <f t="shared" si="51"/>
        <v>0</v>
      </c>
      <c r="BD27" s="9">
        <f t="shared" si="52"/>
        <v>1.6675676756736001E-5</v>
      </c>
      <c r="BE27" s="9">
        <f t="shared" si="53"/>
        <v>1.9927433724299523E-3</v>
      </c>
      <c r="BF27" s="1">
        <f t="shared" si="54"/>
        <v>0</v>
      </c>
      <c r="BG27" s="1">
        <f t="shared" si="44"/>
        <v>1.20118005299429E-5</v>
      </c>
      <c r="BH27" s="1">
        <f t="shared" si="45"/>
        <v>1.4354101633281765E-3</v>
      </c>
      <c r="BI27" s="9">
        <f t="shared" si="55"/>
        <v>0</v>
      </c>
      <c r="BJ27" s="9">
        <f t="shared" si="46"/>
        <v>1.20118005299429E-5</v>
      </c>
      <c r="BK27" s="9">
        <f t="shared" si="47"/>
        <v>1.4354101633281765E-3</v>
      </c>
      <c r="BL27" s="88">
        <f t="shared" si="56"/>
        <v>1.8006808824866023E-7</v>
      </c>
      <c r="BM27" s="88">
        <f t="shared" si="57"/>
        <v>1.8027441261334619E-7</v>
      </c>
    </row>
    <row r="28" spans="2:65" x14ac:dyDescent="0.25">
      <c r="B28" s="12" t="s">
        <v>42</v>
      </c>
      <c r="C28" s="10">
        <f>C4/$D12</f>
        <v>12.662873010553136</v>
      </c>
      <c r="D28" s="10">
        <f>D4/$D12</f>
        <v>12.662873010553136</v>
      </c>
      <c r="E28" s="10">
        <f t="shared" ref="E28:P28" si="58">E4/$D12</f>
        <v>12.662873010553136</v>
      </c>
      <c r="F28" s="10">
        <f t="shared" si="58"/>
        <v>12.662873010553136</v>
      </c>
      <c r="G28" s="10">
        <f t="shared" si="58"/>
        <v>6.3314365052765682</v>
      </c>
      <c r="H28" s="10">
        <f>H4/$D12</f>
        <v>12.662873010553136</v>
      </c>
      <c r="I28" s="10">
        <f t="shared" si="58"/>
        <v>12.662873010553136</v>
      </c>
      <c r="J28" s="10">
        <f t="shared" si="58"/>
        <v>4.4517912927725867</v>
      </c>
      <c r="K28" s="10">
        <f t="shared" si="58"/>
        <v>8.9035825855451733</v>
      </c>
      <c r="L28" s="10">
        <f t="shared" si="58"/>
        <v>8.9035825855451733</v>
      </c>
      <c r="M28" s="10">
        <f t="shared" si="58"/>
        <v>4.4517912927725867</v>
      </c>
      <c r="N28" s="10">
        <f t="shared" si="58"/>
        <v>4.4517912927725867</v>
      </c>
      <c r="O28" s="10">
        <f t="shared" si="58"/>
        <v>8.9035825855451733</v>
      </c>
      <c r="P28" s="10">
        <f t="shared" si="58"/>
        <v>8.9035825855451733</v>
      </c>
      <c r="R28" s="1"/>
      <c r="S28" s="10"/>
      <c r="T28" s="10"/>
      <c r="AJ28" s="1" t="s">
        <v>109</v>
      </c>
      <c r="AK28" s="4">
        <v>1.9432607076610799E-3</v>
      </c>
      <c r="AL28" s="4">
        <v>1.2316532423362E-3</v>
      </c>
      <c r="AM28" s="4">
        <v>1.20004778426201E-3</v>
      </c>
      <c r="AN28" s="1">
        <v>0</v>
      </c>
      <c r="AO28" s="1">
        <v>0</v>
      </c>
      <c r="AP28" s="1">
        <v>1</v>
      </c>
      <c r="AQ28" s="1">
        <v>7</v>
      </c>
      <c r="AR28" s="1">
        <v>258</v>
      </c>
      <c r="AS28" s="1">
        <v>5124</v>
      </c>
      <c r="AT28" s="86">
        <v>45166.510416666664</v>
      </c>
      <c r="AV28" s="1">
        <f>AN28/60</f>
        <v>0</v>
      </c>
      <c r="AW28" s="1">
        <f t="shared" si="40"/>
        <v>0</v>
      </c>
      <c r="AX28" s="9">
        <f t="shared" si="50"/>
        <v>1.6666666666666666E-2</v>
      </c>
      <c r="AY28" s="9">
        <f t="shared" si="41"/>
        <v>0.11666666666666667</v>
      </c>
      <c r="AZ28" s="9">
        <f t="shared" si="42"/>
        <v>4.3</v>
      </c>
      <c r="BA28" s="9">
        <f t="shared" si="43"/>
        <v>85.4</v>
      </c>
      <c r="BC28" s="9">
        <f t="shared" si="51"/>
        <v>2.26713749227126E-4</v>
      </c>
      <c r="BD28" s="9">
        <f t="shared" si="52"/>
        <v>8.3560210429426442E-3</v>
      </c>
      <c r="BE28" s="9">
        <f t="shared" si="53"/>
        <v>0.16595446443425624</v>
      </c>
      <c r="BF28" s="1">
        <f t="shared" si="54"/>
        <v>1.4000557483056784E-4</v>
      </c>
      <c r="BG28" s="1">
        <f t="shared" si="44"/>
        <v>5.1602054723266432E-3</v>
      </c>
      <c r="BH28" s="1">
        <f t="shared" si="45"/>
        <v>0.10248408077597566</v>
      </c>
      <c r="BI28" s="9">
        <f t="shared" si="55"/>
        <v>1.4000557483056784E-4</v>
      </c>
      <c r="BJ28" s="9">
        <f t="shared" si="46"/>
        <v>5.1602054723266432E-3</v>
      </c>
      <c r="BK28" s="9">
        <f t="shared" si="47"/>
        <v>0.10248408077597566</v>
      </c>
      <c r="BL28" s="88">
        <f t="shared" si="56"/>
        <v>2.3934233512953078E-6</v>
      </c>
      <c r="BM28" s="88">
        <f t="shared" si="57"/>
        <v>2.3320057064721044E-6</v>
      </c>
    </row>
    <row r="29" spans="2:65" x14ac:dyDescent="0.25">
      <c r="B29" s="12" t="s">
        <v>43</v>
      </c>
      <c r="C29" s="10" t="e">
        <f>C5/$D13</f>
        <v>#DIV/0!</v>
      </c>
      <c r="D29" s="10" t="e">
        <f t="shared" ref="D29:P29" si="59">D5/$D13</f>
        <v>#DIV/0!</v>
      </c>
      <c r="E29" s="10" t="e">
        <f t="shared" si="59"/>
        <v>#DIV/0!</v>
      </c>
      <c r="F29" s="10" t="e">
        <f t="shared" si="59"/>
        <v>#DIV/0!</v>
      </c>
      <c r="G29" s="10" t="e">
        <f t="shared" si="59"/>
        <v>#DIV/0!</v>
      </c>
      <c r="H29" s="10" t="e">
        <f t="shared" si="59"/>
        <v>#DIV/0!</v>
      </c>
      <c r="I29" s="10" t="e">
        <f t="shared" si="59"/>
        <v>#DIV/0!</v>
      </c>
      <c r="J29" s="10" t="e">
        <f t="shared" si="59"/>
        <v>#DIV/0!</v>
      </c>
      <c r="K29" s="10" t="e">
        <f t="shared" si="59"/>
        <v>#DIV/0!</v>
      </c>
      <c r="L29" s="10" t="e">
        <f t="shared" si="59"/>
        <v>#DIV/0!</v>
      </c>
      <c r="M29" s="10" t="e">
        <f t="shared" si="59"/>
        <v>#DIV/0!</v>
      </c>
      <c r="N29" s="10" t="e">
        <f t="shared" si="59"/>
        <v>#DIV/0!</v>
      </c>
      <c r="O29" s="10" t="e">
        <f t="shared" si="59"/>
        <v>#DIV/0!</v>
      </c>
      <c r="P29" s="10" t="e">
        <f t="shared" si="59"/>
        <v>#DIV/0!</v>
      </c>
      <c r="R29" s="1"/>
      <c r="S29" s="10"/>
      <c r="T29" s="10"/>
      <c r="AJ29" s="12" t="s">
        <v>44</v>
      </c>
      <c r="AK29" s="4">
        <v>1.68687551091549E-2</v>
      </c>
      <c r="AL29" s="4">
        <v>8.9724715055071406E-3</v>
      </c>
      <c r="AM29" s="4">
        <v>8.2579803903355103E-3</v>
      </c>
      <c r="AN29" s="1">
        <v>0</v>
      </c>
      <c r="AO29" s="1">
        <v>0</v>
      </c>
      <c r="AP29" s="1">
        <v>36</v>
      </c>
      <c r="AQ29" s="1">
        <v>905</v>
      </c>
      <c r="AR29" s="1">
        <v>10850</v>
      </c>
      <c r="AS29" s="1">
        <v>11249</v>
      </c>
      <c r="AT29" s="86">
        <v>45183.75</v>
      </c>
      <c r="AV29" s="1">
        <f t="shared" si="49"/>
        <v>0</v>
      </c>
      <c r="AW29" s="1">
        <f t="shared" si="40"/>
        <v>0</v>
      </c>
      <c r="AX29" s="9">
        <f t="shared" si="50"/>
        <v>0.6</v>
      </c>
      <c r="AY29" s="9">
        <f t="shared" si="41"/>
        <v>15.083333333333334</v>
      </c>
      <c r="AZ29" s="9">
        <f t="shared" si="42"/>
        <v>180.83333333333334</v>
      </c>
      <c r="BA29" s="9">
        <f t="shared" si="43"/>
        <v>187.48333333333332</v>
      </c>
      <c r="BC29" s="9">
        <f>AY29*$AK29</f>
        <v>0.2544370562297531</v>
      </c>
      <c r="BD29" s="9">
        <f t="shared" si="52"/>
        <v>3.0504332155721778</v>
      </c>
      <c r="BE29" s="9">
        <f t="shared" si="53"/>
        <v>3.1626104370480577</v>
      </c>
      <c r="BF29" s="1">
        <f t="shared" si="54"/>
        <v>0.12455787088756062</v>
      </c>
      <c r="BG29" s="1">
        <f t="shared" si="44"/>
        <v>1.4933181205856716</v>
      </c>
      <c r="BH29" s="1">
        <f>BA29*$AM29</f>
        <v>1.5482336901814024</v>
      </c>
      <c r="BI29" s="9">
        <f t="shared" si="55"/>
        <v>0.12455787088756062</v>
      </c>
      <c r="BJ29" s="9">
        <f t="shared" si="46"/>
        <v>1.4933181205856716</v>
      </c>
      <c r="BK29" s="9">
        <f t="shared" si="47"/>
        <v>1.5482336901814024</v>
      </c>
      <c r="BL29" s="88">
        <f t="shared" si="56"/>
        <v>1.5135442455027032E-4</v>
      </c>
      <c r="BM29" s="88">
        <f t="shared" si="57"/>
        <v>1.3930184890077312E-4</v>
      </c>
    </row>
    <row r="30" spans="2:65" x14ac:dyDescent="0.25">
      <c r="B30" s="12" t="s">
        <v>44</v>
      </c>
      <c r="C30" s="10">
        <f>C6/$D14</f>
        <v>2.6030335738934953</v>
      </c>
      <c r="D30" s="10">
        <f t="shared" ref="D30:P30" si="60">D6/$D14</f>
        <v>2.6030335738934953</v>
      </c>
      <c r="E30" s="10">
        <f t="shared" si="60"/>
        <v>2.6030335738934953</v>
      </c>
      <c r="F30" s="10">
        <f t="shared" si="60"/>
        <v>2.6030335738934953</v>
      </c>
      <c r="G30" s="10">
        <f t="shared" si="60"/>
        <v>0.91512899082193189</v>
      </c>
      <c r="H30" s="10">
        <f t="shared" si="60"/>
        <v>0.65075839347337383</v>
      </c>
      <c r="I30" s="10">
        <f t="shared" si="60"/>
        <v>2.6030335738934953</v>
      </c>
      <c r="J30" s="10">
        <f t="shared" si="60"/>
        <v>1.3015167869467477</v>
      </c>
      <c r="K30" s="10">
        <f t="shared" si="60"/>
        <v>2.6030335738934953</v>
      </c>
      <c r="L30" s="10">
        <f t="shared" si="60"/>
        <v>2.6030335738934953</v>
      </c>
      <c r="M30" s="10">
        <f t="shared" si="60"/>
        <v>1.3015167869467477</v>
      </c>
      <c r="N30" s="10">
        <f t="shared" si="60"/>
        <v>0.65075839347337383</v>
      </c>
      <c r="O30" s="10">
        <f t="shared" si="60"/>
        <v>0.65075839347337383</v>
      </c>
      <c r="P30" s="10">
        <f t="shared" si="60"/>
        <v>1.3015167869467477</v>
      </c>
      <c r="R30" s="1"/>
      <c r="S30" s="10"/>
      <c r="T30" s="10"/>
      <c r="AJ30" s="12" t="s">
        <v>96</v>
      </c>
    </row>
    <row r="31" spans="2:65" x14ac:dyDescent="0.25">
      <c r="B31" s="12" t="s">
        <v>71</v>
      </c>
      <c r="C31" s="10" t="e">
        <f>C7/$D15</f>
        <v>#DIV/0!</v>
      </c>
      <c r="D31" s="10" t="e">
        <f t="shared" ref="D31:P32" si="61">D7/$D15</f>
        <v>#DIV/0!</v>
      </c>
      <c r="E31" s="10" t="e">
        <f t="shared" si="61"/>
        <v>#DIV/0!</v>
      </c>
      <c r="F31" s="10" t="e">
        <f t="shared" si="61"/>
        <v>#DIV/0!</v>
      </c>
      <c r="G31" s="10" t="e">
        <f t="shared" si="61"/>
        <v>#DIV/0!</v>
      </c>
      <c r="H31" s="10" t="e">
        <f t="shared" si="61"/>
        <v>#DIV/0!</v>
      </c>
      <c r="I31" s="10" t="e">
        <f t="shared" si="61"/>
        <v>#DIV/0!</v>
      </c>
      <c r="J31" s="10" t="e">
        <f t="shared" si="61"/>
        <v>#DIV/0!</v>
      </c>
      <c r="K31" s="10" t="e">
        <f t="shared" si="61"/>
        <v>#DIV/0!</v>
      </c>
      <c r="L31" s="10" t="e">
        <f t="shared" si="61"/>
        <v>#DIV/0!</v>
      </c>
      <c r="M31" s="10" t="e">
        <f t="shared" si="61"/>
        <v>#DIV/0!</v>
      </c>
      <c r="N31" s="10" t="e">
        <f t="shared" si="61"/>
        <v>#DIV/0!</v>
      </c>
      <c r="O31" s="10" t="e">
        <f t="shared" si="61"/>
        <v>#DIV/0!</v>
      </c>
      <c r="P31" s="10" t="e">
        <f t="shared" si="61"/>
        <v>#DIV/0!</v>
      </c>
      <c r="R31" s="1"/>
      <c r="S31" s="10"/>
      <c r="T31" s="10"/>
    </row>
    <row r="32" spans="2:65" x14ac:dyDescent="0.25">
      <c r="B32" s="12" t="s">
        <v>97</v>
      </c>
      <c r="C32" s="10" t="e">
        <f>C8/$D16</f>
        <v>#DIV/0!</v>
      </c>
      <c r="D32" s="10" t="e">
        <f t="shared" si="61"/>
        <v>#DIV/0!</v>
      </c>
      <c r="E32" s="10" t="e">
        <f t="shared" si="61"/>
        <v>#DIV/0!</v>
      </c>
      <c r="F32" s="10" t="e">
        <f t="shared" si="61"/>
        <v>#DIV/0!</v>
      </c>
      <c r="G32" s="10" t="e">
        <f t="shared" si="61"/>
        <v>#DIV/0!</v>
      </c>
      <c r="H32" s="10" t="e">
        <f t="shared" si="61"/>
        <v>#DIV/0!</v>
      </c>
      <c r="I32" s="10" t="e">
        <f t="shared" si="61"/>
        <v>#DIV/0!</v>
      </c>
      <c r="J32" s="10" t="e">
        <f t="shared" si="61"/>
        <v>#DIV/0!</v>
      </c>
      <c r="K32" s="10" t="e">
        <f t="shared" si="61"/>
        <v>#DIV/0!</v>
      </c>
      <c r="L32" s="10" t="e">
        <f t="shared" si="61"/>
        <v>#DIV/0!</v>
      </c>
      <c r="M32" s="10" t="e">
        <f t="shared" si="61"/>
        <v>#DIV/0!</v>
      </c>
      <c r="N32" s="10" t="e">
        <f t="shared" si="61"/>
        <v>#DIV/0!</v>
      </c>
      <c r="O32" s="10" t="e">
        <f t="shared" si="61"/>
        <v>#DIV/0!</v>
      </c>
      <c r="P32" s="10" t="e">
        <f t="shared" si="61"/>
        <v>#DIV/0!</v>
      </c>
      <c r="R32" s="1"/>
      <c r="S32" s="10"/>
      <c r="T32" s="10"/>
    </row>
    <row r="33" spans="2:80" x14ac:dyDescent="0.25">
      <c r="B33" s="124" t="s">
        <v>82</v>
      </c>
      <c r="C33" s="124"/>
      <c r="D33" s="119" t="s">
        <v>76</v>
      </c>
      <c r="E33" s="119"/>
      <c r="F33" s="119"/>
      <c r="G33" s="119" t="s">
        <v>77</v>
      </c>
      <c r="H33" s="119"/>
      <c r="I33" s="119"/>
      <c r="J33" s="119" t="s">
        <v>76</v>
      </c>
      <c r="K33" s="119"/>
      <c r="L33" s="119"/>
      <c r="M33" s="119" t="s">
        <v>77</v>
      </c>
      <c r="N33" s="119"/>
      <c r="O33" s="119"/>
    </row>
    <row r="34" spans="2:80" x14ac:dyDescent="0.25">
      <c r="B34" t="s">
        <v>80</v>
      </c>
      <c r="C34" s="1" t="s">
        <v>70</v>
      </c>
      <c r="D34" s="1" t="s">
        <v>73</v>
      </c>
      <c r="E34" s="1" t="s">
        <v>74</v>
      </c>
      <c r="F34" s="1" t="s">
        <v>75</v>
      </c>
      <c r="G34" s="1" t="s">
        <v>73</v>
      </c>
      <c r="H34" s="1" t="s">
        <v>74</v>
      </c>
      <c r="I34" s="1" t="s">
        <v>75</v>
      </c>
      <c r="J34" s="1" t="s">
        <v>73</v>
      </c>
      <c r="K34" s="1" t="s">
        <v>74</v>
      </c>
      <c r="L34" s="1" t="s">
        <v>75</v>
      </c>
      <c r="M34" s="1" t="s">
        <v>73</v>
      </c>
      <c r="N34" s="1" t="s">
        <v>74</v>
      </c>
      <c r="O34" s="1" t="s">
        <v>75</v>
      </c>
      <c r="P34" s="1" t="s">
        <v>78</v>
      </c>
      <c r="R34" s="1"/>
      <c r="S34" s="1" t="s">
        <v>91</v>
      </c>
      <c r="T34" s="1" t="s">
        <v>90</v>
      </c>
      <c r="AJ34" s="68" t="s">
        <v>113</v>
      </c>
      <c r="AX34" s="68" t="s">
        <v>116</v>
      </c>
    </row>
    <row r="35" spans="2:80" x14ac:dyDescent="0.25">
      <c r="B35" s="12" t="s">
        <v>42</v>
      </c>
      <c r="C35" s="10">
        <f>C4/$E12</f>
        <v>16.694725897227279</v>
      </c>
      <c r="D35" s="10">
        <f>D4/$E12</f>
        <v>16.694725897227279</v>
      </c>
      <c r="E35" s="10">
        <f t="shared" ref="E35:P35" si="62">E4/$E12</f>
        <v>16.694725897227279</v>
      </c>
      <c r="F35" s="10">
        <f t="shared" si="62"/>
        <v>16.694725897227279</v>
      </c>
      <c r="G35" s="10">
        <f t="shared" si="62"/>
        <v>8.3473629486136396</v>
      </c>
      <c r="H35" s="10">
        <f t="shared" si="62"/>
        <v>16.694725897227279</v>
      </c>
      <c r="I35" s="10">
        <f t="shared" si="62"/>
        <v>16.694725897227279</v>
      </c>
      <c r="J35" s="10">
        <f t="shared" si="62"/>
        <v>5.8692395732439655</v>
      </c>
      <c r="K35" s="10">
        <f t="shared" si="62"/>
        <v>11.738479146487931</v>
      </c>
      <c r="L35" s="10">
        <f t="shared" si="62"/>
        <v>11.738479146487931</v>
      </c>
      <c r="M35" s="10">
        <f t="shared" si="62"/>
        <v>5.8692395732439655</v>
      </c>
      <c r="N35" s="10">
        <f t="shared" si="62"/>
        <v>5.8692395732439655</v>
      </c>
      <c r="O35" s="10">
        <f t="shared" si="62"/>
        <v>11.738479146487931</v>
      </c>
      <c r="P35" s="10">
        <f t="shared" si="62"/>
        <v>11.738479146487931</v>
      </c>
      <c r="R35" s="12" t="s">
        <v>42</v>
      </c>
      <c r="S35" s="10">
        <f>AVERAGE(C35:P35)</f>
        <v>12.362668116975778</v>
      </c>
      <c r="T35" s="10">
        <f>_xlfn.STDEV.P(C35:P35)</f>
        <v>4.2826503268159124</v>
      </c>
      <c r="AJ35" t="s">
        <v>107</v>
      </c>
      <c r="AK35" s="68"/>
      <c r="AL35" s="124" t="s">
        <v>64</v>
      </c>
      <c r="AM35" s="124"/>
      <c r="AN35" s="124"/>
      <c r="AO35" s="124" t="s">
        <v>65</v>
      </c>
      <c r="AP35" s="124"/>
      <c r="AQ35" s="124"/>
      <c r="AR35" s="124" t="s">
        <v>66</v>
      </c>
      <c r="AS35" s="124"/>
      <c r="AT35" s="124"/>
      <c r="AU35" s="68"/>
      <c r="AV35" s="68"/>
      <c r="AX35" t="s">
        <v>69</v>
      </c>
      <c r="AZ35" s="125" t="s">
        <v>72</v>
      </c>
      <c r="BA35" s="124"/>
      <c r="BB35" s="124"/>
      <c r="BC35" s="124"/>
      <c r="BD35" s="124"/>
      <c r="BE35" s="126"/>
      <c r="BF35" s="125" t="s">
        <v>117</v>
      </c>
      <c r="BG35" s="124"/>
      <c r="BH35" s="124"/>
      <c r="BI35" s="124"/>
      <c r="BJ35" s="124"/>
      <c r="BK35" s="126"/>
      <c r="BL35" s="68"/>
    </row>
    <row r="36" spans="2:80" x14ac:dyDescent="0.25">
      <c r="B36" s="12" t="s">
        <v>43</v>
      </c>
      <c r="C36" s="10">
        <f>C5/$E13</f>
        <v>95.00120810696842</v>
      </c>
      <c r="D36" s="10">
        <f t="shared" ref="D36:P36" si="63">D5/$E13</f>
        <v>95.00120810696842</v>
      </c>
      <c r="E36" s="10">
        <f t="shared" si="63"/>
        <v>190.00241621393684</v>
      </c>
      <c r="F36" s="10">
        <f t="shared" si="63"/>
        <v>190.00241621393684</v>
      </c>
      <c r="G36" s="10">
        <f t="shared" si="63"/>
        <v>47.50060405348421</v>
      </c>
      <c r="H36" s="10">
        <f t="shared" si="63"/>
        <v>66.797724450212172</v>
      </c>
      <c r="I36" s="10">
        <f t="shared" si="63"/>
        <v>190.00241621393684</v>
      </c>
      <c r="J36" s="10">
        <f t="shared" si="63"/>
        <v>95.00120810696842</v>
      </c>
      <c r="K36" s="10">
        <f t="shared" si="63"/>
        <v>95.00120810696842</v>
      </c>
      <c r="L36" s="10">
        <f t="shared" si="63"/>
        <v>190.00241621393684</v>
      </c>
      <c r="M36" s="10">
        <f t="shared" si="63"/>
        <v>47.50060405348421</v>
      </c>
      <c r="N36" s="10">
        <f t="shared" si="63"/>
        <v>66.797724450212172</v>
      </c>
      <c r="O36" s="10">
        <f t="shared" si="63"/>
        <v>95.00120810696842</v>
      </c>
      <c r="P36" s="10">
        <f t="shared" si="63"/>
        <v>66.797724450212172</v>
      </c>
      <c r="R36" s="12" t="s">
        <v>43</v>
      </c>
      <c r="S36" s="10">
        <f>AVERAGE(C36:P36)</f>
        <v>109.31500620344248</v>
      </c>
      <c r="T36" s="10">
        <f>_xlfn.STDEV.P(C36:P36)</f>
        <v>53.540008395527281</v>
      </c>
      <c r="AK36" s="75" t="s">
        <v>26</v>
      </c>
      <c r="AL36" s="21" t="s">
        <v>41</v>
      </c>
      <c r="AM36" s="21" t="s">
        <v>40</v>
      </c>
      <c r="AN36" s="21" t="s">
        <v>39</v>
      </c>
      <c r="AO36" s="21" t="s">
        <v>41</v>
      </c>
      <c r="AP36" s="21" t="s">
        <v>40</v>
      </c>
      <c r="AQ36" s="21" t="s">
        <v>39</v>
      </c>
      <c r="AR36" s="21" t="s">
        <v>41</v>
      </c>
      <c r="AS36" s="21" t="s">
        <v>40</v>
      </c>
      <c r="AT36" s="21" t="s">
        <v>39</v>
      </c>
      <c r="AU36" s="75" t="s">
        <v>68</v>
      </c>
      <c r="AV36" s="75" t="s">
        <v>67</v>
      </c>
      <c r="AZ36" s="125" t="s">
        <v>76</v>
      </c>
      <c r="BA36" s="124"/>
      <c r="BB36" s="124"/>
      <c r="BC36" s="124" t="s">
        <v>77</v>
      </c>
      <c r="BD36" s="124"/>
      <c r="BE36" s="126"/>
      <c r="BF36" s="125" t="s">
        <v>76</v>
      </c>
      <c r="BG36" s="124"/>
      <c r="BH36" s="124"/>
      <c r="BI36" s="124" t="s">
        <v>77</v>
      </c>
      <c r="BJ36" s="124"/>
      <c r="BK36" s="126"/>
      <c r="BL36" s="68" t="s">
        <v>79</v>
      </c>
    </row>
    <row r="37" spans="2:80" x14ac:dyDescent="0.25">
      <c r="B37" s="12" t="s">
        <v>44</v>
      </c>
      <c r="C37" s="10">
        <f>C6/$E14</f>
        <v>2.0697116459677649</v>
      </c>
      <c r="D37" s="10">
        <f t="shared" ref="D37:P37" si="64">D6/$E14</f>
        <v>2.0697116459677649</v>
      </c>
      <c r="E37" s="10">
        <f>E6/$E14</f>
        <v>2.0697116459677649</v>
      </c>
      <c r="F37" s="10">
        <f t="shared" si="64"/>
        <v>2.0697116459677649</v>
      </c>
      <c r="G37" s="10">
        <f>G6/$E14</f>
        <v>0.72763300053554225</v>
      </c>
      <c r="H37" s="10">
        <f t="shared" si="64"/>
        <v>0.51742791149194123</v>
      </c>
      <c r="I37" s="10">
        <f t="shared" si="64"/>
        <v>2.0697116459677649</v>
      </c>
      <c r="J37" s="10">
        <f t="shared" si="64"/>
        <v>1.0348558229838825</v>
      </c>
      <c r="K37" s="10">
        <f t="shared" si="64"/>
        <v>2.0697116459677649</v>
      </c>
      <c r="L37" s="10">
        <f t="shared" si="64"/>
        <v>2.0697116459677649</v>
      </c>
      <c r="M37" s="10">
        <f t="shared" si="64"/>
        <v>1.0348558229838825</v>
      </c>
      <c r="N37" s="10">
        <f t="shared" si="64"/>
        <v>0.51742791149194123</v>
      </c>
      <c r="O37" s="10">
        <f t="shared" si="64"/>
        <v>0.51742791149194123</v>
      </c>
      <c r="P37" s="10">
        <f t="shared" si="64"/>
        <v>1.0348558229838825</v>
      </c>
      <c r="R37" s="12" t="s">
        <v>44</v>
      </c>
      <c r="S37" s="10">
        <f>AVERAGE(C37:P37)</f>
        <v>1.4194618375526693</v>
      </c>
      <c r="T37" s="10">
        <f>_xlfn.STDEV.P(C37:P37)</f>
        <v>0.67205238973910519</v>
      </c>
      <c r="AJ37" s="12" t="s">
        <v>42</v>
      </c>
      <c r="AK37" s="10">
        <f>427.15*(AK4^0.6026)</f>
        <v>48.432377801424202</v>
      </c>
      <c r="AL37" s="10">
        <f>71.352*BC4^0.3356</f>
        <v>108.78988754364359</v>
      </c>
      <c r="AM37" s="10">
        <f>37.823*BD4^0.5145</f>
        <v>140.77182291674166</v>
      </c>
      <c r="AN37" s="10">
        <f>17.285*BE4^0.664</f>
        <v>67.350937002666797</v>
      </c>
      <c r="AO37" s="10">
        <f>101.5*BF4^0.2757</f>
        <v>128.93581539361367</v>
      </c>
      <c r="AP37" s="10">
        <f>66.539*BG4^0.286</f>
        <v>123.60340530772582</v>
      </c>
      <c r="AQ37" s="10">
        <f>49.512*BH4^0.2727</f>
        <v>77.843734132412706</v>
      </c>
      <c r="AR37" s="10">
        <f>96.745*BI4^0.3131</f>
        <v>126.94967756237961</v>
      </c>
      <c r="AS37" s="10">
        <f>63.061*BJ4^0.4573</f>
        <v>169.74828667617484</v>
      </c>
      <c r="AT37" s="10">
        <f>34.986*BK4^0.6412</f>
        <v>101.38089267119945</v>
      </c>
      <c r="AU37" s="10">
        <f>908.48*BL4^0.3562</f>
        <v>59.824677461277616</v>
      </c>
      <c r="AV37" s="10">
        <f>1428.8*BM4^0.3909</f>
        <v>72.833320240153569</v>
      </c>
      <c r="AY37" s="1" t="s">
        <v>70</v>
      </c>
      <c r="AZ37" s="5" t="s">
        <v>73</v>
      </c>
      <c r="BA37" s="1" t="s">
        <v>74</v>
      </c>
      <c r="BB37" s="1" t="s">
        <v>75</v>
      </c>
      <c r="BC37" s="1" t="s">
        <v>73</v>
      </c>
      <c r="BD37" s="1" t="s">
        <v>74</v>
      </c>
      <c r="BE37" s="6" t="s">
        <v>75</v>
      </c>
      <c r="BF37" s="5" t="s">
        <v>73</v>
      </c>
      <c r="BG37" s="1" t="s">
        <v>74</v>
      </c>
      <c r="BH37" s="1" t="s">
        <v>75</v>
      </c>
      <c r="BI37" s="1" t="s">
        <v>73</v>
      </c>
      <c r="BJ37" s="1" t="s">
        <v>74</v>
      </c>
      <c r="BK37" s="6" t="s">
        <v>75</v>
      </c>
      <c r="BL37" s="1" t="s">
        <v>78</v>
      </c>
    </row>
    <row r="38" spans="2:80" x14ac:dyDescent="0.25">
      <c r="B38" s="12" t="s">
        <v>71</v>
      </c>
      <c r="C38" s="10">
        <f>C7/$E15</f>
        <v>190.00241621393684</v>
      </c>
      <c r="D38" s="10">
        <f t="shared" ref="D38:P39" si="65">D7/$E15</f>
        <v>190.00241621393684</v>
      </c>
      <c r="E38" s="10">
        <f t="shared" si="65"/>
        <v>190.00241621393684</v>
      </c>
      <c r="F38" s="10">
        <f t="shared" si="65"/>
        <v>190.00241621393684</v>
      </c>
      <c r="G38" s="10">
        <f t="shared" si="65"/>
        <v>47.50060405348421</v>
      </c>
      <c r="H38" s="10">
        <f t="shared" si="65"/>
        <v>62.344542820198029</v>
      </c>
      <c r="I38" s="10">
        <f t="shared" si="65"/>
        <v>190.00241621393684</v>
      </c>
      <c r="J38" s="10">
        <f t="shared" si="65"/>
        <v>190.00241621393684</v>
      </c>
      <c r="K38" s="10">
        <f t="shared" si="65"/>
        <v>190.00241621393684</v>
      </c>
      <c r="L38" s="10">
        <f t="shared" si="65"/>
        <v>190.00241621393684</v>
      </c>
      <c r="M38" s="10">
        <f t="shared" si="65"/>
        <v>190.00241621393684</v>
      </c>
      <c r="N38" s="10">
        <f t="shared" si="65"/>
        <v>95.00120810696842</v>
      </c>
      <c r="O38" s="10">
        <f t="shared" si="65"/>
        <v>47.50060405348421</v>
      </c>
      <c r="P38" s="10">
        <f t="shared" si="65"/>
        <v>190.00241621393684</v>
      </c>
      <c r="R38" s="12" t="s">
        <v>71</v>
      </c>
      <c r="S38" s="10">
        <f>AVERAGE(C38:P38)</f>
        <v>153.74079436953596</v>
      </c>
      <c r="T38" s="10">
        <f>AVERAGE(C38:P38)</f>
        <v>153.74079436953596</v>
      </c>
      <c r="AJ38" s="12" t="s">
        <v>71</v>
      </c>
      <c r="AK38" s="10">
        <f t="shared" ref="AK38:AK39" si="66">427.15*(AK5^0.6026)</f>
        <v>23.056153181930458</v>
      </c>
      <c r="AL38" s="10">
        <f t="shared" ref="AL38:AL39" si="67">71.352*BC5^0.3356</f>
        <v>34.732930645359907</v>
      </c>
      <c r="AM38" s="10">
        <f t="shared" ref="AM38:AM39" si="68">37.823*BD5^0.5145</f>
        <v>48.174101045015277</v>
      </c>
      <c r="AN38" s="10">
        <f t="shared" ref="AN38:AN39" si="69">17.285*BE5^0.664</f>
        <v>48.012823615060483</v>
      </c>
      <c r="AO38" s="10">
        <f t="shared" ref="AO38:AO39" si="70">101.5*BF5^0.2757</f>
        <v>52.061235072256814</v>
      </c>
      <c r="AP38" s="10">
        <f t="shared" ref="AP38:AP39" si="71">66.539*BG5^0.286</f>
        <v>70.330887182202062</v>
      </c>
      <c r="AQ38" s="10">
        <f t="shared" ref="AQ38:AQ39" si="72">49.512*BH5^0.2727</f>
        <v>69.854879427050605</v>
      </c>
      <c r="AR38" s="10">
        <f t="shared" ref="AR38:AR39" si="73">96.745*BI5^0.3131</f>
        <v>45.325610292368737</v>
      </c>
      <c r="AS38" s="10">
        <f t="shared" ref="AS38:AS39" si="74">63.061*BJ5^0.4573</f>
        <v>68.904458984663549</v>
      </c>
      <c r="AT38" s="10">
        <f t="shared" ref="AT38:AT39" si="75">34.986*BK5^0.6412</f>
        <v>78.592597973875684</v>
      </c>
      <c r="AU38" s="10">
        <f t="shared" ref="AU38:AU39" si="76">908.48*BL5^0.3562</f>
        <v>26.269166725373147</v>
      </c>
      <c r="AV38" s="10">
        <f t="shared" ref="AV38:AV39" si="77">1428.8*BM5^0.3909</f>
        <v>29.056470283011087</v>
      </c>
      <c r="AX38" s="12" t="s">
        <v>42</v>
      </c>
      <c r="AY38" s="12">
        <v>128</v>
      </c>
      <c r="AZ38" s="5">
        <v>128</v>
      </c>
      <c r="BA38" s="1">
        <v>128</v>
      </c>
      <c r="BB38" s="1">
        <v>128</v>
      </c>
      <c r="BC38" s="1">
        <v>64</v>
      </c>
      <c r="BD38" s="1">
        <v>128</v>
      </c>
      <c r="BE38" s="6">
        <v>128</v>
      </c>
      <c r="BF38" s="5">
        <v>45</v>
      </c>
      <c r="BG38" s="1">
        <v>90</v>
      </c>
      <c r="BH38" s="1">
        <v>90</v>
      </c>
      <c r="BI38" s="1">
        <v>45</v>
      </c>
      <c r="BJ38" s="1">
        <v>45</v>
      </c>
      <c r="BK38" s="6">
        <v>90</v>
      </c>
      <c r="BL38" s="1">
        <v>90</v>
      </c>
    </row>
    <row r="39" spans="2:80" x14ac:dyDescent="0.25">
      <c r="B39" s="12" t="s">
        <v>97</v>
      </c>
      <c r="C39" s="10">
        <f>C8/$E16</f>
        <v>1.904373096375388</v>
      </c>
      <c r="D39" s="10">
        <f t="shared" si="65"/>
        <v>1.904373096375388</v>
      </c>
      <c r="E39" s="10">
        <f t="shared" si="65"/>
        <v>1.904373096375388</v>
      </c>
      <c r="F39" s="10">
        <f t="shared" si="65"/>
        <v>1.904373096375388</v>
      </c>
      <c r="G39" s="10">
        <f t="shared" si="65"/>
        <v>1.3390123333889445</v>
      </c>
      <c r="H39" s="10">
        <f t="shared" si="65"/>
        <v>1.904373096375388</v>
      </c>
      <c r="I39" s="10">
        <f t="shared" si="65"/>
        <v>1.904373096375388</v>
      </c>
      <c r="J39" s="10">
        <f t="shared" si="65"/>
        <v>1.904373096375388</v>
      </c>
      <c r="K39" s="10">
        <f t="shared" si="65"/>
        <v>1.904373096375388</v>
      </c>
      <c r="L39" s="10">
        <f t="shared" si="65"/>
        <v>1.904373096375388</v>
      </c>
      <c r="M39" s="10">
        <f t="shared" si="65"/>
        <v>0.476093274093847</v>
      </c>
      <c r="N39" s="10">
        <f t="shared" si="65"/>
        <v>0.476093274093847</v>
      </c>
      <c r="O39" s="10">
        <f t="shared" si="65"/>
        <v>1.904373096375388</v>
      </c>
      <c r="P39" s="10">
        <f t="shared" si="65"/>
        <v>1.904373096375388</v>
      </c>
      <c r="R39" s="12" t="s">
        <v>97</v>
      </c>
      <c r="S39" s="10">
        <f>AVERAGE(C39:P39)</f>
        <v>1.6599502101218504</v>
      </c>
      <c r="T39" s="10">
        <f>AVERAGE(C39:P39)</f>
        <v>1.6599502101218504</v>
      </c>
      <c r="AJ39" s="12" t="s">
        <v>43</v>
      </c>
      <c r="AK39" s="10">
        <f t="shared" si="66"/>
        <v>40.945848734445889</v>
      </c>
      <c r="AL39" s="10">
        <f t="shared" si="67"/>
        <v>64.189899694032022</v>
      </c>
      <c r="AM39" s="10">
        <f t="shared" si="68"/>
        <v>91.909804353918815</v>
      </c>
      <c r="AN39" s="10">
        <f t="shared" si="69"/>
        <v>31.511204524949061</v>
      </c>
      <c r="AO39" s="10">
        <f t="shared" si="70"/>
        <v>83.543998018235527</v>
      </c>
      <c r="AP39" s="10">
        <f t="shared" si="71"/>
        <v>97.469096290163719</v>
      </c>
      <c r="AQ39" s="10">
        <f t="shared" si="72"/>
        <v>56.952896606297273</v>
      </c>
      <c r="AR39" s="10">
        <f t="shared" si="73"/>
        <v>77.55468351532511</v>
      </c>
      <c r="AS39" s="10">
        <f t="shared" si="74"/>
        <v>116.10529296775113</v>
      </c>
      <c r="AT39" s="10">
        <f t="shared" si="75"/>
        <v>48.625716570268622</v>
      </c>
      <c r="AU39" s="10">
        <f t="shared" si="76"/>
        <v>49.938028521062577</v>
      </c>
      <c r="AV39" s="10">
        <f t="shared" si="77"/>
        <v>58.531448092890116</v>
      </c>
      <c r="AX39" s="1" t="s">
        <v>71</v>
      </c>
      <c r="AY39" s="1">
        <v>128</v>
      </c>
      <c r="AZ39" s="5">
        <v>128</v>
      </c>
      <c r="BA39" s="1">
        <v>128</v>
      </c>
      <c r="BB39" s="1">
        <v>128</v>
      </c>
      <c r="BC39" s="1">
        <v>32</v>
      </c>
      <c r="BD39" s="1">
        <v>45</v>
      </c>
      <c r="BE39" s="6">
        <v>128</v>
      </c>
      <c r="BF39" s="5">
        <v>128</v>
      </c>
      <c r="BG39" s="1">
        <v>128</v>
      </c>
      <c r="BH39" s="1">
        <v>128</v>
      </c>
      <c r="BI39" s="1">
        <v>128</v>
      </c>
      <c r="BJ39" s="1">
        <v>64</v>
      </c>
      <c r="BK39" s="6">
        <v>32</v>
      </c>
      <c r="BL39" s="1">
        <v>128</v>
      </c>
    </row>
    <row r="40" spans="2:80" x14ac:dyDescent="0.25">
      <c r="B40" s="124" t="s">
        <v>81</v>
      </c>
      <c r="C40" s="124"/>
      <c r="D40" s="119" t="s">
        <v>76</v>
      </c>
      <c r="E40" s="119"/>
      <c r="F40" s="119"/>
      <c r="G40" s="119" t="s">
        <v>77</v>
      </c>
      <c r="H40" s="119"/>
      <c r="I40" s="119"/>
      <c r="J40" s="119" t="s">
        <v>76</v>
      </c>
      <c r="K40" s="119"/>
      <c r="L40" s="119"/>
      <c r="M40" s="119" t="s">
        <v>77</v>
      </c>
      <c r="N40" s="119"/>
      <c r="O40" s="119"/>
      <c r="AJ40" s="12" t="s">
        <v>44</v>
      </c>
      <c r="AK40" s="10">
        <f>427.15*(AK9^0.6026)</f>
        <v>121.03081478713572</v>
      </c>
      <c r="AL40" s="10">
        <f>71.352*BC9^0.3356</f>
        <v>218.2069264871098</v>
      </c>
      <c r="AM40" s="10">
        <f>37.823*BD9^0.5145</f>
        <v>168.15449115601714</v>
      </c>
      <c r="AN40" s="10">
        <f>17.285*BE9^0.664</f>
        <v>50.047970770631778</v>
      </c>
      <c r="AO40" s="10">
        <f>101.5*BF9^0.2757</f>
        <v>209.6390738963693</v>
      </c>
      <c r="AP40" s="10">
        <f>66.539*BG9^0.286</f>
        <v>124.83056994141425</v>
      </c>
      <c r="AQ40" s="10">
        <f>49.512*BH9^0.2727</f>
        <v>63.305067507784628</v>
      </c>
      <c r="AR40" s="10">
        <f>96.745*BI9^0.3131</f>
        <v>220.47877564557916</v>
      </c>
      <c r="AS40" s="10">
        <f>63.061*BJ9^0.4573</f>
        <v>172.45100394628989</v>
      </c>
      <c r="AT40" s="10">
        <f>34.986*BK9^0.6412</f>
        <v>62.351089332669268</v>
      </c>
      <c r="AU40" s="10">
        <f>908.48*BL9^0.3562</f>
        <v>159.79203063686606</v>
      </c>
      <c r="AV40" s="10">
        <f>1428.8*BM9^0.3909</f>
        <v>211.63677728366642</v>
      </c>
      <c r="AX40" s="12" t="s">
        <v>43</v>
      </c>
      <c r="AY40" s="12">
        <v>64</v>
      </c>
      <c r="AZ40" s="5">
        <v>64</v>
      </c>
      <c r="BA40" s="1">
        <v>128</v>
      </c>
      <c r="BB40" s="1">
        <v>128</v>
      </c>
      <c r="BC40" s="1">
        <v>32</v>
      </c>
      <c r="BD40" s="1">
        <v>45</v>
      </c>
      <c r="BE40" s="6">
        <v>128</v>
      </c>
      <c r="BF40" s="5">
        <v>64</v>
      </c>
      <c r="BG40" s="1">
        <v>64</v>
      </c>
      <c r="BH40" s="1">
        <v>128</v>
      </c>
      <c r="BI40" s="1">
        <v>32</v>
      </c>
      <c r="BJ40" s="1">
        <v>45</v>
      </c>
      <c r="BK40" s="6">
        <v>64</v>
      </c>
      <c r="BL40" s="1">
        <v>45</v>
      </c>
    </row>
    <row r="41" spans="2:80" x14ac:dyDescent="0.25">
      <c r="B41" t="s">
        <v>80</v>
      </c>
      <c r="C41" s="1" t="s">
        <v>70</v>
      </c>
      <c r="D41" s="1" t="s">
        <v>73</v>
      </c>
      <c r="E41" s="1" t="s">
        <v>74</v>
      </c>
      <c r="F41" s="1" t="s">
        <v>75</v>
      </c>
      <c r="G41" s="1" t="s">
        <v>73</v>
      </c>
      <c r="H41" s="1" t="s">
        <v>74</v>
      </c>
      <c r="I41" s="1" t="s">
        <v>75</v>
      </c>
      <c r="J41" s="1" t="s">
        <v>73</v>
      </c>
      <c r="K41" s="1" t="s">
        <v>74</v>
      </c>
      <c r="L41" s="1" t="s">
        <v>75</v>
      </c>
      <c r="M41" s="1" t="s">
        <v>73</v>
      </c>
      <c r="N41" s="1" t="s">
        <v>74</v>
      </c>
      <c r="O41" s="1" t="s">
        <v>75</v>
      </c>
      <c r="P41" s="1" t="s">
        <v>78</v>
      </c>
      <c r="R41" s="1"/>
      <c r="S41" s="1" t="s">
        <v>91</v>
      </c>
      <c r="T41" s="1" t="s">
        <v>90</v>
      </c>
      <c r="AJ41" s="12" t="s">
        <v>96</v>
      </c>
      <c r="AK41" s="10"/>
      <c r="AM41" s="10"/>
      <c r="AN41" s="10"/>
      <c r="AO41" s="10"/>
      <c r="AP41" s="10"/>
      <c r="AQ41" s="10"/>
      <c r="AR41" s="10"/>
      <c r="AT41" s="10"/>
      <c r="AU41" s="10"/>
      <c r="AV41" s="10"/>
      <c r="AX41" s="12" t="s">
        <v>44</v>
      </c>
      <c r="AY41" s="12">
        <v>128</v>
      </c>
      <c r="AZ41" s="5">
        <v>128</v>
      </c>
      <c r="BA41" s="1">
        <v>128</v>
      </c>
      <c r="BB41" s="1">
        <v>128</v>
      </c>
      <c r="BC41" s="1">
        <v>45</v>
      </c>
      <c r="BD41" s="1">
        <v>32</v>
      </c>
      <c r="BE41" s="6">
        <v>128</v>
      </c>
      <c r="BF41" s="5">
        <v>64</v>
      </c>
      <c r="BG41" s="1">
        <v>128</v>
      </c>
      <c r="BH41" s="1">
        <v>128</v>
      </c>
      <c r="BI41" s="1">
        <v>64</v>
      </c>
      <c r="BJ41" s="1">
        <v>32</v>
      </c>
      <c r="BK41" s="6">
        <v>32</v>
      </c>
      <c r="BL41" s="1">
        <v>64</v>
      </c>
    </row>
    <row r="42" spans="2:80" x14ac:dyDescent="0.25">
      <c r="B42" s="12" t="s">
        <v>42</v>
      </c>
      <c r="C42" s="10">
        <f>C4/$F12</f>
        <v>12.477608859975323</v>
      </c>
      <c r="D42" s="10">
        <f>D4/$F12</f>
        <v>12.477608859975323</v>
      </c>
      <c r="E42" s="10">
        <f t="shared" ref="E42:P42" si="78">E4/$F12</f>
        <v>12.477608859975323</v>
      </c>
      <c r="F42" s="10">
        <f t="shared" si="78"/>
        <v>12.477608859975323</v>
      </c>
      <c r="G42" s="10">
        <f t="shared" si="78"/>
        <v>6.2388044299876615</v>
      </c>
      <c r="H42" s="10">
        <f t="shared" si="78"/>
        <v>12.477608859975323</v>
      </c>
      <c r="I42" s="10">
        <f t="shared" si="78"/>
        <v>12.477608859975323</v>
      </c>
      <c r="J42" s="10">
        <f t="shared" si="78"/>
        <v>4.386659364835074</v>
      </c>
      <c r="K42" s="10">
        <f t="shared" si="78"/>
        <v>8.773318729670148</v>
      </c>
      <c r="L42" s="10">
        <f t="shared" si="78"/>
        <v>8.773318729670148</v>
      </c>
      <c r="M42" s="10">
        <f t="shared" si="78"/>
        <v>4.386659364835074</v>
      </c>
      <c r="N42" s="10">
        <f t="shared" si="78"/>
        <v>4.386659364835074</v>
      </c>
      <c r="O42" s="10">
        <f t="shared" si="78"/>
        <v>8.773318729670148</v>
      </c>
      <c r="P42" s="10">
        <f t="shared" si="78"/>
        <v>8.773318729670148</v>
      </c>
      <c r="R42" s="12" t="s">
        <v>42</v>
      </c>
      <c r="S42" s="10">
        <f>AVERAGE(C42:P42)</f>
        <v>9.2398364716446704</v>
      </c>
      <c r="T42" s="10">
        <f>_xlfn.STDEV.P(C42:P42)</f>
        <v>3.2008453442730316</v>
      </c>
      <c r="AJ42" s="1" t="s">
        <v>108</v>
      </c>
      <c r="AK42" s="10">
        <f>427.15*(AK7^0.6026)</f>
        <v>55.051369784926798</v>
      </c>
      <c r="AL42" s="10">
        <f>71.352*BC7^0.3356</f>
        <v>97.22294731243899</v>
      </c>
      <c r="AM42" s="10">
        <f>37.823*BD7^0.5145</f>
        <v>119.49126358066093</v>
      </c>
      <c r="AN42" s="10">
        <f>17.285*BE7^0.664</f>
        <v>49.47907391590924</v>
      </c>
      <c r="AO42" s="10">
        <f>101.5*BF7^0.2757</f>
        <v>112.00502425357314</v>
      </c>
      <c r="AP42" s="10">
        <f>66.539*BG7^0.286</f>
        <v>107.31181030655512</v>
      </c>
      <c r="AQ42" s="10">
        <f>49.512*BH7^0.2727</f>
        <v>65.376503447728709</v>
      </c>
      <c r="AR42" s="10">
        <f>96.745*BI7^0.3131</f>
        <v>108.19374181786377</v>
      </c>
      <c r="AS42" s="10">
        <f>63.061*BJ7^0.4573</f>
        <v>135.41199106495873</v>
      </c>
      <c r="AT42" s="10">
        <f>34.986*BK7^0.6412</f>
        <v>67.254724734776374</v>
      </c>
      <c r="AU42" s="10">
        <f>908.48*BL7^0.3562</f>
        <v>66.92448931417745</v>
      </c>
      <c r="AV42" s="10">
        <f>1428.8*BM7^0.3909</f>
        <v>80.295096447096768</v>
      </c>
      <c r="AX42" s="1" t="s">
        <v>97</v>
      </c>
      <c r="AY42" s="1">
        <v>128</v>
      </c>
      <c r="AZ42" s="1">
        <v>128</v>
      </c>
      <c r="BA42" s="1">
        <v>128</v>
      </c>
      <c r="BB42" s="1">
        <v>128</v>
      </c>
      <c r="BC42" s="1">
        <v>90</v>
      </c>
      <c r="BD42" s="1">
        <v>128</v>
      </c>
      <c r="BE42" s="1">
        <v>128</v>
      </c>
      <c r="BF42" s="1">
        <v>128</v>
      </c>
      <c r="BG42" s="1">
        <v>128</v>
      </c>
      <c r="BH42" s="1">
        <v>128</v>
      </c>
      <c r="BI42" s="1">
        <v>64</v>
      </c>
      <c r="BJ42" s="1">
        <v>45</v>
      </c>
      <c r="BK42" s="1">
        <v>128</v>
      </c>
      <c r="BL42" s="1">
        <v>128</v>
      </c>
    </row>
    <row r="43" spans="2:80" x14ac:dyDescent="0.25">
      <c r="B43" s="12" t="s">
        <v>43</v>
      </c>
      <c r="C43" s="10">
        <f>C5/$F13</f>
        <v>54.077734758896106</v>
      </c>
      <c r="D43" s="10">
        <f>D5/$F13</f>
        <v>54.077734758896106</v>
      </c>
      <c r="E43" s="10">
        <f t="shared" ref="E43:P43" si="79">E5/$F13</f>
        <v>108.15546951779221</v>
      </c>
      <c r="F43" s="10">
        <f t="shared" si="79"/>
        <v>108.15546951779221</v>
      </c>
      <c r="G43" s="10">
        <f t="shared" si="79"/>
        <v>27.038867379448053</v>
      </c>
      <c r="H43" s="10">
        <f t="shared" si="79"/>
        <v>38.023407252348825</v>
      </c>
      <c r="I43" s="10">
        <f t="shared" si="79"/>
        <v>108.15546951779221</v>
      </c>
      <c r="J43" s="10">
        <f t="shared" si="79"/>
        <v>54.077734758896106</v>
      </c>
      <c r="K43" s="10">
        <f t="shared" si="79"/>
        <v>54.077734758896106</v>
      </c>
      <c r="L43" s="10">
        <f t="shared" si="79"/>
        <v>108.15546951779221</v>
      </c>
      <c r="M43" s="10">
        <f t="shared" si="79"/>
        <v>27.038867379448053</v>
      </c>
      <c r="N43" s="10">
        <f t="shared" si="79"/>
        <v>38.023407252348825</v>
      </c>
      <c r="O43" s="10">
        <f t="shared" si="79"/>
        <v>54.077734758896106</v>
      </c>
      <c r="P43" s="10">
        <f t="shared" si="79"/>
        <v>38.023407252348825</v>
      </c>
      <c r="R43" s="12" t="s">
        <v>43</v>
      </c>
      <c r="S43" s="10">
        <f>AVERAGE(C43:P43)</f>
        <v>62.225607741542298</v>
      </c>
      <c r="T43" s="10">
        <f>_xlfn.STDEV.P(C43:P43)</f>
        <v>30.476690041060877</v>
      </c>
      <c r="AJ43" s="1" t="s">
        <v>109</v>
      </c>
      <c r="AK43" s="10">
        <f>427.15*(AK8^0.6026)</f>
        <v>84.754309585107805</v>
      </c>
      <c r="AL43" s="10">
        <f>71.352*BC8^0.3356</f>
        <v>180.00539487066706</v>
      </c>
      <c r="AM43" s="10">
        <f>37.823*BD8^0.5145</f>
        <v>138.22015643378475</v>
      </c>
      <c r="AN43" s="10">
        <f>17.285*BE8^0.664</f>
        <v>38.788560410196077</v>
      </c>
      <c r="AO43" s="10">
        <f>101.5*BF8^0.2757</f>
        <v>190.06514225937084</v>
      </c>
      <c r="AP43" s="10">
        <f>66.539*BG8^0.286</f>
        <v>119.14195176058254</v>
      </c>
      <c r="AQ43" s="10">
        <f>49.512*BH8^0.2727</f>
        <v>60.505203925492964</v>
      </c>
      <c r="AR43" s="10">
        <f>96.745*BI8^0.3131</f>
        <v>197.25237614203257</v>
      </c>
      <c r="AS43" s="10">
        <f>63.061*BJ8^0.4573</f>
        <v>160.05785261369795</v>
      </c>
      <c r="AT43" s="10">
        <f>34.986*BK8^0.6412</f>
        <v>56.059725211151957</v>
      </c>
      <c r="AU43" s="10">
        <f>908.48*BL8^0.3562</f>
        <v>114.12110765848269</v>
      </c>
      <c r="AV43" s="10">
        <f>1428.8*BM8^0.3909</f>
        <v>145.15796489629778</v>
      </c>
    </row>
    <row r="44" spans="2:80" x14ac:dyDescent="0.25">
      <c r="B44" s="12" t="s">
        <v>44</v>
      </c>
      <c r="C44" s="10">
        <f>C6/$F14</f>
        <v>3.1003673941532193</v>
      </c>
      <c r="D44" s="10">
        <f t="shared" ref="D44:P44" si="80">D6/$F14</f>
        <v>3.1003673941532193</v>
      </c>
      <c r="E44" s="10">
        <f t="shared" si="80"/>
        <v>3.1003673941532193</v>
      </c>
      <c r="F44" s="10">
        <f t="shared" si="80"/>
        <v>3.1003673941532193</v>
      </c>
      <c r="G44" s="10">
        <f t="shared" si="80"/>
        <v>1.0899729120069912</v>
      </c>
      <c r="H44" s="10">
        <f t="shared" si="80"/>
        <v>0.77509184853830482</v>
      </c>
      <c r="I44" s="10">
        <f t="shared" si="80"/>
        <v>3.1003673941532193</v>
      </c>
      <c r="J44" s="10">
        <f t="shared" si="80"/>
        <v>1.5501836970766096</v>
      </c>
      <c r="K44" s="10">
        <f t="shared" si="80"/>
        <v>3.1003673941532193</v>
      </c>
      <c r="L44" s="10">
        <f t="shared" si="80"/>
        <v>3.1003673941532193</v>
      </c>
      <c r="M44" s="10">
        <f t="shared" si="80"/>
        <v>1.5501836970766096</v>
      </c>
      <c r="N44" s="10">
        <f t="shared" si="80"/>
        <v>0.77509184853830482</v>
      </c>
      <c r="O44" s="10">
        <f t="shared" si="80"/>
        <v>0.77509184853830482</v>
      </c>
      <c r="P44" s="10">
        <f t="shared" si="80"/>
        <v>1.5501836970766096</v>
      </c>
      <c r="R44" s="12" t="s">
        <v>44</v>
      </c>
      <c r="S44" s="10">
        <f>AVERAGE(C44:P44)</f>
        <v>2.1263122362803051</v>
      </c>
      <c r="T44" s="10">
        <f>_xlfn.STDEV.P(C44:P44)</f>
        <v>1.0067147857863119</v>
      </c>
      <c r="BM44" t="s">
        <v>118</v>
      </c>
      <c r="CB44" t="s">
        <v>119</v>
      </c>
    </row>
    <row r="45" spans="2:80" x14ac:dyDescent="0.25">
      <c r="B45" s="12" t="s">
        <v>71</v>
      </c>
      <c r="C45" s="10">
        <f>C7/$F15</f>
        <v>108.15546951779221</v>
      </c>
      <c r="D45" s="10">
        <f t="shared" ref="D45:P46" si="81">D7/$F15</f>
        <v>108.15546951779221</v>
      </c>
      <c r="E45" s="10">
        <f t="shared" si="81"/>
        <v>108.15546951779221</v>
      </c>
      <c r="F45" s="10">
        <f t="shared" si="81"/>
        <v>108.15546951779221</v>
      </c>
      <c r="G45" s="10">
        <f t="shared" si="81"/>
        <v>27.038867379448053</v>
      </c>
      <c r="H45" s="10">
        <f t="shared" si="81"/>
        <v>35.488513435525569</v>
      </c>
      <c r="I45" s="10">
        <f t="shared" si="81"/>
        <v>108.15546951779221</v>
      </c>
      <c r="J45" s="10">
        <f t="shared" si="81"/>
        <v>108.15546951779221</v>
      </c>
      <c r="K45" s="10">
        <f t="shared" si="81"/>
        <v>108.15546951779221</v>
      </c>
      <c r="L45" s="10">
        <f t="shared" si="81"/>
        <v>108.15546951779221</v>
      </c>
      <c r="M45" s="10">
        <f t="shared" si="81"/>
        <v>108.15546951779221</v>
      </c>
      <c r="N45" s="10">
        <f t="shared" si="81"/>
        <v>54.077734758896106</v>
      </c>
      <c r="O45" s="10">
        <f t="shared" si="81"/>
        <v>27.038867379448053</v>
      </c>
      <c r="P45" s="10">
        <f t="shared" si="81"/>
        <v>108.15546951779221</v>
      </c>
      <c r="R45" s="12" t="s">
        <v>71</v>
      </c>
      <c r="S45" s="10">
        <f>AVERAGE(C45:P45)</f>
        <v>87.51419129508858</v>
      </c>
      <c r="T45" s="10">
        <f>AVERAGE(C45:P45)</f>
        <v>87.51419129508858</v>
      </c>
      <c r="AJ45" s="89" t="s">
        <v>114</v>
      </c>
      <c r="AK45" s="68"/>
      <c r="AL45" s="124" t="s">
        <v>64</v>
      </c>
      <c r="AM45" s="124"/>
      <c r="AN45" s="124"/>
      <c r="AO45" s="124" t="s">
        <v>65</v>
      </c>
      <c r="AP45" s="124"/>
      <c r="AQ45" s="124"/>
      <c r="AR45" s="124" t="s">
        <v>66</v>
      </c>
      <c r="AS45" s="124"/>
      <c r="AT45" s="124"/>
      <c r="AU45" s="68"/>
      <c r="AV45" s="68"/>
    </row>
    <row r="46" spans="2:80" x14ac:dyDescent="0.25">
      <c r="B46" s="12" t="s">
        <v>97</v>
      </c>
      <c r="C46" s="10">
        <f>C8/$F16</f>
        <v>1.4251212014022208</v>
      </c>
      <c r="D46" s="10">
        <f t="shared" si="81"/>
        <v>1.4251212014022208</v>
      </c>
      <c r="E46" s="10">
        <f t="shared" si="81"/>
        <v>1.4251212014022208</v>
      </c>
      <c r="F46" s="10">
        <f t="shared" si="81"/>
        <v>1.4251212014022208</v>
      </c>
      <c r="G46" s="10">
        <f t="shared" si="81"/>
        <v>1.0020383447359364</v>
      </c>
      <c r="H46" s="10">
        <f t="shared" si="81"/>
        <v>1.4251212014022208</v>
      </c>
      <c r="I46" s="10">
        <f t="shared" si="81"/>
        <v>1.4251212014022208</v>
      </c>
      <c r="J46" s="10">
        <f t="shared" si="81"/>
        <v>1.4251212014022208</v>
      </c>
      <c r="K46" s="10">
        <f t="shared" si="81"/>
        <v>1.4251212014022208</v>
      </c>
      <c r="L46" s="10">
        <f t="shared" si="81"/>
        <v>1.4251212014022208</v>
      </c>
      <c r="M46" s="10">
        <f t="shared" si="81"/>
        <v>0.35628030035055519</v>
      </c>
      <c r="N46" s="10">
        <f t="shared" si="81"/>
        <v>0.35628030035055519</v>
      </c>
      <c r="O46" s="10">
        <f t="shared" si="81"/>
        <v>1.4251212014022208</v>
      </c>
      <c r="P46" s="10">
        <f t="shared" si="81"/>
        <v>1.4251212014022208</v>
      </c>
      <c r="R46" s="12" t="s">
        <v>97</v>
      </c>
      <c r="S46" s="10">
        <f>AVERAGE(C46:P46)</f>
        <v>1.2422094400615336</v>
      </c>
      <c r="T46" s="10">
        <f>AVERAGE(C46:P46)</f>
        <v>1.2422094400615336</v>
      </c>
      <c r="AK46" s="75" t="s">
        <v>26</v>
      </c>
      <c r="AL46" s="75" t="s">
        <v>41</v>
      </c>
      <c r="AM46" s="75" t="s">
        <v>40</v>
      </c>
      <c r="AN46" s="21" t="s">
        <v>39</v>
      </c>
      <c r="AO46" s="21" t="s">
        <v>41</v>
      </c>
      <c r="AP46" s="21" t="s">
        <v>40</v>
      </c>
      <c r="AQ46" s="21" t="s">
        <v>39</v>
      </c>
      <c r="AR46" s="21" t="s">
        <v>41</v>
      </c>
      <c r="AS46" s="21" t="s">
        <v>40</v>
      </c>
      <c r="AT46" s="21" t="s">
        <v>39</v>
      </c>
      <c r="AU46" s="75" t="s">
        <v>68</v>
      </c>
      <c r="AV46" s="75" t="s">
        <v>67</v>
      </c>
    </row>
    <row r="47" spans="2:80" x14ac:dyDescent="0.25">
      <c r="B47" s="124" t="s">
        <v>84</v>
      </c>
      <c r="C47" s="124"/>
      <c r="D47" s="119" t="s">
        <v>76</v>
      </c>
      <c r="E47" s="119"/>
      <c r="F47" s="119"/>
      <c r="G47" s="119" t="s">
        <v>77</v>
      </c>
      <c r="H47" s="119"/>
      <c r="I47" s="119"/>
      <c r="J47" s="119" t="s">
        <v>76</v>
      </c>
      <c r="K47" s="119"/>
      <c r="L47" s="119"/>
      <c r="M47" s="119" t="s">
        <v>77</v>
      </c>
      <c r="N47" s="119"/>
      <c r="O47" s="119"/>
      <c r="AJ47" s="12" t="s">
        <v>42</v>
      </c>
      <c r="AK47" s="10">
        <f>427.15*(AK14^0.6026)</f>
        <v>12.941610237623792</v>
      </c>
      <c r="AL47" s="10">
        <f>71.352*BC14^0.3356</f>
        <v>7.6875741426626734</v>
      </c>
      <c r="AM47" s="10">
        <f>37.823*BD14^0.5145</f>
        <v>11.094253255059595</v>
      </c>
      <c r="AN47" s="10">
        <f>17.285*BE14^0.664</f>
        <v>22.87139253414858</v>
      </c>
      <c r="AO47" s="10">
        <f>101.5*BF14^0.2757</f>
        <v>15.054823445334506</v>
      </c>
      <c r="AP47" s="10">
        <f>66.539*BG14^0.286</f>
        <v>31.03394951781517</v>
      </c>
      <c r="AQ47" s="10">
        <f>49.512*BH14^0.2727</f>
        <v>51.422007214592291</v>
      </c>
      <c r="AR47" s="10">
        <f>96.745*BI14^0.3131</f>
        <v>11.076660532072067</v>
      </c>
      <c r="AS47" s="10">
        <f>63.061*BJ14^0.4573</f>
        <v>18.626255440203131</v>
      </c>
      <c r="AT47" s="10">
        <f>34.986*BK14^0.6412</f>
        <v>38.242501848466532</v>
      </c>
      <c r="AU47" s="10">
        <f>908.48*BL14^0.3562</f>
        <v>13.225210444571283</v>
      </c>
      <c r="AV47" s="10">
        <f>1428.8*BM14^0.3909</f>
        <v>13.700833333928674</v>
      </c>
    </row>
    <row r="48" spans="2:80" x14ac:dyDescent="0.25">
      <c r="B48" t="s">
        <v>80</v>
      </c>
      <c r="C48" s="1" t="s">
        <v>70</v>
      </c>
      <c r="D48" s="1" t="s">
        <v>73</v>
      </c>
      <c r="E48" s="1" t="s">
        <v>74</v>
      </c>
      <c r="F48" s="1" t="s">
        <v>75</v>
      </c>
      <c r="G48" s="1" t="s">
        <v>73</v>
      </c>
      <c r="H48" s="1" t="s">
        <v>74</v>
      </c>
      <c r="I48" s="1" t="s">
        <v>75</v>
      </c>
      <c r="J48" s="1" t="s">
        <v>73</v>
      </c>
      <c r="K48" s="1" t="s">
        <v>74</v>
      </c>
      <c r="L48" s="1" t="s">
        <v>75</v>
      </c>
      <c r="M48" s="1" t="s">
        <v>73</v>
      </c>
      <c r="N48" s="1" t="s">
        <v>74</v>
      </c>
      <c r="O48" s="1" t="s">
        <v>75</v>
      </c>
      <c r="P48" s="1" t="s">
        <v>78</v>
      </c>
      <c r="R48" s="1"/>
      <c r="S48" s="1"/>
      <c r="T48" s="1"/>
      <c r="AJ48" s="12" t="s">
        <v>71</v>
      </c>
      <c r="AK48" s="10">
        <f t="shared" ref="AK48:AK49" si="82">427.15*(AK15^0.6026)</f>
        <v>24.982882454350118</v>
      </c>
      <c r="AL48" s="10">
        <f t="shared" ref="AL48:AL49" si="83">71.352*BC15^0.3356</f>
        <v>36.951952527373088</v>
      </c>
      <c r="AM48" s="10">
        <f t="shared" ref="AM48:AM49" si="84">37.823*BD15^0.5145</f>
        <v>73.153182140016298</v>
      </c>
      <c r="AN48" s="10">
        <f t="shared" ref="AN48:AN49" si="85">17.285*BE15^0.664</f>
        <v>43.091399730469242</v>
      </c>
      <c r="AO48" s="10">
        <f t="shared" ref="AO48:AO49" si="86">101.5*BF15^0.2757</f>
        <v>55.705692721495168</v>
      </c>
      <c r="AP48" s="10">
        <f t="shared" ref="AP48:AP49" si="87">66.539*BG15^0.286</f>
        <v>90.272523620487718</v>
      </c>
      <c r="AQ48" s="10">
        <f t="shared" ref="AQ48:AQ49" si="88">49.512*BH15^0.2727</f>
        <v>67.938862932187035</v>
      </c>
      <c r="AR48" s="10">
        <f t="shared" ref="AR48:AR49" si="89">96.745*BI15^0.3131</f>
        <v>48.945751540231051</v>
      </c>
      <c r="AS48" s="10">
        <f t="shared" ref="AS48:AS49" si="90">63.061*BJ15^0.4573</f>
        <v>102.70433887667231</v>
      </c>
      <c r="AT48" s="10">
        <f t="shared" ref="AT48:AT49" si="91">34.986*BK15^0.6412</f>
        <v>73.617575245469823</v>
      </c>
      <c r="AU48" s="10">
        <f t="shared" ref="AU48:AU49" si="92">908.48*BL15^0.3562</f>
        <v>29.477282754284918</v>
      </c>
      <c r="AV48" s="10">
        <f t="shared" ref="AV48:AV49" si="93">1428.8*BM15^0.3909</f>
        <v>33.021709564290219</v>
      </c>
    </row>
    <row r="49" spans="2:51" x14ac:dyDescent="0.25">
      <c r="B49" s="12" t="s">
        <v>42</v>
      </c>
      <c r="C49" s="10">
        <f>C4/$G12</f>
        <v>7.1876325555032672</v>
      </c>
      <c r="D49" s="10">
        <f t="shared" ref="D49:P49" si="94">D4/$G12</f>
        <v>7.1876325555032672</v>
      </c>
      <c r="E49" s="10">
        <f t="shared" si="94"/>
        <v>7.1876325555032672</v>
      </c>
      <c r="F49" s="10">
        <f t="shared" si="94"/>
        <v>7.1876325555032672</v>
      </c>
      <c r="G49" s="10">
        <f t="shared" si="94"/>
        <v>3.5938162777516336</v>
      </c>
      <c r="H49" s="10">
        <f t="shared" si="94"/>
        <v>7.1876325555032672</v>
      </c>
      <c r="I49" s="10">
        <f t="shared" si="94"/>
        <v>7.1876325555032672</v>
      </c>
      <c r="J49" s="10">
        <f t="shared" si="94"/>
        <v>2.5269020702941174</v>
      </c>
      <c r="K49" s="10">
        <f t="shared" si="94"/>
        <v>5.0538041405882348</v>
      </c>
      <c r="L49" s="10">
        <f t="shared" si="94"/>
        <v>5.0538041405882348</v>
      </c>
      <c r="M49" s="10">
        <f t="shared" si="94"/>
        <v>2.5269020702941174</v>
      </c>
      <c r="N49" s="10">
        <f t="shared" si="94"/>
        <v>2.5269020702941174</v>
      </c>
      <c r="O49" s="10">
        <f t="shared" si="94"/>
        <v>5.0538041405882348</v>
      </c>
      <c r="P49" s="10">
        <f t="shared" si="94"/>
        <v>5.0538041405882348</v>
      </c>
      <c r="R49" s="1"/>
      <c r="S49" s="10"/>
      <c r="T49" s="10"/>
      <c r="AJ49" s="12" t="s">
        <v>43</v>
      </c>
      <c r="AK49" s="10">
        <f t="shared" si="82"/>
        <v>60.160624719339154</v>
      </c>
      <c r="AL49" s="10">
        <f t="shared" si="83"/>
        <v>134.96137207848102</v>
      </c>
      <c r="AM49" s="10">
        <f t="shared" si="84"/>
        <v>113.28736153137839</v>
      </c>
      <c r="AN49" s="10">
        <f t="shared" si="85"/>
        <v>31.334576370584315</v>
      </c>
      <c r="AO49" s="10">
        <f t="shared" si="86"/>
        <v>156.47306001817944</v>
      </c>
      <c r="AP49" s="10">
        <f t="shared" si="87"/>
        <v>111.43313894372616</v>
      </c>
      <c r="AQ49" s="10">
        <f t="shared" si="88"/>
        <v>57.785591476258723</v>
      </c>
      <c r="AR49" s="10">
        <f t="shared" si="89"/>
        <v>158.16178409615807</v>
      </c>
      <c r="AS49" s="10">
        <f t="shared" si="90"/>
        <v>143.82252351377869</v>
      </c>
      <c r="AT49" s="10">
        <f t="shared" si="91"/>
        <v>50.313904763214566</v>
      </c>
      <c r="AU49" s="10">
        <f t="shared" si="92"/>
        <v>79.702964364205883</v>
      </c>
      <c r="AV49" s="10">
        <f t="shared" si="93"/>
        <v>98.777384821624111</v>
      </c>
    </row>
    <row r="50" spans="2:51" x14ac:dyDescent="0.25">
      <c r="B50" s="12" t="s">
        <v>43</v>
      </c>
      <c r="C50" s="10" t="e">
        <f>C5/$G13</f>
        <v>#DIV/0!</v>
      </c>
      <c r="D50" s="10" t="e">
        <f t="shared" ref="D50:P50" si="95">D5/$G13</f>
        <v>#DIV/0!</v>
      </c>
      <c r="E50" s="10" t="e">
        <f t="shared" si="95"/>
        <v>#DIV/0!</v>
      </c>
      <c r="F50" s="10" t="e">
        <f t="shared" si="95"/>
        <v>#DIV/0!</v>
      </c>
      <c r="G50" s="10" t="e">
        <f t="shared" si="95"/>
        <v>#DIV/0!</v>
      </c>
      <c r="H50" s="10" t="e">
        <f t="shared" si="95"/>
        <v>#DIV/0!</v>
      </c>
      <c r="I50" s="10" t="e">
        <f t="shared" si="95"/>
        <v>#DIV/0!</v>
      </c>
      <c r="J50" s="10" t="e">
        <f t="shared" si="95"/>
        <v>#DIV/0!</v>
      </c>
      <c r="K50" s="10" t="e">
        <f t="shared" si="95"/>
        <v>#DIV/0!</v>
      </c>
      <c r="L50" s="10" t="e">
        <f t="shared" si="95"/>
        <v>#DIV/0!</v>
      </c>
      <c r="M50" s="10" t="e">
        <f t="shared" si="95"/>
        <v>#DIV/0!</v>
      </c>
      <c r="N50" s="10" t="e">
        <f t="shared" si="95"/>
        <v>#DIV/0!</v>
      </c>
      <c r="O50" s="10" t="e">
        <f t="shared" si="95"/>
        <v>#DIV/0!</v>
      </c>
      <c r="P50" s="10" t="e">
        <f t="shared" si="95"/>
        <v>#DIV/0!</v>
      </c>
      <c r="R50" s="1"/>
      <c r="S50" s="10"/>
      <c r="T50" s="10"/>
      <c r="AJ50" s="12" t="s">
        <v>44</v>
      </c>
      <c r="AK50" s="10">
        <f>427.15*(AK19^0.6026)</f>
        <v>36.3632743226147</v>
      </c>
      <c r="AL50" s="10">
        <f>71.352*BC19^0.3356</f>
        <v>44.681045803741462</v>
      </c>
      <c r="AM50" s="10">
        <f>37.823*BD19^0.5145</f>
        <v>66.769369138378963</v>
      </c>
      <c r="AN50" s="10">
        <f>17.285*BE19^0.664</f>
        <v>37.062123653961507</v>
      </c>
      <c r="AO50" s="10">
        <f>101.5*BF19^0.2757</f>
        <v>56.746848250655333</v>
      </c>
      <c r="AP50" s="10">
        <f>66.539*BG19^0.286</f>
        <v>74.397671296838681</v>
      </c>
      <c r="AQ50" s="10">
        <f>49.512*BH19^0.2727</f>
        <v>55.739476879040126</v>
      </c>
      <c r="AR50" s="10">
        <f>96.745*BI19^0.3131</f>
        <v>49.985970127912921</v>
      </c>
      <c r="AS50" s="10">
        <f>63.061*BJ19^0.4573</f>
        <v>75.384648254311301</v>
      </c>
      <c r="AT50" s="10">
        <f>34.986*BK19^0.6412</f>
        <v>46.224737822674982</v>
      </c>
      <c r="AU50" s="10">
        <f>908.48*BL19^0.3562</f>
        <v>39.426492800571204</v>
      </c>
      <c r="AV50" s="10">
        <f>1428.8*BM19^0.3909</f>
        <v>44.220465159197339</v>
      </c>
    </row>
    <row r="51" spans="2:51" x14ac:dyDescent="0.25">
      <c r="B51" s="12" t="s">
        <v>44</v>
      </c>
      <c r="C51" s="10">
        <f>C6/$G14</f>
        <v>2.0566650131963571</v>
      </c>
      <c r="D51" s="10">
        <f t="shared" ref="D51:P51" si="96">D6/$G14</f>
        <v>2.0566650131963571</v>
      </c>
      <c r="E51" s="10">
        <f t="shared" si="96"/>
        <v>2.0566650131963571</v>
      </c>
      <c r="F51" s="10">
        <f t="shared" si="96"/>
        <v>2.0566650131963571</v>
      </c>
      <c r="G51" s="10">
        <f t="shared" si="96"/>
        <v>0.72304629370184426</v>
      </c>
      <c r="H51" s="10">
        <f t="shared" si="96"/>
        <v>0.51416625329908927</v>
      </c>
      <c r="I51" s="10">
        <f t="shared" si="96"/>
        <v>2.0566650131963571</v>
      </c>
      <c r="J51" s="10">
        <f t="shared" si="96"/>
        <v>1.0283325065981785</v>
      </c>
      <c r="K51" s="10">
        <f t="shared" si="96"/>
        <v>2.0566650131963571</v>
      </c>
      <c r="L51" s="10">
        <f t="shared" si="96"/>
        <v>2.0566650131963571</v>
      </c>
      <c r="M51" s="10">
        <f t="shared" si="96"/>
        <v>1.0283325065981785</v>
      </c>
      <c r="N51" s="10">
        <f t="shared" si="96"/>
        <v>0.51416625329908927</v>
      </c>
      <c r="O51" s="10">
        <f t="shared" si="96"/>
        <v>0.51416625329908927</v>
      </c>
      <c r="P51" s="10">
        <f t="shared" si="96"/>
        <v>1.0283325065981785</v>
      </c>
      <c r="R51" s="1"/>
      <c r="S51" s="10"/>
      <c r="T51" s="10"/>
      <c r="AJ51" s="12" t="s">
        <v>96</v>
      </c>
      <c r="AK51" s="10"/>
      <c r="AM51" s="10"/>
      <c r="AN51" s="10"/>
      <c r="AO51" s="10"/>
      <c r="AP51" s="10"/>
      <c r="AQ51" s="10"/>
      <c r="AR51" s="10"/>
      <c r="AT51" s="10"/>
      <c r="AU51" s="10"/>
      <c r="AV51" s="10"/>
    </row>
    <row r="52" spans="2:51" x14ac:dyDescent="0.25">
      <c r="B52" s="12" t="s">
        <v>71</v>
      </c>
      <c r="C52" s="10" t="e">
        <f>C7/$G15</f>
        <v>#DIV/0!</v>
      </c>
      <c r="D52" s="10" t="e">
        <f t="shared" ref="D52:P53" si="97">D7/$G15</f>
        <v>#DIV/0!</v>
      </c>
      <c r="E52" s="10" t="e">
        <f t="shared" si="97"/>
        <v>#DIV/0!</v>
      </c>
      <c r="F52" s="10" t="e">
        <f t="shared" si="97"/>
        <v>#DIV/0!</v>
      </c>
      <c r="G52" s="10" t="e">
        <f t="shared" si="97"/>
        <v>#DIV/0!</v>
      </c>
      <c r="H52" s="10" t="e">
        <f t="shared" si="97"/>
        <v>#DIV/0!</v>
      </c>
      <c r="I52" s="10" t="e">
        <f t="shared" si="97"/>
        <v>#DIV/0!</v>
      </c>
      <c r="J52" s="10" t="e">
        <f t="shared" si="97"/>
        <v>#DIV/0!</v>
      </c>
      <c r="K52" s="10" t="e">
        <f t="shared" si="97"/>
        <v>#DIV/0!</v>
      </c>
      <c r="L52" s="10" t="e">
        <f t="shared" si="97"/>
        <v>#DIV/0!</v>
      </c>
      <c r="M52" s="10" t="e">
        <f t="shared" si="97"/>
        <v>#DIV/0!</v>
      </c>
      <c r="N52" s="10" t="e">
        <f t="shared" si="97"/>
        <v>#DIV/0!</v>
      </c>
      <c r="O52" s="10" t="e">
        <f t="shared" si="97"/>
        <v>#DIV/0!</v>
      </c>
      <c r="P52" s="10" t="e">
        <f t="shared" si="97"/>
        <v>#DIV/0!</v>
      </c>
      <c r="R52" s="1"/>
      <c r="S52" s="10"/>
      <c r="T52" s="10"/>
      <c r="AJ52" s="1" t="s">
        <v>108</v>
      </c>
      <c r="AK52" s="10">
        <f>427.15*(AK17^0.6026)</f>
        <v>3.2794374409814209</v>
      </c>
      <c r="AL52" s="10">
        <f>71.352*BC17^0.3356</f>
        <v>0</v>
      </c>
      <c r="AM52" s="10">
        <f>37.823*BD17^0.5145</f>
        <v>0</v>
      </c>
      <c r="AN52" s="10">
        <f>17.285*BE17^0.664</f>
        <v>7.2534335551243265E-2</v>
      </c>
      <c r="AO52" s="10">
        <f>101.5*BF17^0.2757</f>
        <v>0</v>
      </c>
      <c r="AP52" s="10">
        <f>66.539*BG17^0.286</f>
        <v>0</v>
      </c>
      <c r="AQ52" s="10">
        <f>49.512*BH17^0.2727</f>
        <v>4.7817743687899235</v>
      </c>
      <c r="AR52" s="10">
        <f>96.745*BI17^0.3131</f>
        <v>0</v>
      </c>
      <c r="AS52" s="10">
        <f>63.061*BJ17^0.4573</f>
        <v>0</v>
      </c>
      <c r="AT52" s="10">
        <f>34.986*BK17^0.6412</f>
        <v>0.14356135333644882</v>
      </c>
      <c r="AU52" s="10">
        <f>908.48*BL17^0.3562</f>
        <v>2.5543022715225301</v>
      </c>
      <c r="AV52" s="10">
        <f>1428.8*BM17^0.3909</f>
        <v>2.2678135310091427</v>
      </c>
    </row>
    <row r="53" spans="2:51" x14ac:dyDescent="0.25">
      <c r="B53" s="12" t="s">
        <v>97</v>
      </c>
      <c r="C53" s="10">
        <f>C8/$G16</f>
        <v>6.3941127901411692</v>
      </c>
      <c r="D53" s="10">
        <f t="shared" si="97"/>
        <v>6.3941127901411692</v>
      </c>
      <c r="E53" s="10">
        <f t="shared" si="97"/>
        <v>6.3941127901411692</v>
      </c>
      <c r="F53" s="10">
        <f t="shared" si="97"/>
        <v>6.3941127901411692</v>
      </c>
      <c r="G53" s="10">
        <f t="shared" si="97"/>
        <v>4.4958605555680098</v>
      </c>
      <c r="H53" s="10">
        <f t="shared" si="97"/>
        <v>6.3941127901411692</v>
      </c>
      <c r="I53" s="10">
        <f t="shared" si="97"/>
        <v>6.3941127901411692</v>
      </c>
      <c r="J53" s="10">
        <f t="shared" si="97"/>
        <v>6.3941127901411692</v>
      </c>
      <c r="K53" s="10">
        <f t="shared" si="97"/>
        <v>6.3941127901411692</v>
      </c>
      <c r="L53" s="10">
        <f t="shared" si="97"/>
        <v>6.3941127901411692</v>
      </c>
      <c r="M53" s="10">
        <f t="shared" si="97"/>
        <v>1.5985281975352923</v>
      </c>
      <c r="N53" s="10">
        <f t="shared" si="97"/>
        <v>1.5985281975352923</v>
      </c>
      <c r="O53" s="10">
        <f t="shared" si="97"/>
        <v>6.3941127901411692</v>
      </c>
      <c r="P53" s="10">
        <f t="shared" si="97"/>
        <v>6.3941127901411692</v>
      </c>
      <c r="R53" s="133"/>
      <c r="S53" s="10"/>
      <c r="T53" s="10"/>
      <c r="AJ53" s="1" t="s">
        <v>109</v>
      </c>
      <c r="AK53" s="10">
        <f>427.15*(AK18^0.6026)</f>
        <v>6.9456401022718488</v>
      </c>
      <c r="AL53" s="10">
        <f>71.352*BC18^0.3356</f>
        <v>2.633443584619068</v>
      </c>
      <c r="AM53" s="10">
        <f>37.823*BD18^0.5145</f>
        <v>1.0536615197440036</v>
      </c>
      <c r="AN53" s="10">
        <f>17.285*BE18^0.664</f>
        <v>1.639201576110932</v>
      </c>
      <c r="AO53" s="10">
        <f>101.5*BF18^0.2757</f>
        <v>5.9104527824156881</v>
      </c>
      <c r="AP53" s="10">
        <f>66.539*BG18^0.286</f>
        <v>7.9210738112991264</v>
      </c>
      <c r="AQ53" s="10">
        <f>49.512*BH18^0.2727</f>
        <v>16.499530246647197</v>
      </c>
      <c r="AR53" s="10">
        <f>96.745*BI18^0.3131</f>
        <v>3.8306341409993063</v>
      </c>
      <c r="AS53" s="10">
        <f>63.061*BJ18^0.4573</f>
        <v>2.0982771706954186</v>
      </c>
      <c r="AT53" s="10">
        <f>34.986*BK18^0.6412</f>
        <v>2.6409588377327435</v>
      </c>
      <c r="AU53" s="10">
        <f>908.48*BL18^0.3562</f>
        <v>5.928625803188206</v>
      </c>
      <c r="AV53" s="10">
        <f>1428.8*BM18^0.3909</f>
        <v>5.6533404726942198</v>
      </c>
    </row>
    <row r="54" spans="2:51" x14ac:dyDescent="0.25">
      <c r="B54" s="124" t="s">
        <v>85</v>
      </c>
      <c r="C54" s="124"/>
      <c r="D54" s="119" t="s">
        <v>76</v>
      </c>
      <c r="E54" s="119"/>
      <c r="F54" s="119"/>
      <c r="G54" s="119" t="s">
        <v>77</v>
      </c>
      <c r="H54" s="119"/>
      <c r="I54" s="119"/>
      <c r="J54" s="119" t="s">
        <v>76</v>
      </c>
      <c r="K54" s="119"/>
      <c r="L54" s="119"/>
      <c r="M54" s="119" t="s">
        <v>77</v>
      </c>
      <c r="N54" s="119"/>
      <c r="O54" s="119"/>
      <c r="R54" s="135"/>
    </row>
    <row r="55" spans="2:51" x14ac:dyDescent="0.25">
      <c r="B55" t="s">
        <v>80</v>
      </c>
      <c r="C55" s="1" t="s">
        <v>70</v>
      </c>
      <c r="D55" s="1" t="s">
        <v>73</v>
      </c>
      <c r="E55" s="1" t="s">
        <v>74</v>
      </c>
      <c r="F55" s="1" t="s">
        <v>75</v>
      </c>
      <c r="G55" s="1" t="s">
        <v>73</v>
      </c>
      <c r="H55" s="1" t="s">
        <v>74</v>
      </c>
      <c r="I55" s="1" t="s">
        <v>75</v>
      </c>
      <c r="J55" s="1" t="s">
        <v>73</v>
      </c>
      <c r="K55" s="1" t="s">
        <v>74</v>
      </c>
      <c r="L55" s="1" t="s">
        <v>75</v>
      </c>
      <c r="M55" s="1" t="s">
        <v>73</v>
      </c>
      <c r="N55" s="1" t="s">
        <v>74</v>
      </c>
      <c r="O55" s="1" t="s">
        <v>75</v>
      </c>
      <c r="P55" s="1" t="s">
        <v>78</v>
      </c>
      <c r="R55" s="133"/>
      <c r="S55" s="1"/>
      <c r="T55" s="1"/>
      <c r="AJ55" t="s">
        <v>115</v>
      </c>
      <c r="AK55" s="68"/>
      <c r="AL55" s="124" t="s">
        <v>64</v>
      </c>
      <c r="AM55" s="124"/>
      <c r="AN55" s="124"/>
      <c r="AO55" s="124" t="s">
        <v>65</v>
      </c>
      <c r="AP55" s="124"/>
      <c r="AQ55" s="124"/>
      <c r="AR55" s="124" t="s">
        <v>66</v>
      </c>
      <c r="AS55" s="124"/>
      <c r="AT55" s="124"/>
      <c r="AU55" s="68"/>
      <c r="AV55" s="68"/>
    </row>
    <row r="56" spans="2:51" x14ac:dyDescent="0.25">
      <c r="B56" s="12" t="s">
        <v>42</v>
      </c>
      <c r="C56" s="10">
        <f>C4/$H12</f>
        <v>5.4876681454371798</v>
      </c>
      <c r="D56" s="10">
        <f t="shared" ref="D56:P56" si="98">D4/$H12</f>
        <v>5.4876681454371798</v>
      </c>
      <c r="E56" s="10">
        <f t="shared" si="98"/>
        <v>5.4876681454371798</v>
      </c>
      <c r="F56" s="10">
        <f t="shared" si="98"/>
        <v>5.4876681454371798</v>
      </c>
      <c r="G56" s="10">
        <f t="shared" si="98"/>
        <v>2.7438340727185899</v>
      </c>
      <c r="H56" s="10">
        <f t="shared" si="98"/>
        <v>5.4876681454371798</v>
      </c>
      <c r="I56" s="10">
        <f t="shared" si="98"/>
        <v>5.4876681454371798</v>
      </c>
      <c r="J56" s="10">
        <f t="shared" si="98"/>
        <v>1.9292583323802588</v>
      </c>
      <c r="K56" s="10">
        <f t="shared" si="98"/>
        <v>3.8585166647605176</v>
      </c>
      <c r="L56" s="10">
        <f t="shared" si="98"/>
        <v>3.8585166647605176</v>
      </c>
      <c r="M56" s="10">
        <f t="shared" si="98"/>
        <v>1.9292583323802588</v>
      </c>
      <c r="N56" s="10">
        <f t="shared" si="98"/>
        <v>1.9292583323802588</v>
      </c>
      <c r="O56" s="10">
        <f t="shared" si="98"/>
        <v>3.8585166647605176</v>
      </c>
      <c r="P56" s="10">
        <f t="shared" si="98"/>
        <v>3.8585166647605176</v>
      </c>
      <c r="R56" s="133"/>
      <c r="S56" s="10"/>
      <c r="T56" s="10"/>
      <c r="AK56" s="75" t="s">
        <v>26</v>
      </c>
      <c r="AL56" s="75" t="s">
        <v>41</v>
      </c>
      <c r="AM56" s="75" t="s">
        <v>40</v>
      </c>
      <c r="AN56" s="21" t="s">
        <v>39</v>
      </c>
      <c r="AO56" s="21" t="s">
        <v>41</v>
      </c>
      <c r="AP56" s="21" t="s">
        <v>40</v>
      </c>
      <c r="AQ56" s="21" t="s">
        <v>39</v>
      </c>
      <c r="AR56" s="21" t="s">
        <v>41</v>
      </c>
      <c r="AS56" s="21" t="s">
        <v>40</v>
      </c>
      <c r="AT56" s="21" t="s">
        <v>39</v>
      </c>
      <c r="AU56" s="75" t="s">
        <v>68</v>
      </c>
      <c r="AV56" s="75" t="s">
        <v>67</v>
      </c>
    </row>
    <row r="57" spans="2:51" x14ac:dyDescent="0.25">
      <c r="B57" s="12" t="s">
        <v>43</v>
      </c>
      <c r="C57" s="10">
        <f>C5/$H13</f>
        <v>11.50091557177068</v>
      </c>
      <c r="D57" s="10">
        <f t="shared" ref="D57:P57" si="99">D5/$H13</f>
        <v>11.50091557177068</v>
      </c>
      <c r="E57" s="10">
        <f t="shared" si="99"/>
        <v>23.001831143541359</v>
      </c>
      <c r="F57" s="10">
        <f t="shared" si="99"/>
        <v>23.001831143541359</v>
      </c>
      <c r="G57" s="10">
        <f t="shared" si="99"/>
        <v>5.7504577858853398</v>
      </c>
      <c r="H57" s="10">
        <f t="shared" si="99"/>
        <v>8.0865812614012587</v>
      </c>
      <c r="I57" s="10">
        <f t="shared" si="99"/>
        <v>23.001831143541359</v>
      </c>
      <c r="J57" s="10">
        <f t="shared" si="99"/>
        <v>11.50091557177068</v>
      </c>
      <c r="K57" s="10">
        <f t="shared" si="99"/>
        <v>11.50091557177068</v>
      </c>
      <c r="L57" s="10">
        <f t="shared" si="99"/>
        <v>23.001831143541359</v>
      </c>
      <c r="M57" s="10">
        <f t="shared" si="99"/>
        <v>5.7504577858853398</v>
      </c>
      <c r="N57" s="10">
        <f t="shared" si="99"/>
        <v>8.0865812614012587</v>
      </c>
      <c r="O57" s="10">
        <f t="shared" si="99"/>
        <v>11.50091557177068</v>
      </c>
      <c r="P57" s="10">
        <f t="shared" si="99"/>
        <v>8.0865812614012587</v>
      </c>
      <c r="R57" s="133"/>
      <c r="S57" s="10"/>
      <c r="T57" s="10"/>
      <c r="AJ57" s="12" t="s">
        <v>42</v>
      </c>
      <c r="AK57" s="10">
        <f>427.15*(AK24^0.6026)</f>
        <v>23.592532434189209</v>
      </c>
      <c r="AL57" s="10">
        <f>71.352*BC24^0.3356</f>
        <v>35.919632240628104</v>
      </c>
      <c r="AM57" s="10">
        <f>37.823*BD24^0.5145</f>
        <v>44.865275186918836</v>
      </c>
      <c r="AN57" s="10">
        <f>17.285*BE24^0.664</f>
        <v>43.693410576363654</v>
      </c>
      <c r="AO57" s="10">
        <f>101.5*BF24^0.2757</f>
        <v>51.88175275189873</v>
      </c>
      <c r="AP57" s="10">
        <f>66.539*BG24^0.286</f>
        <v>65.460252747228736</v>
      </c>
      <c r="AQ57" s="10">
        <f>49.512*BH24^0.2727</f>
        <v>65.169308726977391</v>
      </c>
      <c r="AR57" s="10">
        <f>96.745*BI24^0.3131</f>
        <v>45.148193181077204</v>
      </c>
      <c r="AS57" s="10">
        <f>63.061*BJ24^0.4573</f>
        <v>61.434248837959125</v>
      </c>
      <c r="AT57" s="10">
        <f>34.986*BK24^0.6412</f>
        <v>66.75462392048108</v>
      </c>
      <c r="AU57" s="10">
        <f>908.48*BL24^0.3562</f>
        <v>25.562519917420595</v>
      </c>
      <c r="AV57" s="10">
        <f>1428.8*BM24^0.3909</f>
        <v>28.647023937364377</v>
      </c>
      <c r="AX57">
        <v>0.1</v>
      </c>
      <c r="AY57">
        <v>0.1</v>
      </c>
    </row>
    <row r="58" spans="2:51" x14ac:dyDescent="0.25">
      <c r="B58" s="12" t="s">
        <v>44</v>
      </c>
      <c r="C58" s="10">
        <f>C6/$H14</f>
        <v>1.7169151241533349</v>
      </c>
      <c r="D58" s="10">
        <f t="shared" ref="D58:P58" si="100">D6/$H14</f>
        <v>1.7169151241533349</v>
      </c>
      <c r="E58" s="10">
        <f t="shared" si="100"/>
        <v>1.7169151241533349</v>
      </c>
      <c r="F58" s="10">
        <f t="shared" si="100"/>
        <v>1.7169151241533349</v>
      </c>
      <c r="G58" s="10">
        <f t="shared" si="100"/>
        <v>0.60360297333515678</v>
      </c>
      <c r="H58" s="10">
        <f t="shared" si="100"/>
        <v>0.42922878103833373</v>
      </c>
      <c r="I58" s="10">
        <f t="shared" si="100"/>
        <v>1.7169151241533349</v>
      </c>
      <c r="J58" s="10">
        <f t="shared" si="100"/>
        <v>0.85845756207666746</v>
      </c>
      <c r="K58" s="10">
        <f t="shared" si="100"/>
        <v>1.7169151241533349</v>
      </c>
      <c r="L58" s="10">
        <f t="shared" si="100"/>
        <v>1.7169151241533349</v>
      </c>
      <c r="M58" s="10">
        <f t="shared" si="100"/>
        <v>0.85845756207666746</v>
      </c>
      <c r="N58" s="10">
        <f t="shared" si="100"/>
        <v>0.42922878103833373</v>
      </c>
      <c r="O58" s="10">
        <f t="shared" si="100"/>
        <v>0.42922878103833373</v>
      </c>
      <c r="P58" s="10">
        <f t="shared" si="100"/>
        <v>0.85845756207666746</v>
      </c>
      <c r="R58" s="133"/>
      <c r="S58" s="10"/>
      <c r="T58" s="10"/>
      <c r="AJ58" s="12" t="s">
        <v>71</v>
      </c>
      <c r="AK58" s="10">
        <f>427.15*(AK25^0.6026)</f>
        <v>25.494613307951109</v>
      </c>
      <c r="AL58" s="10">
        <f t="shared" ref="AL58:AL59" si="101">71.352*BC25^0.3356</f>
        <v>33.385898572060221</v>
      </c>
      <c r="AM58" s="10">
        <f t="shared" ref="AM58:AM59" si="102">37.823*BD25^0.5145</f>
        <v>72.917325913091261</v>
      </c>
      <c r="AN58" s="10">
        <f t="shared" ref="AN58:AN59" si="103">17.285*BE25^0.664</f>
        <v>44.60632266612668</v>
      </c>
      <c r="AO58" s="10">
        <f t="shared" ref="AO58:AO59" si="104">101.5*BF25^0.2757</f>
        <v>49.55474582147464</v>
      </c>
      <c r="AP58" s="10">
        <f t="shared" ref="AP58:AP59" si="105">66.539*BG25^0.286</f>
        <v>87.020906821475961</v>
      </c>
      <c r="AQ58" s="10">
        <f t="shared" ref="AQ58:AQ59" si="106">49.512*BH25^0.2727</f>
        <v>66.655091622255412</v>
      </c>
      <c r="AR58" s="10">
        <f t="shared" ref="AR58:AR59" si="107">96.745*BI25^0.3131</f>
        <v>42.85558944920146</v>
      </c>
      <c r="AS58" s="10">
        <f t="shared" ref="AS58:AS59" si="108">63.061*BJ25^0.4573</f>
        <v>96.853280871763673</v>
      </c>
      <c r="AT58" s="10">
        <f t="shared" ref="AT58:AT59" si="109">34.986*BK25^0.6412</f>
        <v>70.38840182826543</v>
      </c>
      <c r="AU58" s="10">
        <f t="shared" ref="AU58:AU59" si="110">908.48*BL25^0.3562</f>
        <v>28.917356988773388</v>
      </c>
      <c r="AV58" s="10">
        <f t="shared" ref="AV58:AV59" si="111">1428.8*BM25^0.3909</f>
        <v>32.32318274939913</v>
      </c>
      <c r="AX58">
        <v>150</v>
      </c>
      <c r="AY58">
        <v>150</v>
      </c>
    </row>
    <row r="59" spans="2:51" x14ac:dyDescent="0.25">
      <c r="B59" s="12" t="s">
        <v>71</v>
      </c>
      <c r="C59" s="10">
        <f>C7/$H15</f>
        <v>23.001831143541359</v>
      </c>
      <c r="D59" s="10">
        <f t="shared" ref="D59:P59" si="112">D7/$H15</f>
        <v>23.001831143541359</v>
      </c>
      <c r="E59" s="10">
        <f t="shared" si="112"/>
        <v>23.001831143541359</v>
      </c>
      <c r="F59" s="10">
        <f t="shared" si="112"/>
        <v>23.001831143541359</v>
      </c>
      <c r="G59" s="10">
        <f t="shared" si="112"/>
        <v>5.7504577858853398</v>
      </c>
      <c r="H59" s="10">
        <f t="shared" si="112"/>
        <v>7.5474758439745084</v>
      </c>
      <c r="I59" s="10">
        <f t="shared" si="112"/>
        <v>23.001831143541359</v>
      </c>
      <c r="J59" s="10">
        <f t="shared" si="112"/>
        <v>23.001831143541359</v>
      </c>
      <c r="K59" s="10">
        <f t="shared" si="112"/>
        <v>23.001831143541359</v>
      </c>
      <c r="L59" s="10">
        <f t="shared" si="112"/>
        <v>23.001831143541359</v>
      </c>
      <c r="M59" s="10">
        <f t="shared" si="112"/>
        <v>23.001831143541359</v>
      </c>
      <c r="N59" s="10">
        <f t="shared" si="112"/>
        <v>11.50091557177068</v>
      </c>
      <c r="O59" s="10">
        <f t="shared" si="112"/>
        <v>5.7504577858853398</v>
      </c>
      <c r="P59" s="10">
        <f t="shared" si="112"/>
        <v>23.001831143541359</v>
      </c>
      <c r="R59" s="133"/>
      <c r="S59" s="10"/>
      <c r="T59" s="10"/>
      <c r="AJ59" s="12" t="s">
        <v>43</v>
      </c>
      <c r="AK59" s="10">
        <f>427.15*(AK26^0.6026)</f>
        <v>42.282288448981511</v>
      </c>
      <c r="AL59" s="10">
        <f t="shared" si="101"/>
        <v>72.39495654151554</v>
      </c>
      <c r="AM59" s="10">
        <f t="shared" si="102"/>
        <v>95.729258216519057</v>
      </c>
      <c r="AN59" s="10">
        <f t="shared" si="103"/>
        <v>31.098695993070375</v>
      </c>
      <c r="AO59" s="10">
        <f t="shared" si="104"/>
        <v>93.803524039240102</v>
      </c>
      <c r="AP59" s="10">
        <f t="shared" si="105"/>
        <v>101.47501737615451</v>
      </c>
      <c r="AQ59" s="10">
        <f t="shared" si="106"/>
        <v>57.606542971146652</v>
      </c>
      <c r="AR59" s="10">
        <f t="shared" si="107"/>
        <v>88.457750280989657</v>
      </c>
      <c r="AS59" s="10">
        <f t="shared" si="108"/>
        <v>123.82866252047599</v>
      </c>
      <c r="AT59" s="10">
        <f t="shared" si="109"/>
        <v>49.948109803800001</v>
      </c>
      <c r="AU59" s="10">
        <f t="shared" si="110"/>
        <v>52.530845798040332</v>
      </c>
      <c r="AV59" s="10">
        <f t="shared" si="111"/>
        <v>62.511379103896608</v>
      </c>
    </row>
    <row r="60" spans="2:51" x14ac:dyDescent="0.25">
      <c r="B60" s="12" t="s">
        <v>97</v>
      </c>
      <c r="C60" s="10">
        <f>C8/$H16</f>
        <v>2.1132018348086747</v>
      </c>
      <c r="D60" s="10">
        <f t="shared" ref="D60:P60" si="113">D8/$H16</f>
        <v>2.1132018348086747</v>
      </c>
      <c r="E60" s="10">
        <f t="shared" si="113"/>
        <v>2.1132018348086747</v>
      </c>
      <c r="F60" s="10">
        <f t="shared" si="113"/>
        <v>2.1132018348086747</v>
      </c>
      <c r="G60" s="10">
        <f t="shared" si="113"/>
        <v>1.4858450400998495</v>
      </c>
      <c r="H60" s="10">
        <f t="shared" si="113"/>
        <v>2.1132018348086747</v>
      </c>
      <c r="I60" s="10">
        <f t="shared" si="113"/>
        <v>2.1132018348086747</v>
      </c>
      <c r="J60" s="10">
        <f t="shared" si="113"/>
        <v>2.1132018348086747</v>
      </c>
      <c r="K60" s="10">
        <f t="shared" si="113"/>
        <v>2.1132018348086747</v>
      </c>
      <c r="L60" s="10">
        <f t="shared" si="113"/>
        <v>2.1132018348086747</v>
      </c>
      <c r="M60" s="10">
        <f t="shared" si="113"/>
        <v>0.52830045870216868</v>
      </c>
      <c r="N60" s="10">
        <f t="shared" si="113"/>
        <v>0.52830045870216868</v>
      </c>
      <c r="O60" s="10">
        <f t="shared" si="113"/>
        <v>2.1132018348086747</v>
      </c>
      <c r="P60" s="10">
        <f t="shared" si="113"/>
        <v>2.1132018348086747</v>
      </c>
      <c r="R60" s="133"/>
      <c r="S60" s="10"/>
      <c r="T60" s="10"/>
      <c r="AJ60" s="12" t="s">
        <v>44</v>
      </c>
      <c r="AK60" s="10">
        <f>427.15*(AK29^0.6026)</f>
        <v>36.493931005493906</v>
      </c>
      <c r="AL60" s="10">
        <f>71.352*BC29^0.3356</f>
        <v>45.073254831380368</v>
      </c>
      <c r="AM60" s="10">
        <f>37.823*BD29^0.5145</f>
        <v>67.136697687644613</v>
      </c>
      <c r="AN60" s="10">
        <f>17.285*BE29^0.664</f>
        <v>37.127843822750485</v>
      </c>
      <c r="AO60" s="10">
        <f>101.5*BF29^0.2757</f>
        <v>57.155743095772074</v>
      </c>
      <c r="AP60" s="10">
        <f>66.539*BG29^0.286</f>
        <v>74.624912942654149</v>
      </c>
      <c r="AQ60" s="10">
        <f>49.512*BH29^0.2727</f>
        <v>55.780048424499455</v>
      </c>
      <c r="AR60" s="10">
        <f>96.745*BI29^0.3131</f>
        <v>50.395208248444753</v>
      </c>
      <c r="AS60" s="10">
        <f>63.061*BJ29^0.4573</f>
        <v>75.75315342070499</v>
      </c>
      <c r="AT60" s="10">
        <f>34.986*BK29^0.6412</f>
        <v>46.303888574263681</v>
      </c>
      <c r="AU60" s="10">
        <f>908.48*BL29^0.3562</f>
        <v>39.594023182444552</v>
      </c>
      <c r="AV60" s="10">
        <f>1428.8*BM29^0.3909</f>
        <v>44.426713401992728</v>
      </c>
    </row>
    <row r="61" spans="2:51" x14ac:dyDescent="0.25">
      <c r="B61" s="124" t="s">
        <v>86</v>
      </c>
      <c r="C61" s="124"/>
      <c r="D61" s="119" t="s">
        <v>76</v>
      </c>
      <c r="E61" s="119"/>
      <c r="F61" s="119"/>
      <c r="G61" s="119" t="s">
        <v>77</v>
      </c>
      <c r="H61" s="119"/>
      <c r="I61" s="119"/>
      <c r="J61" s="119" t="s">
        <v>76</v>
      </c>
      <c r="K61" s="119"/>
      <c r="L61" s="119"/>
      <c r="M61" s="119" t="s">
        <v>77</v>
      </c>
      <c r="N61" s="119"/>
      <c r="O61" s="119"/>
      <c r="R61" s="135"/>
      <c r="AJ61" s="12" t="s">
        <v>96</v>
      </c>
    </row>
    <row r="62" spans="2:51" x14ac:dyDescent="0.25">
      <c r="B62" t="s">
        <v>80</v>
      </c>
      <c r="C62" s="1" t="s">
        <v>70</v>
      </c>
      <c r="D62" s="1" t="s">
        <v>73</v>
      </c>
      <c r="E62" s="1" t="s">
        <v>74</v>
      </c>
      <c r="F62" s="1" t="s">
        <v>75</v>
      </c>
      <c r="G62" s="1" t="s">
        <v>73</v>
      </c>
      <c r="H62" s="1" t="s">
        <v>74</v>
      </c>
      <c r="I62" s="1" t="s">
        <v>75</v>
      </c>
      <c r="J62" s="1" t="s">
        <v>73</v>
      </c>
      <c r="K62" s="1" t="s">
        <v>74</v>
      </c>
      <c r="L62" s="1" t="s">
        <v>75</v>
      </c>
      <c r="M62" s="1" t="s">
        <v>73</v>
      </c>
      <c r="N62" s="1" t="s">
        <v>74</v>
      </c>
      <c r="O62" s="1" t="s">
        <v>75</v>
      </c>
      <c r="P62" s="1" t="s">
        <v>78</v>
      </c>
      <c r="R62" s="133"/>
      <c r="S62" s="1"/>
      <c r="T62" s="1"/>
      <c r="AJ62" s="1" t="s">
        <v>108</v>
      </c>
      <c r="AK62" s="10">
        <f>427.15*(AK27^0.6026)</f>
        <v>4.3804747033223146</v>
      </c>
      <c r="AL62" s="10">
        <f>71.352*BC27^0.3356</f>
        <v>0</v>
      </c>
      <c r="AM62" s="10">
        <f>37.823*BD27^0.5145</f>
        <v>0.1316794236738229</v>
      </c>
      <c r="AN62" s="10">
        <f>17.285*BE27^0.664</f>
        <v>0.27829480275425916</v>
      </c>
      <c r="AO62" s="10">
        <f>101.5*BF27^0.2757</f>
        <v>0</v>
      </c>
      <c r="AP62" s="10">
        <f>66.539*BG27^0.286</f>
        <v>2.6052187165101865</v>
      </c>
      <c r="AQ62" s="10">
        <f>49.512*BH27^0.2727</f>
        <v>8.3064954113297969</v>
      </c>
      <c r="AR62" s="10">
        <f>96.745*BI27^0.3131</f>
        <v>0</v>
      </c>
      <c r="AS62" s="10">
        <f>63.061*BJ27^0.4573</f>
        <v>0.3545403285358788</v>
      </c>
      <c r="AT62" s="10">
        <f>34.986*BK27^0.6412</f>
        <v>0.52595345681172057</v>
      </c>
      <c r="AU62" s="10">
        <f>908.48*BL27^0.3562</f>
        <v>3.5966811808675878</v>
      </c>
      <c r="AV62" s="10">
        <f>1428.8*BM27^0.3909</f>
        <v>3.3015363026774494</v>
      </c>
    </row>
    <row r="63" spans="2:51" x14ac:dyDescent="0.25">
      <c r="B63" s="12" t="s">
        <v>42</v>
      </c>
      <c r="C63" s="10">
        <f>C4/$I12</f>
        <v>3.7282422779363467</v>
      </c>
      <c r="D63" s="10">
        <f t="shared" ref="D63:P63" si="114">D4/$I12</f>
        <v>3.7282422779363467</v>
      </c>
      <c r="E63" s="10">
        <f t="shared" si="114"/>
        <v>3.7282422779363467</v>
      </c>
      <c r="F63" s="10">
        <f t="shared" si="114"/>
        <v>3.7282422779363467</v>
      </c>
      <c r="G63" s="10">
        <f t="shared" si="114"/>
        <v>1.8641211389681733</v>
      </c>
      <c r="H63" s="10">
        <f t="shared" si="114"/>
        <v>3.7282422779363467</v>
      </c>
      <c r="I63" s="10">
        <f t="shared" si="114"/>
        <v>3.7282422779363467</v>
      </c>
      <c r="J63" s="10">
        <f t="shared" si="114"/>
        <v>1.3107101758369968</v>
      </c>
      <c r="K63" s="10">
        <f t="shared" si="114"/>
        <v>2.6214203516739936</v>
      </c>
      <c r="L63" s="10">
        <f t="shared" si="114"/>
        <v>2.6214203516739936</v>
      </c>
      <c r="M63" s="10">
        <f t="shared" si="114"/>
        <v>1.3107101758369968</v>
      </c>
      <c r="N63" s="10">
        <f t="shared" si="114"/>
        <v>1.3107101758369968</v>
      </c>
      <c r="O63" s="10">
        <f t="shared" si="114"/>
        <v>2.6214203516739936</v>
      </c>
      <c r="P63" s="10">
        <f t="shared" si="114"/>
        <v>2.6214203516739936</v>
      </c>
      <c r="R63" s="133"/>
      <c r="S63" s="10"/>
      <c r="T63" s="10"/>
      <c r="AJ63" s="1" t="s">
        <v>109</v>
      </c>
      <c r="AK63" s="10">
        <f>427.15*(AK28^0.6026)</f>
        <v>9.9231426164650092</v>
      </c>
      <c r="AL63" s="10">
        <f>71.352*BC28^0.3356</f>
        <v>4.2687873449349301</v>
      </c>
      <c r="AM63" s="10">
        <f>37.823*BD28^0.5145</f>
        <v>3.2257056012564149</v>
      </c>
      <c r="AN63" s="10">
        <f>17.285*BE28^0.664</f>
        <v>5.2449583050414192</v>
      </c>
      <c r="AO63" s="10">
        <f>101.5*BF28^0.2757</f>
        <v>8.7893813822990623</v>
      </c>
      <c r="AP63" s="10">
        <f>66.539*BG28^0.286</f>
        <v>14.753634839521972</v>
      </c>
      <c r="AQ63" s="10">
        <f>49.512*BH28^0.2727</f>
        <v>26.602133752778105</v>
      </c>
      <c r="AR63" s="10">
        <f>96.745*BI28^0.3131</f>
        <v>6.0115523233472015</v>
      </c>
      <c r="AS63" s="10">
        <f>63.061*BJ28^0.4573</f>
        <v>5.6723558771039162</v>
      </c>
      <c r="AT63" s="10">
        <f>34.986*BK28^0.6412</f>
        <v>8.1194606604934929</v>
      </c>
      <c r="AU63" s="10">
        <f>908.48*BL28^0.3562</f>
        <v>9.0390361910782833</v>
      </c>
      <c r="AV63" s="10">
        <f>1428.8*BM28^0.3909</f>
        <v>8.9808397194971636</v>
      </c>
    </row>
    <row r="64" spans="2:51" x14ac:dyDescent="0.25">
      <c r="B64" s="12" t="s">
        <v>43</v>
      </c>
      <c r="C64" s="10">
        <f>C5/$I13</f>
        <v>5.1495928342935233</v>
      </c>
      <c r="D64" s="10">
        <f t="shared" ref="D64:P64" si="115">D5/$I13</f>
        <v>5.1495928342935233</v>
      </c>
      <c r="E64" s="10">
        <f t="shared" si="115"/>
        <v>10.299185668587047</v>
      </c>
      <c r="F64" s="10">
        <f t="shared" si="115"/>
        <v>10.299185668587047</v>
      </c>
      <c r="G64" s="10">
        <f t="shared" si="115"/>
        <v>2.5747964171467617</v>
      </c>
      <c r="H64" s="10">
        <f t="shared" si="115"/>
        <v>3.6208074616126336</v>
      </c>
      <c r="I64" s="10">
        <f t="shared" si="115"/>
        <v>10.299185668587047</v>
      </c>
      <c r="J64" s="10">
        <f t="shared" si="115"/>
        <v>5.1495928342935233</v>
      </c>
      <c r="K64" s="10">
        <f t="shared" si="115"/>
        <v>5.1495928342935233</v>
      </c>
      <c r="L64" s="10">
        <f t="shared" si="115"/>
        <v>10.299185668587047</v>
      </c>
      <c r="M64" s="10">
        <f t="shared" si="115"/>
        <v>2.5747964171467617</v>
      </c>
      <c r="N64" s="10">
        <f t="shared" si="115"/>
        <v>3.6208074616126336</v>
      </c>
      <c r="O64" s="10">
        <f t="shared" si="115"/>
        <v>5.1495928342935233</v>
      </c>
      <c r="P64" s="10">
        <f t="shared" si="115"/>
        <v>3.6208074616126336</v>
      </c>
      <c r="R64" s="133"/>
      <c r="S64" s="10"/>
      <c r="T64" s="10"/>
    </row>
    <row r="65" spans="2:50" x14ac:dyDescent="0.25">
      <c r="B65" s="12" t="s">
        <v>44</v>
      </c>
      <c r="C65" s="10">
        <f>C6/$I14</f>
        <v>2.0972950979956071</v>
      </c>
      <c r="D65" s="10">
        <f t="shared" ref="D65:P65" si="116">D6/$I14</f>
        <v>2.0972950979956071</v>
      </c>
      <c r="E65" s="10">
        <f t="shared" si="116"/>
        <v>2.0972950979956071</v>
      </c>
      <c r="F65" s="10">
        <f t="shared" si="116"/>
        <v>2.0972950979956071</v>
      </c>
      <c r="G65" s="10">
        <f t="shared" si="116"/>
        <v>0.73733030788908061</v>
      </c>
      <c r="H65" s="10">
        <f t="shared" si="116"/>
        <v>0.52432377449890177</v>
      </c>
      <c r="I65" s="10">
        <f t="shared" si="116"/>
        <v>2.0972950979956071</v>
      </c>
      <c r="J65" s="10">
        <f t="shared" si="116"/>
        <v>1.0486475489978035</v>
      </c>
      <c r="K65" s="10">
        <f t="shared" si="116"/>
        <v>2.0972950979956071</v>
      </c>
      <c r="L65" s="10">
        <f t="shared" si="116"/>
        <v>2.0972950979956071</v>
      </c>
      <c r="M65" s="10">
        <f t="shared" si="116"/>
        <v>1.0486475489978035</v>
      </c>
      <c r="N65" s="10">
        <f t="shared" si="116"/>
        <v>0.52432377449890177</v>
      </c>
      <c r="O65" s="10">
        <f t="shared" si="116"/>
        <v>0.52432377449890177</v>
      </c>
      <c r="P65" s="10">
        <f t="shared" si="116"/>
        <v>1.0486475489978035</v>
      </c>
      <c r="R65" s="133"/>
      <c r="S65" s="10"/>
      <c r="T65" s="10"/>
    </row>
    <row r="66" spans="2:50" x14ac:dyDescent="0.25">
      <c r="B66" s="12" t="s">
        <v>71</v>
      </c>
      <c r="C66" s="10">
        <f>C7/$I15</f>
        <v>10.299185668587047</v>
      </c>
      <c r="D66" s="10">
        <f t="shared" ref="D66:P66" si="117">D7/$I15</f>
        <v>10.299185668587047</v>
      </c>
      <c r="E66" s="10">
        <f t="shared" si="117"/>
        <v>10.299185668587047</v>
      </c>
      <c r="F66" s="10">
        <f t="shared" si="117"/>
        <v>10.299185668587047</v>
      </c>
      <c r="G66" s="10">
        <f t="shared" si="117"/>
        <v>2.5747964171467617</v>
      </c>
      <c r="H66" s="10">
        <f t="shared" si="117"/>
        <v>3.3794202975051246</v>
      </c>
      <c r="I66" s="10">
        <f t="shared" si="117"/>
        <v>10.299185668587047</v>
      </c>
      <c r="J66" s="10">
        <f t="shared" si="117"/>
        <v>10.299185668587047</v>
      </c>
      <c r="K66" s="10">
        <f t="shared" si="117"/>
        <v>10.299185668587047</v>
      </c>
      <c r="L66" s="10">
        <f t="shared" si="117"/>
        <v>10.299185668587047</v>
      </c>
      <c r="M66" s="10">
        <f t="shared" si="117"/>
        <v>10.299185668587047</v>
      </c>
      <c r="N66" s="10">
        <f t="shared" si="117"/>
        <v>5.1495928342935233</v>
      </c>
      <c r="O66" s="10">
        <f t="shared" si="117"/>
        <v>2.5747964171467617</v>
      </c>
      <c r="P66" s="10">
        <f t="shared" si="117"/>
        <v>10.299185668587047</v>
      </c>
      <c r="R66" s="133"/>
      <c r="S66" s="10"/>
      <c r="T66" s="10"/>
    </row>
    <row r="67" spans="2:50" x14ac:dyDescent="0.25">
      <c r="B67" s="12" t="s">
        <v>97</v>
      </c>
      <c r="C67" s="10">
        <f>C8/$I16</f>
        <v>1.8828059701578179</v>
      </c>
      <c r="D67" s="10">
        <f t="shared" ref="D67:P67" si="118">D8/$I16</f>
        <v>1.8828059701578179</v>
      </c>
      <c r="E67" s="10">
        <f t="shared" si="118"/>
        <v>1.8828059701578179</v>
      </c>
      <c r="F67" s="10">
        <f t="shared" si="118"/>
        <v>1.8828059701578179</v>
      </c>
      <c r="G67" s="10">
        <f t="shared" si="118"/>
        <v>1.3238479477672156</v>
      </c>
      <c r="H67" s="10">
        <f t="shared" si="118"/>
        <v>1.8828059701578179</v>
      </c>
      <c r="I67" s="10">
        <f t="shared" si="118"/>
        <v>1.8828059701578179</v>
      </c>
      <c r="J67" s="10">
        <f t="shared" si="118"/>
        <v>1.8828059701578179</v>
      </c>
      <c r="K67" s="10">
        <f t="shared" si="118"/>
        <v>1.8828059701578179</v>
      </c>
      <c r="L67" s="10">
        <f t="shared" si="118"/>
        <v>1.8828059701578179</v>
      </c>
      <c r="M67" s="10">
        <f t="shared" si="118"/>
        <v>0.47070149253945448</v>
      </c>
      <c r="N67" s="10">
        <f t="shared" si="118"/>
        <v>0.47070149253945448</v>
      </c>
      <c r="O67" s="10">
        <f t="shared" si="118"/>
        <v>1.8828059701578179</v>
      </c>
      <c r="P67" s="10">
        <f t="shared" si="118"/>
        <v>1.8828059701578179</v>
      </c>
      <c r="R67" s="133"/>
      <c r="S67" s="10"/>
      <c r="T67" s="10"/>
    </row>
    <row r="68" spans="2:50" x14ac:dyDescent="0.25">
      <c r="B68" s="124" t="s">
        <v>87</v>
      </c>
      <c r="C68" s="124"/>
      <c r="D68" s="119" t="s">
        <v>76</v>
      </c>
      <c r="E68" s="119"/>
      <c r="F68" s="119"/>
      <c r="G68" s="119" t="s">
        <v>77</v>
      </c>
      <c r="H68" s="119"/>
      <c r="I68" s="119"/>
      <c r="J68" s="119" t="s">
        <v>76</v>
      </c>
      <c r="K68" s="119"/>
      <c r="L68" s="119"/>
      <c r="M68" s="119" t="s">
        <v>77</v>
      </c>
      <c r="N68" s="119"/>
      <c r="O68" s="119"/>
      <c r="R68" s="135"/>
      <c r="AI68" t="s">
        <v>107</v>
      </c>
    </row>
    <row r="69" spans="2:50" x14ac:dyDescent="0.25">
      <c r="B69" t="s">
        <v>80</v>
      </c>
      <c r="C69" s="1" t="s">
        <v>70</v>
      </c>
      <c r="D69" s="1" t="s">
        <v>73</v>
      </c>
      <c r="E69" s="1" t="s">
        <v>74</v>
      </c>
      <c r="F69" s="1" t="s">
        <v>75</v>
      </c>
      <c r="G69" s="1" t="s">
        <v>73</v>
      </c>
      <c r="H69" s="1" t="s">
        <v>74</v>
      </c>
      <c r="I69" s="1" t="s">
        <v>75</v>
      </c>
      <c r="J69" s="1" t="s">
        <v>73</v>
      </c>
      <c r="K69" s="1" t="s">
        <v>74</v>
      </c>
      <c r="L69" s="1" t="s">
        <v>75</v>
      </c>
      <c r="M69" s="1" t="s">
        <v>73</v>
      </c>
      <c r="N69" s="1" t="s">
        <v>74</v>
      </c>
      <c r="O69" s="1" t="s">
        <v>75</v>
      </c>
      <c r="P69" s="1" t="s">
        <v>78</v>
      </c>
      <c r="R69" s="133"/>
      <c r="S69" s="1"/>
      <c r="T69" s="1"/>
      <c r="AI69" s="59"/>
      <c r="AJ69" s="60"/>
      <c r="AK69" s="123" t="s">
        <v>72</v>
      </c>
      <c r="AL69" s="121"/>
      <c r="AM69" s="121"/>
      <c r="AN69" s="121"/>
      <c r="AO69" s="121"/>
      <c r="AP69" s="122"/>
      <c r="AQ69" s="123" t="s">
        <v>117</v>
      </c>
      <c r="AR69" s="121"/>
      <c r="AS69" s="121"/>
      <c r="AT69" s="121"/>
      <c r="AU69" s="121"/>
      <c r="AV69" s="122"/>
      <c r="AW69" s="61"/>
    </row>
    <row r="70" spans="2:50" x14ac:dyDescent="0.25">
      <c r="B70" s="12" t="s">
        <v>42</v>
      </c>
      <c r="C70" s="10">
        <f>C4/$J12</f>
        <v>9.4416059702706825</v>
      </c>
      <c r="D70" s="10">
        <f t="shared" ref="D70:P70" si="119">D4/$J12</f>
        <v>9.4416059702706825</v>
      </c>
      <c r="E70" s="10">
        <f t="shared" si="119"/>
        <v>9.4416059702706825</v>
      </c>
      <c r="F70" s="10">
        <f t="shared" si="119"/>
        <v>9.4416059702706825</v>
      </c>
      <c r="G70" s="10">
        <f t="shared" si="119"/>
        <v>4.7208029851353412</v>
      </c>
      <c r="H70" s="10">
        <f t="shared" si="119"/>
        <v>9.4416059702706825</v>
      </c>
      <c r="I70" s="10">
        <f t="shared" si="119"/>
        <v>9.4416059702706825</v>
      </c>
      <c r="J70" s="10">
        <f t="shared" si="119"/>
        <v>3.3193145989232873</v>
      </c>
      <c r="K70" s="10">
        <f t="shared" si="119"/>
        <v>6.6386291978465746</v>
      </c>
      <c r="L70" s="10">
        <f t="shared" si="119"/>
        <v>6.6386291978465746</v>
      </c>
      <c r="M70" s="10">
        <f t="shared" si="119"/>
        <v>3.3193145989232873</v>
      </c>
      <c r="N70" s="10">
        <f t="shared" si="119"/>
        <v>3.3193145989232873</v>
      </c>
      <c r="O70" s="10">
        <f t="shared" si="119"/>
        <v>6.6386291978465746</v>
      </c>
      <c r="P70" s="10">
        <f t="shared" si="119"/>
        <v>6.6386291978465746</v>
      </c>
      <c r="R70" s="133"/>
      <c r="S70" s="10"/>
      <c r="T70" s="10"/>
      <c r="AI70" s="53"/>
      <c r="AK70" s="123" t="s">
        <v>76</v>
      </c>
      <c r="AL70" s="121"/>
      <c r="AM70" s="122"/>
      <c r="AN70" s="123" t="s">
        <v>77</v>
      </c>
      <c r="AO70" s="121"/>
      <c r="AP70" s="122"/>
      <c r="AQ70" s="123" t="s">
        <v>76</v>
      </c>
      <c r="AR70" s="121"/>
      <c r="AS70" s="122"/>
      <c r="AT70" s="123" t="s">
        <v>77</v>
      </c>
      <c r="AU70" s="121"/>
      <c r="AV70" s="122"/>
      <c r="AW70" s="54"/>
    </row>
    <row r="71" spans="2:50" x14ac:dyDescent="0.25">
      <c r="B71" s="12" t="s">
        <v>43</v>
      </c>
      <c r="C71" s="10" t="e">
        <f>C5/$J13</f>
        <v>#DIV/0!</v>
      </c>
      <c r="D71" s="10" t="e">
        <f t="shared" ref="D71:P71" si="120">D5/$J13</f>
        <v>#DIV/0!</v>
      </c>
      <c r="E71" s="10" t="e">
        <f t="shared" si="120"/>
        <v>#DIV/0!</v>
      </c>
      <c r="F71" s="10" t="e">
        <f t="shared" si="120"/>
        <v>#DIV/0!</v>
      </c>
      <c r="G71" s="10" t="e">
        <f t="shared" si="120"/>
        <v>#DIV/0!</v>
      </c>
      <c r="H71" s="10" t="e">
        <f t="shared" si="120"/>
        <v>#DIV/0!</v>
      </c>
      <c r="I71" s="10" t="e">
        <f t="shared" si="120"/>
        <v>#DIV/0!</v>
      </c>
      <c r="J71" s="10" t="e">
        <f t="shared" si="120"/>
        <v>#DIV/0!</v>
      </c>
      <c r="K71" s="10" t="e">
        <f t="shared" si="120"/>
        <v>#DIV/0!</v>
      </c>
      <c r="L71" s="10" t="e">
        <f t="shared" si="120"/>
        <v>#DIV/0!</v>
      </c>
      <c r="M71" s="10" t="e">
        <f t="shared" si="120"/>
        <v>#DIV/0!</v>
      </c>
      <c r="N71" s="10" t="e">
        <f t="shared" si="120"/>
        <v>#DIV/0!</v>
      </c>
      <c r="O71" s="10" t="e">
        <f t="shared" si="120"/>
        <v>#DIV/0!</v>
      </c>
      <c r="P71" s="10" t="e">
        <f t="shared" si="120"/>
        <v>#DIV/0!</v>
      </c>
      <c r="R71" s="1"/>
      <c r="S71" s="10"/>
      <c r="T71" s="10"/>
      <c r="AI71" s="53"/>
      <c r="AJ71" s="21" t="s">
        <v>70</v>
      </c>
      <c r="AK71" s="72" t="s">
        <v>73</v>
      </c>
      <c r="AL71" s="21" t="s">
        <v>74</v>
      </c>
      <c r="AM71" s="73" t="s">
        <v>75</v>
      </c>
      <c r="AN71" s="72" t="s">
        <v>73</v>
      </c>
      <c r="AO71" s="21" t="s">
        <v>74</v>
      </c>
      <c r="AP71" s="73" t="s">
        <v>75</v>
      </c>
      <c r="AQ71" s="72" t="s">
        <v>73</v>
      </c>
      <c r="AR71" s="21" t="s">
        <v>74</v>
      </c>
      <c r="AS71" s="73" t="s">
        <v>75</v>
      </c>
      <c r="AT71" s="72" t="s">
        <v>73</v>
      </c>
      <c r="AU71" s="21" t="s">
        <v>74</v>
      </c>
      <c r="AV71" s="73" t="s">
        <v>75</v>
      </c>
      <c r="AW71" s="6" t="s">
        <v>78</v>
      </c>
    </row>
    <row r="72" spans="2:50" x14ac:dyDescent="0.25">
      <c r="B72" s="12" t="s">
        <v>44</v>
      </c>
      <c r="C72" s="10">
        <f>C6/$J14</f>
        <v>8.8094072600960853</v>
      </c>
      <c r="D72" s="10">
        <f t="shared" ref="D72:P72" si="121">D6/$J14</f>
        <v>8.8094072600960853</v>
      </c>
      <c r="E72" s="10">
        <f t="shared" si="121"/>
        <v>8.8094072600960853</v>
      </c>
      <c r="F72" s="10">
        <f t="shared" si="121"/>
        <v>8.8094072600960853</v>
      </c>
      <c r="G72" s="10">
        <f t="shared" si="121"/>
        <v>3.0970572398775302</v>
      </c>
      <c r="H72" s="10">
        <f t="shared" si="121"/>
        <v>2.2023518150240213</v>
      </c>
      <c r="I72" s="10">
        <f t="shared" si="121"/>
        <v>8.8094072600960853</v>
      </c>
      <c r="J72" s="10">
        <f t="shared" si="121"/>
        <v>4.4047036300480427</v>
      </c>
      <c r="K72" s="10">
        <f t="shared" si="121"/>
        <v>8.8094072600960853</v>
      </c>
      <c r="L72" s="10">
        <f t="shared" si="121"/>
        <v>8.8094072600960853</v>
      </c>
      <c r="M72" s="10">
        <f t="shared" si="121"/>
        <v>4.4047036300480427</v>
      </c>
      <c r="N72" s="10">
        <f t="shared" si="121"/>
        <v>2.2023518150240213</v>
      </c>
      <c r="O72" s="10">
        <f t="shared" si="121"/>
        <v>2.2023518150240213</v>
      </c>
      <c r="P72" s="10">
        <f t="shared" si="121"/>
        <v>4.4047036300480427</v>
      </c>
      <c r="R72" s="1"/>
      <c r="S72" s="10"/>
      <c r="T72" s="10"/>
      <c r="AI72" s="90" t="s">
        <v>26</v>
      </c>
      <c r="AJ72" s="10" cm="1">
        <f t="array" ref="AJ72">SQRT(SUMSQ($AK37:$AK40-AY38:AY41)/COUNTA($AK37:$AK40-AY38:AY41))</f>
        <v>66.940796455554661</v>
      </c>
      <c r="AK72" s="20" cm="1">
        <f t="array" ref="AK72">SQRT(SUMSQ($AK37:$AK40-AZ38:AZ41)/COUNTA($AK37:$AK40-AZ38:AZ41))</f>
        <v>66.940796455554661</v>
      </c>
      <c r="AL72" s="10" cm="1">
        <f t="array" ref="AL72">SQRT(SUMSQ($AK37:$AK40-BA38:BA41)/COUNTA($AK37:$AK40-BA38:BA41))</f>
        <v>79.011411015129525</v>
      </c>
      <c r="AM72" s="22" cm="1">
        <f t="array" ref="AM72">SQRT(SUMSQ($AK37:$AK40-BB38:BB41)/COUNTA($AK37:$AK40-BB38:BB41))</f>
        <v>79.011411015129525</v>
      </c>
      <c r="AN72" s="96" cm="1">
        <f t="array" ref="AN72">SQRT(SUMSQ($AK37:$AK40-BC38:BC41)/COUNTA($AK37:$AK40-BC38:BC41))</f>
        <v>39.31620614834933</v>
      </c>
      <c r="AO72" s="10" cm="1">
        <f t="array" ref="AO72">SQRT(SUMSQ($AK37:$AK40-BD38:BD41)/COUNTA($AK37:$AK40-BD38:BD41))</f>
        <v>60.736029339378646</v>
      </c>
      <c r="AP72" s="22" cm="1">
        <f t="array" ref="AP72">SQRT(SUMSQ($AK37:$AK40-BE38:BE41)/COUNTA($AK37:$AK40-BE38:BE41))</f>
        <v>79.011411015129525</v>
      </c>
      <c r="AQ72" s="20" cm="1">
        <f t="array" ref="AQ72">SQRT(SUMSQ($AK37:$AK40-BF38:BF41)/COUNTA($AK37:$AK40-BF38:BF41))</f>
        <v>60.84611723069473</v>
      </c>
      <c r="AR72" s="10" cm="1">
        <f t="array" ref="AR72">SQRT(SUMSQ($AK37:$AK40-BG38:BG41)/COUNTA($AK37:$AK40-BG38:BG41))</f>
        <v>57.708625077461846</v>
      </c>
      <c r="AS72" s="22" cm="1">
        <f t="array" ref="AS72">SQRT(SUMSQ($AK37:$AK40-BH38:BH41)/COUNTA($AK37:$AK40-BH38:BH41))</f>
        <v>71.358378967215828</v>
      </c>
      <c r="AT72" s="20" cm="1">
        <f t="array" ref="AT72">SQRT(SUMSQ($AK37:$AK40-BI38:BI41)/COUNTA($AK37:$AK40-BI38:BI41))</f>
        <v>59.911464360359112</v>
      </c>
      <c r="AU72" s="10" cm="1">
        <f t="array" ref="AU72">SQRT(SUMSQ($AK37:$AK40-BJ38:BJ41)/COUNTA($AK37:$AK40-BJ38:BJ41))</f>
        <v>49.069088879299848</v>
      </c>
      <c r="AV72" s="22" cm="1">
        <f t="array" ref="AV72">SQRT(SUMSQ($AK37:$AK40-BK38:BK41)/COUNTA($AK37:$AK40-BK38:BK41))</f>
        <v>50.660239545882874</v>
      </c>
      <c r="AW72" s="22" cm="1">
        <f t="array" ref="AW72">SQRT(SUMSQ($AK37:$AK40-BL38:BL41)/COUNTA($AK37:$AK40-BL38:BL41))</f>
        <v>63.265370025762415</v>
      </c>
      <c r="AX72" s="95">
        <f>MIN(AJ72:AW72)</f>
        <v>39.31620614834933</v>
      </c>
    </row>
    <row r="73" spans="2:50" x14ac:dyDescent="0.25">
      <c r="B73" s="12" t="s">
        <v>71</v>
      </c>
      <c r="C73" s="10" t="e">
        <f>C7/$J15</f>
        <v>#DIV/0!</v>
      </c>
      <c r="D73" s="10" t="e">
        <f t="shared" ref="D73:P74" si="122">D7/$J15</f>
        <v>#DIV/0!</v>
      </c>
      <c r="E73" s="10" t="e">
        <f t="shared" si="122"/>
        <v>#DIV/0!</v>
      </c>
      <c r="F73" s="10" t="e">
        <f t="shared" si="122"/>
        <v>#DIV/0!</v>
      </c>
      <c r="G73" s="10" t="e">
        <f t="shared" si="122"/>
        <v>#DIV/0!</v>
      </c>
      <c r="H73" s="10" t="e">
        <f t="shared" si="122"/>
        <v>#DIV/0!</v>
      </c>
      <c r="I73" s="10" t="e">
        <f t="shared" si="122"/>
        <v>#DIV/0!</v>
      </c>
      <c r="J73" s="10" t="e">
        <f t="shared" si="122"/>
        <v>#DIV/0!</v>
      </c>
      <c r="K73" s="10" t="e">
        <f t="shared" si="122"/>
        <v>#DIV/0!</v>
      </c>
      <c r="L73" s="10" t="e">
        <f t="shared" si="122"/>
        <v>#DIV/0!</v>
      </c>
      <c r="M73" s="10" t="e">
        <f t="shared" si="122"/>
        <v>#DIV/0!</v>
      </c>
      <c r="N73" s="10" t="e">
        <f t="shared" si="122"/>
        <v>#DIV/0!</v>
      </c>
      <c r="O73" s="10" t="e">
        <f t="shared" si="122"/>
        <v>#DIV/0!</v>
      </c>
      <c r="P73" s="10" t="e">
        <f t="shared" si="122"/>
        <v>#DIV/0!</v>
      </c>
      <c r="R73" s="1"/>
      <c r="S73" s="10"/>
      <c r="T73" s="10"/>
      <c r="AH73" s="120" t="s">
        <v>120</v>
      </c>
      <c r="AI73" s="85" t="s">
        <v>41</v>
      </c>
      <c r="AJ73" s="108" cm="1">
        <f t="array" ref="AJ73">SQRT(SUMSQ($AL37:$AL40-AY38:AY41)/COUNTA($AL37:$AL40-AY38:AY41))</f>
        <v>65.584106868077669</v>
      </c>
      <c r="AK73" s="107" cm="1">
        <f t="array" ref="AK73">SQRT(SUMSQ($AL37:$AL40-AZ38:AZ41)/COUNTA($AL37:$AL40-AZ38:AZ41))</f>
        <v>65.584106868077669</v>
      </c>
      <c r="AL73" s="108" cm="1">
        <f t="array" ref="AL73">SQRT(SUMSQ($AL37:$AL40-BA38:BA41)/COUNTA($AL37:$AL40-BA38:BA41))</f>
        <v>72.932834056235663</v>
      </c>
      <c r="AM73" s="106" cm="1">
        <f t="array" ref="AM73">SQRT(SUMSQ($AL37:$AL40-BB38:BB41)/COUNTA($AL37:$AL40-BB38:BB41))</f>
        <v>72.932834056235663</v>
      </c>
      <c r="AN73" s="107" cm="1">
        <f t="array" ref="AN73">SQRT(SUMSQ($AL37:$AL40-BC38:BC41)/COUNTA($AL37:$AL40-BC38:BC41))</f>
        <v>90.898888829164861</v>
      </c>
      <c r="AO73" s="108" cm="1">
        <f t="array" ref="AO73">SQRT(SUMSQ($AL37:$AL40-BD38:BD41)/COUNTA($AL37:$AL40-BD38:BD41))</f>
        <v>94.228064895446323</v>
      </c>
      <c r="AP73" s="106" cm="1">
        <f t="array" ref="AP73">SQRT(SUMSQ($AL37:$AL40-BE38:BE41)/COUNTA($AL37:$AL40-BE38:BE41))</f>
        <v>72.932834056235663</v>
      </c>
      <c r="AQ73" s="107" cm="1">
        <f t="array" ref="AQ73">SQRT(SUMSQ($AL37:$AL40-BF38:BF41)/COUNTA($AL37:$AL40-BF38:BF41))</f>
        <v>95.587274541814168</v>
      </c>
      <c r="AR73" s="109" cm="1">
        <f t="array" ref="AR73">SQRT(SUMSQ($AL37:$AL40-BG38:BG41)/COUNTA($AL37:$AL40-BG38:BG41))</f>
        <v>65.553664558227865</v>
      </c>
      <c r="AS73" s="106" cm="1">
        <f t="array" ref="AS73">SQRT(SUMSQ($AL37:$AL40-BH38:BH41)/COUNTA($AL37:$AL40-BH38:BH41))</f>
        <v>72.90546033599702</v>
      </c>
      <c r="AT73" s="107" cm="1">
        <f t="array" ref="AT73">SQRT(SUMSQ($AL37:$AL40-BI38:BI41)/COUNTA($AL37:$AL40-BI38:BI41))</f>
        <v>96.932788309408835</v>
      </c>
      <c r="AU73" s="108" cm="1">
        <f t="array" ref="AU73">SQRT(SUMSQ($AL37:$AL40-BJ38:BJ41)/COUNTA($AL37:$AL40-BJ38:BJ41))</f>
        <v>99.958720009165447</v>
      </c>
      <c r="AV73" s="106" cm="1">
        <f t="array" ref="AV73">SQRT(SUMSQ($AL37:$AL40-BK38:BK41)/COUNTA($AL37:$AL40-BK38:BK41))</f>
        <v>93.58630284059312</v>
      </c>
      <c r="AW73" s="22" cm="1">
        <f t="array" ref="AW73">SQRT(SUMSQ($AL37:$AL40-BL38:BL41)/COUNTA($AL37:$AL40-BL38:BL41))</f>
        <v>91.104108753082471</v>
      </c>
      <c r="AX73" s="95">
        <f t="shared" ref="AX73:AX83" si="123">MIN(AJ73:AW73)</f>
        <v>65.553664558227865</v>
      </c>
    </row>
    <row r="74" spans="2:50" x14ac:dyDescent="0.25">
      <c r="B74" s="12" t="s">
        <v>97</v>
      </c>
      <c r="C74" s="10" t="e">
        <f>C8/$J16</f>
        <v>#DIV/0!</v>
      </c>
      <c r="D74" s="10" t="e">
        <f t="shared" si="122"/>
        <v>#DIV/0!</v>
      </c>
      <c r="E74" s="10" t="e">
        <f t="shared" si="122"/>
        <v>#DIV/0!</v>
      </c>
      <c r="F74" s="10" t="e">
        <f t="shared" si="122"/>
        <v>#DIV/0!</v>
      </c>
      <c r="G74" s="10" t="e">
        <f t="shared" si="122"/>
        <v>#DIV/0!</v>
      </c>
      <c r="H74" s="10" t="e">
        <f t="shared" si="122"/>
        <v>#DIV/0!</v>
      </c>
      <c r="I74" s="10" t="e">
        <f t="shared" si="122"/>
        <v>#DIV/0!</v>
      </c>
      <c r="J74" s="10" t="e">
        <f t="shared" si="122"/>
        <v>#DIV/0!</v>
      </c>
      <c r="K74" s="10" t="e">
        <f t="shared" si="122"/>
        <v>#DIV/0!</v>
      </c>
      <c r="L74" s="10" t="e">
        <f t="shared" si="122"/>
        <v>#DIV/0!</v>
      </c>
      <c r="M74" s="10" t="e">
        <f t="shared" si="122"/>
        <v>#DIV/0!</v>
      </c>
      <c r="N74" s="10" t="e">
        <f t="shared" si="122"/>
        <v>#DIV/0!</v>
      </c>
      <c r="O74" s="10" t="e">
        <f t="shared" si="122"/>
        <v>#DIV/0!</v>
      </c>
      <c r="P74" s="10" t="e">
        <f t="shared" si="122"/>
        <v>#DIV/0!</v>
      </c>
      <c r="R74" s="1"/>
      <c r="S74" s="10"/>
      <c r="T74" s="10"/>
      <c r="AH74" s="120"/>
      <c r="AI74" s="72" t="s">
        <v>40</v>
      </c>
      <c r="AJ74" s="10" cm="1">
        <f t="array" ref="AJ74">SQRT(SUMSQ($AM37:$AM40-AY38:AY41)/COUNTA($AM37:$AM40-AY38:AY41))</f>
        <v>47.240432744791626</v>
      </c>
      <c r="AK74" s="96" cm="1">
        <f t="array" ref="AK74">SQRT(SUMSQ($AM37:$AM40-AZ38:AZ41)/COUNTA($AM37:$AM40-AZ38:AZ41))</f>
        <v>47.240432744791626</v>
      </c>
      <c r="AL74" s="10" cm="1">
        <f t="array" ref="AL74">SQRT(SUMSQ($AM37:$AM40-BA38:BA41)/COUNTA($AM37:$AM40-BA38:BA41))</f>
        <v>48.606015539126211</v>
      </c>
      <c r="AM74" s="22" cm="1">
        <f t="array" ref="AM74">SQRT(SUMSQ($AM37:$AM40-BB38:BB41)/COUNTA($AM37:$AM40-BB38:BB41))</f>
        <v>48.606015539126211</v>
      </c>
      <c r="AN74" s="20" cm="1">
        <f t="array" ref="AN74">SQRT(SUMSQ($AM37:$AM40-BC38:BC41)/COUNTA($AM37:$AM40-BC38:BC41))</f>
        <v>78.917247304052992</v>
      </c>
      <c r="AO74" s="10" cm="1">
        <f t="array" ref="AO74">SQRT(SUMSQ($AM37:$AM40-BD38:BD41)/COUNTA($AM37:$AM40-BD38:BD41))</f>
        <v>72.304511589072831</v>
      </c>
      <c r="AP74" s="22" cm="1">
        <f t="array" ref="AP74">SQRT(SUMSQ($AM37:$AM40-BE38:BE41)/COUNTA($AM37:$AM40-BE38:BE41))</f>
        <v>48.606015539126211</v>
      </c>
      <c r="AQ74" s="20" cm="1">
        <f t="array" ref="AQ74">SQRT(SUMSQ($AM37:$AM40-BF38:BF41)/COUNTA($AM37:$AM40-BF38:BF41))</f>
        <v>82.418947178136833</v>
      </c>
      <c r="AR74" s="10" cm="1">
        <f t="array" ref="AR74">SQRT(SUMSQ($AM37:$AM40-BG38:BG41)/COUNTA($AM37:$AM40-BG38:BG41))</f>
        <v>53.247752265548939</v>
      </c>
      <c r="AS74" s="22" cm="1">
        <f t="array" ref="AS74">SQRT(SUMSQ($AM37:$AM40-BH38:BH41)/COUNTA($AM37:$AM40-BH38:BH41))</f>
        <v>54.462917494455525</v>
      </c>
      <c r="AT74" s="20" cm="1">
        <f t="array" ref="AT74">SQRT(SUMSQ($AM37:$AM40-BI38:BI41)/COUNTA($AM37:$AM40-BI38:BI41))</f>
        <v>86.576207607027982</v>
      </c>
      <c r="AU74" s="10" cm="1">
        <f t="array" ref="AU74">SQRT(SUMSQ($AM37:$AM40-BJ38:BJ41)/COUNTA($AM37:$AM40-BJ38:BJ41))</f>
        <v>86.835010722930761</v>
      </c>
      <c r="AV74" s="22" cm="1">
        <f t="array" ref="AV74">SQRT(SUMSQ($AM37:$AM40-BK38:BK41)/COUNTA($AM37:$AM40-BK38:BK41))</f>
        <v>74.425100248389512</v>
      </c>
      <c r="AW74" s="22" cm="1">
        <f t="array" ref="AW74">SQRT(SUMSQ($AM37:$AM40-BL38:BL41)/COUNTA($AM37:$AM40-BL38:BL41))</f>
        <v>74.159692419049648</v>
      </c>
      <c r="AX74" s="95">
        <f t="shared" si="123"/>
        <v>47.240432744791626</v>
      </c>
    </row>
    <row r="75" spans="2:50" x14ac:dyDescent="0.25">
      <c r="B75" s="124" t="s">
        <v>88</v>
      </c>
      <c r="C75" s="124"/>
      <c r="D75" s="119" t="s">
        <v>76</v>
      </c>
      <c r="E75" s="119"/>
      <c r="F75" s="119"/>
      <c r="G75" s="119" t="s">
        <v>77</v>
      </c>
      <c r="H75" s="119"/>
      <c r="I75" s="119"/>
      <c r="J75" s="119" t="s">
        <v>76</v>
      </c>
      <c r="K75" s="119"/>
      <c r="L75" s="119"/>
      <c r="M75" s="119" t="s">
        <v>77</v>
      </c>
      <c r="N75" s="119"/>
      <c r="O75" s="119"/>
      <c r="AH75" s="120"/>
      <c r="AI75" s="110" t="s">
        <v>39</v>
      </c>
      <c r="AJ75" s="44" cm="1">
        <f t="array" ref="AJ75">SQRT(SUMSQ($AN37:$AN40-AY38:AY41)/COUNTA($AN37:$AN40-AY38:AY41))</f>
        <v>65.590201099108327</v>
      </c>
      <c r="AK75" s="43" cm="1">
        <f t="array" ref="AK75">SQRT(SUMSQ($AN37:$AN40-AZ38:AZ41)/COUNTA($AN37:$AN40-AZ38:AZ41))</f>
        <v>65.590201099108327</v>
      </c>
      <c r="AL75" s="44" cm="1">
        <f t="array" ref="AL75">SQRT(SUMSQ($AN37:$AN40-BA38:BA41)/COUNTA($AN37:$AN40-BA38:BA41))</f>
        <v>79.785436863020934</v>
      </c>
      <c r="AM75" s="45" cm="1">
        <f t="array" ref="AM75">SQRT(SUMSQ($AN37:$AN40-BB38:BB41)/COUNTA($AN37:$AN40-BB38:BB41))</f>
        <v>79.785436863020934</v>
      </c>
      <c r="AN75" s="117" cm="1">
        <f t="array" ref="AN75">SQRT(SUMSQ($AN37:$AN40-BC38:BC41)/COUNTA($AN37:$AN40-BC38:BC41))</f>
        <v>8.5638809666012889</v>
      </c>
      <c r="AO75" s="114" cm="1">
        <f t="array" ref="AO75">SQRT(SUMSQ($AN37:$AN40-BD38:BD41)/COUNTA($AN37:$AN40-BD38:BD41))</f>
        <v>32.384652232559532</v>
      </c>
      <c r="AP75" s="45" cm="1">
        <f t="array" ref="AP75">SQRT(SUMSQ($AN37:$AN40-BE38:BE41)/COUNTA($AN37:$AN40-BE38:BE41))</f>
        <v>79.785436863020934</v>
      </c>
      <c r="AQ75" s="43" cm="1">
        <f t="array" ref="AQ75">SQRT(SUMSQ($AN37:$AN40-BF38:BF41)/COUNTA($AN37:$AN40-BF38:BF41))</f>
        <v>45.132288114966649</v>
      </c>
      <c r="AR75" s="44" cm="1">
        <f t="array" ref="AR75">SQRT(SUMSQ($AN37:$AN40-BG38:BG41)/COUNTA($AN37:$AN40-BG38:BG41))</f>
        <v>59.25151713899097</v>
      </c>
      <c r="AS75" s="45" cm="1">
        <f t="array" ref="AS75">SQRT(SUMSQ($AN37:$AN40-BH38:BH41)/COUNTA($AN37:$AN40-BH38:BH41))</f>
        <v>74.661795708874891</v>
      </c>
      <c r="AT75" s="43" cm="1">
        <f t="array" ref="AT75">SQRT(SUMSQ($AN37:$AN40-BI38:BI41)/COUNTA($AN37:$AN40-BI38:BI41))</f>
        <v>42.108226071535533</v>
      </c>
      <c r="AU75" s="116" cm="1">
        <f t="array" ref="AU75">SQRT(SUMSQ($AN37:$AN40-BJ38:BJ41)/COUNTA($AN37:$AN40-BJ38:BJ41))</f>
        <v>17.768167083056721</v>
      </c>
      <c r="AV75" s="111" cm="1">
        <f t="array" ref="AV75">SQRT(SUMSQ($AN37:$AN40-BK38:BK41)/COUNTA($AN37:$AN40-BK38:BK41))</f>
        <v>23.187505553322655</v>
      </c>
      <c r="AW75" s="22" cm="1">
        <f t="array" ref="AW75">SQRT(SUMSQ($AN37:$AN40-BL38:BL41)/COUNTA($AN37:$AN40-BL38:BL41))</f>
        <v>42.683530675418282</v>
      </c>
      <c r="AX75" s="95">
        <f t="shared" si="123"/>
        <v>8.5638809666012889</v>
      </c>
    </row>
    <row r="76" spans="2:50" x14ac:dyDescent="0.25">
      <c r="B76" t="s">
        <v>80</v>
      </c>
      <c r="C76" s="1" t="s">
        <v>70</v>
      </c>
      <c r="D76" s="1" t="s">
        <v>73</v>
      </c>
      <c r="E76" s="1" t="s">
        <v>74</v>
      </c>
      <c r="F76" s="1" t="s">
        <v>75</v>
      </c>
      <c r="G76" s="1" t="s">
        <v>73</v>
      </c>
      <c r="H76" s="1" t="s">
        <v>74</v>
      </c>
      <c r="I76" s="1" t="s">
        <v>75</v>
      </c>
      <c r="J76" s="1" t="s">
        <v>73</v>
      </c>
      <c r="K76" s="1" t="s">
        <v>74</v>
      </c>
      <c r="L76" s="1" t="s">
        <v>75</v>
      </c>
      <c r="M76" s="1" t="s">
        <v>73</v>
      </c>
      <c r="N76" s="1" t="s">
        <v>74</v>
      </c>
      <c r="O76" s="1" t="s">
        <v>75</v>
      </c>
      <c r="P76" s="1" t="s">
        <v>78</v>
      </c>
      <c r="R76" s="1"/>
      <c r="S76" s="1"/>
      <c r="T76" s="1"/>
      <c r="AH76" s="120" t="s">
        <v>121</v>
      </c>
      <c r="AI76" s="85" t="s">
        <v>41</v>
      </c>
      <c r="AJ76" s="108" cm="1">
        <f t="array" ref="AJ76">SQRT(SUMSQ($AO37:$AO40-AY38:AY41)/COUNTA($AO37:$AO40-AY38:AY41))</f>
        <v>56.600525647726109</v>
      </c>
      <c r="AK76" s="118" cm="1">
        <f t="array" ref="AK76">SQRT(SUMSQ($AO37:$AO40-AZ38:AZ41)/COUNTA($AO37:$AO40-AZ38:AZ41))</f>
        <v>56.600525647726109</v>
      </c>
      <c r="AL76" s="108" cm="1">
        <f t="array" ref="AL76">SQRT(SUMSQ($AO37:$AO40-BA38:BA41)/COUNTA($AO37:$AO40-BA38:BA41))</f>
        <v>60.018426895540706</v>
      </c>
      <c r="AM76" s="106" cm="1">
        <f t="array" ref="AM76">SQRT(SUMSQ($AO37:$AO40-BB38:BB41)/COUNTA($AO37:$AO40-BB38:BB41))</f>
        <v>60.018426895540706</v>
      </c>
      <c r="AN76" s="107" cm="1">
        <f t="array" ref="AN76">SQRT(SUMSQ($AO37:$AO40-BC38:BC41)/COUNTA($AO37:$AO40-BC38:BC41))</f>
        <v>92.711813781491514</v>
      </c>
      <c r="AO76" s="108" cm="1">
        <f t="array" ref="AO76">SQRT(SUMSQ($AO37:$AO40-BD38:BD41)/COUNTA($AO37:$AO40-BD38:BD41))</f>
        <v>90.956056902751243</v>
      </c>
      <c r="AP76" s="106" cm="1">
        <f t="array" ref="AP76">SQRT(SUMSQ($AO37:$AO40-BE38:BE41)/COUNTA($AO37:$AO40-BE38:BE41))</f>
        <v>60.018426895540706</v>
      </c>
      <c r="AQ76" s="107" cm="1">
        <f t="array" ref="AQ76">SQRT(SUMSQ($AO37:$AO40-BF38:BF41)/COUNTA($AO37:$AO40-BF38:BF41))</f>
        <v>92.742418596442079</v>
      </c>
      <c r="AR76" s="108" cm="1">
        <f t="array" ref="AR76">SQRT(SUMSQ($AO37:$AO40-BG38:BG41)/COUNTA($AO37:$AO40-BG38:BG41))</f>
        <v>59.853153601774075</v>
      </c>
      <c r="AS76" s="106" cm="1">
        <f t="array" ref="AS76">SQRT(SUMSQ($AO37:$AO40-BH38:BH41)/COUNTA($AO37:$AO40-BH38:BH41))</f>
        <v>63.095103292522026</v>
      </c>
      <c r="AT76" s="107" cm="1">
        <f t="array" ref="AT76">SQRT(SUMSQ($AO37:$AO40-BI38:BI41)/COUNTA($AO37:$AO40-BI38:BI41))</f>
        <v>95.759386878830085</v>
      </c>
      <c r="AU76" s="108" cm="1">
        <f t="array" ref="AU76">SQRT(SUMSQ($AO37:$AO40-BJ38:BJ41)/COUNTA($AO37:$AO40-BJ38:BJ41))</f>
        <v>100.28588581123991</v>
      </c>
      <c r="AV76" s="106" cm="1">
        <f t="array" ref="AV76">SQRT(SUMSQ($AO37:$AO40-BK38:BK41)/COUNTA($AO37:$AO40-BK38:BK41))</f>
        <v>92.000080579158265</v>
      </c>
      <c r="AW76" s="22" cm="1">
        <f t="array" ref="AW76">SQRT(SUMSQ($AO37:$AO40-BL38:BL41)/COUNTA($AO37:$AO40-BL38:BL41))</f>
        <v>86.57233011727601</v>
      </c>
      <c r="AX76" s="95">
        <f t="shared" si="123"/>
        <v>56.600525647726109</v>
      </c>
    </row>
    <row r="77" spans="2:50" x14ac:dyDescent="0.25">
      <c r="B77" s="12" t="s">
        <v>42</v>
      </c>
      <c r="C77" s="10">
        <f>C4/$K12</f>
        <v>10.169689505672121</v>
      </c>
      <c r="D77" s="10">
        <f t="shared" ref="D77:P77" si="124">D4/$K12</f>
        <v>10.169689505672121</v>
      </c>
      <c r="E77" s="10">
        <f t="shared" si="124"/>
        <v>10.169689505672121</v>
      </c>
      <c r="F77" s="10">
        <f t="shared" si="124"/>
        <v>10.169689505672121</v>
      </c>
      <c r="G77" s="10">
        <f t="shared" si="124"/>
        <v>5.0848447528360605</v>
      </c>
      <c r="H77" s="10">
        <f t="shared" si="124"/>
        <v>10.169689505672121</v>
      </c>
      <c r="I77" s="10">
        <f t="shared" si="124"/>
        <v>10.169689505672121</v>
      </c>
      <c r="J77" s="10">
        <f t="shared" si="124"/>
        <v>3.575281466837855</v>
      </c>
      <c r="K77" s="10">
        <f t="shared" si="124"/>
        <v>7.1505629336757099</v>
      </c>
      <c r="L77" s="10">
        <f t="shared" si="124"/>
        <v>7.1505629336757099</v>
      </c>
      <c r="M77" s="10">
        <f t="shared" si="124"/>
        <v>3.575281466837855</v>
      </c>
      <c r="N77" s="10">
        <f t="shared" si="124"/>
        <v>3.575281466837855</v>
      </c>
      <c r="O77" s="10">
        <f t="shared" si="124"/>
        <v>7.1505629336757099</v>
      </c>
      <c r="P77" s="10">
        <f t="shared" si="124"/>
        <v>7.1505629336757099</v>
      </c>
      <c r="R77" s="1"/>
      <c r="S77" s="10"/>
      <c r="T77" s="10"/>
      <c r="AH77" s="120"/>
      <c r="AI77" s="72" t="s">
        <v>40</v>
      </c>
      <c r="AJ77" s="92" cm="1">
        <f t="array" ref="AJ77">SQRT(SUMSQ($AP37:$AP40-AY38:AY41)/COUNTA($AP37:$AP40-AY38:AY41))</f>
        <v>33.448775431458465</v>
      </c>
      <c r="AK77" s="93" cm="1">
        <f t="array" ref="AK77">SQRT(SUMSQ($AP37:$AP40-AZ38:AZ41)/COUNTA($AP37:$AP40-AZ38:AZ41))</f>
        <v>33.448775431458465</v>
      </c>
      <c r="AL77" s="92" cm="1">
        <f t="array" ref="AL77">SQRT(SUMSQ($AP37:$AP40-BA38:BA41)/COUNTA($AP37:$AP40-BA38:BA41))</f>
        <v>32.738501746092481</v>
      </c>
      <c r="AM77" s="79" cm="1">
        <f t="array" ref="AM77">SQRT(SUMSQ($AP37:$AP40-BB38:BB41)/COUNTA($AP37:$AP40-BB38:BB41))</f>
        <v>32.738501746092481</v>
      </c>
      <c r="AN77" s="20" cm="1">
        <f t="array" ref="AN77">SQRT(SUMSQ($AP37:$AP40-BC38:BC41)/COUNTA($AP37:$AP40-BC38:BC41))</f>
        <v>62.611790628190597</v>
      </c>
      <c r="AO77" s="10" cm="1">
        <f t="array" ref="AO77">SQRT(SUMSQ($AP37:$AP40-BD38:BD41)/COUNTA($AP37:$AP40-BD38:BD41))</f>
        <v>54.844107868302174</v>
      </c>
      <c r="AP77" s="79" cm="1">
        <f t="array" ref="AP77">SQRT(SUMSQ($AP37:$AP40-BE38:BE41)/COUNTA($AP37:$AP40-BE38:BE41))</f>
        <v>32.738501746092481</v>
      </c>
      <c r="AQ77" s="20" cm="1">
        <f t="array" ref="AQ77">SQRT(SUMSQ($AP37:$AP40-BF38:BF41)/COUNTA($AP37:$AP40-BF38:BF41))</f>
        <v>59.843045847115917</v>
      </c>
      <c r="AR77" s="92" cm="1">
        <f t="array" ref="AR77">SQRT(SUMSQ($AP37:$AP40-BG38:BG41)/COUNTA($AP37:$AP40-BG38:BG41))</f>
        <v>37.366900844342574</v>
      </c>
      <c r="AS77" s="94" cm="1">
        <f t="array" ref="AS77">SQRT(SUMSQ($AP37:$AP40-BH38:BH41)/COUNTA($AP37:$AP40-BH38:BH41))</f>
        <v>36.732467891848636</v>
      </c>
      <c r="AT77" s="20" cm="1">
        <f t="array" ref="AT77">SQRT(SUMSQ($AP37:$AP40-BI38:BI41)/COUNTA($AP37:$AP40-BI38:BI41))</f>
        <v>66.126361437044423</v>
      </c>
      <c r="AU77" s="10" cm="1">
        <f t="array" ref="AU77">SQRT(SUMSQ($AP37:$AP40-BJ38:BJ41)/COUNTA($AP37:$AP40-BJ38:BJ41))</f>
        <v>66.31194507711011</v>
      </c>
      <c r="AV77" s="22" cm="1">
        <f t="array" ref="AV77">SQRT(SUMSQ($AP37:$AP40-BK38:BK41)/COUNTA($AP37:$AP40-BK38:BK41))</f>
        <v>55.534090616886068</v>
      </c>
      <c r="AW77" s="22" cm="1">
        <f t="array" ref="AW77">SQRT(SUMSQ($AP37:$AP40-BL38:BL41)/COUNTA($AP37:$AP40-BL38:BL41))</f>
        <v>52.221355129800507</v>
      </c>
      <c r="AX77" s="95">
        <f t="shared" si="123"/>
        <v>32.738501746092481</v>
      </c>
    </row>
    <row r="78" spans="2:50" x14ac:dyDescent="0.25">
      <c r="B78" s="12" t="s">
        <v>43</v>
      </c>
      <c r="C78" s="10">
        <f>C5/$K13</f>
        <v>41.739443386210553</v>
      </c>
      <c r="D78" s="10">
        <f t="shared" ref="D78:P78" si="125">D5/$K13</f>
        <v>41.739443386210553</v>
      </c>
      <c r="E78" s="10">
        <f t="shared" si="125"/>
        <v>83.478886772421106</v>
      </c>
      <c r="F78" s="10">
        <f t="shared" si="125"/>
        <v>83.478886772421106</v>
      </c>
      <c r="G78" s="10">
        <f t="shared" si="125"/>
        <v>20.869721693105276</v>
      </c>
      <c r="H78" s="10">
        <f t="shared" si="125"/>
        <v>29.348046130929298</v>
      </c>
      <c r="I78" s="10">
        <f t="shared" si="125"/>
        <v>83.478886772421106</v>
      </c>
      <c r="J78" s="10">
        <f t="shared" si="125"/>
        <v>41.739443386210553</v>
      </c>
      <c r="K78" s="10">
        <f t="shared" si="125"/>
        <v>41.739443386210553</v>
      </c>
      <c r="L78" s="10">
        <f t="shared" si="125"/>
        <v>83.478886772421106</v>
      </c>
      <c r="M78" s="10">
        <f t="shared" si="125"/>
        <v>20.869721693105276</v>
      </c>
      <c r="N78" s="10">
        <f t="shared" si="125"/>
        <v>29.348046130929298</v>
      </c>
      <c r="O78" s="10">
        <f t="shared" si="125"/>
        <v>41.739443386210553</v>
      </c>
      <c r="P78" s="10">
        <f t="shared" si="125"/>
        <v>29.348046130929298</v>
      </c>
      <c r="R78" s="1"/>
      <c r="S78" s="10"/>
      <c r="T78" s="10"/>
      <c r="AH78" s="120"/>
      <c r="AI78" s="110" t="s">
        <v>39</v>
      </c>
      <c r="AJ78" s="44" cm="1">
        <f t="array" ref="AJ78">SQRT(SUMSQ($AQ37:$AQ40-AY38:AY41)/COUNTA($AQ37:$AQ40-AY38:AY41))</f>
        <v>50.327929643083777</v>
      </c>
      <c r="AK78" s="43" cm="1">
        <f t="array" ref="AK78">SQRT(SUMSQ($AQ37:$AQ40-AZ38:AZ41)/COUNTA($AQ37:$AQ40-AZ38:AZ41))</f>
        <v>50.327929643083777</v>
      </c>
      <c r="AL78" s="44" cm="1">
        <f t="array" ref="AL78">SQRT(SUMSQ($AQ37:$AQ40-BA38:BA41)/COUNTA($AQ37:$AQ40-BA38:BA41))</f>
        <v>61.501283000907215</v>
      </c>
      <c r="AM78" s="45" cm="1">
        <f t="array" ref="AM78">SQRT(SUMSQ($AQ37:$AQ40-BB38:BB41)/COUNTA($AQ37:$AQ40-BB38:BB41))</f>
        <v>61.501283000907215</v>
      </c>
      <c r="AN78" s="43" cm="1">
        <f t="array" ref="AN78">SQRT(SUMSQ($AQ37:$AQ40-BC38:BC41)/COUNTA($AQ37:$AQ40-BC38:BC41))</f>
        <v>25.408479965724936</v>
      </c>
      <c r="AO78" s="44" cm="1">
        <f t="array" ref="AO78">SQRT(SUMSQ($AQ37:$AQ40-BD38:BD41)/COUNTA($AQ37:$AQ40-BD38:BD41))</f>
        <v>32.620143416534482</v>
      </c>
      <c r="AP78" s="45" cm="1">
        <f t="array" ref="AP78">SQRT(SUMSQ($AQ37:$AQ40-BE38:BE41)/COUNTA($AQ37:$AQ40-BE38:BE41))</f>
        <v>61.501283000907215</v>
      </c>
      <c r="AQ78" s="112" cm="1">
        <f t="array" ref="AQ78">SQRT(SUMSQ($AQ37:$AQ40-BF38:BF41)/COUNTA($AQ37:$AQ40-BF38:BF41))</f>
        <v>33.57718911558004</v>
      </c>
      <c r="AR78" s="114" cm="1">
        <f t="array" ref="AR78">SQRT(SUMSQ($AQ37:$AQ40-BG38:BG41)/COUNTA($AQ37:$AQ40-BG38:BG41))</f>
        <v>44.056003571307201</v>
      </c>
      <c r="AS78" s="45" cm="1">
        <f t="array" ref="AS78">SQRT(SUMSQ($AQ37:$AQ40-BH38:BH41)/COUNTA($AQ37:$AQ40-BH38:BH41))</f>
        <v>56.483969046743873</v>
      </c>
      <c r="AT78" s="112" cm="1">
        <f t="array" ref="AT78">SQRT(SUMSQ($AQ37:$AQ40-BI38:BI41)/COUNTA($AQ37:$AQ40-BI38:BI41))</f>
        <v>35.646514199907166</v>
      </c>
      <c r="AU78" s="115" cm="1">
        <f t="array" ref="AU78">SQRT(SUMSQ($AQ37:$AQ40-BJ38:BJ41)/COUNTA($AQ37:$AQ40-BJ38:BJ41))</f>
        <v>23.642490741320476</v>
      </c>
      <c r="AV78" s="111" cm="1">
        <f t="array" ref="AV78">SQRT(SUMSQ($AQ37:$AQ40-BK38:BK41)/COUNTA($AQ37:$AQ40-BK38:BK41))</f>
        <v>25.546211138779938</v>
      </c>
      <c r="AW78" s="94" cm="1">
        <f t="array" ref="AW78">SQRT(SUMSQ($AQ37:$AQ40-BL38:BL41)/COUNTA($AQ37:$AQ40-BL38:BL41))</f>
        <v>30.298450928784547</v>
      </c>
      <c r="AX78" s="95">
        <f t="shared" si="123"/>
        <v>23.642490741320476</v>
      </c>
    </row>
    <row r="79" spans="2:50" x14ac:dyDescent="0.25">
      <c r="B79" s="12" t="s">
        <v>44</v>
      </c>
      <c r="C79" s="10">
        <f>C6/$K14</f>
        <v>12.261124953991189</v>
      </c>
      <c r="D79" s="10">
        <f t="shared" ref="D79:P79" si="126">D6/$K14</f>
        <v>12.261124953991189</v>
      </c>
      <c r="E79" s="10">
        <f t="shared" si="126"/>
        <v>12.261124953991189</v>
      </c>
      <c r="F79" s="10">
        <f t="shared" si="126"/>
        <v>12.261124953991189</v>
      </c>
      <c r="G79" s="10">
        <f t="shared" si="126"/>
        <v>4.3105517416375276</v>
      </c>
      <c r="H79" s="10">
        <f t="shared" si="126"/>
        <v>3.0652812384977972</v>
      </c>
      <c r="I79" s="10">
        <f t="shared" si="126"/>
        <v>12.261124953991189</v>
      </c>
      <c r="J79" s="10">
        <f t="shared" si="126"/>
        <v>6.1305624769955944</v>
      </c>
      <c r="K79" s="10">
        <f t="shared" si="126"/>
        <v>12.261124953991189</v>
      </c>
      <c r="L79" s="10">
        <f t="shared" si="126"/>
        <v>12.261124953991189</v>
      </c>
      <c r="M79" s="10">
        <f t="shared" si="126"/>
        <v>6.1305624769955944</v>
      </c>
      <c r="N79" s="10">
        <f t="shared" si="126"/>
        <v>3.0652812384977972</v>
      </c>
      <c r="O79" s="10">
        <f t="shared" si="126"/>
        <v>3.0652812384977972</v>
      </c>
      <c r="P79" s="10">
        <f t="shared" si="126"/>
        <v>6.1305624769955944</v>
      </c>
      <c r="R79" s="1"/>
      <c r="S79" s="10"/>
      <c r="T79" s="10"/>
      <c r="AH79" s="120" t="s">
        <v>122</v>
      </c>
      <c r="AI79" s="85" t="s">
        <v>41</v>
      </c>
      <c r="AJ79" s="108" cm="1">
        <f t="array" ref="AJ79">SQRT(SUMSQ($AR37:$AR40-AY38:AY41)/COUNTA($AR37:$AR40-AY38:AY41))</f>
        <v>62.39433323799976</v>
      </c>
      <c r="AK79" s="118" cm="1">
        <f t="array" ref="AK79">SQRT(SUMSQ($AR37:$AR40-AZ38:AZ41)/COUNTA($AR37:$AR40-AZ38:AZ41))</f>
        <v>62.39433323799976</v>
      </c>
      <c r="AL79" s="108" cm="1">
        <f t="array" ref="AL79">SQRT(SUMSQ($AR37:$AR40-BA38:BA41)/COUNTA($AR37:$AR40-BA38:BA41))</f>
        <v>66.957471186747767</v>
      </c>
      <c r="AM79" s="106" cm="1">
        <f t="array" ref="AM79">SQRT(SUMSQ($AR37:$AR40-BB38:BB41)/COUNTA($AR37:$AR40-BB38:BB41))</f>
        <v>66.957471186747767</v>
      </c>
      <c r="AN79" s="107" cm="1">
        <f t="array" ref="AN79">SQRT(SUMSQ($AR37:$AR40-BC38:BC41)/COUNTA($AR37:$AR40-BC38:BC41))</f>
        <v>96.187659924655321</v>
      </c>
      <c r="AO79" s="108" cm="1">
        <f t="array" ref="AO79">SQRT(SUMSQ($AR37:$AR40-BD38:BD41)/COUNTA($AR37:$AR40-BD38:BD41))</f>
        <v>95.636375776852049</v>
      </c>
      <c r="AP79" s="106" cm="1">
        <f t="array" ref="AP79">SQRT(SUMSQ($AR37:$AR40-BE38:BE41)/COUNTA($AR37:$AR40-BE38:BE41))</f>
        <v>66.957471186747767</v>
      </c>
      <c r="AQ79" s="107" cm="1">
        <f t="array" ref="AQ79">SQRT(SUMSQ($AR37:$AR40-BF38:BF41)/COUNTA($AR37:$AR40-BF38:BF41))</f>
        <v>97.749860663388404</v>
      </c>
      <c r="AR79" s="108" cm="1">
        <f t="array" ref="AR79">SQRT(SUMSQ($AR37:$AR40-BG38:BG41)/COUNTA($AR37:$AR40-BG38:BG41))</f>
        <v>65.069936944027944</v>
      </c>
      <c r="AS79" s="106" cm="1">
        <f t="array" ref="AS79">SQRT(SUMSQ($AR37:$AR40-BH38:BH41)/COUNTA($AR37:$AR40-BH38:BH41))</f>
        <v>69.457518105741229</v>
      </c>
      <c r="AT79" s="107" cm="1">
        <f t="array" ref="AT79">SQRT(SUMSQ($AR37:$AR40-BI38:BI41)/COUNTA($AR37:$AR40-BI38:BI41))</f>
        <v>100.139453743053</v>
      </c>
      <c r="AU79" s="108" cm="1">
        <f t="array" ref="AU79">SQRT(SUMSQ($AR37:$AR40-BJ38:BJ41)/COUNTA($AR37:$AR40-BJ38:BJ41))</f>
        <v>104.46116356231393</v>
      </c>
      <c r="AV79" s="106" cm="1">
        <f t="array" ref="AV79">SQRT(SUMSQ($AR37:$AR40-BK38:BK41)/COUNTA($AR37:$AR40-BK38:BK41))</f>
        <v>96.502368980876696</v>
      </c>
      <c r="AW79" s="22" cm="1">
        <f t="array" ref="AW79">SQRT(SUMSQ($AR37:$AR40-BL38:BL41)/COUNTA($AR37:$AR40-BL38:BL41))</f>
        <v>91.850078976307344</v>
      </c>
      <c r="AX79" s="95">
        <f t="shared" si="123"/>
        <v>62.39433323799976</v>
      </c>
    </row>
    <row r="80" spans="2:50" x14ac:dyDescent="0.25">
      <c r="B80" s="12" t="s">
        <v>71</v>
      </c>
      <c r="C80" s="10">
        <f>C7/$K15</f>
        <v>2601.4376194804681</v>
      </c>
      <c r="D80" s="10">
        <f t="shared" ref="D80:P80" si="127">D7/$K15</f>
        <v>2601.4376194804681</v>
      </c>
      <c r="E80" s="10">
        <f t="shared" si="127"/>
        <v>2601.4376194804681</v>
      </c>
      <c r="F80" s="10">
        <f t="shared" si="127"/>
        <v>2601.4376194804681</v>
      </c>
      <c r="G80" s="10">
        <f t="shared" si="127"/>
        <v>650.35940487011703</v>
      </c>
      <c r="H80" s="10">
        <f t="shared" si="127"/>
        <v>853.59671889202866</v>
      </c>
      <c r="I80" s="10">
        <f t="shared" si="127"/>
        <v>2601.4376194804681</v>
      </c>
      <c r="J80" s="10">
        <f t="shared" si="127"/>
        <v>2601.4376194804681</v>
      </c>
      <c r="K80" s="10">
        <f t="shared" si="127"/>
        <v>2601.4376194804681</v>
      </c>
      <c r="L80" s="10">
        <f t="shared" si="127"/>
        <v>2601.4376194804681</v>
      </c>
      <c r="M80" s="10">
        <f t="shared" si="127"/>
        <v>2601.4376194804681</v>
      </c>
      <c r="N80" s="10">
        <f t="shared" si="127"/>
        <v>1300.7188097402341</v>
      </c>
      <c r="O80" s="10">
        <f t="shared" si="127"/>
        <v>650.35940487011703</v>
      </c>
      <c r="P80" s="10">
        <f t="shared" si="127"/>
        <v>2601.4376194804681</v>
      </c>
      <c r="R80" s="1"/>
      <c r="S80" s="10"/>
      <c r="T80" s="10"/>
      <c r="AH80" s="120"/>
      <c r="AI80" s="72" t="s">
        <v>40</v>
      </c>
      <c r="AJ80" s="10" cm="1">
        <f t="array" ref="AJ80">SQRT(SUMSQ($AS37:$AS40-AY38:AY41)/COUNTA($AS37:$AS40-AY38:AY41))</f>
        <v>49.814796284285968</v>
      </c>
      <c r="AK80" s="20" cm="1">
        <f t="array" ref="AK80">SQRT(SUMSQ($AS37:$AS40-AZ38:AZ41)/COUNTA($AS37:$AS40-AZ38:AZ41))</f>
        <v>49.814796284285968</v>
      </c>
      <c r="AL80" s="18" cm="1">
        <f t="array" ref="AL80">SQRT(SUMSQ($AS37:$AS40-BA38:BA41)/COUNTA($AS37:$AS40-BA38:BA41))</f>
        <v>42.873588068610204</v>
      </c>
      <c r="AM80" s="79" cm="1">
        <f t="array" ref="AM80">SQRT(SUMSQ($AS37:$AS40-BB38:BB41)/COUNTA($AS37:$AS40-BB38:BB41))</f>
        <v>42.873588068610204</v>
      </c>
      <c r="AN80" s="20" cm="1">
        <f t="array" ref="AN80">SQRT(SUMSQ($AS37:$AS40-BC38:BC41)/COUNTA($AS37:$AS40-BC38:BC41))</f>
        <v>94.68645354537999</v>
      </c>
      <c r="AO80" s="10" cm="1">
        <f t="array" ref="AO80">SQRT(SUMSQ($AS37:$AS40-BD38:BD41)/COUNTA($AS37:$AS40-BD38:BD41))</f>
        <v>82.305512873221303</v>
      </c>
      <c r="AP80" s="79" cm="1">
        <f t="array" ref="AP80">SQRT(SUMSQ($AS37:$AS40-BE38:BE41)/COUNTA($AS37:$AS40-BE38:BE41))</f>
        <v>42.873588068610204</v>
      </c>
      <c r="AQ80" s="20" cm="1">
        <f t="array" ref="AQ80">SQRT(SUMSQ($AS37:$AS40-BF38:BF41)/COUNTA($AS37:$AS40-BF38:BF41))</f>
        <v>91.557358809586916</v>
      </c>
      <c r="AR80" s="10" cm="1">
        <f t="array" ref="AR80">SQRT(SUMSQ($AS37:$AS40-BG38:BG41)/COUNTA($AS37:$AS40-BG38:BG41))</f>
        <v>60.297026259113586</v>
      </c>
      <c r="AS80" s="94" cm="1">
        <f t="array" ref="AS80">SQRT(SUMSQ($AS37:$AS40-BH38:BH41)/COUNTA($AS37:$AS40-BH38:BH41))</f>
        <v>54.702486238965385</v>
      </c>
      <c r="AT80" s="20" cm="1">
        <f t="array" ref="AT80">SQRT(SUMSQ($AS37:$AS40-BI38:BI41)/COUNTA($AS37:$AS40-BI38:BI41))</f>
        <v>97.326433406713619</v>
      </c>
      <c r="AU80" s="10" cm="1">
        <f t="array" ref="AU80">SQRT(SUMSQ($AS37:$AS40-BJ38:BJ41)/COUNTA($AS37:$AS40-BJ38:BJ41))</f>
        <v>100.45973813439367</v>
      </c>
      <c r="AV80" s="22" cm="1">
        <f t="array" ref="AV80">SQRT(SUMSQ($AS37:$AS40-BK38:BK41)/COUNTA($AS37:$AS40-BK38:BK41))</f>
        <v>86.837742925400804</v>
      </c>
      <c r="AW80" s="22" cm="1">
        <f t="array" ref="AW80">SQRT(SUMSQ($AS37:$AS40-BL38:BL41)/COUNTA($AS37:$AS40-BL38:BL41))</f>
        <v>81.654233112357048</v>
      </c>
      <c r="AX80" s="95">
        <f t="shared" si="123"/>
        <v>42.873588068610204</v>
      </c>
    </row>
    <row r="81" spans="2:50" x14ac:dyDescent="0.25">
      <c r="B81" s="12" t="s">
        <v>97</v>
      </c>
      <c r="C81" s="10">
        <f>C8/$K16</f>
        <v>15.796580034984405</v>
      </c>
      <c r="D81" s="10">
        <f t="shared" ref="D81:P81" si="128">D8/$K16</f>
        <v>15.796580034984405</v>
      </c>
      <c r="E81" s="10">
        <f t="shared" si="128"/>
        <v>15.796580034984405</v>
      </c>
      <c r="F81" s="10">
        <f t="shared" si="128"/>
        <v>15.796580034984405</v>
      </c>
      <c r="G81" s="10">
        <f t="shared" si="128"/>
        <v>11.10697033709841</v>
      </c>
      <c r="H81" s="10">
        <f t="shared" si="128"/>
        <v>15.796580034984405</v>
      </c>
      <c r="I81" s="10">
        <f t="shared" si="128"/>
        <v>15.796580034984405</v>
      </c>
      <c r="J81" s="10">
        <f t="shared" si="128"/>
        <v>15.796580034984405</v>
      </c>
      <c r="K81" s="10">
        <f t="shared" si="128"/>
        <v>15.796580034984405</v>
      </c>
      <c r="L81" s="10">
        <f t="shared" si="128"/>
        <v>15.796580034984405</v>
      </c>
      <c r="M81" s="10">
        <f t="shared" si="128"/>
        <v>3.9491450087461013</v>
      </c>
      <c r="N81" s="10">
        <f t="shared" si="128"/>
        <v>3.9491450087461013</v>
      </c>
      <c r="O81" s="10">
        <f t="shared" si="128"/>
        <v>15.796580034984405</v>
      </c>
      <c r="P81" s="10">
        <f t="shared" si="128"/>
        <v>15.796580034984405</v>
      </c>
      <c r="R81" s="1"/>
      <c r="S81" s="10"/>
      <c r="T81" s="10"/>
      <c r="AH81" s="120"/>
      <c r="AI81" s="110" t="s">
        <v>39</v>
      </c>
      <c r="AJ81" s="114" cm="1">
        <f t="array" ref="AJ81">SQRT(SUMSQ($AT37:$AT40-AY38:AY41)/COUNTA($AT37:$AT40-AY38:AY41))</f>
        <v>43.862900932160656</v>
      </c>
      <c r="AK81" s="112" cm="1">
        <f t="array" ref="AK81">SQRT(SUMSQ($AT37:$AT40-AZ38:AZ41)/COUNTA($AT37:$AT40-AZ38:AZ41))</f>
        <v>43.862900932160656</v>
      </c>
      <c r="AL81" s="44" cm="1">
        <f t="array" ref="AL81">SQRT(SUMSQ($AT37:$AT40-BA38:BA41)/COUNTA($AT37:$AT40-BA38:BA41))</f>
        <v>58.650926232549338</v>
      </c>
      <c r="AM81" s="45" cm="1">
        <f t="array" ref="AM81">SQRT(SUMSQ($AT37:$AT40-BB38:BB41)/COUNTA($AT37:$AT40-BB38:BB41))</f>
        <v>58.650926232549338</v>
      </c>
      <c r="AN81" s="112" cm="1">
        <f t="array" ref="AN81">SQRT(SUMSQ($AT37:$AT40-BC38:BC41)/COUNTA($AT37:$AT40-BC38:BC41))</f>
        <v>32.193462361775062</v>
      </c>
      <c r="AO81" s="114" cm="1">
        <f t="array" ref="AO81">SQRT(SUMSQ($AT37:$AT40-BD38:BD41)/COUNTA($AT37:$AT40-BD38:BD41))</f>
        <v>26.321920322918267</v>
      </c>
      <c r="AP81" s="45" cm="1">
        <f t="array" ref="AP81">SQRT(SUMSQ($AT37:$AT40-BE38:BE41)/COUNTA($AT37:$AT40-BE38:BE41))</f>
        <v>58.650926232549338</v>
      </c>
      <c r="AQ81" s="112" cm="1">
        <f t="array" ref="AQ81">SQRT(SUMSQ($AT37:$AT40-BF38:BF41)/COUNTA($AT37:$AT40-BF38:BF41))</f>
        <v>38.271999982816865</v>
      </c>
      <c r="AR81" s="44" cm="1">
        <f t="array" ref="AR81">SQRT(SUMSQ($AT37:$AT40-BG38:BG41)/COUNTA($AT37:$AT40-BG38:BG41))</f>
        <v>42.180458021900733</v>
      </c>
      <c r="AS81" s="45" cm="1">
        <f t="array" ref="AS81">SQRT(SUMSQ($AT37:$AT40-BH38:BH41)/COUNTA($AT37:$AT40-BH38:BH41))</f>
        <v>57.40355484365697</v>
      </c>
      <c r="AT81" s="112" cm="1">
        <f t="array" ref="AT81">SQRT(SUMSQ($AT37:$AT40-BI38:BI41)/COUNTA($AT37:$AT40-BI38:BI41))</f>
        <v>38.402570848955307</v>
      </c>
      <c r="AU81" s="44" cm="1">
        <f t="array" ref="AU81">SQRT(SUMSQ($AT37:$AT40-BJ38:BJ41)/COUNTA($AT37:$AT40-BJ38:BJ41))</f>
        <v>32.886484375636989</v>
      </c>
      <c r="AV81" s="45" cm="1">
        <f t="array" ref="AV81">SQRT(SUMSQ($AT37:$AT40-BK38:BK41)/COUNTA($AT37:$AT40-BK38:BK41))</f>
        <v>29.402177294402659</v>
      </c>
      <c r="AW81" s="79" cm="1">
        <f t="array" ref="AW81">SQRT(SUMSQ($AT37:$AT40-BL38:BL41)/COUNTA($AT37:$AT40-BL38:BL41))</f>
        <v>25.428727946955938</v>
      </c>
      <c r="AX81" s="95">
        <f t="shared" si="123"/>
        <v>25.428727946955938</v>
      </c>
    </row>
    <row r="82" spans="2:50" x14ac:dyDescent="0.25">
      <c r="B82" s="124" t="s">
        <v>89</v>
      </c>
      <c r="C82" s="124"/>
      <c r="D82" s="119" t="s">
        <v>76</v>
      </c>
      <c r="E82" s="119"/>
      <c r="F82" s="119"/>
      <c r="G82" s="119" t="s">
        <v>77</v>
      </c>
      <c r="H82" s="119"/>
      <c r="I82" s="119"/>
      <c r="J82" s="119" t="s">
        <v>76</v>
      </c>
      <c r="K82" s="119"/>
      <c r="L82" s="119"/>
      <c r="M82" s="119" t="s">
        <v>77</v>
      </c>
      <c r="N82" s="119"/>
      <c r="O82" s="119"/>
      <c r="R82" s="129"/>
      <c r="AI82" s="90" t="s">
        <v>68</v>
      </c>
      <c r="AJ82" s="10" cm="1">
        <f t="array" ref="AJ82">SQRT(SUMSQ($AU37:$AU40-AY38:AY41)/COUNTA($AU37:$AU40-AY38:AY41))</f>
        <v>63.650430666058014</v>
      </c>
      <c r="AK82" s="20" cm="1">
        <f t="array" ref="AK82">SQRT(SUMSQ($AU37:$AU40-AZ38:AZ41)/COUNTA($AU37:$AU40-AZ38:AZ41))</f>
        <v>63.650430666058014</v>
      </c>
      <c r="AL82" s="10" cm="1">
        <f t="array" ref="AL82">SQRT(SUMSQ($AU37:$AU40-BA38:BA41)/COUNTA($AU37:$AU40-BA38:BA41))</f>
        <v>74.332768085822394</v>
      </c>
      <c r="AM82" s="22" cm="1">
        <f t="array" ref="AM82">SQRT(SUMSQ($AU37:$AU40-BB38:BB41)/COUNTA($AU37:$AU40-BB38:BB41))</f>
        <v>74.332768085822394</v>
      </c>
      <c r="AN82" s="20" cm="1">
        <f t="array" ref="AN82">SQRT(SUMSQ($AU37:$AU40-BC38:BC41)/COUNTA($AU37:$AU40-BC38:BC41))</f>
        <v>58.200642035293697</v>
      </c>
      <c r="AO82" s="10" cm="1">
        <f t="array" ref="AO82">SQRT(SUMSQ($AU37:$AU40-BD38:BD41)/COUNTA($AU37:$AU40-BD38:BD41))</f>
        <v>73.064878598388901</v>
      </c>
      <c r="AP82" s="22" cm="1">
        <f t="array" ref="AP82">SQRT(SUMSQ($AU37:$AU40-BE38:BE41)/COUNTA($AU37:$AU40-BE38:BE41))</f>
        <v>74.332768085822394</v>
      </c>
      <c r="AQ82" s="20" cm="1">
        <f t="array" ref="AQ82">SQRT(SUMSQ($AU37:$AU40-BF38:BF41)/COUNTA($AU37:$AU40-BF38:BF41))</f>
        <v>70.609464089436287</v>
      </c>
      <c r="AR82" s="97" cm="1">
        <f t="array" ref="AR82">SQRT(SUMSQ($AU37:$AU40-BG38:BG41)/COUNTA($AU37:$AU40-BG38:BG41))</f>
        <v>55.830513124445964</v>
      </c>
      <c r="AS82" s="22" cm="1">
        <f t="array" ref="AS82">SQRT(SUMSQ($AU37:$AU40-BH38:BH41)/COUNTA($AU37:$AU40-BH38:BH41))</f>
        <v>67.757134554708941</v>
      </c>
      <c r="AT82" s="20" cm="1">
        <f t="array" ref="AT82">SQRT(SUMSQ($AU37:$AU40-BI38:BI41)/COUNTA($AU37:$AU40-BI38:BI41))</f>
        <v>70.828700929315332</v>
      </c>
      <c r="AU82" s="10" cm="1">
        <f t="array" ref="AU82">SQRT(SUMSQ($AU37:$AU40-BJ38:BJ41)/COUNTA($AU37:$AU40-BJ38:BJ41))</f>
        <v>67.079382192662493</v>
      </c>
      <c r="AV82" s="22" cm="1">
        <f t="array" ref="AV82">SQRT(SUMSQ($AU37:$AU40-BK38:BK41)/COUNTA($AU37:$AU40-BK38:BK41))</f>
        <v>66.09072301863867</v>
      </c>
      <c r="AW82" s="22" cm="1">
        <f t="array" ref="AW82">SQRT(SUMSQ($AU37:$AU40-BL38:BL41)/COUNTA($AU37:$AU40-BL38:BL41))</f>
        <v>71.519594846928072</v>
      </c>
      <c r="AX82" s="95">
        <f t="shared" si="123"/>
        <v>55.830513124445964</v>
      </c>
    </row>
    <row r="83" spans="2:50" x14ac:dyDescent="0.25">
      <c r="B83" t="s">
        <v>80</v>
      </c>
      <c r="C83" s="1" t="s">
        <v>70</v>
      </c>
      <c r="D83" s="1" t="s">
        <v>73</v>
      </c>
      <c r="E83" s="1" t="s">
        <v>74</v>
      </c>
      <c r="F83" s="1" t="s">
        <v>75</v>
      </c>
      <c r="G83" s="1" t="s">
        <v>73</v>
      </c>
      <c r="H83" s="1" t="s">
        <v>74</v>
      </c>
      <c r="I83" s="1" t="s">
        <v>75</v>
      </c>
      <c r="J83" s="1" t="s">
        <v>73</v>
      </c>
      <c r="K83" s="1" t="s">
        <v>74</v>
      </c>
      <c r="L83" s="1" t="s">
        <v>75</v>
      </c>
      <c r="M83" s="1" t="s">
        <v>73</v>
      </c>
      <c r="N83" s="1" t="s">
        <v>74</v>
      </c>
      <c r="O83" s="1" t="s">
        <v>75</v>
      </c>
      <c r="P83" s="1" t="s">
        <v>78</v>
      </c>
      <c r="R83" s="128"/>
      <c r="S83" s="1"/>
      <c r="T83" s="1"/>
      <c r="AI83" s="91" t="s">
        <v>67</v>
      </c>
      <c r="AJ83" s="44" cm="1">
        <f t="array" ref="AJ83">SQRT(SUMSQ($AV37:$AV40-AY38:AY41)/COUNTA($AV37:$AV40-AY38:AY41))</f>
        <v>70.459563231225914</v>
      </c>
      <c r="AK83" s="43" cm="1">
        <f t="array" ref="AK83">SQRT(SUMSQ($AV37:$AV40-AZ38:AZ41)/COUNTA($AV37:$AV40-AZ38:AZ41))</f>
        <v>70.459563231225914</v>
      </c>
      <c r="AL83" s="44" cm="1">
        <f t="array" ref="AL83">SQRT(SUMSQ($AV37:$AV40-BA38:BA41)/COUNTA($AV37:$AV40-BA38:BA41))</f>
        <v>78.50823976986517</v>
      </c>
      <c r="AM83" s="45" cm="1">
        <f t="array" ref="AM83">SQRT(SUMSQ($AV37:$AV40-BB38:BB41)/COUNTA($AV37:$AV40-BB38:BB41))</f>
        <v>78.50823976986517</v>
      </c>
      <c r="AN83" s="43" cm="1">
        <f t="array" ref="AN83">SQRT(SUMSQ($AV37:$AV40-BC38:BC41)/COUNTA($AV37:$AV40-BC38:BC41))</f>
        <v>84.496191031093034</v>
      </c>
      <c r="AO83" s="44" cm="1">
        <f t="array" ref="AO83">SQRT(SUMSQ($AV37:$AV40-BD38:BD41)/COUNTA($AV37:$AV40-BD38:BD41))</f>
        <v>94.538392380971487</v>
      </c>
      <c r="AP83" s="45" cm="1">
        <f t="array" ref="AP83">SQRT(SUMSQ($AV37:$AV40-BE38:BE41)/COUNTA($AV37:$AV40-BE38:BE41))</f>
        <v>78.50823976986517</v>
      </c>
      <c r="AQ83" s="43" cm="1">
        <f t="array" ref="AQ83">SQRT(SUMSQ($AV37:$AV40-BF38:BF41)/COUNTA($AV37:$AV40-BF38:BF41))</f>
        <v>89.987553104742332</v>
      </c>
      <c r="AR83" s="98" cm="1">
        <f t="array" ref="AR83">SQRT(SUMSQ($AV37:$AV40-BG38:BG41)/COUNTA($AV37:$AV40-BG38:BG41))</f>
        <v>65.401705905106482</v>
      </c>
      <c r="AS83" s="45" cm="1">
        <f t="array" ref="AS83">SQRT(SUMSQ($AV37:$AV40-BH38:BH41)/COUNTA($AV37:$AV40-BH38:BH41))</f>
        <v>74.002545877324764</v>
      </c>
      <c r="AT83" s="43" cm="1">
        <f t="array" ref="AT83">SQRT(SUMSQ($AV37:$AV40-BI38:BI41)/COUNTA($AV37:$AV40-BI38:BI41))</f>
        <v>90.918990773463065</v>
      </c>
      <c r="AU83" s="44" cm="1">
        <f t="array" ref="AU83">SQRT(SUMSQ($AV37:$AV40-BJ38:BJ41)/COUNTA($AV37:$AV40-BJ38:BJ41))</f>
        <v>92.801152774393358</v>
      </c>
      <c r="AV83" s="45" cm="1">
        <f t="array" ref="AV83">SQRT(SUMSQ($AV37:$AV40-BK38:BK41)/COUNTA($AV37:$AV40-BK38:BK41))</f>
        <v>90.281000318442196</v>
      </c>
      <c r="AW83" s="45" cm="1">
        <f t="array" ref="AW83">SQRT(SUMSQ($AV37:$AV40-BL38:BL41)/COUNTA($AV37:$AV40-BL38:BL41))</f>
        <v>89.532445321558271</v>
      </c>
      <c r="AX83" s="95">
        <f t="shared" si="123"/>
        <v>65.401705905106482</v>
      </c>
    </row>
    <row r="84" spans="2:50" x14ac:dyDescent="0.25">
      <c r="B84" s="12" t="s">
        <v>42</v>
      </c>
      <c r="C84" s="10">
        <f>C4/$L12</f>
        <v>7.9466189524478938</v>
      </c>
      <c r="D84" s="10">
        <f>D4/$L12</f>
        <v>7.9466189524478938</v>
      </c>
      <c r="E84" s="10">
        <f t="shared" ref="E84:P84" si="129">E4/$L12</f>
        <v>7.9466189524478938</v>
      </c>
      <c r="F84" s="10">
        <f t="shared" si="129"/>
        <v>7.9466189524478938</v>
      </c>
      <c r="G84" s="10">
        <f t="shared" si="129"/>
        <v>3.9733094762239469</v>
      </c>
      <c r="H84" s="10">
        <f t="shared" si="129"/>
        <v>7.9466189524478938</v>
      </c>
      <c r="I84" s="10">
        <f t="shared" si="129"/>
        <v>7.9466189524478938</v>
      </c>
      <c r="J84" s="10">
        <f t="shared" si="129"/>
        <v>2.7937332254699627</v>
      </c>
      <c r="K84" s="10">
        <f t="shared" si="129"/>
        <v>5.5874664509399254</v>
      </c>
      <c r="L84" s="10">
        <f t="shared" si="129"/>
        <v>5.5874664509399254</v>
      </c>
      <c r="M84" s="10">
        <f t="shared" si="129"/>
        <v>2.7937332254699627</v>
      </c>
      <c r="N84" s="10">
        <f t="shared" si="129"/>
        <v>2.7937332254699627</v>
      </c>
      <c r="O84" s="10">
        <f t="shared" si="129"/>
        <v>5.5874664509399254</v>
      </c>
      <c r="P84" s="10">
        <f t="shared" si="129"/>
        <v>5.5874664509399254</v>
      </c>
      <c r="R84" s="128"/>
      <c r="S84" s="10"/>
      <c r="T84" s="10"/>
      <c r="AJ84" s="95">
        <f>MIN(AJ72:AJ83)</f>
        <v>33.448775431458465</v>
      </c>
      <c r="AK84" s="95">
        <f t="shared" ref="AK84:AW84" si="130">MIN(AK72:AK83)</f>
        <v>33.448775431458465</v>
      </c>
      <c r="AL84" s="95">
        <f t="shared" si="130"/>
        <v>32.738501746092481</v>
      </c>
      <c r="AM84" s="95">
        <f t="shared" si="130"/>
        <v>32.738501746092481</v>
      </c>
      <c r="AN84" s="95">
        <f t="shared" si="130"/>
        <v>8.5638809666012889</v>
      </c>
      <c r="AO84" s="95">
        <f t="shared" si="130"/>
        <v>26.321920322918267</v>
      </c>
      <c r="AP84" s="95">
        <f t="shared" si="130"/>
        <v>32.738501746092481</v>
      </c>
      <c r="AQ84" s="95">
        <f t="shared" si="130"/>
        <v>33.57718911558004</v>
      </c>
      <c r="AR84" s="95">
        <f t="shared" si="130"/>
        <v>37.366900844342574</v>
      </c>
      <c r="AS84" s="95">
        <f t="shared" si="130"/>
        <v>36.732467891848636</v>
      </c>
      <c r="AT84" s="95">
        <f t="shared" si="130"/>
        <v>35.646514199907166</v>
      </c>
      <c r="AU84" s="95">
        <f t="shared" si="130"/>
        <v>17.768167083056721</v>
      </c>
      <c r="AV84" s="95">
        <f t="shared" si="130"/>
        <v>23.187505553322655</v>
      </c>
      <c r="AW84" s="95">
        <f t="shared" si="130"/>
        <v>25.428727946955938</v>
      </c>
    </row>
    <row r="85" spans="2:50" x14ac:dyDescent="0.25">
      <c r="B85" s="12" t="s">
        <v>43</v>
      </c>
      <c r="C85" s="10">
        <f>C5/$L13</f>
        <v>29.611754707451158</v>
      </c>
      <c r="D85" s="10">
        <f>D5/$L13</f>
        <v>29.611754707451158</v>
      </c>
      <c r="E85" s="10">
        <f t="shared" ref="E85:P85" si="131">E5/$L13</f>
        <v>59.223509414902317</v>
      </c>
      <c r="F85" s="10">
        <f t="shared" si="131"/>
        <v>59.223509414902317</v>
      </c>
      <c r="G85" s="10">
        <f t="shared" si="131"/>
        <v>14.805877353725579</v>
      </c>
      <c r="H85" s="10">
        <f t="shared" si="131"/>
        <v>20.820765028676597</v>
      </c>
      <c r="I85" s="10">
        <f t="shared" si="131"/>
        <v>59.223509414902317</v>
      </c>
      <c r="J85" s="10">
        <f t="shared" si="131"/>
        <v>29.611754707451158</v>
      </c>
      <c r="K85" s="10">
        <f t="shared" si="131"/>
        <v>29.611754707451158</v>
      </c>
      <c r="L85" s="10">
        <f t="shared" si="131"/>
        <v>59.223509414902317</v>
      </c>
      <c r="M85" s="10">
        <f t="shared" si="131"/>
        <v>14.805877353725579</v>
      </c>
      <c r="N85" s="10">
        <f t="shared" si="131"/>
        <v>20.820765028676597</v>
      </c>
      <c r="O85" s="10">
        <f t="shared" si="131"/>
        <v>29.611754707451158</v>
      </c>
      <c r="P85" s="10">
        <f t="shared" si="131"/>
        <v>20.820765028676597</v>
      </c>
      <c r="R85" s="128"/>
      <c r="S85" s="10"/>
      <c r="T85" s="10"/>
    </row>
    <row r="86" spans="2:50" x14ac:dyDescent="0.25">
      <c r="B86" s="12" t="s">
        <v>44</v>
      </c>
      <c r="C86" s="10">
        <f>C6/$L14</f>
        <v>37.913240969261771</v>
      </c>
      <c r="D86" s="10">
        <f t="shared" ref="D86:P86" si="132">D6/$L14</f>
        <v>37.913240969261771</v>
      </c>
      <c r="E86" s="10">
        <f t="shared" si="132"/>
        <v>37.913240969261771</v>
      </c>
      <c r="F86" s="10">
        <f t="shared" si="132"/>
        <v>37.913240969261771</v>
      </c>
      <c r="G86" s="10">
        <f t="shared" si="132"/>
        <v>13.328873778256092</v>
      </c>
      <c r="H86" s="10">
        <f t="shared" si="132"/>
        <v>9.4783102423154428</v>
      </c>
      <c r="I86" s="10">
        <f t="shared" si="132"/>
        <v>37.913240969261771</v>
      </c>
      <c r="J86" s="10">
        <f t="shared" si="132"/>
        <v>18.956620484630886</v>
      </c>
      <c r="K86" s="10">
        <f t="shared" si="132"/>
        <v>37.913240969261771</v>
      </c>
      <c r="L86" s="10">
        <f t="shared" si="132"/>
        <v>37.913240969261771</v>
      </c>
      <c r="M86" s="10">
        <f t="shared" si="132"/>
        <v>18.956620484630886</v>
      </c>
      <c r="N86" s="10">
        <f t="shared" si="132"/>
        <v>9.4783102423154428</v>
      </c>
      <c r="O86" s="10">
        <f t="shared" si="132"/>
        <v>9.4783102423154428</v>
      </c>
      <c r="P86" s="10">
        <f t="shared" si="132"/>
        <v>18.956620484630886</v>
      </c>
      <c r="R86" s="128"/>
      <c r="S86" s="10"/>
      <c r="T86" s="10"/>
      <c r="AI86" t="s">
        <v>123</v>
      </c>
    </row>
    <row r="87" spans="2:50" x14ac:dyDescent="0.25">
      <c r="B87" s="12" t="s">
        <v>71</v>
      </c>
      <c r="C87" s="10">
        <f>C7/$L15</f>
        <v>7877.0341830658108</v>
      </c>
      <c r="D87" s="10">
        <f t="shared" ref="D87:P88" si="133">D7/$L15</f>
        <v>7877.0341830658108</v>
      </c>
      <c r="E87" s="10">
        <f t="shared" si="133"/>
        <v>7877.0341830658108</v>
      </c>
      <c r="F87" s="10">
        <f t="shared" si="133"/>
        <v>7877.0341830658108</v>
      </c>
      <c r="G87" s="10">
        <f t="shared" si="133"/>
        <v>1969.2585457664527</v>
      </c>
      <c r="H87" s="10">
        <f t="shared" si="133"/>
        <v>2584.651841318469</v>
      </c>
      <c r="I87" s="10">
        <f t="shared" si="133"/>
        <v>7877.0341830658108</v>
      </c>
      <c r="J87" s="10">
        <f t="shared" si="133"/>
        <v>7877.0341830658108</v>
      </c>
      <c r="K87" s="10">
        <f t="shared" si="133"/>
        <v>7877.0341830658108</v>
      </c>
      <c r="L87" s="10">
        <f t="shared" si="133"/>
        <v>7877.0341830658108</v>
      </c>
      <c r="M87" s="10">
        <f t="shared" si="133"/>
        <v>7877.0341830658108</v>
      </c>
      <c r="N87" s="10">
        <f t="shared" si="133"/>
        <v>3938.5170915329054</v>
      </c>
      <c r="O87" s="10">
        <f t="shared" si="133"/>
        <v>1969.2585457664527</v>
      </c>
      <c r="P87" s="10">
        <f t="shared" si="133"/>
        <v>7877.0341830658108</v>
      </c>
      <c r="R87" s="128"/>
      <c r="S87" s="10"/>
      <c r="T87" s="10"/>
      <c r="AI87" s="59"/>
      <c r="AJ87" s="61"/>
      <c r="AK87" s="121" t="s">
        <v>72</v>
      </c>
      <c r="AL87" s="121"/>
      <c r="AM87" s="121"/>
      <c r="AN87" s="121"/>
      <c r="AO87" s="121"/>
      <c r="AP87" s="122"/>
      <c r="AQ87" s="123" t="s">
        <v>117</v>
      </c>
      <c r="AR87" s="121"/>
      <c r="AS87" s="121"/>
      <c r="AT87" s="121"/>
      <c r="AU87" s="121"/>
      <c r="AV87" s="122"/>
      <c r="AW87" s="100"/>
    </row>
    <row r="88" spans="2:50" x14ac:dyDescent="0.25">
      <c r="B88" s="12" t="s">
        <v>97</v>
      </c>
      <c r="C88" s="10">
        <f>C8/$L16</f>
        <v>28.267820246360252</v>
      </c>
      <c r="D88" s="10">
        <f t="shared" si="133"/>
        <v>28.267820246360252</v>
      </c>
      <c r="E88" s="10">
        <f t="shared" si="133"/>
        <v>28.267820246360252</v>
      </c>
      <c r="F88" s="10">
        <f t="shared" si="133"/>
        <v>28.267820246360252</v>
      </c>
      <c r="G88" s="10">
        <f t="shared" si="133"/>
        <v>19.875811110722051</v>
      </c>
      <c r="H88" s="10">
        <f t="shared" si="133"/>
        <v>28.267820246360252</v>
      </c>
      <c r="I88" s="10">
        <f t="shared" si="133"/>
        <v>28.267820246360252</v>
      </c>
      <c r="J88" s="10">
        <f t="shared" si="133"/>
        <v>28.267820246360252</v>
      </c>
      <c r="K88" s="10">
        <f t="shared" si="133"/>
        <v>28.267820246360252</v>
      </c>
      <c r="L88" s="10">
        <f t="shared" si="133"/>
        <v>28.267820246360252</v>
      </c>
      <c r="M88" s="10">
        <f t="shared" si="133"/>
        <v>7.0669550615900629</v>
      </c>
      <c r="N88" s="10">
        <f t="shared" si="133"/>
        <v>7.0669550615900629</v>
      </c>
      <c r="O88" s="10">
        <f t="shared" si="133"/>
        <v>28.267820246360252</v>
      </c>
      <c r="P88" s="10">
        <f t="shared" si="133"/>
        <v>28.267820246360252</v>
      </c>
      <c r="R88" s="128"/>
      <c r="S88" s="10"/>
      <c r="T88" s="10"/>
      <c r="AI88" s="53"/>
      <c r="AJ88" s="54"/>
      <c r="AK88" s="123" t="s">
        <v>76</v>
      </c>
      <c r="AL88" s="121"/>
      <c r="AM88" s="122"/>
      <c r="AN88" s="123" t="s">
        <v>77</v>
      </c>
      <c r="AO88" s="121"/>
      <c r="AP88" s="122"/>
      <c r="AQ88" s="123" t="s">
        <v>76</v>
      </c>
      <c r="AR88" s="121"/>
      <c r="AS88" s="122"/>
      <c r="AT88" s="123" t="s">
        <v>77</v>
      </c>
      <c r="AU88" s="121"/>
      <c r="AV88" s="122"/>
      <c r="AW88" s="101"/>
    </row>
    <row r="89" spans="2:50" x14ac:dyDescent="0.25">
      <c r="B89" s="12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R89" s="128"/>
      <c r="S89" s="10"/>
      <c r="T89" s="10"/>
      <c r="AI89" s="53"/>
      <c r="AJ89" s="73" t="s">
        <v>70</v>
      </c>
      <c r="AK89" s="72" t="s">
        <v>73</v>
      </c>
      <c r="AL89" s="21" t="s">
        <v>74</v>
      </c>
      <c r="AM89" s="73" t="s">
        <v>75</v>
      </c>
      <c r="AN89" s="72" t="s">
        <v>73</v>
      </c>
      <c r="AO89" s="21" t="s">
        <v>74</v>
      </c>
      <c r="AP89" s="73" t="s">
        <v>75</v>
      </c>
      <c r="AQ89" s="72" t="s">
        <v>73</v>
      </c>
      <c r="AR89" s="21" t="s">
        <v>74</v>
      </c>
      <c r="AS89" s="73" t="s">
        <v>75</v>
      </c>
      <c r="AT89" s="72" t="s">
        <v>73</v>
      </c>
      <c r="AU89" s="21" t="s">
        <v>74</v>
      </c>
      <c r="AV89" s="73" t="s">
        <v>75</v>
      </c>
      <c r="AW89" s="102" t="s">
        <v>78</v>
      </c>
    </row>
    <row r="90" spans="2:50" x14ac:dyDescent="0.25">
      <c r="B90" s="124" t="s">
        <v>68</v>
      </c>
      <c r="C90" s="124"/>
      <c r="D90" s="119" t="s">
        <v>76</v>
      </c>
      <c r="E90" s="119"/>
      <c r="F90" s="119"/>
      <c r="G90" s="119" t="s">
        <v>77</v>
      </c>
      <c r="H90" s="119"/>
      <c r="I90" s="119"/>
      <c r="J90" s="119" t="s">
        <v>76</v>
      </c>
      <c r="K90" s="119"/>
      <c r="L90" s="119"/>
      <c r="M90" s="119" t="s">
        <v>77</v>
      </c>
      <c r="N90" s="119"/>
      <c r="O90" s="119"/>
      <c r="AI90" s="90" t="s">
        <v>26</v>
      </c>
      <c r="AJ90" s="22" cm="1">
        <f t="array" ref="AJ90">SQRT(SUMSQ($AK47:$AK50-AY38:AY41)/COUNTA($AK47:$AK50-AY38:AY41))</f>
        <v>89.809506536812734</v>
      </c>
      <c r="AK90" s="20" cm="1">
        <f t="array" ref="AK90">SQRT(SUMSQ($AK47:$AK50-AZ38:AZ41)/COUNTA($AK47:$AK50-AZ38:AZ41))</f>
        <v>89.809506536812734</v>
      </c>
      <c r="AL90" s="10" cm="1">
        <f t="array" ref="AL90">SQRT(SUMSQ($AK47:$AK50-BA38:BA41)/COUNTA($AK47:$AK50-BA38:BA41))</f>
        <v>95.982328964070035</v>
      </c>
      <c r="AM90" s="22" cm="1">
        <f t="array" ref="AM90">SQRT(SUMSQ($AK47:$AK50-BB38:BB41)/COUNTA($AK47:$AK50-BB38:BB41))</f>
        <v>95.982328964070035</v>
      </c>
      <c r="AN90" s="20" cm="1">
        <f t="array" ref="AN90">SQRT(SUMSQ($AK47:$AK50-BC38:BC41)/COUNTA($AK47:$AK50-BC38:BC41))</f>
        <v>29.680856283074338</v>
      </c>
      <c r="AO90" s="10" cm="1">
        <f t="array" ref="AO90">SQRT(SUMSQ($AK47:$AK50-BD38:BD41)/COUNTA($AK47:$AK50-BD38:BD41))</f>
        <v>58.923681050665593</v>
      </c>
      <c r="AP90" s="22" cm="1">
        <f t="array" ref="AP90">SQRT(SUMSQ($AK47:$AK50-BE38:BE41)/COUNTA($AK47:$AK50-BE38:BE41))</f>
        <v>95.982328964070035</v>
      </c>
      <c r="AQ90" s="20" cm="1">
        <f t="array" ref="AQ90">SQRT(SUMSQ($AK47:$AK50-BF38:BF41)/COUNTA($AK47:$AK50-BF38:BF41))</f>
        <v>55.719826521363721</v>
      </c>
      <c r="AR90" s="10" cm="1">
        <f t="array" ref="AR90">SQRT(SUMSQ($AK47:$AK50-BG38:BG41)/COUNTA($AK47:$AK50-BG38:BG41))</f>
        <v>78.99770920033481</v>
      </c>
      <c r="AS90" s="22" cm="1">
        <f t="array" ref="AS90">SQRT(SUMSQ($AK47:$AK50-BH38:BH41)/COUNTA($AK47:$AK50-BH38:BH41))</f>
        <v>85.950555948648812</v>
      </c>
      <c r="AT90" s="20" cm="1">
        <f t="array" ref="AT90">SQRT(SUMSQ($AK47:$AK50-BI38:BI41)/COUNTA($AK47:$AK50-BI38:BI41))</f>
        <v>57.43926412377072</v>
      </c>
      <c r="AU90" s="97" cm="1">
        <f t="array" ref="AU90">SQRT(SUMSQ($AK47:$AK50-BJ38:BJ41)/COUNTA($AK47:$AK50-BJ38:BJ41))</f>
        <v>26.452592124508865</v>
      </c>
      <c r="AV90" s="22" cm="1">
        <f t="array" ref="AV90">SQRT(SUMSQ($AK47:$AK50-BK38:BK41)/COUNTA($AK47:$AK50-BK38:BK41))</f>
        <v>38.79759766009969</v>
      </c>
      <c r="AW90" s="103" cm="1">
        <f t="array" ref="AW90">SQRT(SUMSQ($AK47:$AK50-BL38:BL41)/COUNTA($AK47:$AK50-BL38:BL41))</f>
        <v>66.227175479995026</v>
      </c>
      <c r="AX90" s="95">
        <f>MIN(AJ90:AW90)</f>
        <v>26.452592124508865</v>
      </c>
    </row>
    <row r="91" spans="2:50" x14ac:dyDescent="0.25">
      <c r="B91" t="s">
        <v>80</v>
      </c>
      <c r="C91" s="1" t="s">
        <v>70</v>
      </c>
      <c r="D91" s="1" t="s">
        <v>73</v>
      </c>
      <c r="E91" s="1" t="s">
        <v>74</v>
      </c>
      <c r="F91" s="1" t="s">
        <v>75</v>
      </c>
      <c r="G91" s="1" t="s">
        <v>73</v>
      </c>
      <c r="H91" s="1" t="s">
        <v>74</v>
      </c>
      <c r="I91" s="1" t="s">
        <v>75</v>
      </c>
      <c r="J91" s="1" t="s">
        <v>73</v>
      </c>
      <c r="K91" s="1" t="s">
        <v>74</v>
      </c>
      <c r="L91" s="1" t="s">
        <v>75</v>
      </c>
      <c r="M91" s="1" t="s">
        <v>73</v>
      </c>
      <c r="N91" s="1" t="s">
        <v>74</v>
      </c>
      <c r="O91" s="1" t="s">
        <v>75</v>
      </c>
      <c r="P91" s="1" t="s">
        <v>78</v>
      </c>
      <c r="R91" s="1"/>
      <c r="S91" s="1" t="s">
        <v>91</v>
      </c>
      <c r="T91" s="1" t="s">
        <v>90</v>
      </c>
      <c r="AH91" s="120" t="s">
        <v>120</v>
      </c>
      <c r="AI91" s="85" t="s">
        <v>41</v>
      </c>
      <c r="AJ91" s="106" cm="1">
        <f t="array" ref="AJ91">SQRT(SUMSQ($AL47:$AL50-AY$38:AY$41)/COUNTA($AL47:$AL50-AY$38:AY$41))</f>
        <v>93.196554684003573</v>
      </c>
      <c r="AK91" s="107" cm="1">
        <f t="array" ref="AK91">SQRT(SUMSQ($AL47:$AL50-AZ$38:AZ$41)/COUNTA($AL47:$AL50-AZ$38:AZ$41))</f>
        <v>93.196554684003573</v>
      </c>
      <c r="AL91" s="108" cm="1">
        <f t="array" ref="AL91">SQRT(SUMSQ($AL47:$AL50-BA$38:BA$41)/COUNTA($AL47:$AL50-BA$38:BA$41))</f>
        <v>86.248674763483024</v>
      </c>
      <c r="AM91" s="106" cm="1">
        <f t="array" ref="AM91">SQRT(SUMSQ($AL47:$AL50-BB$38:BB$41)/COUNTA($AL47:$AL50-BB$38:BB$41))</f>
        <v>86.248674763483024</v>
      </c>
      <c r="AN91" s="107" cm="1">
        <f t="array" ref="AN91">SQRT(SUMSQ($AL47:$AL50-BC$38:BC$41)/COUNTA($AL47:$AL50-BC$38:BC$41))</f>
        <v>58.729798679703883</v>
      </c>
      <c r="AO91" s="108" cm="1">
        <f t="array" ref="AO91">SQRT(SUMSQ($AL47:$AL50-BD$38:BD$41)/COUNTA($AL47:$AL50-BD$38:BD$41))</f>
        <v>75.48792663850034</v>
      </c>
      <c r="AP91" s="106" cm="1">
        <f t="array" ref="AP91">SQRT(SUMSQ($AL47:$AL50-BE$38:BE$41)/COUNTA($AL47:$AL50-BE$38:BE$41))</f>
        <v>86.248674763483024</v>
      </c>
      <c r="AQ91" s="107" cm="1">
        <f t="array" ref="AQ91">SQRT(SUMSQ($AL47:$AL50-BF$38:BF$41)/COUNTA($AL47:$AL50-BF$38:BF$41))</f>
        <v>61.422110006158974</v>
      </c>
      <c r="AR91" s="108" cm="1">
        <f t="array" ref="AR91">SQRT(SUMSQ($AL47:$AL50-BG$38:BG$41)/COUNTA($AL47:$AL50-BG$38:BG$41))</f>
        <v>82.223243147415801</v>
      </c>
      <c r="AS91" s="106" cm="1">
        <f t="array" ref="AS91">SQRT(SUMSQ($AL47:$AL50-BH$38:BH$41)/COUNTA($AL47:$AL50-BH$38:BH$41))</f>
        <v>74.255624751042703</v>
      </c>
      <c r="AT91" s="107" cm="1">
        <f t="array" ref="AT91">SQRT(SUMSQ($AL47:$AL50-BI$38:BI$41)/COUNTA($AL47:$AL50-BI$38:BI$41))</f>
        <v>71.861377323736221</v>
      </c>
      <c r="AU91" s="109" cm="1">
        <f t="array" ref="AU91">SQRT(SUMSQ($AL47:$AL50-BJ$38:BJ$41)/COUNTA($AL47:$AL50-BJ$38:BJ$41))</f>
        <v>50.935428201695402</v>
      </c>
      <c r="AV91" s="106" cm="1">
        <f t="array" ref="AV91">SQRT(SUMSQ($AL47:$AL50-BK$38:BK$41)/COUNTA($AL47:$AL50-BK$38:BK$41))</f>
        <v>54.763542923851787</v>
      </c>
      <c r="AW91" s="103" cm="1">
        <f t="array" ref="AW91">SQRT(SUMSQ($AL47:$AL50-BL$38:BL$41)/COUNTA($AL47:$AL50-BL$38:BL$41))</f>
        <v>76.699662412192893</v>
      </c>
      <c r="AX91" s="95">
        <f t="shared" ref="AX91:AX101" si="134">MIN(AJ91:AW91)</f>
        <v>50.935428201695402</v>
      </c>
    </row>
    <row r="92" spans="2:50" ht="15" customHeight="1" x14ac:dyDescent="0.25">
      <c r="B92" s="12" t="s">
        <v>42</v>
      </c>
      <c r="C92" s="10">
        <f>C4/$M12</f>
        <v>12.216507147259433</v>
      </c>
      <c r="D92" s="10">
        <f t="shared" ref="D92:P92" si="135">D4/$M12</f>
        <v>12.216507147259433</v>
      </c>
      <c r="E92" s="10">
        <f t="shared" si="135"/>
        <v>12.216507147259433</v>
      </c>
      <c r="F92" s="10">
        <f t="shared" si="135"/>
        <v>12.216507147259433</v>
      </c>
      <c r="G92" s="10">
        <f t="shared" si="135"/>
        <v>6.1082535736297165</v>
      </c>
      <c r="H92" s="10">
        <f t="shared" si="135"/>
        <v>12.216507147259433</v>
      </c>
      <c r="I92" s="10">
        <f t="shared" si="135"/>
        <v>12.216507147259433</v>
      </c>
      <c r="J92" s="10">
        <f t="shared" si="135"/>
        <v>4.2948657939583947</v>
      </c>
      <c r="K92" s="10">
        <f t="shared" si="135"/>
        <v>8.5897315879167895</v>
      </c>
      <c r="L92" s="10">
        <f t="shared" si="135"/>
        <v>8.5897315879167895</v>
      </c>
      <c r="M92" s="10">
        <f t="shared" si="135"/>
        <v>4.2948657939583947</v>
      </c>
      <c r="N92" s="10">
        <f t="shared" si="135"/>
        <v>4.2948657939583947</v>
      </c>
      <c r="O92" s="10">
        <f t="shared" si="135"/>
        <v>8.5897315879167895</v>
      </c>
      <c r="P92" s="10">
        <f t="shared" si="135"/>
        <v>8.5897315879167895</v>
      </c>
      <c r="R92" s="12" t="s">
        <v>42</v>
      </c>
      <c r="S92" s="10">
        <f>AVERAGE(C92:P92)</f>
        <v>9.0464871564806177</v>
      </c>
      <c r="T92" s="10">
        <f>_xlfn.STDEV.P(C92:P92)</f>
        <v>3.1338656680460248</v>
      </c>
      <c r="AH92" s="120"/>
      <c r="AI92" s="72" t="s">
        <v>40</v>
      </c>
      <c r="AJ92" s="22" cm="1">
        <f t="array" ref="AJ92">SQRT(SUMSQ($AM47:$AM50-AY$38:AY$41)/COUNTA($AM47:$AM50-AY$38:AY$41))</f>
        <v>75.586971783825391</v>
      </c>
      <c r="AK92" s="20" cm="1">
        <f t="array" ref="AK92">SQRT(SUMSQ($AM47:$AM50-AZ$38:AZ$41)/COUNTA($AM47:$AM50-AZ$38:AZ$41))</f>
        <v>75.586971783825391</v>
      </c>
      <c r="AL92" s="10" cm="1">
        <f t="array" ref="AL92">SQRT(SUMSQ($AM47:$AM50-BA$38:BA$41)/COUNTA($AM47:$AM50-BA$38:BA$41))</f>
        <v>71.834495435303978</v>
      </c>
      <c r="AM92" s="22" cm="1">
        <f t="array" ref="AM92">SQRT(SUMSQ($AM47:$AM50-BB$38:BB$41)/COUNTA($AM47:$AM50-BB$38:BB$41))</f>
        <v>71.834495435303978</v>
      </c>
      <c r="AN92" s="20" cm="1">
        <f t="array" ref="AN92">SQRT(SUMSQ($AM47:$AM50-BC$38:BC$41)/COUNTA($AM47:$AM50-BC$38:BC$41))</f>
        <v>53.791595571021013</v>
      </c>
      <c r="AO92" s="10" cm="1">
        <f t="array" ref="AO92">SQRT(SUMSQ($AM47:$AM50-BD$38:BD$41)/COUNTA($AM47:$AM50-BD$38:BD$41))</f>
        <v>71.294509013315874</v>
      </c>
      <c r="AP92" s="22" cm="1">
        <f t="array" ref="AP92">SQRT(SUMSQ($AM47:$AM50-BE$38:BE$41)/COUNTA($AM47:$AM50-BE$38:BE$41))</f>
        <v>71.834495435303978</v>
      </c>
      <c r="AQ92" s="96" cm="1">
        <f t="array" ref="AQ92">SQRT(SUMSQ($AM47:$AM50-BF$38:BF$41)/COUNTA($AM47:$AM50-BF$38:BF$41))</f>
        <v>40.603837576784748</v>
      </c>
      <c r="AR92" s="10" cm="1">
        <f t="array" ref="AR92">SQRT(SUMSQ($AM47:$AM50-BG$38:BG$41)/COUNTA($AM47:$AM50-BG$38:BG$41))</f>
        <v>62.07399709455602</v>
      </c>
      <c r="AS92" s="22" cm="1">
        <f t="array" ref="AS92">SQRT(SUMSQ($AM47:$AM50-BH$38:BH$41)/COUNTA($AM47:$AM50-BH$38:BH$41))</f>
        <v>57.445500661852023</v>
      </c>
      <c r="AT92" s="20" cm="1">
        <f t="array" ref="AT92">SQRT(SUMSQ($AM47:$AM50-BI$38:BI$41)/COUNTA($AM47:$AM50-BI$38:BI$41))</f>
        <v>51.896718686868553</v>
      </c>
      <c r="AU92" s="10" cm="1">
        <f t="array" ref="AU92">SQRT(SUMSQ($AM47:$AM50-BJ$38:BJ$41)/COUNTA($AM47:$AM50-BJ$38:BJ$41))</f>
        <v>42.146925097859715</v>
      </c>
      <c r="AV92" s="22" cm="1">
        <f t="array" ref="AV92">SQRT(SUMSQ($AM47:$AM50-BK$38:BK$41)/COUNTA($AM47:$AM50-BK$38:BK$41))</f>
        <v>53.753730816176123</v>
      </c>
      <c r="AW92" s="103" cm="1">
        <f t="array" ref="AW92">SQRT(SUMSQ($AM47:$AM50-BL$38:BL$41)/COUNTA($AM47:$AM50-BL$38:BL$41))</f>
        <v>58.959993743818963</v>
      </c>
      <c r="AX92" s="95">
        <f t="shared" si="134"/>
        <v>40.603837576784748</v>
      </c>
    </row>
    <row r="93" spans="2:50" x14ac:dyDescent="0.25">
      <c r="B93" s="12" t="s">
        <v>43</v>
      </c>
      <c r="C93" s="10">
        <f t="shared" ref="C93:P93" si="136">C5/$M13</f>
        <v>14.183396008204982</v>
      </c>
      <c r="D93" s="10">
        <f t="shared" si="136"/>
        <v>14.183396008204982</v>
      </c>
      <c r="E93" s="10">
        <f t="shared" si="136"/>
        <v>28.366792016409963</v>
      </c>
      <c r="F93" s="10">
        <f t="shared" si="136"/>
        <v>28.366792016409963</v>
      </c>
      <c r="G93" s="10">
        <f t="shared" si="136"/>
        <v>7.0916980041024908</v>
      </c>
      <c r="H93" s="10">
        <f t="shared" si="136"/>
        <v>9.9727003182691281</v>
      </c>
      <c r="I93" s="10">
        <f t="shared" si="136"/>
        <v>28.366792016409963</v>
      </c>
      <c r="J93" s="10">
        <f t="shared" si="136"/>
        <v>14.183396008204982</v>
      </c>
      <c r="K93" s="10">
        <f t="shared" si="136"/>
        <v>14.183396008204982</v>
      </c>
      <c r="L93" s="10">
        <f t="shared" si="136"/>
        <v>28.366792016409963</v>
      </c>
      <c r="M93" s="10">
        <f t="shared" si="136"/>
        <v>7.0916980041024908</v>
      </c>
      <c r="N93" s="10">
        <f t="shared" si="136"/>
        <v>9.9727003182691281</v>
      </c>
      <c r="O93" s="10">
        <f t="shared" si="136"/>
        <v>14.183396008204982</v>
      </c>
      <c r="P93" s="10">
        <f t="shared" si="136"/>
        <v>9.9727003182691281</v>
      </c>
      <c r="R93" s="12" t="s">
        <v>43</v>
      </c>
      <c r="S93" s="10">
        <f>AVERAGE(C93:P93)</f>
        <v>16.320403219262655</v>
      </c>
      <c r="T93" s="10">
        <f>_xlfn.STDEV.P(C93:P93)</f>
        <v>7.9933629949352385</v>
      </c>
      <c r="AH93" s="120"/>
      <c r="AI93" s="110" t="s">
        <v>39</v>
      </c>
      <c r="AJ93" s="45" cm="1">
        <f t="array" ref="AJ93">SQRT(SUMSQ($AN47:$AN50-AY$38:AY$41)/COUNTA($AN47:$AN50-AY$38:AY$41))</f>
        <v>83.063562653332852</v>
      </c>
      <c r="AK93" s="43" cm="1">
        <f t="array" ref="AK93">SQRT(SUMSQ($AN47:$AN50-AZ$38:AZ$41)/COUNTA($AN47:$AN50-AZ$38:AZ$41))</f>
        <v>83.063562653332852</v>
      </c>
      <c r="AL93" s="44" cm="1">
        <f t="array" ref="AL93">SQRT(SUMSQ($AN47:$AN50-BA$38:BA$41)/COUNTA($AN47:$AN50-BA$38:BA$41))</f>
        <v>94.704007290111292</v>
      </c>
      <c r="AM93" s="45" cm="1">
        <f t="array" ref="AM93">SQRT(SUMSQ($AN47:$AN50-BB$38:BB$41)/COUNTA($AN47:$AN50-BB$38:BB$41))</f>
        <v>94.704007290111292</v>
      </c>
      <c r="AN93" s="112" cm="1">
        <f t="array" ref="AN93">SQRT(SUMSQ($AN47:$AN50-BC$38:BC$41)/COUNTA($AN47:$AN50-BC$38:BC$41))</f>
        <v>21.668145799495193</v>
      </c>
      <c r="AO93" s="44" cm="1">
        <f t="array" ref="AO93">SQRT(SUMSQ($AN47:$AN50-BD$38:BD$41)/COUNTA($AN47:$AN50-BD$38:BD$41))</f>
        <v>53.075502262242679</v>
      </c>
      <c r="AP93" s="45" cm="1">
        <f t="array" ref="AP93">SQRT(SUMSQ($AN47:$AN50-BE$38:BE$41)/COUNTA($AN47:$AN50-BE$38:BE$41))</f>
        <v>94.704007290111292</v>
      </c>
      <c r="AQ93" s="43" cm="1">
        <f t="array" ref="AQ93">SQRT(SUMSQ($AN47:$AN50-BF$38:BF$41)/COUNTA($AN47:$AN50-BF$38:BF$41))</f>
        <v>48.712998139696609</v>
      </c>
      <c r="AR93" s="44" cm="1">
        <f t="array" ref="AR93">SQRT(SUMSQ($AN47:$AN50-BG$38:BG$41)/COUNTA($AN47:$AN50-BG$38:BG$41))</f>
        <v>72.547308005280073</v>
      </c>
      <c r="AS93" s="45" cm="1">
        <f t="array" ref="AS93">SQRT(SUMSQ($AN47:$AN50-BH$38:BH$41)/COUNTA($AN47:$AN50-BH$38:BH$41))</f>
        <v>85.629466043846591</v>
      </c>
      <c r="AT93" s="43" cm="1">
        <f t="array" ref="AT93">SQRT(SUMSQ($AN47:$AN50-BI$38:BI$41)/COUNTA($AN47:$AN50-BI$38:BI$41))</f>
        <v>45.894546622528416</v>
      </c>
      <c r="AU93" s="116" cm="1">
        <f t="array" ref="AU93">SQRT(SUMSQ($AN47:$AN50-BJ$38:BJ$41)/COUNTA($AN47:$AN50-BJ$38:BJ$41))</f>
        <v>16.876120203323882</v>
      </c>
      <c r="AV93" s="45" cm="1">
        <f t="array" ref="AV93">SQRT(SUMSQ($AN47:$AN50-BK$38:BK$41)/COUNTA($AN47:$AN50-BK$38:BK$41))</f>
        <v>37.821700401563788</v>
      </c>
      <c r="AW93" s="103" cm="1">
        <f t="array" ref="AW93">SQRT(SUMSQ($AN47:$AN50-BL$38:BL$41)/COUNTA($AN47:$AN50-BL$38:BL$41))</f>
        <v>56.187439265909717</v>
      </c>
      <c r="AX93" s="95">
        <f t="shared" si="134"/>
        <v>16.876120203323882</v>
      </c>
    </row>
    <row r="94" spans="2:50" x14ac:dyDescent="0.25">
      <c r="B94" s="12" t="s">
        <v>44</v>
      </c>
      <c r="C94" s="10">
        <f>C6/$M14</f>
        <v>3.1963858495767821</v>
      </c>
      <c r="D94" s="10">
        <f t="shared" ref="D94:P94" si="137">D6/$M14</f>
        <v>3.1963858495767821</v>
      </c>
      <c r="E94" s="10">
        <f t="shared" si="137"/>
        <v>3.1963858495767821</v>
      </c>
      <c r="F94" s="10">
        <f t="shared" si="137"/>
        <v>3.1963858495767821</v>
      </c>
      <c r="G94" s="10">
        <f t="shared" si="137"/>
        <v>1.1237294002418374</v>
      </c>
      <c r="H94" s="10">
        <f t="shared" si="137"/>
        <v>0.79909646239419552</v>
      </c>
      <c r="I94" s="10">
        <f t="shared" si="137"/>
        <v>3.1963858495767821</v>
      </c>
      <c r="J94" s="10">
        <f t="shared" si="137"/>
        <v>1.598192924788391</v>
      </c>
      <c r="K94" s="10">
        <f t="shared" si="137"/>
        <v>3.1963858495767821</v>
      </c>
      <c r="L94" s="10">
        <f t="shared" si="137"/>
        <v>3.1963858495767821</v>
      </c>
      <c r="M94" s="10">
        <f t="shared" si="137"/>
        <v>1.598192924788391</v>
      </c>
      <c r="N94" s="10">
        <f t="shared" si="137"/>
        <v>0.79909646239419552</v>
      </c>
      <c r="O94" s="10">
        <f t="shared" si="137"/>
        <v>0.79909646239419552</v>
      </c>
      <c r="P94" s="10">
        <f t="shared" si="137"/>
        <v>1.598192924788391</v>
      </c>
      <c r="R94" s="12" t="s">
        <v>44</v>
      </c>
      <c r="S94" s="10">
        <f>AVERAGE(C94:P94)</f>
        <v>2.1921641792019342</v>
      </c>
      <c r="T94" s="10">
        <f>_xlfn.STDEV.P(C94:P94)</f>
        <v>1.0378927677782379</v>
      </c>
      <c r="AH94" s="120" t="s">
        <v>121</v>
      </c>
      <c r="AI94" s="72" t="s">
        <v>41</v>
      </c>
      <c r="AJ94" s="22" cm="1">
        <f t="array" ref="AJ94">SQRT(SUMSQ($AO47:$AO50-AY$38:AY$41)/COUNTA($AO47:$AO50-AY$38:AY$41))</f>
        <v>88.897916504247149</v>
      </c>
      <c r="AK94" s="20" cm="1">
        <f t="array" ref="AK94">SQRT(SUMSQ($AO47:$AO50-AZ$38:AZ$41)/COUNTA($AO47:$AO50-AZ$38:AZ$41))</f>
        <v>88.897916504247149</v>
      </c>
      <c r="AL94" s="10" cm="1">
        <f t="array" ref="AL94">SQRT(SUMSQ($AO47:$AO50-BA$38:BA$41)/COUNTA($AO47:$AO50-BA$38:BA$41))</f>
        <v>77.250900565717387</v>
      </c>
      <c r="AM94" s="22" cm="1">
        <f t="array" ref="AM94">SQRT(SUMSQ($AO47:$AO50-BB$38:BB$41)/COUNTA($AO47:$AO50-BB$38:BB$41))</f>
        <v>77.250900565717387</v>
      </c>
      <c r="AN94" s="20" cm="1">
        <f t="array" ref="AN94">SQRT(SUMSQ($AO47:$AO50-BC$38:BC$41)/COUNTA($AO47:$AO50-BC$38:BC$41))</f>
        <v>68.170963924325122</v>
      </c>
      <c r="AO94" s="10" cm="1">
        <f t="array" ref="AO94">SQRT(SUMSQ($AO47:$AO50-BD$38:BD$41)/COUNTA($AO47:$AO50-BD$38:BD$41))</f>
        <v>80.482722325616621</v>
      </c>
      <c r="AP94" s="22" cm="1">
        <f t="array" ref="AP94">SQRT(SUMSQ($AO47:$AO50-BE$38:BE$41)/COUNTA($AO47:$AO50-BE$38:BE$41))</f>
        <v>77.250900565717387</v>
      </c>
      <c r="AQ94" s="20" cm="1">
        <f t="array" ref="AQ94">SQRT(SUMSQ($AO47:$AO50-BF$38:BF$41)/COUNTA($AO47:$AO50-BF$38:BF$41))</f>
        <v>60.677540126462368</v>
      </c>
      <c r="AR94" s="10" cm="1">
        <f t="array" ref="AR94">SQRT(SUMSQ($AO47:$AO50-BG$38:BG$41)/COUNTA($AO47:$AO50-BG$38:BG$41))</f>
        <v>78.216885672196469</v>
      </c>
      <c r="AS94" s="22" cm="1">
        <f t="array" ref="AS94">SQRT(SUMSQ($AO47:$AO50-BH$38:BH$41)/COUNTA($AO47:$AO50-BH$38:BH$41))</f>
        <v>64.674131487602608</v>
      </c>
      <c r="AT94" s="20" cm="1">
        <f t="array" ref="AT94">SQRT(SUMSQ($AO47:$AO50-BI$38:BI$41)/COUNTA($AO47:$AO50-BI$38:BI$41))</f>
        <v>73.602532810286647</v>
      </c>
      <c r="AU94" s="97" cm="1">
        <f t="array" ref="AU94">SQRT(SUMSQ($AO47:$AO50-BJ$38:BJ$41)/COUNTA($AO47:$AO50-BJ$38:BJ$41))</f>
        <v>59.169584121146954</v>
      </c>
      <c r="AV94" s="22" cm="1">
        <f t="array" ref="AV94">SQRT(SUMSQ($AO47:$AO50-BK$38:BK$41)/COUNTA($AO47:$AO50-BK$38:BK$41))</f>
        <v>61.932246616126214</v>
      </c>
      <c r="AW94" s="103" cm="1">
        <f t="array" ref="AW94">SQRT(SUMSQ($AO47:$AO50-BL$38:BL$41)/COUNTA($AO47:$AO50-BL$38:BL$41))</f>
        <v>76.357870704015369</v>
      </c>
      <c r="AX94" s="95">
        <f t="shared" si="134"/>
        <v>59.169584121146954</v>
      </c>
    </row>
    <row r="95" spans="2:50" ht="15" customHeight="1" x14ac:dyDescent="0.25">
      <c r="B95" s="12" t="s">
        <v>71</v>
      </c>
      <c r="C95" s="10">
        <f>C7/$M15</f>
        <v>28.366792016409963</v>
      </c>
      <c r="D95" s="10">
        <f t="shared" ref="D95:P96" si="138">D7/$M15</f>
        <v>28.366792016409963</v>
      </c>
      <c r="E95" s="10">
        <f t="shared" si="138"/>
        <v>28.366792016409963</v>
      </c>
      <c r="F95" s="10">
        <f t="shared" si="138"/>
        <v>28.366792016409963</v>
      </c>
      <c r="G95" s="10">
        <f t="shared" si="138"/>
        <v>7.0916980041024908</v>
      </c>
      <c r="H95" s="10">
        <f t="shared" si="138"/>
        <v>9.3078536303845194</v>
      </c>
      <c r="I95" s="10">
        <f t="shared" si="138"/>
        <v>28.366792016409963</v>
      </c>
      <c r="J95" s="10">
        <f t="shared" si="138"/>
        <v>28.366792016409963</v>
      </c>
      <c r="K95" s="10">
        <f t="shared" si="138"/>
        <v>28.366792016409963</v>
      </c>
      <c r="L95" s="10">
        <f t="shared" si="138"/>
        <v>28.366792016409963</v>
      </c>
      <c r="M95" s="10">
        <f t="shared" si="138"/>
        <v>28.366792016409963</v>
      </c>
      <c r="N95" s="10">
        <f t="shared" si="138"/>
        <v>14.183396008204982</v>
      </c>
      <c r="O95" s="10">
        <f t="shared" si="138"/>
        <v>7.0916980041024908</v>
      </c>
      <c r="P95" s="10">
        <f t="shared" si="138"/>
        <v>28.366792016409963</v>
      </c>
      <c r="R95" s="12" t="s">
        <v>71</v>
      </c>
      <c r="S95" s="10">
        <f>AVERAGE(C95:P95)</f>
        <v>22.953040415063867</v>
      </c>
      <c r="T95" s="10">
        <f>AVERAGE(C95:P95)</f>
        <v>22.953040415063867</v>
      </c>
      <c r="AH95" s="120"/>
      <c r="AI95" s="72" t="s">
        <v>40</v>
      </c>
      <c r="AJ95" s="22" cm="1">
        <f t="array" ref="AJ95">SQRT(SUMSQ($AP47:$AP50-AY$38:AY$41)/COUNTA($AP47:$AP50-AY$38:AY$41))</f>
        <v>63.14445686783769</v>
      </c>
      <c r="AK95" s="20" cm="1">
        <f t="array" ref="AK95">SQRT(SUMSQ($AP47:$AP50-AZ$38:AZ$41)/COUNTA($AP47:$AP50-AZ$38:AZ$41))</f>
        <v>63.14445686783769</v>
      </c>
      <c r="AL95" s="92" cm="1">
        <f t="array" ref="AL95">SQRT(SUMSQ($AP47:$AP50-BA$38:BA$41)/COUNTA($AP47:$AP50-BA$38:BA$41))</f>
        <v>59.104669755739067</v>
      </c>
      <c r="AM95" s="94" cm="1">
        <f t="array" ref="AM95">SQRT(SUMSQ($AP47:$AP50-BB$38:BB$41)/COUNTA($AP47:$AP50-BB$38:BB$41))</f>
        <v>59.104669755739067</v>
      </c>
      <c r="AN95" s="20" cm="1">
        <f t="array" ref="AN95">SQRT(SUMSQ($AP47:$AP50-BC$38:BC$41)/COUNTA($AP47:$AP50-BC$38:BC$41))</f>
        <v>53.982159399250911</v>
      </c>
      <c r="AO95" s="10" cm="1">
        <f t="array" ref="AO95">SQRT(SUMSQ($AP47:$AP50-BD$38:BD$41)/COUNTA($AP47:$AP50-BD$38:BD$41))</f>
        <v>66.450998529729489</v>
      </c>
      <c r="AP95" s="94" cm="1">
        <f t="array" ref="AP95">SQRT(SUMSQ($AP47:$AP50-BE$38:BE$41)/COUNTA($AP47:$AP50-BE$38:BE$41))</f>
        <v>59.104669755739067</v>
      </c>
      <c r="AQ95" s="96" cm="1">
        <f t="array" ref="AQ95">SQRT(SUMSQ($AP47:$AP50-BF$38:BF$41)/COUNTA($AP47:$AP50-BF$38:BF$41))</f>
        <v>31.529459551701514</v>
      </c>
      <c r="AR95" s="92" cm="1">
        <f t="array" ref="AR95">SQRT(SUMSQ($AP47:$AP50-BG$38:BG$41)/COUNTA($AP47:$AP50-BG$38:BG$41))</f>
        <v>50.058640352817235</v>
      </c>
      <c r="AS95" s="94" cm="1">
        <f t="array" ref="AS95">SQRT(SUMSQ($AP47:$AP50-BH$38:BH$41)/COUNTA($AP47:$AP50-BH$38:BH$41))</f>
        <v>44.855401322175965</v>
      </c>
      <c r="AT95" s="20" cm="1">
        <f t="array" ref="AT95">SQRT(SUMSQ($AP47:$AP50-BI$38:BI$41)/COUNTA($AP47:$AP50-BI$38:BI$41))</f>
        <v>44.8222828816427</v>
      </c>
      <c r="AU95" s="10" cm="1">
        <f t="array" ref="AU95">SQRT(SUMSQ($AP47:$AP50-BJ$38:BJ$41)/COUNTA($AP47:$AP50-BJ$38:BJ$41))</f>
        <v>42.119533902843777</v>
      </c>
      <c r="AV95" s="22" cm="1">
        <f t="array" ref="AV95">SQRT(SUMSQ($AP47:$AP50-BK$38:BK$41)/COUNTA($AP47:$AP50-BK$38:BK$41))</f>
        <v>52.249754353531365</v>
      </c>
      <c r="AW95" s="103" cm="1">
        <f t="array" ref="AW95">SQRT(SUMSQ($AP47:$AP50-BL$38:BL$41)/COUNTA($AP47:$AP50-BL$38:BL$41))</f>
        <v>48.533058583165136</v>
      </c>
      <c r="AX95" s="95">
        <f t="shared" si="134"/>
        <v>31.529459551701514</v>
      </c>
    </row>
    <row r="96" spans="2:50" x14ac:dyDescent="0.25">
      <c r="B96" s="12" t="s">
        <v>97</v>
      </c>
      <c r="C96" s="10">
        <f>C8/$M16</f>
        <v>4.0247291918125132</v>
      </c>
      <c r="D96" s="10">
        <f t="shared" si="138"/>
        <v>4.0247291918125132</v>
      </c>
      <c r="E96" s="10">
        <f t="shared" si="138"/>
        <v>4.0247291918125132</v>
      </c>
      <c r="F96" s="10">
        <f t="shared" si="138"/>
        <v>4.0247291918125132</v>
      </c>
      <c r="G96" s="10">
        <f t="shared" si="138"/>
        <v>2.8298877129931732</v>
      </c>
      <c r="H96" s="10">
        <f t="shared" si="138"/>
        <v>4.0247291918125132</v>
      </c>
      <c r="I96" s="10">
        <f t="shared" si="138"/>
        <v>4.0247291918125132</v>
      </c>
      <c r="J96" s="10">
        <f t="shared" si="138"/>
        <v>4.0247291918125132</v>
      </c>
      <c r="K96" s="10">
        <f t="shared" si="138"/>
        <v>4.0247291918125132</v>
      </c>
      <c r="L96" s="10">
        <f t="shared" si="138"/>
        <v>4.0247291918125132</v>
      </c>
      <c r="M96" s="10">
        <f t="shared" si="138"/>
        <v>1.0061822979531283</v>
      </c>
      <c r="N96" s="10">
        <f t="shared" si="138"/>
        <v>1.0061822979531283</v>
      </c>
      <c r="O96" s="10">
        <f t="shared" si="138"/>
        <v>4.0247291918125132</v>
      </c>
      <c r="P96" s="10">
        <f t="shared" si="138"/>
        <v>4.0247291918125132</v>
      </c>
      <c r="R96" s="12" t="s">
        <v>97</v>
      </c>
      <c r="S96" s="10">
        <f>AVERAGE(C96:P96)</f>
        <v>3.5081623870597909</v>
      </c>
      <c r="T96" s="10">
        <f>AVERAGE(C96:P96)</f>
        <v>3.5081623870597909</v>
      </c>
      <c r="AH96" s="120"/>
      <c r="AI96" s="72" t="s">
        <v>39</v>
      </c>
      <c r="AJ96" s="94" cm="1">
        <f t="array" ref="AJ96">SQRT(SUMSQ($AQ47:$AQ50-AY$38:AY$41)/COUNTA($AQ47:$AQ50-AY$38:AY$41))</f>
        <v>60.687171708556527</v>
      </c>
      <c r="AK96" s="93" cm="1">
        <f t="array" ref="AK96">SQRT(SUMSQ($AQ47:$AQ50-AZ$38:AZ$41)/COUNTA($AQ47:$AQ50-AZ$38:AZ$41))</f>
        <v>60.687171708556527</v>
      </c>
      <c r="AL96" s="10" cm="1">
        <f t="array" ref="AL96">SQRT(SUMSQ($AQ47:$AQ50-BA$38:BA$41)/COUNTA($AQ47:$AQ50-BA$38:BA$41))</f>
        <v>70.041372650338204</v>
      </c>
      <c r="AM96" s="22" cm="1">
        <f t="array" ref="AM96">SQRT(SUMSQ($AQ47:$AQ50-BB$38:BB$41)/COUNTA($AQ47:$AQ50-BB$38:BB$41))</f>
        <v>70.041372650338204</v>
      </c>
      <c r="AN96" s="20" cm="1">
        <f t="array" ref="AN96">SQRT(SUMSQ($AQ47:$AQ50-BC$38:BC$41)/COUNTA($AQ47:$AQ50-BC$38:BC$41))</f>
        <v>23.611654234637179</v>
      </c>
      <c r="AO96" s="92" cm="1">
        <f t="array" ref="AO96">SQRT(SUMSQ($AQ47:$AQ50-BD$38:BD$41)/COUNTA($AQ47:$AQ50-BD$38:BD$41))</f>
        <v>42.182385315294461</v>
      </c>
      <c r="AP96" s="22" cm="1">
        <f t="array" ref="AP96">SQRT(SUMSQ($AQ47:$AQ50-BE$38:BE$41)/COUNTA($AQ47:$AQ50-BE$38:BE$41))</f>
        <v>70.041372650338204</v>
      </c>
      <c r="AQ96" s="20" cm="1">
        <f t="array" ref="AQ96">SQRT(SUMSQ($AQ47:$AQ50-BF$38:BF$41)/COUNTA($AQ47:$AQ50-BF$38:BF$41))</f>
        <v>30.6408121550113</v>
      </c>
      <c r="AR96" s="10" cm="1">
        <f t="array" ref="AR96">SQRT(SUMSQ($AQ47:$AQ50-BG$38:BG$41)/COUNTA($AQ47:$AQ50-BG$38:BG$41))</f>
        <v>50.881734906163302</v>
      </c>
      <c r="AS96" s="22" cm="1">
        <f t="array" ref="AS96">SQRT(SUMSQ($AQ47:$AQ50-BH$38:BH$41)/COUNTA($AQ47:$AQ50-BH$38:BH$41))</f>
        <v>61.739873824140574</v>
      </c>
      <c r="AT96" s="20" cm="1">
        <f t="array" ref="AT96">SQRT(SUMSQ($AQ47:$AQ50-BI$38:BI$41)/COUNTA($AQ47:$AQ50-BI$38:BI$41))</f>
        <v>33.097263227324824</v>
      </c>
      <c r="AU96" s="97" cm="1">
        <f t="array" ref="AU96">SQRT(SUMSQ($AQ47:$AQ50-BJ$38:BJ$41)/COUNTA($AQ47:$AQ50-BJ$38:BJ$41))</f>
        <v>13.998133176883739</v>
      </c>
      <c r="AV96" s="94" cm="1">
        <f t="array" ref="AV96">SQRT(SUMSQ($AQ47:$AQ50-BK$38:BK$41)/COUNTA($AQ47:$AQ50-BK$38:BK$41))</f>
        <v>29.077676282673988</v>
      </c>
      <c r="AW96" s="105" cm="1">
        <f t="array" ref="AW96">SQRT(SUMSQ($AQ47:$AQ50-BL$38:BL$41)/COUNTA($AQ47:$AQ50-BL$38:BL$41))</f>
        <v>36.49420948883288</v>
      </c>
      <c r="AX96" s="95">
        <f t="shared" si="134"/>
        <v>13.998133176883739</v>
      </c>
    </row>
    <row r="97" spans="2:50" x14ac:dyDescent="0.25">
      <c r="B97" s="124" t="s">
        <v>67</v>
      </c>
      <c r="C97" s="124"/>
      <c r="D97" s="119" t="s">
        <v>76</v>
      </c>
      <c r="E97" s="119"/>
      <c r="F97" s="119"/>
      <c r="G97" s="119" t="s">
        <v>77</v>
      </c>
      <c r="H97" s="119"/>
      <c r="I97" s="119"/>
      <c r="J97" s="119" t="s">
        <v>76</v>
      </c>
      <c r="K97" s="119"/>
      <c r="L97" s="119"/>
      <c r="M97" s="119" t="s">
        <v>77</v>
      </c>
      <c r="N97" s="119"/>
      <c r="O97" s="119"/>
      <c r="AH97" s="120" t="s">
        <v>122</v>
      </c>
      <c r="AI97" s="85" t="s">
        <v>41</v>
      </c>
      <c r="AJ97" s="106" cm="1">
        <f t="array" ref="AJ97">SQRT(SUMSQ($AR47:$AR50-AY$38:AY$41)/COUNTA($AR47:$AR50-AY$38:AY$41))</f>
        <v>93.371933621572779</v>
      </c>
      <c r="AK97" s="107" cm="1">
        <f t="array" ref="AK97">SQRT(SUMSQ($AR47:$AR50-AZ$38:AZ$41)/COUNTA($AR47:$AR50-AZ$38:AZ$41))</f>
        <v>93.371933621572779</v>
      </c>
      <c r="AL97" s="108" cm="1">
        <f t="array" ref="AL97">SQRT(SUMSQ($AR47:$AR50-BA$38:BA$41)/COUNTA($AR47:$AR50-BA$38:BA$41))</f>
        <v>82.031340944509353</v>
      </c>
      <c r="AM97" s="106" cm="1">
        <f t="array" ref="AM97">SQRT(SUMSQ($AR47:$AR50-BB$38:BB$41)/COUNTA($AR47:$AR50-BB$38:BB$41))</f>
        <v>82.031340944509353</v>
      </c>
      <c r="AN97" s="107" cm="1">
        <f t="array" ref="AN97">SQRT(SUMSQ($AR47:$AR50-BC$38:BC$41)/COUNTA($AR47:$AR50-BC$38:BC$41))</f>
        <v>68.974078500808602</v>
      </c>
      <c r="AO97" s="108" cm="1">
        <f t="array" ref="AO97">SQRT(SUMSQ($AR47:$AR50-BD$38:BD$41)/COUNTA($AR47:$AR50-BD$38:BD$41))</f>
        <v>81.877531668976843</v>
      </c>
      <c r="AP97" s="106" cm="1">
        <f t="array" ref="AP97">SQRT(SUMSQ($AR47:$AR50-BE$38:BE$41)/COUNTA($AR47:$AR50-BE$38:BE$41))</f>
        <v>82.031340944509353</v>
      </c>
      <c r="AQ97" s="107" cm="1">
        <f t="array" ref="AQ97">SQRT(SUMSQ($AR47:$AR50-BF$38:BF$41)/COUNTA($AR47:$AR50-BF$38:BF$41))</f>
        <v>64.154504474788041</v>
      </c>
      <c r="AR97" s="108" cm="1">
        <f t="array" ref="AR97">SQRT(SUMSQ($AR47:$AR50-BG$38:BG$41)/COUNTA($AR47:$AR50-BG$38:BG$41))</f>
        <v>82.811681170839435</v>
      </c>
      <c r="AS97" s="106" cm="1">
        <f t="array" ref="AS97">SQRT(SUMSQ($AR47:$AR50-BH$38:BH$41)/COUNTA($AR47:$AR50-BH$38:BH$41))</f>
        <v>69.775335522401505</v>
      </c>
      <c r="AT97" s="107" cm="1">
        <f t="array" ref="AT97">SQRT(SUMSQ($AR47:$AR50-BI$38:BI$41)/COUNTA($AR47:$AR50-BI$38:BI$41))</f>
        <v>76.670652729347026</v>
      </c>
      <c r="AU97" s="109" cm="1">
        <f t="array" ref="AU97">SQRT(SUMSQ($AR47:$AR50-BJ$38:BJ$41)/COUNTA($AR47:$AR50-BJ$38:BJ$41))</f>
        <v>60.221482584316213</v>
      </c>
      <c r="AV97" s="106" cm="1">
        <f t="array" ref="AV97">SQRT(SUMSQ($AR47:$AR50-BK$38:BK$41)/COUNTA($AR47:$AR50-BK$38:BK$41))</f>
        <v>62.661768076010063</v>
      </c>
      <c r="AW97" s="103" cm="1">
        <f t="array" ref="AW97">SQRT(SUMSQ($AR47:$AR50-BL$38:BL$41)/COUNTA($AR47:$AR50-BL$38:BL$41))</f>
        <v>79.812984728974271</v>
      </c>
      <c r="AX97" s="95">
        <f t="shared" si="134"/>
        <v>60.221482584316213</v>
      </c>
    </row>
    <row r="98" spans="2:50" ht="15" customHeight="1" x14ac:dyDescent="0.25">
      <c r="B98" t="s">
        <v>80</v>
      </c>
      <c r="C98" s="1" t="s">
        <v>70</v>
      </c>
      <c r="D98" s="1" t="s">
        <v>73</v>
      </c>
      <c r="E98" s="1" t="s">
        <v>74</v>
      </c>
      <c r="F98" s="1" t="s">
        <v>75</v>
      </c>
      <c r="G98" s="1" t="s">
        <v>73</v>
      </c>
      <c r="H98" s="1" t="s">
        <v>74</v>
      </c>
      <c r="I98" s="1" t="s">
        <v>75</v>
      </c>
      <c r="J98" s="1" t="s">
        <v>73</v>
      </c>
      <c r="K98" s="1" t="s">
        <v>74</v>
      </c>
      <c r="L98" s="1" t="s">
        <v>75</v>
      </c>
      <c r="M98" s="1" t="s">
        <v>73</v>
      </c>
      <c r="N98" s="1" t="s">
        <v>74</v>
      </c>
      <c r="O98" s="1" t="s">
        <v>75</v>
      </c>
      <c r="P98" s="1" t="s">
        <v>78</v>
      </c>
      <c r="R98" s="1"/>
      <c r="S98" s="1" t="s">
        <v>91</v>
      </c>
      <c r="T98" s="1" t="s">
        <v>90</v>
      </c>
      <c r="AH98" s="120"/>
      <c r="AI98" s="72" t="s">
        <v>40</v>
      </c>
      <c r="AJ98" s="22" cm="1">
        <f t="array" ref="AJ98">SQRT(SUMSQ($AS47:$AS50-AY$38:AY$41)/COUNTA($AS47:$AS50-AY$38:AY$41))</f>
        <v>73.726686094873799</v>
      </c>
      <c r="AK98" s="20" cm="1">
        <f t="array" ref="AK98">SQRT(SUMSQ($AS47:$AS50-AZ$38:AZ$41)/COUNTA($AS47:$AS50-AZ$38:AZ$41))</f>
        <v>73.726686094873799</v>
      </c>
      <c r="AL98" s="10" cm="1">
        <f t="array" ref="AL98">SQRT(SUMSQ($AS47:$AS50-BA$38:BA$41)/COUNTA($AS47:$AS50-BA$38:BA$41))</f>
        <v>62.492427461982452</v>
      </c>
      <c r="AM98" s="22" cm="1">
        <f t="array" ref="AM98">SQRT(SUMSQ($AS47:$AS50-BB$38:BB$41)/COUNTA($AS47:$AS50-BB$38:BB$41))</f>
        <v>62.492427461982452</v>
      </c>
      <c r="AN98" s="20" cm="1">
        <f t="array" ref="AN98">SQRT(SUMSQ($AS47:$AS50-BC$38:BC$41)/COUNTA($AS47:$AS50-BC$38:BC$41))</f>
        <v>71.563579853674213</v>
      </c>
      <c r="AO98" s="10" cm="1">
        <f t="array" ref="AO98">SQRT(SUMSQ($AS47:$AS50-BD$38:BD$41)/COUNTA($AS47:$AS50-BD$38:BD$41))</f>
        <v>82.067846295012501</v>
      </c>
      <c r="AP98" s="22" cm="1">
        <f t="array" ref="AP98">SQRT(SUMSQ($AS47:$AS50-BE$38:BE$41)/COUNTA($AS47:$AS50-BE$38:BE$41))</f>
        <v>62.492427461982452</v>
      </c>
      <c r="AQ98" s="96" cm="1">
        <f t="array" ref="AQ98">SQRT(SUMSQ($AS47:$AS50-BF$38:BF$41)/COUNTA($AS47:$AS50-BF$38:BF$41))</f>
        <v>44.262541583583385</v>
      </c>
      <c r="AR98" s="10" cm="1">
        <f t="array" ref="AR98">SQRT(SUMSQ($AS47:$AS50-BG$38:BG$41)/COUNTA($AS47:$AS50-BG$38:BG$41))</f>
        <v>60.979694127602151</v>
      </c>
      <c r="AS98" s="22" cm="1">
        <f t="array" ref="AS98">SQRT(SUMSQ($AS47:$AS50-BH$38:BH$41)/COUNTA($AS47:$AS50-BH$38:BH$41))</f>
        <v>46.778225099451973</v>
      </c>
      <c r="AT98" s="20" cm="1">
        <f t="array" ref="AT98">SQRT(SUMSQ($AS47:$AS50-BI$38:BI$41)/COUNTA($AS47:$AS50-BI$38:BI$41))</f>
        <v>59.095964021741004</v>
      </c>
      <c r="AU98" s="10" cm="1">
        <f t="array" ref="AU98">SQRT(SUMSQ($AS47:$AS50-BJ$38:BJ$41)/COUNTA($AS47:$AS50-BJ$38:BJ$41))</f>
        <v>58.825417779577563</v>
      </c>
      <c r="AV98" s="22" cm="1">
        <f t="array" ref="AV98">SQRT(SUMSQ($AS47:$AS50-BK$38:BK$41)/COUNTA($AS47:$AS50-BK$38:BK$41))</f>
        <v>67.725877463367951</v>
      </c>
      <c r="AW98" s="103" cm="1">
        <f t="array" ref="AW98">SQRT(SUMSQ($AS47:$AS50-BL$38:BL$41)/COUNTA($AS47:$AS50-BL$38:BL$41))</f>
        <v>62.509165835217921</v>
      </c>
      <c r="AX98" s="95">
        <f t="shared" si="134"/>
        <v>44.262541583583385</v>
      </c>
    </row>
    <row r="99" spans="2:50" x14ac:dyDescent="0.25">
      <c r="B99" s="12" t="s">
        <v>42</v>
      </c>
      <c r="C99" s="10">
        <f>C4/$N12</f>
        <v>12.251114992441833</v>
      </c>
      <c r="D99" s="10">
        <f t="shared" ref="D99:O99" si="139">D4/$N12</f>
        <v>12.251114992441833</v>
      </c>
      <c r="E99" s="10">
        <f t="shared" si="139"/>
        <v>12.251114992441833</v>
      </c>
      <c r="F99" s="10">
        <f t="shared" si="139"/>
        <v>12.251114992441833</v>
      </c>
      <c r="G99" s="10">
        <f t="shared" si="139"/>
        <v>6.1255574962209165</v>
      </c>
      <c r="H99" s="10">
        <f t="shared" si="139"/>
        <v>12.251114992441833</v>
      </c>
      <c r="I99" s="10">
        <f t="shared" si="139"/>
        <v>12.251114992441833</v>
      </c>
      <c r="J99" s="10">
        <f t="shared" si="139"/>
        <v>4.3070326145303319</v>
      </c>
      <c r="K99" s="10">
        <f t="shared" si="139"/>
        <v>8.6140652290606639</v>
      </c>
      <c r="L99" s="10">
        <f t="shared" si="139"/>
        <v>8.6140652290606639</v>
      </c>
      <c r="M99" s="10">
        <f t="shared" si="139"/>
        <v>4.3070326145303319</v>
      </c>
      <c r="N99" s="10">
        <f t="shared" si="139"/>
        <v>4.3070326145303319</v>
      </c>
      <c r="O99" s="10">
        <f t="shared" si="139"/>
        <v>8.6140652290606639</v>
      </c>
      <c r="P99" s="10">
        <f>P4/$N12</f>
        <v>8.6140652290606639</v>
      </c>
      <c r="R99" s="12" t="s">
        <v>42</v>
      </c>
      <c r="S99" s="10">
        <f>AVERAGE(C99:P99)</f>
        <v>9.0721147293361089</v>
      </c>
      <c r="T99" s="10">
        <f>_xlfn.STDEV.P(C99:P99)</f>
        <v>3.1427435196737337</v>
      </c>
      <c r="AH99" s="120"/>
      <c r="AI99" s="110" t="s">
        <v>39</v>
      </c>
      <c r="AJ99" s="45" cm="1">
        <f t="array" ref="AJ99">SQRT(SUMSQ($AT47:$AT50-AY$38:AY$41)/COUNTA($AT47:$AT50-AY$38:AY$41))</f>
        <v>66.873685601298504</v>
      </c>
      <c r="AK99" s="43" cm="1">
        <f t="array" ref="AK99">SQRT(SUMSQ($AT47:$AT50-AZ$38:AZ$41)/COUNTA($AT47:$AT50-AZ$38:AZ$41))</f>
        <v>66.873685601298504</v>
      </c>
      <c r="AL99" s="44" cm="1">
        <f t="array" ref="AL99">SQRT(SUMSQ($AT47:$AT50-BA$38:BA$41)/COUNTA($AT47:$AT50-BA$38:BA$41))</f>
        <v>77.03275195316894</v>
      </c>
      <c r="AM99" s="45" cm="1">
        <f t="array" ref="AM99">SQRT(SUMSQ($AT47:$AT50-BB$38:BB$41)/COUNTA($AT47:$AT50-BB$38:BB$41))</f>
        <v>77.03275195316894</v>
      </c>
      <c r="AN99" s="43" cm="1">
        <f t="array" ref="AN99">SQRT(SUMSQ($AT47:$AT50-BC$38:BC$41)/COUNTA($AT47:$AT50-BC$38:BC$41))</f>
        <v>26.136040111065871</v>
      </c>
      <c r="AO99" s="44" cm="1">
        <f t="array" ref="AO99">SQRT(SUMSQ($AT47:$AT50-BD$38:BD$41)/COUNTA($AT47:$AT50-BD$38:BD$41))</f>
        <v>47.712563432782083</v>
      </c>
      <c r="AP99" s="45" cm="1">
        <f t="array" ref="AP99">SQRT(SUMSQ($AT47:$AT50-BE$38:BE$41)/COUNTA($AT47:$AT50-BE$38:BE$41))</f>
        <v>77.03275195316894</v>
      </c>
      <c r="AQ99" s="112" cm="1">
        <f t="array" ref="AQ99">SQRT(SUMSQ($AT47:$AT50-BF$38:BF$41)/COUNTA($AT47:$AT50-BF$38:BF$41))</f>
        <v>29.607351501582833</v>
      </c>
      <c r="AR99" s="44" cm="1">
        <f t="array" ref="AR99">SQRT(SUMSQ($AT47:$AT50-BG$38:BG$41)/COUNTA($AT47:$AT50-BG$38:BG$41))</f>
        <v>55.925820164054663</v>
      </c>
      <c r="AS99" s="45" cm="1">
        <f t="array" ref="AS99">SQRT(SUMSQ($AT47:$AT50-BH$38:BH$41)/COUNTA($AT47:$AT50-BH$38:BH$41))</f>
        <v>67.746973427595393</v>
      </c>
      <c r="AT99" s="112" cm="1">
        <f t="array" ref="AT99">SQRT(SUMSQ($AT47:$AT50-BI$38:BI$41)/COUNTA($AT47:$AT50-BI$38:BI$41))</f>
        <v>30.226110221954002</v>
      </c>
      <c r="AU99" s="113" cm="1">
        <f t="array" ref="AU99">SQRT(SUMSQ($AT47:$AT50-BJ$38:BJ$41)/COUNTA($AT47:$AT50-BJ$38:BJ$41))</f>
        <v>9.6013317413081669</v>
      </c>
      <c r="AV99" s="45" cm="1">
        <f t="array" ref="AV99">SQRT(SUMSQ($AT47:$AT50-BK$38:BK$41)/COUNTA($AT47:$AT50-BK$38:BK$41))</f>
        <v>34.642869227203647</v>
      </c>
      <c r="AW99" s="103" cm="1">
        <f t="array" ref="AW99">SQRT(SUMSQ($AT47:$AT50-BL$38:BL$41)/COUNTA($AT47:$AT50-BL$38:BL$41))</f>
        <v>38.666795401200766</v>
      </c>
      <c r="AX99" s="95">
        <f t="shared" si="134"/>
        <v>9.6013317413081669</v>
      </c>
    </row>
    <row r="100" spans="2:50" x14ac:dyDescent="0.25">
      <c r="B100" s="12" t="s">
        <v>43</v>
      </c>
      <c r="C100" s="10">
        <f>C5/$N13</f>
        <v>15.883070941483904</v>
      </c>
      <c r="D100" s="10">
        <f t="shared" ref="D100:O100" si="140">D5/$N13</f>
        <v>15.883070941483904</v>
      </c>
      <c r="E100" s="10">
        <f t="shared" si="140"/>
        <v>31.766141882967808</v>
      </c>
      <c r="F100" s="10">
        <f t="shared" si="140"/>
        <v>31.766141882967808</v>
      </c>
      <c r="G100" s="10">
        <f t="shared" si="140"/>
        <v>7.9415354707419521</v>
      </c>
      <c r="H100" s="10">
        <f t="shared" si="140"/>
        <v>11.16778425573087</v>
      </c>
      <c r="I100" s="10">
        <f t="shared" si="140"/>
        <v>31.766141882967808</v>
      </c>
      <c r="J100" s="10">
        <f t="shared" si="140"/>
        <v>15.883070941483904</v>
      </c>
      <c r="K100" s="10">
        <f t="shared" si="140"/>
        <v>15.883070941483904</v>
      </c>
      <c r="L100" s="10">
        <f t="shared" si="140"/>
        <v>31.766141882967808</v>
      </c>
      <c r="M100" s="10">
        <f t="shared" si="140"/>
        <v>7.9415354707419521</v>
      </c>
      <c r="N100" s="10">
        <f t="shared" si="140"/>
        <v>11.16778425573087</v>
      </c>
      <c r="O100" s="10">
        <f t="shared" si="140"/>
        <v>15.883070941483904</v>
      </c>
      <c r="P100" s="10">
        <f t="shared" ref="P100" si="141">P5/$N13</f>
        <v>11.16778425573087</v>
      </c>
      <c r="R100" s="12" t="s">
        <v>43</v>
      </c>
      <c r="S100" s="10">
        <f>AVERAGE(C100:P100)</f>
        <v>18.276167567711948</v>
      </c>
      <c r="T100" s="10">
        <f>_xlfn.STDEV.P(C100:P100)</f>
        <v>8.9512519735149247</v>
      </c>
      <c r="AI100" s="90" t="s">
        <v>68</v>
      </c>
      <c r="AJ100" s="22" cm="1">
        <f t="array" ref="AJ100">SQRT(SUMSQ($AU47:$AU50-AY$38:AY$41)/COUNTA($AU47:$AU50-AY$38:AY$41))</f>
        <v>87.994072809483669</v>
      </c>
      <c r="AK100" s="20" cm="1">
        <f t="array" ref="AK100">SQRT(SUMSQ($AU47:$AU50-AZ$38:AZ$41)/COUNTA($AU47:$AU50-AZ$38:AZ$41))</f>
        <v>87.994072809483669</v>
      </c>
      <c r="AL100" s="10" cm="1">
        <f t="array" ref="AL100">SQRT(SUMSQ($AU47:$AU50-BA$38:BA$41)/COUNTA($AU47:$AU50-BA$38:BA$41))</f>
        <v>90.909086399249034</v>
      </c>
      <c r="AM100" s="22" cm="1">
        <f t="array" ref="AM100">SQRT(SUMSQ($AU47:$AU50-BB$38:BB$41)/COUNTA($AU47:$AU50-BB$38:BB$41))</f>
        <v>90.909086399249034</v>
      </c>
      <c r="AN100" s="20" cm="1">
        <f t="array" ref="AN100">SQRT(SUMSQ($AU47:$AU50-BC$38:BC$41)/COUNTA($AU47:$AU50-BC$38:BC$41))</f>
        <v>34.968128875930304</v>
      </c>
      <c r="AO100" s="10" cm="1">
        <f t="array" ref="AO100">SQRT(SUMSQ($AU47:$AU50-BD$38:BD$41)/COUNTA($AU47:$AU50-BD$38:BD$41))</f>
        <v>60.567432666334071</v>
      </c>
      <c r="AP100" s="22" cm="1">
        <f t="array" ref="AP100">SQRT(SUMSQ($AU47:$AU50-BE$38:BE$41)/COUNTA($AU47:$AU50-BE$38:BE$41))</f>
        <v>90.909086399249034</v>
      </c>
      <c r="AQ100" s="20" cm="1">
        <f t="array" ref="AQ100">SQRT(SUMSQ($AU47:$AU50-BF$38:BF$41)/COUNTA($AU47:$AU50-BF$38:BF$41))</f>
        <v>53.774537214825955</v>
      </c>
      <c r="AR100" s="10" cm="1">
        <f t="array" ref="AR100">SQRT(SUMSQ($AU47:$AU50-BG$38:BG$41)/COUNTA($AU47:$AU50-BG$38:BG$41))</f>
        <v>76.962561340222877</v>
      </c>
      <c r="AS100" s="22" cm="1">
        <f t="array" ref="AS100">SQRT(SUMSQ($AU47:$AU50-BH$38:BH$41)/COUNTA($AU47:$AU50-BH$38:BH$41))</f>
        <v>80.279144168289321</v>
      </c>
      <c r="AT100" s="20" cm="1">
        <f t="array" ref="AT100">SQRT(SUMSQ($AU47:$AU50-BI$38:BI$41)/COUNTA($AU47:$AU50-BI$38:BI$41))</f>
        <v>58.300499847737115</v>
      </c>
      <c r="AU100" s="97" cm="1">
        <f t="array" ref="AU100">SQRT(SUMSQ($AU47:$AU50-BJ$38:BJ$41)/COUNTA($AU47:$AU50-BJ$38:BJ$41))</f>
        <v>29.414723304408522</v>
      </c>
      <c r="AV100" s="22" cm="1">
        <f t="array" ref="AV100">SQRT(SUMSQ($AU47:$AU50-BK$38:BK$41)/COUNTA($AU47:$AU50-BK$38:BK$41))</f>
        <v>39.377875446507552</v>
      </c>
      <c r="AW100" s="103" cm="1">
        <f t="array" ref="AW100">SQRT(SUMSQ($AU47:$AU50-BL$38:BL$41)/COUNTA($AU47:$AU50-BL$38:BL$41))</f>
        <v>65.972053015847578</v>
      </c>
      <c r="AX100" s="95">
        <f t="shared" si="134"/>
        <v>29.414723304408522</v>
      </c>
    </row>
    <row r="101" spans="2:50" x14ac:dyDescent="0.25">
      <c r="B101" s="12" t="s">
        <v>44</v>
      </c>
      <c r="C101" s="10">
        <f>C6/$N14</f>
        <v>2.7928656099053413</v>
      </c>
      <c r="D101" s="10">
        <f t="shared" ref="D101:O101" si="142">D6/$N14</f>
        <v>2.7928656099053413</v>
      </c>
      <c r="E101" s="10">
        <f t="shared" si="142"/>
        <v>2.7928656099053413</v>
      </c>
      <c r="F101" s="10">
        <f t="shared" si="142"/>
        <v>2.7928656099053413</v>
      </c>
      <c r="G101" s="10">
        <f t="shared" si="142"/>
        <v>0.98186681598234649</v>
      </c>
      <c r="H101" s="10">
        <f t="shared" si="142"/>
        <v>0.69821640247633532</v>
      </c>
      <c r="I101" s="10">
        <f t="shared" si="142"/>
        <v>2.7928656099053413</v>
      </c>
      <c r="J101" s="10">
        <f t="shared" si="142"/>
        <v>1.3964328049526706</v>
      </c>
      <c r="K101" s="10">
        <f t="shared" si="142"/>
        <v>2.7928656099053413</v>
      </c>
      <c r="L101" s="10">
        <f t="shared" si="142"/>
        <v>2.7928656099053413</v>
      </c>
      <c r="M101" s="10">
        <f t="shared" si="142"/>
        <v>1.3964328049526706</v>
      </c>
      <c r="N101" s="10">
        <f t="shared" si="142"/>
        <v>0.69821640247633532</v>
      </c>
      <c r="O101" s="10">
        <f t="shared" si="142"/>
        <v>0.69821640247633532</v>
      </c>
      <c r="P101" s="10">
        <f t="shared" ref="P101" si="143">P6/$N14</f>
        <v>1.3964328049526706</v>
      </c>
      <c r="R101" s="12" t="s">
        <v>44</v>
      </c>
      <c r="S101" s="10">
        <f>AVERAGE(C101:P101)</f>
        <v>1.9154195505433393</v>
      </c>
      <c r="T101" s="10">
        <f>_xlfn.STDEV.P(C101:P101)</f>
        <v>0.90686642799432948</v>
      </c>
      <c r="AI101" s="91" t="s">
        <v>67</v>
      </c>
      <c r="AJ101" s="45" cm="1">
        <f t="array" ref="AJ101">SQRT(SUMSQ($AV47:$AV50-AY$38:AY$41)/COUNTA($AV47:$AV50-AY$38:AY$41))</f>
        <v>87.054081047101107</v>
      </c>
      <c r="AK101" s="43" cm="1">
        <f t="array" ref="AK101">SQRT(SUMSQ($AV47:$AV50-AZ$38:AZ$41)/COUNTA($AV47:$AV50-AZ$38:AZ$41))</f>
        <v>87.054081047101107</v>
      </c>
      <c r="AL101" s="44" cm="1">
        <f t="array" ref="AL101">SQRT(SUMSQ($AV47:$AV50-BA$38:BA$41)/COUNTA($AV47:$AV50-BA$38:BA$41))</f>
        <v>86.54210947661997</v>
      </c>
      <c r="AM101" s="45" cm="1">
        <f t="array" ref="AM101">SQRT(SUMSQ($AV47:$AV50-BB$38:BB$41)/COUNTA($AV47:$AV50-BB$38:BB$41))</f>
        <v>86.54210947661997</v>
      </c>
      <c r="AN101" s="43" cm="1">
        <f t="array" ref="AN101">SQRT(SUMSQ($AV47:$AV50-BC$38:BC$41)/COUNTA($AV47:$AV50-BC$38:BC$41))</f>
        <v>41.805731831646845</v>
      </c>
      <c r="AO101" s="44" cm="1">
        <f t="array" ref="AO101">SQRT(SUMSQ($AV47:$AV50-BD$38:BD$41)/COUNTA($AV47:$AV50-BD$38:BD$41))</f>
        <v>63.736029507023673</v>
      </c>
      <c r="AP101" s="45" cm="1">
        <f t="array" ref="AP101">SQRT(SUMSQ($AV47:$AV50-BE$38:BE$41)/COUNTA($AV47:$AV50-BE$38:BE$41))</f>
        <v>86.54210947661997</v>
      </c>
      <c r="AQ101" s="43" cm="1">
        <f t="array" ref="AQ101">SQRT(SUMSQ($AV47:$AV50-BF$38:BF$41)/COUNTA($AV47:$AV50-BF$38:BF$41))</f>
        <v>53.854456597459063</v>
      </c>
      <c r="AR101" s="44" cm="1">
        <f t="array" ref="AR101">SQRT(SUMSQ($AV47:$AV50-BG$38:BG$41)/COUNTA($AV47:$AV50-BG$38:BG$41))</f>
        <v>75.945565112782532</v>
      </c>
      <c r="AS101" s="45" cm="1">
        <f t="array" ref="AS101">SQRT(SUMSQ($AV47:$AV50-BH$38:BH$41)/COUNTA($AV47:$AV50-BH$38:BH$41))</f>
        <v>75.358161774342136</v>
      </c>
      <c r="AT101" s="43" cm="1">
        <f t="array" ref="AT101">SQRT(SUMSQ($AV47:$AV50-BI$38:BI$41)/COUNTA($AV47:$AV50-BI$38:BI$41))</f>
        <v>60.932262821542963</v>
      </c>
      <c r="AU101" s="98" cm="1">
        <f t="array" ref="AU101">SQRT(SUMSQ($AV47:$AV50-BJ$38:BJ$41)/COUNTA($AV47:$AV50-BJ$38:BJ$41))</f>
        <v>35.286821900214747</v>
      </c>
      <c r="AV101" s="45" cm="1">
        <f t="array" ref="AV101">SQRT(SUMSQ($AV47:$AV50-BK$38:BK$41)/COUNTA($AV47:$AV50-BK$38:BK$41))</f>
        <v>42.371608973784497</v>
      </c>
      <c r="AW101" s="104" cm="1">
        <f t="array" ref="AW101">SQRT(SUMSQ($AV47:$AV50-BL$38:BL$41)/COUNTA($AV47:$AV50-BL$38:BL$41))</f>
        <v>67.315814644105998</v>
      </c>
      <c r="AX101" s="95">
        <f t="shared" si="134"/>
        <v>35.286821900214747</v>
      </c>
    </row>
    <row r="102" spans="2:50" x14ac:dyDescent="0.25">
      <c r="B102" s="12" t="s">
        <v>71</v>
      </c>
      <c r="C102" s="10">
        <f>C7/$N15</f>
        <v>31.766141882967808</v>
      </c>
      <c r="D102" s="10">
        <f t="shared" ref="D102:O102" si="144">D7/$N15</f>
        <v>31.766141882967808</v>
      </c>
      <c r="E102" s="10">
        <f t="shared" si="144"/>
        <v>31.766141882967808</v>
      </c>
      <c r="F102" s="10">
        <f t="shared" si="144"/>
        <v>31.766141882967808</v>
      </c>
      <c r="G102" s="10">
        <f t="shared" si="144"/>
        <v>7.9415354707419521</v>
      </c>
      <c r="H102" s="10">
        <f t="shared" si="144"/>
        <v>10.423265305348812</v>
      </c>
      <c r="I102" s="10">
        <f t="shared" si="144"/>
        <v>31.766141882967808</v>
      </c>
      <c r="J102" s="10">
        <f t="shared" si="144"/>
        <v>31.766141882967808</v>
      </c>
      <c r="K102" s="10">
        <f t="shared" si="144"/>
        <v>31.766141882967808</v>
      </c>
      <c r="L102" s="10">
        <f t="shared" si="144"/>
        <v>31.766141882967808</v>
      </c>
      <c r="M102" s="10">
        <f t="shared" si="144"/>
        <v>31.766141882967808</v>
      </c>
      <c r="N102" s="10">
        <f t="shared" si="144"/>
        <v>15.883070941483904</v>
      </c>
      <c r="O102" s="10">
        <f t="shared" si="144"/>
        <v>7.9415354707419521</v>
      </c>
      <c r="P102" s="10">
        <f>P7/$N15</f>
        <v>31.766141882967808</v>
      </c>
      <c r="R102" s="12" t="s">
        <v>71</v>
      </c>
      <c r="S102" s="10">
        <f>AVERAGE(C102:P102)</f>
        <v>25.703630429856762</v>
      </c>
      <c r="T102" s="10">
        <f>AVERAGE(C102:P102)</f>
        <v>25.703630429856762</v>
      </c>
      <c r="AJ102" s="95">
        <f>MIN(AJ90:AJ101)</f>
        <v>60.687171708556527</v>
      </c>
      <c r="AK102" s="95">
        <f t="shared" ref="AK102" si="145">MIN(AK90:AK101)</f>
        <v>60.687171708556527</v>
      </c>
      <c r="AL102" s="95">
        <f t="shared" ref="AL102" si="146">MIN(AL90:AL101)</f>
        <v>59.104669755739067</v>
      </c>
      <c r="AM102" s="95">
        <f t="shared" ref="AM102" si="147">MIN(AM90:AM101)</f>
        <v>59.104669755739067</v>
      </c>
      <c r="AN102" s="95">
        <f t="shared" ref="AN102" si="148">MIN(AN90:AN101)</f>
        <v>21.668145799495193</v>
      </c>
      <c r="AO102" s="95">
        <f t="shared" ref="AO102" si="149">MIN(AO90:AO101)</f>
        <v>42.182385315294461</v>
      </c>
      <c r="AP102" s="95">
        <f t="shared" ref="AP102" si="150">MIN(AP90:AP101)</f>
        <v>59.104669755739067</v>
      </c>
      <c r="AQ102" s="95">
        <f t="shared" ref="AQ102" si="151">MIN(AQ90:AQ101)</f>
        <v>29.607351501582833</v>
      </c>
      <c r="AR102" s="95">
        <f t="shared" ref="AR102" si="152">MIN(AR90:AR101)</f>
        <v>50.058640352817235</v>
      </c>
      <c r="AS102" s="95">
        <f t="shared" ref="AS102" si="153">MIN(AS90:AS101)</f>
        <v>44.855401322175965</v>
      </c>
      <c r="AT102" s="95">
        <f t="shared" ref="AT102" si="154">MIN(AT90:AT101)</f>
        <v>30.226110221954002</v>
      </c>
      <c r="AU102" s="95">
        <f t="shared" ref="AU102" si="155">MIN(AU90:AU101)</f>
        <v>9.6013317413081669</v>
      </c>
      <c r="AV102" s="95">
        <f t="shared" ref="AV102" si="156">MIN(AV90:AV101)</f>
        <v>29.077676282673988</v>
      </c>
      <c r="AW102" s="95">
        <f t="shared" ref="AW102" si="157">MIN(AW90:AW101)</f>
        <v>36.49420948883288</v>
      </c>
    </row>
    <row r="103" spans="2:50" x14ac:dyDescent="0.25">
      <c r="B103" s="12" t="s">
        <v>97</v>
      </c>
      <c r="C103" s="10">
        <f>C8/$N16</f>
        <v>3.6863857564111955</v>
      </c>
      <c r="D103" s="10">
        <f t="shared" ref="D103:O103" si="158">D8/$N16</f>
        <v>3.6863857564111955</v>
      </c>
      <c r="E103" s="10">
        <f t="shared" si="158"/>
        <v>3.6863857564111955</v>
      </c>
      <c r="F103" s="10">
        <f t="shared" si="158"/>
        <v>3.6863857564111955</v>
      </c>
      <c r="G103" s="10">
        <f t="shared" si="158"/>
        <v>2.5919899849766219</v>
      </c>
      <c r="H103" s="10">
        <f t="shared" si="158"/>
        <v>3.6863857564111955</v>
      </c>
      <c r="I103" s="10">
        <f t="shared" si="158"/>
        <v>3.6863857564111955</v>
      </c>
      <c r="J103" s="10">
        <f t="shared" si="158"/>
        <v>3.6863857564111955</v>
      </c>
      <c r="K103" s="10">
        <f t="shared" si="158"/>
        <v>3.6863857564111955</v>
      </c>
      <c r="L103" s="10">
        <f t="shared" si="158"/>
        <v>3.6863857564111955</v>
      </c>
      <c r="M103" s="10">
        <f t="shared" si="158"/>
        <v>0.92159643910279887</v>
      </c>
      <c r="N103" s="10">
        <f t="shared" si="158"/>
        <v>0.92159643910279887</v>
      </c>
      <c r="O103" s="10">
        <f t="shared" si="158"/>
        <v>3.6863857564111955</v>
      </c>
      <c r="P103" s="10">
        <f>P8/$N16</f>
        <v>3.6863857564111955</v>
      </c>
      <c r="R103" s="12" t="s">
        <v>97</v>
      </c>
      <c r="S103" s="10">
        <f>AVERAGE(C103:P103)</f>
        <v>3.2132447274075271</v>
      </c>
      <c r="T103" s="10">
        <f>AVERAGE(C103:P103)</f>
        <v>3.2132447274075271</v>
      </c>
    </row>
    <row r="104" spans="2:50" x14ac:dyDescent="0.25">
      <c r="AI104" t="s">
        <v>124</v>
      </c>
    </row>
    <row r="105" spans="2:50" x14ac:dyDescent="0.25">
      <c r="AI105" s="59"/>
      <c r="AJ105" s="61"/>
      <c r="AK105" s="121" t="s">
        <v>72</v>
      </c>
      <c r="AL105" s="121"/>
      <c r="AM105" s="121"/>
      <c r="AN105" s="121"/>
      <c r="AO105" s="121"/>
      <c r="AP105" s="122"/>
      <c r="AQ105" s="123" t="s">
        <v>117</v>
      </c>
      <c r="AR105" s="121"/>
      <c r="AS105" s="121"/>
      <c r="AT105" s="121"/>
      <c r="AU105" s="121"/>
      <c r="AV105" s="122"/>
      <c r="AW105" s="61"/>
    </row>
    <row r="106" spans="2:50" x14ac:dyDescent="0.25">
      <c r="AI106" s="53"/>
      <c r="AJ106" s="54"/>
      <c r="AK106" s="123" t="s">
        <v>76</v>
      </c>
      <c r="AL106" s="121"/>
      <c r="AM106" s="121"/>
      <c r="AN106" s="123" t="s">
        <v>77</v>
      </c>
      <c r="AO106" s="121"/>
      <c r="AP106" s="122"/>
      <c r="AQ106" s="123" t="s">
        <v>76</v>
      </c>
      <c r="AR106" s="121"/>
      <c r="AS106" s="122"/>
      <c r="AT106" s="123" t="s">
        <v>77</v>
      </c>
      <c r="AU106" s="121"/>
      <c r="AV106" s="122"/>
      <c r="AW106" s="54"/>
    </row>
    <row r="107" spans="2:50" x14ac:dyDescent="0.25">
      <c r="AI107" s="53"/>
      <c r="AJ107" s="73" t="s">
        <v>70</v>
      </c>
      <c r="AK107" s="72" t="s">
        <v>73</v>
      </c>
      <c r="AL107" s="21" t="s">
        <v>74</v>
      </c>
      <c r="AM107" s="21" t="s">
        <v>75</v>
      </c>
      <c r="AN107" s="72" t="s">
        <v>73</v>
      </c>
      <c r="AO107" s="21" t="s">
        <v>74</v>
      </c>
      <c r="AP107" s="73" t="s">
        <v>75</v>
      </c>
      <c r="AQ107" s="72" t="s">
        <v>73</v>
      </c>
      <c r="AR107" s="21" t="s">
        <v>74</v>
      </c>
      <c r="AS107" s="73" t="s">
        <v>75</v>
      </c>
      <c r="AT107" s="72" t="s">
        <v>73</v>
      </c>
      <c r="AU107" s="21" t="s">
        <v>74</v>
      </c>
      <c r="AV107" s="73" t="s">
        <v>75</v>
      </c>
      <c r="AW107" s="6" t="s">
        <v>78</v>
      </c>
    </row>
    <row r="108" spans="2:50" x14ac:dyDescent="0.25">
      <c r="AI108" s="90" t="s">
        <v>26</v>
      </c>
      <c r="AJ108" s="22" cm="1">
        <f t="array" ref="AJ108">SQRT(SUMSQ($AK57:$AK60-AY38:AY41)/COUNTA($AK57:$AK60-AY38:AY41))</f>
        <v>86.967369228683779</v>
      </c>
      <c r="AK108" s="20" cm="1">
        <f t="array" ref="AK108">SQRT(SUMSQ($AK57:$AK60-AZ38:AZ41)/COUNTA($AK57:$AK60-AZ38:AZ41))</f>
        <v>86.967369228683779</v>
      </c>
      <c r="AL108" s="10" cm="1">
        <f t="array" ref="AL108">SQRT(SUMSQ($AK57:$AK60-BA38:BA41)/COUNTA($AK57:$AK60-BA38:BA41))</f>
        <v>96.344642197637583</v>
      </c>
      <c r="AM108" s="10" cm="1">
        <f t="array" ref="AM108">SQRT(SUMSQ($AK57:$AK60-BB38:BB41)/COUNTA($AK57:$AK60-BB38:BB41))</f>
        <v>96.344642197637583</v>
      </c>
      <c r="AN108" s="20" cm="1">
        <f t="array" ref="AN108">SQRT(SUMSQ($AK57:$AK60-BC38:BC41)/COUNTA($AK57:$AK60-BC38:BC41))</f>
        <v>21.524184982145631</v>
      </c>
      <c r="AO108" s="10" cm="1">
        <f t="array" ref="AO108">SQRT(SUMSQ($AK57:$AK60-BD38:BD41)/COUNTA($AK57:$AK60-BD38:BD41))</f>
        <v>53.171798835164651</v>
      </c>
      <c r="AP108" s="22" cm="1">
        <f t="array" ref="AP108">SQRT(SUMSQ($AK57:$AK60-BE38:BE41)/COUNTA($AK57:$AK60-BE38:BE41))</f>
        <v>96.344642197637583</v>
      </c>
      <c r="AQ108" s="20" cm="1">
        <f t="array" ref="AQ108">SQRT(SUMSQ($AK57:$AK60-BF38:BF41)/COUNTA($AK57:$AK60-BF38:BF41))</f>
        <v>55.212944123211464</v>
      </c>
      <c r="AR108" s="10" cm="1">
        <f t="array" ref="AR108">SQRT(SUMSQ($AK57:$AK60-BG38:BG41)/COUNTA($AK57:$AK60-BG38:BG41))</f>
        <v>77.075167380991189</v>
      </c>
      <c r="AS108" s="22" cm="1">
        <f t="array" ref="AS108">SQRT(SUMSQ($AK57:$AK60-BH38:BH41)/COUNTA($AK57:$AK60-BH38:BH41))</f>
        <v>87.518844807506468</v>
      </c>
      <c r="AT108" s="20" cm="1">
        <f t="array" ref="AT108">SQRT(SUMSQ($AK57:$AK60-BI38:BI41)/COUNTA($AK57:$AK60-BI38:BI41))</f>
        <v>54.378174058500491</v>
      </c>
      <c r="AU108" s="97" cm="1">
        <f t="array" ref="AU108">SQRT(SUMSQ($AK57:$AK60-BJ38:BJ41)/COUNTA($AK57:$AK60-BJ38:BJ41))</f>
        <v>22.184036173801509</v>
      </c>
      <c r="AV108" s="22" cm="1">
        <f t="array" ref="AV108">SQRT(SUMSQ($AK57:$AK60-BK38:BK41)/COUNTA($AK57:$AK60-BK38:BK41))</f>
        <v>35.157240418627431</v>
      </c>
      <c r="AW108" s="22" cm="1">
        <f t="array" ref="AW108">SQRT(SUMSQ($AK57:$AK60-BL38:BL41)/COUNTA($AK57:$AK60-BL38:BL41))</f>
        <v>62.612450513048429</v>
      </c>
      <c r="AX108" s="95">
        <f>MIN(AJ108:AW108)</f>
        <v>21.524184982145631</v>
      </c>
    </row>
    <row r="109" spans="2:50" x14ac:dyDescent="0.25">
      <c r="AH109" s="120" t="s">
        <v>120</v>
      </c>
      <c r="AI109" s="85" t="s">
        <v>41</v>
      </c>
      <c r="AJ109" s="106" cm="1">
        <f t="array" ref="AJ109">SQRT(SUMSQ($AL57:$AL60-AY$38:AY$41)/COUNTA($AL57:$AL60-AY$38:AY$41))</f>
        <v>78.067186889423596</v>
      </c>
      <c r="AK109" s="107" cm="1">
        <f t="array" ref="AK109">SQRT(SUMSQ($AL57:$AL60-AZ$38:AZ$41)/COUNTA($AL57:$AL60-AZ$38:AZ$41))</f>
        <v>78.067186889423596</v>
      </c>
      <c r="AL109" s="108" cm="1">
        <f t="array" ref="AL109">SQRT(SUMSQ($AL57:$AL60-BA$38:BA$41)/COUNTA($AL57:$AL60-BA$38:BA$41))</f>
        <v>82.763802833724924</v>
      </c>
      <c r="AM109" s="108" cm="1">
        <f t="array" ref="AM109">SQRT(SUMSQ($AL57:$AL60-BB$38:BB$41)/COUNTA($AL57:$AL60-BB$38:BB$41))</f>
        <v>82.763802833724924</v>
      </c>
      <c r="AN109" s="107" cm="1">
        <f t="array" ref="AN109">SQRT(SUMSQ($AL57:$AL60-BC$38:BC$41)/COUNTA($AL57:$AL60-BC$38:BC$41))</f>
        <v>24.607852652226999</v>
      </c>
      <c r="AO109" s="108" cm="1">
        <f t="array" ref="AO109">SQRT(SUMSQ($AL57:$AL60-BD$38:BD$41)/COUNTA($AL57:$AL60-BD$38:BD$41))</f>
        <v>48.823854606322776</v>
      </c>
      <c r="AP109" s="106" cm="1">
        <f t="array" ref="AP109">SQRT(SUMSQ($AL57:$AL60-BE$38:BE$41)/COUNTA($AL57:$AL60-BE$38:BE$41))</f>
        <v>82.763802833724924</v>
      </c>
      <c r="AQ109" s="107" cm="1">
        <f t="array" ref="AQ109">SQRT(SUMSQ($AL57:$AL60-BF$38:BF$41)/COUNTA($AL57:$AL60-BF$38:BF$41))</f>
        <v>48.638920232859078</v>
      </c>
      <c r="AR109" s="108" cm="1">
        <f t="array" ref="AR109">SQRT(SUMSQ($AL57:$AL60-BG$38:BG$41)/COUNTA($AL57:$AL60-BG$38:BG$41))</f>
        <v>68.599990389213062</v>
      </c>
      <c r="AS109" s="106" cm="1">
        <f t="array" ref="AS109">SQRT(SUMSQ($AL57:$AL60-BH$38:BH$41)/COUNTA($AL57:$AL60-BH$38:BH$41))</f>
        <v>73.90074473286198</v>
      </c>
      <c r="AT109" s="107" cm="1">
        <f t="array" ref="AT109">SQRT(SUMSQ($AL57:$AL60-BI$38:BI$41)/COUNTA($AL57:$AL60-BI$38:BI$41))</f>
        <v>52.498227266096109</v>
      </c>
      <c r="AU109" s="109" cm="1">
        <f t="array" ref="AU109">SQRT(SUMSQ($AL57:$AL60-BJ$38:BJ$41)/COUNTA($AL57:$AL60-BJ$38:BJ$41))</f>
        <v>22.028787532927002</v>
      </c>
      <c r="AV109" s="106" cm="1">
        <f t="array" ref="AV109">SQRT(SUMSQ($AL57:$AL60-BK$38:BK$41)/COUNTA($AL57:$AL60-BK$38:BK$41))</f>
        <v>28.142459820798777</v>
      </c>
      <c r="AW109" s="22" cm="1">
        <f t="array" ref="AW109">SQRT(SUMSQ($AL57:$AL60-BL$38:BL$41)/COUNTA($AL57:$AL60-BL$38:BL$41))</f>
        <v>56.976354070339511</v>
      </c>
      <c r="AX109" s="95">
        <f t="shared" ref="AX109:AX119" si="159">MIN(AJ109:AW109)</f>
        <v>22.028787532927002</v>
      </c>
    </row>
    <row r="110" spans="2:50" x14ac:dyDescent="0.25">
      <c r="AH110" s="120"/>
      <c r="AI110" s="72" t="s">
        <v>40</v>
      </c>
      <c r="AJ110" s="22" cm="1">
        <f t="array" ref="AJ110">SQRT(SUMSQ($AM57:$AM60-AY$38:AY$41)/COUNTA($AM57:$AM60-AY$38:AY$41))</f>
        <v>60.532162627910147</v>
      </c>
      <c r="AK110" s="20" cm="1">
        <f t="array" ref="AK110">SQRT(SUMSQ($AM57:$AM60-AZ$38:AZ$41)/COUNTA($AM57:$AM60-AZ$38:AZ$41))</f>
        <v>60.532162627910147</v>
      </c>
      <c r="AL110" s="10" cm="1">
        <f t="array" ref="AL110">SQRT(SUMSQ($AM57:$AM60-BA$38:BA$41)/COUNTA($AM57:$AM60-BA$38:BA$41))</f>
        <v>60.60368346464719</v>
      </c>
      <c r="AM110" s="10" cm="1">
        <f t="array" ref="AM110">SQRT(SUMSQ($AM57:$AM60-BB$38:BB$41)/COUNTA($AM57:$AM60-BB$38:BB$41))</f>
        <v>60.60368346464719</v>
      </c>
      <c r="AN110" s="20" cm="1">
        <f t="array" ref="AN110">SQRT(SUMSQ($AM57:$AM60-BC$38:BC$41)/COUNTA($AM57:$AM60-BC$38:BC$41))</f>
        <v>40.595002743233081</v>
      </c>
      <c r="AO110" s="10" cm="1">
        <f t="array" ref="AO110">SQRT(SUMSQ($AM57:$AM60-BD$38:BD$41)/COUNTA($AM57:$AM60-BD$38:BD$41))</f>
        <v>53.616239889318251</v>
      </c>
      <c r="AP110" s="22" cm="1">
        <f t="array" ref="AP110">SQRT(SUMSQ($AM57:$AM60-BE$38:BE$41)/COUNTA($AM57:$AM60-BE$38:BE$41))</f>
        <v>60.60368346464719</v>
      </c>
      <c r="AQ110" s="20" cm="1">
        <f t="array" ref="AQ110">SQRT(SUMSQ($AM57:$AM60-BF$38:BF$41)/COUNTA($AM57:$AM60-BF$38:BF$41))</f>
        <v>31.822569957084252</v>
      </c>
      <c r="AR110" s="10" cm="1">
        <f t="array" ref="AR110">SQRT(SUMSQ($AM57:$AM60-BG$38:BG$41)/COUNTA($AM57:$AM60-BG$38:BG$41))</f>
        <v>49.452835519949915</v>
      </c>
      <c r="AS110" s="22" cm="1">
        <f t="array" ref="AS110">SQRT(SUMSQ($AM57:$AM60-BH$38:BH$41)/COUNTA($AM57:$AM60-BH$38:BH$41))</f>
        <v>49.540354036225963</v>
      </c>
      <c r="AT110" s="20" cm="1">
        <f t="array" ref="AT110">SQRT(SUMSQ($AM57:$AM60-BI$38:BI$41)/COUNTA($AM57:$AM60-BI$38:BI$41))</f>
        <v>42.146697262511879</v>
      </c>
      <c r="AU110" s="97" cm="1">
        <f t="array" ref="AU110">SQRT(SUMSQ($AM57:$AM60-BJ$38:BJ$41)/COUNTA($AM57:$AM60-BJ$38:BJ$41))</f>
        <v>31.175238635039932</v>
      </c>
      <c r="AV110" s="22" cm="1">
        <f t="array" ref="AV110">SQRT(SUMSQ($AM57:$AM60-BK$38:BK$41)/COUNTA($AM57:$AM60-BK$38:BK$41))</f>
        <v>38.57688522675906</v>
      </c>
      <c r="AW110" s="22" cm="1">
        <f t="array" ref="AW110">SQRT(SUMSQ($AM57:$AM60-BL$38:BL$41)/COUNTA($AM57:$AM60-BL$38:BL$41))</f>
        <v>43.745116527731163</v>
      </c>
      <c r="AX110" s="95">
        <f t="shared" si="159"/>
        <v>31.175238635039932</v>
      </c>
    </row>
    <row r="111" spans="2:50" x14ac:dyDescent="0.25">
      <c r="AH111" s="120"/>
      <c r="AI111" s="110" t="s">
        <v>39</v>
      </c>
      <c r="AJ111" s="45" cm="1">
        <f t="array" ref="AJ111">SQRT(SUMSQ($AN57:$AN60-AY$38:AY$41)/COUNTA($AN57:$AN60-AY$38:AY$41))</f>
        <v>76.489134870860255</v>
      </c>
      <c r="AK111" s="43" cm="1">
        <f t="array" ref="AK111">SQRT(SUMSQ($AN57:$AN60-AZ$38:AZ$41)/COUNTA($AN57:$AN60-AZ$38:AZ$41))</f>
        <v>76.489134870860255</v>
      </c>
      <c r="AL111" s="44" cm="1">
        <f t="array" ref="AL111">SQRT(SUMSQ($AN57:$AN60-BA$38:BA$41)/COUNTA($AN57:$AN60-BA$38:BA$41))</f>
        <v>89.036113355842289</v>
      </c>
      <c r="AM111" s="44" cm="1">
        <f t="array" ref="AM111">SQRT(SUMSQ($AN57:$AN60-BB$38:BB$41)/COUNTA($AN57:$AN60-BB$38:BB$41))</f>
        <v>89.036113355842289</v>
      </c>
      <c r="AN111" s="112" cm="1">
        <f t="array" ref="AN111">SQRT(SUMSQ($AN57:$AN60-BC$38:BC$41)/COUNTA($AN57:$AN60-BC$38:BC$41))</f>
        <v>12.590275383947663</v>
      </c>
      <c r="AO111" s="44" cm="1">
        <f t="array" ref="AO111">SQRT(SUMSQ($AN57:$AN60-BD$38:BD$41)/COUNTA($AN57:$AN60-BD$38:BD$41))</f>
        <v>42.799816113659872</v>
      </c>
      <c r="AP111" s="45" cm="1">
        <f t="array" ref="AP111">SQRT(SUMSQ($AN57:$AN60-BE$38:BE$41)/COUNTA($AN57:$AN60-BE$38:BE$41))</f>
        <v>89.036113355842289</v>
      </c>
      <c r="AQ111" s="43" cm="1">
        <f t="array" ref="AQ111">SQRT(SUMSQ($AN57:$AN60-BF$38:BF$41)/COUNTA($AN57:$AN60-BF$38:BF$41))</f>
        <v>46.799629213699504</v>
      </c>
      <c r="AR111" s="44" cm="1">
        <f t="array" ref="AR111">SQRT(SUMSQ($AN57:$AN60-BG$38:BG$41)/COUNTA($AN57:$AN60-BG$38:BG$41))</f>
        <v>67.895232190806723</v>
      </c>
      <c r="AS111" s="45" cm="1">
        <f t="array" ref="AS111">SQRT(SUMSQ($AN57:$AN60-BH$38:BH$41)/COUNTA($AN57:$AN60-BH$38:BH$41))</f>
        <v>81.771659408778703</v>
      </c>
      <c r="AT111" s="43" cm="1">
        <f t="array" ref="AT111">SQRT(SUMSQ($AN57:$AN60-BI$38:BI$41)/COUNTA($AN57:$AN60-BI$38:BI$41))</f>
        <v>43.815344691430681</v>
      </c>
      <c r="AU111" s="113" cm="1">
        <f t="array" ref="AU111">SQRT(SUMSQ($AN57:$AN60-BJ$38:BJ$41)/COUNTA($AN57:$AN60-BJ$38:BJ$41))</f>
        <v>12.22050461126655</v>
      </c>
      <c r="AV111" s="45" cm="1">
        <f t="array" ref="AV111">SQRT(SUMSQ($AN57:$AN60-BK$38:BK$41)/COUNTA($AN57:$AN60-BK$38:BK$41))</f>
        <v>29.206207314707317</v>
      </c>
      <c r="AW111" s="22" cm="1">
        <f t="array" ref="AW111">SQRT(SUMSQ($AN57:$AN60-BL$38:BL$41)/COUNTA($AN57:$AN60-BL$38:BL$41))</f>
        <v>50.03539915405635</v>
      </c>
      <c r="AX111" s="95">
        <f t="shared" si="159"/>
        <v>12.22050461126655</v>
      </c>
    </row>
    <row r="112" spans="2:50" x14ac:dyDescent="0.25">
      <c r="AH112" s="120" t="s">
        <v>121</v>
      </c>
      <c r="AI112" s="85" t="s">
        <v>41</v>
      </c>
      <c r="AJ112" s="106" cm="1">
        <f t="array" ref="AJ112">SQRT(SUMSQ($AO57:$AO60-AY$38:AY$41)/COUNTA($AO57:$AO60-AY$38:AY$41))</f>
        <v>66.810935199124287</v>
      </c>
      <c r="AK112" s="107" cm="1">
        <f t="array" ref="AK112">SQRT(SUMSQ($AO57:$AO60-AZ$38:AZ$41)/COUNTA($AO57:$AO60-AZ$38:AZ$41))</f>
        <v>66.810935199124287</v>
      </c>
      <c r="AL112" s="108" cm="1">
        <f t="array" ref="AL112">SQRT(SUMSQ($AO57:$AO60-BA$38:BA$41)/COUNTA($AO57:$AO60-BA$38:BA$41))</f>
        <v>67.334896546485467</v>
      </c>
      <c r="AM112" s="108" cm="1">
        <f t="array" ref="AM112">SQRT(SUMSQ($AO57:$AO60-BB$38:BB$41)/COUNTA($AO57:$AO60-BB$38:BB$41))</f>
        <v>67.334896546485467</v>
      </c>
      <c r="AN112" s="107" cm="1">
        <f t="array" ref="AN112">SQRT(SUMSQ($AO57:$AO60-BC$38:BC$41)/COUNTA($AO57:$AO60-BC$38:BC$41))</f>
        <v>33.250784543759394</v>
      </c>
      <c r="AO112" s="108" cm="1">
        <f t="array" ref="AO112">SQRT(SUMSQ($AO57:$AO60-BD$38:BD$41)/COUNTA($AO57:$AO60-BD$38:BD$41))</f>
        <v>46.98225367883731</v>
      </c>
      <c r="AP112" s="106" cm="1">
        <f t="array" ref="AP112">SQRT(SUMSQ($AO57:$AO60-BE$38:BE$41)/COUNTA($AO57:$AO60-BE$38:BE$41))</f>
        <v>67.334896546485467</v>
      </c>
      <c r="AQ112" s="107" cm="1">
        <f t="array" ref="AQ112">SQRT(SUMSQ($AO57:$AO60-BF$38:BF$41)/COUNTA($AO57:$AO60-BF$38:BF$41))</f>
        <v>42.237750655664506</v>
      </c>
      <c r="AR112" s="108" cm="1">
        <f t="array" ref="AR112">SQRT(SUMSQ($AO57:$AO60-BG$38:BG$41)/COUNTA($AO57:$AO60-BG$38:BG$41))</f>
        <v>58.124473025289959</v>
      </c>
      <c r="AS112" s="106" cm="1">
        <f t="array" ref="AS112">SQRT(SUMSQ($AO57:$AO60-BH$38:BH$41)/COUNTA($AO57:$AO60-BH$38:BH$41))</f>
        <v>58.725987392397045</v>
      </c>
      <c r="AT112" s="107" cm="1">
        <f t="array" ref="AT112">SQRT(SUMSQ($AO57:$AO60-BI$38:BI$41)/COUNTA($AO57:$AO60-BI$38:BI$41))</f>
        <v>50.168555541075023</v>
      </c>
      <c r="AU112" s="109" cm="1">
        <f t="array" ref="AU112">SQRT(SUMSQ($AO57:$AO60-BJ$38:BJ$41)/COUNTA($AO57:$AO60-BJ$38:BJ$41))</f>
        <v>28.594664093890145</v>
      </c>
      <c r="AV112" s="106" cm="1">
        <f t="array" ref="AV112">SQRT(SUMSQ($AO57:$AO60-BK$38:BK$41)/COUNTA($AO57:$AO60-BK$38:BK$41))</f>
        <v>28.645380648465856</v>
      </c>
      <c r="AW112" s="22" cm="1">
        <f t="array" ref="AW112">SQRT(SUMSQ($AO57:$AO60-BL$38:BL$41)/COUNTA($AO57:$AO60-BL$38:BL$41))</f>
        <v>50.088138535037885</v>
      </c>
      <c r="AX112" s="95">
        <f t="shared" si="159"/>
        <v>28.594664093890145</v>
      </c>
    </row>
    <row r="113" spans="34:50" x14ac:dyDescent="0.25">
      <c r="AH113" s="120"/>
      <c r="AI113" s="72" t="s">
        <v>40</v>
      </c>
      <c r="AJ113" s="94" cm="1">
        <f t="array" ref="AJ113">SQRT(SUMSQ($AP57:$AP60-AY$38:AY$41)/COUNTA($AP57:$AP60-AY$38:AY$41))</f>
        <v>49.607920007537594</v>
      </c>
      <c r="AK113" s="93" cm="1">
        <f t="array" ref="AK113">SQRT(SUMSQ($AP57:$AP60-AZ$38:AZ$41)/COUNTA($AP57:$AP60-AZ$38:AZ$41))</f>
        <v>49.607920007537594</v>
      </c>
      <c r="AL113" s="10" cm="1">
        <f t="array" ref="AL113">SQRT(SUMSQ($AP57:$AP60-BA$38:BA$41)/COUNTA($AP57:$AP60-BA$38:BA$41))</f>
        <v>47.809467382907592</v>
      </c>
      <c r="AM113" s="10" cm="1">
        <f t="array" ref="AM113">SQRT(SUMSQ($AP57:$AP60-BB$38:BB$41)/COUNTA($AP57:$AP60-BB$38:BB$41))</f>
        <v>47.809467382907592</v>
      </c>
      <c r="AN113" s="20" cm="1">
        <f t="array" ref="AN113">SQRT(SUMSQ($AP57:$AP60-BC$38:BC$41)/COUNTA($AP57:$AP60-BC$38:BC$41))</f>
        <v>46.727524093996621</v>
      </c>
      <c r="AO113" s="10" cm="1">
        <f t="array" ref="AO113">SQRT(SUMSQ($AP57:$AP60-BD$38:BD$41)/COUNTA($AP57:$AP60-BD$38:BD$41))</f>
        <v>51.679994648668149</v>
      </c>
      <c r="AP113" s="22" cm="1">
        <f t="array" ref="AP113">SQRT(SUMSQ($AP57:$AP60-BE$38:BE$41)/COUNTA($AP57:$AP60-BE$38:BE$41))</f>
        <v>47.809467382907592</v>
      </c>
      <c r="AQ113" s="99" cm="1">
        <f t="array" ref="AQ113">SQRT(SUMSQ($AP57:$AP60-BF$38:BF$41)/COUNTA($AP57:$AP60-BF$38:BF$41))</f>
        <v>30.063157363277309</v>
      </c>
      <c r="AR113" s="92" cm="1">
        <f t="array" ref="AR113">SQRT(SUMSQ($AP57:$AP60-BG$38:BG$41)/COUNTA($AP57:$AP60-BG$38:BG$41))</f>
        <v>40.418937760307301</v>
      </c>
      <c r="AS113" s="22" cm="1">
        <f t="array" ref="AS113">SQRT(SUMSQ($AP57:$AP60-BH$38:BH$41)/COUNTA($AP57:$AP60-BH$38:BH$41))</f>
        <v>38.190181639194272</v>
      </c>
      <c r="AT113" s="20" cm="1">
        <f t="array" ref="AT113">SQRT(SUMSQ($AP57:$AP60-BI$38:BI$41)/COUNTA($AP57:$AP60-BI$38:BI$41))</f>
        <v>41.945127353098435</v>
      </c>
      <c r="AU113" s="10" cm="1">
        <f t="array" ref="AU113">SQRT(SUMSQ($AP57:$AP60-BJ$38:BJ$41)/COUNTA($AP57:$AP60-BJ$38:BJ$41))</f>
        <v>38.583982701275659</v>
      </c>
      <c r="AV113" s="22" cm="1">
        <f t="array" ref="AV113">SQRT(SUMSQ($AP57:$AP60-BK$38:BK$41)/COUNTA($AP57:$AP60-BK$38:BK$41))</f>
        <v>41.384657523650482</v>
      </c>
      <c r="AW113" s="22" cm="1">
        <f t="array" ref="AW113">SQRT(SUMSQ($AP57:$AP60-BL$38:BL$41)/COUNTA($AP57:$AP60-BL$38:BL$41))</f>
        <v>37.36241974109808</v>
      </c>
      <c r="AX113" s="95">
        <f t="shared" si="159"/>
        <v>30.063157363277309</v>
      </c>
    </row>
    <row r="114" spans="34:50" x14ac:dyDescent="0.25">
      <c r="AH114" s="120"/>
      <c r="AI114" s="110" t="s">
        <v>39</v>
      </c>
      <c r="AJ114" s="45" cm="1">
        <f t="array" ref="AJ114">SQRT(SUMSQ($AQ57:$AQ60-AY$38:AY$41)/COUNTA($AQ57:$AQ60-AY$38:AY$41))</f>
        <v>56.937446483108097</v>
      </c>
      <c r="AK114" s="43" cm="1">
        <f t="array" ref="AK114">SQRT(SUMSQ($AQ57:$AQ60-AZ$38:AZ$41)/COUNTA($AQ57:$AQ60-AZ$38:AZ$41))</f>
        <v>56.937446483108097</v>
      </c>
      <c r="AL114" s="44" cm="1">
        <f t="array" ref="AL114">SQRT(SUMSQ($AQ57:$AQ60-BA$38:BA$41)/COUNTA($AQ57:$AQ60-BA$38:BA$41))</f>
        <v>66.861524339040514</v>
      </c>
      <c r="AM114" s="44" cm="1">
        <f t="array" ref="AM114">SQRT(SUMSQ($AQ57:$AQ60-BB$38:BB$41)/COUNTA($AQ57:$AQ60-BB$38:BB$41))</f>
        <v>66.861524339040514</v>
      </c>
      <c r="AN114" s="43" cm="1">
        <f t="array" ref="AN114">SQRT(SUMSQ($AQ57:$AQ60-BC$38:BC$41)/COUNTA($AQ57:$AQ60-BC$38:BC$41))</f>
        <v>22.21625050055497</v>
      </c>
      <c r="AO114" s="44" cm="1">
        <f t="array" ref="AO114">SQRT(SUMSQ($AQ57:$AQ60-BD$38:BD$41)/COUNTA($AQ57:$AQ60-BD$38:BD$41))</f>
        <v>35.850573174529096</v>
      </c>
      <c r="AP114" s="45" cm="1">
        <f t="array" ref="AP114">SQRT(SUMSQ($AQ57:$AQ60-BE$38:BE$41)/COUNTA($AQ57:$AQ60-BE$38:BE$41))</f>
        <v>66.861524339040514</v>
      </c>
      <c r="AQ114" s="43" cm="1">
        <f t="array" ref="AQ114">SQRT(SUMSQ($AQ57:$AQ60-BF$38:BF$41)/COUNTA($AQ57:$AQ60-BF$38:BF$41))</f>
        <v>32.704902901099452</v>
      </c>
      <c r="AR114" s="44" cm="1">
        <f t="array" ref="AR114">SQRT(SUMSQ($AQ57:$AQ60-BG$38:BG$41)/COUNTA($AQ57:$AQ60-BG$38:BG$41))</f>
        <v>49.082478317922877</v>
      </c>
      <c r="AS114" s="45" cm="1">
        <f t="array" ref="AS114">SQRT(SUMSQ($AQ57:$AQ60-BH$38:BH$41)/COUNTA($AQ57:$AQ60-BH$38:BH$41))</f>
        <v>60.313185148462161</v>
      </c>
      <c r="AT114" s="43" cm="1">
        <f t="array" ref="AT114">SQRT(SUMSQ($AQ57:$AQ60-BI$38:BI$41)/COUNTA($AQ57:$AQ60-BI$38:BI$41))</f>
        <v>34.975925453212668</v>
      </c>
      <c r="AU114" s="98" cm="1">
        <f t="array" ref="AU114">SQRT(SUMSQ($AQ57:$AQ60-BJ$38:BJ$41)/COUNTA($AQ57:$AQ60-BJ$38:BJ$41))</f>
        <v>16.869100115311451</v>
      </c>
      <c r="AV114" s="111" cm="1">
        <f t="array" ref="AV114">SQRT(SUMSQ($AQ57:$AQ60-BK$38:BK$41)/COUNTA($AQ57:$AQ60-BK$38:BK$41))</f>
        <v>24.616587904776789</v>
      </c>
      <c r="AW114" s="22" cm="1">
        <f t="array" ref="AW114">SQRT(SUMSQ($AQ57:$AQ60-BL$38:BL$41)/COUNTA($AQ57:$AQ60-BL$38:BL$41))</f>
        <v>33.934692950419418</v>
      </c>
      <c r="AX114" s="95">
        <f t="shared" si="159"/>
        <v>16.869100115311451</v>
      </c>
    </row>
    <row r="115" spans="34:50" x14ac:dyDescent="0.25">
      <c r="AH115" s="120" t="s">
        <v>122</v>
      </c>
      <c r="AI115" s="85" t="s">
        <v>41</v>
      </c>
      <c r="AJ115" s="106" cm="1">
        <f t="array" ref="AJ115">SQRT(SUMSQ($AR57:$AR60-AY$38:AY$41)/COUNTA($AR57:$AR60-AY$38:AY$41))</f>
        <v>71.997704464817033</v>
      </c>
      <c r="AK115" s="107" cm="1">
        <f t="array" ref="AK115">SQRT(SUMSQ($AR57:$AR60-AZ$38:AZ$41)/COUNTA($AR57:$AR60-AZ$38:AZ$41))</f>
        <v>71.997704464817033</v>
      </c>
      <c r="AL115" s="108" cm="1">
        <f t="array" ref="AL115">SQRT(SUMSQ($AR57:$AR60-BA$38:BA$41)/COUNTA($AR57:$AR60-BA$38:BA$41))</f>
        <v>73.654744851988099</v>
      </c>
      <c r="AM115" s="108" cm="1">
        <f t="array" ref="AM115">SQRT(SUMSQ($AR57:$AR60-BB$38:BB$41)/COUNTA($AR57:$AR60-BB$38:BB$41))</f>
        <v>73.654744851988099</v>
      </c>
      <c r="AN115" s="107" cm="1">
        <f t="array" ref="AN115">SQRT(SUMSQ($AR57:$AR60-BC$38:BC$41)/COUNTA($AR57:$AR60-BC$38:BC$41))</f>
        <v>30.371945449140529</v>
      </c>
      <c r="AO115" s="108" cm="1">
        <f t="array" ref="AO115">SQRT(SUMSQ($AR57:$AR60-BD$38:BD$41)/COUNTA($AR57:$AR60-BD$38:BD$41))</f>
        <v>47.686424000335208</v>
      </c>
      <c r="AP115" s="106" cm="1">
        <f t="array" ref="AP115">SQRT(SUMSQ($AR57:$AR60-BE$38:BE$41)/COUNTA($AR57:$AR60-BE$38:BE$41))</f>
        <v>73.654744851988099</v>
      </c>
      <c r="AQ115" s="107" cm="1">
        <f t="array" ref="AQ115">SQRT(SUMSQ($AR57:$AR60-BF$38:BF$41)/COUNTA($AR57:$AR60-BF$38:BF$41))</f>
        <v>44.813124519141397</v>
      </c>
      <c r="AR115" s="108" cm="1">
        <f t="array" ref="AR115">SQRT(SUMSQ($AR57:$AR60-BG$38:BG$41)/COUNTA($AR57:$AR60-BG$38:BG$41))</f>
        <v>63.01178555352643</v>
      </c>
      <c r="AS115" s="106" cm="1">
        <f t="array" ref="AS115">SQRT(SUMSQ($AR57:$AR60-BH$38:BH$41)/COUNTA($AR57:$AR60-BH$38:BH$41))</f>
        <v>64.898668011384743</v>
      </c>
      <c r="AT115" s="107" cm="1">
        <f t="array" ref="AT115">SQRT(SUMSQ($AR57:$AR60-BI$38:BI$41)/COUNTA($AR57:$AR60-BI$38:BI$41))</f>
        <v>51.531933145030628</v>
      </c>
      <c r="AU115" s="109" cm="1">
        <f t="array" ref="AU115">SQRT(SUMSQ($AR57:$AR60-BJ$38:BJ$41)/COUNTA($AR57:$AR60-BJ$38:BJ$41))</f>
        <v>25.855694753516801</v>
      </c>
      <c r="AV115" s="106" cm="1">
        <f t="array" ref="AV115">SQRT(SUMSQ($AR57:$AR60-BK$38:BK$41)/COUNTA($AR57:$AR60-BK$38:BK$41))</f>
        <v>27.686159143706096</v>
      </c>
      <c r="AW115" s="22" cm="1">
        <f t="array" ref="AW115">SQRT(SUMSQ($AR57:$AR60-BL$38:BL$41)/COUNTA($AR57:$AR60-BL$38:BL$41))</f>
        <v>53.232794499849774</v>
      </c>
      <c r="AX115" s="95">
        <f t="shared" si="159"/>
        <v>25.855694753516801</v>
      </c>
    </row>
    <row r="116" spans="34:50" x14ac:dyDescent="0.25">
      <c r="AH116" s="120"/>
      <c r="AI116" s="72" t="s">
        <v>40</v>
      </c>
      <c r="AJ116" s="22" cm="1">
        <f t="array" ref="AJ116">SQRT(SUMSQ($AS57:$AS60-AY$38:AY$41)/COUNTA($AS57:$AS60-AY$38:AY$41))</f>
        <v>54.107114080981503</v>
      </c>
      <c r="AK116" s="20" cm="1">
        <f t="array" ref="AK116">SQRT(SUMSQ($AS57:$AS60-AZ$38:AZ$41)/COUNTA($AS57:$AS60-AZ$38:AZ$41))</f>
        <v>54.107114080981503</v>
      </c>
      <c r="AL116" s="92" cm="1">
        <f t="array" ref="AL116">SQRT(SUMSQ($AS57:$AS60-BA$38:BA$41)/COUNTA($AS57:$AS60-BA$38:BA$41))</f>
        <v>45.133829812205335</v>
      </c>
      <c r="AM116" s="92" cm="1">
        <f t="array" ref="AM116">SQRT(SUMSQ($AS57:$AS60-BB$38:BB$41)/COUNTA($AS57:$AS60-BB$38:BB$41))</f>
        <v>45.133829812205335</v>
      </c>
      <c r="AN116" s="20" cm="1">
        <f t="array" ref="AN116">SQRT(SUMSQ($AS57:$AS60-BC$38:BC$41)/COUNTA($AS57:$AS60-BC$38:BC$41))</f>
        <v>58.289773598106969</v>
      </c>
      <c r="AO116" s="10" cm="1">
        <f t="array" ref="AO116">SQRT(SUMSQ($AS57:$AS60-BD$38:BD$41)/COUNTA($AS57:$AS60-BD$38:BD$41))</f>
        <v>61.74151446546238</v>
      </c>
      <c r="AP116" s="94" cm="1">
        <f t="array" ref="AP116">SQRT(SUMSQ($AS57:$AS60-BE$38:BE$41)/COUNTA($AS57:$AS60-BE$38:BE$41))</f>
        <v>45.133829812205335</v>
      </c>
      <c r="AQ116" s="20" cm="1">
        <f t="array" ref="AQ116">SQRT(SUMSQ($AS57:$AS60-BF$38:BF$41)/COUNTA($AS57:$AS60-BF$38:BF$41))</f>
        <v>35.205852218206708</v>
      </c>
      <c r="AR116" s="10" cm="1">
        <f t="array" ref="AR116">SQRT(SUMSQ($AS57:$AS60-BG$38:BG$41)/COUNTA($AS57:$AS60-BG$38:BG$41))</f>
        <v>44.987003924395438</v>
      </c>
      <c r="AS116" s="79" cm="1">
        <f t="array" ref="AS116">SQRT(SUMSQ($AS57:$AS60-BH$38:BH$41)/COUNTA($AS57:$AS60-BH$38:BH$41))</f>
        <v>33.664719238964977</v>
      </c>
      <c r="AT116" s="20" cm="1">
        <f t="array" ref="AT116">SQRT(SUMSQ($AS57:$AS60-BI$38:BI$41)/COUNTA($AS57:$AS60-BI$38:BI$41))</f>
        <v>49.524848619029882</v>
      </c>
      <c r="AU116" s="10" cm="1">
        <f t="array" ref="AU116">SQRT(SUMSQ($AS57:$AS60-BJ$38:BJ$41)/COUNTA($AS57:$AS60-BJ$38:BJ$41))</f>
        <v>48.67678879078251</v>
      </c>
      <c r="AV116" s="22" cm="1">
        <f t="array" ref="AV116">SQRT(SUMSQ($AS57:$AS60-BK$38:BK$41)/COUNTA($AS57:$AS60-BK$38:BK$41))</f>
        <v>51.273183713634033</v>
      </c>
      <c r="AW116" s="22" cm="1">
        <f t="array" ref="AW116">SQRT(SUMSQ($AS57:$AS60-BL$38:BL$41)/COUNTA($AS57:$AS60-BL$38:BL$41))</f>
        <v>45.106027596105733</v>
      </c>
      <c r="AX116" s="95">
        <f t="shared" si="159"/>
        <v>33.664719238964977</v>
      </c>
    </row>
    <row r="117" spans="34:50" x14ac:dyDescent="0.25">
      <c r="AH117" s="120"/>
      <c r="AI117" s="110" t="s">
        <v>39</v>
      </c>
      <c r="AJ117" s="45" cm="1">
        <f t="array" ref="AJ117">SQRT(SUMSQ($AT57:$AT60-AY$38:AY$41)/COUNTA($AT57:$AT60-AY$38:AY$41))</f>
        <v>59.037705272129912</v>
      </c>
      <c r="AK117" s="43" cm="1">
        <f t="array" ref="AK117">SQRT(SUMSQ($AT57:$AT60-AZ$38:AZ$41)/COUNTA($AT57:$AT60-AZ$38:AZ$41))</f>
        <v>59.037705272129912</v>
      </c>
      <c r="AL117" s="44" cm="1">
        <f t="array" ref="AL117">SQRT(SUMSQ($AT57:$AT60-BA$38:BA$41)/COUNTA($AT57:$AT60-BA$38:BA$41))</f>
        <v>70.420956611489416</v>
      </c>
      <c r="AM117" s="44" cm="1">
        <f t="array" ref="AM117">SQRT(SUMSQ($AT57:$AT60-BB$38:BB$41)/COUNTA($AT57:$AT60-BB$38:BB$41))</f>
        <v>70.420956611489416</v>
      </c>
      <c r="AN117" s="43" cm="1">
        <f t="array" ref="AN117">SQRT(SUMSQ($AT57:$AT60-BC$38:BC$41)/COUNTA($AT57:$AT60-BC$38:BC$41))</f>
        <v>21.243187842312039</v>
      </c>
      <c r="AO117" s="114" cm="1">
        <f t="array" ref="AO117">SQRT(SUMSQ($AT57:$AT60-BD$38:BD$41)/COUNTA($AT57:$AT60-BD$38:BD$41))</f>
        <v>34.00239718567866</v>
      </c>
      <c r="AP117" s="45" cm="1">
        <f t="array" ref="AP117">SQRT(SUMSQ($AT57:$AT60-BE$38:BE$41)/COUNTA($AT57:$AT60-BE$38:BE$41))</f>
        <v>70.420956611489416</v>
      </c>
      <c r="AQ117" s="43" cm="1">
        <f t="array" ref="AQ117">SQRT(SUMSQ($AT57:$AT60-BF$38:BF$41)/COUNTA($AT57:$AT60-BF$38:BF$41))</f>
        <v>32.798505619544301</v>
      </c>
      <c r="AR117" s="44" cm="1">
        <f t="array" ref="AR117">SQRT(SUMSQ($AT57:$AT60-BG$38:BG$41)/COUNTA($AT57:$AT60-BG$38:BG$41))</f>
        <v>51.795641692018997</v>
      </c>
      <c r="AS117" s="45" cm="1">
        <f t="array" ref="AS117">SQRT(SUMSQ($AT57:$AT60-BH$38:BH$41)/COUNTA($AT57:$AT60-BH$38:BH$41))</f>
        <v>64.470528030770893</v>
      </c>
      <c r="AT117" s="112" cm="1">
        <f t="array" ref="AT117">SQRT(SUMSQ($AT57:$AT60-BI$38:BI$41)/COUNTA($AT57:$AT60-BI$38:BI$41))</f>
        <v>33.270282952449904</v>
      </c>
      <c r="AU117" s="115" cm="1">
        <f t="array" ref="AU117">SQRT(SUMSQ($AT57:$AT60-BJ$38:BJ$41)/COUNTA($AT57:$AT60-BJ$38:BJ$41))</f>
        <v>13.630483839691509</v>
      </c>
      <c r="AV117" s="45" cm="1">
        <f t="array" ref="AV117">SQRT(SUMSQ($AT57:$AT60-BK$38:BK$41)/COUNTA($AT57:$AT60-BK$38:BK$41))</f>
        <v>24.576786559870147</v>
      </c>
      <c r="AW117" s="94" cm="1">
        <f t="array" ref="AW117">SQRT(SUMSQ($AT57:$AT60-BL$38:BL$41)/COUNTA($AT57:$AT60-BL$38:BL$41))</f>
        <v>32.392437015460175</v>
      </c>
      <c r="AX117" s="95">
        <f t="shared" si="159"/>
        <v>13.630483839691509</v>
      </c>
    </row>
    <row r="118" spans="34:50" x14ac:dyDescent="0.25">
      <c r="AI118" s="90" t="s">
        <v>68</v>
      </c>
      <c r="AJ118" s="22" cm="1">
        <f t="array" ref="AJ118">SQRT(SUMSQ($AU57:$AU60-AY$38:AY$41)/COUNTA($AU57:$AU60-AY$38:AY$41))</f>
        <v>84.050529009241686</v>
      </c>
      <c r="AK118" s="20" cm="1">
        <f t="array" ref="AK118">SQRT(SUMSQ($AU57:$AU60-AZ$38:AZ$41)/COUNTA($AU57:$AU60-AZ$38:AZ$41))</f>
        <v>84.050529009241686</v>
      </c>
      <c r="AL118" s="10" cm="1">
        <f t="array" ref="AL118">SQRT(SUMSQ($AU57:$AU60-BA$38:BA$41)/COUNTA($AU57:$AU60-BA$38:BA$41))</f>
        <v>91.953816458024662</v>
      </c>
      <c r="AM118" s="10" cm="1">
        <f t="array" ref="AM118">SQRT(SUMSQ($AU57:$AU60-BB$38:BB$41)/COUNTA($AU57:$AU60-BB$38:BB$41))</f>
        <v>91.953816458024662</v>
      </c>
      <c r="AN118" s="20" cm="1">
        <f t="array" ref="AN118">SQRT(SUMSQ($AU57:$AU60-BC$38:BC$41)/COUNTA($AU57:$AU60-BC$38:BC$41))</f>
        <v>22.009559159420991</v>
      </c>
      <c r="AO118" s="10" cm="1">
        <f t="array" ref="AO118">SQRT(SUMSQ($AU57:$AU60-BD$38:BD$41)/COUNTA($AU57:$AU60-BD$38:BD$41))</f>
        <v>52.121184652751268</v>
      </c>
      <c r="AP118" s="22" cm="1">
        <f t="array" ref="AP118">SQRT(SUMSQ($AU57:$AU60-BE$38:BE$41)/COUNTA($AU57:$AU60-BE$38:BE$41))</f>
        <v>91.953816458024662</v>
      </c>
      <c r="AQ118" s="20" cm="1">
        <f t="array" ref="AQ118">SQRT(SUMSQ($AU57:$AU60-BF$38:BF$41)/COUNTA($AU57:$AU60-BF$38:BF$41))</f>
        <v>52.255093006754443</v>
      </c>
      <c r="AR118" s="10" cm="1">
        <f t="array" ref="AR118">SQRT(SUMSQ($AU57:$AU60-BG$38:BG$41)/COUNTA($AU57:$AU60-BG$38:BG$41))</f>
        <v>74.021478674533171</v>
      </c>
      <c r="AS118" s="22" cm="1">
        <f t="array" ref="AS118">SQRT(SUMSQ($AU57:$AU60-BH$38:BH$41)/COUNTA($AU57:$AU60-BH$38:BH$41))</f>
        <v>82.886622802639735</v>
      </c>
      <c r="AT118" s="20" cm="1">
        <f t="array" ref="AT118">SQRT(SUMSQ($AU57:$AU60-BI$38:BI$41)/COUNTA($AU57:$AU60-BI$38:BI$41))</f>
        <v>52.944199662599509</v>
      </c>
      <c r="AU118" s="97" cm="1">
        <f t="array" ref="AU118">SQRT(SUMSQ($AU57:$AU60-BJ$38:BJ$41)/COUNTA($AU57:$AU60-BJ$38:BJ$41))</f>
        <v>20.754459154258903</v>
      </c>
      <c r="AV118" s="22" cm="1">
        <f t="array" ref="AV118">SQRT(SUMSQ($AU57:$AU60-BK$38:BK$41)/COUNTA($AU57:$AU60-BK$38:BK$41))</f>
        <v>32.980684549942701</v>
      </c>
      <c r="AW118" s="22" cm="1">
        <f t="array" ref="AW118">SQRT(SUMSQ($AU57:$AU60-BL$38:BL$41)/COUNTA($AU57:$AU60-BL$38:BL$41))</f>
        <v>60.460574609277216</v>
      </c>
      <c r="AX118" s="95">
        <f t="shared" si="159"/>
        <v>20.754459154258903</v>
      </c>
    </row>
    <row r="119" spans="34:50" x14ac:dyDescent="0.25">
      <c r="AI119" s="91" t="s">
        <v>67</v>
      </c>
      <c r="AJ119" s="45" cm="1">
        <f t="array" ref="AJ119">SQRT(SUMSQ($AV57:$AV60-AY$38:AY$41)/COUNTA($AV57:$AV60-AY$38:AY$41))</f>
        <v>80.640835555989398</v>
      </c>
      <c r="AK119" s="43" cm="1">
        <f t="array" ref="AK119">SQRT(SUMSQ($AV57:$AV60-AZ$38:AZ$41)/COUNTA($AV57:$AV60-AZ$38:AZ$41))</f>
        <v>80.640835555989398</v>
      </c>
      <c r="AL119" s="44" cm="1">
        <f t="array" ref="AL119">SQRT(SUMSQ($AV57:$AV60-BA$38:BA$41)/COUNTA($AV57:$AV60-BA$38:BA$41))</f>
        <v>87.032064366206058</v>
      </c>
      <c r="AM119" s="44" cm="1">
        <f t="array" ref="AM119">SQRT(SUMSQ($AV57:$AV60-BB$38:BB$41)/COUNTA($AV57:$AV60-BB$38:BB$41))</f>
        <v>87.032064366206058</v>
      </c>
      <c r="AN119" s="43" cm="1">
        <f t="array" ref="AN119">SQRT(SUMSQ($AV57:$AV60-BC$38:BC$41)/COUNTA($AV57:$AV60-BC$38:BC$41))</f>
        <v>23.351714476243227</v>
      </c>
      <c r="AO119" s="44" cm="1">
        <f t="array" ref="AO119">SQRT(SUMSQ($AV57:$AV60-BD$38:BD$41)/COUNTA($AV57:$AV60-BD$38:BD$41))</f>
        <v>51.217153259927066</v>
      </c>
      <c r="AP119" s="45" cm="1">
        <f t="array" ref="AP119">SQRT(SUMSQ($AV57:$AV60-BE$38:BE$41)/COUNTA($AV57:$AV60-BE$38:BE$41))</f>
        <v>87.032064366206058</v>
      </c>
      <c r="AQ119" s="43" cm="1">
        <f t="array" ref="AQ119">SQRT(SUMSQ($AV57:$AV60-BF$38:BF$41)/COUNTA($AV57:$AV60-BF$38:BF$41))</f>
        <v>49.514651179550015</v>
      </c>
      <c r="AR119" s="44" cm="1">
        <f t="array" ref="AR119">SQRT(SUMSQ($AV57:$AV60-BG$38:BG$41)/COUNTA($AV57:$AV60-BG$38:BG$41))</f>
        <v>70.542453983243661</v>
      </c>
      <c r="AS119" s="45" cm="1">
        <f t="array" ref="AS119">SQRT(SUMSQ($AV57:$AV60-BH$38:BH$41)/COUNTA($AV57:$AV60-BH$38:BH$41))</f>
        <v>77.768076243747714</v>
      </c>
      <c r="AT119" s="43" cm="1">
        <f t="array" ref="AT119">SQRT(SUMSQ($AV57:$AV60-BI$38:BI$41)/COUNTA($AV57:$AV60-BI$38:BI$41))</f>
        <v>51.806203751045679</v>
      </c>
      <c r="AU119" s="98" cm="1">
        <f t="array" ref="AU119">SQRT(SUMSQ($AV57:$AV60-BJ$38:BJ$41)/COUNTA($AV57:$AV60-BJ$38:BJ$41))</f>
        <v>20.808124502996126</v>
      </c>
      <c r="AV119" s="45" cm="1">
        <f t="array" ref="AV119">SQRT(SUMSQ($AV57:$AV60-BK$38:BK$41)/COUNTA($AV57:$AV60-BK$38:BK$41))</f>
        <v>31.308670192853246</v>
      </c>
      <c r="AW119" s="45" cm="1">
        <f t="array" ref="AW119">SQRT(SUMSQ($AV57:$AV60-BL$38:BL$41)/COUNTA($AV57:$AV60-BL$38:BL$41))</f>
        <v>58.326672666361084</v>
      </c>
      <c r="AX119" s="95">
        <f t="shared" si="159"/>
        <v>20.808124502996126</v>
      </c>
    </row>
    <row r="120" spans="34:50" x14ac:dyDescent="0.25">
      <c r="AJ120" s="95">
        <f t="shared" ref="AJ120:AW120" si="160">MIN(AJ108:AJ118)</f>
        <v>49.607920007537594</v>
      </c>
      <c r="AK120" s="95">
        <f t="shared" si="160"/>
        <v>49.607920007537594</v>
      </c>
      <c r="AL120" s="95">
        <f t="shared" si="160"/>
        <v>45.133829812205335</v>
      </c>
      <c r="AM120" s="95">
        <f t="shared" si="160"/>
        <v>45.133829812205335</v>
      </c>
      <c r="AN120" s="95">
        <f t="shared" si="160"/>
        <v>12.590275383947663</v>
      </c>
      <c r="AO120" s="95">
        <f t="shared" si="160"/>
        <v>34.00239718567866</v>
      </c>
      <c r="AP120" s="95">
        <f t="shared" si="160"/>
        <v>45.133829812205335</v>
      </c>
      <c r="AQ120" s="95">
        <f t="shared" si="160"/>
        <v>30.063157363277309</v>
      </c>
      <c r="AR120" s="95">
        <f t="shared" si="160"/>
        <v>40.418937760307301</v>
      </c>
      <c r="AS120" s="95">
        <f t="shared" si="160"/>
        <v>33.664719238964977</v>
      </c>
      <c r="AT120" s="95">
        <f t="shared" si="160"/>
        <v>33.270282952449904</v>
      </c>
      <c r="AU120" s="95">
        <f t="shared" si="160"/>
        <v>12.22050461126655</v>
      </c>
      <c r="AV120" s="95">
        <f t="shared" si="160"/>
        <v>24.576786559870147</v>
      </c>
      <c r="AW120" s="95">
        <f t="shared" si="160"/>
        <v>32.392437015460175</v>
      </c>
    </row>
  </sheetData>
  <mergeCells count="125">
    <mergeCell ref="D18:I18"/>
    <mergeCell ref="J18:O18"/>
    <mergeCell ref="D19:F19"/>
    <mergeCell ref="G19:I19"/>
    <mergeCell ref="J19:L19"/>
    <mergeCell ref="M19:O19"/>
    <mergeCell ref="D1:I1"/>
    <mergeCell ref="J1:O1"/>
    <mergeCell ref="J2:L2"/>
    <mergeCell ref="M2:O2"/>
    <mergeCell ref="D10:F10"/>
    <mergeCell ref="G10:I10"/>
    <mergeCell ref="J10:L10"/>
    <mergeCell ref="D2:F2"/>
    <mergeCell ref="G2:I2"/>
    <mergeCell ref="G26:I26"/>
    <mergeCell ref="J26:L26"/>
    <mergeCell ref="M26:O26"/>
    <mergeCell ref="D33:F33"/>
    <mergeCell ref="G33:I33"/>
    <mergeCell ref="J33:L33"/>
    <mergeCell ref="M33:O33"/>
    <mergeCell ref="B19:C19"/>
    <mergeCell ref="B26:C26"/>
    <mergeCell ref="B33:C33"/>
    <mergeCell ref="D26:F26"/>
    <mergeCell ref="B54:C54"/>
    <mergeCell ref="B61:C61"/>
    <mergeCell ref="B68:C68"/>
    <mergeCell ref="B75:C75"/>
    <mergeCell ref="B82:C82"/>
    <mergeCell ref="G40:I40"/>
    <mergeCell ref="J40:L40"/>
    <mergeCell ref="M40:O40"/>
    <mergeCell ref="B47:C47"/>
    <mergeCell ref="D47:F47"/>
    <mergeCell ref="G47:I47"/>
    <mergeCell ref="J47:L47"/>
    <mergeCell ref="M47:O47"/>
    <mergeCell ref="B40:C40"/>
    <mergeCell ref="D40:F40"/>
    <mergeCell ref="D68:F68"/>
    <mergeCell ref="G54:I54"/>
    <mergeCell ref="J54:L54"/>
    <mergeCell ref="M54:O54"/>
    <mergeCell ref="D61:F61"/>
    <mergeCell ref="G61:I61"/>
    <mergeCell ref="J61:L61"/>
    <mergeCell ref="M61:O61"/>
    <mergeCell ref="D54:F54"/>
    <mergeCell ref="AL35:AN35"/>
    <mergeCell ref="AO35:AQ35"/>
    <mergeCell ref="AR35:AT35"/>
    <mergeCell ref="B97:C97"/>
    <mergeCell ref="D97:F97"/>
    <mergeCell ref="G97:I97"/>
    <mergeCell ref="J97:L97"/>
    <mergeCell ref="M97:O97"/>
    <mergeCell ref="G82:I82"/>
    <mergeCell ref="J82:L82"/>
    <mergeCell ref="M82:O82"/>
    <mergeCell ref="B90:C90"/>
    <mergeCell ref="D90:F90"/>
    <mergeCell ref="G90:I90"/>
    <mergeCell ref="J90:L90"/>
    <mergeCell ref="M90:O90"/>
    <mergeCell ref="D82:F82"/>
    <mergeCell ref="G68:I68"/>
    <mergeCell ref="J68:L68"/>
    <mergeCell ref="M68:O68"/>
    <mergeCell ref="D75:F75"/>
    <mergeCell ref="G75:I75"/>
    <mergeCell ref="J75:L75"/>
    <mergeCell ref="M75:O75"/>
    <mergeCell ref="AL55:AN55"/>
    <mergeCell ref="AO55:AQ55"/>
    <mergeCell ref="AR55:AT55"/>
    <mergeCell ref="AZ36:BB36"/>
    <mergeCell ref="BC36:BE36"/>
    <mergeCell ref="BF36:BH36"/>
    <mergeCell ref="BI36:BK36"/>
    <mergeCell ref="BC2:BE2"/>
    <mergeCell ref="BF2:BH2"/>
    <mergeCell ref="BI2:BK2"/>
    <mergeCell ref="AL45:AN45"/>
    <mergeCell ref="AO45:AQ45"/>
    <mergeCell ref="AR45:AT45"/>
    <mergeCell ref="AZ35:BE35"/>
    <mergeCell ref="BF35:BK35"/>
    <mergeCell ref="BC22:BE22"/>
    <mergeCell ref="BF22:BH22"/>
    <mergeCell ref="BI22:BK22"/>
    <mergeCell ref="BC12:BE12"/>
    <mergeCell ref="BF12:BH12"/>
    <mergeCell ref="BI12:BK12"/>
    <mergeCell ref="AV2:BA2"/>
    <mergeCell ref="AV12:BA12"/>
    <mergeCell ref="AV22:BA22"/>
    <mergeCell ref="AH79:AH81"/>
    <mergeCell ref="AH73:AH75"/>
    <mergeCell ref="AH76:AH78"/>
    <mergeCell ref="AK69:AP69"/>
    <mergeCell ref="AQ69:AV69"/>
    <mergeCell ref="AK70:AM70"/>
    <mergeCell ref="AN70:AP70"/>
    <mergeCell ref="AQ70:AS70"/>
    <mergeCell ref="AT70:AV70"/>
    <mergeCell ref="AK87:AP87"/>
    <mergeCell ref="AQ87:AV87"/>
    <mergeCell ref="AK88:AM88"/>
    <mergeCell ref="AN88:AP88"/>
    <mergeCell ref="AQ88:AS88"/>
    <mergeCell ref="AT88:AV88"/>
    <mergeCell ref="AH91:AH93"/>
    <mergeCell ref="AH94:AH96"/>
    <mergeCell ref="AH97:AH99"/>
    <mergeCell ref="AH109:AH111"/>
    <mergeCell ref="AH112:AH114"/>
    <mergeCell ref="AH115:AH117"/>
    <mergeCell ref="AK105:AP105"/>
    <mergeCell ref="AQ105:AV105"/>
    <mergeCell ref="AK106:AM106"/>
    <mergeCell ref="AN106:AP106"/>
    <mergeCell ref="AQ106:AS106"/>
    <mergeCell ref="AT106:AV106"/>
  </mergeCells>
  <pageMargins left="0.7" right="0.7" top="0.75" bottom="0.75" header="0.3" footer="0.3"/>
  <pageSetup orientation="portrait" r:id="rId1"/>
  <ignoredErrors>
    <ignoredError sqref="AS37" formula="1"/>
    <ignoredError sqref="AK108:AW108 AJ72:AW83" formulaRange="1"/>
  </ignoredError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9CA08-5D98-4289-ADCB-64256AB0F156}">
  <dimension ref="A1:BI37"/>
  <sheetViews>
    <sheetView workbookViewId="0"/>
  </sheetViews>
  <sheetFormatPr defaultRowHeight="15" x14ac:dyDescent="0.25"/>
  <cols>
    <col min="2" max="2" width="13.7109375" customWidth="1"/>
    <col min="3" max="3" width="12.140625" customWidth="1"/>
    <col min="4" max="4" width="12.28515625" customWidth="1"/>
    <col min="5" max="5" width="12.140625" customWidth="1"/>
    <col min="6" max="6" width="12.28515625" customWidth="1"/>
    <col min="7" max="7" width="13" customWidth="1"/>
    <col min="26" max="26" width="19.140625" customWidth="1"/>
    <col min="27" max="27" width="15.7109375" customWidth="1"/>
    <col min="28" max="28" width="17.5703125" customWidth="1"/>
    <col min="35" max="35" width="17" customWidth="1"/>
    <col min="36" max="36" width="15.42578125" customWidth="1"/>
    <col min="37" max="37" width="16.28515625" customWidth="1"/>
    <col min="44" max="44" width="15.5703125" customWidth="1"/>
    <col min="45" max="45" width="16.7109375" customWidth="1"/>
    <col min="46" max="46" width="18.28515625" customWidth="1"/>
    <col min="53" max="57" width="12.7109375" bestFit="1" customWidth="1"/>
    <col min="58" max="58" width="13.7109375" bestFit="1" customWidth="1"/>
  </cols>
  <sheetData>
    <row r="1" spans="1:58" x14ac:dyDescent="0.25">
      <c r="T1" s="124" t="s">
        <v>51</v>
      </c>
      <c r="U1" s="124"/>
      <c r="V1" s="124"/>
      <c r="W1" s="124"/>
      <c r="X1" s="124"/>
      <c r="Y1" s="124"/>
      <c r="AC1" s="124" t="s">
        <v>55</v>
      </c>
      <c r="AD1" s="124"/>
      <c r="AE1" s="124"/>
      <c r="AF1" s="124"/>
      <c r="AG1" s="124"/>
      <c r="AH1" s="124"/>
      <c r="AL1" s="124" t="s">
        <v>58</v>
      </c>
      <c r="AM1" s="124"/>
      <c r="AN1" s="124"/>
      <c r="AO1" s="124"/>
      <c r="AP1" s="124"/>
      <c r="AQ1" s="124"/>
      <c r="BA1" s="123" t="s">
        <v>63</v>
      </c>
      <c r="BB1" s="121"/>
      <c r="BC1" s="121"/>
      <c r="BD1" s="121"/>
      <c r="BE1" s="121"/>
      <c r="BF1" s="122"/>
    </row>
    <row r="2" spans="1:58" x14ac:dyDescent="0.25">
      <c r="A2" s="31" t="s">
        <v>0</v>
      </c>
      <c r="B2" s="50" t="s">
        <v>46</v>
      </c>
      <c r="C2" s="47" t="s">
        <v>45</v>
      </c>
      <c r="D2" s="32" t="s">
        <v>47</v>
      </c>
      <c r="E2" s="32" t="s">
        <v>1</v>
      </c>
      <c r="F2" s="32" t="s">
        <v>2</v>
      </c>
      <c r="G2" s="32" t="s">
        <v>3</v>
      </c>
      <c r="H2" s="31" t="s">
        <v>4</v>
      </c>
      <c r="I2" s="32" t="s">
        <v>5</v>
      </c>
      <c r="J2" s="32" t="s">
        <v>6</v>
      </c>
      <c r="K2" s="32" t="s">
        <v>7</v>
      </c>
      <c r="L2" s="32" t="s">
        <v>8</v>
      </c>
      <c r="M2" s="32" t="s">
        <v>9</v>
      </c>
      <c r="N2" s="31" t="s">
        <v>33</v>
      </c>
      <c r="O2" s="32" t="s">
        <v>34</v>
      </c>
      <c r="P2" s="32" t="s">
        <v>35</v>
      </c>
      <c r="Q2" s="32" t="s">
        <v>36</v>
      </c>
      <c r="R2" s="32" t="s">
        <v>37</v>
      </c>
      <c r="S2" s="33" t="s">
        <v>38</v>
      </c>
      <c r="T2" s="31" t="s">
        <v>21</v>
      </c>
      <c r="U2" s="32" t="s">
        <v>20</v>
      </c>
      <c r="V2" s="32" t="s">
        <v>19</v>
      </c>
      <c r="W2" s="32" t="s">
        <v>18</v>
      </c>
      <c r="X2" s="32" t="s">
        <v>17</v>
      </c>
      <c r="Y2" s="33" t="s">
        <v>16</v>
      </c>
      <c r="Z2" s="1" t="s">
        <v>52</v>
      </c>
      <c r="AA2" s="1" t="s">
        <v>53</v>
      </c>
      <c r="AB2" s="1" t="s">
        <v>54</v>
      </c>
      <c r="AC2" s="31" t="s">
        <v>21</v>
      </c>
      <c r="AD2" s="32" t="s">
        <v>20</v>
      </c>
      <c r="AE2" s="32" t="s">
        <v>19</v>
      </c>
      <c r="AF2" s="32" t="s">
        <v>18</v>
      </c>
      <c r="AG2" s="32" t="s">
        <v>17</v>
      </c>
      <c r="AH2" s="33" t="s">
        <v>16</v>
      </c>
      <c r="AI2" s="1" t="s">
        <v>56</v>
      </c>
      <c r="AJ2" t="s">
        <v>57</v>
      </c>
      <c r="AK2" s="1" t="s">
        <v>62</v>
      </c>
      <c r="AL2" s="31" t="s">
        <v>21</v>
      </c>
      <c r="AM2" s="32" t="s">
        <v>20</v>
      </c>
      <c r="AN2" s="32" t="s">
        <v>19</v>
      </c>
      <c r="AO2" s="32" t="s">
        <v>18</v>
      </c>
      <c r="AP2" s="32" t="s">
        <v>17</v>
      </c>
      <c r="AQ2" s="33" t="s">
        <v>16</v>
      </c>
      <c r="AR2" s="1" t="s">
        <v>59</v>
      </c>
      <c r="AS2" s="1" t="s">
        <v>60</v>
      </c>
      <c r="AT2" s="1" t="s">
        <v>61</v>
      </c>
      <c r="AU2" t="s">
        <v>10</v>
      </c>
      <c r="AV2" t="s">
        <v>11</v>
      </c>
      <c r="AW2" t="s">
        <v>12</v>
      </c>
      <c r="AX2" t="s">
        <v>13</v>
      </c>
      <c r="AY2" t="s">
        <v>14</v>
      </c>
      <c r="AZ2" t="s">
        <v>15</v>
      </c>
      <c r="BA2" s="31" t="s">
        <v>21</v>
      </c>
      <c r="BB2" s="32" t="s">
        <v>20</v>
      </c>
      <c r="BC2" s="32" t="s">
        <v>19</v>
      </c>
      <c r="BD2" s="32" t="s">
        <v>18</v>
      </c>
      <c r="BE2" s="32" t="s">
        <v>17</v>
      </c>
      <c r="BF2" s="33" t="s">
        <v>16</v>
      </c>
    </row>
    <row r="3" spans="1:58" x14ac:dyDescent="0.25">
      <c r="A3" s="34">
        <v>167</v>
      </c>
      <c r="B3" s="51">
        <v>128</v>
      </c>
      <c r="C3" s="48">
        <v>195</v>
      </c>
      <c r="D3" s="2">
        <v>7</v>
      </c>
      <c r="E3" s="27">
        <v>0.104819100180613</v>
      </c>
      <c r="F3" s="27">
        <v>3.3154403752457901E-2</v>
      </c>
      <c r="G3" s="27">
        <v>2.2914216154744201E-2</v>
      </c>
      <c r="H3" s="30">
        <v>6</v>
      </c>
      <c r="I3" s="8">
        <v>16</v>
      </c>
      <c r="J3" s="8">
        <v>96</v>
      </c>
      <c r="K3" s="8">
        <v>264</v>
      </c>
      <c r="L3" s="8">
        <v>604</v>
      </c>
      <c r="M3" s="8">
        <v>978</v>
      </c>
      <c r="N3" s="20">
        <f>H3/$D3</f>
        <v>0.8571428571428571</v>
      </c>
      <c r="O3" s="10">
        <f t="shared" ref="O3:S18" si="0">I3/$D3</f>
        <v>2.2857142857142856</v>
      </c>
      <c r="P3" s="10">
        <f t="shared" si="0"/>
        <v>13.714285714285714</v>
      </c>
      <c r="Q3" s="10">
        <f t="shared" si="0"/>
        <v>37.714285714285715</v>
      </c>
      <c r="R3" s="10">
        <f t="shared" si="0"/>
        <v>86.285714285714292</v>
      </c>
      <c r="S3" s="22">
        <f t="shared" si="0"/>
        <v>139.71428571428572</v>
      </c>
      <c r="T3" s="20">
        <f>N3*$E3</f>
        <v>8.984494301195399E-2</v>
      </c>
      <c r="U3" s="10">
        <f t="shared" ref="U3:Y18" si="1">O3*$E3</f>
        <v>0.23958651469854397</v>
      </c>
      <c r="V3" s="10">
        <f t="shared" si="1"/>
        <v>1.4375190881912638</v>
      </c>
      <c r="W3" s="10">
        <f>Q3*$E3</f>
        <v>3.9531774925259757</v>
      </c>
      <c r="X3" s="10">
        <f t="shared" si="1"/>
        <v>9.0443909298700369</v>
      </c>
      <c r="Y3" s="22">
        <f t="shared" si="1"/>
        <v>14.644725710948503</v>
      </c>
      <c r="Z3" s="4">
        <f t="shared" ref="Z3:Z23" si="2">E3/G3</f>
        <v>4.5744135200937714</v>
      </c>
      <c r="AA3" s="9">
        <f>E3/F3</f>
        <v>3.1615438167197394</v>
      </c>
      <c r="AB3" s="4">
        <f>G3/F3</f>
        <v>0.69113642717961588</v>
      </c>
      <c r="AC3" s="59">
        <f>N3*$G3</f>
        <v>1.9640756704066457E-2</v>
      </c>
      <c r="AD3" s="60">
        <f t="shared" ref="AD3:AH18" si="3">O3*$G3</f>
        <v>5.2375351210843885E-2</v>
      </c>
      <c r="AE3" s="60">
        <f t="shared" si="3"/>
        <v>0.31425210726506331</v>
      </c>
      <c r="AF3" s="60">
        <f t="shared" si="3"/>
        <v>0.86419329497892416</v>
      </c>
      <c r="AG3" s="60">
        <f t="shared" si="3"/>
        <v>1.977169508209357</v>
      </c>
      <c r="AH3" s="61">
        <f t="shared" si="3"/>
        <v>3.201443342762833</v>
      </c>
      <c r="AI3" s="58">
        <f>E3*G3</f>
        <v>2.4018475186843532E-3</v>
      </c>
      <c r="AJ3" s="58">
        <f>E3*F3</f>
        <v>3.4752147683573759E-3</v>
      </c>
      <c r="AK3" s="58">
        <f>G3*F3</f>
        <v>7.597071740654826E-4</v>
      </c>
      <c r="AL3" s="59">
        <f>N3*$F3</f>
        <v>2.8418060359249629E-2</v>
      </c>
      <c r="AM3" s="60">
        <f t="shared" ref="AM3:AQ3" si="4">O3*$F3</f>
        <v>7.5781494291332338E-2</v>
      </c>
      <c r="AN3" s="60">
        <f t="shared" si="4"/>
        <v>0.45468896574799406</v>
      </c>
      <c r="AO3" s="60">
        <f t="shared" si="4"/>
        <v>1.2503946558069836</v>
      </c>
      <c r="AP3" s="60">
        <f t="shared" si="4"/>
        <v>2.8607514094977962</v>
      </c>
      <c r="AQ3" s="61">
        <f t="shared" si="4"/>
        <v>4.6321438385576901</v>
      </c>
      <c r="AR3" s="9">
        <f>G3/E3</f>
        <v>0.21860725874636291</v>
      </c>
      <c r="AS3" s="9">
        <f>F3/E3</f>
        <v>0.31630116739534875</v>
      </c>
      <c r="AT3" s="9">
        <f>F3/G3</f>
        <v>1.4468923365547266</v>
      </c>
      <c r="AU3" s="10">
        <v>6.4069250048013796E-2</v>
      </c>
      <c r="AV3" s="10">
        <v>0.17940701762775299</v>
      </c>
      <c r="AW3" s="10">
        <v>0.59727911911144405</v>
      </c>
      <c r="AX3" s="10">
        <v>2.1218818406845701</v>
      </c>
      <c r="AY3" s="10">
        <v>8.4875273627382803</v>
      </c>
      <c r="AZ3" s="10">
        <v>33.9501094509531</v>
      </c>
      <c r="BA3" s="46">
        <f>AU3*AL3</f>
        <v>1.8207238150363132E-3</v>
      </c>
      <c r="BB3" s="58">
        <f t="shared" ref="BB3:BF3" si="5">AV3*AM3</f>
        <v>1.3595731882182523E-2</v>
      </c>
      <c r="BC3" s="58">
        <f t="shared" si="5"/>
        <v>0.27157622493165545</v>
      </c>
      <c r="BD3" s="58">
        <f t="shared" si="5"/>
        <v>2.653189713845872</v>
      </c>
      <c r="BE3" s="58">
        <f t="shared" si="5"/>
        <v>24.280705866104647</v>
      </c>
      <c r="BF3" s="62">
        <f t="shared" si="5"/>
        <v>157.2617903115916</v>
      </c>
    </row>
    <row r="4" spans="1:58" x14ac:dyDescent="0.25">
      <c r="A4" s="34">
        <v>6</v>
      </c>
      <c r="B4" s="51">
        <v>128</v>
      </c>
      <c r="C4" s="48">
        <v>150</v>
      </c>
      <c r="D4" s="2">
        <v>10</v>
      </c>
      <c r="E4" s="27">
        <v>5.1422303101187901E-2</v>
      </c>
      <c r="F4" s="27">
        <v>1.43345982575964E-2</v>
      </c>
      <c r="G4" s="27">
        <v>7.2966466530169603E-3</v>
      </c>
      <c r="H4" s="30">
        <v>2</v>
      </c>
      <c r="I4" s="8">
        <v>8</v>
      </c>
      <c r="J4" s="8">
        <v>65</v>
      </c>
      <c r="K4" s="8">
        <v>195</v>
      </c>
      <c r="L4" s="8">
        <v>628</v>
      </c>
      <c r="M4" s="8">
        <v>1690</v>
      </c>
      <c r="N4" s="20">
        <f t="shared" ref="N4:N21" si="6">H4/$D4</f>
        <v>0.2</v>
      </c>
      <c r="O4" s="10">
        <f t="shared" si="0"/>
        <v>0.8</v>
      </c>
      <c r="P4" s="10">
        <f t="shared" si="0"/>
        <v>6.5</v>
      </c>
      <c r="Q4" s="10">
        <f t="shared" si="0"/>
        <v>19.5</v>
      </c>
      <c r="R4" s="10">
        <f t="shared" si="0"/>
        <v>62.8</v>
      </c>
      <c r="S4" s="22">
        <f t="shared" si="0"/>
        <v>169</v>
      </c>
      <c r="T4" s="20">
        <f t="shared" ref="T4:T21" si="7">N4*$E4</f>
        <v>1.0284460620237581E-2</v>
      </c>
      <c r="U4" s="10">
        <f t="shared" si="1"/>
        <v>4.1137842480950322E-2</v>
      </c>
      <c r="V4" s="10">
        <f t="shared" si="1"/>
        <v>0.33424497015772137</v>
      </c>
      <c r="W4" s="10">
        <f t="shared" si="1"/>
        <v>1.002734910473164</v>
      </c>
      <c r="X4" s="10">
        <f t="shared" si="1"/>
        <v>3.2293206347546</v>
      </c>
      <c r="Y4" s="22">
        <f t="shared" si="1"/>
        <v>8.6903692241007544</v>
      </c>
      <c r="Z4" s="4">
        <f t="shared" si="2"/>
        <v>7.0473884164208789</v>
      </c>
      <c r="AA4" s="9">
        <f t="shared" ref="AA4:AA23" si="8">E4/F4</f>
        <v>3.5872859620559958</v>
      </c>
      <c r="AB4" s="4">
        <f t="shared" ref="AB4:AB23" si="9">G4/F4</f>
        <v>0.50902344955152234</v>
      </c>
      <c r="AC4" s="53">
        <f t="shared" ref="AC4:AC21" si="10">N4*$G4</f>
        <v>1.4593293306033922E-3</v>
      </c>
      <c r="AD4">
        <f t="shared" si="3"/>
        <v>5.8373173224135688E-3</v>
      </c>
      <c r="AE4">
        <f t="shared" si="3"/>
        <v>4.7428203244610244E-2</v>
      </c>
      <c r="AF4">
        <f t="shared" si="3"/>
        <v>0.14228460973383072</v>
      </c>
      <c r="AG4">
        <f t="shared" si="3"/>
        <v>0.45822940980946508</v>
      </c>
      <c r="AH4" s="54">
        <f t="shared" si="3"/>
        <v>1.2331332843598664</v>
      </c>
      <c r="AI4" s="58">
        <f t="shared" ref="AI4:AI23" si="11">E4*G4</f>
        <v>3.7521037581370633E-4</v>
      </c>
      <c r="AJ4" s="58">
        <f t="shared" ref="AJ4:AJ23" si="12">E4*F4</f>
        <v>7.3711805643588205E-4</v>
      </c>
      <c r="AK4" s="58">
        <f t="shared" ref="AK4:AK23" si="13">G4*F4</f>
        <v>1.0459449839863352E-4</v>
      </c>
      <c r="AL4" s="53">
        <f>N4*$F4</f>
        <v>2.8669196515192803E-3</v>
      </c>
      <c r="AM4">
        <f t="shared" ref="AM4:AQ19" si="14">O4*$F4</f>
        <v>1.1467678606077121E-2</v>
      </c>
      <c r="AN4">
        <f t="shared" si="14"/>
        <v>9.3174888674376594E-2</v>
      </c>
      <c r="AO4">
        <f t="shared" si="14"/>
        <v>0.27952466602312981</v>
      </c>
      <c r="AP4">
        <f t="shared" si="14"/>
        <v>0.90021277057705384</v>
      </c>
      <c r="AQ4" s="54">
        <f t="shared" si="14"/>
        <v>2.4225471055337917</v>
      </c>
      <c r="AR4" s="9">
        <f t="shared" ref="AR4:AR23" si="15">G4/E4</f>
        <v>0.14189653541302394</v>
      </c>
      <c r="AS4" s="9">
        <f t="shared" ref="AS4:AS23" si="16">F4/E4</f>
        <v>0.27876227615455168</v>
      </c>
      <c r="AT4" s="9">
        <f t="shared" ref="AT4:AT23" si="17">F4/G4</f>
        <v>1.9645460359067055</v>
      </c>
      <c r="AU4" s="10">
        <v>5.1422303616638097E-2</v>
      </c>
      <c r="AV4" s="10">
        <v>0.136504884052633</v>
      </c>
      <c r="AW4" s="10">
        <v>0.26754282688021702</v>
      </c>
      <c r="AX4" s="10">
        <v>0.98750358289623297</v>
      </c>
      <c r="AY4" s="10">
        <v>3.6696571758817198</v>
      </c>
      <c r="AZ4" s="10">
        <v>14.678628703526799</v>
      </c>
      <c r="BA4" s="46">
        <f t="shared" ref="BA4:BA21" si="18">AU4*AL4</f>
        <v>1.4742361276493072E-4</v>
      </c>
      <c r="BB4" s="58">
        <f t="shared" ref="BB4:BB21" si="19">AV4*AM4</f>
        <v>1.5653941384754174E-3</v>
      </c>
      <c r="BC4" s="58">
        <f t="shared" ref="BC4:BC23" si="20">AW4*AN4</f>
        <v>2.4928273110192231E-2</v>
      </c>
      <c r="BD4" s="58">
        <f t="shared" ref="BD4:BD23" si="21">AX4*AO4</f>
        <v>0.27603160920571362</v>
      </c>
      <c r="BE4" s="58">
        <f t="shared" ref="BE4:BE23" si="22">AY4*AP4</f>
        <v>3.30347225336845</v>
      </c>
      <c r="BF4" s="62">
        <f t="shared" ref="BF4:BF23" si="23">AZ4*AQ4</f>
        <v>35.559669478934083</v>
      </c>
    </row>
    <row r="5" spans="1:58" x14ac:dyDescent="0.25">
      <c r="A5" s="34">
        <v>150</v>
      </c>
      <c r="B5" s="51">
        <v>90</v>
      </c>
      <c r="C5" s="48">
        <v>108.42</v>
      </c>
      <c r="D5" s="2">
        <v>5</v>
      </c>
      <c r="E5" s="27">
        <v>4.68499378365069E-2</v>
      </c>
      <c r="F5" s="27">
        <v>1.9737041545963101E-2</v>
      </c>
      <c r="G5" s="27">
        <v>1.1301251811562101E-2</v>
      </c>
      <c r="H5" s="30">
        <v>2</v>
      </c>
      <c r="I5" s="8">
        <v>16</v>
      </c>
      <c r="J5" s="8">
        <v>41</v>
      </c>
      <c r="K5" s="8">
        <v>139</v>
      </c>
      <c r="L5" s="8">
        <v>414</v>
      </c>
      <c r="M5" s="8">
        <v>882</v>
      </c>
      <c r="N5" s="20">
        <f t="shared" si="6"/>
        <v>0.4</v>
      </c>
      <c r="O5" s="10">
        <f t="shared" si="0"/>
        <v>3.2</v>
      </c>
      <c r="P5" s="10">
        <f t="shared" si="0"/>
        <v>8.1999999999999993</v>
      </c>
      <c r="Q5" s="10">
        <f t="shared" si="0"/>
        <v>27.8</v>
      </c>
      <c r="R5" s="10">
        <f t="shared" si="0"/>
        <v>82.8</v>
      </c>
      <c r="S5" s="22">
        <f t="shared" si="0"/>
        <v>176.4</v>
      </c>
      <c r="T5" s="20">
        <f t="shared" si="7"/>
        <v>1.8739975134602762E-2</v>
      </c>
      <c r="U5" s="10">
        <f t="shared" si="1"/>
        <v>0.1499198010768221</v>
      </c>
      <c r="V5" s="10">
        <f t="shared" si="1"/>
        <v>0.38416949025935654</v>
      </c>
      <c r="W5" s="10">
        <f t="shared" si="1"/>
        <v>1.3024282718548919</v>
      </c>
      <c r="X5" s="10">
        <f t="shared" si="1"/>
        <v>3.879174852862771</v>
      </c>
      <c r="Y5" s="22">
        <f t="shared" si="1"/>
        <v>8.2643290343598181</v>
      </c>
      <c r="Z5" s="4">
        <f t="shared" si="2"/>
        <v>4.1455529544590446</v>
      </c>
      <c r="AA5" s="9">
        <f t="shared" si="8"/>
        <v>2.3737061974259923</v>
      </c>
      <c r="AB5" s="4">
        <f t="shared" si="9"/>
        <v>0.57259097242330081</v>
      </c>
      <c r="AC5" s="53">
        <f t="shared" si="10"/>
        <v>4.5205007246248404E-3</v>
      </c>
      <c r="AD5">
        <f t="shared" si="3"/>
        <v>3.6164005796998723E-2</v>
      </c>
      <c r="AE5">
        <f t="shared" si="3"/>
        <v>9.2670264854809212E-2</v>
      </c>
      <c r="AF5">
        <f t="shared" si="3"/>
        <v>0.31417480036142642</v>
      </c>
      <c r="AG5">
        <f t="shared" si="3"/>
        <v>0.93574364999734194</v>
      </c>
      <c r="AH5" s="54">
        <f t="shared" si="3"/>
        <v>1.9935408195595545</v>
      </c>
      <c r="AI5" s="58">
        <f t="shared" si="11"/>
        <v>5.2946294484639543E-4</v>
      </c>
      <c r="AJ5" s="58">
        <f t="shared" si="12"/>
        <v>9.2467916950492537E-4</v>
      </c>
      <c r="AK5" s="58">
        <f t="shared" si="13"/>
        <v>2.2305327652619194E-4</v>
      </c>
      <c r="AL5" s="53">
        <f t="shared" ref="AL5:AL21" si="24">N5*$F5</f>
        <v>7.8948166183852413E-3</v>
      </c>
      <c r="AM5">
        <f t="shared" si="14"/>
        <v>6.315853294708193E-2</v>
      </c>
      <c r="AN5">
        <f t="shared" si="14"/>
        <v>0.16184374067689741</v>
      </c>
      <c r="AO5">
        <f t="shared" si="14"/>
        <v>0.54868975497777428</v>
      </c>
      <c r="AP5">
        <f t="shared" si="14"/>
        <v>1.6342270400057448</v>
      </c>
      <c r="AQ5" s="54">
        <f t="shared" si="14"/>
        <v>3.481614128707891</v>
      </c>
      <c r="AR5" s="9">
        <f t="shared" si="15"/>
        <v>0.24122234379478344</v>
      </c>
      <c r="AS5" s="9">
        <f t="shared" si="16"/>
        <v>0.42128212880110583</v>
      </c>
      <c r="AT5" s="9">
        <f t="shared" si="17"/>
        <v>1.7464473737122201</v>
      </c>
      <c r="AU5" s="10">
        <v>4.6849938207403699E-2</v>
      </c>
      <c r="AV5" s="10">
        <v>0.12535462962986799</v>
      </c>
      <c r="AW5" s="10">
        <v>0.44063655773576799</v>
      </c>
      <c r="AX5" s="10">
        <v>1.4715502319528799</v>
      </c>
      <c r="AY5" s="10">
        <v>5.0526826474058097</v>
      </c>
      <c r="AZ5" s="10">
        <v>20.2107305896232</v>
      </c>
      <c r="BA5" s="46">
        <f t="shared" si="18"/>
        <v>3.6987167073013237E-4</v>
      </c>
      <c r="BB5" s="58">
        <f t="shared" si="19"/>
        <v>7.9172145055472695E-3</v>
      </c>
      <c r="BC5" s="58">
        <f t="shared" si="20"/>
        <v>7.1314268782948373E-2</v>
      </c>
      <c r="BD5" s="58">
        <f t="shared" si="21"/>
        <v>0.8074245362077126</v>
      </c>
      <c r="BE5" s="58">
        <f t="shared" si="22"/>
        <v>8.2572306069583874</v>
      </c>
      <c r="BF5" s="62">
        <f t="shared" si="23"/>
        <v>70.365965172340893</v>
      </c>
    </row>
    <row r="6" spans="1:58" x14ac:dyDescent="0.25">
      <c r="A6" s="34">
        <v>11</v>
      </c>
      <c r="B6" s="51">
        <v>90</v>
      </c>
      <c r="C6" s="48">
        <v>127.22</v>
      </c>
      <c r="D6" s="2">
        <v>8</v>
      </c>
      <c r="E6" s="27">
        <v>5.1754391722476999E-2</v>
      </c>
      <c r="F6" s="27">
        <v>2.3629413923689099E-2</v>
      </c>
      <c r="G6" s="27">
        <v>3.0143536797057099E-2</v>
      </c>
      <c r="H6" s="30">
        <v>6</v>
      </c>
      <c r="I6" s="8">
        <v>29</v>
      </c>
      <c r="J6" s="8">
        <v>102</v>
      </c>
      <c r="K6" s="8">
        <v>246</v>
      </c>
      <c r="L6" s="8">
        <v>493</v>
      </c>
      <c r="M6" s="8">
        <v>1329</v>
      </c>
      <c r="N6" s="20">
        <f t="shared" si="6"/>
        <v>0.75</v>
      </c>
      <c r="O6" s="10">
        <f t="shared" si="0"/>
        <v>3.625</v>
      </c>
      <c r="P6" s="10">
        <f t="shared" si="0"/>
        <v>12.75</v>
      </c>
      <c r="Q6" s="10">
        <f t="shared" si="0"/>
        <v>30.75</v>
      </c>
      <c r="R6" s="10">
        <f t="shared" si="0"/>
        <v>61.625</v>
      </c>
      <c r="S6" s="22">
        <f t="shared" si="0"/>
        <v>166.125</v>
      </c>
      <c r="T6" s="20">
        <f t="shared" si="7"/>
        <v>3.8815793791857747E-2</v>
      </c>
      <c r="U6" s="10">
        <f t="shared" si="1"/>
        <v>0.18760966999397913</v>
      </c>
      <c r="V6" s="10">
        <f t="shared" si="1"/>
        <v>0.65986849446158169</v>
      </c>
      <c r="W6" s="10">
        <f t="shared" si="1"/>
        <v>1.5914475454661676</v>
      </c>
      <c r="X6" s="10">
        <f t="shared" si="1"/>
        <v>3.1893643898976451</v>
      </c>
      <c r="Y6" s="22">
        <f t="shared" si="1"/>
        <v>8.5976983248964913</v>
      </c>
      <c r="Z6" s="4">
        <f t="shared" si="2"/>
        <v>1.7169316285250826</v>
      </c>
      <c r="AA6" s="9">
        <f t="shared" si="8"/>
        <v>2.1902528725264694</v>
      </c>
      <c r="AB6" s="4">
        <f t="shared" si="9"/>
        <v>1.2756785629303071</v>
      </c>
      <c r="AC6" s="53">
        <f t="shared" si="10"/>
        <v>2.2607652597792825E-2</v>
      </c>
      <c r="AD6">
        <f t="shared" si="3"/>
        <v>0.10927032088933199</v>
      </c>
      <c r="AE6">
        <f t="shared" si="3"/>
        <v>0.38433009416247804</v>
      </c>
      <c r="AF6">
        <f t="shared" si="3"/>
        <v>0.9269137565095058</v>
      </c>
      <c r="AG6">
        <f t="shared" si="3"/>
        <v>1.8575954551186438</v>
      </c>
      <c r="AH6" s="54">
        <f t="shared" si="3"/>
        <v>5.0075950504111111</v>
      </c>
      <c r="AI6" s="58">
        <f t="shared" si="11"/>
        <v>1.5600604112957928E-3</v>
      </c>
      <c r="AJ6" s="58">
        <f t="shared" si="12"/>
        <v>1.2229259443791579E-3</v>
      </c>
      <c r="AK6" s="58">
        <f t="shared" si="13"/>
        <v>7.122741081016157E-4</v>
      </c>
      <c r="AL6" s="53">
        <f t="shared" si="24"/>
        <v>1.7722060442766824E-2</v>
      </c>
      <c r="AM6">
        <f t="shared" si="14"/>
        <v>8.565662547337298E-2</v>
      </c>
      <c r="AN6">
        <f t="shared" si="14"/>
        <v>0.301275027527036</v>
      </c>
      <c r="AO6">
        <f t="shared" si="14"/>
        <v>0.72660447815343976</v>
      </c>
      <c r="AP6">
        <f t="shared" si="14"/>
        <v>1.4561626330473407</v>
      </c>
      <c r="AQ6" s="54">
        <f t="shared" si="14"/>
        <v>3.9254363880728516</v>
      </c>
      <c r="AR6" s="9">
        <f t="shared" si="15"/>
        <v>0.5824343750129658</v>
      </c>
      <c r="AS6" s="9">
        <f t="shared" si="16"/>
        <v>0.45656828603835786</v>
      </c>
      <c r="AT6" s="9">
        <f t="shared" si="17"/>
        <v>0.78389653088074351</v>
      </c>
      <c r="AU6" s="10">
        <v>3.9406083818281298E-2</v>
      </c>
      <c r="AV6" s="10">
        <v>0.15393753693111001</v>
      </c>
      <c r="AW6" s="10">
        <v>0.46926879178815301</v>
      </c>
      <c r="AX6" s="10">
        <v>1.6679355265670801</v>
      </c>
      <c r="AY6" s="10">
        <v>6.0491299651584196</v>
      </c>
      <c r="AZ6" s="10">
        <v>24.1965198606337</v>
      </c>
      <c r="BA6" s="46">
        <f t="shared" si="18"/>
        <v>6.9835699924031681E-4</v>
      </c>
      <c r="BB6" s="58">
        <f t="shared" si="19"/>
        <v>1.3185769947201612E-2</v>
      </c>
      <c r="BC6" s="58">
        <f t="shared" si="20"/>
        <v>0.14137896816355472</v>
      </c>
      <c r="BD6" s="58">
        <f t="shared" si="21"/>
        <v>1.2119294228748561</v>
      </c>
      <c r="BE6" s="58">
        <f t="shared" si="22"/>
        <v>8.8085170177106527</v>
      </c>
      <c r="BF6" s="62">
        <f t="shared" si="23"/>
        <v>94.981899525658974</v>
      </c>
    </row>
    <row r="7" spans="1:58" x14ac:dyDescent="0.25">
      <c r="A7" s="34">
        <v>12</v>
      </c>
      <c r="B7" s="51">
        <v>64</v>
      </c>
      <c r="C7" s="48">
        <v>84.2</v>
      </c>
      <c r="D7" s="2">
        <v>3</v>
      </c>
      <c r="E7" s="27">
        <v>4.4543546788178297E-2</v>
      </c>
      <c r="F7" s="27">
        <v>2.3352349155409499E-2</v>
      </c>
      <c r="G7" s="27">
        <v>2.1759151907210301E-2</v>
      </c>
      <c r="H7" s="30">
        <v>3</v>
      </c>
      <c r="I7" s="8">
        <v>14</v>
      </c>
      <c r="J7" s="8">
        <v>41</v>
      </c>
      <c r="K7" s="8">
        <v>103</v>
      </c>
      <c r="L7" s="8">
        <v>323</v>
      </c>
      <c r="M7" s="8">
        <v>559</v>
      </c>
      <c r="N7" s="20">
        <f t="shared" si="6"/>
        <v>1</v>
      </c>
      <c r="O7" s="10">
        <f t="shared" si="0"/>
        <v>4.666666666666667</v>
      </c>
      <c r="P7" s="10">
        <f t="shared" si="0"/>
        <v>13.666666666666666</v>
      </c>
      <c r="Q7" s="10">
        <f t="shared" si="0"/>
        <v>34.333333333333336</v>
      </c>
      <c r="R7" s="10">
        <f t="shared" si="0"/>
        <v>107.66666666666667</v>
      </c>
      <c r="S7" s="22">
        <f t="shared" si="0"/>
        <v>186.33333333333334</v>
      </c>
      <c r="T7" s="20">
        <f t="shared" si="7"/>
        <v>4.4543546788178297E-2</v>
      </c>
      <c r="U7" s="10">
        <f t="shared" si="1"/>
        <v>0.20786988501149872</v>
      </c>
      <c r="V7" s="10">
        <f t="shared" si="1"/>
        <v>0.60876180610510333</v>
      </c>
      <c r="W7" s="10">
        <f t="shared" si="1"/>
        <v>1.5293284397274549</v>
      </c>
      <c r="X7" s="10">
        <f t="shared" si="1"/>
        <v>4.7958552041938631</v>
      </c>
      <c r="Y7" s="22">
        <f t="shared" si="1"/>
        <v>8.2999475515305559</v>
      </c>
      <c r="Z7" s="4">
        <f t="shared" si="2"/>
        <v>2.0471177818937862</v>
      </c>
      <c r="AA7" s="9">
        <f t="shared" si="8"/>
        <v>1.9074546415755318</v>
      </c>
      <c r="AB7" s="4">
        <f t="shared" si="9"/>
        <v>0.93177571825444638</v>
      </c>
      <c r="AC7" s="53">
        <f t="shared" si="10"/>
        <v>2.1759151907210301E-2</v>
      </c>
      <c r="AD7">
        <f t="shared" si="3"/>
        <v>0.10154270890031475</v>
      </c>
      <c r="AE7">
        <f t="shared" si="3"/>
        <v>0.29737507606520741</v>
      </c>
      <c r="AF7">
        <f t="shared" si="3"/>
        <v>0.74706421548088708</v>
      </c>
      <c r="AG7">
        <f t="shared" si="3"/>
        <v>2.3427353553429757</v>
      </c>
      <c r="AH7" s="54">
        <f t="shared" si="3"/>
        <v>4.0544553053768526</v>
      </c>
      <c r="AI7" s="58">
        <f t="shared" si="11"/>
        <v>9.6922980104990105E-4</v>
      </c>
      <c r="AJ7" s="58">
        <f t="shared" si="12"/>
        <v>1.040196457217859E-3</v>
      </c>
      <c r="AK7" s="58">
        <f t="shared" si="13"/>
        <v>5.0812731266276941E-4</v>
      </c>
      <c r="AL7" s="53">
        <f t="shared" si="24"/>
        <v>2.3352349155409499E-2</v>
      </c>
      <c r="AM7">
        <f t="shared" si="14"/>
        <v>0.108977629391911</v>
      </c>
      <c r="AN7">
        <f t="shared" si="14"/>
        <v>0.31914877179059647</v>
      </c>
      <c r="AO7">
        <f t="shared" si="14"/>
        <v>0.80176398766905954</v>
      </c>
      <c r="AP7">
        <f t="shared" si="14"/>
        <v>2.5142695923990894</v>
      </c>
      <c r="AQ7" s="54">
        <f t="shared" si="14"/>
        <v>4.3513210592913039</v>
      </c>
      <c r="AR7" s="9">
        <f t="shared" si="15"/>
        <v>0.48849167783345676</v>
      </c>
      <c r="AS7" s="9">
        <f t="shared" si="16"/>
        <v>0.52425886215255613</v>
      </c>
      <c r="AT7" s="9">
        <f t="shared" si="17"/>
        <v>1.0732196390279007</v>
      </c>
      <c r="AU7" s="10">
        <v>3.8585276164057498E-2</v>
      </c>
      <c r="AV7" s="10">
        <v>0.117415800187244</v>
      </c>
      <c r="AW7" s="10">
        <v>0.46966320074897699</v>
      </c>
      <c r="AX7" s="10">
        <v>1.4945503386105301</v>
      </c>
      <c r="AY7" s="10">
        <v>5.97820135444214</v>
      </c>
      <c r="AZ7" s="10">
        <v>23.912805417768499</v>
      </c>
      <c r="BA7" s="46">
        <f t="shared" si="18"/>
        <v>9.0105684124097045E-4</v>
      </c>
      <c r="BB7" s="58">
        <f t="shared" si="19"/>
        <v>1.279569555756015E-2</v>
      </c>
      <c r="BC7" s="58">
        <f t="shared" si="20"/>
        <v>0.14989243367427635</v>
      </c>
      <c r="BD7" s="58">
        <f t="shared" si="21"/>
        <v>1.1982766392565218</v>
      </c>
      <c r="BE7" s="58">
        <f t="shared" si="22"/>
        <v>15.030809882712923</v>
      </c>
      <c r="BF7" s="62">
        <f t="shared" si="23"/>
        <v>104.05229380107126</v>
      </c>
    </row>
    <row r="8" spans="1:58" x14ac:dyDescent="0.25">
      <c r="A8" s="34">
        <v>96</v>
      </c>
      <c r="B8" s="51">
        <v>64</v>
      </c>
      <c r="C8" s="48">
        <v>86.98</v>
      </c>
      <c r="D8" s="2">
        <v>8</v>
      </c>
      <c r="E8" s="27">
        <v>9.5639162401153693E-2</v>
      </c>
      <c r="F8" s="27">
        <v>1.9277468694701001E-2</v>
      </c>
      <c r="G8" s="27">
        <v>5.1627678565697001E-3</v>
      </c>
      <c r="H8" s="30">
        <v>3</v>
      </c>
      <c r="I8" s="8">
        <v>22</v>
      </c>
      <c r="J8" s="8">
        <v>58</v>
      </c>
      <c r="K8" s="8">
        <v>165</v>
      </c>
      <c r="L8" s="8">
        <v>559</v>
      </c>
      <c r="M8" s="8">
        <v>1384</v>
      </c>
      <c r="N8" s="20">
        <f t="shared" si="6"/>
        <v>0.375</v>
      </c>
      <c r="O8" s="10">
        <f t="shared" si="0"/>
        <v>2.75</v>
      </c>
      <c r="P8" s="10">
        <f t="shared" si="0"/>
        <v>7.25</v>
      </c>
      <c r="Q8" s="10">
        <f t="shared" si="0"/>
        <v>20.625</v>
      </c>
      <c r="R8" s="10">
        <f t="shared" si="0"/>
        <v>69.875</v>
      </c>
      <c r="S8" s="22">
        <f t="shared" si="0"/>
        <v>173</v>
      </c>
      <c r="T8" s="20">
        <f t="shared" si="7"/>
        <v>3.5864685900432638E-2</v>
      </c>
      <c r="U8" s="10">
        <f t="shared" si="1"/>
        <v>0.26300769660317264</v>
      </c>
      <c r="V8" s="10">
        <f t="shared" si="1"/>
        <v>0.6933839274083643</v>
      </c>
      <c r="W8" s="10">
        <f t="shared" si="1"/>
        <v>1.9725577245237949</v>
      </c>
      <c r="X8" s="10">
        <f t="shared" si="1"/>
        <v>6.6827864727806139</v>
      </c>
      <c r="Y8" s="22">
        <f t="shared" si="1"/>
        <v>16.545575095399588</v>
      </c>
      <c r="Z8" s="4">
        <f t="shared" si="2"/>
        <v>18.52478458419381</v>
      </c>
      <c r="AA8" s="9">
        <f t="shared" si="8"/>
        <v>4.9611888321957451</v>
      </c>
      <c r="AB8" s="4">
        <f t="shared" si="9"/>
        <v>0.26781357751543616</v>
      </c>
      <c r="AC8" s="53">
        <f t="shared" si="10"/>
        <v>1.9360379462136377E-3</v>
      </c>
      <c r="AD8">
        <f t="shared" si="3"/>
        <v>1.4197611605566676E-2</v>
      </c>
      <c r="AE8">
        <f t="shared" si="3"/>
        <v>3.7430066960130327E-2</v>
      </c>
      <c r="AF8">
        <f t="shared" si="3"/>
        <v>0.10648208704175006</v>
      </c>
      <c r="AG8">
        <f t="shared" si="3"/>
        <v>0.36074840397780777</v>
      </c>
      <c r="AH8" s="54">
        <f t="shared" si="3"/>
        <v>0.89315883918655814</v>
      </c>
      <c r="AI8" s="58">
        <f t="shared" si="11"/>
        <v>4.9376279347392569E-4</v>
      </c>
      <c r="AJ8" s="58">
        <f t="shared" si="12"/>
        <v>1.8436809591756652E-3</v>
      </c>
      <c r="AK8" s="58">
        <f t="shared" si="13"/>
        <v>9.9525095733030979E-5</v>
      </c>
      <c r="AL8" s="53">
        <f t="shared" si="24"/>
        <v>7.2290507605128757E-3</v>
      </c>
      <c r="AM8">
        <f t="shared" si="14"/>
        <v>5.3013038910427752E-2</v>
      </c>
      <c r="AN8">
        <f t="shared" si="14"/>
        <v>0.13976164803658225</v>
      </c>
      <c r="AO8">
        <f t="shared" si="14"/>
        <v>0.39759779182820815</v>
      </c>
      <c r="AP8">
        <f t="shared" si="14"/>
        <v>1.3470131250422324</v>
      </c>
      <c r="AQ8" s="54">
        <f t="shared" si="14"/>
        <v>3.335002084183273</v>
      </c>
      <c r="AR8" s="9">
        <f t="shared" si="15"/>
        <v>5.3981734332999784E-2</v>
      </c>
      <c r="AS8" s="9">
        <f t="shared" si="16"/>
        <v>0.20156459143632627</v>
      </c>
      <c r="AT8" s="9">
        <f t="shared" si="17"/>
        <v>3.7339406361589802</v>
      </c>
      <c r="AU8" s="10">
        <v>9.5639162709086803E-2</v>
      </c>
      <c r="AV8" s="10">
        <v>0.18581760283662399</v>
      </c>
      <c r="AW8" s="10">
        <v>0.60536126077852104</v>
      </c>
      <c r="AX8" s="10">
        <v>1.2337579982911999</v>
      </c>
      <c r="AY8" s="10">
        <v>4.9350319931648103</v>
      </c>
      <c r="AZ8" s="10">
        <v>19.740127972659199</v>
      </c>
      <c r="BA8" s="46">
        <f t="shared" si="18"/>
        <v>6.913803619169386E-4</v>
      </c>
      <c r="BB8" s="58">
        <f t="shared" si="19"/>
        <v>9.8507558094203581E-3</v>
      </c>
      <c r="BC8" s="58">
        <f t="shared" si="20"/>
        <v>8.4606287463909344E-2</v>
      </c>
      <c r="BD8" s="58">
        <f t="shared" si="21"/>
        <v>0.4905394557709713</v>
      </c>
      <c r="BE8" s="58">
        <f t="shared" si="22"/>
        <v>6.6475528672963282</v>
      </c>
      <c r="BF8" s="62">
        <f t="shared" si="23"/>
        <v>65.833367930862963</v>
      </c>
    </row>
    <row r="9" spans="1:58" x14ac:dyDescent="0.25">
      <c r="A9" s="34">
        <v>107</v>
      </c>
      <c r="B9" s="51">
        <v>45</v>
      </c>
      <c r="C9" s="48">
        <v>52.94</v>
      </c>
      <c r="D9" s="2">
        <v>5</v>
      </c>
      <c r="E9" s="27">
        <v>2.7724885205644801E-2</v>
      </c>
      <c r="F9" s="27">
        <v>1.4478880481023E-2</v>
      </c>
      <c r="G9" s="27">
        <v>1.4642800293065399E-2</v>
      </c>
      <c r="H9" s="30">
        <v>1</v>
      </c>
      <c r="I9" s="8">
        <v>13</v>
      </c>
      <c r="J9" s="8">
        <v>39</v>
      </c>
      <c r="K9" s="8">
        <v>78</v>
      </c>
      <c r="L9" s="8">
        <v>345</v>
      </c>
      <c r="M9" s="8">
        <v>943</v>
      </c>
      <c r="N9" s="20">
        <f t="shared" si="6"/>
        <v>0.2</v>
      </c>
      <c r="O9" s="10">
        <f t="shared" si="0"/>
        <v>2.6</v>
      </c>
      <c r="P9" s="10">
        <f t="shared" si="0"/>
        <v>7.8</v>
      </c>
      <c r="Q9" s="10">
        <f t="shared" si="0"/>
        <v>15.6</v>
      </c>
      <c r="R9" s="10">
        <f t="shared" si="0"/>
        <v>69</v>
      </c>
      <c r="S9" s="22">
        <f t="shared" si="0"/>
        <v>188.6</v>
      </c>
      <c r="T9" s="20">
        <f t="shared" si="7"/>
        <v>5.5449770411289609E-3</v>
      </c>
      <c r="U9" s="10">
        <f t="shared" si="1"/>
        <v>7.2084701534676485E-2</v>
      </c>
      <c r="V9" s="10">
        <f t="shared" si="1"/>
        <v>0.21625410460402944</v>
      </c>
      <c r="W9" s="10">
        <f t="shared" si="1"/>
        <v>0.43250820920805888</v>
      </c>
      <c r="X9" s="10">
        <f t="shared" si="1"/>
        <v>1.9130170791894914</v>
      </c>
      <c r="Y9" s="22">
        <f t="shared" si="1"/>
        <v>5.2289133497846096</v>
      </c>
      <c r="Z9" s="4">
        <f t="shared" si="2"/>
        <v>1.8934141455698792</v>
      </c>
      <c r="AA9" s="9">
        <f t="shared" si="8"/>
        <v>1.9148500633030923</v>
      </c>
      <c r="AB9" s="4">
        <f t="shared" si="9"/>
        <v>1.011321304313358</v>
      </c>
      <c r="AC9" s="53">
        <f t="shared" si="10"/>
        <v>2.9285600586130799E-3</v>
      </c>
      <c r="AD9">
        <f t="shared" si="3"/>
        <v>3.8071280761970042E-2</v>
      </c>
      <c r="AE9">
        <f t="shared" si="3"/>
        <v>0.11421384228591011</v>
      </c>
      <c r="AF9">
        <f t="shared" si="3"/>
        <v>0.22842768457182022</v>
      </c>
      <c r="AG9">
        <f t="shared" si="3"/>
        <v>1.0103532202215126</v>
      </c>
      <c r="AH9" s="54">
        <f t="shared" si="3"/>
        <v>2.761632135272134</v>
      </c>
      <c r="AI9" s="58">
        <f t="shared" si="11"/>
        <v>4.0596995721442025E-4</v>
      </c>
      <c r="AJ9" s="58">
        <f t="shared" si="12"/>
        <v>4.0142529924261388E-4</v>
      </c>
      <c r="AK9" s="58">
        <f t="shared" si="13"/>
        <v>2.1201135535078248E-4</v>
      </c>
      <c r="AL9" s="53">
        <f t="shared" si="24"/>
        <v>2.8957760962046004E-3</v>
      </c>
      <c r="AM9">
        <f t="shared" si="14"/>
        <v>3.7645089250659805E-2</v>
      </c>
      <c r="AN9">
        <f t="shared" si="14"/>
        <v>0.1129352677519794</v>
      </c>
      <c r="AO9">
        <f t="shared" si="14"/>
        <v>0.2258705355039588</v>
      </c>
      <c r="AP9">
        <f t="shared" si="14"/>
        <v>0.999042753190587</v>
      </c>
      <c r="AQ9" s="54">
        <f t="shared" si="14"/>
        <v>2.7307168587209376</v>
      </c>
      <c r="AR9" s="9">
        <f t="shared" si="15"/>
        <v>0.52814647146254434</v>
      </c>
      <c r="AS9" s="9">
        <f t="shared" si="16"/>
        <v>0.52223410029034467</v>
      </c>
      <c r="AT9" s="9">
        <f t="shared" si="17"/>
        <v>0.98880543278869759</v>
      </c>
      <c r="AU9" s="10">
        <v>2.77248857374158E-2</v>
      </c>
      <c r="AV9" s="10">
        <v>7.8677957752448305E-2</v>
      </c>
      <c r="AW9" s="10">
        <v>0.26510584610390098</v>
      </c>
      <c r="AX9" s="10">
        <v>0.92664835919294097</v>
      </c>
      <c r="AY9" s="10">
        <v>3.7065934367717599</v>
      </c>
      <c r="AZ9" s="10">
        <v>14.826373747087001</v>
      </c>
      <c r="BA9" s="46">
        <f t="shared" si="18"/>
        <v>8.0285061388412523E-5</v>
      </c>
      <c r="BB9" s="58">
        <f t="shared" si="19"/>
        <v>2.9618387416505579E-3</v>
      </c>
      <c r="BC9" s="58">
        <f t="shared" si="20"/>
        <v>2.9939799712359102E-2</v>
      </c>
      <c r="BD9" s="58">
        <f t="shared" si="21"/>
        <v>0.20930256111477435</v>
      </c>
      <c r="BE9" s="58">
        <f t="shared" si="22"/>
        <v>3.703045312030619</v>
      </c>
      <c r="BF9" s="62">
        <f t="shared" si="23"/>
        <v>40.486628744867993</v>
      </c>
    </row>
    <row r="10" spans="1:58" x14ac:dyDescent="0.25">
      <c r="A10" s="34">
        <v>162</v>
      </c>
      <c r="B10" s="51">
        <v>45</v>
      </c>
      <c r="C10" s="48">
        <v>54.05</v>
      </c>
      <c r="D10" s="2">
        <v>10</v>
      </c>
      <c r="E10" s="27">
        <v>2.2481115003792299E-2</v>
      </c>
      <c r="F10" s="27">
        <v>9.1860908476934702E-3</v>
      </c>
      <c r="G10" s="27">
        <v>5.26397191560033E-3</v>
      </c>
      <c r="H10" s="30">
        <v>0</v>
      </c>
      <c r="I10" s="8">
        <v>8</v>
      </c>
      <c r="J10" s="8">
        <v>40</v>
      </c>
      <c r="K10" s="8">
        <v>121</v>
      </c>
      <c r="L10" s="8">
        <v>631</v>
      </c>
      <c r="M10" s="8">
        <v>1881</v>
      </c>
      <c r="N10" s="20"/>
      <c r="O10" s="10">
        <f t="shared" si="0"/>
        <v>0.8</v>
      </c>
      <c r="P10" s="10">
        <f t="shared" si="0"/>
        <v>4</v>
      </c>
      <c r="Q10" s="10">
        <f t="shared" si="0"/>
        <v>12.1</v>
      </c>
      <c r="R10" s="10">
        <f t="shared" si="0"/>
        <v>63.1</v>
      </c>
      <c r="S10" s="22">
        <f t="shared" si="0"/>
        <v>188.1</v>
      </c>
      <c r="T10" s="20"/>
      <c r="U10" s="10">
        <f t="shared" si="1"/>
        <v>1.7984892003033839E-2</v>
      </c>
      <c r="V10" s="10">
        <f t="shared" si="1"/>
        <v>8.9924460015169197E-2</v>
      </c>
      <c r="W10" s="10">
        <f t="shared" si="1"/>
        <v>0.27202149154588684</v>
      </c>
      <c r="X10" s="10">
        <f t="shared" si="1"/>
        <v>1.4185583567392941</v>
      </c>
      <c r="Y10" s="22">
        <f t="shared" si="1"/>
        <v>4.2286977322133312</v>
      </c>
      <c r="Z10" s="4">
        <f t="shared" si="2"/>
        <v>4.2707513193919535</v>
      </c>
      <c r="AA10" s="9">
        <f t="shared" si="8"/>
        <v>2.4472994417899829</v>
      </c>
      <c r="AB10" s="4">
        <f t="shared" si="9"/>
        <v>0.57303721494568682</v>
      </c>
      <c r="AC10" s="53"/>
      <c r="AD10">
        <f t="shared" si="3"/>
        <v>4.2111775324802639E-3</v>
      </c>
      <c r="AE10">
        <f t="shared" si="3"/>
        <v>2.105588766240132E-2</v>
      </c>
      <c r="AF10">
        <f t="shared" si="3"/>
        <v>6.3694060178763987E-2</v>
      </c>
      <c r="AG10">
        <f t="shared" si="3"/>
        <v>0.33215662787438083</v>
      </c>
      <c r="AH10" s="54">
        <f t="shared" si="3"/>
        <v>0.99015311732442202</v>
      </c>
      <c r="AI10" s="58">
        <f t="shared" si="11"/>
        <v>1.1833995801134387E-4</v>
      </c>
      <c r="AJ10" s="58">
        <f t="shared" si="12"/>
        <v>2.065135647822808E-4</v>
      </c>
      <c r="AK10" s="58">
        <f t="shared" si="13"/>
        <v>4.8355324236411653E-5</v>
      </c>
      <c r="AL10" s="53"/>
      <c r="AM10">
        <f t="shared" si="14"/>
        <v>7.3488726781547765E-3</v>
      </c>
      <c r="AN10">
        <f t="shared" si="14"/>
        <v>3.6744363390773881E-2</v>
      </c>
      <c r="AO10">
        <f t="shared" si="14"/>
        <v>0.11115169925709098</v>
      </c>
      <c r="AP10">
        <f t="shared" si="14"/>
        <v>0.57964233248945796</v>
      </c>
      <c r="AQ10" s="54">
        <f t="shared" si="14"/>
        <v>1.7279036884511416</v>
      </c>
      <c r="AR10" s="9">
        <f t="shared" si="15"/>
        <v>0.23415083792384675</v>
      </c>
      <c r="AS10" s="9">
        <f t="shared" si="16"/>
        <v>0.40861366734451937</v>
      </c>
      <c r="AT10" s="9">
        <f t="shared" si="17"/>
        <v>1.745087358933191</v>
      </c>
      <c r="AU10" s="10"/>
      <c r="AV10" s="10">
        <v>7.7959153032395798E-2</v>
      </c>
      <c r="AW10" s="10">
        <v>0.24135454645261201</v>
      </c>
      <c r="AX10" s="10">
        <v>0.62231226944989104</v>
      </c>
      <c r="AY10" s="10">
        <v>2.3516392566763402</v>
      </c>
      <c r="AZ10" s="10">
        <v>9.4065570267053804</v>
      </c>
      <c r="BA10" s="46"/>
      <c r="BB10" s="58">
        <f t="shared" si="19"/>
        <v>5.7291188973186062E-4</v>
      </c>
      <c r="BC10" s="58">
        <f t="shared" si="20"/>
        <v>8.8684191608701911E-3</v>
      </c>
      <c r="BD10" s="58">
        <f t="shared" si="21"/>
        <v>6.9171066217892055E-2</v>
      </c>
      <c r="BE10" s="58">
        <f t="shared" si="22"/>
        <v>1.3631096639136489</v>
      </c>
      <c r="BF10" s="62">
        <f t="shared" si="23"/>
        <v>16.253624582070231</v>
      </c>
    </row>
    <row r="11" spans="1:58" x14ac:dyDescent="0.25">
      <c r="A11" s="34">
        <v>69</v>
      </c>
      <c r="B11" s="51">
        <v>32</v>
      </c>
      <c r="C11" s="48"/>
      <c r="D11" s="2">
        <v>4</v>
      </c>
      <c r="E11" s="27">
        <v>1.0897008883362201E-2</v>
      </c>
      <c r="F11" s="27">
        <v>7.27047978157239E-3</v>
      </c>
      <c r="G11" s="27">
        <v>6.8585843273274603E-3</v>
      </c>
      <c r="H11" s="30">
        <v>0</v>
      </c>
      <c r="I11" s="8">
        <v>1</v>
      </c>
      <c r="J11" s="8">
        <v>12</v>
      </c>
      <c r="K11" s="8">
        <v>57</v>
      </c>
      <c r="L11" s="8">
        <v>275</v>
      </c>
      <c r="M11" s="8">
        <v>830</v>
      </c>
      <c r="N11" s="20"/>
      <c r="O11" s="10">
        <f t="shared" si="0"/>
        <v>0.25</v>
      </c>
      <c r="P11" s="10">
        <f t="shared" si="0"/>
        <v>3</v>
      </c>
      <c r="Q11" s="10">
        <f t="shared" si="0"/>
        <v>14.25</v>
      </c>
      <c r="R11" s="10">
        <f t="shared" si="0"/>
        <v>68.75</v>
      </c>
      <c r="S11" s="22">
        <f t="shared" si="0"/>
        <v>207.5</v>
      </c>
      <c r="T11" s="20"/>
      <c r="U11" s="10"/>
      <c r="V11" s="10">
        <f t="shared" si="1"/>
        <v>3.2691026650086601E-2</v>
      </c>
      <c r="W11" s="10">
        <f t="shared" si="1"/>
        <v>0.15528237658791136</v>
      </c>
      <c r="X11" s="10">
        <f t="shared" si="1"/>
        <v>0.74916936073115126</v>
      </c>
      <c r="Y11" s="22">
        <f t="shared" si="1"/>
        <v>2.2611293432976565</v>
      </c>
      <c r="Z11" s="4">
        <f t="shared" si="2"/>
        <v>1.5888131374202068</v>
      </c>
      <c r="AA11" s="9">
        <f t="shared" si="8"/>
        <v>1.4988018962629588</v>
      </c>
      <c r="AB11" s="4">
        <f t="shared" si="9"/>
        <v>0.9433468675218778</v>
      </c>
      <c r="AC11" s="53"/>
      <c r="AD11">
        <f t="shared" si="3"/>
        <v>1.7146460818318651E-3</v>
      </c>
      <c r="AE11">
        <f t="shared" si="3"/>
        <v>2.057575298198238E-2</v>
      </c>
      <c r="AF11">
        <f t="shared" si="3"/>
        <v>9.7734826664416311E-2</v>
      </c>
      <c r="AG11">
        <f t="shared" si="3"/>
        <v>0.47152767250376287</v>
      </c>
      <c r="AH11" s="54">
        <f t="shared" si="3"/>
        <v>1.423156247920448</v>
      </c>
      <c r="AI11" s="58">
        <f t="shared" si="11"/>
        <v>7.4738054342176106E-5</v>
      </c>
      <c r="AJ11" s="58">
        <f t="shared" si="12"/>
        <v>7.9226482766099602E-5</v>
      </c>
      <c r="AK11" s="58">
        <f t="shared" si="13"/>
        <v>4.9865198682043573E-5</v>
      </c>
      <c r="AL11" s="53"/>
      <c r="AM11">
        <f t="shared" si="14"/>
        <v>1.8176199453930975E-3</v>
      </c>
      <c r="AN11">
        <f t="shared" si="14"/>
        <v>2.181143934471717E-2</v>
      </c>
      <c r="AO11">
        <f t="shared" si="14"/>
        <v>0.10360433688740656</v>
      </c>
      <c r="AP11">
        <f t="shared" si="14"/>
        <v>0.49984548498310183</v>
      </c>
      <c r="AQ11" s="54">
        <f t="shared" si="14"/>
        <v>1.5086245546762709</v>
      </c>
      <c r="AR11" s="9">
        <f t="shared" si="15"/>
        <v>0.62940063651772382</v>
      </c>
      <c r="AS11" s="9">
        <f t="shared" si="16"/>
        <v>0.66719958287573045</v>
      </c>
      <c r="AT11" s="9">
        <f t="shared" si="17"/>
        <v>1.0600554625542427</v>
      </c>
      <c r="AU11" s="10"/>
      <c r="AV11" s="10">
        <v>4.3588035701968897E-2</v>
      </c>
      <c r="AW11" s="10">
        <v>0.13106034882425699</v>
      </c>
      <c r="AX11" s="10">
        <v>0.52424139529702896</v>
      </c>
      <c r="AY11" s="10">
        <v>1.86124282879616</v>
      </c>
      <c r="AZ11" s="10">
        <v>7.4449713151846701</v>
      </c>
      <c r="BA11" s="46"/>
      <c r="BB11" s="58"/>
      <c r="BC11" s="58">
        <f t="shared" si="20"/>
        <v>2.8586148488777556E-3</v>
      </c>
      <c r="BD11" s="58">
        <f t="shared" si="21"/>
        <v>5.431368212867746E-2</v>
      </c>
      <c r="BE11" s="58">
        <f t="shared" si="22"/>
        <v>0.93033382443093693</v>
      </c>
      <c r="BF11" s="62">
        <f t="shared" si="23"/>
        <v>11.231666534948083</v>
      </c>
    </row>
    <row r="12" spans="1:58" x14ac:dyDescent="0.25">
      <c r="A12" s="34">
        <v>85</v>
      </c>
      <c r="B12" s="51">
        <v>32</v>
      </c>
      <c r="C12" s="48">
        <v>43.73</v>
      </c>
      <c r="D12" s="2">
        <v>6</v>
      </c>
      <c r="E12" s="27">
        <v>1.13162316396569E-2</v>
      </c>
      <c r="F12" s="27">
        <v>6.77105129691932E-3</v>
      </c>
      <c r="G12" s="27">
        <v>5.0494700428746703E-3</v>
      </c>
      <c r="H12" s="30">
        <v>0</v>
      </c>
      <c r="I12" s="8">
        <v>1</v>
      </c>
      <c r="J12" s="8">
        <v>17</v>
      </c>
      <c r="K12" s="8">
        <v>76</v>
      </c>
      <c r="L12" s="8">
        <v>328</v>
      </c>
      <c r="M12" s="8">
        <v>1228</v>
      </c>
      <c r="N12" s="20"/>
      <c r="O12" s="10">
        <f t="shared" si="0"/>
        <v>0.16666666666666666</v>
      </c>
      <c r="P12" s="10">
        <f t="shared" si="0"/>
        <v>2.8333333333333335</v>
      </c>
      <c r="Q12" s="10">
        <f t="shared" si="0"/>
        <v>12.666666666666666</v>
      </c>
      <c r="R12" s="10">
        <f t="shared" si="0"/>
        <v>54.666666666666664</v>
      </c>
      <c r="S12" s="22">
        <f t="shared" si="0"/>
        <v>204.66666666666666</v>
      </c>
      <c r="T12" s="20"/>
      <c r="U12" s="10"/>
      <c r="V12" s="10">
        <f t="shared" si="1"/>
        <v>3.2062656312361215E-2</v>
      </c>
      <c r="W12" s="10">
        <f t="shared" si="1"/>
        <v>0.14333893410232074</v>
      </c>
      <c r="X12" s="10">
        <f t="shared" si="1"/>
        <v>0.61862066296791052</v>
      </c>
      <c r="Y12" s="22">
        <f t="shared" si="1"/>
        <v>2.3160554089164456</v>
      </c>
      <c r="Z12" s="4">
        <f t="shared" si="2"/>
        <v>2.2410731311546814</v>
      </c>
      <c r="AA12" s="9">
        <f t="shared" si="8"/>
        <v>1.6712665645888014</v>
      </c>
      <c r="AB12" s="4">
        <f t="shared" si="9"/>
        <v>0.7457438766077682</v>
      </c>
      <c r="AC12" s="53"/>
      <c r="AD12">
        <f t="shared" si="3"/>
        <v>8.4157834047911165E-4</v>
      </c>
      <c r="AE12">
        <f t="shared" si="3"/>
        <v>1.4306831788144901E-2</v>
      </c>
      <c r="AF12">
        <f t="shared" si="3"/>
        <v>6.3959953876412484E-2</v>
      </c>
      <c r="AG12">
        <f t="shared" si="3"/>
        <v>0.27603769567714864</v>
      </c>
      <c r="AH12" s="54">
        <f t="shared" si="3"/>
        <v>1.0334582021083492</v>
      </c>
      <c r="AI12" s="58">
        <f t="shared" si="11"/>
        <v>5.7140972662678026E-5</v>
      </c>
      <c r="AJ12" s="58">
        <f t="shared" si="12"/>
        <v>7.662278491993829E-5</v>
      </c>
      <c r="AK12" s="58">
        <f t="shared" si="13"/>
        <v>3.4190220682561793E-5</v>
      </c>
      <c r="AL12" s="53"/>
      <c r="AM12">
        <f t="shared" si="14"/>
        <v>1.1285085494865533E-3</v>
      </c>
      <c r="AN12">
        <f t="shared" si="14"/>
        <v>1.9184645341271407E-2</v>
      </c>
      <c r="AO12">
        <f t="shared" si="14"/>
        <v>8.5766649760978045E-2</v>
      </c>
      <c r="AP12">
        <f t="shared" si="14"/>
        <v>0.37015080423158947</v>
      </c>
      <c r="AQ12" s="54">
        <f t="shared" si="14"/>
        <v>1.3858084987694874</v>
      </c>
      <c r="AR12" s="9">
        <f t="shared" si="15"/>
        <v>0.44621480044462636</v>
      </c>
      <c r="AS12" s="9">
        <f t="shared" si="16"/>
        <v>0.59834859452599665</v>
      </c>
      <c r="AT12" s="9">
        <f t="shared" si="17"/>
        <v>1.3409429582563779</v>
      </c>
      <c r="AU12" s="10"/>
      <c r="AV12" s="10">
        <v>4.5264926352280903E-2</v>
      </c>
      <c r="AW12" s="10">
        <v>0.12707267062271299</v>
      </c>
      <c r="AX12" s="10">
        <v>0.43334728234498898</v>
      </c>
      <c r="AY12" s="10">
        <v>1.7333891293799499</v>
      </c>
      <c r="AZ12" s="10">
        <v>6.9335565175198299</v>
      </c>
      <c r="BA12" s="46"/>
      <c r="BB12" s="58"/>
      <c r="BC12" s="58">
        <f t="shared" si="20"/>
        <v>2.4378441184649468E-3</v>
      </c>
      <c r="BD12" s="58">
        <f t="shared" si="21"/>
        <v>3.7166744589754337E-2</v>
      </c>
      <c r="BE12" s="58">
        <f t="shared" si="22"/>
        <v>0.64161538028628318</v>
      </c>
      <c r="BF12" s="62">
        <f t="shared" si="23"/>
        <v>9.6085815486775505</v>
      </c>
    </row>
    <row r="13" spans="1:58" x14ac:dyDescent="0.25">
      <c r="A13" s="34">
        <v>165</v>
      </c>
      <c r="B13" s="51">
        <v>16</v>
      </c>
      <c r="C13" s="48"/>
      <c r="D13" s="2">
        <v>10</v>
      </c>
      <c r="E13" s="27">
        <v>1.06254875376059E-2</v>
      </c>
      <c r="F13" s="27">
        <v>5.3979442955963304E-3</v>
      </c>
      <c r="G13" s="27">
        <v>5.0606462291010196E-3</v>
      </c>
      <c r="H13" s="30">
        <v>0</v>
      </c>
      <c r="I13" s="8">
        <v>1</v>
      </c>
      <c r="J13" s="8">
        <v>11</v>
      </c>
      <c r="K13" s="8">
        <v>62</v>
      </c>
      <c r="L13" s="8">
        <v>607</v>
      </c>
      <c r="M13" s="8">
        <v>1911</v>
      </c>
      <c r="N13" s="20"/>
      <c r="O13" s="10">
        <f t="shared" si="0"/>
        <v>0.1</v>
      </c>
      <c r="P13" s="10">
        <f t="shared" si="0"/>
        <v>1.1000000000000001</v>
      </c>
      <c r="Q13" s="10">
        <f t="shared" si="0"/>
        <v>6.2</v>
      </c>
      <c r="R13" s="10">
        <f t="shared" si="0"/>
        <v>60.7</v>
      </c>
      <c r="S13" s="22">
        <f t="shared" si="0"/>
        <v>191.1</v>
      </c>
      <c r="T13" s="20"/>
      <c r="U13" s="10"/>
      <c r="V13" s="10">
        <f t="shared" si="1"/>
        <v>1.1688036291366491E-2</v>
      </c>
      <c r="W13" s="10">
        <f t="shared" si="1"/>
        <v>6.5878022733156585E-2</v>
      </c>
      <c r="X13" s="10">
        <f t="shared" si="1"/>
        <v>0.64496709353267823</v>
      </c>
      <c r="Y13" s="22">
        <f t="shared" si="1"/>
        <v>2.0305306684364877</v>
      </c>
      <c r="Z13" s="4">
        <f t="shared" si="2"/>
        <v>2.0996305721795983</v>
      </c>
      <c r="AA13" s="9">
        <f t="shared" si="8"/>
        <v>1.9684322319284075</v>
      </c>
      <c r="AB13" s="4">
        <f t="shared" si="9"/>
        <v>0.9375136073985646</v>
      </c>
      <c r="AC13" s="53"/>
      <c r="AD13">
        <f t="shared" si="3"/>
        <v>5.0606462291010194E-4</v>
      </c>
      <c r="AE13">
        <f t="shared" si="3"/>
        <v>5.5667108520111221E-3</v>
      </c>
      <c r="AF13">
        <f t="shared" si="3"/>
        <v>3.1376006620426319E-2</v>
      </c>
      <c r="AG13">
        <f t="shared" si="3"/>
        <v>0.30718122610643189</v>
      </c>
      <c r="AH13" s="54">
        <f t="shared" si="3"/>
        <v>0.96708949438120484</v>
      </c>
      <c r="AI13" s="58">
        <f t="shared" si="11"/>
        <v>5.3771833439545179E-5</v>
      </c>
      <c r="AJ13" s="58">
        <f t="shared" si="12"/>
        <v>5.735578984154967E-5</v>
      </c>
      <c r="AK13" s="58">
        <f t="shared" si="13"/>
        <v>2.731708644440693E-5</v>
      </c>
      <c r="AL13" s="53"/>
      <c r="AM13">
        <f t="shared" si="14"/>
        <v>5.3979442955963311E-4</v>
      </c>
      <c r="AN13">
        <f t="shared" si="14"/>
        <v>5.9377387251559636E-3</v>
      </c>
      <c r="AO13">
        <f t="shared" si="14"/>
        <v>3.3467254632697251E-2</v>
      </c>
      <c r="AP13">
        <f t="shared" si="14"/>
        <v>0.32765521874269726</v>
      </c>
      <c r="AQ13" s="54">
        <f t="shared" si="14"/>
        <v>1.0315471548884587</v>
      </c>
      <c r="AR13" s="9">
        <f t="shared" si="15"/>
        <v>0.47627426141062207</v>
      </c>
      <c r="AS13" s="9">
        <f t="shared" si="16"/>
        <v>0.50801850517370029</v>
      </c>
      <c r="AT13" s="9">
        <f t="shared" si="17"/>
        <v>1.0666511846956803</v>
      </c>
      <c r="AU13" s="10"/>
      <c r="AV13" s="10">
        <v>4.2501949944915698E-2</v>
      </c>
      <c r="AW13" s="10">
        <v>0.116374533955678</v>
      </c>
      <c r="AX13" s="10">
        <v>0.36853445483851999</v>
      </c>
      <c r="AY13" s="10">
        <v>1.38187374013061</v>
      </c>
      <c r="AZ13" s="10">
        <v>5.5274949605224499</v>
      </c>
      <c r="BA13" s="46"/>
      <c r="BB13" s="58"/>
      <c r="BC13" s="58">
        <f t="shared" si="20"/>
        <v>6.9100157689060691E-4</v>
      </c>
      <c r="BD13" s="58">
        <f t="shared" si="21"/>
        <v>1.2333836441003014E-2</v>
      </c>
      <c r="BE13" s="58">
        <f t="shared" si="22"/>
        <v>0.45277814259728422</v>
      </c>
      <c r="BF13" s="62">
        <f t="shared" si="23"/>
        <v>5.701871700187227</v>
      </c>
    </row>
    <row r="14" spans="1:58" x14ac:dyDescent="0.25">
      <c r="A14" s="34">
        <v>166</v>
      </c>
      <c r="B14" s="51">
        <v>16</v>
      </c>
      <c r="C14" s="48"/>
      <c r="D14" s="2">
        <v>10</v>
      </c>
      <c r="E14" s="27">
        <v>5.4104257016193398E-3</v>
      </c>
      <c r="F14" s="27">
        <v>4.2237913969842902E-3</v>
      </c>
      <c r="G14" s="27">
        <v>4.0412722569313003E-3</v>
      </c>
      <c r="H14" s="30">
        <v>0</v>
      </c>
      <c r="I14" s="8">
        <v>0</v>
      </c>
      <c r="J14" s="8">
        <v>2</v>
      </c>
      <c r="K14" s="8">
        <v>32</v>
      </c>
      <c r="L14" s="8">
        <v>536</v>
      </c>
      <c r="M14" s="8">
        <v>2020</v>
      </c>
      <c r="N14" s="20"/>
      <c r="O14" s="10"/>
      <c r="P14" s="10">
        <f t="shared" si="0"/>
        <v>0.2</v>
      </c>
      <c r="Q14" s="10">
        <f t="shared" si="0"/>
        <v>3.2</v>
      </c>
      <c r="R14" s="10">
        <f t="shared" si="0"/>
        <v>53.6</v>
      </c>
      <c r="S14" s="22">
        <f t="shared" si="0"/>
        <v>202</v>
      </c>
      <c r="T14" s="20"/>
      <c r="U14" s="10"/>
      <c r="V14" s="10">
        <f t="shared" si="1"/>
        <v>1.082085140323868E-3</v>
      </c>
      <c r="W14" s="10">
        <f t="shared" si="1"/>
        <v>1.7313362245181887E-2</v>
      </c>
      <c r="X14" s="10">
        <f t="shared" si="1"/>
        <v>0.28999881760679663</v>
      </c>
      <c r="Y14" s="22">
        <f t="shared" si="1"/>
        <v>1.0929059917271067</v>
      </c>
      <c r="Z14" s="4">
        <f t="shared" si="2"/>
        <v>1.3387926765735136</v>
      </c>
      <c r="AA14" s="9">
        <f t="shared" si="8"/>
        <v>1.2809405562694893</v>
      </c>
      <c r="AB14" s="4">
        <f t="shared" si="9"/>
        <v>0.95678784227286762</v>
      </c>
      <c r="AC14" s="53"/>
      <c r="AE14">
        <f t="shared" si="3"/>
        <v>8.0825445138626008E-4</v>
      </c>
      <c r="AF14">
        <f t="shared" si="3"/>
        <v>1.2932071222180161E-2</v>
      </c>
      <c r="AG14">
        <f t="shared" si="3"/>
        <v>0.21661219297151771</v>
      </c>
      <c r="AH14" s="54">
        <f t="shared" si="3"/>
        <v>0.81633699590012265</v>
      </c>
      <c r="AI14" s="58">
        <f t="shared" si="11"/>
        <v>2.1865003286142305E-5</v>
      </c>
      <c r="AJ14" s="58">
        <f t="shared" si="12"/>
        <v>2.2852509532522461E-5</v>
      </c>
      <c r="AK14" s="58">
        <f t="shared" si="13"/>
        <v>1.7069490991697714E-5</v>
      </c>
      <c r="AL14" s="53"/>
      <c r="AN14">
        <f t="shared" si="14"/>
        <v>8.4475827939685811E-4</v>
      </c>
      <c r="AO14">
        <f t="shared" si="14"/>
        <v>1.351613247034973E-2</v>
      </c>
      <c r="AP14">
        <f t="shared" si="14"/>
        <v>0.22639521887835795</v>
      </c>
      <c r="AQ14" s="54">
        <f t="shared" si="14"/>
        <v>0.85320586219082661</v>
      </c>
      <c r="AR14" s="9">
        <f t="shared" si="15"/>
        <v>0.74694164189737378</v>
      </c>
      <c r="AS14" s="9">
        <f t="shared" si="16"/>
        <v>0.78067635153368986</v>
      </c>
      <c r="AT14" s="9">
        <f t="shared" si="17"/>
        <v>1.0451637822074338</v>
      </c>
      <c r="AU14" s="10"/>
      <c r="AV14" s="10"/>
      <c r="AW14" s="10">
        <v>7.8663658425102104E-2</v>
      </c>
      <c r="AX14" s="10">
        <v>0.286033381784213</v>
      </c>
      <c r="AY14" s="10">
        <v>1.08129059920596</v>
      </c>
      <c r="AZ14" s="10">
        <v>4.3251623968238597</v>
      </c>
      <c r="BA14" s="46"/>
      <c r="BB14" s="58"/>
      <c r="BC14" s="58"/>
      <c r="BD14" s="58">
        <f t="shared" si="21"/>
        <v>3.8660650791375421E-3</v>
      </c>
      <c r="BE14" s="58">
        <f t="shared" si="22"/>
        <v>0.24479902187834415</v>
      </c>
      <c r="BF14" s="62">
        <f t="shared" si="23"/>
        <v>3.6902539118974436</v>
      </c>
    </row>
    <row r="15" spans="1:58" x14ac:dyDescent="0.25">
      <c r="A15" s="7">
        <v>1.1000000000000001</v>
      </c>
      <c r="B15" s="51">
        <v>32</v>
      </c>
      <c r="C15" s="48">
        <v>45.6</v>
      </c>
      <c r="D15" s="3">
        <v>20</v>
      </c>
      <c r="E15" s="26">
        <v>1.40031756933689E-2</v>
      </c>
      <c r="F15" s="26">
        <v>5.6784984243662398E-3</v>
      </c>
      <c r="G15" s="26">
        <v>4.6667095589632999E-3</v>
      </c>
      <c r="H15" s="30">
        <v>0</v>
      </c>
      <c r="I15" s="8">
        <v>1</v>
      </c>
      <c r="J15" s="8">
        <v>18</v>
      </c>
      <c r="K15" s="8">
        <v>151</v>
      </c>
      <c r="L15" s="8">
        <v>1196</v>
      </c>
      <c r="M15" s="8">
        <v>3617</v>
      </c>
      <c r="N15" s="20"/>
      <c r="O15" s="10">
        <f t="shared" si="0"/>
        <v>0.05</v>
      </c>
      <c r="P15" s="10">
        <f t="shared" si="0"/>
        <v>0.9</v>
      </c>
      <c r="Q15" s="10">
        <f t="shared" si="0"/>
        <v>7.55</v>
      </c>
      <c r="R15" s="10">
        <f t="shared" si="0"/>
        <v>59.8</v>
      </c>
      <c r="S15" s="22">
        <f t="shared" si="0"/>
        <v>180.85</v>
      </c>
      <c r="T15" s="20"/>
      <c r="U15" s="10"/>
      <c r="V15" s="10">
        <f t="shared" si="1"/>
        <v>1.260285812403201E-2</v>
      </c>
      <c r="W15" s="10">
        <f t="shared" si="1"/>
        <v>0.1057239764849352</v>
      </c>
      <c r="X15" s="10">
        <f t="shared" si="1"/>
        <v>0.83738990646346023</v>
      </c>
      <c r="Y15" s="22">
        <f t="shared" si="1"/>
        <v>2.5324743241457655</v>
      </c>
      <c r="Z15" s="4">
        <f t="shared" si="2"/>
        <v>3.0006529261014645</v>
      </c>
      <c r="AA15" s="9">
        <f t="shared" si="8"/>
        <v>2.4659997497369655</v>
      </c>
      <c r="AB15" s="4">
        <f t="shared" si="9"/>
        <v>0.82182105377340797</v>
      </c>
      <c r="AC15" s="53"/>
      <c r="AD15">
        <f t="shared" si="3"/>
        <v>2.33335477948165E-4</v>
      </c>
      <c r="AE15">
        <f t="shared" si="3"/>
        <v>4.2000386030669702E-3</v>
      </c>
      <c r="AF15">
        <f t="shared" si="3"/>
        <v>3.5233657170172912E-2</v>
      </c>
      <c r="AG15">
        <f t="shared" si="3"/>
        <v>0.27906923162600533</v>
      </c>
      <c r="AH15" s="54">
        <f t="shared" si="3"/>
        <v>0.84397442373851272</v>
      </c>
      <c r="AI15" s="58">
        <f t="shared" si="11"/>
        <v>6.5348753864087188E-5</v>
      </c>
      <c r="AJ15" s="58">
        <f t="shared" si="12"/>
        <v>7.9517011110918925E-5</v>
      </c>
      <c r="AK15" s="58">
        <f t="shared" si="13"/>
        <v>2.6499902877547969E-5</v>
      </c>
      <c r="AL15" s="53"/>
      <c r="AM15">
        <f t="shared" si="14"/>
        <v>2.8392492121831199E-4</v>
      </c>
      <c r="AN15">
        <f t="shared" si="14"/>
        <v>5.1106485819296162E-3</v>
      </c>
      <c r="AO15">
        <f t="shared" si="14"/>
        <v>4.2872663103965113E-2</v>
      </c>
      <c r="AP15">
        <f t="shared" si="14"/>
        <v>0.33957420577710112</v>
      </c>
      <c r="AQ15" s="54">
        <f t="shared" si="14"/>
        <v>1.0269564400466344</v>
      </c>
      <c r="AR15" s="9">
        <f t="shared" si="15"/>
        <v>0.33326080177464212</v>
      </c>
      <c r="AS15" s="9">
        <f t="shared" si="16"/>
        <v>0.40551504520901288</v>
      </c>
      <c r="AT15" s="9">
        <f t="shared" si="17"/>
        <v>1.2168099069845921</v>
      </c>
      <c r="AU15" s="10"/>
      <c r="AV15" s="10">
        <v>5.6012702773475899E-2</v>
      </c>
      <c r="AW15" s="10">
        <v>0.17662425401843199</v>
      </c>
      <c r="AX15" s="10">
        <v>0.371998081424883</v>
      </c>
      <c r="AY15" s="10">
        <v>1.4536955966377501</v>
      </c>
      <c r="AZ15" s="10">
        <v>5.8147823865510198</v>
      </c>
      <c r="BA15" s="46"/>
      <c r="BB15" s="58"/>
      <c r="BC15" s="58">
        <f t="shared" si="20"/>
        <v>9.0266449333367574E-4</v>
      </c>
      <c r="BD15" s="58">
        <f t="shared" si="21"/>
        <v>1.594854842025039E-2</v>
      </c>
      <c r="BE15" s="58">
        <f t="shared" si="22"/>
        <v>0.49363752766993313</v>
      </c>
      <c r="BF15" s="62">
        <f t="shared" si="23"/>
        <v>5.9715282193383086</v>
      </c>
    </row>
    <row r="16" spans="1:58" x14ac:dyDescent="0.25">
      <c r="A16" s="7">
        <v>1.2</v>
      </c>
      <c r="B16" s="51">
        <v>32</v>
      </c>
      <c r="C16" s="48">
        <v>44.2</v>
      </c>
      <c r="D16" s="3">
        <v>20</v>
      </c>
      <c r="E16" s="26">
        <v>1.0890800850407899E-2</v>
      </c>
      <c r="F16" s="26">
        <v>4.8212415579803897E-3</v>
      </c>
      <c r="G16" s="26">
        <v>4.1135640493545804E-3</v>
      </c>
      <c r="H16" s="30">
        <v>0</v>
      </c>
      <c r="I16" s="8">
        <v>1</v>
      </c>
      <c r="J16" s="8">
        <v>11</v>
      </c>
      <c r="K16" s="8">
        <v>103</v>
      </c>
      <c r="L16" s="8">
        <v>972</v>
      </c>
      <c r="M16" s="8">
        <v>3501</v>
      </c>
      <c r="N16" s="20"/>
      <c r="O16" s="10">
        <f t="shared" si="0"/>
        <v>0.05</v>
      </c>
      <c r="P16" s="10">
        <f t="shared" si="0"/>
        <v>0.55000000000000004</v>
      </c>
      <c r="Q16" s="10">
        <f t="shared" si="0"/>
        <v>5.15</v>
      </c>
      <c r="R16" s="10">
        <f t="shared" si="0"/>
        <v>48.6</v>
      </c>
      <c r="S16" s="22">
        <f t="shared" si="0"/>
        <v>175.05</v>
      </c>
      <c r="T16" s="20"/>
      <c r="U16" s="10"/>
      <c r="V16" s="10">
        <f t="shared" si="1"/>
        <v>5.9899404677243454E-3</v>
      </c>
      <c r="W16" s="10">
        <f t="shared" si="1"/>
        <v>5.6087624379600687E-2</v>
      </c>
      <c r="X16" s="10">
        <f t="shared" si="1"/>
        <v>0.52929292132982397</v>
      </c>
      <c r="Y16" s="22">
        <f t="shared" si="1"/>
        <v>1.906434688863903</v>
      </c>
      <c r="Z16" s="4">
        <f t="shared" si="2"/>
        <v>2.6475340409775971</v>
      </c>
      <c r="AA16" s="9">
        <f t="shared" si="8"/>
        <v>2.2589203879197535</v>
      </c>
      <c r="AB16" s="4">
        <f t="shared" si="9"/>
        <v>0.85321674923040902</v>
      </c>
      <c r="AC16" s="53"/>
      <c r="AD16">
        <f t="shared" si="3"/>
        <v>2.0567820246772904E-4</v>
      </c>
      <c r="AE16">
        <f t="shared" si="3"/>
        <v>2.2624602271450194E-3</v>
      </c>
      <c r="AF16">
        <f t="shared" si="3"/>
        <v>2.118485485417609E-2</v>
      </c>
      <c r="AG16">
        <f t="shared" si="3"/>
        <v>0.19991921279863262</v>
      </c>
      <c r="AH16" s="54">
        <f t="shared" si="3"/>
        <v>0.72007938683951933</v>
      </c>
      <c r="AI16" s="58">
        <f t="shared" si="11"/>
        <v>4.4800006846918226E-5</v>
      </c>
      <c r="AJ16" s="58">
        <f t="shared" si="12"/>
        <v>5.2507181659674734E-5</v>
      </c>
      <c r="AK16" s="58">
        <f t="shared" si="13"/>
        <v>1.9832485946162398E-5</v>
      </c>
      <c r="AL16" s="53"/>
      <c r="AM16">
        <f t="shared" si="14"/>
        <v>2.4106207789901949E-4</v>
      </c>
      <c r="AN16">
        <f t="shared" si="14"/>
        <v>2.6516828568892144E-3</v>
      </c>
      <c r="AO16">
        <f t="shared" si="14"/>
        <v>2.4829394023599009E-2</v>
      </c>
      <c r="AP16">
        <f t="shared" si="14"/>
        <v>0.23431233971784696</v>
      </c>
      <c r="AQ16" s="54">
        <f t="shared" si="14"/>
        <v>0.84395833472446724</v>
      </c>
      <c r="AR16" s="9">
        <f t="shared" si="15"/>
        <v>0.3777099687944907</v>
      </c>
      <c r="AS16" s="9">
        <f t="shared" si="16"/>
        <v>0.44268935078358512</v>
      </c>
      <c r="AT16" s="9">
        <f t="shared" si="17"/>
        <v>1.1720351257778141</v>
      </c>
      <c r="AU16" s="10"/>
      <c r="AV16" s="10">
        <v>4.3563203401631702E-2</v>
      </c>
      <c r="AW16" s="10">
        <v>0.14678489544762599</v>
      </c>
      <c r="AX16" s="10">
        <v>0.32808884276820199</v>
      </c>
      <c r="AY16" s="10">
        <v>1.23423783884298</v>
      </c>
      <c r="AZ16" s="10">
        <v>4.93695135537192</v>
      </c>
      <c r="BA16" s="46"/>
      <c r="BB16" s="58"/>
      <c r="BC16" s="58">
        <f t="shared" si="20"/>
        <v>3.8922699090874552E-4</v>
      </c>
      <c r="BD16" s="58">
        <f t="shared" si="21"/>
        <v>8.1462471518383098E-3</v>
      </c>
      <c r="BE16" s="58">
        <f t="shared" si="22"/>
        <v>0.28919715578759758</v>
      </c>
      <c r="BF16" s="62">
        <f t="shared" si="23"/>
        <v>4.1665812444953874</v>
      </c>
    </row>
    <row r="17" spans="1:61" x14ac:dyDescent="0.25">
      <c r="A17" s="7">
        <v>2.2000000000000002</v>
      </c>
      <c r="B17" s="51">
        <v>45</v>
      </c>
      <c r="C17" s="48">
        <v>54.05</v>
      </c>
      <c r="D17" s="3">
        <v>15</v>
      </c>
      <c r="E17" s="26">
        <v>2.4016207968108199E-2</v>
      </c>
      <c r="F17" s="26">
        <v>6.5149661727545603E-3</v>
      </c>
      <c r="G17" s="26">
        <v>4.26435563054003E-3</v>
      </c>
      <c r="H17" s="30">
        <v>1</v>
      </c>
      <c r="I17" s="8">
        <v>5</v>
      </c>
      <c r="J17" s="8">
        <v>26</v>
      </c>
      <c r="K17" s="8">
        <v>112</v>
      </c>
      <c r="L17" s="8">
        <v>811</v>
      </c>
      <c r="M17" s="8">
        <v>2808</v>
      </c>
      <c r="N17" s="20">
        <f t="shared" si="6"/>
        <v>6.6666666666666666E-2</v>
      </c>
      <c r="O17" s="10">
        <f t="shared" si="0"/>
        <v>0.33333333333333331</v>
      </c>
      <c r="P17" s="10">
        <f t="shared" si="0"/>
        <v>1.7333333333333334</v>
      </c>
      <c r="Q17" s="10">
        <f t="shared" si="0"/>
        <v>7.4666666666666668</v>
      </c>
      <c r="R17" s="10">
        <f t="shared" si="0"/>
        <v>54.06666666666667</v>
      </c>
      <c r="S17" s="22">
        <f t="shared" si="0"/>
        <v>187.2</v>
      </c>
      <c r="T17" s="20"/>
      <c r="U17" s="10">
        <f t="shared" si="1"/>
        <v>8.0054026560360658E-3</v>
      </c>
      <c r="V17" s="10">
        <f t="shared" si="1"/>
        <v>4.1628093811387545E-2</v>
      </c>
      <c r="W17" s="10">
        <f t="shared" si="1"/>
        <v>0.1793210194952079</v>
      </c>
      <c r="X17" s="10">
        <f t="shared" si="1"/>
        <v>1.29847631080905</v>
      </c>
      <c r="Y17" s="22">
        <f t="shared" si="1"/>
        <v>4.4958341316298549</v>
      </c>
      <c r="Z17" s="4">
        <f t="shared" si="2"/>
        <v>5.6318492285472992</v>
      </c>
      <c r="AA17" s="9">
        <f t="shared" si="8"/>
        <v>3.6863135327614489</v>
      </c>
      <c r="AB17" s="4">
        <f t="shared" si="9"/>
        <v>0.65454762426449242</v>
      </c>
      <c r="AC17" s="53">
        <f t="shared" si="10"/>
        <v>2.8429037536933531E-4</v>
      </c>
      <c r="AD17">
        <f t="shared" si="3"/>
        <v>1.4214518768466767E-3</v>
      </c>
      <c r="AE17">
        <f t="shared" si="3"/>
        <v>7.3915497596027191E-3</v>
      </c>
      <c r="AF17">
        <f t="shared" si="3"/>
        <v>3.184052204136556E-2</v>
      </c>
      <c r="AG17">
        <f t="shared" si="3"/>
        <v>0.23055949442453097</v>
      </c>
      <c r="AH17" s="54">
        <f t="shared" si="3"/>
        <v>0.7982873740370936</v>
      </c>
      <c r="AI17" s="58">
        <f t="shared" si="11"/>
        <v>1.0241365167302253E-4</v>
      </c>
      <c r="AJ17" s="58">
        <f t="shared" si="12"/>
        <v>1.5646478251006346E-4</v>
      </c>
      <c r="AK17" s="58">
        <f t="shared" si="13"/>
        <v>2.778213268156374E-5</v>
      </c>
      <c r="AL17" s="53">
        <f t="shared" si="24"/>
        <v>4.3433107818363734E-4</v>
      </c>
      <c r="AM17">
        <f t="shared" si="14"/>
        <v>2.1716553909181865E-3</v>
      </c>
      <c r="AN17">
        <f t="shared" si="14"/>
        <v>1.1292608032774572E-2</v>
      </c>
      <c r="AO17">
        <f t="shared" si="14"/>
        <v>4.8645080756567385E-2</v>
      </c>
      <c r="AP17">
        <f t="shared" si="14"/>
        <v>0.35224250440692989</v>
      </c>
      <c r="AQ17" s="54">
        <f t="shared" si="14"/>
        <v>1.2196016675396537</v>
      </c>
      <c r="AR17" s="9">
        <f t="shared" si="15"/>
        <v>0.17756157159376651</v>
      </c>
      <c r="AS17" s="9">
        <f t="shared" si="16"/>
        <v>0.27127372403694905</v>
      </c>
      <c r="AT17" s="9">
        <f t="shared" si="17"/>
        <v>1.5277727134426444</v>
      </c>
      <c r="AU17" s="10">
        <v>2.4016207968108199E-2</v>
      </c>
      <c r="AV17" s="10">
        <v>6.1687066952672398E-2</v>
      </c>
      <c r="AW17" s="10">
        <v>0.19687478181427201</v>
      </c>
      <c r="AX17" s="10">
        <v>0.46344710039377801</v>
      </c>
      <c r="AY17" s="10">
        <v>1.6678313402251601</v>
      </c>
      <c r="AZ17" s="10">
        <v>6.6713253609006697</v>
      </c>
      <c r="BA17" s="46"/>
      <c r="BB17" s="58">
        <f t="shared" si="19"/>
        <v>1.3396305149770212E-4</v>
      </c>
      <c r="BC17" s="58">
        <f t="shared" si="20"/>
        <v>2.2232297425665896E-3</v>
      </c>
      <c r="BD17" s="58">
        <f t="shared" si="21"/>
        <v>2.2544421625052324E-2</v>
      </c>
      <c r="BE17" s="58">
        <f t="shared" si="22"/>
        <v>0.58748108820927669</v>
      </c>
      <c r="BF17" s="62">
        <f t="shared" si="23"/>
        <v>8.136359534854039</v>
      </c>
    </row>
    <row r="18" spans="1:61" x14ac:dyDescent="0.25">
      <c r="A18" s="7">
        <v>3.2</v>
      </c>
      <c r="B18" s="51">
        <v>64</v>
      </c>
      <c r="C18" s="48">
        <v>86.98</v>
      </c>
      <c r="D18" s="3">
        <v>15</v>
      </c>
      <c r="E18" s="26">
        <v>5.1502950973667999E-2</v>
      </c>
      <c r="F18" s="26">
        <v>1.37528556522491E-2</v>
      </c>
      <c r="G18" s="26">
        <v>4.5700514622563203E-3</v>
      </c>
      <c r="H18" s="30">
        <v>2</v>
      </c>
      <c r="I18" s="8">
        <v>30</v>
      </c>
      <c r="J18" s="8">
        <v>110</v>
      </c>
      <c r="K18" s="8">
        <v>279</v>
      </c>
      <c r="L18" s="8">
        <v>1032</v>
      </c>
      <c r="M18" s="8">
        <v>2570</v>
      </c>
      <c r="N18" s="20">
        <f t="shared" si="6"/>
        <v>0.13333333333333333</v>
      </c>
      <c r="O18" s="10">
        <f t="shared" si="0"/>
        <v>2</v>
      </c>
      <c r="P18" s="10">
        <f t="shared" si="0"/>
        <v>7.333333333333333</v>
      </c>
      <c r="Q18" s="10">
        <f t="shared" si="0"/>
        <v>18.600000000000001</v>
      </c>
      <c r="R18" s="10">
        <f t="shared" si="0"/>
        <v>68.8</v>
      </c>
      <c r="S18" s="22">
        <f t="shared" si="0"/>
        <v>171.33333333333334</v>
      </c>
      <c r="T18" s="20">
        <f t="shared" si="7"/>
        <v>6.8670601298223997E-3</v>
      </c>
      <c r="U18" s="10">
        <f t="shared" si="1"/>
        <v>0.103005901947336</v>
      </c>
      <c r="V18" s="10">
        <f t="shared" si="1"/>
        <v>0.37768830714023199</v>
      </c>
      <c r="W18" s="10">
        <f t="shared" si="1"/>
        <v>0.95795488811022489</v>
      </c>
      <c r="X18" s="10">
        <f t="shared" si="1"/>
        <v>3.5434030269883583</v>
      </c>
      <c r="Y18" s="22">
        <f t="shared" si="1"/>
        <v>8.824172266821785</v>
      </c>
      <c r="Z18" s="4">
        <f t="shared" si="2"/>
        <v>11.26966542915909</v>
      </c>
      <c r="AA18" s="9">
        <f t="shared" si="8"/>
        <v>3.7448914084432614</v>
      </c>
      <c r="AB18" s="4">
        <f t="shared" si="9"/>
        <v>0.33229836608580621</v>
      </c>
      <c r="AC18" s="53">
        <f t="shared" si="10"/>
        <v>6.0934019496750936E-4</v>
      </c>
      <c r="AD18">
        <f t="shared" si="3"/>
        <v>9.1401029245126407E-3</v>
      </c>
      <c r="AE18">
        <f t="shared" si="3"/>
        <v>3.3513710723213012E-2</v>
      </c>
      <c r="AF18">
        <f t="shared" si="3"/>
        <v>8.5002957197967563E-2</v>
      </c>
      <c r="AG18">
        <f t="shared" si="3"/>
        <v>0.31441954060323485</v>
      </c>
      <c r="AH18" s="54">
        <f t="shared" si="3"/>
        <v>0.78300215053324962</v>
      </c>
      <c r="AI18" s="58">
        <f t="shared" si="11"/>
        <v>2.3537113640772703E-4</v>
      </c>
      <c r="AJ18" s="58">
        <f t="shared" si="12"/>
        <v>7.0831265040571822E-4</v>
      </c>
      <c r="AK18" s="58">
        <f t="shared" si="13"/>
        <v>6.2851258083761093E-5</v>
      </c>
      <c r="AL18" s="53">
        <f t="shared" si="24"/>
        <v>1.8337140869665466E-3</v>
      </c>
      <c r="AM18">
        <f t="shared" si="14"/>
        <v>2.75057113044982E-2</v>
      </c>
      <c r="AN18">
        <f t="shared" si="14"/>
        <v>0.10085427478316006</v>
      </c>
      <c r="AO18">
        <f t="shared" si="14"/>
        <v>0.25580311513183329</v>
      </c>
      <c r="AP18">
        <f t="shared" si="14"/>
        <v>0.94619646887473807</v>
      </c>
      <c r="AQ18" s="54">
        <f t="shared" si="14"/>
        <v>2.3563226017520127</v>
      </c>
      <c r="AR18" s="9">
        <f t="shared" si="15"/>
        <v>8.8733778858474693E-2</v>
      </c>
      <c r="AS18" s="9">
        <f t="shared" si="16"/>
        <v>0.26703043985344732</v>
      </c>
      <c r="AT18" s="9">
        <f t="shared" si="17"/>
        <v>3.0093437165495409</v>
      </c>
      <c r="AU18" s="10">
        <v>2.8717702047744001E-2</v>
      </c>
      <c r="AV18" s="10">
        <v>0.11587567427319601</v>
      </c>
      <c r="AW18" s="10">
        <v>0.424330918118209</v>
      </c>
      <c r="AX18" s="10">
        <v>1.0317760232201201</v>
      </c>
      <c r="AY18" s="10">
        <v>3.52073104697577</v>
      </c>
      <c r="AZ18" s="10">
        <v>14.082924187903</v>
      </c>
      <c r="BA18" s="46">
        <f t="shared" si="18"/>
        <v>5.2660054790256215E-5</v>
      </c>
      <c r="BB18" s="58">
        <f t="shared" si="19"/>
        <v>3.1872428437725985E-3</v>
      </c>
      <c r="BC18" s="58">
        <f t="shared" si="20"/>
        <v>4.2795587014884444E-2</v>
      </c>
      <c r="BD18" s="58">
        <f t="shared" si="21"/>
        <v>0.2639315208580415</v>
      </c>
      <c r="BE18" s="58">
        <f t="shared" si="22"/>
        <v>3.331303284506133</v>
      </c>
      <c r="BF18" s="62">
        <f t="shared" si="23"/>
        <v>33.183912562715946</v>
      </c>
    </row>
    <row r="19" spans="1:61" x14ac:dyDescent="0.25">
      <c r="A19" s="7">
        <v>3.3</v>
      </c>
      <c r="B19" s="51">
        <v>64</v>
      </c>
      <c r="C19" s="48">
        <v>87.98</v>
      </c>
      <c r="D19" s="3">
        <v>20</v>
      </c>
      <c r="E19" s="26">
        <v>5.04335454776157E-2</v>
      </c>
      <c r="F19" s="26">
        <v>9.8602655911611495E-3</v>
      </c>
      <c r="G19" s="26">
        <v>4.3864038070395503E-3</v>
      </c>
      <c r="H19" s="30">
        <v>4</v>
      </c>
      <c r="I19" s="8">
        <v>20</v>
      </c>
      <c r="J19" s="8">
        <v>68</v>
      </c>
      <c r="K19" s="8">
        <v>245</v>
      </c>
      <c r="L19" s="8">
        <v>1155</v>
      </c>
      <c r="M19" s="8">
        <v>3356</v>
      </c>
      <c r="N19" s="20">
        <f t="shared" si="6"/>
        <v>0.2</v>
      </c>
      <c r="O19" s="10">
        <f t="shared" ref="O19:O22" si="25">I19/$D19</f>
        <v>1</v>
      </c>
      <c r="P19" s="10">
        <f t="shared" ref="P19:P23" si="26">J19/$D19</f>
        <v>3.4</v>
      </c>
      <c r="Q19" s="10">
        <f t="shared" ref="Q19:Q23" si="27">K19/$D19</f>
        <v>12.25</v>
      </c>
      <c r="R19" s="10">
        <f t="shared" ref="R19:R23" si="28">L19/$D19</f>
        <v>57.75</v>
      </c>
      <c r="S19" s="22">
        <f t="shared" ref="S19:S23" si="29">M19/$D19</f>
        <v>167.8</v>
      </c>
      <c r="T19" s="20">
        <f t="shared" si="7"/>
        <v>1.0086709095523141E-2</v>
      </c>
      <c r="U19" s="10">
        <f t="shared" ref="U19:U21" si="30">O19*$E19</f>
        <v>5.04335454776157E-2</v>
      </c>
      <c r="V19" s="10">
        <f t="shared" ref="V19:V23" si="31">P19*$E19</f>
        <v>0.17147405462389337</v>
      </c>
      <c r="W19" s="10">
        <f t="shared" ref="W19:W23" si="32">Q19*$E19</f>
        <v>0.6178109321007923</v>
      </c>
      <c r="X19" s="10">
        <f t="shared" ref="X19:Y23" si="33">R19*$E19</f>
        <v>2.9125372513323069</v>
      </c>
      <c r="Y19" s="22">
        <f t="shared" si="33"/>
        <v>8.4627489311439152</v>
      </c>
      <c r="Z19" s="4">
        <f t="shared" si="2"/>
        <v>11.497697817213517</v>
      </c>
      <c r="AA19" s="9">
        <f t="shared" si="8"/>
        <v>5.1148262702806795</v>
      </c>
      <c r="AB19" s="4">
        <f t="shared" si="9"/>
        <v>0.4448565575121598</v>
      </c>
      <c r="AC19" s="53">
        <f t="shared" si="10"/>
        <v>8.7728076140791006E-4</v>
      </c>
      <c r="AD19">
        <f t="shared" ref="AD19:AD22" si="34">O19*$G19</f>
        <v>4.3864038070395503E-3</v>
      </c>
      <c r="AE19">
        <f t="shared" ref="AE19:AE23" si="35">P19*$G19</f>
        <v>1.4913772943934471E-2</v>
      </c>
      <c r="AF19">
        <f t="shared" ref="AF19:AF23" si="36">Q19*$G19</f>
        <v>5.3733446636234493E-2</v>
      </c>
      <c r="AG19">
        <f t="shared" ref="AG19:AG23" si="37">R19*$G19</f>
        <v>0.25331481985653403</v>
      </c>
      <c r="AH19" s="54">
        <f t="shared" ref="AH19:AH23" si="38">S19*$G19</f>
        <v>0.73603855882123659</v>
      </c>
      <c r="AI19" s="58">
        <f t="shared" si="11"/>
        <v>2.212218958855158E-4</v>
      </c>
      <c r="AJ19" s="58">
        <f t="shared" si="12"/>
        <v>4.9728815311319511E-4</v>
      </c>
      <c r="AK19" s="58">
        <f t="shared" si="13"/>
        <v>4.325110652749035E-5</v>
      </c>
      <c r="AL19" s="53">
        <f t="shared" si="24"/>
        <v>1.9720531182322301E-3</v>
      </c>
      <c r="AM19">
        <f t="shared" si="14"/>
        <v>9.8602655911611495E-3</v>
      </c>
      <c r="AN19">
        <f t="shared" si="14"/>
        <v>3.3524903009947905E-2</v>
      </c>
      <c r="AO19">
        <f t="shared" si="14"/>
        <v>0.12078825349172408</v>
      </c>
      <c r="AP19">
        <f t="shared" si="14"/>
        <v>0.56943033788955644</v>
      </c>
      <c r="AQ19" s="54">
        <f t="shared" si="14"/>
        <v>1.654552566196841</v>
      </c>
      <c r="AR19" s="9">
        <f t="shared" si="15"/>
        <v>8.6973933034043799E-2</v>
      </c>
      <c r="AS19" s="9">
        <f t="shared" si="16"/>
        <v>0.19551006176112495</v>
      </c>
      <c r="AT19" s="9">
        <f t="shared" si="17"/>
        <v>2.2479156103541662</v>
      </c>
      <c r="AU19" s="10">
        <v>4.2099641834455401E-2</v>
      </c>
      <c r="AV19" s="10">
        <v>0.10745936765490099</v>
      </c>
      <c r="AW19" s="10">
        <v>0.342981303210388</v>
      </c>
      <c r="AX19" s="10">
        <v>0.759859641009906</v>
      </c>
      <c r="AY19" s="10">
        <v>2.5242279913372498</v>
      </c>
      <c r="AZ19" s="10">
        <v>10.096911965348999</v>
      </c>
      <c r="BA19" s="46">
        <f t="shared" si="18"/>
        <v>8.3022729956097811E-5</v>
      </c>
      <c r="BB19" s="58">
        <f t="shared" si="19"/>
        <v>1.0595779053355556E-3</v>
      </c>
      <c r="BC19" s="58">
        <f t="shared" si="20"/>
        <v>1.1498414924353792E-2</v>
      </c>
      <c r="BD19" s="58">
        <f t="shared" si="21"/>
        <v>9.1782118936434981E-2</v>
      </c>
      <c r="BE19" s="58">
        <f t="shared" si="22"/>
        <v>1.4373719980174464</v>
      </c>
      <c r="BF19" s="62">
        <f t="shared" si="23"/>
        <v>16.705871602931776</v>
      </c>
    </row>
    <row r="20" spans="1:61" x14ac:dyDescent="0.25">
      <c r="A20" s="7">
        <v>4.0999999999999996</v>
      </c>
      <c r="B20" s="51">
        <v>90</v>
      </c>
      <c r="C20" s="48">
        <v>108.42</v>
      </c>
      <c r="D20" s="3">
        <v>15</v>
      </c>
      <c r="E20" s="26">
        <v>9.6840712231762202E-2</v>
      </c>
      <c r="F20" s="26">
        <v>2.94139388502281E-2</v>
      </c>
      <c r="G20" s="26">
        <v>9.5407724532447606E-3</v>
      </c>
      <c r="H20" s="30">
        <v>12</v>
      </c>
      <c r="I20" s="8">
        <v>61</v>
      </c>
      <c r="J20" s="8">
        <v>187</v>
      </c>
      <c r="K20" s="8">
        <v>490</v>
      </c>
      <c r="L20" s="8">
        <v>1019</v>
      </c>
      <c r="M20" s="8">
        <v>2258</v>
      </c>
      <c r="N20" s="20">
        <f t="shared" si="6"/>
        <v>0.8</v>
      </c>
      <c r="O20" s="10">
        <f t="shared" si="25"/>
        <v>4.0666666666666664</v>
      </c>
      <c r="P20" s="10">
        <f t="shared" si="26"/>
        <v>12.466666666666667</v>
      </c>
      <c r="Q20" s="10">
        <f t="shared" si="27"/>
        <v>32.666666666666664</v>
      </c>
      <c r="R20" s="10">
        <f t="shared" si="28"/>
        <v>67.933333333333337</v>
      </c>
      <c r="S20" s="22">
        <f t="shared" si="29"/>
        <v>150.53333333333333</v>
      </c>
      <c r="T20" s="20">
        <f>N20*$E20</f>
        <v>7.747256978540977E-2</v>
      </c>
      <c r="U20" s="10">
        <f t="shared" si="30"/>
        <v>0.39381889640916629</v>
      </c>
      <c r="V20" s="10">
        <f t="shared" si="31"/>
        <v>1.2072808791559688</v>
      </c>
      <c r="W20" s="10">
        <f t="shared" si="32"/>
        <v>3.163463266237565</v>
      </c>
      <c r="X20" s="10">
        <f t="shared" si="33"/>
        <v>6.5787123842777122</v>
      </c>
      <c r="Y20" s="22">
        <f t="shared" si="33"/>
        <v>14.57775521462127</v>
      </c>
      <c r="Z20" s="4">
        <f t="shared" si="2"/>
        <v>10.150196192848854</v>
      </c>
      <c r="AA20" s="9">
        <f t="shared" si="8"/>
        <v>3.2923408430561558</v>
      </c>
      <c r="AB20" s="4">
        <f t="shared" si="9"/>
        <v>0.3243622862556802</v>
      </c>
      <c r="AC20" s="53">
        <f t="shared" si="10"/>
        <v>7.632617962595809E-3</v>
      </c>
      <c r="AD20">
        <f t="shared" si="34"/>
        <v>3.8799141309862027E-2</v>
      </c>
      <c r="AE20">
        <f t="shared" si="35"/>
        <v>0.11894162991711801</v>
      </c>
      <c r="AF20">
        <f t="shared" si="36"/>
        <v>0.31166523347266217</v>
      </c>
      <c r="AG20">
        <f t="shared" si="37"/>
        <v>0.64813647532376073</v>
      </c>
      <c r="AH20" s="54">
        <f t="shared" si="38"/>
        <v>1.436204279961778</v>
      </c>
      <c r="AI20" s="58">
        <f t="shared" si="11"/>
        <v>9.2393519961339978E-4</v>
      </c>
      <c r="AJ20" s="58">
        <f t="shared" si="12"/>
        <v>2.8484667877975898E-3</v>
      </c>
      <c r="AK20" s="58">
        <f t="shared" si="13"/>
        <v>2.8063169752368214E-4</v>
      </c>
      <c r="AL20" s="53">
        <f t="shared" si="24"/>
        <v>2.3531151080182482E-2</v>
      </c>
      <c r="AM20">
        <f t="shared" ref="AM20:AM22" si="39">O20*$F20</f>
        <v>0.11961668465759427</v>
      </c>
      <c r="AN20">
        <f t="shared" ref="AN20:AN23" si="40">P20*$F20</f>
        <v>0.36669377099951034</v>
      </c>
      <c r="AO20">
        <f t="shared" ref="AO20:AO23" si="41">Q20*$F20</f>
        <v>0.96085533577411786</v>
      </c>
      <c r="AP20">
        <f t="shared" ref="AP20:AP23" si="42">R20*$F20</f>
        <v>1.998186912558829</v>
      </c>
      <c r="AQ20" s="54">
        <f t="shared" ref="AQ20:AQ23" si="43">S20*$F20</f>
        <v>4.4277782615876697</v>
      </c>
      <c r="AR20" s="9">
        <f t="shared" si="15"/>
        <v>9.85202631555568E-2</v>
      </c>
      <c r="AS20" s="9">
        <f t="shared" si="16"/>
        <v>0.30373525940034135</v>
      </c>
      <c r="AT20" s="9">
        <f t="shared" si="17"/>
        <v>3.082972473599304</v>
      </c>
      <c r="AU20" s="10">
        <v>6.9669475601588704E-2</v>
      </c>
      <c r="AV20" s="10">
        <v>0.21182245741774999</v>
      </c>
      <c r="AW20" s="10">
        <v>0.71876689058186105</v>
      </c>
      <c r="AX20" s="10">
        <v>2.4352261038974299</v>
      </c>
      <c r="AY20" s="10">
        <v>7.5299683456584097</v>
      </c>
      <c r="AZ20" s="10">
        <v>30.1198733826336</v>
      </c>
      <c r="BA20" s="46">
        <f t="shared" si="18"/>
        <v>1.6394029560580711E-3</v>
      </c>
      <c r="BB20" s="58">
        <f t="shared" si="19"/>
        <v>2.533750009233569E-2</v>
      </c>
      <c r="BC20" s="58">
        <f t="shared" si="20"/>
        <v>0.26356734157705508</v>
      </c>
      <c r="BD20" s="58">
        <f t="shared" si="21"/>
        <v>2.3398999957462618</v>
      </c>
      <c r="BE20" s="58">
        <f t="shared" si="22"/>
        <v>15.04628420027689</v>
      </c>
      <c r="BF20" s="62">
        <f t="shared" si="23"/>
        <v>133.36412060539811</v>
      </c>
    </row>
    <row r="21" spans="1:61" x14ac:dyDescent="0.25">
      <c r="A21" s="35" t="s">
        <v>22</v>
      </c>
      <c r="B21" s="51">
        <v>90</v>
      </c>
      <c r="C21" s="48">
        <v>113.98</v>
      </c>
      <c r="D21" s="25">
        <v>49.999977324263</v>
      </c>
      <c r="E21" s="15">
        <v>0.103785400341108</v>
      </c>
      <c r="F21" s="15">
        <v>9.3097685505032102E-3</v>
      </c>
      <c r="G21" s="15">
        <v>2.6623638531804101E-3</v>
      </c>
      <c r="H21" s="30">
        <v>7</v>
      </c>
      <c r="I21" s="8">
        <v>32</v>
      </c>
      <c r="J21" s="8">
        <v>148</v>
      </c>
      <c r="K21" s="8">
        <v>475</v>
      </c>
      <c r="L21" s="8">
        <v>1883</v>
      </c>
      <c r="M21" s="8">
        <v>5866</v>
      </c>
      <c r="N21" s="20">
        <f t="shared" si="6"/>
        <v>0.1400000634920924</v>
      </c>
      <c r="O21" s="10">
        <f t="shared" si="25"/>
        <v>0.64000029024956528</v>
      </c>
      <c r="P21" s="10">
        <f t="shared" si="26"/>
        <v>2.9600013424042393</v>
      </c>
      <c r="Q21" s="10">
        <f t="shared" si="27"/>
        <v>9.5000043083919845</v>
      </c>
      <c r="R21" s="10">
        <f t="shared" si="28"/>
        <v>37.660017079372857</v>
      </c>
      <c r="S21" s="22">
        <f t="shared" si="29"/>
        <v>117.32005320637343</v>
      </c>
      <c r="T21" s="20">
        <f t="shared" si="7"/>
        <v>1.452996263730735E-2</v>
      </c>
      <c r="U21" s="10">
        <f t="shared" si="30"/>
        <v>6.6422686341976456E-2</v>
      </c>
      <c r="V21" s="10">
        <f t="shared" si="31"/>
        <v>0.30720492433164109</v>
      </c>
      <c r="W21" s="10">
        <f t="shared" si="32"/>
        <v>0.98596175038871292</v>
      </c>
      <c r="X21" s="10">
        <f t="shared" si="33"/>
        <v>3.9085599494356771</v>
      </c>
      <c r="Y21" s="22">
        <f t="shared" si="33"/>
        <v>12.176108690063558</v>
      </c>
      <c r="Z21" s="4">
        <f t="shared" si="2"/>
        <v>38.982425417595685</v>
      </c>
      <c r="AA21" s="9">
        <f t="shared" si="8"/>
        <v>11.148010799419735</v>
      </c>
      <c r="AB21" s="4">
        <f t="shared" si="9"/>
        <v>0.28597529989470089</v>
      </c>
      <c r="AC21" s="53">
        <f t="shared" si="10"/>
        <v>3.7273110848430916E-4</v>
      </c>
      <c r="AD21">
        <f t="shared" si="34"/>
        <v>1.7039136387854135E-3</v>
      </c>
      <c r="AE21">
        <f t="shared" si="35"/>
        <v>7.8806005793825365E-3</v>
      </c>
      <c r="AF21">
        <f t="shared" si="36"/>
        <v>2.529246807572098E-2</v>
      </c>
      <c r="AG21">
        <f t="shared" si="37"/>
        <v>0.10026466818227917</v>
      </c>
      <c r="AH21" s="54">
        <f t="shared" si="38"/>
        <v>0.31234866890985108</v>
      </c>
      <c r="AI21" s="58">
        <f t="shared" si="11"/>
        <v>2.7631449835602376E-4</v>
      </c>
      <c r="AJ21" s="58">
        <f t="shared" si="12"/>
        <v>9.6621805609703243E-4</v>
      </c>
      <c r="AK21" s="58">
        <f t="shared" si="13"/>
        <v>2.4785991270335527E-5</v>
      </c>
      <c r="AL21" s="53">
        <f t="shared" si="24"/>
        <v>1.3033681881671345E-3</v>
      </c>
      <c r="AM21">
        <f t="shared" si="39"/>
        <v>5.9582545744783291E-3</v>
      </c>
      <c r="AN21">
        <f t="shared" si="40"/>
        <v>2.7556927406962271E-2</v>
      </c>
      <c r="AO21">
        <f t="shared" si="41"/>
        <v>8.8442841339912703E-2</v>
      </c>
      <c r="AP21">
        <f t="shared" si="42"/>
        <v>0.35060604261695916</v>
      </c>
      <c r="AQ21" s="54">
        <f t="shared" si="43"/>
        <v>1.0922225416840587</v>
      </c>
      <c r="AR21" s="9">
        <f t="shared" si="15"/>
        <v>2.5652585473776735E-2</v>
      </c>
      <c r="AS21" s="9">
        <f t="shared" si="16"/>
        <v>8.9702101836145604E-2</v>
      </c>
      <c r="AT21" s="9">
        <f t="shared" si="17"/>
        <v>3.4968054946291187</v>
      </c>
      <c r="AU21" s="10">
        <v>8.7491372398812203E-2</v>
      </c>
      <c r="AV21" s="10">
        <v>0.209281252002183</v>
      </c>
      <c r="AW21" s="10">
        <v>0.53107420883976697</v>
      </c>
      <c r="AX21" s="10">
        <v>1.1427850401592301</v>
      </c>
      <c r="AY21" s="10">
        <v>2.42627671242104</v>
      </c>
      <c r="AZ21" s="10">
        <v>9.5332029957152908</v>
      </c>
      <c r="BA21" s="46">
        <f t="shared" si="18"/>
        <v>1.140334715236959E-4</v>
      </c>
      <c r="BB21" s="58">
        <f t="shared" si="19"/>
        <v>1.2469509770945588E-3</v>
      </c>
      <c r="BC21" s="58">
        <f t="shared" si="20"/>
        <v>1.4634773420707379E-2</v>
      </c>
      <c r="BD21" s="58">
        <f t="shared" si="21"/>
        <v>0.10107115599242855</v>
      </c>
      <c r="BE21" s="58">
        <f t="shared" si="22"/>
        <v>0.85066727643562667</v>
      </c>
      <c r="BF21" s="62">
        <f t="shared" si="23"/>
        <v>10.412379206370238</v>
      </c>
    </row>
    <row r="22" spans="1:61" x14ac:dyDescent="0.25">
      <c r="A22" s="35" t="s">
        <v>23</v>
      </c>
      <c r="B22" s="51">
        <v>45</v>
      </c>
      <c r="C22" s="48">
        <v>56.56</v>
      </c>
      <c r="D22" s="25">
        <v>99.999977324263</v>
      </c>
      <c r="E22" s="15">
        <v>1.7343593585544201E-2</v>
      </c>
      <c r="F22" s="15">
        <v>3.7541223526986601E-3</v>
      </c>
      <c r="G22" s="15">
        <v>3.5652204100954199E-3</v>
      </c>
      <c r="H22" s="30">
        <v>0</v>
      </c>
      <c r="I22" s="8">
        <v>3</v>
      </c>
      <c r="J22" s="8">
        <v>17</v>
      </c>
      <c r="K22" s="8">
        <v>221</v>
      </c>
      <c r="L22" s="8">
        <v>2965</v>
      </c>
      <c r="M22" s="8">
        <v>14897</v>
      </c>
      <c r="N22" s="20"/>
      <c r="O22" s="10">
        <f t="shared" si="25"/>
        <v>3.0000006802722641E-2</v>
      </c>
      <c r="P22" s="10">
        <f t="shared" si="26"/>
        <v>0.17000003854876164</v>
      </c>
      <c r="Q22" s="10">
        <f t="shared" si="27"/>
        <v>2.2100005011339015</v>
      </c>
      <c r="R22" s="10">
        <f t="shared" si="28"/>
        <v>29.650006723357546</v>
      </c>
      <c r="S22" s="22">
        <f t="shared" si="29"/>
        <v>148.97003378005306</v>
      </c>
      <c r="T22" s="20"/>
      <c r="U22" s="10"/>
      <c r="V22" s="10"/>
      <c r="W22" s="10">
        <f t="shared" si="32"/>
        <v>3.8329350515515399E-2</v>
      </c>
      <c r="X22" s="10">
        <f t="shared" si="33"/>
        <v>0.51423766641856639</v>
      </c>
      <c r="Y22" s="22">
        <f t="shared" si="33"/>
        <v>2.5836757223060309</v>
      </c>
      <c r="Z22" s="4">
        <f t="shared" si="2"/>
        <v>4.8646623744308739</v>
      </c>
      <c r="AA22" s="9">
        <f t="shared" si="8"/>
        <v>4.6198796832172278</v>
      </c>
      <c r="AB22" s="4">
        <f t="shared" si="9"/>
        <v>0.94968146350705707</v>
      </c>
      <c r="AC22" s="53"/>
      <c r="AD22">
        <f t="shared" si="34"/>
        <v>1.069566365560682E-4</v>
      </c>
      <c r="AE22">
        <f t="shared" si="35"/>
        <v>6.0608760715105312E-4</v>
      </c>
      <c r="AF22">
        <f t="shared" si="36"/>
        <v>7.8791388929636916E-3</v>
      </c>
      <c r="AG22">
        <f t="shared" si="37"/>
        <v>0.10570880912958075</v>
      </c>
      <c r="AH22" s="54">
        <f t="shared" si="38"/>
        <v>0.53111100492524932</v>
      </c>
      <c r="AI22" s="58">
        <f t="shared" si="11"/>
        <v>6.1833733835582188E-5</v>
      </c>
      <c r="AJ22" s="58">
        <f t="shared" si="12"/>
        <v>6.5109972355612588E-5</v>
      </c>
      <c r="AK22" s="58">
        <f t="shared" si="13"/>
        <v>1.33842736338367E-5</v>
      </c>
      <c r="AL22" s="53"/>
      <c r="AM22">
        <f t="shared" si="39"/>
        <v>1.1262369611921293E-4</v>
      </c>
      <c r="AN22">
        <f t="shared" si="40"/>
        <v>6.3820094467553995E-4</v>
      </c>
      <c r="AO22">
        <f t="shared" si="41"/>
        <v>8.2966122807820192E-3</v>
      </c>
      <c r="AP22">
        <f t="shared" si="42"/>
        <v>0.11130975299782211</v>
      </c>
      <c r="AQ22" s="54">
        <f t="shared" si="43"/>
        <v>0.5592517336959717</v>
      </c>
      <c r="AR22" s="9">
        <f t="shared" si="15"/>
        <v>0.20556411175749723</v>
      </c>
      <c r="AS22" s="9">
        <f t="shared" si="16"/>
        <v>0.21645585352205798</v>
      </c>
      <c r="AT22" s="9">
        <f t="shared" si="17"/>
        <v>1.0529846463540762</v>
      </c>
      <c r="AU22" s="10">
        <v>0</v>
      </c>
      <c r="AV22" s="10">
        <v>4.8899641067386798E-2</v>
      </c>
      <c r="AW22" s="10">
        <v>0.137793372793407</v>
      </c>
      <c r="AX22" s="10">
        <v>0.30126664954396598</v>
      </c>
      <c r="AY22" s="10">
        <v>0.96105532229085699</v>
      </c>
      <c r="AZ22" s="10">
        <v>3.84422128916342</v>
      </c>
      <c r="BA22" s="46"/>
      <c r="BB22" s="58"/>
      <c r="BC22" s="58"/>
      <c r="BD22" s="58">
        <f t="shared" si="21"/>
        <v>2.4994925843965211E-3</v>
      </c>
      <c r="BE22" s="58">
        <f t="shared" si="22"/>
        <v>0.10697483054143762</v>
      </c>
      <c r="BF22" s="62">
        <f t="shared" si="23"/>
        <v>2.149887420675606</v>
      </c>
    </row>
    <row r="23" spans="1:61" x14ac:dyDescent="0.25">
      <c r="A23" s="36" t="s">
        <v>44</v>
      </c>
      <c r="B23" s="52"/>
      <c r="C23" s="49"/>
      <c r="D23" s="38"/>
      <c r="E23" s="39"/>
      <c r="F23" s="39"/>
      <c r="G23" s="39"/>
      <c r="H23" s="40"/>
      <c r="I23" s="41"/>
      <c r="J23" s="41"/>
      <c r="K23" s="41"/>
      <c r="L23" s="41"/>
      <c r="M23" s="41"/>
      <c r="N23" s="43"/>
      <c r="O23" s="44"/>
      <c r="P23" s="44"/>
      <c r="Q23" s="44"/>
      <c r="R23" s="44"/>
      <c r="S23" s="45"/>
      <c r="T23" s="43"/>
      <c r="U23" s="44"/>
      <c r="V23" s="44"/>
      <c r="W23" s="44"/>
      <c r="X23" s="44"/>
      <c r="Y23" s="45"/>
      <c r="Z23" s="4"/>
      <c r="AA23" s="9"/>
      <c r="AB23" s="4"/>
      <c r="AC23" s="55"/>
      <c r="AD23" s="56"/>
      <c r="AE23" s="56"/>
      <c r="AF23" s="56"/>
      <c r="AG23" s="56"/>
      <c r="AH23" s="57"/>
      <c r="AI23" s="58"/>
      <c r="AJ23" s="58"/>
      <c r="AK23" s="58"/>
      <c r="AL23" s="55"/>
      <c r="AM23" s="56"/>
      <c r="AN23" s="56"/>
      <c r="AO23" s="56"/>
      <c r="AP23" s="56"/>
      <c r="AQ23" s="57"/>
      <c r="AR23" s="9"/>
      <c r="AS23" s="9"/>
      <c r="AT23" s="9"/>
      <c r="AU23" s="10"/>
      <c r="AV23" s="10"/>
      <c r="AW23" s="10"/>
      <c r="AX23" s="10"/>
      <c r="AY23" s="10"/>
      <c r="AZ23" s="10"/>
      <c r="BA23" s="63"/>
      <c r="BB23" s="64"/>
      <c r="BC23" s="64"/>
      <c r="BD23" s="64"/>
      <c r="BE23" s="64"/>
      <c r="BF23" s="65"/>
    </row>
    <row r="24" spans="1:61" x14ac:dyDescent="0.25">
      <c r="BD24" s="1"/>
    </row>
    <row r="25" spans="1:61" x14ac:dyDescent="0.25">
      <c r="BD25" s="1"/>
    </row>
    <row r="29" spans="1:61" x14ac:dyDescent="0.25">
      <c r="BD29" s="1"/>
      <c r="BE29" s="1"/>
      <c r="BF29" s="9"/>
      <c r="BG29" s="9"/>
      <c r="BH29" s="9"/>
      <c r="BI29" s="9"/>
    </row>
    <row r="30" spans="1:61" x14ac:dyDescent="0.25">
      <c r="BD30" s="9"/>
      <c r="BE30" s="9"/>
      <c r="BF30" s="9"/>
      <c r="BG30" s="9"/>
      <c r="BH30" s="9"/>
      <c r="BI30" s="9"/>
    </row>
    <row r="32" spans="1:61" x14ac:dyDescent="0.25">
      <c r="BE32" s="1"/>
    </row>
    <row r="33" spans="57:57" x14ac:dyDescent="0.25">
      <c r="BE33" s="1"/>
    </row>
    <row r="36" spans="57:57" x14ac:dyDescent="0.25">
      <c r="BE36" s="1"/>
    </row>
    <row r="37" spans="57:57" x14ac:dyDescent="0.25">
      <c r="BE37" s="1"/>
    </row>
  </sheetData>
  <mergeCells count="4">
    <mergeCell ref="T1:Y1"/>
    <mergeCell ref="AC1:AH1"/>
    <mergeCell ref="AL1:AQ1"/>
    <mergeCell ref="BA1:BF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0181C-2EBB-4DC8-BA1A-9D69E59437E1}">
  <dimension ref="A1:AM76"/>
  <sheetViews>
    <sheetView workbookViewId="0">
      <selection activeCell="D22" sqref="D22"/>
    </sheetView>
  </sheetViews>
  <sheetFormatPr defaultRowHeight="15" x14ac:dyDescent="0.25"/>
  <cols>
    <col min="1" max="1" width="10" customWidth="1"/>
    <col min="2" max="2" width="15.28515625" customWidth="1"/>
    <col min="3" max="3" width="12.85546875" customWidth="1"/>
    <col min="4" max="4" width="13" customWidth="1"/>
    <col min="5" max="5" width="11.28515625" customWidth="1"/>
    <col min="6" max="6" width="12.5703125" customWidth="1"/>
    <col min="7" max="7" width="12" customWidth="1"/>
    <col min="13" max="13" width="11.7109375" customWidth="1"/>
    <col min="14" max="14" width="11.140625" customWidth="1"/>
    <col min="15" max="15" width="11" customWidth="1"/>
    <col min="29" max="29" width="11.85546875" customWidth="1"/>
    <col min="30" max="30" width="11.5703125" customWidth="1"/>
    <col min="32" max="32" width="15.85546875" customWidth="1"/>
    <col min="33" max="33" width="14.140625" customWidth="1"/>
  </cols>
  <sheetData>
    <row r="1" spans="1:39" x14ac:dyDescent="0.25">
      <c r="T1" s="124" t="s">
        <v>51</v>
      </c>
      <c r="U1" s="124"/>
      <c r="V1" s="124"/>
      <c r="W1" s="124"/>
      <c r="X1" s="124"/>
      <c r="Y1" s="124"/>
      <c r="Z1" s="124" t="s">
        <v>55</v>
      </c>
      <c r="AA1" s="124"/>
      <c r="AB1" s="124"/>
      <c r="AC1" s="124"/>
      <c r="AD1" s="124"/>
      <c r="AE1" s="124"/>
      <c r="AH1" s="124" t="s">
        <v>58</v>
      </c>
      <c r="AI1" s="124"/>
      <c r="AJ1" s="124"/>
      <c r="AK1" s="124"/>
      <c r="AL1" s="124"/>
      <c r="AM1" s="124"/>
    </row>
    <row r="2" spans="1:39" x14ac:dyDescent="0.25">
      <c r="A2" s="31" t="s">
        <v>0</v>
      </c>
      <c r="B2" s="32" t="s">
        <v>46</v>
      </c>
      <c r="C2" s="32" t="s">
        <v>45</v>
      </c>
      <c r="D2" s="32" t="s">
        <v>47</v>
      </c>
      <c r="E2" s="32" t="s">
        <v>1</v>
      </c>
      <c r="F2" s="32" t="s">
        <v>2</v>
      </c>
      <c r="G2" s="32" t="s">
        <v>3</v>
      </c>
      <c r="H2" s="31" t="s">
        <v>4</v>
      </c>
      <c r="I2" s="32" t="s">
        <v>5</v>
      </c>
      <c r="J2" s="32" t="s">
        <v>6</v>
      </c>
      <c r="K2" s="32" t="s">
        <v>7</v>
      </c>
      <c r="L2" s="32" t="s">
        <v>8</v>
      </c>
      <c r="M2" s="32" t="s">
        <v>9</v>
      </c>
      <c r="N2" s="31" t="s">
        <v>33</v>
      </c>
      <c r="O2" s="32" t="s">
        <v>34</v>
      </c>
      <c r="P2" s="32" t="s">
        <v>35</v>
      </c>
      <c r="Q2" s="32" t="s">
        <v>36</v>
      </c>
      <c r="R2" s="32" t="s">
        <v>37</v>
      </c>
      <c r="S2" s="33" t="s">
        <v>38</v>
      </c>
      <c r="T2" s="31" t="s">
        <v>21</v>
      </c>
      <c r="U2" s="32" t="s">
        <v>20</v>
      </c>
      <c r="V2" s="32" t="s">
        <v>19</v>
      </c>
      <c r="W2" s="32" t="s">
        <v>18</v>
      </c>
      <c r="X2" s="32" t="s">
        <v>17</v>
      </c>
      <c r="Y2" s="33" t="s">
        <v>16</v>
      </c>
      <c r="Z2" s="31" t="s">
        <v>21</v>
      </c>
      <c r="AA2" s="32" t="s">
        <v>20</v>
      </c>
      <c r="AB2" s="32" t="s">
        <v>19</v>
      </c>
      <c r="AC2" s="32" t="s">
        <v>18</v>
      </c>
      <c r="AD2" s="32" t="s">
        <v>17</v>
      </c>
      <c r="AE2" s="33" t="s">
        <v>16</v>
      </c>
      <c r="AF2" s="5" t="s">
        <v>56</v>
      </c>
      <c r="AG2" s="54" t="s">
        <v>57</v>
      </c>
      <c r="AH2" s="32" t="s">
        <v>21</v>
      </c>
      <c r="AI2" s="32" t="s">
        <v>20</v>
      </c>
      <c r="AJ2" s="32" t="s">
        <v>19</v>
      </c>
      <c r="AK2" s="32" t="s">
        <v>18</v>
      </c>
      <c r="AL2" s="32" t="s">
        <v>17</v>
      </c>
      <c r="AM2" s="33" t="s">
        <v>16</v>
      </c>
    </row>
    <row r="3" spans="1:39" x14ac:dyDescent="0.25">
      <c r="A3" s="34">
        <v>8</v>
      </c>
      <c r="B3" s="2">
        <v>128</v>
      </c>
      <c r="C3" s="2">
        <v>160</v>
      </c>
      <c r="D3" s="2">
        <v>10</v>
      </c>
      <c r="E3" s="27">
        <v>0.161944718485239</v>
      </c>
      <c r="F3" s="27">
        <v>3.2526116479269097E-2</v>
      </c>
      <c r="G3" s="27">
        <v>7.7989329746457701E-3</v>
      </c>
      <c r="H3" s="30">
        <v>10</v>
      </c>
      <c r="I3" s="8">
        <v>31</v>
      </c>
      <c r="J3" s="8">
        <v>89</v>
      </c>
      <c r="K3" s="8">
        <v>230</v>
      </c>
      <c r="L3" s="8">
        <v>509</v>
      </c>
      <c r="M3" s="8">
        <v>1493</v>
      </c>
      <c r="N3" s="20">
        <f>H3/$D3</f>
        <v>1</v>
      </c>
      <c r="O3" s="10">
        <f t="shared" ref="O3:S18" si="0">I3/$D3</f>
        <v>3.1</v>
      </c>
      <c r="P3" s="10">
        <f t="shared" si="0"/>
        <v>8.9</v>
      </c>
      <c r="Q3" s="10">
        <f t="shared" si="0"/>
        <v>23</v>
      </c>
      <c r="R3" s="10">
        <f t="shared" si="0"/>
        <v>50.9</v>
      </c>
      <c r="S3" s="22">
        <f t="shared" si="0"/>
        <v>149.30000000000001</v>
      </c>
      <c r="T3" s="20">
        <f>N3*$E3</f>
        <v>0.161944718485239</v>
      </c>
      <c r="U3" s="10">
        <f t="shared" ref="U3:Y18" si="1">O3*$E3</f>
        <v>0.50202862730424092</v>
      </c>
      <c r="V3" s="10">
        <f t="shared" si="1"/>
        <v>1.4413079945186271</v>
      </c>
      <c r="W3" s="9">
        <f>Q3*$E3</f>
        <v>3.7247285251604971</v>
      </c>
      <c r="X3" s="9">
        <f t="shared" si="1"/>
        <v>8.2429861708986643</v>
      </c>
      <c r="Y3" s="22">
        <f t="shared" si="1"/>
        <v>24.178346469846186</v>
      </c>
      <c r="Z3" s="53">
        <f>N3*$G3</f>
        <v>7.7989329746457701E-3</v>
      </c>
      <c r="AA3">
        <f t="shared" ref="AA3:AE3" si="2">O3*$G3</f>
        <v>2.417669222140189E-2</v>
      </c>
      <c r="AB3">
        <f t="shared" si="2"/>
        <v>6.9410503474347351E-2</v>
      </c>
      <c r="AC3">
        <f t="shared" si="2"/>
        <v>0.17937545841685271</v>
      </c>
      <c r="AD3">
        <f t="shared" si="2"/>
        <v>0.39696568840946966</v>
      </c>
      <c r="AE3" s="54">
        <f t="shared" si="2"/>
        <v>1.1643806931146135</v>
      </c>
      <c r="AF3" s="46">
        <f>E3*G3</f>
        <v>1.2629960050642569E-3</v>
      </c>
      <c r="AG3" s="62">
        <f t="shared" ref="AG3:AG23" si="3">E3*F3</f>
        <v>5.2674327766533274E-3</v>
      </c>
      <c r="AH3">
        <f>N3*$F3</f>
        <v>3.2526116479269097E-2</v>
      </c>
      <c r="AI3">
        <f t="shared" ref="AI3:AM18" si="4">O3*$F3</f>
        <v>0.10083096108573421</v>
      </c>
      <c r="AJ3">
        <f t="shared" si="4"/>
        <v>0.289482436665495</v>
      </c>
      <c r="AK3">
        <f t="shared" si="4"/>
        <v>0.74810067902318922</v>
      </c>
      <c r="AL3">
        <f t="shared" si="4"/>
        <v>1.6555793287947971</v>
      </c>
      <c r="AM3" s="54">
        <f t="shared" si="4"/>
        <v>4.856149190354877</v>
      </c>
    </row>
    <row r="4" spans="1:39" x14ac:dyDescent="0.25">
      <c r="A4" s="34">
        <v>168</v>
      </c>
      <c r="B4" s="2">
        <v>128</v>
      </c>
      <c r="C4" s="2">
        <v>196</v>
      </c>
      <c r="D4" s="2">
        <v>10</v>
      </c>
      <c r="E4" s="27">
        <v>8.9416636847151898E-2</v>
      </c>
      <c r="F4" s="27">
        <v>2.1060905578879598E-2</v>
      </c>
      <c r="G4" s="27">
        <v>9.6694169987568603E-3</v>
      </c>
      <c r="H4" s="30">
        <v>4</v>
      </c>
      <c r="I4" s="8">
        <v>16</v>
      </c>
      <c r="J4" s="8">
        <v>110</v>
      </c>
      <c r="K4" s="8">
        <v>255</v>
      </c>
      <c r="L4" s="8">
        <v>489</v>
      </c>
      <c r="M4" s="8">
        <v>1351</v>
      </c>
      <c r="N4" s="20">
        <f t="shared" ref="N4:S24" si="5">H4/$D4</f>
        <v>0.4</v>
      </c>
      <c r="O4" s="10">
        <f t="shared" si="0"/>
        <v>1.6</v>
      </c>
      <c r="P4" s="10">
        <f t="shared" si="0"/>
        <v>11</v>
      </c>
      <c r="Q4" s="10">
        <f t="shared" si="0"/>
        <v>25.5</v>
      </c>
      <c r="R4" s="10">
        <f t="shared" si="0"/>
        <v>48.9</v>
      </c>
      <c r="S4" s="22">
        <f t="shared" si="0"/>
        <v>135.1</v>
      </c>
      <c r="T4" s="20">
        <f t="shared" ref="T4:Y23" si="6">N4*$E4</f>
        <v>3.5766654738860759E-2</v>
      </c>
      <c r="U4" s="10">
        <f t="shared" si="1"/>
        <v>0.14306661895544304</v>
      </c>
      <c r="V4" s="10">
        <f t="shared" si="1"/>
        <v>0.98358300531867093</v>
      </c>
      <c r="W4" s="9">
        <f t="shared" si="1"/>
        <v>2.2801242396023733</v>
      </c>
      <c r="X4" s="9">
        <f t="shared" si="1"/>
        <v>4.3724735418257277</v>
      </c>
      <c r="Y4" s="22">
        <f t="shared" si="1"/>
        <v>12.080187638050221</v>
      </c>
      <c r="Z4" s="53">
        <f t="shared" ref="Z4:Z23" si="7">N4*$G4</f>
        <v>3.8677667995027443E-3</v>
      </c>
      <c r="AA4">
        <f t="shared" ref="AA4:AA23" si="8">O4*$G4</f>
        <v>1.5471067198010977E-2</v>
      </c>
      <c r="AB4">
        <f t="shared" ref="AB4:AB23" si="9">P4*$G4</f>
        <v>0.10636358698632546</v>
      </c>
      <c r="AC4">
        <f t="shared" ref="AC4:AC23" si="10">Q4*$G4</f>
        <v>0.24657013346829995</v>
      </c>
      <c r="AD4">
        <f t="shared" ref="AD4:AD23" si="11">R4*$G4</f>
        <v>0.47283449123921045</v>
      </c>
      <c r="AE4" s="54">
        <f t="shared" ref="AE4:AE23" si="12">S4*$G4</f>
        <v>1.3063382365320517</v>
      </c>
      <c r="AF4" s="46">
        <f t="shared" ref="AF4:AF24" si="13">E4*G4</f>
        <v>8.6460674830151957E-4</v>
      </c>
      <c r="AG4" s="62">
        <f t="shared" si="3"/>
        <v>1.8831953458188324E-3</v>
      </c>
      <c r="AH4">
        <f t="shared" ref="AH4:AH23" si="14">N4*$F4</f>
        <v>8.4243622315518397E-3</v>
      </c>
      <c r="AI4">
        <f t="shared" si="4"/>
        <v>3.3697448926207359E-2</v>
      </c>
      <c r="AJ4">
        <f t="shared" si="4"/>
        <v>0.23166996136767559</v>
      </c>
      <c r="AK4">
        <f t="shared" si="4"/>
        <v>0.53705309226142972</v>
      </c>
      <c r="AL4">
        <f t="shared" si="4"/>
        <v>1.0298782828072124</v>
      </c>
      <c r="AM4" s="54">
        <f t="shared" si="4"/>
        <v>2.8453283437066337</v>
      </c>
    </row>
    <row r="5" spans="1:39" x14ac:dyDescent="0.25">
      <c r="A5" s="34">
        <v>22</v>
      </c>
      <c r="B5" s="2">
        <v>90</v>
      </c>
      <c r="C5" s="2"/>
      <c r="D5" s="2">
        <v>10</v>
      </c>
      <c r="E5" s="27">
        <v>6.2688332148029005E-2</v>
      </c>
      <c r="F5" s="27">
        <v>1.8357479777712401E-2</v>
      </c>
      <c r="G5" s="27">
        <v>5.3392743586913897E-3</v>
      </c>
      <c r="H5" s="30">
        <v>3</v>
      </c>
      <c r="I5" s="8">
        <v>21</v>
      </c>
      <c r="J5" s="8">
        <v>91</v>
      </c>
      <c r="K5" s="8">
        <v>212</v>
      </c>
      <c r="L5" s="8">
        <v>660</v>
      </c>
      <c r="M5" s="8">
        <v>1581</v>
      </c>
      <c r="N5" s="20">
        <f t="shared" si="5"/>
        <v>0.3</v>
      </c>
      <c r="O5" s="10">
        <f t="shared" si="0"/>
        <v>2.1</v>
      </c>
      <c r="P5" s="10">
        <f t="shared" si="0"/>
        <v>9.1</v>
      </c>
      <c r="Q5" s="10">
        <f t="shared" si="0"/>
        <v>21.2</v>
      </c>
      <c r="R5" s="10">
        <f t="shared" si="0"/>
        <v>66</v>
      </c>
      <c r="S5" s="22">
        <f t="shared" si="0"/>
        <v>158.1</v>
      </c>
      <c r="T5" s="20">
        <f>N5*$E5</f>
        <v>1.8806499644408701E-2</v>
      </c>
      <c r="U5" s="10">
        <f t="shared" si="1"/>
        <v>0.13164549751086091</v>
      </c>
      <c r="V5" s="10">
        <f t="shared" si="1"/>
        <v>0.57046382254706396</v>
      </c>
      <c r="W5" s="9">
        <f t="shared" si="1"/>
        <v>1.3289926415382149</v>
      </c>
      <c r="X5" s="9">
        <f t="shared" si="1"/>
        <v>4.1374299217699146</v>
      </c>
      <c r="Y5" s="22">
        <f t="shared" si="1"/>
        <v>9.9110253126033854</v>
      </c>
      <c r="Z5" s="53">
        <f t="shared" si="7"/>
        <v>1.6017823076074169E-3</v>
      </c>
      <c r="AA5">
        <f t="shared" si="8"/>
        <v>1.1212476153251919E-2</v>
      </c>
      <c r="AB5">
        <f t="shared" si="9"/>
        <v>4.8587396664091648E-2</v>
      </c>
      <c r="AC5">
        <f t="shared" si="10"/>
        <v>0.11319261640425746</v>
      </c>
      <c r="AD5">
        <f t="shared" si="11"/>
        <v>0.35239210767363172</v>
      </c>
      <c r="AE5" s="54">
        <f t="shared" si="12"/>
        <v>0.84413927610910866</v>
      </c>
      <c r="AF5" s="46">
        <f t="shared" si="13"/>
        <v>3.3471020442710041E-4</v>
      </c>
      <c r="AG5" s="62">
        <f t="shared" si="3"/>
        <v>1.1507997897059607E-3</v>
      </c>
      <c r="AH5">
        <f t="shared" si="14"/>
        <v>5.5072439333137199E-3</v>
      </c>
      <c r="AI5">
        <f t="shared" si="4"/>
        <v>3.8550707533196046E-2</v>
      </c>
      <c r="AJ5">
        <f t="shared" si="4"/>
        <v>0.16705306597718284</v>
      </c>
      <c r="AK5">
        <f t="shared" si="4"/>
        <v>0.38917857128750288</v>
      </c>
      <c r="AL5">
        <f t="shared" si="4"/>
        <v>1.2115936653290185</v>
      </c>
      <c r="AM5" s="54">
        <f t="shared" si="4"/>
        <v>2.9023175528563305</v>
      </c>
    </row>
    <row r="6" spans="1:39" x14ac:dyDescent="0.25">
      <c r="A6" s="34">
        <v>152</v>
      </c>
      <c r="B6" s="2">
        <v>90</v>
      </c>
      <c r="C6" s="2">
        <v>91.54</v>
      </c>
      <c r="D6" s="2">
        <v>10</v>
      </c>
      <c r="E6" s="27">
        <v>0.10293183462706799</v>
      </c>
      <c r="F6" s="27">
        <v>2.3869849132825499E-2</v>
      </c>
      <c r="G6" s="27">
        <v>8.4624680045280194E-3</v>
      </c>
      <c r="H6" s="30">
        <v>9</v>
      </c>
      <c r="I6" s="8">
        <v>32</v>
      </c>
      <c r="J6" s="8">
        <v>75</v>
      </c>
      <c r="K6" s="8">
        <v>233</v>
      </c>
      <c r="L6" s="8">
        <v>700</v>
      </c>
      <c r="M6" s="8">
        <v>1639</v>
      </c>
      <c r="N6" s="20">
        <f t="shared" si="5"/>
        <v>0.9</v>
      </c>
      <c r="O6" s="10">
        <f t="shared" si="0"/>
        <v>3.2</v>
      </c>
      <c r="P6" s="10">
        <f t="shared" si="0"/>
        <v>7.5</v>
      </c>
      <c r="Q6" s="10">
        <f t="shared" si="0"/>
        <v>23.3</v>
      </c>
      <c r="R6" s="10">
        <f t="shared" si="0"/>
        <v>70</v>
      </c>
      <c r="S6" s="22">
        <f t="shared" si="0"/>
        <v>163.9</v>
      </c>
      <c r="T6" s="20">
        <f>N6*$E6</f>
        <v>9.2638651164361194E-2</v>
      </c>
      <c r="U6" s="10">
        <f t="shared" si="1"/>
        <v>0.32938187080661763</v>
      </c>
      <c r="V6" s="10">
        <f t="shared" si="1"/>
        <v>0.77198875970300995</v>
      </c>
      <c r="W6" s="9">
        <f t="shared" si="1"/>
        <v>2.3983117468106845</v>
      </c>
      <c r="X6" s="9">
        <f t="shared" si="1"/>
        <v>7.2052284238947593</v>
      </c>
      <c r="Y6" s="22">
        <f t="shared" si="1"/>
        <v>16.870527695376445</v>
      </c>
      <c r="Z6" s="53">
        <f t="shared" si="7"/>
        <v>7.6162212040752179E-3</v>
      </c>
      <c r="AA6">
        <f t="shared" si="8"/>
        <v>2.7079897614489663E-2</v>
      </c>
      <c r="AB6">
        <f t="shared" si="9"/>
        <v>6.3468510033960146E-2</v>
      </c>
      <c r="AC6">
        <f t="shared" si="10"/>
        <v>0.19717550450550286</v>
      </c>
      <c r="AD6">
        <f t="shared" si="11"/>
        <v>0.5923727603169614</v>
      </c>
      <c r="AE6" s="54">
        <f t="shared" si="12"/>
        <v>1.3869985059421424</v>
      </c>
      <c r="AF6" s="46">
        <f t="shared" si="13"/>
        <v>8.7105735717893222E-4</v>
      </c>
      <c r="AG6" s="62">
        <f t="shared" si="3"/>
        <v>2.4569673635130565E-3</v>
      </c>
      <c r="AH6">
        <f t="shared" si="14"/>
        <v>2.1482864219542951E-2</v>
      </c>
      <c r="AI6">
        <f t="shared" si="4"/>
        <v>7.6383517225041608E-2</v>
      </c>
      <c r="AJ6">
        <f t="shared" si="4"/>
        <v>0.17902386849619123</v>
      </c>
      <c r="AK6">
        <f t="shared" si="4"/>
        <v>0.55616748479483413</v>
      </c>
      <c r="AL6">
        <f t="shared" si="4"/>
        <v>1.6708894392977849</v>
      </c>
      <c r="AM6" s="54">
        <f t="shared" si="4"/>
        <v>3.9122682728700995</v>
      </c>
    </row>
    <row r="7" spans="1:39" x14ac:dyDescent="0.25">
      <c r="A7" s="34">
        <v>101</v>
      </c>
      <c r="B7" s="2">
        <v>64</v>
      </c>
      <c r="C7" s="2">
        <v>108.92</v>
      </c>
      <c r="D7" s="2">
        <v>6</v>
      </c>
      <c r="E7" s="27">
        <v>3.00794247374499E-2</v>
      </c>
      <c r="F7" s="27">
        <v>1.50358559887077E-2</v>
      </c>
      <c r="G7" s="27">
        <v>9.2196022769056602E-3</v>
      </c>
      <c r="H7" s="30">
        <v>2</v>
      </c>
      <c r="I7" s="8">
        <v>9</v>
      </c>
      <c r="J7" s="8">
        <v>49</v>
      </c>
      <c r="K7" s="8">
        <v>132</v>
      </c>
      <c r="L7" s="8">
        <v>544</v>
      </c>
      <c r="M7" s="8">
        <v>1041</v>
      </c>
      <c r="N7" s="20">
        <f t="shared" si="5"/>
        <v>0.33333333333333331</v>
      </c>
      <c r="O7" s="10">
        <f t="shared" si="0"/>
        <v>1.5</v>
      </c>
      <c r="P7" s="10">
        <f t="shared" si="0"/>
        <v>8.1666666666666661</v>
      </c>
      <c r="Q7" s="10">
        <f t="shared" si="0"/>
        <v>22</v>
      </c>
      <c r="R7" s="10">
        <f t="shared" si="0"/>
        <v>90.666666666666671</v>
      </c>
      <c r="S7" s="22">
        <f t="shared" si="0"/>
        <v>173.5</v>
      </c>
      <c r="T7" s="20">
        <f t="shared" si="6"/>
        <v>1.0026474912483299E-2</v>
      </c>
      <c r="U7" s="10">
        <f t="shared" si="1"/>
        <v>4.511913710617485E-2</v>
      </c>
      <c r="V7" s="10">
        <f t="shared" si="1"/>
        <v>0.24564863535584083</v>
      </c>
      <c r="W7" s="9">
        <f t="shared" si="1"/>
        <v>0.6617473442238978</v>
      </c>
      <c r="X7" s="9">
        <f t="shared" si="1"/>
        <v>2.7272011761954578</v>
      </c>
      <c r="Y7" s="22">
        <f t="shared" si="1"/>
        <v>5.218780191947558</v>
      </c>
      <c r="Z7" s="53">
        <f t="shared" si="7"/>
        <v>3.0732007589685533E-3</v>
      </c>
      <c r="AA7">
        <f t="shared" si="8"/>
        <v>1.3829403415358491E-2</v>
      </c>
      <c r="AB7">
        <f t="shared" si="9"/>
        <v>7.5293418594729558E-2</v>
      </c>
      <c r="AC7">
        <f t="shared" si="10"/>
        <v>0.20283125009192451</v>
      </c>
      <c r="AD7">
        <f t="shared" si="11"/>
        <v>0.83591060643944659</v>
      </c>
      <c r="AE7" s="54">
        <f t="shared" si="12"/>
        <v>1.599600995043132</v>
      </c>
      <c r="AF7" s="46">
        <f t="shared" si="13"/>
        <v>2.7732033279740553E-4</v>
      </c>
      <c r="AG7" s="62">
        <f t="shared" si="3"/>
        <v>4.5226989857546863E-4</v>
      </c>
      <c r="AH7">
        <f t="shared" si="14"/>
        <v>5.0119519962358999E-3</v>
      </c>
      <c r="AI7">
        <f t="shared" si="4"/>
        <v>2.255378398306155E-2</v>
      </c>
      <c r="AJ7">
        <f t="shared" si="4"/>
        <v>0.12279282390777954</v>
      </c>
      <c r="AK7">
        <f t="shared" si="4"/>
        <v>0.33078883175156937</v>
      </c>
      <c r="AL7">
        <f t="shared" si="4"/>
        <v>1.3632509429761648</v>
      </c>
      <c r="AM7" s="54">
        <f t="shared" si="4"/>
        <v>2.6087210140407859</v>
      </c>
    </row>
    <row r="8" spans="1:39" x14ac:dyDescent="0.25">
      <c r="A8" s="34">
        <v>24</v>
      </c>
      <c r="B8" s="2">
        <v>64</v>
      </c>
      <c r="C8" s="2">
        <v>87.08</v>
      </c>
      <c r="D8" s="2">
        <v>10</v>
      </c>
      <c r="E8" s="27">
        <v>0.10538288704710901</v>
      </c>
      <c r="F8" s="27">
        <v>1.6430974908246999E-2</v>
      </c>
      <c r="G8" s="27">
        <v>6.0105568763227698E-3</v>
      </c>
      <c r="H8" s="30">
        <v>5</v>
      </c>
      <c r="I8" s="8">
        <v>18</v>
      </c>
      <c r="J8" s="8">
        <v>43</v>
      </c>
      <c r="K8" s="8">
        <v>139</v>
      </c>
      <c r="L8" s="8">
        <v>586</v>
      </c>
      <c r="M8" s="8">
        <v>1730</v>
      </c>
      <c r="N8" s="20">
        <f t="shared" si="5"/>
        <v>0.5</v>
      </c>
      <c r="O8" s="10">
        <f t="shared" si="0"/>
        <v>1.8</v>
      </c>
      <c r="P8" s="10">
        <f t="shared" si="0"/>
        <v>4.3</v>
      </c>
      <c r="Q8" s="10">
        <f t="shared" si="0"/>
        <v>13.9</v>
      </c>
      <c r="R8" s="10">
        <f t="shared" si="0"/>
        <v>58.6</v>
      </c>
      <c r="S8" s="22">
        <f t="shared" si="0"/>
        <v>173</v>
      </c>
      <c r="T8" s="20">
        <f t="shared" si="6"/>
        <v>5.2691443523554503E-2</v>
      </c>
      <c r="U8" s="10">
        <f t="shared" si="1"/>
        <v>0.18968919668479622</v>
      </c>
      <c r="V8" s="10">
        <f t="shared" si="1"/>
        <v>0.45314641430256869</v>
      </c>
      <c r="W8" s="9">
        <f t="shared" si="1"/>
        <v>1.4648221299548152</v>
      </c>
      <c r="X8" s="9">
        <f t="shared" si="1"/>
        <v>6.1754371809605875</v>
      </c>
      <c r="Y8" s="22">
        <f t="shared" si="1"/>
        <v>18.231239459149858</v>
      </c>
      <c r="Z8" s="53">
        <f t="shared" si="7"/>
        <v>3.0052784381613849E-3</v>
      </c>
      <c r="AA8">
        <f t="shared" si="8"/>
        <v>1.0819002377380985E-2</v>
      </c>
      <c r="AB8">
        <f t="shared" si="9"/>
        <v>2.5845394568187911E-2</v>
      </c>
      <c r="AC8">
        <f t="shared" si="10"/>
        <v>8.35467405808865E-2</v>
      </c>
      <c r="AD8">
        <f t="shared" si="11"/>
        <v>0.35221863295251432</v>
      </c>
      <c r="AE8" s="54">
        <f t="shared" si="12"/>
        <v>1.0398263396038392</v>
      </c>
      <c r="AF8" s="46">
        <f t="shared" si="13"/>
        <v>6.3340983638774675E-4</v>
      </c>
      <c r="AG8" s="62">
        <f t="shared" si="3"/>
        <v>1.7315435728296757E-3</v>
      </c>
      <c r="AH8">
        <f t="shared" si="14"/>
        <v>8.2154874541234997E-3</v>
      </c>
      <c r="AI8">
        <f t="shared" si="4"/>
        <v>2.9575754834844599E-2</v>
      </c>
      <c r="AJ8">
        <f t="shared" si="4"/>
        <v>7.0653192105462101E-2</v>
      </c>
      <c r="AK8">
        <f t="shared" si="4"/>
        <v>0.22839055122463331</v>
      </c>
      <c r="AL8">
        <f t="shared" si="4"/>
        <v>0.96285512962327424</v>
      </c>
      <c r="AM8" s="54">
        <f t="shared" si="4"/>
        <v>2.8425586591267309</v>
      </c>
    </row>
    <row r="9" spans="1:39" x14ac:dyDescent="0.25">
      <c r="A9" s="34">
        <v>159</v>
      </c>
      <c r="B9" s="2">
        <v>45</v>
      </c>
      <c r="C9" s="2">
        <v>54.11</v>
      </c>
      <c r="D9" s="2">
        <v>15</v>
      </c>
      <c r="E9" s="27">
        <v>1.09573532088619E-2</v>
      </c>
      <c r="F9" s="27">
        <v>4.9905746416529098E-3</v>
      </c>
      <c r="G9" s="27">
        <v>4.5767283517164602E-3</v>
      </c>
      <c r="H9" s="30">
        <v>0</v>
      </c>
      <c r="I9" s="8">
        <v>0</v>
      </c>
      <c r="J9" s="8">
        <v>11</v>
      </c>
      <c r="K9" s="8">
        <v>72</v>
      </c>
      <c r="L9" s="8">
        <v>777</v>
      </c>
      <c r="M9" s="8">
        <v>2820</v>
      </c>
      <c r="N9" s="20">
        <f t="shared" si="5"/>
        <v>0</v>
      </c>
      <c r="O9" s="10">
        <f t="shared" si="0"/>
        <v>0</v>
      </c>
      <c r="P9" s="10">
        <f t="shared" si="0"/>
        <v>0.73333333333333328</v>
      </c>
      <c r="Q9" s="10">
        <f t="shared" si="0"/>
        <v>4.8</v>
      </c>
      <c r="R9" s="10">
        <f t="shared" si="0"/>
        <v>51.8</v>
      </c>
      <c r="S9" s="22">
        <f t="shared" si="0"/>
        <v>188</v>
      </c>
      <c r="T9" s="20"/>
      <c r="U9" s="10"/>
      <c r="V9" s="10">
        <f t="shared" si="1"/>
        <v>8.0353923531653916E-3</v>
      </c>
      <c r="W9" s="9">
        <f t="shared" si="1"/>
        <v>5.2595295402537115E-2</v>
      </c>
      <c r="X9" s="9">
        <f t="shared" si="1"/>
        <v>0.56759089621904635</v>
      </c>
      <c r="Y9" s="22">
        <f t="shared" si="1"/>
        <v>2.0599824032660372</v>
      </c>
      <c r="Z9" s="53">
        <f t="shared" si="7"/>
        <v>0</v>
      </c>
      <c r="AA9">
        <f t="shared" si="8"/>
        <v>0</v>
      </c>
      <c r="AB9">
        <f t="shared" si="9"/>
        <v>3.3562674579254038E-3</v>
      </c>
      <c r="AC9">
        <f t="shared" si="10"/>
        <v>2.1968296088239008E-2</v>
      </c>
      <c r="AD9">
        <f t="shared" si="11"/>
        <v>0.23707452861891262</v>
      </c>
      <c r="AE9" s="54">
        <f t="shared" si="12"/>
        <v>0.8604249301226945</v>
      </c>
      <c r="AF9" s="46">
        <f t="shared" si="13"/>
        <v>5.0148829090769585E-5</v>
      </c>
      <c r="AG9" s="62">
        <f t="shared" si="3"/>
        <v>5.4683489063780337E-5</v>
      </c>
      <c r="AH9">
        <f t="shared" si="14"/>
        <v>0</v>
      </c>
      <c r="AI9">
        <f t="shared" si="4"/>
        <v>0</v>
      </c>
      <c r="AJ9">
        <f t="shared" si="4"/>
        <v>3.6597547372121337E-3</v>
      </c>
      <c r="AK9">
        <f t="shared" si="4"/>
        <v>2.3954758279933968E-2</v>
      </c>
      <c r="AL9">
        <f t="shared" si="4"/>
        <v>0.25851176643762069</v>
      </c>
      <c r="AM9" s="54">
        <f t="shared" si="4"/>
        <v>0.93822803263074706</v>
      </c>
    </row>
    <row r="10" spans="1:39" x14ac:dyDescent="0.25">
      <c r="A10" s="34">
        <v>35</v>
      </c>
      <c r="B10" s="2">
        <v>45</v>
      </c>
      <c r="C10" s="2">
        <v>64.849999999999994</v>
      </c>
      <c r="D10" s="2">
        <v>6</v>
      </c>
      <c r="E10" s="27">
        <v>2.2279504588702301E-2</v>
      </c>
      <c r="F10" s="27">
        <v>9.4453501582737708E-3</v>
      </c>
      <c r="G10" s="27">
        <v>6.3512880877902899E-3</v>
      </c>
      <c r="H10" s="30">
        <v>0</v>
      </c>
      <c r="I10" s="8">
        <v>6</v>
      </c>
      <c r="J10" s="8">
        <v>24</v>
      </c>
      <c r="K10" s="8">
        <v>103</v>
      </c>
      <c r="L10" s="8">
        <v>418</v>
      </c>
      <c r="M10" s="8">
        <v>1139</v>
      </c>
      <c r="N10" s="20">
        <f t="shared" si="5"/>
        <v>0</v>
      </c>
      <c r="O10" s="10">
        <f t="shared" si="0"/>
        <v>1</v>
      </c>
      <c r="P10" s="10">
        <f t="shared" si="0"/>
        <v>4</v>
      </c>
      <c r="Q10" s="10">
        <f t="shared" si="0"/>
        <v>17.166666666666668</v>
      </c>
      <c r="R10" s="10">
        <f t="shared" si="0"/>
        <v>69.666666666666671</v>
      </c>
      <c r="S10" s="22">
        <f t="shared" si="0"/>
        <v>189.83333333333334</v>
      </c>
      <c r="T10" s="20"/>
      <c r="U10" s="10">
        <f t="shared" si="1"/>
        <v>2.2279504588702301E-2</v>
      </c>
      <c r="V10" s="10">
        <f t="shared" si="1"/>
        <v>8.9118018354809203E-2</v>
      </c>
      <c r="W10" s="9">
        <f t="shared" si="1"/>
        <v>0.38246482877272286</v>
      </c>
      <c r="X10" s="9">
        <f t="shared" si="1"/>
        <v>1.5521388196795938</v>
      </c>
      <c r="Y10" s="22">
        <f t="shared" si="1"/>
        <v>4.2293926210886532</v>
      </c>
      <c r="Z10" s="53">
        <f t="shared" si="7"/>
        <v>0</v>
      </c>
      <c r="AA10">
        <f t="shared" si="8"/>
        <v>6.3512880877902899E-3</v>
      </c>
      <c r="AB10">
        <f t="shared" si="9"/>
        <v>2.5405152351161159E-2</v>
      </c>
      <c r="AC10">
        <f t="shared" si="10"/>
        <v>0.10903044550706666</v>
      </c>
      <c r="AD10">
        <f t="shared" si="11"/>
        <v>0.44247307011605691</v>
      </c>
      <c r="AE10" s="54">
        <f t="shared" si="12"/>
        <v>1.2056861886655235</v>
      </c>
      <c r="AF10" s="46">
        <f t="shared" si="13"/>
        <v>1.4150355209609401E-4</v>
      </c>
      <c r="AG10" s="62">
        <f t="shared" si="3"/>
        <v>2.1043772219316048E-4</v>
      </c>
      <c r="AH10">
        <f t="shared" si="14"/>
        <v>0</v>
      </c>
      <c r="AI10">
        <f t="shared" si="4"/>
        <v>9.4453501582737708E-3</v>
      </c>
      <c r="AJ10">
        <f t="shared" si="4"/>
        <v>3.7781400633095083E-2</v>
      </c>
      <c r="AK10">
        <f t="shared" si="4"/>
        <v>0.16214517771703307</v>
      </c>
      <c r="AL10">
        <f t="shared" si="4"/>
        <v>0.65802606102640604</v>
      </c>
      <c r="AM10" s="54">
        <f t="shared" si="4"/>
        <v>1.7930423050456377</v>
      </c>
    </row>
    <row r="11" spans="1:39" x14ac:dyDescent="0.25">
      <c r="A11" s="34">
        <v>61</v>
      </c>
      <c r="B11" s="2">
        <v>32</v>
      </c>
      <c r="C11" s="2"/>
      <c r="D11" s="2">
        <v>6</v>
      </c>
      <c r="E11" s="27">
        <v>2.4554138346802101E-2</v>
      </c>
      <c r="F11" s="27">
        <v>8.2745106205033593E-3</v>
      </c>
      <c r="G11" s="27">
        <v>4.2829956428710502E-3</v>
      </c>
      <c r="H11" s="30">
        <v>0</v>
      </c>
      <c r="I11" s="8">
        <v>6</v>
      </c>
      <c r="J11" s="8">
        <v>27</v>
      </c>
      <c r="K11" s="8">
        <v>64</v>
      </c>
      <c r="L11" s="8">
        <v>364</v>
      </c>
      <c r="M11" s="8">
        <v>1201</v>
      </c>
      <c r="N11" s="20">
        <f t="shared" si="5"/>
        <v>0</v>
      </c>
      <c r="O11" s="10">
        <f t="shared" si="0"/>
        <v>1</v>
      </c>
      <c r="P11" s="10">
        <f t="shared" si="0"/>
        <v>4.5</v>
      </c>
      <c r="Q11" s="10">
        <f t="shared" si="0"/>
        <v>10.666666666666666</v>
      </c>
      <c r="R11" s="10">
        <f t="shared" si="0"/>
        <v>60.666666666666664</v>
      </c>
      <c r="S11" s="22">
        <f t="shared" si="0"/>
        <v>200.16666666666666</v>
      </c>
      <c r="T11" s="20"/>
      <c r="U11" s="10">
        <f t="shared" si="1"/>
        <v>2.4554138346802101E-2</v>
      </c>
      <c r="V11" s="10">
        <f t="shared" si="1"/>
        <v>0.11049362256060945</v>
      </c>
      <c r="W11" s="9">
        <f t="shared" si="1"/>
        <v>0.2619108090325557</v>
      </c>
      <c r="X11" s="9">
        <f t="shared" si="1"/>
        <v>1.4896177263726607</v>
      </c>
      <c r="Y11" s="22">
        <f t="shared" si="1"/>
        <v>4.9149200257515533</v>
      </c>
      <c r="Z11" s="53">
        <f t="shared" si="7"/>
        <v>0</v>
      </c>
      <c r="AA11">
        <f t="shared" si="8"/>
        <v>4.2829956428710502E-3</v>
      </c>
      <c r="AB11">
        <f t="shared" si="9"/>
        <v>1.9273480392919727E-2</v>
      </c>
      <c r="AC11">
        <f t="shared" si="10"/>
        <v>4.5685286857291202E-2</v>
      </c>
      <c r="AD11">
        <f t="shared" si="11"/>
        <v>0.25983506900084369</v>
      </c>
      <c r="AE11" s="54">
        <f t="shared" si="12"/>
        <v>0.85731296118135514</v>
      </c>
      <c r="AF11" s="46">
        <f t="shared" si="13"/>
        <v>1.0516526755380637E-4</v>
      </c>
      <c r="AG11" s="62">
        <f t="shared" si="3"/>
        <v>2.0317347852792279E-4</v>
      </c>
      <c r="AH11">
        <f t="shared" si="14"/>
        <v>0</v>
      </c>
      <c r="AI11">
        <f t="shared" si="4"/>
        <v>8.2745106205033593E-3</v>
      </c>
      <c r="AJ11">
        <f t="shared" si="4"/>
        <v>3.7235297792265115E-2</v>
      </c>
      <c r="AK11">
        <f t="shared" si="4"/>
        <v>8.8261446618702499E-2</v>
      </c>
      <c r="AL11">
        <f t="shared" si="4"/>
        <v>0.50198697764387046</v>
      </c>
      <c r="AM11" s="54">
        <f t="shared" si="4"/>
        <v>1.6562812092040891</v>
      </c>
    </row>
    <row r="12" spans="1:39" x14ac:dyDescent="0.25">
      <c r="A12" s="34">
        <v>52</v>
      </c>
      <c r="B12" s="2">
        <v>32</v>
      </c>
      <c r="C12" s="2">
        <v>45.6</v>
      </c>
      <c r="D12" s="2">
        <v>5</v>
      </c>
      <c r="E12" s="27">
        <v>1.6195175632876601E-2</v>
      </c>
      <c r="F12" s="27">
        <v>8.7837172608482301E-3</v>
      </c>
      <c r="G12" s="27">
        <v>7.5116788153303899E-3</v>
      </c>
      <c r="H12" s="30">
        <v>0</v>
      </c>
      <c r="I12" s="8">
        <v>3</v>
      </c>
      <c r="J12" s="8">
        <v>21</v>
      </c>
      <c r="K12" s="8">
        <v>74</v>
      </c>
      <c r="L12" s="8">
        <v>395</v>
      </c>
      <c r="M12" s="8">
        <v>990</v>
      </c>
      <c r="N12" s="20">
        <f t="shared" si="5"/>
        <v>0</v>
      </c>
      <c r="O12" s="10">
        <f t="shared" si="0"/>
        <v>0.6</v>
      </c>
      <c r="P12" s="10">
        <f t="shared" si="0"/>
        <v>4.2</v>
      </c>
      <c r="Q12" s="10">
        <f t="shared" si="0"/>
        <v>14.8</v>
      </c>
      <c r="R12" s="10">
        <f t="shared" si="0"/>
        <v>79</v>
      </c>
      <c r="S12" s="22">
        <f t="shared" si="0"/>
        <v>198</v>
      </c>
      <c r="T12" s="20"/>
      <c r="U12" s="10">
        <f t="shared" si="1"/>
        <v>9.7171053797259609E-3</v>
      </c>
      <c r="V12" s="10">
        <f t="shared" si="1"/>
        <v>6.8019737658081725E-2</v>
      </c>
      <c r="W12" s="9">
        <f t="shared" si="1"/>
        <v>0.23968859936657372</v>
      </c>
      <c r="X12" s="9">
        <f t="shared" si="1"/>
        <v>1.2794188749972515</v>
      </c>
      <c r="Y12" s="22">
        <f t="shared" si="1"/>
        <v>3.206644775309567</v>
      </c>
      <c r="Z12" s="53">
        <f t="shared" si="7"/>
        <v>0</v>
      </c>
      <c r="AA12">
        <f t="shared" si="8"/>
        <v>4.5070072891982334E-3</v>
      </c>
      <c r="AB12">
        <f t="shared" si="9"/>
        <v>3.1549051024387639E-2</v>
      </c>
      <c r="AC12">
        <f t="shared" si="10"/>
        <v>0.11117284646688978</v>
      </c>
      <c r="AD12">
        <f t="shared" si="11"/>
        <v>0.59342262641110077</v>
      </c>
      <c r="AE12" s="54">
        <f t="shared" si="12"/>
        <v>1.4873124054354172</v>
      </c>
      <c r="AF12" s="46">
        <f t="shared" si="13"/>
        <v>1.216529577120341E-4</v>
      </c>
      <c r="AG12" s="62">
        <f t="shared" si="3"/>
        <v>1.4225384374896686E-4</v>
      </c>
      <c r="AH12">
        <f t="shared" si="14"/>
        <v>0</v>
      </c>
      <c r="AI12">
        <f t="shared" si="4"/>
        <v>5.2702303565089377E-3</v>
      </c>
      <c r="AJ12">
        <f t="shared" si="4"/>
        <v>3.6891612495562567E-2</v>
      </c>
      <c r="AK12">
        <f t="shared" si="4"/>
        <v>0.12999901546055381</v>
      </c>
      <c r="AL12">
        <f t="shared" si="4"/>
        <v>0.69391366360701012</v>
      </c>
      <c r="AM12" s="54">
        <f t="shared" si="4"/>
        <v>1.7391760176479496</v>
      </c>
    </row>
    <row r="13" spans="1:39" x14ac:dyDescent="0.25">
      <c r="A13" s="34">
        <v>53</v>
      </c>
      <c r="B13" s="2">
        <v>22.6</v>
      </c>
      <c r="C13" s="2">
        <v>29.55</v>
      </c>
      <c r="D13" s="2">
        <v>15</v>
      </c>
      <c r="E13" s="27">
        <v>5.4074185586351197E-3</v>
      </c>
      <c r="F13" s="27">
        <v>3.7739188928974099E-3</v>
      </c>
      <c r="G13" s="27">
        <v>3.5257352179030601E-3</v>
      </c>
      <c r="H13" s="30">
        <v>0</v>
      </c>
      <c r="I13" s="8">
        <v>0</v>
      </c>
      <c r="J13" s="8">
        <v>2</v>
      </c>
      <c r="K13" s="8">
        <v>30</v>
      </c>
      <c r="L13" s="8">
        <v>601</v>
      </c>
      <c r="M13" s="8">
        <v>3003</v>
      </c>
      <c r="N13" s="20">
        <f t="shared" si="5"/>
        <v>0</v>
      </c>
      <c r="O13" s="10">
        <f t="shared" si="0"/>
        <v>0</v>
      </c>
      <c r="P13" s="10">
        <f t="shared" si="0"/>
        <v>0.13333333333333333</v>
      </c>
      <c r="Q13" s="10">
        <f t="shared" si="0"/>
        <v>2</v>
      </c>
      <c r="R13" s="10">
        <f t="shared" si="0"/>
        <v>40.06666666666667</v>
      </c>
      <c r="S13" s="22">
        <f t="shared" si="0"/>
        <v>200.2</v>
      </c>
      <c r="T13" s="20"/>
      <c r="U13" s="10"/>
      <c r="V13" s="10"/>
      <c r="W13" s="9">
        <f t="shared" si="1"/>
        <v>1.0814837117270239E-2</v>
      </c>
      <c r="X13" s="9">
        <f t="shared" si="1"/>
        <v>0.21665723691598049</v>
      </c>
      <c r="Y13" s="22">
        <f t="shared" si="1"/>
        <v>1.082565195438751</v>
      </c>
      <c r="Z13" s="53">
        <f t="shared" si="7"/>
        <v>0</v>
      </c>
      <c r="AA13">
        <f t="shared" si="8"/>
        <v>0</v>
      </c>
      <c r="AB13">
        <f t="shared" si="9"/>
        <v>4.7009802905374136E-4</v>
      </c>
      <c r="AC13">
        <f t="shared" si="10"/>
        <v>7.0514704358061201E-3</v>
      </c>
      <c r="AD13">
        <f t="shared" si="11"/>
        <v>0.14126445773064927</v>
      </c>
      <c r="AE13" s="54">
        <f t="shared" si="12"/>
        <v>0.70585219062419258</v>
      </c>
      <c r="AF13" s="46">
        <f t="shared" si="13"/>
        <v>1.9065126050122445E-5</v>
      </c>
      <c r="AG13" s="62">
        <f t="shared" si="3"/>
        <v>2.0407159060237159E-5</v>
      </c>
      <c r="AH13">
        <f t="shared" si="14"/>
        <v>0</v>
      </c>
      <c r="AI13">
        <f t="shared" si="4"/>
        <v>0</v>
      </c>
      <c r="AJ13">
        <f t="shared" si="4"/>
        <v>5.0318918571965463E-4</v>
      </c>
      <c r="AK13">
        <f t="shared" si="4"/>
        <v>7.5478377857948198E-3</v>
      </c>
      <c r="AL13">
        <f t="shared" si="4"/>
        <v>0.15120835030875623</v>
      </c>
      <c r="AM13" s="54">
        <f t="shared" si="4"/>
        <v>0.75553856235806138</v>
      </c>
    </row>
    <row r="14" spans="1:39" x14ac:dyDescent="0.25">
      <c r="A14" s="34">
        <v>45</v>
      </c>
      <c r="B14" s="2">
        <v>22.6</v>
      </c>
      <c r="C14" s="2">
        <v>22.6</v>
      </c>
      <c r="D14" s="2">
        <v>10</v>
      </c>
      <c r="E14" s="27">
        <v>6.9634801117522301E-3</v>
      </c>
      <c r="F14" s="27">
        <v>4.7306891897243297E-3</v>
      </c>
      <c r="G14" s="27">
        <v>4.5595536316889104E-3</v>
      </c>
      <c r="H14" s="30">
        <v>0</v>
      </c>
      <c r="I14" s="8">
        <v>1</v>
      </c>
      <c r="J14" s="8">
        <v>4</v>
      </c>
      <c r="K14" s="8">
        <v>51</v>
      </c>
      <c r="L14" s="8">
        <v>494</v>
      </c>
      <c r="M14" s="8">
        <v>1931</v>
      </c>
      <c r="N14" s="20">
        <f t="shared" si="5"/>
        <v>0</v>
      </c>
      <c r="O14" s="10">
        <f t="shared" si="0"/>
        <v>0.1</v>
      </c>
      <c r="P14" s="10">
        <f t="shared" si="0"/>
        <v>0.4</v>
      </c>
      <c r="Q14" s="10">
        <f t="shared" si="0"/>
        <v>5.0999999999999996</v>
      </c>
      <c r="R14" s="10">
        <f t="shared" si="0"/>
        <v>49.4</v>
      </c>
      <c r="S14" s="22">
        <f t="shared" si="0"/>
        <v>193.1</v>
      </c>
      <c r="T14" s="20"/>
      <c r="U14" s="10"/>
      <c r="V14" s="10"/>
      <c r="W14" s="9">
        <f t="shared" si="1"/>
        <v>3.5513748569936374E-2</v>
      </c>
      <c r="X14" s="9">
        <f t="shared" si="1"/>
        <v>0.34399591752056013</v>
      </c>
      <c r="Y14" s="22">
        <f t="shared" si="1"/>
        <v>1.3446480095793556</v>
      </c>
      <c r="Z14" s="53">
        <f t="shared" si="7"/>
        <v>0</v>
      </c>
      <c r="AA14">
        <f t="shared" si="8"/>
        <v>4.5595536316889109E-4</v>
      </c>
      <c r="AB14">
        <f t="shared" si="9"/>
        <v>1.8238214526755643E-3</v>
      </c>
      <c r="AC14">
        <f t="shared" si="10"/>
        <v>2.325372352161344E-2</v>
      </c>
      <c r="AD14">
        <f t="shared" si="11"/>
        <v>0.22524194940543216</v>
      </c>
      <c r="AE14" s="54">
        <f t="shared" si="12"/>
        <v>0.88044980627912861</v>
      </c>
      <c r="AF14" s="46">
        <f t="shared" si="13"/>
        <v>3.1750361032733378E-5</v>
      </c>
      <c r="AG14" s="62">
        <f t="shared" si="3"/>
        <v>3.294206008752664E-5</v>
      </c>
      <c r="AH14">
        <f t="shared" si="14"/>
        <v>0</v>
      </c>
      <c r="AI14">
        <f t="shared" si="4"/>
        <v>4.7306891897243297E-4</v>
      </c>
      <c r="AJ14">
        <f t="shared" si="4"/>
        <v>1.8922756758897319E-3</v>
      </c>
      <c r="AK14">
        <f t="shared" si="4"/>
        <v>2.4126514867594082E-2</v>
      </c>
      <c r="AL14">
        <f t="shared" si="4"/>
        <v>0.23369604597238189</v>
      </c>
      <c r="AM14" s="54">
        <f t="shared" si="4"/>
        <v>0.91349608253576808</v>
      </c>
    </row>
    <row r="15" spans="1:39" x14ac:dyDescent="0.25">
      <c r="A15" s="7">
        <v>1.3</v>
      </c>
      <c r="B15" s="3">
        <v>32</v>
      </c>
      <c r="C15" s="3">
        <v>42.84</v>
      </c>
      <c r="D15" s="3">
        <v>10</v>
      </c>
      <c r="E15" s="26">
        <v>2.3197934886697399E-2</v>
      </c>
      <c r="F15" s="26">
        <v>9.1426900455134907E-3</v>
      </c>
      <c r="G15" s="26">
        <v>6.1375608082080103E-3</v>
      </c>
      <c r="H15" s="30">
        <v>0</v>
      </c>
      <c r="I15" s="8">
        <v>4</v>
      </c>
      <c r="J15" s="8">
        <v>35</v>
      </c>
      <c r="K15" s="8">
        <v>163</v>
      </c>
      <c r="L15" s="8">
        <v>788</v>
      </c>
      <c r="M15" s="8">
        <v>1749</v>
      </c>
      <c r="N15" s="20">
        <f t="shared" si="5"/>
        <v>0</v>
      </c>
      <c r="O15" s="10">
        <f t="shared" si="0"/>
        <v>0.4</v>
      </c>
      <c r="P15" s="10">
        <f t="shared" si="0"/>
        <v>3.5</v>
      </c>
      <c r="Q15" s="10">
        <f t="shared" si="0"/>
        <v>16.3</v>
      </c>
      <c r="R15" s="10">
        <f t="shared" si="0"/>
        <v>78.8</v>
      </c>
      <c r="S15" s="22">
        <f t="shared" si="0"/>
        <v>174.9</v>
      </c>
      <c r="T15" s="20"/>
      <c r="U15" s="10">
        <f t="shared" si="1"/>
        <v>9.2791739546789608E-3</v>
      </c>
      <c r="V15" s="10">
        <f t="shared" si="1"/>
        <v>8.1192772103440891E-2</v>
      </c>
      <c r="W15" s="9">
        <f t="shared" si="1"/>
        <v>0.37812633865316764</v>
      </c>
      <c r="X15" s="9">
        <f t="shared" si="1"/>
        <v>1.827997269071755</v>
      </c>
      <c r="Y15" s="22">
        <f t="shared" si="1"/>
        <v>4.0573188116833752</v>
      </c>
      <c r="Z15" s="53">
        <f t="shared" si="7"/>
        <v>0</v>
      </c>
      <c r="AA15">
        <f t="shared" si="8"/>
        <v>2.4550243232832041E-3</v>
      </c>
      <c r="AB15">
        <f t="shared" si="9"/>
        <v>2.1481462828728037E-2</v>
      </c>
      <c r="AC15">
        <f t="shared" si="10"/>
        <v>0.10004224117379057</v>
      </c>
      <c r="AD15">
        <f t="shared" si="11"/>
        <v>0.48363979168679122</v>
      </c>
      <c r="AE15" s="54">
        <f t="shared" si="12"/>
        <v>1.0734593853555809</v>
      </c>
      <c r="AF15" s="46">
        <f t="shared" si="13"/>
        <v>1.4237873599195529E-4</v>
      </c>
      <c r="AG15" s="62">
        <f t="shared" si="3"/>
        <v>2.1209152836507844E-4</v>
      </c>
      <c r="AH15">
        <f t="shared" si="14"/>
        <v>0</v>
      </c>
      <c r="AI15">
        <f t="shared" si="4"/>
        <v>3.6570760182053964E-3</v>
      </c>
      <c r="AJ15">
        <f t="shared" si="4"/>
        <v>3.1999415159297218E-2</v>
      </c>
      <c r="AK15">
        <f t="shared" si="4"/>
        <v>0.14902584774186992</v>
      </c>
      <c r="AL15">
        <f t="shared" si="4"/>
        <v>0.720443975586463</v>
      </c>
      <c r="AM15" s="54">
        <f t="shared" si="4"/>
        <v>1.5990564889603096</v>
      </c>
    </row>
    <row r="16" spans="1:39" x14ac:dyDescent="0.25">
      <c r="A16" s="7">
        <v>2.1</v>
      </c>
      <c r="B16" s="3">
        <v>45</v>
      </c>
      <c r="C16" s="3">
        <v>52.94</v>
      </c>
      <c r="D16" s="3">
        <v>20</v>
      </c>
      <c r="E16" s="26">
        <v>3.5345925929864103E-2</v>
      </c>
      <c r="F16" s="26">
        <v>7.8507383881498607E-3</v>
      </c>
      <c r="G16" s="26">
        <v>4.0069409325786598E-3</v>
      </c>
      <c r="H16" s="30">
        <v>0</v>
      </c>
      <c r="I16" s="8">
        <v>11</v>
      </c>
      <c r="J16" s="8">
        <v>56</v>
      </c>
      <c r="K16" s="8">
        <v>204</v>
      </c>
      <c r="L16" s="8">
        <v>1215</v>
      </c>
      <c r="M16" s="8">
        <v>3424</v>
      </c>
      <c r="N16" s="20">
        <f t="shared" si="5"/>
        <v>0</v>
      </c>
      <c r="O16" s="10">
        <f t="shared" si="0"/>
        <v>0.55000000000000004</v>
      </c>
      <c r="P16" s="10">
        <f t="shared" si="0"/>
        <v>2.8</v>
      </c>
      <c r="Q16" s="10">
        <f t="shared" si="0"/>
        <v>10.199999999999999</v>
      </c>
      <c r="R16" s="10">
        <f t="shared" si="0"/>
        <v>60.75</v>
      </c>
      <c r="S16" s="22">
        <f t="shared" si="0"/>
        <v>171.2</v>
      </c>
      <c r="T16" s="20"/>
      <c r="U16" s="10">
        <f t="shared" si="1"/>
        <v>1.9440259261425258E-2</v>
      </c>
      <c r="V16" s="10">
        <f t="shared" si="1"/>
        <v>9.8968592603619482E-2</v>
      </c>
      <c r="W16" s="9">
        <f t="shared" si="1"/>
        <v>0.3605284444846138</v>
      </c>
      <c r="X16" s="9">
        <f t="shared" si="1"/>
        <v>2.1472650002392442</v>
      </c>
      <c r="Y16" s="22">
        <f t="shared" si="1"/>
        <v>6.0512225191927342</v>
      </c>
      <c r="Z16" s="53">
        <f t="shared" si="7"/>
        <v>0</v>
      </c>
      <c r="AA16">
        <f t="shared" si="8"/>
        <v>2.2038175129182633E-3</v>
      </c>
      <c r="AB16">
        <f t="shared" si="9"/>
        <v>1.1219434611220247E-2</v>
      </c>
      <c r="AC16">
        <f t="shared" si="10"/>
        <v>4.0870797512302326E-2</v>
      </c>
      <c r="AD16">
        <f t="shared" si="11"/>
        <v>0.24342166165415358</v>
      </c>
      <c r="AE16" s="54">
        <f t="shared" si="12"/>
        <v>0.68598828765746656</v>
      </c>
      <c r="AF16" s="46">
        <f t="shared" si="13"/>
        <v>1.4162903740826591E-4</v>
      </c>
      <c r="AG16" s="62">
        <f t="shared" si="3"/>
        <v>2.774916175622857E-4</v>
      </c>
      <c r="AH16">
        <f t="shared" si="14"/>
        <v>0</v>
      </c>
      <c r="AI16">
        <f t="shared" si="4"/>
        <v>4.3179061134824238E-3</v>
      </c>
      <c r="AJ16">
        <f t="shared" si="4"/>
        <v>2.198206748681961E-2</v>
      </c>
      <c r="AK16">
        <f t="shared" si="4"/>
        <v>8.007753155912857E-2</v>
      </c>
      <c r="AL16">
        <f t="shared" si="4"/>
        <v>0.47693235708010406</v>
      </c>
      <c r="AM16" s="54">
        <f t="shared" si="4"/>
        <v>1.3440464120512561</v>
      </c>
    </row>
    <row r="17" spans="1:39" x14ac:dyDescent="0.25">
      <c r="A17" s="7">
        <v>2.2999999999999998</v>
      </c>
      <c r="B17" s="3">
        <v>45</v>
      </c>
      <c r="C17" s="3">
        <v>54.11</v>
      </c>
      <c r="D17" s="3">
        <v>10</v>
      </c>
      <c r="E17" s="26">
        <v>1.9422121419342901E-2</v>
      </c>
      <c r="F17" s="26">
        <v>7.5773751595888898E-3</v>
      </c>
      <c r="G17" s="26">
        <v>5.3544304928017398E-3</v>
      </c>
      <c r="H17" s="30">
        <v>0</v>
      </c>
      <c r="I17" s="8">
        <v>3</v>
      </c>
      <c r="J17" s="8">
        <v>28</v>
      </c>
      <c r="K17" s="8">
        <v>147</v>
      </c>
      <c r="L17" s="8">
        <v>700</v>
      </c>
      <c r="M17" s="8">
        <v>1838</v>
      </c>
      <c r="N17" s="20">
        <f t="shared" si="5"/>
        <v>0</v>
      </c>
      <c r="O17" s="10">
        <f t="shared" si="0"/>
        <v>0.3</v>
      </c>
      <c r="P17" s="10">
        <f t="shared" si="0"/>
        <v>2.8</v>
      </c>
      <c r="Q17" s="10">
        <f t="shared" si="0"/>
        <v>14.7</v>
      </c>
      <c r="R17" s="10">
        <f t="shared" si="0"/>
        <v>70</v>
      </c>
      <c r="S17" s="22">
        <f t="shared" si="0"/>
        <v>183.8</v>
      </c>
      <c r="T17" s="20"/>
      <c r="U17" s="10">
        <f t="shared" si="1"/>
        <v>5.82663642580287E-3</v>
      </c>
      <c r="V17" s="10">
        <f t="shared" si="1"/>
        <v>5.4381939974160118E-2</v>
      </c>
      <c r="W17" s="9">
        <f t="shared" si="1"/>
        <v>0.28550518486434062</v>
      </c>
      <c r="X17" s="9">
        <f t="shared" si="1"/>
        <v>1.359548499354003</v>
      </c>
      <c r="Y17" s="22">
        <f t="shared" si="1"/>
        <v>3.5697859168752255</v>
      </c>
      <c r="Z17" s="53">
        <f t="shared" si="7"/>
        <v>0</v>
      </c>
      <c r="AA17">
        <f t="shared" si="8"/>
        <v>1.6063291478405218E-3</v>
      </c>
      <c r="AB17">
        <f t="shared" si="9"/>
        <v>1.4992405379844871E-2</v>
      </c>
      <c r="AC17">
        <f t="shared" si="10"/>
        <v>7.8710128244185565E-2</v>
      </c>
      <c r="AD17">
        <f t="shared" si="11"/>
        <v>0.37481013449612177</v>
      </c>
      <c r="AE17" s="54">
        <f t="shared" si="12"/>
        <v>0.98414432457695988</v>
      </c>
      <c r="AF17" s="46">
        <f t="shared" si="13"/>
        <v>1.0399439916262744E-4</v>
      </c>
      <c r="AG17" s="62">
        <f t="shared" si="3"/>
        <v>1.4716870038944822E-4</v>
      </c>
      <c r="AH17">
        <f t="shared" si="14"/>
        <v>0</v>
      </c>
      <c r="AI17">
        <f t="shared" si="4"/>
        <v>2.2732125478766669E-3</v>
      </c>
      <c r="AJ17">
        <f t="shared" si="4"/>
        <v>2.1216650446848891E-2</v>
      </c>
      <c r="AK17">
        <f t="shared" si="4"/>
        <v>0.11138741484595667</v>
      </c>
      <c r="AL17">
        <f t="shared" si="4"/>
        <v>0.53041626117122231</v>
      </c>
      <c r="AM17" s="54">
        <f t="shared" si="4"/>
        <v>1.392721554332438</v>
      </c>
    </row>
    <row r="18" spans="1:39" x14ac:dyDescent="0.25">
      <c r="A18" s="7">
        <v>3.1</v>
      </c>
      <c r="B18" s="3">
        <v>64</v>
      </c>
      <c r="C18" s="3">
        <v>84.98</v>
      </c>
      <c r="D18" s="3">
        <v>20</v>
      </c>
      <c r="E18" s="26">
        <v>0.12653412852816501</v>
      </c>
      <c r="F18" s="26">
        <v>1.5222331559222001E-2</v>
      </c>
      <c r="G18" s="26">
        <v>4.5052689799184196E-3</v>
      </c>
      <c r="H18" s="30">
        <v>10</v>
      </c>
      <c r="I18" s="8">
        <v>38</v>
      </c>
      <c r="J18" s="8">
        <v>113</v>
      </c>
      <c r="K18" s="8">
        <v>312</v>
      </c>
      <c r="L18" s="8">
        <v>1212</v>
      </c>
      <c r="M18" s="8">
        <v>3306</v>
      </c>
      <c r="N18" s="20">
        <f t="shared" si="5"/>
        <v>0.5</v>
      </c>
      <c r="O18" s="10">
        <f t="shared" si="0"/>
        <v>1.9</v>
      </c>
      <c r="P18" s="10">
        <f t="shared" si="0"/>
        <v>5.65</v>
      </c>
      <c r="Q18" s="10">
        <f t="shared" si="0"/>
        <v>15.6</v>
      </c>
      <c r="R18" s="10">
        <f t="shared" si="0"/>
        <v>60.6</v>
      </c>
      <c r="S18" s="22">
        <f t="shared" si="0"/>
        <v>165.3</v>
      </c>
      <c r="T18" s="20">
        <f t="shared" si="6"/>
        <v>6.3267064264082504E-2</v>
      </c>
      <c r="U18" s="10">
        <f t="shared" si="1"/>
        <v>0.2404148442035135</v>
      </c>
      <c r="V18" s="10">
        <f t="shared" si="1"/>
        <v>0.71491782618413235</v>
      </c>
      <c r="W18" s="9">
        <f t="shared" si="1"/>
        <v>1.9739324050393741</v>
      </c>
      <c r="X18" s="9">
        <f t="shared" si="1"/>
        <v>7.6679681888067996</v>
      </c>
      <c r="Y18" s="22">
        <f t="shared" si="1"/>
        <v>20.916091445705678</v>
      </c>
      <c r="Z18" s="53">
        <f t="shared" si="7"/>
        <v>2.2526344899592098E-3</v>
      </c>
      <c r="AA18">
        <f t="shared" si="8"/>
        <v>8.5600110618449972E-3</v>
      </c>
      <c r="AB18">
        <f t="shared" si="9"/>
        <v>2.5454769736539071E-2</v>
      </c>
      <c r="AC18">
        <f t="shared" si="10"/>
        <v>7.0282196086727339E-2</v>
      </c>
      <c r="AD18">
        <f t="shared" si="11"/>
        <v>0.27301930018305626</v>
      </c>
      <c r="AE18" s="54">
        <f t="shared" si="12"/>
        <v>0.74472096238051477</v>
      </c>
      <c r="AF18" s="46">
        <f t="shared" si="13"/>
        <v>5.7007028415895211E-4</v>
      </c>
      <c r="AG18" s="62">
        <f t="shared" si="3"/>
        <v>1.9261444580129391E-3</v>
      </c>
      <c r="AH18">
        <f t="shared" si="14"/>
        <v>7.6111657796110004E-3</v>
      </c>
      <c r="AI18">
        <f t="shared" si="4"/>
        <v>2.8922429962521801E-2</v>
      </c>
      <c r="AJ18">
        <f t="shared" si="4"/>
        <v>8.6006173309604306E-2</v>
      </c>
      <c r="AK18">
        <f t="shared" si="4"/>
        <v>0.2374683723238632</v>
      </c>
      <c r="AL18">
        <f t="shared" si="4"/>
        <v>0.92247329248885324</v>
      </c>
      <c r="AM18" s="54">
        <f t="shared" si="4"/>
        <v>2.5162514067393968</v>
      </c>
    </row>
    <row r="19" spans="1:39" x14ac:dyDescent="0.25">
      <c r="A19" s="7">
        <v>4.2</v>
      </c>
      <c r="B19" s="3">
        <v>90</v>
      </c>
      <c r="C19" s="3">
        <v>127.22</v>
      </c>
      <c r="D19" s="3">
        <v>20</v>
      </c>
      <c r="E19" s="26">
        <v>4.1669974213015902E-2</v>
      </c>
      <c r="F19" s="26">
        <v>9.9725509064199202E-3</v>
      </c>
      <c r="G19" s="26">
        <v>6.2822795747625101E-3</v>
      </c>
      <c r="H19" s="30">
        <v>0</v>
      </c>
      <c r="I19" s="8">
        <v>15</v>
      </c>
      <c r="J19" s="8">
        <v>82</v>
      </c>
      <c r="K19" s="8">
        <v>353</v>
      </c>
      <c r="L19" s="8">
        <v>1394</v>
      </c>
      <c r="M19" s="8">
        <v>3355</v>
      </c>
      <c r="N19" s="20">
        <f t="shared" si="5"/>
        <v>0</v>
      </c>
      <c r="O19" s="10">
        <f t="shared" si="5"/>
        <v>0.75</v>
      </c>
      <c r="P19" s="10">
        <f t="shared" si="5"/>
        <v>4.0999999999999996</v>
      </c>
      <c r="Q19" s="10">
        <f t="shared" si="5"/>
        <v>17.649999999999999</v>
      </c>
      <c r="R19" s="10">
        <f t="shared" si="5"/>
        <v>69.7</v>
      </c>
      <c r="S19" s="22">
        <f t="shared" si="5"/>
        <v>167.75</v>
      </c>
      <c r="T19" s="20">
        <f t="shared" si="6"/>
        <v>0</v>
      </c>
      <c r="U19" s="10">
        <f t="shared" si="6"/>
        <v>3.1252480659761925E-2</v>
      </c>
      <c r="V19" s="10">
        <f t="shared" si="6"/>
        <v>0.17084689427336519</v>
      </c>
      <c r="W19" s="9">
        <f t="shared" si="6"/>
        <v>0.73547504485973059</v>
      </c>
      <c r="X19" s="9">
        <f t="shared" si="6"/>
        <v>2.9043972026472087</v>
      </c>
      <c r="Y19" s="22">
        <f t="shared" si="6"/>
        <v>6.9901381742334179</v>
      </c>
      <c r="Z19" s="53">
        <f t="shared" si="7"/>
        <v>0</v>
      </c>
      <c r="AA19">
        <f t="shared" si="8"/>
        <v>4.7117096810718826E-3</v>
      </c>
      <c r="AB19">
        <f t="shared" si="9"/>
        <v>2.575734625652629E-2</v>
      </c>
      <c r="AC19">
        <f t="shared" si="10"/>
        <v>0.11088223449455829</v>
      </c>
      <c r="AD19">
        <f t="shared" si="11"/>
        <v>0.43787488636094696</v>
      </c>
      <c r="AE19" s="54">
        <f t="shared" si="12"/>
        <v>1.053852398666411</v>
      </c>
      <c r="AF19" s="46">
        <f t="shared" si="13"/>
        <v>2.6178242787931028E-4</v>
      </c>
      <c r="AG19" s="62">
        <f t="shared" si="3"/>
        <v>4.1555593910850641E-4</v>
      </c>
      <c r="AH19">
        <f t="shared" si="14"/>
        <v>0</v>
      </c>
      <c r="AI19">
        <f t="shared" ref="AI19:AI22" si="15">O19*$F19</f>
        <v>7.4794131798149397E-3</v>
      </c>
      <c r="AJ19">
        <f t="shared" ref="AJ19:AJ23" si="16">P19*$F19</f>
        <v>4.088745871632167E-2</v>
      </c>
      <c r="AK19">
        <f t="shared" ref="AK19:AK23" si="17">Q19*$F19</f>
        <v>0.17601552349831157</v>
      </c>
      <c r="AL19">
        <f t="shared" ref="AL19:AL23" si="18">R19*$F19</f>
        <v>0.69508679817746843</v>
      </c>
      <c r="AM19" s="54">
        <f t="shared" ref="AM19:AM23" si="19">S19*$F19</f>
        <v>1.6728954145519417</v>
      </c>
    </row>
    <row r="20" spans="1:39" x14ac:dyDescent="0.25">
      <c r="A20" s="7">
        <v>4.3</v>
      </c>
      <c r="B20" s="3">
        <v>90</v>
      </c>
      <c r="C20" s="3">
        <v>91.54</v>
      </c>
      <c r="D20" s="3">
        <v>20</v>
      </c>
      <c r="E20" s="26">
        <v>6.5041528765672305E-2</v>
      </c>
      <c r="F20" s="26">
        <v>1.5521667521925899E-2</v>
      </c>
      <c r="G20" s="26">
        <v>9.3037999635866304E-3</v>
      </c>
      <c r="H20" s="30">
        <v>6</v>
      </c>
      <c r="I20" s="8">
        <v>32</v>
      </c>
      <c r="J20" s="8">
        <v>142</v>
      </c>
      <c r="K20" s="8">
        <v>419</v>
      </c>
      <c r="L20" s="8">
        <v>1531</v>
      </c>
      <c r="M20" s="8">
        <v>3286</v>
      </c>
      <c r="N20" s="20">
        <f t="shared" si="5"/>
        <v>0.3</v>
      </c>
      <c r="O20" s="10">
        <f t="shared" si="5"/>
        <v>1.6</v>
      </c>
      <c r="P20" s="10">
        <f t="shared" si="5"/>
        <v>7.1</v>
      </c>
      <c r="Q20" s="10">
        <f t="shared" si="5"/>
        <v>20.95</v>
      </c>
      <c r="R20" s="10">
        <f t="shared" si="5"/>
        <v>76.55</v>
      </c>
      <c r="S20" s="22">
        <f t="shared" si="5"/>
        <v>164.3</v>
      </c>
      <c r="T20" s="20">
        <f>N20*$E20</f>
        <v>1.951245862970169E-2</v>
      </c>
      <c r="U20" s="10">
        <f t="shared" si="6"/>
        <v>0.1040664460250757</v>
      </c>
      <c r="V20" s="10">
        <f t="shared" si="6"/>
        <v>0.46179485423627337</v>
      </c>
      <c r="W20" s="9">
        <f t="shared" si="6"/>
        <v>1.3626200276408347</v>
      </c>
      <c r="X20" s="9">
        <f t="shared" si="6"/>
        <v>4.9789290270122146</v>
      </c>
      <c r="Y20" s="22">
        <f t="shared" si="6"/>
        <v>10.686323176199961</v>
      </c>
      <c r="Z20" s="53">
        <f t="shared" si="7"/>
        <v>2.7911399890759889E-3</v>
      </c>
      <c r="AA20">
        <f t="shared" si="8"/>
        <v>1.4886079941738609E-2</v>
      </c>
      <c r="AB20">
        <f t="shared" si="9"/>
        <v>6.6056979741465072E-2</v>
      </c>
      <c r="AC20">
        <f t="shared" si="10"/>
        <v>0.19491460923713991</v>
      </c>
      <c r="AD20">
        <f t="shared" si="11"/>
        <v>0.71220588721255651</v>
      </c>
      <c r="AE20" s="54">
        <f t="shared" si="12"/>
        <v>1.5286143340172835</v>
      </c>
      <c r="AF20" s="46">
        <f t="shared" si="13"/>
        <v>6.0513337296168074E-4</v>
      </c>
      <c r="AG20" s="62">
        <f t="shared" si="3"/>
        <v>1.009552984618545E-3</v>
      </c>
      <c r="AH20">
        <f t="shared" si="14"/>
        <v>4.6565002565777695E-3</v>
      </c>
      <c r="AI20">
        <f t="shared" si="15"/>
        <v>2.4834668035081442E-2</v>
      </c>
      <c r="AJ20">
        <f t="shared" si="16"/>
        <v>0.11020383940567388</v>
      </c>
      <c r="AK20">
        <f t="shared" si="17"/>
        <v>0.3251789345843476</v>
      </c>
      <c r="AL20">
        <f t="shared" si="18"/>
        <v>1.1881836488034276</v>
      </c>
      <c r="AM20" s="54">
        <f t="shared" si="19"/>
        <v>2.5502099738524255</v>
      </c>
    </row>
    <row r="21" spans="1:39" x14ac:dyDescent="0.25">
      <c r="A21" s="35" t="s">
        <v>24</v>
      </c>
      <c r="B21" s="14">
        <v>90</v>
      </c>
      <c r="C21" s="14">
        <v>108.42</v>
      </c>
      <c r="D21" s="25">
        <v>149.999977324263</v>
      </c>
      <c r="E21" s="15">
        <v>9.5590751489404505E-2</v>
      </c>
      <c r="F21" s="15">
        <v>4.1750172724988703E-3</v>
      </c>
      <c r="G21" s="15">
        <v>3.0008966016067001E-3</v>
      </c>
      <c r="H21" s="30">
        <v>4</v>
      </c>
      <c r="I21" s="8">
        <v>7</v>
      </c>
      <c r="J21" s="8">
        <v>43</v>
      </c>
      <c r="K21" s="8">
        <v>325</v>
      </c>
      <c r="L21" s="8">
        <v>4737</v>
      </c>
      <c r="M21" s="8">
        <v>21140</v>
      </c>
      <c r="N21" s="20">
        <f t="shared" si="5"/>
        <v>2.6666670697909411E-2</v>
      </c>
      <c r="O21" s="10">
        <f t="shared" si="5"/>
        <v>4.6666673721341465E-2</v>
      </c>
      <c r="P21" s="10">
        <f t="shared" si="5"/>
        <v>0.28666671000252614</v>
      </c>
      <c r="Q21" s="10">
        <f t="shared" si="5"/>
        <v>2.1666669942051393</v>
      </c>
      <c r="R21" s="10">
        <f t="shared" si="5"/>
        <v>31.580004773999217</v>
      </c>
      <c r="S21" s="22">
        <f t="shared" si="5"/>
        <v>140.93335463845122</v>
      </c>
      <c r="T21" s="20"/>
      <c r="U21" s="10"/>
      <c r="V21" s="10">
        <f t="shared" si="6"/>
        <v>2.7402686236136665E-2</v>
      </c>
      <c r="W21" s="9">
        <f t="shared" si="6"/>
        <v>0.20711332620335851</v>
      </c>
      <c r="X21" s="9">
        <f t="shared" si="6"/>
        <v>3.018756388385567</v>
      </c>
      <c r="Y21" s="22">
        <f t="shared" si="6"/>
        <v>13.471925279812304</v>
      </c>
      <c r="Z21" s="53">
        <f t="shared" si="7"/>
        <v>8.0023921473521323E-5</v>
      </c>
      <c r="AA21">
        <f t="shared" si="8"/>
        <v>1.4004186257866229E-4</v>
      </c>
      <c r="AB21">
        <f t="shared" si="9"/>
        <v>8.6025715584035409E-4</v>
      </c>
      <c r="AC21">
        <f t="shared" si="10"/>
        <v>6.5019436197236062E-3</v>
      </c>
      <c r="AD21">
        <f t="shared" si="11"/>
        <v>9.476832900501761E-2</v>
      </c>
      <c r="AE21" s="54">
        <f t="shared" si="12"/>
        <v>0.42292642498756011</v>
      </c>
      <c r="AF21" s="46">
        <f t="shared" si="13"/>
        <v>2.8685796128958456E-4</v>
      </c>
      <c r="AG21" s="62">
        <f t="shared" si="3"/>
        <v>3.9909303855941092E-4</v>
      </c>
      <c r="AH21">
        <f t="shared" si="14"/>
        <v>1.113338107638113E-4</v>
      </c>
      <c r="AI21">
        <f t="shared" si="15"/>
        <v>1.9483416883666975E-4</v>
      </c>
      <c r="AJ21">
        <f t="shared" si="16"/>
        <v>1.1968384657109713E-3</v>
      </c>
      <c r="AK21">
        <f t="shared" si="17"/>
        <v>9.0458721245596663E-3</v>
      </c>
      <c r="AL21">
        <f t="shared" si="18"/>
        <v>0.13184706539704352</v>
      </c>
      <c r="AM21" s="54">
        <f t="shared" si="19"/>
        <v>0.58839918988674267</v>
      </c>
    </row>
    <row r="22" spans="1:39" x14ac:dyDescent="0.25">
      <c r="A22" s="28" t="s">
        <v>42</v>
      </c>
      <c r="B22" s="11">
        <v>128</v>
      </c>
      <c r="C22" s="11">
        <v>128</v>
      </c>
      <c r="D22" s="23">
        <v>60</v>
      </c>
      <c r="E22" s="4">
        <v>2.3502595692804699E-3</v>
      </c>
      <c r="F22" s="4">
        <v>1.55677588667908E-3</v>
      </c>
      <c r="G22" s="4">
        <v>1.5928196056310101E-3</v>
      </c>
      <c r="H22" s="1">
        <v>0</v>
      </c>
      <c r="I22" s="1">
        <v>0</v>
      </c>
      <c r="J22" s="1">
        <v>3</v>
      </c>
      <c r="K22" s="1">
        <v>81</v>
      </c>
      <c r="L22" s="1">
        <v>1234</v>
      </c>
      <c r="M22" s="1">
        <v>12249</v>
      </c>
      <c r="N22" s="20">
        <f t="shared" si="5"/>
        <v>0</v>
      </c>
      <c r="O22" s="10">
        <f t="shared" si="5"/>
        <v>0</v>
      </c>
      <c r="P22" s="10">
        <f t="shared" si="5"/>
        <v>0.05</v>
      </c>
      <c r="Q22" s="10">
        <f t="shared" si="5"/>
        <v>1.35</v>
      </c>
      <c r="R22" s="10">
        <f t="shared" si="5"/>
        <v>20.566666666666666</v>
      </c>
      <c r="S22" s="22">
        <f t="shared" si="5"/>
        <v>204.15</v>
      </c>
      <c r="T22" s="20"/>
      <c r="U22" s="10"/>
      <c r="V22" s="10"/>
      <c r="W22" s="9">
        <f>Q22*$E22</f>
        <v>3.1728504185286346E-3</v>
      </c>
      <c r="X22" s="9">
        <f t="shared" si="6"/>
        <v>4.8337005141534994E-2</v>
      </c>
      <c r="Y22" s="22">
        <f t="shared" si="6"/>
        <v>0.47980549106860793</v>
      </c>
      <c r="Z22" s="53">
        <f t="shared" si="7"/>
        <v>0</v>
      </c>
      <c r="AA22">
        <f t="shared" si="8"/>
        <v>0</v>
      </c>
      <c r="AB22">
        <f t="shared" si="9"/>
        <v>7.9640980281550503E-5</v>
      </c>
      <c r="AC22">
        <f>Q22*$G22</f>
        <v>2.1503064676018637E-3</v>
      </c>
      <c r="AD22">
        <f>R22*$G22</f>
        <v>3.2758989889144441E-2</v>
      </c>
      <c r="AE22" s="54">
        <f t="shared" si="12"/>
        <v>0.32517412248957073</v>
      </c>
      <c r="AF22" s="46">
        <f t="shared" si="13"/>
        <v>3.7435395202718256E-6</v>
      </c>
      <c r="AG22" s="62">
        <f t="shared" si="3"/>
        <v>3.6588274248925961E-6</v>
      </c>
      <c r="AH22">
        <f t="shared" si="14"/>
        <v>0</v>
      </c>
      <c r="AI22">
        <f t="shared" si="15"/>
        <v>0</v>
      </c>
      <c r="AJ22">
        <f t="shared" si="16"/>
        <v>7.783879433395401E-5</v>
      </c>
      <c r="AK22">
        <f t="shared" si="17"/>
        <v>2.1016474470167581E-3</v>
      </c>
      <c r="AL22">
        <f t="shared" si="18"/>
        <v>3.2017690736033076E-2</v>
      </c>
      <c r="AM22" s="54">
        <f t="shared" si="19"/>
        <v>0.31781579726553422</v>
      </c>
    </row>
    <row r="23" spans="1:39" x14ac:dyDescent="0.25">
      <c r="A23" s="36" t="s">
        <v>43</v>
      </c>
      <c r="B23" s="37">
        <v>64</v>
      </c>
      <c r="C23" s="37">
        <v>64</v>
      </c>
      <c r="D23" s="38">
        <v>60</v>
      </c>
      <c r="E23" s="4">
        <v>6.8578127550032004E-4</v>
      </c>
      <c r="F23" s="4">
        <v>5.2928765328685596E-4</v>
      </c>
      <c r="G23" s="4">
        <v>5.2017823641583303E-4</v>
      </c>
      <c r="H23" s="1">
        <v>0</v>
      </c>
      <c r="I23" s="1">
        <v>0</v>
      </c>
      <c r="J23" s="1">
        <v>0</v>
      </c>
      <c r="K23" s="1">
        <v>0</v>
      </c>
      <c r="L23" s="1">
        <v>42</v>
      </c>
      <c r="M23" s="1">
        <v>1808</v>
      </c>
      <c r="N23" s="20">
        <f t="shared" si="5"/>
        <v>0</v>
      </c>
      <c r="O23" s="10">
        <f t="shared" si="5"/>
        <v>0</v>
      </c>
      <c r="P23" s="10">
        <f t="shared" si="5"/>
        <v>0</v>
      </c>
      <c r="Q23" s="10">
        <f t="shared" si="5"/>
        <v>0</v>
      </c>
      <c r="R23" s="10">
        <f t="shared" si="5"/>
        <v>0.7</v>
      </c>
      <c r="S23" s="22">
        <f t="shared" si="5"/>
        <v>30.133333333333333</v>
      </c>
      <c r="T23" s="20"/>
      <c r="U23" s="10"/>
      <c r="V23" s="10"/>
      <c r="W23" s="9"/>
      <c r="X23" s="9">
        <f t="shared" si="6"/>
        <v>4.8004689285022402E-4</v>
      </c>
      <c r="Y23" s="22">
        <f t="shared" si="6"/>
        <v>2.0664875768409644E-2</v>
      </c>
      <c r="Z23" s="53">
        <f t="shared" si="7"/>
        <v>0</v>
      </c>
      <c r="AA23">
        <f t="shared" si="8"/>
        <v>0</v>
      </c>
      <c r="AB23">
        <f t="shared" si="9"/>
        <v>0</v>
      </c>
      <c r="AC23">
        <f t="shared" si="10"/>
        <v>0</v>
      </c>
      <c r="AD23">
        <f t="shared" si="11"/>
        <v>3.6412476549108308E-4</v>
      </c>
      <c r="AE23" s="54">
        <f t="shared" si="12"/>
        <v>1.5674704190663767E-2</v>
      </c>
      <c r="AF23" s="46">
        <f t="shared" si="13"/>
        <v>3.5672849445675699E-7</v>
      </c>
      <c r="AG23" s="62">
        <f t="shared" si="3"/>
        <v>3.6297556197763122E-7</v>
      </c>
      <c r="AH23">
        <f t="shared" si="14"/>
        <v>0</v>
      </c>
      <c r="AI23">
        <f>O23*$F23</f>
        <v>0</v>
      </c>
      <c r="AJ23">
        <f t="shared" si="16"/>
        <v>0</v>
      </c>
      <c r="AK23">
        <f t="shared" si="17"/>
        <v>0</v>
      </c>
      <c r="AL23">
        <f t="shared" si="18"/>
        <v>3.7050135730079916E-4</v>
      </c>
      <c r="AM23" s="54">
        <f t="shared" si="19"/>
        <v>1.5949201285710594E-2</v>
      </c>
    </row>
    <row r="24" spans="1:39" x14ac:dyDescent="0.25">
      <c r="A24" s="1" t="s">
        <v>44</v>
      </c>
      <c r="D24" s="1">
        <v>60</v>
      </c>
      <c r="E24" s="80">
        <v>1.70134740460979E-2</v>
      </c>
      <c r="F24" s="80">
        <v>8.5037075107537493E-3</v>
      </c>
      <c r="G24" s="80">
        <v>8.4491126781134403E-3</v>
      </c>
      <c r="H24" s="17">
        <v>0</v>
      </c>
      <c r="I24" s="17">
        <v>0</v>
      </c>
      <c r="J24" s="17">
        <v>28</v>
      </c>
      <c r="K24" s="17">
        <v>1077</v>
      </c>
      <c r="L24" s="17">
        <v>8935</v>
      </c>
      <c r="M24" s="17">
        <v>12854</v>
      </c>
      <c r="N24" s="10">
        <f>H24/$D24</f>
        <v>0</v>
      </c>
      <c r="O24" s="10">
        <f t="shared" si="5"/>
        <v>0</v>
      </c>
      <c r="P24" s="10">
        <f t="shared" si="5"/>
        <v>0.46666666666666667</v>
      </c>
      <c r="Q24" s="10">
        <f t="shared" si="5"/>
        <v>17.95</v>
      </c>
      <c r="R24" s="10">
        <f t="shared" si="5"/>
        <v>148.91666666666666</v>
      </c>
      <c r="S24" s="10">
        <f>M24/$D24</f>
        <v>214.23333333333332</v>
      </c>
      <c r="T24" s="10">
        <f t="shared" ref="T24:Y24" si="20">N24*$E24</f>
        <v>0</v>
      </c>
      <c r="U24" s="10">
        <f t="shared" si="20"/>
        <v>0</v>
      </c>
      <c r="V24" s="10">
        <f t="shared" si="20"/>
        <v>7.9396212215123545E-3</v>
      </c>
      <c r="W24" s="9">
        <f t="shared" si="20"/>
        <v>0.30539185912745731</v>
      </c>
      <c r="X24" s="9">
        <f t="shared" si="20"/>
        <v>2.5335898433647457</v>
      </c>
      <c r="Y24" s="10">
        <f t="shared" si="20"/>
        <v>3.6448532564757068</v>
      </c>
      <c r="Z24">
        <f t="shared" ref="Z24" si="21">N24*$G24</f>
        <v>0</v>
      </c>
      <c r="AA24">
        <f t="shared" ref="AA24" si="22">O24*$G24</f>
        <v>0</v>
      </c>
      <c r="AB24">
        <f t="shared" ref="AB24" si="23">P24*$G24</f>
        <v>3.942919249786272E-3</v>
      </c>
      <c r="AC24">
        <f t="shared" ref="AC24" si="24">Q24*$G24</f>
        <v>0.15166157257213625</v>
      </c>
      <c r="AD24">
        <f t="shared" ref="AD24" si="25">R24*$G24</f>
        <v>1.2582136963157264</v>
      </c>
      <c r="AE24">
        <f>S24*$G24</f>
        <v>1.8100815727411692</v>
      </c>
      <c r="AF24" s="58">
        <f t="shared" si="13"/>
        <v>1.4374875926163975E-4</v>
      </c>
      <c r="AG24" s="58">
        <f>E24*F24</f>
        <v>1.446776070298167E-4</v>
      </c>
      <c r="AH24">
        <f t="shared" ref="AH24:AM24" si="26">T24*$F24</f>
        <v>0</v>
      </c>
      <c r="AI24">
        <f t="shared" si="26"/>
        <v>0</v>
      </c>
      <c r="AJ24">
        <f t="shared" si="26"/>
        <v>6.7516216613914464E-5</v>
      </c>
      <c r="AK24">
        <f t="shared" si="26"/>
        <v>2.5969630461852096E-3</v>
      </c>
      <c r="AL24">
        <f t="shared" si="26"/>
        <v>2.1544906980190202E-2</v>
      </c>
      <c r="AM24" s="54">
        <f t="shared" si="26"/>
        <v>3.0994766012687729E-2</v>
      </c>
    </row>
    <row r="25" spans="1:39" x14ac:dyDescent="0.25">
      <c r="A25" s="1" t="s">
        <v>71</v>
      </c>
      <c r="D25" s="1">
        <v>60</v>
      </c>
      <c r="E25" s="4">
        <v>6.8578127550032004E-4</v>
      </c>
      <c r="F25" s="4">
        <v>5.2928765328685596E-4</v>
      </c>
      <c r="G25" s="4">
        <v>5.2017823641583303E-4</v>
      </c>
      <c r="H25" s="1">
        <v>0</v>
      </c>
      <c r="I25" s="1">
        <v>0</v>
      </c>
      <c r="J25" s="1">
        <v>0</v>
      </c>
      <c r="K25" s="1">
        <v>0</v>
      </c>
      <c r="L25" s="1">
        <v>42</v>
      </c>
      <c r="M25" s="1">
        <v>1808</v>
      </c>
      <c r="N25" s="18">
        <f>H25/$D25</f>
        <v>0</v>
      </c>
      <c r="O25" s="18">
        <f t="shared" ref="O25" si="27">I25/$D25</f>
        <v>0</v>
      </c>
      <c r="P25" s="18">
        <f t="shared" ref="P25" si="28">J25/$D25</f>
        <v>0</v>
      </c>
      <c r="Q25" s="18">
        <f t="shared" ref="Q25" si="29">K25/$D25</f>
        <v>0</v>
      </c>
      <c r="R25" s="18">
        <f t="shared" ref="R25" si="30">L25/$D25</f>
        <v>0.7</v>
      </c>
      <c r="S25" s="18">
        <f>M25/$D25</f>
        <v>30.133333333333333</v>
      </c>
      <c r="T25" s="18">
        <f t="shared" ref="T25:V26" si="31">N25*$E25</f>
        <v>0</v>
      </c>
      <c r="U25" s="18">
        <f t="shared" si="31"/>
        <v>0</v>
      </c>
      <c r="V25" s="18">
        <f t="shared" si="31"/>
        <v>0</v>
      </c>
      <c r="W25" s="81"/>
      <c r="X25" s="81">
        <f>R25*$E25</f>
        <v>4.8004689285022402E-4</v>
      </c>
      <c r="Y25" s="18">
        <f>S25*$E25</f>
        <v>2.0664875768409644E-2</v>
      </c>
      <c r="Z25" s="82">
        <f t="shared" ref="Z25" si="32">N25*$G25</f>
        <v>0</v>
      </c>
      <c r="AA25" s="82">
        <f t="shared" ref="AA25" si="33">O25*$G25</f>
        <v>0</v>
      </c>
      <c r="AB25" s="82">
        <f t="shared" ref="AB25" si="34">P25*$G25</f>
        <v>0</v>
      </c>
      <c r="AC25" s="82">
        <f t="shared" ref="AC25" si="35">Q25*$G25</f>
        <v>0</v>
      </c>
      <c r="AD25" s="82">
        <f t="shared" ref="AD25" si="36">R25*$G25</f>
        <v>3.6412476549108308E-4</v>
      </c>
      <c r="AE25" s="82">
        <f>S25*$G25</f>
        <v>1.5674704190663767E-2</v>
      </c>
      <c r="AF25" s="83">
        <f t="shared" ref="AF25" si="37">E25*G25</f>
        <v>3.5672849445675699E-7</v>
      </c>
      <c r="AG25" s="83">
        <f>E25*F25</f>
        <v>3.6297556197763122E-7</v>
      </c>
      <c r="AH25" s="82">
        <f t="shared" ref="AH25:AM26" si="38">T25*$F25</f>
        <v>0</v>
      </c>
      <c r="AI25" s="82">
        <f t="shared" si="38"/>
        <v>0</v>
      </c>
      <c r="AJ25" s="82">
        <f t="shared" si="38"/>
        <v>0</v>
      </c>
      <c r="AK25" s="82">
        <f t="shared" si="38"/>
        <v>0</v>
      </c>
      <c r="AL25" s="82">
        <f t="shared" si="38"/>
        <v>2.5408289338434186E-7</v>
      </c>
      <c r="AM25" s="84">
        <f t="shared" si="38"/>
        <v>1.0937663600925955E-5</v>
      </c>
    </row>
    <row r="26" spans="1:39" x14ac:dyDescent="0.25">
      <c r="A26" s="1" t="s">
        <v>97</v>
      </c>
      <c r="D26" s="1">
        <v>60</v>
      </c>
      <c r="E26" s="1">
        <v>1.8111308452651399E-2</v>
      </c>
      <c r="F26" s="1">
        <v>4.2458617585666601E-3</v>
      </c>
      <c r="G26" s="1">
        <v>4.0014597242638899E-3</v>
      </c>
      <c r="H26" s="1">
        <v>1</v>
      </c>
      <c r="I26" s="1">
        <v>5</v>
      </c>
      <c r="J26" s="1">
        <v>18</v>
      </c>
      <c r="K26" s="1">
        <v>48</v>
      </c>
      <c r="L26" s="1">
        <v>9829</v>
      </c>
      <c r="M26" s="1">
        <v>37450</v>
      </c>
      <c r="N26" s="10">
        <f>H26/$D26</f>
        <v>1.6666666666666666E-2</v>
      </c>
      <c r="O26" s="10">
        <f t="shared" ref="O26" si="39">I26/$D26</f>
        <v>8.3333333333333329E-2</v>
      </c>
      <c r="P26" s="10">
        <f t="shared" ref="P26" si="40">J26/$D26</f>
        <v>0.3</v>
      </c>
      <c r="Q26" s="10">
        <f t="shared" ref="Q26" si="41">K26/$D26</f>
        <v>0.8</v>
      </c>
      <c r="R26" s="10">
        <f t="shared" ref="R26" si="42">L26/$D26</f>
        <v>163.81666666666666</v>
      </c>
      <c r="S26" s="10">
        <f>M26/$D26</f>
        <v>624.16666666666663</v>
      </c>
      <c r="T26" s="10">
        <f t="shared" si="31"/>
        <v>3.0185514087752331E-4</v>
      </c>
      <c r="U26" s="10">
        <f t="shared" si="31"/>
        <v>1.5092757043876164E-3</v>
      </c>
      <c r="V26" s="10">
        <f t="shared" si="31"/>
        <v>5.4333925357954197E-3</v>
      </c>
      <c r="W26" s="9"/>
      <c r="X26" s="9">
        <f>R26*$E26</f>
        <v>2.9669341796851767</v>
      </c>
      <c r="Y26" s="10">
        <f>S26*$E26</f>
        <v>11.304475025863248</v>
      </c>
      <c r="Z26">
        <f t="shared" ref="Z26" si="43">N26*$G26</f>
        <v>6.6690995404398163E-5</v>
      </c>
      <c r="AA26">
        <f t="shared" ref="AA26" si="44">O26*$G26</f>
        <v>3.3345497702199083E-4</v>
      </c>
      <c r="AB26">
        <f t="shared" ref="AB26" si="45">P26*$G26</f>
        <v>1.2004379172791668E-3</v>
      </c>
      <c r="AC26">
        <f t="shared" ref="AC26" si="46">Q26*$G26</f>
        <v>3.201167779411112E-3</v>
      </c>
      <c r="AD26">
        <f t="shared" ref="AD26" si="47">R26*$G26</f>
        <v>0.65550579382982954</v>
      </c>
      <c r="AE26">
        <f>S26*$G26</f>
        <v>2.497577777894711</v>
      </c>
      <c r="AF26" s="58">
        <f t="shared" ref="AF26" si="48">E26*G26</f>
        <v>7.247167132700472E-5</v>
      </c>
      <c r="AG26" s="58">
        <f>E26*F26</f>
        <v>7.6898111956717681E-5</v>
      </c>
      <c r="AH26">
        <f t="shared" si="38"/>
        <v>1.2816351992786281E-6</v>
      </c>
      <c r="AI26">
        <f t="shared" si="38"/>
        <v>6.4081759963931398E-6</v>
      </c>
      <c r="AJ26">
        <f t="shared" si="38"/>
        <v>2.3069433587015306E-5</v>
      </c>
      <c r="AK26">
        <f t="shared" si="38"/>
        <v>0</v>
      </c>
      <c r="AL26">
        <f t="shared" si="38"/>
        <v>1.2597192373709636E-2</v>
      </c>
      <c r="AM26" s="54">
        <f t="shared" si="38"/>
        <v>4.7997238212984621E-2</v>
      </c>
    </row>
    <row r="27" spans="1:39" x14ac:dyDescent="0.25">
      <c r="D27" s="119" t="s">
        <v>64</v>
      </c>
      <c r="E27" s="119"/>
      <c r="F27" s="119"/>
      <c r="G27" s="119" t="s">
        <v>65</v>
      </c>
      <c r="H27" s="119"/>
      <c r="I27" s="119"/>
      <c r="J27" s="119" t="s">
        <v>66</v>
      </c>
      <c r="K27" s="119"/>
      <c r="L27" s="119"/>
    </row>
    <row r="28" spans="1:39" x14ac:dyDescent="0.25">
      <c r="A28" s="31" t="s">
        <v>0</v>
      </c>
      <c r="B28" s="50" t="s">
        <v>46</v>
      </c>
      <c r="C28" s="1" t="s">
        <v>26</v>
      </c>
      <c r="D28" s="1" t="s">
        <v>41</v>
      </c>
      <c r="E28" s="1" t="s">
        <v>40</v>
      </c>
      <c r="F28" s="1" t="s">
        <v>39</v>
      </c>
      <c r="G28" s="1" t="s">
        <v>41</v>
      </c>
      <c r="H28" s="1" t="s">
        <v>40</v>
      </c>
      <c r="I28" s="1" t="s">
        <v>39</v>
      </c>
      <c r="J28" s="1" t="s">
        <v>41</v>
      </c>
      <c r="K28" s="1" t="s">
        <v>40</v>
      </c>
      <c r="L28" s="1" t="s">
        <v>39</v>
      </c>
      <c r="M28" s="1" t="s">
        <v>68</v>
      </c>
      <c r="N28" s="1" t="s">
        <v>67</v>
      </c>
    </row>
    <row r="29" spans="1:39" x14ac:dyDescent="0.25">
      <c r="A29" s="34">
        <v>8</v>
      </c>
      <c r="B29" s="66">
        <v>128</v>
      </c>
      <c r="C29" s="10">
        <f t="shared" ref="C29:C50" si="49">427.15*E3^0.6026</f>
        <v>142.60831146005137</v>
      </c>
      <c r="D29" s="9">
        <f t="shared" ref="D29:D52" si="50">74.161*W3^0.3464</f>
        <v>116.95068108498626</v>
      </c>
      <c r="E29" s="9">
        <f t="shared" ref="E29:E52" si="51">37.88*X3^0.5273</f>
        <v>115.20235701400605</v>
      </c>
      <c r="F29" s="9">
        <f t="shared" ref="F29:F52" si="52">16.986*Y3^0.6867</f>
        <v>151.38755107192091</v>
      </c>
      <c r="G29" s="10">
        <f t="shared" ref="G29:G50" si="53">108.36*AC3^0.294</f>
        <v>65.384578047646713</v>
      </c>
      <c r="H29" s="10">
        <f t="shared" ref="H29:H50" si="54">69.293*AD3^0.3185</f>
        <v>51.628818352445393</v>
      </c>
      <c r="I29" s="10">
        <f t="shared" ref="I29:I50" si="55">50.026*AE3^0.3351</f>
        <v>52.643434084458356</v>
      </c>
      <c r="J29" s="10">
        <f t="shared" ref="J29:J50" si="56">102.1*AK3^0.3275</f>
        <v>92.842677817177901</v>
      </c>
      <c r="K29" s="10">
        <f t="shared" ref="K29:K50" si="57">63.901*AL3^0.4721</f>
        <v>81.072571300785981</v>
      </c>
      <c r="L29" s="10">
        <f t="shared" ref="L29:L50" si="58">34.771*AM3^0.6713</f>
        <v>100.44423476914439</v>
      </c>
      <c r="M29" s="10">
        <f t="shared" ref="M29:M50" si="59">1005.7*AG3^0.3646</f>
        <v>148.51264954109695</v>
      </c>
      <c r="N29" s="10">
        <f t="shared" ref="N29:N50" si="60">1653.8*AF3^0.4053</f>
        <v>110.58117716759436</v>
      </c>
    </row>
    <row r="30" spans="1:39" x14ac:dyDescent="0.25">
      <c r="A30" s="34">
        <v>168</v>
      </c>
      <c r="B30" s="66">
        <v>128</v>
      </c>
      <c r="C30" s="10">
        <f t="shared" si="49"/>
        <v>99.702281630840119</v>
      </c>
      <c r="D30" s="9">
        <f t="shared" si="50"/>
        <v>98.667109532910658</v>
      </c>
      <c r="E30" s="9">
        <f t="shared" si="51"/>
        <v>82.464193841089326</v>
      </c>
      <c r="F30" s="9">
        <f t="shared" si="52"/>
        <v>94.005035092273431</v>
      </c>
      <c r="G30" s="10">
        <f t="shared" si="53"/>
        <v>71.795875306103753</v>
      </c>
      <c r="H30" s="10">
        <f t="shared" si="54"/>
        <v>54.586371705837585</v>
      </c>
      <c r="I30" s="10">
        <f t="shared" si="55"/>
        <v>54.712432439892552</v>
      </c>
      <c r="J30" s="10">
        <f t="shared" si="56"/>
        <v>83.292592946891432</v>
      </c>
      <c r="K30" s="10">
        <f t="shared" si="57"/>
        <v>64.795355664056643</v>
      </c>
      <c r="L30" s="10">
        <f t="shared" si="58"/>
        <v>70.157847245573649</v>
      </c>
      <c r="M30" s="10">
        <f t="shared" si="59"/>
        <v>102.06933912439833</v>
      </c>
      <c r="N30" s="10">
        <f t="shared" si="60"/>
        <v>94.836512436415049</v>
      </c>
    </row>
    <row r="31" spans="1:39" x14ac:dyDescent="0.25">
      <c r="A31" s="34">
        <v>22</v>
      </c>
      <c r="B31" s="66">
        <v>90</v>
      </c>
      <c r="C31" s="10">
        <f t="shared" si="49"/>
        <v>80.494299517891292</v>
      </c>
      <c r="D31" s="9">
        <f t="shared" si="50"/>
        <v>81.839656470222096</v>
      </c>
      <c r="E31" s="9">
        <f t="shared" si="51"/>
        <v>80.096224013454005</v>
      </c>
      <c r="F31" s="9">
        <f t="shared" si="52"/>
        <v>82.058911589663026</v>
      </c>
      <c r="G31" s="10">
        <f t="shared" si="53"/>
        <v>57.107285520757799</v>
      </c>
      <c r="H31" s="10">
        <f t="shared" si="54"/>
        <v>49.706959685477116</v>
      </c>
      <c r="I31" s="10">
        <f t="shared" si="55"/>
        <v>47.264726179696602</v>
      </c>
      <c r="J31" s="10">
        <f t="shared" si="56"/>
        <v>74.954810960620108</v>
      </c>
      <c r="K31" s="10">
        <f t="shared" si="57"/>
        <v>69.961722164412535</v>
      </c>
      <c r="L31" s="10">
        <f t="shared" si="58"/>
        <v>71.098076504051448</v>
      </c>
      <c r="M31" s="10">
        <f t="shared" si="59"/>
        <v>85.292131472281028</v>
      </c>
      <c r="N31" s="10">
        <f t="shared" si="60"/>
        <v>64.555212382437986</v>
      </c>
    </row>
    <row r="32" spans="1:39" x14ac:dyDescent="0.25">
      <c r="A32" s="34">
        <v>152</v>
      </c>
      <c r="B32" s="66">
        <v>90</v>
      </c>
      <c r="C32" s="10">
        <f t="shared" si="49"/>
        <v>108.52826698393112</v>
      </c>
      <c r="D32" s="9">
        <f t="shared" si="50"/>
        <v>100.40951956926615</v>
      </c>
      <c r="E32" s="9">
        <f t="shared" si="51"/>
        <v>107.31183736382886</v>
      </c>
      <c r="F32" s="9">
        <f t="shared" si="52"/>
        <v>118.23889856838431</v>
      </c>
      <c r="G32" s="10">
        <f t="shared" si="53"/>
        <v>67.228863069123221</v>
      </c>
      <c r="H32" s="10">
        <f t="shared" si="54"/>
        <v>58.649038570468207</v>
      </c>
      <c r="I32" s="10">
        <f t="shared" si="55"/>
        <v>55.822006645722404</v>
      </c>
      <c r="J32" s="10">
        <f t="shared" si="56"/>
        <v>84.252068948159007</v>
      </c>
      <c r="K32" s="10">
        <f t="shared" si="57"/>
        <v>81.425656805169879</v>
      </c>
      <c r="L32" s="10">
        <f t="shared" si="58"/>
        <v>86.878941050514186</v>
      </c>
      <c r="M32" s="10">
        <f t="shared" si="59"/>
        <v>112.46258633271916</v>
      </c>
      <c r="N32" s="10">
        <f t="shared" si="60"/>
        <v>95.122649124916435</v>
      </c>
    </row>
    <row r="33" spans="1:33" x14ac:dyDescent="0.25">
      <c r="A33" s="34">
        <v>101</v>
      </c>
      <c r="B33" s="66">
        <v>64</v>
      </c>
      <c r="C33" s="10">
        <f t="shared" si="49"/>
        <v>51.711320397363707</v>
      </c>
      <c r="D33" s="9">
        <f t="shared" si="50"/>
        <v>64.278148375633563</v>
      </c>
      <c r="E33" s="9">
        <f t="shared" si="51"/>
        <v>64.292992001684325</v>
      </c>
      <c r="F33" s="9">
        <f t="shared" si="52"/>
        <v>52.825760217034208</v>
      </c>
      <c r="G33" s="10">
        <f t="shared" si="53"/>
        <v>67.790158190567425</v>
      </c>
      <c r="H33" s="10">
        <f t="shared" si="54"/>
        <v>65.448134471991892</v>
      </c>
      <c r="I33" s="10">
        <f t="shared" si="55"/>
        <v>58.554474525039957</v>
      </c>
      <c r="J33" s="10">
        <f t="shared" si="56"/>
        <v>71.06874423077123</v>
      </c>
      <c r="K33" s="10">
        <f t="shared" si="57"/>
        <v>73.967491919762509</v>
      </c>
      <c r="L33" s="10">
        <f t="shared" si="58"/>
        <v>66.185835174744469</v>
      </c>
      <c r="M33" s="10">
        <f t="shared" si="59"/>
        <v>60.677327684459591</v>
      </c>
      <c r="N33" s="10">
        <f t="shared" si="60"/>
        <v>59.81684128500595</v>
      </c>
    </row>
    <row r="34" spans="1:33" x14ac:dyDescent="0.25">
      <c r="A34" s="34">
        <v>24</v>
      </c>
      <c r="B34" s="66">
        <v>64</v>
      </c>
      <c r="C34" s="10">
        <f t="shared" si="49"/>
        <v>110.07828843908854</v>
      </c>
      <c r="D34" s="9">
        <f t="shared" si="50"/>
        <v>84.645419959614827</v>
      </c>
      <c r="E34" s="9">
        <f t="shared" si="51"/>
        <v>98.930237776466655</v>
      </c>
      <c r="F34" s="9">
        <f t="shared" si="52"/>
        <v>124.70779520648537</v>
      </c>
      <c r="G34" s="10">
        <f t="shared" si="53"/>
        <v>52.229548635315865</v>
      </c>
      <c r="H34" s="10">
        <f t="shared" si="54"/>
        <v>49.69916480382139</v>
      </c>
      <c r="I34" s="10">
        <f t="shared" si="55"/>
        <v>50.684987955350557</v>
      </c>
      <c r="J34" s="10">
        <f t="shared" si="56"/>
        <v>62.949579087623313</v>
      </c>
      <c r="K34" s="10">
        <f t="shared" si="57"/>
        <v>62.769226707154601</v>
      </c>
      <c r="L34" s="10">
        <f t="shared" si="58"/>
        <v>70.11199502976369</v>
      </c>
      <c r="M34" s="10">
        <f t="shared" si="59"/>
        <v>98.992268531121866</v>
      </c>
      <c r="N34" s="10">
        <f t="shared" si="60"/>
        <v>83.599915485968992</v>
      </c>
    </row>
    <row r="35" spans="1:33" x14ac:dyDescent="0.25">
      <c r="A35" s="34">
        <v>159</v>
      </c>
      <c r="B35" s="66">
        <v>45</v>
      </c>
      <c r="C35" s="10">
        <f t="shared" si="49"/>
        <v>28.138895212995983</v>
      </c>
      <c r="D35" s="9">
        <f t="shared" si="50"/>
        <v>26.736932705849615</v>
      </c>
      <c r="E35" s="9">
        <f t="shared" si="51"/>
        <v>28.10042237838346</v>
      </c>
      <c r="F35" s="9">
        <f t="shared" si="52"/>
        <v>27.901091442354769</v>
      </c>
      <c r="G35" s="10">
        <f t="shared" si="53"/>
        <v>35.266075271003764</v>
      </c>
      <c r="H35" s="10">
        <f t="shared" si="54"/>
        <v>43.811709923510548</v>
      </c>
      <c r="I35" s="10">
        <f t="shared" si="55"/>
        <v>47.568351400075024</v>
      </c>
      <c r="J35" s="10">
        <f t="shared" si="56"/>
        <v>30.079911506948299</v>
      </c>
      <c r="K35" s="10">
        <f t="shared" si="57"/>
        <v>33.739575287705421</v>
      </c>
      <c r="L35" s="10">
        <f t="shared" si="58"/>
        <v>33.314079141418567</v>
      </c>
      <c r="M35" s="10">
        <f t="shared" si="59"/>
        <v>28.086060484113897</v>
      </c>
      <c r="N35" s="10">
        <f t="shared" si="60"/>
        <v>29.908779346397502</v>
      </c>
    </row>
    <row r="36" spans="1:33" x14ac:dyDescent="0.25">
      <c r="A36" s="34">
        <v>35</v>
      </c>
      <c r="B36" s="66">
        <v>45</v>
      </c>
      <c r="C36" s="10">
        <f t="shared" si="49"/>
        <v>43.154717980702401</v>
      </c>
      <c r="D36" s="9">
        <f t="shared" si="50"/>
        <v>53.16003696048103</v>
      </c>
      <c r="E36" s="9">
        <f t="shared" si="51"/>
        <v>47.762566472643172</v>
      </c>
      <c r="F36" s="9">
        <f t="shared" si="52"/>
        <v>45.725264313361798</v>
      </c>
      <c r="G36" s="10">
        <f t="shared" si="53"/>
        <v>56.481737181745252</v>
      </c>
      <c r="H36" s="10">
        <f t="shared" si="54"/>
        <v>53.444660669019079</v>
      </c>
      <c r="I36" s="10">
        <f t="shared" si="55"/>
        <v>53.261989913258184</v>
      </c>
      <c r="J36" s="10">
        <f t="shared" si="56"/>
        <v>56.269015182775313</v>
      </c>
      <c r="K36" s="10">
        <f t="shared" si="57"/>
        <v>52.444532611877179</v>
      </c>
      <c r="L36" s="10">
        <f t="shared" si="58"/>
        <v>51.457953253671036</v>
      </c>
      <c r="M36" s="10">
        <f t="shared" si="59"/>
        <v>45.907042188380011</v>
      </c>
      <c r="N36" s="10">
        <f t="shared" si="60"/>
        <v>45.539576890893976</v>
      </c>
    </row>
    <row r="37" spans="1:33" x14ac:dyDescent="0.25">
      <c r="A37" s="34">
        <v>61</v>
      </c>
      <c r="B37" s="66">
        <v>32</v>
      </c>
      <c r="C37" s="10">
        <f t="shared" si="49"/>
        <v>45.758265516180927</v>
      </c>
      <c r="D37" s="9">
        <f t="shared" si="50"/>
        <v>46.625545153582543</v>
      </c>
      <c r="E37" s="9">
        <f t="shared" si="51"/>
        <v>46.738237285038721</v>
      </c>
      <c r="F37" s="9">
        <f t="shared" si="52"/>
        <v>50.693872679641075</v>
      </c>
      <c r="G37" s="10">
        <f t="shared" si="53"/>
        <v>43.736421375108904</v>
      </c>
      <c r="H37" s="10">
        <f t="shared" si="54"/>
        <v>45.109768952226155</v>
      </c>
      <c r="I37" s="10">
        <f t="shared" si="55"/>
        <v>47.5106298842461</v>
      </c>
      <c r="J37" s="10">
        <f t="shared" si="56"/>
        <v>46.106882454418574</v>
      </c>
      <c r="K37" s="10">
        <f t="shared" si="57"/>
        <v>46.153491480304773</v>
      </c>
      <c r="L37" s="10">
        <f t="shared" si="58"/>
        <v>48.788996478358897</v>
      </c>
      <c r="M37" s="10">
        <f t="shared" si="59"/>
        <v>45.322803330337265</v>
      </c>
      <c r="N37" s="10">
        <f t="shared" si="60"/>
        <v>40.378282611221621</v>
      </c>
    </row>
    <row r="38" spans="1:33" x14ac:dyDescent="0.25">
      <c r="A38" s="34">
        <v>52</v>
      </c>
      <c r="B38" s="66">
        <v>32</v>
      </c>
      <c r="C38" s="10">
        <f t="shared" si="49"/>
        <v>35.608707540523334</v>
      </c>
      <c r="D38" s="9">
        <f t="shared" si="50"/>
        <v>45.215301267981694</v>
      </c>
      <c r="E38" s="9">
        <f t="shared" si="51"/>
        <v>43.135793875140585</v>
      </c>
      <c r="F38" s="9">
        <f t="shared" si="52"/>
        <v>37.809091337666921</v>
      </c>
      <c r="G38" s="10">
        <f t="shared" si="53"/>
        <v>56.805792312904344</v>
      </c>
      <c r="H38" s="10">
        <f t="shared" si="54"/>
        <v>58.682124784073622</v>
      </c>
      <c r="I38" s="10">
        <f t="shared" si="55"/>
        <v>57.143620920571067</v>
      </c>
      <c r="J38" s="10">
        <f t="shared" si="56"/>
        <v>52.340891171179685</v>
      </c>
      <c r="K38" s="10">
        <f t="shared" si="57"/>
        <v>53.775932795362614</v>
      </c>
      <c r="L38" s="10">
        <f t="shared" si="58"/>
        <v>50.415003086487374</v>
      </c>
      <c r="M38" s="10">
        <f t="shared" si="59"/>
        <v>39.799314160287572</v>
      </c>
      <c r="N38" s="10">
        <f t="shared" si="60"/>
        <v>42.833464874460979</v>
      </c>
    </row>
    <row r="39" spans="1:33" x14ac:dyDescent="0.25">
      <c r="A39" s="34">
        <v>53</v>
      </c>
      <c r="B39" s="66">
        <v>22.6</v>
      </c>
      <c r="C39" s="10">
        <f t="shared" si="49"/>
        <v>18.385700320150519</v>
      </c>
      <c r="D39" s="9">
        <f t="shared" si="50"/>
        <v>15.458241908347745</v>
      </c>
      <c r="E39" s="9">
        <f t="shared" si="51"/>
        <v>16.910762054923712</v>
      </c>
      <c r="F39" s="9">
        <f t="shared" si="52"/>
        <v>17.937037785470327</v>
      </c>
      <c r="G39" s="10">
        <f t="shared" si="53"/>
        <v>25.250107129129805</v>
      </c>
      <c r="H39" s="10">
        <f t="shared" si="54"/>
        <v>37.151370987424627</v>
      </c>
      <c r="I39" s="10">
        <f t="shared" si="55"/>
        <v>44.514321903194059</v>
      </c>
      <c r="J39" s="10">
        <f t="shared" si="56"/>
        <v>20.606898398021112</v>
      </c>
      <c r="K39" s="10">
        <f t="shared" si="57"/>
        <v>26.193008149886403</v>
      </c>
      <c r="L39" s="10">
        <f t="shared" si="58"/>
        <v>28.806524264497664</v>
      </c>
      <c r="M39" s="10">
        <f t="shared" si="59"/>
        <v>19.607181438968368</v>
      </c>
      <c r="N39" s="10">
        <f t="shared" si="60"/>
        <v>20.209898403573217</v>
      </c>
    </row>
    <row r="40" spans="1:33" x14ac:dyDescent="0.25">
      <c r="A40" s="34">
        <v>45</v>
      </c>
      <c r="B40" s="66">
        <v>22.6</v>
      </c>
      <c r="C40" s="10">
        <f t="shared" si="49"/>
        <v>21.41250921689856</v>
      </c>
      <c r="D40" s="9">
        <f t="shared" si="50"/>
        <v>23.336350030250173</v>
      </c>
      <c r="E40" s="9">
        <f t="shared" si="51"/>
        <v>21.579159215396679</v>
      </c>
      <c r="F40" s="9">
        <f t="shared" si="52"/>
        <v>20.816449369009678</v>
      </c>
      <c r="G40" s="10">
        <f t="shared" si="53"/>
        <v>35.860619902777074</v>
      </c>
      <c r="H40" s="10">
        <f t="shared" si="54"/>
        <v>43.103065572380601</v>
      </c>
      <c r="I40" s="10">
        <f t="shared" si="55"/>
        <v>47.936496620170558</v>
      </c>
      <c r="J40" s="10">
        <f t="shared" si="56"/>
        <v>30.150375188185901</v>
      </c>
      <c r="K40" s="10">
        <f t="shared" si="57"/>
        <v>32.169770578692088</v>
      </c>
      <c r="L40" s="10">
        <f t="shared" si="58"/>
        <v>32.721980499652865</v>
      </c>
      <c r="M40" s="10">
        <f t="shared" si="59"/>
        <v>23.347499534220773</v>
      </c>
      <c r="N40" s="10">
        <f t="shared" si="60"/>
        <v>24.850877167472145</v>
      </c>
    </row>
    <row r="41" spans="1:33" x14ac:dyDescent="0.25">
      <c r="A41" s="7">
        <v>1.3</v>
      </c>
      <c r="B41" s="66">
        <v>32</v>
      </c>
      <c r="C41" s="10">
        <f t="shared" si="49"/>
        <v>44.21810982361545</v>
      </c>
      <c r="D41" s="9">
        <f t="shared" si="50"/>
        <v>52.950371279609229</v>
      </c>
      <c r="E41" s="9">
        <f t="shared" si="51"/>
        <v>52.065455706577225</v>
      </c>
      <c r="F41" s="9">
        <f t="shared" si="52"/>
        <v>44.439476416146661</v>
      </c>
      <c r="G41" s="10">
        <f t="shared" si="53"/>
        <v>55.070994541852556</v>
      </c>
      <c r="H41" s="10">
        <f t="shared" si="54"/>
        <v>54.980619547343714</v>
      </c>
      <c r="I41" s="10">
        <f t="shared" si="55"/>
        <v>51.228547124253282</v>
      </c>
      <c r="J41" s="10">
        <f t="shared" si="56"/>
        <v>54.735478167433257</v>
      </c>
      <c r="K41" s="10">
        <f t="shared" si="57"/>
        <v>54.736965281607354</v>
      </c>
      <c r="L41" s="10">
        <f t="shared" si="58"/>
        <v>47.65088313560797</v>
      </c>
      <c r="M41" s="10">
        <f t="shared" si="59"/>
        <v>46.038254907884948</v>
      </c>
      <c r="N41" s="10">
        <f t="shared" si="60"/>
        <v>45.653523329179976</v>
      </c>
    </row>
    <row r="42" spans="1:33" x14ac:dyDescent="0.25">
      <c r="A42" s="7">
        <v>2.1</v>
      </c>
      <c r="B42" s="66">
        <v>45</v>
      </c>
      <c r="C42" s="10">
        <f t="shared" si="49"/>
        <v>56.991450556743601</v>
      </c>
      <c r="D42" s="9">
        <f t="shared" si="50"/>
        <v>52.083412584564385</v>
      </c>
      <c r="E42" s="9">
        <f t="shared" si="51"/>
        <v>56.677837419095475</v>
      </c>
      <c r="F42" s="9">
        <f t="shared" si="52"/>
        <v>58.476691429138036</v>
      </c>
      <c r="G42" s="10">
        <f t="shared" si="53"/>
        <v>42.327678645468538</v>
      </c>
      <c r="H42" s="10">
        <f t="shared" si="54"/>
        <v>44.18193950713075</v>
      </c>
      <c r="I42" s="10">
        <f t="shared" si="55"/>
        <v>44.090548863460931</v>
      </c>
      <c r="J42" s="10">
        <f t="shared" si="56"/>
        <v>44.660696204200569</v>
      </c>
      <c r="K42" s="10">
        <f t="shared" si="57"/>
        <v>45.05127682505821</v>
      </c>
      <c r="L42" s="10">
        <f t="shared" si="58"/>
        <v>42.405450139647805</v>
      </c>
      <c r="M42" s="10">
        <f t="shared" si="59"/>
        <v>50.778205890389032</v>
      </c>
      <c r="N42" s="10">
        <f t="shared" si="60"/>
        <v>45.55594040850918</v>
      </c>
    </row>
    <row r="43" spans="1:33" x14ac:dyDescent="0.25">
      <c r="A43" s="7">
        <v>2.2999999999999998</v>
      </c>
      <c r="B43" s="66">
        <v>45</v>
      </c>
      <c r="C43" s="10">
        <f t="shared" si="49"/>
        <v>39.729031757563774</v>
      </c>
      <c r="D43" s="9">
        <f t="shared" si="50"/>
        <v>48.039697797790794</v>
      </c>
      <c r="E43" s="9">
        <f t="shared" si="51"/>
        <v>44.539875444295852</v>
      </c>
      <c r="F43" s="9">
        <f t="shared" si="52"/>
        <v>40.699633570833882</v>
      </c>
      <c r="G43" s="10">
        <f t="shared" si="53"/>
        <v>51.321814032058477</v>
      </c>
      <c r="H43" s="10">
        <f t="shared" si="54"/>
        <v>50.693032441828286</v>
      </c>
      <c r="I43" s="10">
        <f t="shared" si="55"/>
        <v>49.75878646363784</v>
      </c>
      <c r="J43" s="10">
        <f t="shared" si="56"/>
        <v>49.758189863230243</v>
      </c>
      <c r="K43" s="10">
        <f t="shared" si="57"/>
        <v>47.369550102291711</v>
      </c>
      <c r="L43" s="10">
        <f t="shared" si="58"/>
        <v>43.4303454246649</v>
      </c>
      <c r="M43" s="10">
        <f t="shared" si="59"/>
        <v>40.295260239584771</v>
      </c>
      <c r="N43" s="10">
        <f t="shared" si="60"/>
        <v>40.195470850604011</v>
      </c>
      <c r="T43" s="119" t="s">
        <v>64</v>
      </c>
      <c r="U43" s="119"/>
      <c r="V43" s="119"/>
      <c r="W43" s="119" t="s">
        <v>65</v>
      </c>
      <c r="X43" s="119"/>
      <c r="Y43" s="119"/>
      <c r="Z43" s="119" t="s">
        <v>66</v>
      </c>
      <c r="AA43" s="119"/>
      <c r="AB43" s="119"/>
    </row>
    <row r="44" spans="1:33" x14ac:dyDescent="0.25">
      <c r="A44" s="7">
        <v>3.1</v>
      </c>
      <c r="B44" s="66">
        <v>64</v>
      </c>
      <c r="C44" s="10">
        <f t="shared" si="49"/>
        <v>122.90534144639936</v>
      </c>
      <c r="D44" s="9">
        <f t="shared" si="50"/>
        <v>93.859595433595302</v>
      </c>
      <c r="E44" s="9">
        <f t="shared" si="51"/>
        <v>110.89242834341546</v>
      </c>
      <c r="F44" s="9">
        <f t="shared" si="52"/>
        <v>137.04560139288705</v>
      </c>
      <c r="G44" s="10">
        <f t="shared" si="53"/>
        <v>49.641114279051997</v>
      </c>
      <c r="H44" s="10">
        <f t="shared" si="54"/>
        <v>45.826527086844514</v>
      </c>
      <c r="I44" s="10">
        <f t="shared" si="55"/>
        <v>45.321140149968969</v>
      </c>
      <c r="J44" s="10">
        <f t="shared" si="56"/>
        <v>63.758286007908318</v>
      </c>
      <c r="K44" s="10">
        <f t="shared" si="57"/>
        <v>61.512353564056511</v>
      </c>
      <c r="L44" s="10">
        <f t="shared" si="58"/>
        <v>64.601613003966577</v>
      </c>
      <c r="M44" s="10">
        <f t="shared" si="59"/>
        <v>102.91199725897496</v>
      </c>
      <c r="N44" s="10">
        <f t="shared" si="60"/>
        <v>80.105211136678733</v>
      </c>
      <c r="Q44" t="s">
        <v>25</v>
      </c>
      <c r="S44" s="1" t="s">
        <v>26</v>
      </c>
      <c r="T44" s="1" t="s">
        <v>41</v>
      </c>
      <c r="U44" s="1" t="s">
        <v>40</v>
      </c>
      <c r="V44" s="1" t="s">
        <v>39</v>
      </c>
      <c r="W44" s="1" t="s">
        <v>41</v>
      </c>
      <c r="X44" s="1" t="s">
        <v>40</v>
      </c>
      <c r="Y44" s="1" t="s">
        <v>39</v>
      </c>
      <c r="Z44" s="1" t="s">
        <v>41</v>
      </c>
      <c r="AA44" s="1" t="s">
        <v>40</v>
      </c>
      <c r="AB44" s="1" t="s">
        <v>39</v>
      </c>
      <c r="AC44" s="1" t="s">
        <v>68</v>
      </c>
      <c r="AD44" s="1" t="s">
        <v>67</v>
      </c>
    </row>
    <row r="45" spans="1:33" x14ac:dyDescent="0.25">
      <c r="A45" s="7">
        <v>4.2</v>
      </c>
      <c r="B45" s="66">
        <v>90</v>
      </c>
      <c r="C45" s="10">
        <f t="shared" si="49"/>
        <v>62.934080327892111</v>
      </c>
      <c r="D45" s="9">
        <f t="shared" si="50"/>
        <v>66.673723886903545</v>
      </c>
      <c r="E45" s="9">
        <f t="shared" si="51"/>
        <v>66.462917937619366</v>
      </c>
      <c r="F45" s="9">
        <f t="shared" si="52"/>
        <v>64.565347307891471</v>
      </c>
      <c r="G45" s="10">
        <f t="shared" si="53"/>
        <v>56.762094883418058</v>
      </c>
      <c r="H45" s="10">
        <f t="shared" si="54"/>
        <v>53.267136543491972</v>
      </c>
      <c r="I45" s="10">
        <f t="shared" si="55"/>
        <v>50.913070065770825</v>
      </c>
      <c r="J45" s="10">
        <f t="shared" si="56"/>
        <v>57.802109090072939</v>
      </c>
      <c r="K45" s="10">
        <f t="shared" si="57"/>
        <v>53.818834117110711</v>
      </c>
      <c r="L45" s="10">
        <f t="shared" si="58"/>
        <v>49.116994051864594</v>
      </c>
      <c r="M45" s="10">
        <f t="shared" si="59"/>
        <v>58.832968719528274</v>
      </c>
      <c r="N45" s="10">
        <f t="shared" si="60"/>
        <v>58.43516419455667</v>
      </c>
      <c r="Q45" t="s">
        <v>46</v>
      </c>
      <c r="S45" s="18" cm="1">
        <f t="array" ref="S45">SQRT(SUMSQ($B29:$B47-C29:C47)/COUNTA($B29:$B47-C29:C47))</f>
        <v>21.564023601390119</v>
      </c>
      <c r="T45" s="18" cm="1">
        <f t="array" ref="T45">SQRT(SUMSQ($B29:$B47-D29:D47)/COUNTA($B29:$B47-D29:D47))</f>
        <v>21.392751826010102</v>
      </c>
      <c r="U45" s="18" cm="1">
        <f t="array" ref="U45">SQRT(SUMSQ($B29:$B47-E29:E47)/COUNTA($B29:$B47-E29:E47))</f>
        <v>22.320188271711306</v>
      </c>
      <c r="V45" s="10" cm="1">
        <f t="array" ref="V45">SQRT(SUMSQ($B29:$B47-F29:F47)/COUNTA($B29:$B47-F29:F47))</f>
        <v>26.631247640780277</v>
      </c>
      <c r="W45" s="10" cm="1">
        <f t="array" ref="W45">SQRT(SUMSQ($B29:$B47-G29:G47)/COUNTA($B29:$B47-G29:G47))</f>
        <v>31.979695521135802</v>
      </c>
      <c r="X45" s="10" cm="1">
        <f t="array" ref="X45">SQRT(SUMSQ($B29:$B47-H29:H47)/COUNTA($B29:$B47-H29:H47))</f>
        <v>35.813035399707694</v>
      </c>
      <c r="Y45" s="10" cm="1">
        <f t="array" ref="Y45">SQRT(SUMSQ($B29:$B47-I29:I47)/COUNTA($B29:$B47-I29:I47))</f>
        <v>36.031069989419287</v>
      </c>
      <c r="Z45" s="10" cm="1">
        <f t="array" ref="Z45">SQRT(SUMSQ($B29:$B47-J29:J47)/COUNTA($B29:$B47-J29:J47))</f>
        <v>27.154763263558049</v>
      </c>
      <c r="AA45" s="10" cm="1">
        <f t="array" ref="AA45">SQRT(SUMSQ($B29:$B47-K29:K47)/COUNTA($B29:$B47-K29:K47))</f>
        <v>29.941554570787808</v>
      </c>
      <c r="AB45" s="10" cm="1">
        <f t="array" ref="AB45">SQRT(SUMSQ($B29:$B47-L29:L47)/COUNTA($B29:$B47-L29:L47))</f>
        <v>28.156452438995675</v>
      </c>
      <c r="AC45" s="18" cm="1">
        <f t="array" ref="AC45">SQRT(SUMSQ($B29:$B47-M29:M47)/COUNTA($B29:$B47-M29:M47))</f>
        <v>21.458236337819734</v>
      </c>
      <c r="AD45" s="18" cm="1">
        <f t="array" ref="AD45">SQRT(SUMSQ($B29:$B47-N29:N47)/COUNTA($B29:$B47-N29:N47))</f>
        <v>18.801060982945444</v>
      </c>
      <c r="AF45">
        <v>20</v>
      </c>
      <c r="AG45">
        <v>20</v>
      </c>
    </row>
    <row r="46" spans="1:33" x14ac:dyDescent="0.25">
      <c r="A46" s="7">
        <v>4.3</v>
      </c>
      <c r="B46" s="66">
        <v>90</v>
      </c>
      <c r="C46" s="10">
        <f t="shared" si="49"/>
        <v>82.301765378972704</v>
      </c>
      <c r="D46" s="9">
        <f t="shared" si="50"/>
        <v>82.551125132717345</v>
      </c>
      <c r="E46" s="9">
        <f t="shared" si="51"/>
        <v>88.309972427913436</v>
      </c>
      <c r="F46" s="9">
        <f t="shared" si="52"/>
        <v>86.414678018681897</v>
      </c>
      <c r="G46" s="10">
        <f t="shared" si="53"/>
        <v>67.001302816277274</v>
      </c>
      <c r="H46" s="10">
        <f t="shared" si="54"/>
        <v>62.193390742230939</v>
      </c>
      <c r="I46" s="10">
        <f t="shared" si="55"/>
        <v>57.670539519757106</v>
      </c>
      <c r="J46" s="10">
        <f t="shared" si="56"/>
        <v>70.67174735147897</v>
      </c>
      <c r="K46" s="10">
        <f t="shared" si="57"/>
        <v>69.320260916444269</v>
      </c>
      <c r="L46" s="10">
        <f t="shared" si="58"/>
        <v>65.18559131526824</v>
      </c>
      <c r="M46" s="10">
        <f t="shared" si="59"/>
        <v>81.315610363652823</v>
      </c>
      <c r="N46" s="10">
        <f t="shared" si="60"/>
        <v>82.06675104088508</v>
      </c>
      <c r="AF46">
        <v>150</v>
      </c>
      <c r="AG46">
        <v>150</v>
      </c>
    </row>
    <row r="47" spans="1:33" x14ac:dyDescent="0.25">
      <c r="A47" s="35" t="s">
        <v>24</v>
      </c>
      <c r="B47" s="14">
        <v>108.42</v>
      </c>
      <c r="C47" s="10">
        <f t="shared" si="49"/>
        <v>103.79561762782475</v>
      </c>
      <c r="D47" s="9">
        <f t="shared" si="50"/>
        <v>42.984318298384501</v>
      </c>
      <c r="E47" s="9">
        <f t="shared" si="51"/>
        <v>67.830233196402276</v>
      </c>
      <c r="F47" s="9">
        <f t="shared" si="52"/>
        <v>101.31423534097813</v>
      </c>
      <c r="G47" s="10">
        <f t="shared" si="53"/>
        <v>24.654925635784203</v>
      </c>
      <c r="H47" s="10">
        <f t="shared" si="54"/>
        <v>32.715728904805879</v>
      </c>
      <c r="I47" s="10">
        <f t="shared" si="55"/>
        <v>37.493598149762107</v>
      </c>
      <c r="J47" s="10">
        <f t="shared" si="56"/>
        <v>21.865693822315428</v>
      </c>
      <c r="K47" s="10">
        <f t="shared" si="57"/>
        <v>24.552341859803199</v>
      </c>
      <c r="L47" s="10">
        <f t="shared" si="58"/>
        <v>24.355555477494292</v>
      </c>
      <c r="M47" s="10">
        <f t="shared" si="59"/>
        <v>57.972240615240565</v>
      </c>
      <c r="N47" s="10">
        <f t="shared" si="60"/>
        <v>60.642260994368897</v>
      </c>
    </row>
    <row r="48" spans="1:33" x14ac:dyDescent="0.25">
      <c r="A48" s="28" t="s">
        <v>42</v>
      </c>
      <c r="B48" s="66"/>
      <c r="C48" s="10">
        <f t="shared" si="49"/>
        <v>11.127940878470998</v>
      </c>
      <c r="D48" s="9">
        <f t="shared" si="50"/>
        <v>10.108290582502551</v>
      </c>
      <c r="E48" s="9">
        <f t="shared" si="51"/>
        <v>7.6670920378069045</v>
      </c>
      <c r="F48" s="9">
        <f t="shared" si="52"/>
        <v>10.258375738206395</v>
      </c>
      <c r="G48" s="10">
        <f t="shared" si="53"/>
        <v>17.808367221275912</v>
      </c>
      <c r="H48" s="10">
        <f t="shared" si="54"/>
        <v>23.325025604259231</v>
      </c>
      <c r="I48" s="10">
        <f t="shared" si="55"/>
        <v>34.332532721250736</v>
      </c>
      <c r="J48" s="10">
        <f t="shared" si="56"/>
        <v>13.557015660581559</v>
      </c>
      <c r="K48" s="10">
        <f t="shared" si="57"/>
        <v>12.586421633483333</v>
      </c>
      <c r="L48" s="10">
        <f t="shared" si="58"/>
        <v>16.107479264570827</v>
      </c>
      <c r="M48" s="10">
        <f t="shared" si="59"/>
        <v>10.477626579927524</v>
      </c>
      <c r="N48" s="10">
        <f t="shared" si="60"/>
        <v>10.448028614454108</v>
      </c>
    </row>
    <row r="49" spans="1:15" x14ac:dyDescent="0.25">
      <c r="A49" s="36" t="s">
        <v>43</v>
      </c>
      <c r="B49" s="67"/>
      <c r="C49" s="10">
        <f t="shared" si="49"/>
        <v>5.2974378120966987</v>
      </c>
      <c r="D49" s="9">
        <f t="shared" si="50"/>
        <v>0</v>
      </c>
      <c r="E49" s="9">
        <f t="shared" si="51"/>
        <v>0.67367564345011255</v>
      </c>
      <c r="F49" s="9">
        <f t="shared" si="52"/>
        <v>1.1834815249814366</v>
      </c>
      <c r="G49" s="10">
        <f t="shared" si="53"/>
        <v>0</v>
      </c>
      <c r="H49" s="10">
        <f t="shared" si="54"/>
        <v>5.5647743521472153</v>
      </c>
      <c r="I49" s="10">
        <f t="shared" si="55"/>
        <v>12.428167053090949</v>
      </c>
      <c r="J49" s="10">
        <f t="shared" si="56"/>
        <v>0</v>
      </c>
      <c r="K49" s="10">
        <f t="shared" si="57"/>
        <v>1.5333218368011026</v>
      </c>
      <c r="L49" s="10">
        <f t="shared" si="58"/>
        <v>2.1613038684227579</v>
      </c>
      <c r="M49" s="10">
        <f t="shared" si="59"/>
        <v>4.5123184858532124</v>
      </c>
      <c r="N49" s="10">
        <f t="shared" si="60"/>
        <v>4.0294474686782884</v>
      </c>
    </row>
    <row r="50" spans="1:15" x14ac:dyDescent="0.25">
      <c r="A50" s="1" t="s">
        <v>44</v>
      </c>
      <c r="C50" s="10">
        <f t="shared" si="49"/>
        <v>36.682276004117632</v>
      </c>
      <c r="D50" s="9">
        <f t="shared" si="50"/>
        <v>49.173395719419638</v>
      </c>
      <c r="E50" s="9">
        <f t="shared" si="51"/>
        <v>61.844363802740844</v>
      </c>
      <c r="F50" s="9">
        <f t="shared" si="52"/>
        <v>41.28542966920206</v>
      </c>
      <c r="G50" s="10">
        <f t="shared" si="53"/>
        <v>62.236678884846377</v>
      </c>
      <c r="H50" s="10">
        <f t="shared" si="54"/>
        <v>74.552316651716168</v>
      </c>
      <c r="I50" s="10">
        <f t="shared" si="55"/>
        <v>61.030991834353728</v>
      </c>
      <c r="J50" s="10">
        <f t="shared" si="56"/>
        <v>14.529921959653377</v>
      </c>
      <c r="K50" s="10">
        <f t="shared" si="57"/>
        <v>10.439498861671252</v>
      </c>
      <c r="L50" s="10">
        <f t="shared" si="58"/>
        <v>3.3761292025595022</v>
      </c>
      <c r="M50" s="10">
        <f t="shared" si="59"/>
        <v>40.04522796174556</v>
      </c>
      <c r="N50" s="10">
        <f t="shared" si="60"/>
        <v>45.831063100933925</v>
      </c>
    </row>
    <row r="51" spans="1:15" x14ac:dyDescent="0.25">
      <c r="A51" s="1" t="s">
        <v>71</v>
      </c>
      <c r="C51" s="10">
        <f t="shared" ref="C51" si="61">427.15*E25^0.6026</f>
        <v>5.2974378120966987</v>
      </c>
      <c r="D51" s="9">
        <f t="shared" si="50"/>
        <v>0</v>
      </c>
      <c r="E51" s="9">
        <f t="shared" si="51"/>
        <v>0.67367564345011255</v>
      </c>
      <c r="F51" s="9">
        <f t="shared" si="52"/>
        <v>1.1834815249814366</v>
      </c>
      <c r="G51" s="10">
        <f t="shared" ref="G51" si="62">108.36*AC25^0.294</f>
        <v>0</v>
      </c>
      <c r="H51" s="10">
        <f t="shared" ref="H51" si="63">69.293*AD25^0.3185</f>
        <v>5.5647743521472153</v>
      </c>
      <c r="I51" s="10">
        <f t="shared" ref="I51" si="64">50.026*AE25^0.3351</f>
        <v>12.428167053090949</v>
      </c>
      <c r="J51" s="10">
        <f t="shared" ref="J51" si="65">102.1*AK25^0.3275</f>
        <v>0</v>
      </c>
      <c r="K51" s="10">
        <f t="shared" ref="K51" si="66">63.901*AL25^0.4721</f>
        <v>4.920356307662023E-2</v>
      </c>
      <c r="L51" s="10">
        <f t="shared" ref="L51" si="67">34.771*AM25^0.6713</f>
        <v>1.6249770792562557E-2</v>
      </c>
      <c r="M51" s="10">
        <f t="shared" ref="M51" si="68">1005.7*AG25^0.3646</f>
        <v>4.5123184858532124</v>
      </c>
      <c r="N51" s="10">
        <f t="shared" ref="N51" si="69">1653.8*AF25^0.4053</f>
        <v>4.0294474686782884</v>
      </c>
    </row>
    <row r="52" spans="1:15" x14ac:dyDescent="0.25">
      <c r="A52" s="1" t="s">
        <v>97</v>
      </c>
      <c r="C52" s="10">
        <f t="shared" ref="C52" si="70">427.15*E26^0.6026</f>
        <v>38.090877401267164</v>
      </c>
      <c r="D52" s="9">
        <f t="shared" si="50"/>
        <v>0</v>
      </c>
      <c r="E52" s="9">
        <f t="shared" si="51"/>
        <v>67.213719960455052</v>
      </c>
      <c r="F52" s="9">
        <f t="shared" si="52"/>
        <v>89.81692214953847</v>
      </c>
      <c r="G52" s="10">
        <f t="shared" ref="G52" si="71">108.36*AC26^0.294</f>
        <v>20.018414469847663</v>
      </c>
      <c r="H52" s="10">
        <f t="shared" ref="H52" si="72">69.293*AD26^0.3185</f>
        <v>60.571592306793953</v>
      </c>
      <c r="I52" s="10">
        <f t="shared" ref="I52" si="73">50.026*AE26^0.3351</f>
        <v>67.983638265854324</v>
      </c>
      <c r="J52" s="10">
        <f t="shared" ref="J52" si="74">102.1*AK26^0.3275</f>
        <v>0</v>
      </c>
      <c r="K52" s="10">
        <f t="shared" ref="K52" si="75">63.901*AL26^0.4721</f>
        <v>8.1030197496243286</v>
      </c>
      <c r="L52" s="10">
        <f t="shared" ref="L52" si="76">34.771*AM26^0.6713</f>
        <v>4.5281170916063544</v>
      </c>
      <c r="M52" s="10">
        <f t="shared" ref="M52" si="77">1005.7*AG26^0.3646</f>
        <v>31.803382016457103</v>
      </c>
      <c r="N52" s="10">
        <f t="shared" ref="N52" si="78">1653.8*AF26^0.4053</f>
        <v>34.722356383183225</v>
      </c>
    </row>
    <row r="53" spans="1:15" x14ac:dyDescent="0.25">
      <c r="A53" s="128"/>
      <c r="B53" s="129"/>
      <c r="C53" s="129"/>
      <c r="D53" s="130"/>
      <c r="E53" s="130"/>
      <c r="F53" s="130"/>
      <c r="G53" s="130"/>
      <c r="H53" s="130"/>
      <c r="I53" s="130"/>
      <c r="J53" s="130"/>
      <c r="K53" s="130"/>
      <c r="L53" s="130"/>
      <c r="M53" s="131"/>
      <c r="N53" s="131"/>
      <c r="O53" s="129"/>
    </row>
    <row r="54" spans="1:15" x14ac:dyDescent="0.25">
      <c r="A54" s="133"/>
      <c r="B54" s="133"/>
      <c r="C54" s="128"/>
      <c r="D54" s="128"/>
      <c r="E54" s="128"/>
      <c r="F54" s="128"/>
      <c r="G54" s="128"/>
      <c r="H54" s="128"/>
      <c r="I54" s="128"/>
      <c r="J54" s="128"/>
      <c r="K54" s="128"/>
      <c r="L54" s="128"/>
      <c r="M54" s="128"/>
      <c r="N54" s="128"/>
      <c r="O54" s="129"/>
    </row>
    <row r="55" spans="1:15" x14ac:dyDescent="0.25">
      <c r="A55" s="133"/>
      <c r="B55" s="133"/>
      <c r="C55" s="131"/>
      <c r="D55" s="131"/>
      <c r="E55" s="131"/>
      <c r="F55" s="131"/>
      <c r="G55" s="131"/>
      <c r="H55" s="131"/>
      <c r="I55" s="131"/>
      <c r="J55" s="131"/>
      <c r="K55" s="131"/>
      <c r="L55" s="131"/>
      <c r="M55" s="131"/>
      <c r="N55" s="132"/>
      <c r="O55" s="129"/>
    </row>
    <row r="56" spans="1:15" x14ac:dyDescent="0.25">
      <c r="A56" s="133"/>
      <c r="B56" s="133"/>
      <c r="C56" s="131"/>
      <c r="D56" s="131"/>
      <c r="E56" s="131"/>
      <c r="F56" s="131"/>
      <c r="G56" s="131"/>
      <c r="H56" s="131"/>
      <c r="I56" s="131"/>
      <c r="J56" s="131"/>
      <c r="K56" s="131"/>
      <c r="L56" s="131"/>
      <c r="M56" s="131"/>
      <c r="N56" s="132"/>
      <c r="O56" s="129"/>
    </row>
    <row r="57" spans="1:15" x14ac:dyDescent="0.25">
      <c r="A57" s="133"/>
      <c r="B57" s="133"/>
      <c r="C57" s="131"/>
      <c r="D57" s="131"/>
      <c r="E57" s="131"/>
      <c r="F57" s="131"/>
      <c r="G57" s="131"/>
      <c r="H57" s="131"/>
      <c r="I57" s="131"/>
      <c r="J57" s="131"/>
      <c r="K57" s="131"/>
      <c r="L57" s="131"/>
      <c r="M57" s="131"/>
      <c r="N57" s="132"/>
      <c r="O57" s="129"/>
    </row>
    <row r="58" spans="1:15" x14ac:dyDescent="0.25">
      <c r="A58" s="133"/>
      <c r="B58" s="133"/>
      <c r="C58" s="131"/>
      <c r="D58" s="131"/>
      <c r="E58" s="131"/>
      <c r="F58" s="131"/>
      <c r="G58" s="131"/>
      <c r="H58" s="131"/>
      <c r="I58" s="131"/>
      <c r="J58" s="131"/>
      <c r="K58" s="131"/>
      <c r="L58" s="131"/>
      <c r="M58" s="131"/>
      <c r="N58" s="132"/>
      <c r="O58" s="129"/>
    </row>
    <row r="59" spans="1:15" x14ac:dyDescent="0.25">
      <c r="A59" s="133"/>
      <c r="B59" s="133"/>
      <c r="C59" s="131"/>
      <c r="D59" s="131"/>
      <c r="E59" s="131"/>
      <c r="F59" s="131"/>
      <c r="G59" s="131"/>
      <c r="H59" s="131"/>
      <c r="I59" s="131"/>
      <c r="J59" s="131"/>
      <c r="K59" s="131"/>
      <c r="L59" s="131"/>
      <c r="M59" s="131"/>
      <c r="N59" s="132"/>
      <c r="O59" s="129"/>
    </row>
    <row r="60" spans="1:15" x14ac:dyDescent="0.25">
      <c r="A60" s="133"/>
      <c r="B60" s="133"/>
      <c r="C60" s="131"/>
      <c r="D60" s="131"/>
      <c r="E60" s="131"/>
      <c r="F60" s="131"/>
      <c r="G60" s="131"/>
      <c r="H60" s="131"/>
      <c r="I60" s="131"/>
      <c r="J60" s="131"/>
      <c r="K60" s="131"/>
      <c r="L60" s="131"/>
      <c r="M60" s="131"/>
      <c r="N60" s="132"/>
      <c r="O60" s="129"/>
    </row>
    <row r="61" spans="1:15" x14ac:dyDescent="0.25">
      <c r="A61" s="133"/>
      <c r="B61" s="133"/>
      <c r="C61" s="131"/>
      <c r="D61" s="131"/>
      <c r="E61" s="131"/>
      <c r="F61" s="131"/>
      <c r="G61" s="131"/>
      <c r="H61" s="131"/>
      <c r="I61" s="131"/>
      <c r="J61" s="131"/>
      <c r="K61" s="131"/>
      <c r="L61" s="131"/>
      <c r="M61" s="131"/>
      <c r="N61" s="132"/>
      <c r="O61" s="129"/>
    </row>
    <row r="62" spans="1:15" x14ac:dyDescent="0.25">
      <c r="A62" s="133"/>
      <c r="B62" s="133"/>
      <c r="C62" s="131"/>
      <c r="D62" s="131"/>
      <c r="E62" s="131"/>
      <c r="F62" s="131"/>
      <c r="G62" s="131"/>
      <c r="H62" s="131"/>
      <c r="I62" s="131"/>
      <c r="J62" s="131"/>
      <c r="K62" s="131"/>
      <c r="L62" s="131"/>
      <c r="M62" s="131"/>
      <c r="N62" s="132"/>
      <c r="O62" s="129"/>
    </row>
    <row r="63" spans="1:15" x14ac:dyDescent="0.25">
      <c r="A63" s="133"/>
      <c r="B63" s="133"/>
      <c r="C63" s="131"/>
      <c r="D63" s="131"/>
      <c r="E63" s="131"/>
      <c r="F63" s="131"/>
      <c r="G63" s="131"/>
      <c r="H63" s="131"/>
      <c r="I63" s="131"/>
      <c r="J63" s="131"/>
      <c r="K63" s="131"/>
      <c r="L63" s="131"/>
      <c r="M63" s="131"/>
      <c r="N63" s="132"/>
      <c r="O63" s="129"/>
    </row>
    <row r="64" spans="1:15" x14ac:dyDescent="0.25">
      <c r="A64" s="133"/>
      <c r="B64" s="133"/>
      <c r="C64" s="131"/>
      <c r="D64" s="131"/>
      <c r="E64" s="131"/>
      <c r="F64" s="131"/>
      <c r="G64" s="131"/>
      <c r="H64" s="131"/>
      <c r="I64" s="131"/>
      <c r="J64" s="131"/>
      <c r="K64" s="131"/>
      <c r="L64" s="131"/>
      <c r="M64" s="131"/>
      <c r="N64" s="132"/>
      <c r="O64" s="129"/>
    </row>
    <row r="65" spans="1:30" x14ac:dyDescent="0.25">
      <c r="A65" s="133"/>
      <c r="B65" s="133"/>
      <c r="C65" s="131"/>
      <c r="D65" s="131"/>
      <c r="E65" s="131"/>
      <c r="F65" s="131"/>
      <c r="G65" s="131"/>
      <c r="H65" s="131"/>
      <c r="I65" s="131"/>
      <c r="J65" s="131"/>
      <c r="K65" s="131"/>
      <c r="L65" s="131"/>
      <c r="M65" s="131"/>
      <c r="N65" s="132"/>
      <c r="O65" s="129"/>
    </row>
    <row r="66" spans="1:30" x14ac:dyDescent="0.25">
      <c r="A66" s="133"/>
      <c r="B66" s="133"/>
      <c r="C66" s="131"/>
      <c r="D66" s="131"/>
      <c r="E66" s="131"/>
      <c r="F66" s="131"/>
      <c r="G66" s="131"/>
      <c r="H66" s="131"/>
      <c r="I66" s="131"/>
      <c r="J66" s="131"/>
      <c r="K66" s="131"/>
      <c r="L66" s="131"/>
      <c r="M66" s="131"/>
      <c r="N66" s="132"/>
      <c r="O66" s="129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</row>
    <row r="67" spans="1:30" x14ac:dyDescent="0.25">
      <c r="A67" s="133"/>
      <c r="B67" s="133"/>
      <c r="C67" s="131"/>
      <c r="D67" s="131"/>
      <c r="E67" s="131"/>
      <c r="F67" s="131"/>
      <c r="G67" s="131"/>
      <c r="H67" s="131"/>
      <c r="I67" s="131"/>
      <c r="J67" s="131"/>
      <c r="K67" s="131"/>
      <c r="L67" s="131"/>
      <c r="M67" s="131"/>
      <c r="N67" s="132"/>
      <c r="O67" s="129"/>
    </row>
    <row r="68" spans="1:30" x14ac:dyDescent="0.25">
      <c r="A68" s="133"/>
      <c r="B68" s="133"/>
      <c r="C68" s="131"/>
      <c r="D68" s="131"/>
      <c r="E68" s="131"/>
      <c r="F68" s="131"/>
      <c r="G68" s="131"/>
      <c r="H68" s="131"/>
      <c r="I68" s="131"/>
      <c r="J68" s="131"/>
      <c r="K68" s="131"/>
      <c r="L68" s="131"/>
      <c r="M68" s="131"/>
      <c r="N68" s="132"/>
      <c r="O68" s="129"/>
    </row>
    <row r="69" spans="1:30" x14ac:dyDescent="0.25">
      <c r="A69" s="133"/>
      <c r="B69" s="133"/>
      <c r="C69" s="131"/>
      <c r="D69" s="131"/>
      <c r="E69" s="131"/>
      <c r="F69" s="131"/>
      <c r="G69" s="131"/>
      <c r="H69" s="131"/>
      <c r="I69" s="131"/>
      <c r="J69" s="131"/>
      <c r="K69" s="131"/>
      <c r="L69" s="131"/>
      <c r="M69" s="131"/>
      <c r="N69" s="132"/>
      <c r="O69" s="129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</row>
    <row r="70" spans="1:30" x14ac:dyDescent="0.25">
      <c r="A70" s="133"/>
      <c r="B70" s="133"/>
      <c r="C70" s="131"/>
      <c r="D70" s="131"/>
      <c r="E70" s="131"/>
      <c r="F70" s="131"/>
      <c r="G70" s="131"/>
      <c r="H70" s="131"/>
      <c r="I70" s="131"/>
      <c r="J70" s="131"/>
      <c r="K70" s="131"/>
      <c r="L70" s="131"/>
      <c r="M70" s="131"/>
      <c r="N70" s="132"/>
      <c r="O70" s="129"/>
    </row>
    <row r="71" spans="1:30" x14ac:dyDescent="0.25">
      <c r="A71" s="133"/>
      <c r="B71" s="133"/>
      <c r="C71" s="131"/>
      <c r="D71" s="131"/>
      <c r="E71" s="131"/>
      <c r="F71" s="131"/>
      <c r="G71" s="131"/>
      <c r="H71" s="131"/>
      <c r="I71" s="131"/>
      <c r="J71" s="131"/>
      <c r="K71" s="131"/>
      <c r="L71" s="131"/>
      <c r="M71" s="131"/>
      <c r="N71" s="132"/>
      <c r="O71" s="129"/>
    </row>
    <row r="72" spans="1:30" x14ac:dyDescent="0.25">
      <c r="A72" s="133"/>
      <c r="B72" s="133"/>
      <c r="C72" s="131"/>
      <c r="D72" s="131"/>
      <c r="E72" s="131"/>
      <c r="F72" s="131"/>
      <c r="G72" s="131"/>
      <c r="H72" s="131"/>
      <c r="I72" s="131"/>
      <c r="J72" s="131"/>
      <c r="K72" s="131"/>
      <c r="L72" s="131"/>
      <c r="M72" s="131"/>
      <c r="N72" s="132"/>
      <c r="O72" s="129"/>
    </row>
    <row r="73" spans="1:30" x14ac:dyDescent="0.25">
      <c r="A73" s="133"/>
      <c r="B73" s="133"/>
      <c r="C73" s="131"/>
      <c r="D73" s="131"/>
      <c r="E73" s="131"/>
      <c r="F73" s="131"/>
      <c r="G73" s="131"/>
      <c r="H73" s="131"/>
      <c r="I73" s="131"/>
      <c r="J73" s="131"/>
      <c r="K73" s="131"/>
      <c r="L73" s="131"/>
      <c r="M73" s="131"/>
      <c r="N73" s="132"/>
      <c r="O73" s="129"/>
    </row>
    <row r="74" spans="1:30" x14ac:dyDescent="0.25">
      <c r="A74" s="128"/>
      <c r="B74" s="129"/>
      <c r="C74" s="131"/>
      <c r="D74" s="131"/>
      <c r="E74" s="131"/>
      <c r="F74" s="131"/>
      <c r="G74" s="131"/>
      <c r="H74" s="131"/>
      <c r="I74" s="131"/>
      <c r="J74" s="131"/>
      <c r="K74" s="131"/>
      <c r="L74" s="131"/>
      <c r="M74" s="131"/>
      <c r="N74" s="132"/>
      <c r="O74" s="129"/>
    </row>
    <row r="75" spans="1:30" x14ac:dyDescent="0.25">
      <c r="A75" s="128"/>
      <c r="B75" s="129"/>
      <c r="C75" s="131"/>
      <c r="D75" s="131"/>
      <c r="E75" s="131"/>
      <c r="F75" s="131"/>
      <c r="G75" s="131"/>
      <c r="H75" s="131"/>
      <c r="I75" s="131"/>
      <c r="J75" s="131"/>
      <c r="K75" s="131"/>
      <c r="L75" s="131"/>
      <c r="M75" s="131"/>
      <c r="N75" s="132"/>
      <c r="O75" s="129"/>
    </row>
    <row r="76" spans="1:30" x14ac:dyDescent="0.25">
      <c r="A76" s="129"/>
      <c r="B76" s="129"/>
      <c r="C76" s="129"/>
      <c r="D76" s="129"/>
      <c r="E76" s="129"/>
      <c r="F76" s="129"/>
      <c r="G76" s="129"/>
      <c r="H76" s="129"/>
      <c r="I76" s="129"/>
      <c r="J76" s="129"/>
      <c r="K76" s="129"/>
      <c r="L76" s="129"/>
      <c r="M76" s="129"/>
      <c r="N76" s="129"/>
      <c r="O76" s="129"/>
    </row>
  </sheetData>
  <mergeCells count="12">
    <mergeCell ref="T43:V43"/>
    <mergeCell ref="W43:Y43"/>
    <mergeCell ref="Z43:AB43"/>
    <mergeCell ref="AH1:AM1"/>
    <mergeCell ref="D27:F27"/>
    <mergeCell ref="G27:I27"/>
    <mergeCell ref="J27:L27"/>
    <mergeCell ref="D53:F53"/>
    <mergeCell ref="G53:I53"/>
    <mergeCell ref="J53:L53"/>
    <mergeCell ref="T1:Y1"/>
    <mergeCell ref="Z1:AE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all_samples</vt:lpstr>
      <vt:lpstr>storm_amplification</vt:lpstr>
      <vt:lpstr>calibration</vt:lpstr>
      <vt:lpstr>validation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Nicole Hucke</dc:creator>
  <cp:lastModifiedBy>Hucke Nunez, Nicole (huck4481@vandals.uidaho.edu)</cp:lastModifiedBy>
  <dcterms:created xsi:type="dcterms:W3CDTF">2015-06-05T18:17:20Z</dcterms:created>
  <dcterms:modified xsi:type="dcterms:W3CDTF">2025-12-12T00:53:54Z</dcterms:modified>
</cp:coreProperties>
</file>