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3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hydrophones\Calibration\calibration_calculations\"/>
    </mc:Choice>
  </mc:AlternateContent>
  <xr:revisionPtr revIDLastSave="0" documentId="13_ncr:1_{DC75AC22-AEE6-47D5-832A-0A664B6D3906}" xr6:coauthVersionLast="47" xr6:coauthVersionMax="47" xr10:uidLastSave="{00000000-0000-0000-0000-000000000000}"/>
  <bookViews>
    <workbookView xWindow="-25320" yWindow="360" windowWidth="25440" windowHeight="15270" activeTab="1" xr2:uid="{27A6C946-E455-4C89-BCD9-896144853ADC}"/>
  </bookViews>
  <sheets>
    <sheet name="all_samples" sheetId="7" r:id="rId1"/>
    <sheet name="storm_amplification" sheetId="10" r:id="rId2"/>
    <sheet name="calibration" sheetId="8" r:id="rId3"/>
    <sheet name="validation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62" i="10" l="1"/>
  <c r="AY61" i="10"/>
  <c r="AY60" i="10"/>
  <c r="AY59" i="10"/>
  <c r="AY58" i="10"/>
  <c r="AY57" i="10"/>
  <c r="AY56" i="10"/>
  <c r="AY55" i="10"/>
  <c r="AY54" i="10"/>
  <c r="AY53" i="10"/>
  <c r="AY52" i="10"/>
  <c r="AY51" i="10"/>
  <c r="AN17" i="10"/>
  <c r="BO25" i="10"/>
  <c r="BO26" i="10"/>
  <c r="BO27" i="10"/>
  <c r="BO28" i="10"/>
  <c r="BO29" i="10"/>
  <c r="BN29" i="10"/>
  <c r="BN28" i="10"/>
  <c r="BN27" i="10"/>
  <c r="BN26" i="10"/>
  <c r="BN25" i="10"/>
  <c r="C52" i="9"/>
  <c r="D52" i="9"/>
  <c r="AK19" i="10"/>
  <c r="AO19" i="10"/>
  <c r="AU19" i="10"/>
  <c r="BC10" i="10"/>
  <c r="AL19" i="10" s="1"/>
  <c r="BF10" i="10"/>
  <c r="BG10" i="10"/>
  <c r="AP19" i="10" s="1"/>
  <c r="BI10" i="10"/>
  <c r="AR19" i="10" s="1"/>
  <c r="BL10" i="10"/>
  <c r="BM10" i="10"/>
  <c r="AV19" i="10" s="1"/>
  <c r="AV10" i="10"/>
  <c r="AW10" i="10"/>
  <c r="AX10" i="10"/>
  <c r="AY10" i="10"/>
  <c r="AZ10" i="10"/>
  <c r="BD10" i="10" s="1"/>
  <c r="AM19" i="10" s="1"/>
  <c r="BA10" i="10"/>
  <c r="BE10" i="10" s="1"/>
  <c r="AN19" i="10" s="1"/>
  <c r="BH10" i="10" l="1"/>
  <c r="AQ19" i="10" s="1"/>
  <c r="BK10" i="10"/>
  <c r="AT19" i="10" s="1"/>
  <c r="BJ10" i="10"/>
  <c r="AS19" i="10" s="1"/>
  <c r="AK15" i="10"/>
  <c r="AW5" i="10"/>
  <c r="E37" i="10"/>
  <c r="C87" i="10"/>
  <c r="C56" i="10"/>
  <c r="H28" i="10"/>
  <c r="L21" i="10"/>
  <c r="I21" i="10"/>
  <c r="F21" i="10"/>
  <c r="D21" i="10" l="1"/>
  <c r="C21" i="10"/>
  <c r="AK18" i="10" l="1"/>
  <c r="AK20" i="10"/>
  <c r="AK21" i="10"/>
  <c r="AK17" i="10"/>
  <c r="AK16" i="10"/>
  <c r="BM9" i="10"/>
  <c r="AV18" i="10" s="1"/>
  <c r="BL9" i="10"/>
  <c r="AU18" i="10" s="1"/>
  <c r="BM8" i="10"/>
  <c r="AV21" i="10" s="1"/>
  <c r="BL8" i="10"/>
  <c r="AU21" i="10" s="1"/>
  <c r="BM7" i="10"/>
  <c r="AV20" i="10" s="1"/>
  <c r="BL7" i="10"/>
  <c r="AU20" i="10" s="1"/>
  <c r="BM6" i="10"/>
  <c r="AV17" i="10" s="1"/>
  <c r="BL6" i="10"/>
  <c r="AU17" i="10" s="1"/>
  <c r="BM5" i="10"/>
  <c r="AV16" i="10" s="1"/>
  <c r="BL5" i="10"/>
  <c r="AU16" i="10" s="1"/>
  <c r="BM4" i="10"/>
  <c r="AV15" i="10" s="1"/>
  <c r="BL4" i="10"/>
  <c r="AU15" i="10" s="1"/>
  <c r="BA9" i="10"/>
  <c r="BH9" i="10" s="1"/>
  <c r="AQ18" i="10" s="1"/>
  <c r="AZ9" i="10"/>
  <c r="BG9" i="10" s="1"/>
  <c r="AP18" i="10" s="1"/>
  <c r="AY9" i="10"/>
  <c r="BI9" i="10" s="1"/>
  <c r="AR18" i="10" s="1"/>
  <c r="AX9" i="10"/>
  <c r="AW9" i="10"/>
  <c r="AV9" i="10"/>
  <c r="BA8" i="10"/>
  <c r="BH8" i="10" s="1"/>
  <c r="AQ21" i="10" s="1"/>
  <c r="AZ8" i="10"/>
  <c r="BG8" i="10" s="1"/>
  <c r="AP21" i="10" s="1"/>
  <c r="AY8" i="10"/>
  <c r="BI8" i="10" s="1"/>
  <c r="AR21" i="10" s="1"/>
  <c r="AX8" i="10"/>
  <c r="AW8" i="10"/>
  <c r="AV8" i="10"/>
  <c r="BA7" i="10"/>
  <c r="BH7" i="10" s="1"/>
  <c r="AQ20" i="10" s="1"/>
  <c r="AZ7" i="10"/>
  <c r="BG7" i="10" s="1"/>
  <c r="AP20" i="10" s="1"/>
  <c r="AY7" i="10"/>
  <c r="BF7" i="10" s="1"/>
  <c r="AO20" i="10" s="1"/>
  <c r="AX7" i="10"/>
  <c r="AW7" i="10"/>
  <c r="AV7" i="10"/>
  <c r="BA6" i="10"/>
  <c r="BK6" i="10" s="1"/>
  <c r="AT17" i="10" s="1"/>
  <c r="AZ6" i="10"/>
  <c r="BD6" i="10" s="1"/>
  <c r="AM17" i="10" s="1"/>
  <c r="AY6" i="10"/>
  <c r="BF6" i="10" s="1"/>
  <c r="AO17" i="10" s="1"/>
  <c r="AX6" i="10"/>
  <c r="AW6" i="10"/>
  <c r="AV6" i="10"/>
  <c r="BA5" i="10"/>
  <c r="BK5" i="10" s="1"/>
  <c r="AT16" i="10" s="1"/>
  <c r="AZ5" i="10"/>
  <c r="BD5" i="10" s="1"/>
  <c r="AM16" i="10" s="1"/>
  <c r="AY5" i="10"/>
  <c r="BF5" i="10" s="1"/>
  <c r="AO16" i="10" s="1"/>
  <c r="AX5" i="10"/>
  <c r="AV5" i="10"/>
  <c r="BA4" i="10"/>
  <c r="BK4" i="10" s="1"/>
  <c r="AT15" i="10" s="1"/>
  <c r="AZ4" i="10"/>
  <c r="BJ4" i="10" s="1"/>
  <c r="AS15" i="10" s="1"/>
  <c r="AY4" i="10"/>
  <c r="BC4" i="10" s="1"/>
  <c r="AL15" i="10" s="1"/>
  <c r="AX4" i="10"/>
  <c r="AW4" i="10"/>
  <c r="AV4" i="10"/>
  <c r="AO32" i="10" l="1" a="1"/>
  <c r="AO32" i="10" s="1"/>
  <c r="AN51" i="10" a="1"/>
  <c r="AN51" i="10" s="1"/>
  <c r="AW51" i="10" a="1"/>
  <c r="AW51" i="10" s="1"/>
  <c r="AJ51" i="10" a="1"/>
  <c r="AJ51" i="10" s="1"/>
  <c r="AP51" i="10" a="1"/>
  <c r="AP51" i="10" s="1"/>
  <c r="AL51" i="10" a="1"/>
  <c r="AL51" i="10" s="1"/>
  <c r="AS51" i="10" a="1"/>
  <c r="AS51" i="10" s="1"/>
  <c r="AW32" i="10" a="1"/>
  <c r="AW32" i="10" s="1"/>
  <c r="AQ51" i="10" a="1"/>
  <c r="AQ51" i="10" s="1"/>
  <c r="AU51" i="10" a="1"/>
  <c r="AU51" i="10" s="1"/>
  <c r="AM51" i="10" a="1"/>
  <c r="AM51" i="10" s="1"/>
  <c r="AR32" i="10" a="1"/>
  <c r="AR32" i="10" s="1"/>
  <c r="AS32" i="10" a="1"/>
  <c r="AS32" i="10" s="1"/>
  <c r="AQ32" i="10" a="1"/>
  <c r="AQ32" i="10" s="1"/>
  <c r="AN32" i="10" a="1"/>
  <c r="AN32" i="10" s="1"/>
  <c r="AP32" i="10" a="1"/>
  <c r="AP32" i="10" s="1"/>
  <c r="AT32" i="10" a="1"/>
  <c r="AT32" i="10" s="1"/>
  <c r="AT51" i="10" a="1"/>
  <c r="AT51" i="10" s="1"/>
  <c r="AM32" i="10" a="1"/>
  <c r="AM32" i="10" s="1"/>
  <c r="AK32" i="10" a="1"/>
  <c r="AK32" i="10" s="1"/>
  <c r="AV32" i="10" a="1"/>
  <c r="AV32" i="10" s="1"/>
  <c r="AV51" i="10" a="1"/>
  <c r="AV51" i="10" s="1"/>
  <c r="AU32" i="10" a="1"/>
  <c r="AU32" i="10" s="1"/>
  <c r="AJ32" i="10" a="1"/>
  <c r="AJ32" i="10" s="1"/>
  <c r="AO51" i="10" a="1"/>
  <c r="AO51" i="10" s="1"/>
  <c r="AK51" i="10" a="1"/>
  <c r="AK51" i="10" s="1"/>
  <c r="AR51" i="10" a="1"/>
  <c r="AR51" i="10" s="1"/>
  <c r="AL32" i="10" a="1"/>
  <c r="AL32" i="10" s="1"/>
  <c r="AM61" i="10" a="1"/>
  <c r="AM61" i="10" s="1"/>
  <c r="AS61" i="10" a="1"/>
  <c r="AS61" i="10" s="1"/>
  <c r="AJ61" i="10" a="1"/>
  <c r="AJ61" i="10" s="1"/>
  <c r="AN61" i="10" a="1"/>
  <c r="AN61" i="10" s="1"/>
  <c r="AT61" i="10" a="1"/>
  <c r="AT61" i="10" s="1"/>
  <c r="AO61" i="10" a="1"/>
  <c r="AO61" i="10" s="1"/>
  <c r="AP61" i="10" a="1"/>
  <c r="AP61" i="10" s="1"/>
  <c r="AU61" i="10" a="1"/>
  <c r="AU61" i="10" s="1"/>
  <c r="AK61" i="10" a="1"/>
  <c r="AK61" i="10" s="1"/>
  <c r="AQ61" i="10" a="1"/>
  <c r="AQ61" i="10" s="1"/>
  <c r="AV61" i="10" a="1"/>
  <c r="AV61" i="10" s="1"/>
  <c r="AL61" i="10" a="1"/>
  <c r="AL61" i="10" s="1"/>
  <c r="AR61" i="10" a="1"/>
  <c r="AR61" i="10" s="1"/>
  <c r="AW61" i="10" a="1"/>
  <c r="AW61" i="10" s="1"/>
  <c r="AO62" i="10" a="1"/>
  <c r="AO62" i="10" s="1"/>
  <c r="AU62" i="10" a="1"/>
  <c r="AU62" i="10" s="1"/>
  <c r="AP62" i="10" a="1"/>
  <c r="AP62" i="10" s="1"/>
  <c r="AV62" i="10" a="1"/>
  <c r="AV62" i="10" s="1"/>
  <c r="AK62" i="10" a="1"/>
  <c r="AK62" i="10" s="1"/>
  <c r="AQ62" i="10" a="1"/>
  <c r="AQ62" i="10" s="1"/>
  <c r="AW62" i="10" a="1"/>
  <c r="AW62" i="10" s="1"/>
  <c r="AL62" i="10" a="1"/>
  <c r="AL62" i="10" s="1"/>
  <c r="AR62" i="10" a="1"/>
  <c r="AR62" i="10" s="1"/>
  <c r="AJ62" i="10" a="1"/>
  <c r="AJ62" i="10" s="1"/>
  <c r="AM62" i="10" a="1"/>
  <c r="AM62" i="10" s="1"/>
  <c r="AS62" i="10" a="1"/>
  <c r="AS62" i="10" s="1"/>
  <c r="AN62" i="10" a="1"/>
  <c r="AN62" i="10" s="1"/>
  <c r="AT62" i="10" a="1"/>
  <c r="AT62" i="10" s="1"/>
  <c r="AK33" i="10" a="1"/>
  <c r="AK33" i="10" s="1"/>
  <c r="AU33" i="10" a="1"/>
  <c r="AU33" i="10" s="1"/>
  <c r="AO52" i="10" a="1"/>
  <c r="AO52" i="10" s="1"/>
  <c r="AT33" i="10" a="1"/>
  <c r="AT33" i="10" s="1"/>
  <c r="AN52" i="10" a="1"/>
  <c r="AN52" i="10" s="1"/>
  <c r="AR52" i="10" a="1"/>
  <c r="AR52" i="10" s="1"/>
  <c r="AV33" i="10" a="1"/>
  <c r="AV33" i="10" s="1"/>
  <c r="AM33" i="10" a="1"/>
  <c r="AM33" i="10" s="1"/>
  <c r="AS33" i="10" a="1"/>
  <c r="AS33" i="10" s="1"/>
  <c r="AK52" i="10" a="1"/>
  <c r="AK52" i="10" s="1"/>
  <c r="AJ52" i="10" a="1"/>
  <c r="AJ52" i="10" s="1"/>
  <c r="AP52" i="10" a="1"/>
  <c r="AP52" i="10" s="1"/>
  <c r="AQ52" i="10" a="1"/>
  <c r="AQ52" i="10" s="1"/>
  <c r="AP33" i="10" a="1"/>
  <c r="AP33" i="10" s="1"/>
  <c r="BE7" i="10"/>
  <c r="AN20" i="10" s="1"/>
  <c r="BK7" i="10"/>
  <c r="AT20" i="10" s="1"/>
  <c r="BC5" i="10"/>
  <c r="AL16" i="10" s="1"/>
  <c r="AS52" i="10" s="1" a="1"/>
  <c r="AS52" i="10" s="1"/>
  <c r="BI5" i="10"/>
  <c r="AR16" i="10" s="1"/>
  <c r="BH4" i="10"/>
  <c r="AQ15" i="10" s="1"/>
  <c r="BF8" i="10"/>
  <c r="AO21" i="10" s="1"/>
  <c r="AM42" i="10" a="1"/>
  <c r="AM42" i="10" s="1"/>
  <c r="AQ42" i="10" a="1"/>
  <c r="AQ42" i="10" s="1"/>
  <c r="AJ42" i="10" a="1"/>
  <c r="AJ42" i="10" s="1"/>
  <c r="AN42" i="10" a="1"/>
  <c r="AN42" i="10" s="1"/>
  <c r="AU42" i="10" a="1"/>
  <c r="AU42" i="10" s="1"/>
  <c r="AK42" i="10" a="1"/>
  <c r="AK42" i="10" s="1"/>
  <c r="AR42" i="10" a="1"/>
  <c r="AR42" i="10" s="1"/>
  <c r="AO42" i="10" a="1"/>
  <c r="AO42" i="10" s="1"/>
  <c r="AV42" i="10" a="1"/>
  <c r="AV42" i="10" s="1"/>
  <c r="AL42" i="10" a="1"/>
  <c r="AL42" i="10" s="1"/>
  <c r="AS42" i="10" a="1"/>
  <c r="AS42" i="10" s="1"/>
  <c r="AW42" i="10" a="1"/>
  <c r="AW42" i="10" s="1"/>
  <c r="AP42" i="10" a="1"/>
  <c r="AP42" i="10" s="1"/>
  <c r="AT42" i="10" a="1"/>
  <c r="AT42" i="10" s="1"/>
  <c r="AW43" i="10" a="1"/>
  <c r="AW43" i="10" s="1"/>
  <c r="AR43" i="10" a="1"/>
  <c r="AR43" i="10" s="1"/>
  <c r="AN43" i="10" a="1"/>
  <c r="AN43" i="10" s="1"/>
  <c r="AS43" i="10" a="1"/>
  <c r="AS43" i="10" s="1"/>
  <c r="AJ43" i="10" a="1"/>
  <c r="AJ43" i="10" s="1"/>
  <c r="AK43" i="10" a="1"/>
  <c r="AK43" i="10" s="1"/>
  <c r="AO43" i="10" a="1"/>
  <c r="AO43" i="10" s="1"/>
  <c r="AP43" i="10" a="1"/>
  <c r="AP43" i="10" s="1"/>
  <c r="AT43" i="10" a="1"/>
  <c r="AT43" i="10" s="1"/>
  <c r="AL43" i="10" a="1"/>
  <c r="AL43" i="10" s="1"/>
  <c r="AU43" i="10" a="1"/>
  <c r="AU43" i="10" s="1"/>
  <c r="AM43" i="10" a="1"/>
  <c r="AM43" i="10" s="1"/>
  <c r="AQ43" i="10" a="1"/>
  <c r="AQ43" i="10" s="1"/>
  <c r="AV43" i="10" a="1"/>
  <c r="AV43" i="10" s="1"/>
  <c r="BE4" i="10"/>
  <c r="AN15" i="10" s="1"/>
  <c r="BG6" i="10"/>
  <c r="AP17" i="10" s="1"/>
  <c r="BC8" i="10"/>
  <c r="AL21" i="10" s="1"/>
  <c r="BD9" i="10"/>
  <c r="AM18" i="10" s="1"/>
  <c r="BJ9" i="10"/>
  <c r="AS18" i="10" s="1"/>
  <c r="BF4" i="10"/>
  <c r="AO15" i="10" s="1"/>
  <c r="BG5" i="10"/>
  <c r="AP16" i="10" s="1"/>
  <c r="BH6" i="10"/>
  <c r="AQ17" i="10" s="1"/>
  <c r="BC7" i="10"/>
  <c r="AL20" i="10" s="1"/>
  <c r="BI7" i="10"/>
  <c r="AR20" i="10" s="1"/>
  <c r="BD8" i="10"/>
  <c r="AM21" i="10" s="1"/>
  <c r="BJ8" i="10"/>
  <c r="AS21" i="10" s="1"/>
  <c r="BE9" i="10"/>
  <c r="AN18" i="10" s="1"/>
  <c r="BK9" i="10"/>
  <c r="AT18" i="10" s="1"/>
  <c r="AO41" i="10" s="1" a="1"/>
  <c r="AO41" i="10" s="1"/>
  <c r="BJ6" i="10"/>
  <c r="AS17" i="10" s="1"/>
  <c r="BG4" i="10"/>
  <c r="AP15" i="10" s="1"/>
  <c r="BH5" i="10"/>
  <c r="AQ16" i="10" s="1"/>
  <c r="BC6" i="10"/>
  <c r="AL17" i="10" s="1"/>
  <c r="AV52" i="10" s="1" a="1"/>
  <c r="AV52" i="10" s="1"/>
  <c r="BI6" i="10"/>
  <c r="AR17" i="10" s="1"/>
  <c r="BD7" i="10"/>
  <c r="AM20" i="10" s="1"/>
  <c r="BJ7" i="10"/>
  <c r="AS20" i="10" s="1"/>
  <c r="BE8" i="10"/>
  <c r="AN21" i="10" s="1"/>
  <c r="BK8" i="10"/>
  <c r="AT21" i="10" s="1"/>
  <c r="BF9" i="10"/>
  <c r="AO18" i="10" s="1"/>
  <c r="BD4" i="10"/>
  <c r="AM15" i="10" s="1"/>
  <c r="BI4" i="10"/>
  <c r="AR15" i="10" s="1"/>
  <c r="BJ5" i="10"/>
  <c r="AS16" i="10" s="1"/>
  <c r="AW59" i="10" s="1" a="1"/>
  <c r="AW59" i="10" s="1"/>
  <c r="BE6" i="10"/>
  <c r="BE5" i="10"/>
  <c r="AN16" i="10" s="1"/>
  <c r="BC9" i="10"/>
  <c r="AL18" i="10" s="1"/>
  <c r="AV60" i="10" l="1" a="1"/>
  <c r="AV60" i="10" s="1"/>
  <c r="AJ59" i="10" a="1"/>
  <c r="AJ59" i="10" s="1"/>
  <c r="AS60" i="10" a="1"/>
  <c r="AS60" i="10" s="1"/>
  <c r="AQ33" i="10" a="1"/>
  <c r="AQ33" i="10" s="1"/>
  <c r="AN60" i="10" a="1"/>
  <c r="AN60" i="10" s="1"/>
  <c r="AT59" i="10" a="1"/>
  <c r="AT59" i="10" s="1"/>
  <c r="AM59" i="10" a="1"/>
  <c r="AM59" i="10" s="1"/>
  <c r="AJ33" i="10" a="1"/>
  <c r="AJ33" i="10" s="1"/>
  <c r="AL33" i="10" a="1"/>
  <c r="AL33" i="10" s="1"/>
  <c r="AM52" i="10" a="1"/>
  <c r="AM52" i="10" s="1"/>
  <c r="AW60" i="10" a="1"/>
  <c r="AW60" i="10" s="1"/>
  <c r="AQ60" i="10" a="1"/>
  <c r="AQ60" i="10" s="1"/>
  <c r="AM56" i="10" a="1"/>
  <c r="AM56" i="10" s="1"/>
  <c r="AJ56" i="10" a="1"/>
  <c r="AJ56" i="10" s="1"/>
  <c r="AN56" i="10" a="1"/>
  <c r="AN56" i="10" s="1"/>
  <c r="AS56" i="10" a="1"/>
  <c r="AS56" i="10" s="1"/>
  <c r="AO56" i="10" a="1"/>
  <c r="AO56" i="10" s="1"/>
  <c r="AT56" i="10" a="1"/>
  <c r="AT56" i="10" s="1"/>
  <c r="AP56" i="10" a="1"/>
  <c r="AP56" i="10" s="1"/>
  <c r="AU56" i="10" a="1"/>
  <c r="AU56" i="10" s="1"/>
  <c r="AK56" i="10" a="1"/>
  <c r="AK56" i="10" s="1"/>
  <c r="AQ56" i="10" a="1"/>
  <c r="AQ56" i="10" s="1"/>
  <c r="AV56" i="10" a="1"/>
  <c r="AV56" i="10" s="1"/>
  <c r="AL56" i="10" a="1"/>
  <c r="AL56" i="10" s="1"/>
  <c r="AR56" i="10" a="1"/>
  <c r="AR56" i="10" s="1"/>
  <c r="AR63" i="10" s="1"/>
  <c r="AW56" i="10" a="1"/>
  <c r="AW56" i="10" s="1"/>
  <c r="AT52" i="10" a="1"/>
  <c r="AT52" i="10" s="1"/>
  <c r="AU52" i="10" a="1"/>
  <c r="AU52" i="10" s="1"/>
  <c r="AU63" i="10" s="1"/>
  <c r="AW52" i="10" a="1"/>
  <c r="AW52" i="10" s="1"/>
  <c r="AR33" i="10" a="1"/>
  <c r="AR33" i="10" s="1"/>
  <c r="AT60" i="10" a="1"/>
  <c r="AT60" i="10" s="1"/>
  <c r="AR60" i="10" a="1"/>
  <c r="AR60" i="10" s="1"/>
  <c r="AK60" i="10" a="1"/>
  <c r="AK60" i="10" s="1"/>
  <c r="AV59" i="10" a="1"/>
  <c r="AV59" i="10" s="1"/>
  <c r="AS59" i="10" a="1"/>
  <c r="AS59" i="10" s="1"/>
  <c r="AQ59" i="10" a="1"/>
  <c r="AQ59" i="10" s="1"/>
  <c r="AT63" i="10"/>
  <c r="AO60" i="10" a="1"/>
  <c r="AO60" i="10" s="1"/>
  <c r="AM60" i="10" a="1"/>
  <c r="AM60" i="10" s="1"/>
  <c r="AP60" i="10" a="1"/>
  <c r="AP60" i="10" s="1"/>
  <c r="AK59" i="10" a="1"/>
  <c r="AK59" i="10" s="1"/>
  <c r="AN59" i="10" a="1"/>
  <c r="AN59" i="10" s="1"/>
  <c r="AL59" i="10" a="1"/>
  <c r="AL59" i="10" s="1"/>
  <c r="AK53" i="10" a="1"/>
  <c r="AK53" i="10" s="1"/>
  <c r="AO53" i="10" a="1"/>
  <c r="AO53" i="10" s="1"/>
  <c r="AO63" i="10" s="1"/>
  <c r="AU53" i="10" a="1"/>
  <c r="AU53" i="10" s="1"/>
  <c r="AM53" i="10" a="1"/>
  <c r="AM53" i="10" s="1"/>
  <c r="AM63" i="10" s="1"/>
  <c r="AL53" i="10" a="1"/>
  <c r="AL53" i="10" s="1"/>
  <c r="AP53" i="10" a="1"/>
  <c r="AP53" i="10" s="1"/>
  <c r="AP63" i="10" s="1"/>
  <c r="AV53" i="10" a="1"/>
  <c r="AV53" i="10" s="1"/>
  <c r="AW53" i="10" a="1"/>
  <c r="AW53" i="10" s="1"/>
  <c r="AR53" i="10" a="1"/>
  <c r="AR53" i="10" s="1"/>
  <c r="AQ53" i="10" a="1"/>
  <c r="AQ53" i="10" s="1"/>
  <c r="AJ34" i="10" a="1"/>
  <c r="AJ34" i="10" s="1"/>
  <c r="AN53" i="10" a="1"/>
  <c r="AN53" i="10" s="1"/>
  <c r="AN63" i="10" s="1"/>
  <c r="AS53" i="10" a="1"/>
  <c r="AS53" i="10" s="1"/>
  <c r="AJ53" i="10" a="1"/>
  <c r="AJ53" i="10" s="1"/>
  <c r="AJ63" i="10" s="1"/>
  <c r="AT53" i="10" a="1"/>
  <c r="AT53" i="10" s="1"/>
  <c r="AL60" i="10" a="1"/>
  <c r="AL60" i="10" s="1"/>
  <c r="AP59" i="10" a="1"/>
  <c r="AP59" i="10" s="1"/>
  <c r="AR59" i="10" a="1"/>
  <c r="AR59" i="10" s="1"/>
  <c r="AQ63" i="10"/>
  <c r="AN58" i="10" a="1"/>
  <c r="AN58" i="10" s="1"/>
  <c r="AS58" i="10" a="1"/>
  <c r="AS58" i="10" s="1"/>
  <c r="AJ58" i="10" a="1"/>
  <c r="AJ58" i="10" s="1"/>
  <c r="AO58" i="10" a="1"/>
  <c r="AO58" i="10" s="1"/>
  <c r="AT58" i="10" a="1"/>
  <c r="AT58" i="10" s="1"/>
  <c r="AK58" i="10" a="1"/>
  <c r="AK58" i="10" s="1"/>
  <c r="AP58" i="10" a="1"/>
  <c r="AP58" i="10" s="1"/>
  <c r="AQ58" i="10" a="1"/>
  <c r="AQ58" i="10" s="1"/>
  <c r="AU58" i="10" a="1"/>
  <c r="AU58" i="10" s="1"/>
  <c r="AL58" i="10" a="1"/>
  <c r="AL58" i="10" s="1"/>
  <c r="AR58" i="10" a="1"/>
  <c r="AR58" i="10" s="1"/>
  <c r="AV58" i="10" a="1"/>
  <c r="AV58" i="10" s="1"/>
  <c r="AM58" i="10" a="1"/>
  <c r="AM58" i="10" s="1"/>
  <c r="AW58" i="10" a="1"/>
  <c r="AW58" i="10" s="1"/>
  <c r="AJ60" i="10" a="1"/>
  <c r="AJ60" i="10" s="1"/>
  <c r="AP55" i="10" a="1"/>
  <c r="AP55" i="10" s="1"/>
  <c r="AV55" i="10" a="1"/>
  <c r="AV55" i="10" s="1"/>
  <c r="AS55" i="10" a="1"/>
  <c r="AS55" i="10" s="1"/>
  <c r="AK55" i="10" a="1"/>
  <c r="AK55" i="10" s="1"/>
  <c r="AQ55" i="10" a="1"/>
  <c r="AQ55" i="10" s="1"/>
  <c r="AW55" i="10" a="1"/>
  <c r="AW55" i="10" s="1"/>
  <c r="AJ55" i="10" a="1"/>
  <c r="AJ55" i="10" s="1"/>
  <c r="AM55" i="10" a="1"/>
  <c r="AM55" i="10" s="1"/>
  <c r="AL55" i="10" a="1"/>
  <c r="AL55" i="10" s="1"/>
  <c r="AR55" i="10" a="1"/>
  <c r="AR55" i="10" s="1"/>
  <c r="AN55" i="10" a="1"/>
  <c r="AN55" i="10" s="1"/>
  <c r="AT55" i="10" a="1"/>
  <c r="AT55" i="10" s="1"/>
  <c r="AO55" i="10" a="1"/>
  <c r="AO55" i="10" s="1"/>
  <c r="AU55" i="10" a="1"/>
  <c r="AU55" i="10" s="1"/>
  <c r="AL52" i="10" a="1"/>
  <c r="AL52" i="10" s="1"/>
  <c r="AL63" i="10" s="1"/>
  <c r="AN33" i="10" a="1"/>
  <c r="AN33" i="10" s="1"/>
  <c r="AU60" i="10" a="1"/>
  <c r="AU60" i="10" s="1"/>
  <c r="AU59" i="10" a="1"/>
  <c r="AU59" i="10" s="1"/>
  <c r="AW54" i="10" a="1"/>
  <c r="AW54" i="10" s="1"/>
  <c r="AW63" i="10" s="1"/>
  <c r="AN54" i="10" a="1"/>
  <c r="AN54" i="10" s="1"/>
  <c r="AS54" i="10" a="1"/>
  <c r="AS54" i="10" s="1"/>
  <c r="AP54" i="10" a="1"/>
  <c r="AP54" i="10" s="1"/>
  <c r="AO54" i="10" a="1"/>
  <c r="AO54" i="10" s="1"/>
  <c r="AT54" i="10" a="1"/>
  <c r="AT54" i="10" s="1"/>
  <c r="AU54" i="10" a="1"/>
  <c r="AU54" i="10" s="1"/>
  <c r="AQ54" i="10" a="1"/>
  <c r="AQ54" i="10" s="1"/>
  <c r="AK54" i="10" a="1"/>
  <c r="AK54" i="10" s="1"/>
  <c r="AV54" i="10" a="1"/>
  <c r="AV54" i="10" s="1"/>
  <c r="AL54" i="10" a="1"/>
  <c r="AL54" i="10" s="1"/>
  <c r="AJ54" i="10" a="1"/>
  <c r="AJ54" i="10" s="1"/>
  <c r="AM54" i="10" a="1"/>
  <c r="AM54" i="10" s="1"/>
  <c r="AR54" i="10" a="1"/>
  <c r="AR54" i="10" s="1"/>
  <c r="AU57" i="10" a="1"/>
  <c r="AU57" i="10" s="1"/>
  <c r="AK57" i="10" a="1"/>
  <c r="AK57" i="10" s="1"/>
  <c r="AP57" i="10" a="1"/>
  <c r="AP57" i="10" s="1"/>
  <c r="AV57" i="10" a="1"/>
  <c r="AV57" i="10" s="1"/>
  <c r="AV63" i="10" s="1"/>
  <c r="AL57" i="10" a="1"/>
  <c r="AL57" i="10" s="1"/>
  <c r="AQ57" i="10" a="1"/>
  <c r="AQ57" i="10" s="1"/>
  <c r="AW57" i="10" a="1"/>
  <c r="AW57" i="10" s="1"/>
  <c r="AM57" i="10" a="1"/>
  <c r="AM57" i="10" s="1"/>
  <c r="AR57" i="10" a="1"/>
  <c r="AR57" i="10" s="1"/>
  <c r="AJ57" i="10" a="1"/>
  <c r="AJ57" i="10" s="1"/>
  <c r="AN57" i="10" a="1"/>
  <c r="AN57" i="10" s="1"/>
  <c r="AS57" i="10" a="1"/>
  <c r="AS57" i="10" s="1"/>
  <c r="AO57" i="10" a="1"/>
  <c r="AO57" i="10" s="1"/>
  <c r="AT57" i="10" a="1"/>
  <c r="AT57" i="10" s="1"/>
  <c r="AY42" i="10"/>
  <c r="AW33" i="10" a="1"/>
  <c r="AW33" i="10" s="1"/>
  <c r="AK63" i="10"/>
  <c r="AO33" i="10" a="1"/>
  <c r="AO33" i="10" s="1"/>
  <c r="AO59" i="10" a="1"/>
  <c r="AO59" i="10" s="1"/>
  <c r="AS63" i="10"/>
  <c r="AY43" i="10"/>
  <c r="AY32" i="10"/>
  <c r="AX32" i="10"/>
  <c r="AX43" i="10"/>
  <c r="AN38" i="10" a="1"/>
  <c r="AN38" i="10" s="1"/>
  <c r="AT40" i="10" a="1"/>
  <c r="AT40" i="10" s="1"/>
  <c r="AL38" i="10" a="1"/>
  <c r="AL38" i="10" s="1"/>
  <c r="AU38" i="10" a="1"/>
  <c r="AU38" i="10" s="1"/>
  <c r="AT41" i="10" a="1"/>
  <c r="AT41" i="10" s="1"/>
  <c r="AS38" i="10" a="1"/>
  <c r="AS38" i="10" s="1"/>
  <c r="AM38" i="10" a="1"/>
  <c r="AM38" i="10" s="1"/>
  <c r="AJ41" i="10" a="1"/>
  <c r="AJ41" i="10" s="1"/>
  <c r="AN41" i="10" a="1"/>
  <c r="AN41" i="10" s="1"/>
  <c r="AV41" i="10" a="1"/>
  <c r="AV41" i="10" s="1"/>
  <c r="AO38" i="10" a="1"/>
  <c r="AO38" i="10" s="1"/>
  <c r="AP38" i="10" a="1"/>
  <c r="AP38" i="10" s="1"/>
  <c r="AP41" i="10" a="1"/>
  <c r="AP41" i="10" s="1"/>
  <c r="AS41" i="10" a="1"/>
  <c r="AS41" i="10" s="1"/>
  <c r="AX42" i="10"/>
  <c r="AR38" i="10" a="1"/>
  <c r="AR38" i="10" s="1"/>
  <c r="AT38" i="10" a="1"/>
  <c r="AT38" i="10" s="1"/>
  <c r="AL41" i="10" a="1"/>
  <c r="AL41" i="10" s="1"/>
  <c r="AW38" i="10" a="1"/>
  <c r="AW38" i="10" s="1"/>
  <c r="AJ38" i="10" a="1"/>
  <c r="AJ38" i="10" s="1"/>
  <c r="AQ41" i="10" a="1"/>
  <c r="AQ41" i="10" s="1"/>
  <c r="AK41" i="10" a="1"/>
  <c r="AK41" i="10" s="1"/>
  <c r="AL36" i="10" a="1"/>
  <c r="AL36" i="10" s="1"/>
  <c r="AT36" i="10" a="1"/>
  <c r="AT36" i="10" s="1"/>
  <c r="AP36" i="10" a="1"/>
  <c r="AP36" i="10" s="1"/>
  <c r="AJ36" i="10" a="1"/>
  <c r="AJ36" i="10" s="1"/>
  <c r="AM36" i="10" a="1"/>
  <c r="AM36" i="10" s="1"/>
  <c r="AQ36" i="10" a="1"/>
  <c r="AQ36" i="10" s="1"/>
  <c r="AU36" i="10" a="1"/>
  <c r="AU36" i="10" s="1"/>
  <c r="AN36" i="10" a="1"/>
  <c r="AN36" i="10" s="1"/>
  <c r="AR36" i="10" a="1"/>
  <c r="AR36" i="10" s="1"/>
  <c r="AK36" i="10" a="1"/>
  <c r="AK36" i="10" s="1"/>
  <c r="AV36" i="10" a="1"/>
  <c r="AV36" i="10" s="1"/>
  <c r="AO36" i="10" a="1"/>
  <c r="AO36" i="10" s="1"/>
  <c r="AS36" i="10" a="1"/>
  <c r="AS36" i="10" s="1"/>
  <c r="AW36" i="10" a="1"/>
  <c r="AW36" i="10" s="1"/>
  <c r="AK38" i="10" a="1"/>
  <c r="AK38" i="10" s="1"/>
  <c r="AQ38" i="10" a="1"/>
  <c r="AQ38" i="10" s="1"/>
  <c r="AU41" i="10" a="1"/>
  <c r="AU41" i="10" s="1"/>
  <c r="AW41" i="10" a="1"/>
  <c r="AW41" i="10" s="1"/>
  <c r="AR41" i="10" a="1"/>
  <c r="AR41" i="10" s="1"/>
  <c r="AU40" i="10" a="1"/>
  <c r="AU40" i="10" s="1"/>
  <c r="AP40" i="10" a="1"/>
  <c r="AP40" i="10" s="1"/>
  <c r="AK34" i="10" a="1"/>
  <c r="AK34" i="10" s="1"/>
  <c r="AV34" i="10" a="1"/>
  <c r="AV34" i="10" s="1"/>
  <c r="AO34" i="10" a="1"/>
  <c r="AO34" i="10" s="1"/>
  <c r="AS34" i="10" a="1"/>
  <c r="AS34" i="10" s="1"/>
  <c r="AW34" i="10" a="1"/>
  <c r="AW34" i="10" s="1"/>
  <c r="AL34" i="10" a="1"/>
  <c r="AL34" i="10" s="1"/>
  <c r="AP34" i="10" a="1"/>
  <c r="AP34" i="10" s="1"/>
  <c r="AT34" i="10" a="1"/>
  <c r="AT34" i="10" s="1"/>
  <c r="AQ34" i="10" a="1"/>
  <c r="AQ34" i="10" s="1"/>
  <c r="AM34" i="10" a="1"/>
  <c r="AM34" i="10" s="1"/>
  <c r="AU34" i="10" a="1"/>
  <c r="AU34" i="10" s="1"/>
  <c r="AN34" i="10" a="1"/>
  <c r="AN34" i="10" s="1"/>
  <c r="AR34" i="10" a="1"/>
  <c r="AR34" i="10" s="1"/>
  <c r="AN40" i="10" a="1"/>
  <c r="AN40" i="10" s="1"/>
  <c r="AW40" i="10" a="1"/>
  <c r="AW40" i="10" s="1"/>
  <c r="AM39" i="10" a="1"/>
  <c r="AM39" i="10" s="1"/>
  <c r="AS39" i="10" a="1"/>
  <c r="AS39" i="10" s="1"/>
  <c r="AN39" i="10" a="1"/>
  <c r="AN39" i="10" s="1"/>
  <c r="AT39" i="10" a="1"/>
  <c r="AT39" i="10" s="1"/>
  <c r="AO39" i="10" a="1"/>
  <c r="AO39" i="10" s="1"/>
  <c r="AU39" i="10" a="1"/>
  <c r="AU39" i="10" s="1"/>
  <c r="AJ39" i="10" a="1"/>
  <c r="AJ39" i="10" s="1"/>
  <c r="AP39" i="10" a="1"/>
  <c r="AP39" i="10" s="1"/>
  <c r="AV39" i="10" a="1"/>
  <c r="AV39" i="10" s="1"/>
  <c r="AK39" i="10" a="1"/>
  <c r="AK39" i="10" s="1"/>
  <c r="AQ39" i="10" a="1"/>
  <c r="AQ39" i="10" s="1"/>
  <c r="AW39" i="10" a="1"/>
  <c r="AW39" i="10" s="1"/>
  <c r="AL39" i="10" a="1"/>
  <c r="AL39" i="10" s="1"/>
  <c r="AR39" i="10" a="1"/>
  <c r="AR39" i="10" s="1"/>
  <c r="AV40" i="10" a="1"/>
  <c r="AV40" i="10" s="1"/>
  <c r="AJ40" i="10" a="1"/>
  <c r="AJ40" i="10" s="1"/>
  <c r="AS40" i="10" a="1"/>
  <c r="AS40" i="10" s="1"/>
  <c r="AY33" i="10"/>
  <c r="AV38" i="10" a="1"/>
  <c r="AV38" i="10" s="1"/>
  <c r="AM41" i="10" a="1"/>
  <c r="AM41" i="10" s="1"/>
  <c r="AO40" i="10" a="1"/>
  <c r="AO40" i="10" s="1"/>
  <c r="AQ40" i="10" a="1"/>
  <c r="AQ40" i="10" s="1"/>
  <c r="AL40" i="10" a="1"/>
  <c r="AL40" i="10" s="1"/>
  <c r="AM37" i="10" a="1"/>
  <c r="AM37" i="10" s="1"/>
  <c r="AQ37" i="10" a="1"/>
  <c r="AQ37" i="10" s="1"/>
  <c r="AU37" i="10" a="1"/>
  <c r="AU37" i="10" s="1"/>
  <c r="AJ37" i="10" a="1"/>
  <c r="AJ37" i="10" s="1"/>
  <c r="AN37" i="10" a="1"/>
  <c r="AN37" i="10" s="1"/>
  <c r="AR37" i="10" a="1"/>
  <c r="AR37" i="10" s="1"/>
  <c r="AV37" i="10" a="1"/>
  <c r="AV37" i="10" s="1"/>
  <c r="AK37" i="10" a="1"/>
  <c r="AK37" i="10" s="1"/>
  <c r="AW37" i="10" a="1"/>
  <c r="AW37" i="10" s="1"/>
  <c r="AO37" i="10" a="1"/>
  <c r="AO37" i="10" s="1"/>
  <c r="AS37" i="10" a="1"/>
  <c r="AS37" i="10" s="1"/>
  <c r="AL37" i="10" a="1"/>
  <c r="AL37" i="10" s="1"/>
  <c r="AT37" i="10" a="1"/>
  <c r="AT37" i="10" s="1"/>
  <c r="AP37" i="10" a="1"/>
  <c r="AP37" i="10" s="1"/>
  <c r="AR40" i="10" a="1"/>
  <c r="AR40" i="10" s="1"/>
  <c r="AM40" i="10" a="1"/>
  <c r="AM40" i="10" s="1"/>
  <c r="AM35" i="10" a="1"/>
  <c r="AM35" i="10" s="1"/>
  <c r="AQ35" i="10" a="1"/>
  <c r="AQ35" i="10" s="1"/>
  <c r="AU35" i="10" a="1"/>
  <c r="AU35" i="10" s="1"/>
  <c r="AN35" i="10" a="1"/>
  <c r="AN35" i="10" s="1"/>
  <c r="AK35" i="10" a="1"/>
  <c r="AK35" i="10" s="1"/>
  <c r="AR35" i="10" a="1"/>
  <c r="AR35" i="10" s="1"/>
  <c r="AV35" i="10" a="1"/>
  <c r="AV35" i="10" s="1"/>
  <c r="AO35" i="10" a="1"/>
  <c r="AO35" i="10" s="1"/>
  <c r="AW35" i="10" a="1"/>
  <c r="AW35" i="10" s="1"/>
  <c r="AL35" i="10" a="1"/>
  <c r="AL35" i="10" s="1"/>
  <c r="AS35" i="10" a="1"/>
  <c r="AS35" i="10" s="1"/>
  <c r="AP35" i="10" a="1"/>
  <c r="AP35" i="10" s="1"/>
  <c r="AT35" i="10" a="1"/>
  <c r="AT35" i="10" s="1"/>
  <c r="AJ35" i="10" a="1"/>
  <c r="AJ35" i="10" s="1"/>
  <c r="AK40" i="10" a="1"/>
  <c r="AK40" i="10" s="1"/>
  <c r="AY41" i="10" l="1"/>
  <c r="AY39" i="10"/>
  <c r="AY34" i="10"/>
  <c r="AY38" i="10"/>
  <c r="AY36" i="10"/>
  <c r="AY35" i="10"/>
  <c r="AY40" i="10"/>
  <c r="AY37" i="10"/>
  <c r="AL45" i="10"/>
  <c r="AP45" i="10"/>
  <c r="AR45" i="10"/>
  <c r="AJ45" i="10"/>
  <c r="AK45" i="10"/>
  <c r="AN45" i="10"/>
  <c r="AM45" i="10"/>
  <c r="AT45" i="10"/>
  <c r="AS45" i="10"/>
  <c r="AW45" i="10"/>
  <c r="AU45" i="10"/>
  <c r="AV45" i="10"/>
  <c r="AO45" i="10"/>
  <c r="AQ45" i="10"/>
  <c r="AJ44" i="10"/>
  <c r="AX61" i="10"/>
  <c r="AV44" i="10"/>
  <c r="AX41" i="10"/>
  <c r="AR44" i="10"/>
  <c r="AX35" i="10"/>
  <c r="AX34" i="10"/>
  <c r="AS44" i="10"/>
  <c r="AX33" i="10"/>
  <c r="AX39" i="10"/>
  <c r="AM44" i="10"/>
  <c r="AN44" i="10"/>
  <c r="AX62" i="10"/>
  <c r="AX38" i="10"/>
  <c r="AO44" i="10"/>
  <c r="AW44" i="10"/>
  <c r="AT44" i="10"/>
  <c r="AX36" i="10"/>
  <c r="AU44" i="10"/>
  <c r="AX40" i="10"/>
  <c r="AX37" i="10"/>
  <c r="AL44" i="10"/>
  <c r="AQ44" i="10"/>
  <c r="AP44" i="10"/>
  <c r="AK44" i="10"/>
  <c r="AX51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C22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AK26" i="9"/>
  <c r="J52" i="9" s="1"/>
  <c r="AF26" i="9"/>
  <c r="N52" i="9" s="1"/>
  <c r="AG26" i="9"/>
  <c r="M52" i="9" s="1"/>
  <c r="N26" i="9"/>
  <c r="O26" i="9"/>
  <c r="AA26" i="9" s="1"/>
  <c r="P26" i="9"/>
  <c r="AB26" i="9" s="1"/>
  <c r="Q26" i="9"/>
  <c r="AC26" i="9" s="1"/>
  <c r="G52" i="9" s="1"/>
  <c r="R26" i="9"/>
  <c r="AD26" i="9" s="1"/>
  <c r="H52" i="9" s="1"/>
  <c r="S26" i="9"/>
  <c r="AE26" i="9" s="1"/>
  <c r="I52" i="9" s="1"/>
  <c r="G66" i="10"/>
  <c r="H24" i="10"/>
  <c r="H65" i="10"/>
  <c r="D49" i="9"/>
  <c r="D51" i="9"/>
  <c r="C48" i="9"/>
  <c r="C49" i="9"/>
  <c r="C50" i="9"/>
  <c r="C51" i="9"/>
  <c r="C47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29" i="9"/>
  <c r="AD3" i="8"/>
  <c r="AE3" i="8"/>
  <c r="AF3" i="8"/>
  <c r="AG3" i="8"/>
  <c r="AH3" i="8"/>
  <c r="AD4" i="8"/>
  <c r="AE4" i="8"/>
  <c r="AF4" i="8"/>
  <c r="AG4" i="8"/>
  <c r="AH4" i="8"/>
  <c r="AD5" i="8"/>
  <c r="AE5" i="8"/>
  <c r="AF5" i="8"/>
  <c r="AG5" i="8"/>
  <c r="AH5" i="8"/>
  <c r="AD6" i="8"/>
  <c r="AE6" i="8"/>
  <c r="AF6" i="8"/>
  <c r="AG6" i="8"/>
  <c r="AH6" i="8"/>
  <c r="AD7" i="8"/>
  <c r="AE7" i="8"/>
  <c r="AF7" i="8"/>
  <c r="AG7" i="8"/>
  <c r="AH7" i="8"/>
  <c r="AD8" i="8"/>
  <c r="AE8" i="8"/>
  <c r="AF8" i="8"/>
  <c r="AG8" i="8"/>
  <c r="AH8" i="8"/>
  <c r="AD9" i="8"/>
  <c r="AE9" i="8"/>
  <c r="AF9" i="8"/>
  <c r="AG9" i="8"/>
  <c r="AH9" i="8"/>
  <c r="AD10" i="8"/>
  <c r="AE10" i="8"/>
  <c r="AF10" i="8"/>
  <c r="AG10" i="8"/>
  <c r="AH10" i="8"/>
  <c r="AD11" i="8"/>
  <c r="AE11" i="8"/>
  <c r="AF11" i="8"/>
  <c r="AG11" i="8"/>
  <c r="AH11" i="8"/>
  <c r="AD12" i="8"/>
  <c r="AE12" i="8"/>
  <c r="AF12" i="8"/>
  <c r="AG12" i="8"/>
  <c r="AH12" i="8"/>
  <c r="AD13" i="8"/>
  <c r="AE13" i="8"/>
  <c r="AF13" i="8"/>
  <c r="AG13" i="8"/>
  <c r="AH13" i="8"/>
  <c r="AE14" i="8"/>
  <c r="AF14" i="8"/>
  <c r="AG14" i="8"/>
  <c r="AH14" i="8"/>
  <c r="AD15" i="8"/>
  <c r="AE15" i="8"/>
  <c r="AF15" i="8"/>
  <c r="AG15" i="8"/>
  <c r="AH15" i="8"/>
  <c r="AD16" i="8"/>
  <c r="AE16" i="8"/>
  <c r="AF16" i="8"/>
  <c r="AG16" i="8"/>
  <c r="AH16" i="8"/>
  <c r="AD17" i="8"/>
  <c r="AE17" i="8"/>
  <c r="AF17" i="8"/>
  <c r="AG17" i="8"/>
  <c r="AH17" i="8"/>
  <c r="AD18" i="8"/>
  <c r="AE18" i="8"/>
  <c r="AF18" i="8"/>
  <c r="AG18" i="8"/>
  <c r="AH18" i="8"/>
  <c r="AD19" i="8"/>
  <c r="AE19" i="8"/>
  <c r="AF19" i="8"/>
  <c r="AG19" i="8"/>
  <c r="AH19" i="8"/>
  <c r="AD20" i="8"/>
  <c r="AE20" i="8"/>
  <c r="AF20" i="8"/>
  <c r="AG20" i="8"/>
  <c r="AH20" i="8"/>
  <c r="AD21" i="8"/>
  <c r="AE21" i="8"/>
  <c r="AF21" i="8"/>
  <c r="AG21" i="8"/>
  <c r="AH21" i="8"/>
  <c r="AD22" i="8"/>
  <c r="AE22" i="8"/>
  <c r="AF22" i="8"/>
  <c r="AG22" i="8"/>
  <c r="AH22" i="8"/>
  <c r="AC17" i="8"/>
  <c r="AC18" i="8"/>
  <c r="AC19" i="8"/>
  <c r="AC20" i="8"/>
  <c r="AC21" i="8"/>
  <c r="AC4" i="8"/>
  <c r="AC5" i="8"/>
  <c r="AC6" i="8"/>
  <c r="AC7" i="8"/>
  <c r="AC8" i="8"/>
  <c r="AC9" i="8"/>
  <c r="AC3" i="8"/>
  <c r="T3" i="8"/>
  <c r="AL3" i="8"/>
  <c r="AM3" i="8"/>
  <c r="AN3" i="8"/>
  <c r="AO3" i="8"/>
  <c r="AP3" i="8"/>
  <c r="AQ3" i="8"/>
  <c r="AM4" i="8"/>
  <c r="AN4" i="8"/>
  <c r="AO4" i="8"/>
  <c r="AP4" i="8"/>
  <c r="AQ4" i="8"/>
  <c r="AM5" i="8"/>
  <c r="AN5" i="8"/>
  <c r="AO5" i="8"/>
  <c r="AP5" i="8"/>
  <c r="AQ5" i="8"/>
  <c r="AM6" i="8"/>
  <c r="AN6" i="8"/>
  <c r="AO6" i="8"/>
  <c r="AP6" i="8"/>
  <c r="AQ6" i="8"/>
  <c r="AM7" i="8"/>
  <c r="AN7" i="8"/>
  <c r="AO7" i="8"/>
  <c r="AP7" i="8"/>
  <c r="AQ7" i="8"/>
  <c r="AM8" i="8"/>
  <c r="AN8" i="8"/>
  <c r="AO8" i="8"/>
  <c r="AP8" i="8"/>
  <c r="AQ8" i="8"/>
  <c r="AM9" i="8"/>
  <c r="AN9" i="8"/>
  <c r="AO9" i="8"/>
  <c r="AP9" i="8"/>
  <c r="AQ9" i="8"/>
  <c r="AM10" i="8"/>
  <c r="AN10" i="8"/>
  <c r="AO10" i="8"/>
  <c r="AP10" i="8"/>
  <c r="AQ10" i="8"/>
  <c r="AM11" i="8"/>
  <c r="AN11" i="8"/>
  <c r="AO11" i="8"/>
  <c r="AP11" i="8"/>
  <c r="AQ11" i="8"/>
  <c r="AM12" i="8"/>
  <c r="AN12" i="8"/>
  <c r="AO12" i="8"/>
  <c r="AP12" i="8"/>
  <c r="AQ12" i="8"/>
  <c r="AM13" i="8"/>
  <c r="AN13" i="8"/>
  <c r="AO13" i="8"/>
  <c r="AP13" i="8"/>
  <c r="AQ13" i="8"/>
  <c r="AN14" i="8"/>
  <c r="AO14" i="8"/>
  <c r="AP14" i="8"/>
  <c r="AQ14" i="8"/>
  <c r="AM15" i="8"/>
  <c r="AN15" i="8"/>
  <c r="AO15" i="8"/>
  <c r="AP15" i="8"/>
  <c r="AQ15" i="8"/>
  <c r="AM16" i="8"/>
  <c r="AN16" i="8"/>
  <c r="AO16" i="8"/>
  <c r="AP16" i="8"/>
  <c r="AQ16" i="8"/>
  <c r="AM17" i="8"/>
  <c r="AN17" i="8"/>
  <c r="AO17" i="8"/>
  <c r="AP17" i="8"/>
  <c r="AQ17" i="8"/>
  <c r="AM18" i="8"/>
  <c r="AN18" i="8"/>
  <c r="AO18" i="8"/>
  <c r="AP18" i="8"/>
  <c r="AQ18" i="8"/>
  <c r="AM19" i="8"/>
  <c r="AN19" i="8"/>
  <c r="AO19" i="8"/>
  <c r="AP19" i="8"/>
  <c r="AQ19" i="8"/>
  <c r="AM20" i="8"/>
  <c r="AN20" i="8"/>
  <c r="AO20" i="8"/>
  <c r="AP20" i="8"/>
  <c r="AQ20" i="8"/>
  <c r="AM21" i="8"/>
  <c r="AN21" i="8"/>
  <c r="AO21" i="8"/>
  <c r="AP21" i="8"/>
  <c r="AQ21" i="8"/>
  <c r="AM22" i="8"/>
  <c r="AN22" i="8"/>
  <c r="AO22" i="8"/>
  <c r="AP22" i="8"/>
  <c r="AQ22" i="8"/>
  <c r="AL5" i="8"/>
  <c r="AL6" i="8"/>
  <c r="AL7" i="8"/>
  <c r="AL8" i="8"/>
  <c r="AL9" i="8"/>
  <c r="AL17" i="8"/>
  <c r="AL18" i="8"/>
  <c r="AL19" i="8"/>
  <c r="AL20" i="8"/>
  <c r="AL21" i="8"/>
  <c r="AL4" i="8"/>
  <c r="BA3" i="8"/>
  <c r="F24" i="10"/>
  <c r="G24" i="10"/>
  <c r="L24" i="10"/>
  <c r="M24" i="10"/>
  <c r="C23" i="10"/>
  <c r="C24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C102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C95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C73" i="10"/>
  <c r="C80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F65" i="10"/>
  <c r="G65" i="10"/>
  <c r="L65" i="10"/>
  <c r="M65" i="10"/>
  <c r="E66" i="10"/>
  <c r="F66" i="10"/>
  <c r="K66" i="10"/>
  <c r="L66" i="10"/>
  <c r="C66" i="10"/>
  <c r="C59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C52" i="10"/>
  <c r="P44" i="10"/>
  <c r="P45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C45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C38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AF25" i="9"/>
  <c r="N51" i="9" s="1"/>
  <c r="AG25" i="9"/>
  <c r="M51" i="9" s="1"/>
  <c r="N25" i="9"/>
  <c r="T25" i="9" s="1"/>
  <c r="AH25" i="9" s="1"/>
  <c r="O25" i="9"/>
  <c r="U25" i="9" s="1"/>
  <c r="AI25" i="9" s="1"/>
  <c r="P25" i="9"/>
  <c r="V25" i="9" s="1"/>
  <c r="AJ25" i="9" s="1"/>
  <c r="Q25" i="9"/>
  <c r="AK25" i="9" s="1"/>
  <c r="J51" i="9" s="1"/>
  <c r="R25" i="9"/>
  <c r="S25" i="9"/>
  <c r="AE25" i="9" s="1"/>
  <c r="I51" i="9" s="1"/>
  <c r="T26" i="9" l="1"/>
  <c r="AH26" i="9" s="1"/>
  <c r="S46" i="9" a="1"/>
  <c r="S46" i="9" s="1"/>
  <c r="S45" i="9" a="1"/>
  <c r="S45" i="9" s="1"/>
  <c r="AX57" i="10"/>
  <c r="AX60" i="10"/>
  <c r="AX54" i="10"/>
  <c r="AX53" i="10"/>
  <c r="AX56" i="10"/>
  <c r="T39" i="10"/>
  <c r="S39" i="10"/>
  <c r="T38" i="10"/>
  <c r="S38" i="10"/>
  <c r="Z26" i="9"/>
  <c r="V26" i="9"/>
  <c r="AJ26" i="9" s="1"/>
  <c r="Y26" i="9"/>
  <c r="AX58" i="10"/>
  <c r="S25" i="10"/>
  <c r="S103" i="10"/>
  <c r="AX59" i="10"/>
  <c r="S96" i="10"/>
  <c r="AX55" i="10"/>
  <c r="AX52" i="10"/>
  <c r="T96" i="10"/>
  <c r="S46" i="10"/>
  <c r="T46" i="10"/>
  <c r="T103" i="10"/>
  <c r="T25" i="10"/>
  <c r="U26" i="9"/>
  <c r="AI26" i="9" s="1"/>
  <c r="X26" i="9"/>
  <c r="Z25" i="9"/>
  <c r="X25" i="9"/>
  <c r="E51" i="9" s="1"/>
  <c r="AB25" i="9"/>
  <c r="T102" i="10"/>
  <c r="T95" i="10"/>
  <c r="T45" i="10"/>
  <c r="S95" i="10"/>
  <c r="S45" i="10"/>
  <c r="S102" i="10"/>
  <c r="P66" i="10"/>
  <c r="J66" i="10"/>
  <c r="D66" i="10"/>
  <c r="K65" i="10"/>
  <c r="E65" i="10"/>
  <c r="K24" i="10"/>
  <c r="E24" i="10"/>
  <c r="O66" i="10"/>
  <c r="I66" i="10"/>
  <c r="P65" i="10"/>
  <c r="J65" i="10"/>
  <c r="D65" i="10"/>
  <c r="P24" i="10"/>
  <c r="J24" i="10"/>
  <c r="D24" i="10"/>
  <c r="N66" i="10"/>
  <c r="H66" i="10"/>
  <c r="O65" i="10"/>
  <c r="I65" i="10"/>
  <c r="O24" i="10"/>
  <c r="I24" i="10"/>
  <c r="M66" i="10"/>
  <c r="N65" i="10"/>
  <c r="N24" i="10"/>
  <c r="AA25" i="9"/>
  <c r="Y25" i="9"/>
  <c r="AD25" i="9"/>
  <c r="H51" i="9" s="1"/>
  <c r="AC25" i="9"/>
  <c r="G51" i="9" s="1"/>
  <c r="S15" i="10" l="1"/>
  <c r="Z15" i="10" s="1"/>
  <c r="U15" i="10"/>
  <c r="AL26" i="9"/>
  <c r="K52" i="9" s="1"/>
  <c r="E52" i="9"/>
  <c r="AM26" i="9"/>
  <c r="L52" i="9" s="1"/>
  <c r="F52" i="9"/>
  <c r="T15" i="10"/>
  <c r="W15" i="10"/>
  <c r="V15" i="10"/>
  <c r="AM25" i="9"/>
  <c r="L51" i="9" s="1"/>
  <c r="F51" i="9"/>
  <c r="AL25" i="9"/>
  <c r="K51" i="9" s="1"/>
  <c r="S24" i="10"/>
  <c r="S12" i="10" s="1"/>
  <c r="T24" i="10"/>
  <c r="N21" i="8"/>
  <c r="O21" i="8"/>
  <c r="P21" i="8"/>
  <c r="Q21" i="8"/>
  <c r="R21" i="8"/>
  <c r="S21" i="8"/>
  <c r="T21" i="8"/>
  <c r="U21" i="8"/>
  <c r="V21" i="8"/>
  <c r="W21" i="8"/>
  <c r="X21" i="8"/>
  <c r="Y21" i="8"/>
  <c r="O22" i="8"/>
  <c r="P22" i="8"/>
  <c r="Q22" i="8"/>
  <c r="W22" i="8" s="1"/>
  <c r="R22" i="8"/>
  <c r="S22" i="8"/>
  <c r="X22" i="8"/>
  <c r="Y22" i="8"/>
  <c r="P99" i="10"/>
  <c r="P100" i="10"/>
  <c r="P101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C100" i="10"/>
  <c r="C101" i="10"/>
  <c r="C99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C93" i="10"/>
  <c r="C94" i="10"/>
  <c r="C92" i="10"/>
  <c r="C84" i="10"/>
  <c r="C85" i="10"/>
  <c r="C86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C78" i="10"/>
  <c r="C79" i="10"/>
  <c r="C77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C71" i="10"/>
  <c r="C72" i="10"/>
  <c r="C70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C64" i="10"/>
  <c r="C65" i="10"/>
  <c r="C63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C57" i="10"/>
  <c r="C58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C50" i="10"/>
  <c r="C51" i="10"/>
  <c r="C49" i="10"/>
  <c r="D42" i="10"/>
  <c r="D35" i="10"/>
  <c r="D28" i="10"/>
  <c r="C28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C43" i="10"/>
  <c r="C44" i="10"/>
  <c r="C42" i="10"/>
  <c r="G37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D37" i="10"/>
  <c r="F37" i="10"/>
  <c r="H37" i="10"/>
  <c r="I37" i="10"/>
  <c r="J37" i="10"/>
  <c r="K37" i="10"/>
  <c r="L37" i="10"/>
  <c r="M37" i="10"/>
  <c r="N37" i="10"/>
  <c r="O37" i="10"/>
  <c r="P37" i="10"/>
  <c r="C29" i="10"/>
  <c r="C36" i="10"/>
  <c r="C37" i="10"/>
  <c r="C35" i="10"/>
  <c r="E28" i="10"/>
  <c r="F28" i="10"/>
  <c r="G28" i="10"/>
  <c r="I28" i="10"/>
  <c r="J28" i="10"/>
  <c r="K28" i="10"/>
  <c r="L28" i="10"/>
  <c r="M28" i="10"/>
  <c r="N28" i="10"/>
  <c r="O28" i="10"/>
  <c r="P28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C30" i="10"/>
  <c r="P21" i="10"/>
  <c r="P22" i="10"/>
  <c r="P23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G21" i="10"/>
  <c r="H21" i="10"/>
  <c r="J21" i="10"/>
  <c r="K21" i="10"/>
  <c r="M21" i="10"/>
  <c r="N21" i="10"/>
  <c r="O21" i="10"/>
  <c r="E21" i="10"/>
  <c r="AG24" i="9"/>
  <c r="M50" i="9" s="1"/>
  <c r="AF3" i="9"/>
  <c r="N29" i="9" s="1"/>
  <c r="S24" i="9"/>
  <c r="Y24" i="9" s="1"/>
  <c r="AF24" i="9"/>
  <c r="N50" i="9" s="1"/>
  <c r="O24" i="9"/>
  <c r="U24" i="9" s="1"/>
  <c r="AI24" i="9" s="1"/>
  <c r="P24" i="9"/>
  <c r="Q24" i="9"/>
  <c r="AC24" i="9" s="1"/>
  <c r="G50" i="9" s="1"/>
  <c r="R24" i="9"/>
  <c r="X24" i="9" s="1"/>
  <c r="E50" i="9" s="1"/>
  <c r="N24" i="9"/>
  <c r="T24" i="9" s="1"/>
  <c r="AH24" i="9" s="1"/>
  <c r="T36" i="10" l="1"/>
  <c r="S36" i="10"/>
  <c r="T37" i="10"/>
  <c r="S37" i="10"/>
  <c r="S35" i="10"/>
  <c r="T35" i="10"/>
  <c r="S99" i="10"/>
  <c r="W12" i="10"/>
  <c r="T12" i="10"/>
  <c r="AM24" i="9"/>
  <c r="L50" i="9" s="1"/>
  <c r="F50" i="9"/>
  <c r="Z12" i="10"/>
  <c r="V12" i="10"/>
  <c r="U12" i="10"/>
  <c r="T23" i="10"/>
  <c r="S23" i="10"/>
  <c r="S22" i="10"/>
  <c r="T22" i="10"/>
  <c r="S21" i="10"/>
  <c r="T21" i="10"/>
  <c r="T92" i="10"/>
  <c r="S92" i="10"/>
  <c r="T101" i="10"/>
  <c r="S101" i="10"/>
  <c r="T99" i="10"/>
  <c r="T42" i="10"/>
  <c r="S42" i="10"/>
  <c r="T44" i="10"/>
  <c r="S44" i="10"/>
  <c r="T94" i="10"/>
  <c r="S94" i="10"/>
  <c r="T100" i="10"/>
  <c r="S100" i="10"/>
  <c r="T43" i="10"/>
  <c r="S43" i="10"/>
  <c r="S93" i="10"/>
  <c r="T93" i="10"/>
  <c r="AD24" i="9"/>
  <c r="H50" i="9" s="1"/>
  <c r="AE24" i="9"/>
  <c r="I50" i="9" s="1"/>
  <c r="AL24" i="9"/>
  <c r="K50" i="9" s="1"/>
  <c r="AA24" i="9"/>
  <c r="Z24" i="9"/>
  <c r="AB24" i="9"/>
  <c r="V24" i="9"/>
  <c r="AJ24" i="9" s="1"/>
  <c r="W24" i="9"/>
  <c r="D50" i="9" s="1"/>
  <c r="S11" i="10" l="1"/>
  <c r="Z11" i="10" s="1"/>
  <c r="Z13" i="10"/>
  <c r="S14" i="10"/>
  <c r="Z14" i="10" s="1"/>
  <c r="U13" i="10"/>
  <c r="V13" i="10"/>
  <c r="W13" i="10"/>
  <c r="T13" i="10"/>
  <c r="W14" i="10"/>
  <c r="T14" i="10"/>
  <c r="U14" i="10"/>
  <c r="V14" i="10"/>
  <c r="V11" i="10"/>
  <c r="T11" i="10"/>
  <c r="W11" i="10"/>
  <c r="U11" i="10"/>
  <c r="AK24" i="9"/>
  <c r="J50" i="9" s="1"/>
  <c r="O23" i="9"/>
  <c r="O14" i="9"/>
  <c r="AG23" i="9"/>
  <c r="M49" i="9" s="1"/>
  <c r="AF23" i="9"/>
  <c r="N49" i="9" s="1"/>
  <c r="AG22" i="9"/>
  <c r="M48" i="9" s="1"/>
  <c r="AF22" i="9"/>
  <c r="N48" i="9" s="1"/>
  <c r="AG21" i="9"/>
  <c r="AF21" i="9"/>
  <c r="AG20" i="9"/>
  <c r="AF20" i="9"/>
  <c r="AG19" i="9"/>
  <c r="AF19" i="9"/>
  <c r="AG18" i="9"/>
  <c r="AF18" i="9"/>
  <c r="AG17" i="9"/>
  <c r="AF17" i="9"/>
  <c r="AG16" i="9"/>
  <c r="AF16" i="9"/>
  <c r="AG15" i="9"/>
  <c r="AF15" i="9"/>
  <c r="AG14" i="9"/>
  <c r="AF14" i="9"/>
  <c r="AG13" i="9"/>
  <c r="AF13" i="9"/>
  <c r="AG12" i="9"/>
  <c r="AF12" i="9"/>
  <c r="AG11" i="9"/>
  <c r="AF11" i="9"/>
  <c r="AG10" i="9"/>
  <c r="AF10" i="9"/>
  <c r="AG9" i="9"/>
  <c r="AF9" i="9"/>
  <c r="AG8" i="9"/>
  <c r="AF8" i="9"/>
  <c r="AG7" i="9"/>
  <c r="AF7" i="9"/>
  <c r="AG6" i="9"/>
  <c r="AF6" i="9"/>
  <c r="AG5" i="9"/>
  <c r="AF5" i="9"/>
  <c r="AG4" i="9"/>
  <c r="AF4" i="9"/>
  <c r="AG3" i="9"/>
  <c r="M29" i="9" s="1"/>
  <c r="N22" i="9"/>
  <c r="N23" i="9"/>
  <c r="N10" i="9"/>
  <c r="N11" i="9"/>
  <c r="N12" i="9"/>
  <c r="N13" i="9"/>
  <c r="N14" i="9"/>
  <c r="N15" i="9"/>
  <c r="N16" i="9"/>
  <c r="N3" i="9"/>
  <c r="S23" i="9"/>
  <c r="R23" i="9"/>
  <c r="X23" i="9" s="1"/>
  <c r="E49" i="9" s="1"/>
  <c r="Q23" i="9"/>
  <c r="P23" i="9"/>
  <c r="S22" i="9"/>
  <c r="R22" i="9"/>
  <c r="Q22" i="9"/>
  <c r="P22" i="9"/>
  <c r="O22" i="9"/>
  <c r="S21" i="9"/>
  <c r="R21" i="9"/>
  <c r="X21" i="9" s="1"/>
  <c r="Q21" i="9"/>
  <c r="P21" i="9"/>
  <c r="O21" i="9"/>
  <c r="N21" i="9"/>
  <c r="S20" i="9"/>
  <c r="R20" i="9"/>
  <c r="X20" i="9" s="1"/>
  <c r="Q20" i="9"/>
  <c r="P20" i="9"/>
  <c r="O20" i="9"/>
  <c r="N20" i="9"/>
  <c r="S19" i="9"/>
  <c r="R19" i="9"/>
  <c r="X19" i="9" s="1"/>
  <c r="Q19" i="9"/>
  <c r="P19" i="9"/>
  <c r="O19" i="9"/>
  <c r="N19" i="9"/>
  <c r="S18" i="9"/>
  <c r="R18" i="9"/>
  <c r="X18" i="9" s="1"/>
  <c r="Q18" i="9"/>
  <c r="P18" i="9"/>
  <c r="O18" i="9"/>
  <c r="N18" i="9"/>
  <c r="S17" i="9"/>
  <c r="R17" i="9"/>
  <c r="X17" i="9" s="1"/>
  <c r="Q17" i="9"/>
  <c r="P17" i="9"/>
  <c r="O17" i="9"/>
  <c r="N17" i="9"/>
  <c r="S16" i="9"/>
  <c r="R16" i="9"/>
  <c r="X16" i="9" s="1"/>
  <c r="Q16" i="9"/>
  <c r="P16" i="9"/>
  <c r="O16" i="9"/>
  <c r="S15" i="9"/>
  <c r="R15" i="9"/>
  <c r="X15" i="9" s="1"/>
  <c r="Q15" i="9"/>
  <c r="P15" i="9"/>
  <c r="O15" i="9"/>
  <c r="S14" i="9"/>
  <c r="R14" i="9"/>
  <c r="X14" i="9" s="1"/>
  <c r="Q14" i="9"/>
  <c r="P14" i="9"/>
  <c r="S13" i="9"/>
  <c r="R13" i="9"/>
  <c r="X13" i="9" s="1"/>
  <c r="Q13" i="9"/>
  <c r="P13" i="9"/>
  <c r="O13" i="9"/>
  <c r="S12" i="9"/>
  <c r="R12" i="9"/>
  <c r="X12" i="9" s="1"/>
  <c r="Q12" i="9"/>
  <c r="P12" i="9"/>
  <c r="O12" i="9"/>
  <c r="S11" i="9"/>
  <c r="R11" i="9"/>
  <c r="X11" i="9" s="1"/>
  <c r="Q11" i="9"/>
  <c r="P11" i="9"/>
  <c r="O11" i="9"/>
  <c r="S10" i="9"/>
  <c r="R10" i="9"/>
  <c r="X10" i="9" s="1"/>
  <c r="Q10" i="9"/>
  <c r="P10" i="9"/>
  <c r="O10" i="9"/>
  <c r="S9" i="9"/>
  <c r="R9" i="9"/>
  <c r="X9" i="9" s="1"/>
  <c r="Q9" i="9"/>
  <c r="P9" i="9"/>
  <c r="O9" i="9"/>
  <c r="N9" i="9"/>
  <c r="S8" i="9"/>
  <c r="R8" i="9"/>
  <c r="X8" i="9" s="1"/>
  <c r="Q8" i="9"/>
  <c r="P8" i="9"/>
  <c r="O8" i="9"/>
  <c r="N8" i="9"/>
  <c r="S7" i="9"/>
  <c r="R7" i="9"/>
  <c r="X7" i="9" s="1"/>
  <c r="Q7" i="9"/>
  <c r="P7" i="9"/>
  <c r="O7" i="9"/>
  <c r="N7" i="9"/>
  <c r="S6" i="9"/>
  <c r="R6" i="9"/>
  <c r="X6" i="9" s="1"/>
  <c r="Q6" i="9"/>
  <c r="P6" i="9"/>
  <c r="O6" i="9"/>
  <c r="N6" i="9"/>
  <c r="S5" i="9"/>
  <c r="R5" i="9"/>
  <c r="X5" i="9" s="1"/>
  <c r="Q5" i="9"/>
  <c r="P5" i="9"/>
  <c r="O5" i="9"/>
  <c r="N5" i="9"/>
  <c r="S4" i="9"/>
  <c r="R4" i="9"/>
  <c r="X4" i="9" s="1"/>
  <c r="Q4" i="9"/>
  <c r="P4" i="9"/>
  <c r="O4" i="9"/>
  <c r="N4" i="9"/>
  <c r="S3" i="9"/>
  <c r="R3" i="9"/>
  <c r="Q3" i="9"/>
  <c r="P3" i="9"/>
  <c r="O3" i="9"/>
  <c r="BA4" i="8"/>
  <c r="BB4" i="8"/>
  <c r="BC4" i="8"/>
  <c r="BD4" i="8"/>
  <c r="BE4" i="8"/>
  <c r="BF4" i="8"/>
  <c r="BA5" i="8"/>
  <c r="BB5" i="8"/>
  <c r="BC5" i="8"/>
  <c r="BD5" i="8"/>
  <c r="BE5" i="8"/>
  <c r="BF5" i="8"/>
  <c r="BA6" i="8"/>
  <c r="BB6" i="8"/>
  <c r="BC6" i="8"/>
  <c r="BD6" i="8"/>
  <c r="BE6" i="8"/>
  <c r="BF6" i="8"/>
  <c r="BA7" i="8"/>
  <c r="BB7" i="8"/>
  <c r="BC7" i="8"/>
  <c r="BD7" i="8"/>
  <c r="BE7" i="8"/>
  <c r="BF7" i="8"/>
  <c r="BA8" i="8"/>
  <c r="BB8" i="8"/>
  <c r="BC8" i="8"/>
  <c r="BD8" i="8"/>
  <c r="BE8" i="8"/>
  <c r="BF8" i="8"/>
  <c r="BA9" i="8"/>
  <c r="BB9" i="8"/>
  <c r="BC9" i="8"/>
  <c r="BD9" i="8"/>
  <c r="BE9" i="8"/>
  <c r="BF9" i="8"/>
  <c r="BB10" i="8"/>
  <c r="BC10" i="8"/>
  <c r="BD10" i="8"/>
  <c r="BE10" i="8"/>
  <c r="BF10" i="8"/>
  <c r="BC11" i="8"/>
  <c r="BD11" i="8"/>
  <c r="BE11" i="8"/>
  <c r="BF11" i="8"/>
  <c r="BC12" i="8"/>
  <c r="BD12" i="8"/>
  <c r="BE12" i="8"/>
  <c r="BF12" i="8"/>
  <c r="BC13" i="8"/>
  <c r="BD13" i="8"/>
  <c r="BE13" i="8"/>
  <c r="BF13" i="8"/>
  <c r="BD14" i="8"/>
  <c r="BE14" i="8"/>
  <c r="BF14" i="8"/>
  <c r="BC15" i="8"/>
  <c r="BD15" i="8"/>
  <c r="BE15" i="8"/>
  <c r="BF15" i="8"/>
  <c r="BC16" i="8"/>
  <c r="BD16" i="8"/>
  <c r="BE16" i="8"/>
  <c r="BF16" i="8"/>
  <c r="BB17" i="8"/>
  <c r="BC17" i="8"/>
  <c r="BD17" i="8"/>
  <c r="BE17" i="8"/>
  <c r="BF17" i="8"/>
  <c r="BA18" i="8"/>
  <c r="BB18" i="8"/>
  <c r="BC18" i="8"/>
  <c r="BD18" i="8"/>
  <c r="BE18" i="8"/>
  <c r="BF18" i="8"/>
  <c r="BA19" i="8"/>
  <c r="BB19" i="8"/>
  <c r="BC19" i="8"/>
  <c r="BD19" i="8"/>
  <c r="BE19" i="8"/>
  <c r="BF19" i="8"/>
  <c r="BA20" i="8"/>
  <c r="BB20" i="8"/>
  <c r="BC20" i="8"/>
  <c r="BD20" i="8"/>
  <c r="BE20" i="8"/>
  <c r="BF20" i="8"/>
  <c r="BB3" i="8"/>
  <c r="BC3" i="8"/>
  <c r="BD3" i="8"/>
  <c r="BE3" i="8"/>
  <c r="BF3" i="8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3" i="8"/>
  <c r="AR4" i="8"/>
  <c r="AR5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3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N3" i="8"/>
  <c r="O3" i="8"/>
  <c r="U3" i="8" s="1"/>
  <c r="P3" i="8"/>
  <c r="V3" i="8" s="1"/>
  <c r="Q3" i="8"/>
  <c r="W3" i="8" s="1"/>
  <c r="R3" i="8"/>
  <c r="X3" i="8" s="1"/>
  <c r="S3" i="8"/>
  <c r="Y3" i="8" s="1"/>
  <c r="O4" i="8"/>
  <c r="U4" i="8" s="1"/>
  <c r="P4" i="8"/>
  <c r="V4" i="8" s="1"/>
  <c r="Q4" i="8"/>
  <c r="W4" i="8" s="1"/>
  <c r="R4" i="8"/>
  <c r="X4" i="8" s="1"/>
  <c r="S4" i="8"/>
  <c r="Y4" i="8" s="1"/>
  <c r="O5" i="8"/>
  <c r="U5" i="8" s="1"/>
  <c r="P5" i="8"/>
  <c r="V5" i="8" s="1"/>
  <c r="Q5" i="8"/>
  <c r="W5" i="8" s="1"/>
  <c r="R5" i="8"/>
  <c r="X5" i="8" s="1"/>
  <c r="S5" i="8"/>
  <c r="Y5" i="8" s="1"/>
  <c r="O6" i="8"/>
  <c r="U6" i="8" s="1"/>
  <c r="P6" i="8"/>
  <c r="V6" i="8" s="1"/>
  <c r="Q6" i="8"/>
  <c r="W6" i="8" s="1"/>
  <c r="R6" i="8"/>
  <c r="X6" i="8" s="1"/>
  <c r="S6" i="8"/>
  <c r="Y6" i="8" s="1"/>
  <c r="O7" i="8"/>
  <c r="U7" i="8" s="1"/>
  <c r="P7" i="8"/>
  <c r="V7" i="8" s="1"/>
  <c r="Q7" i="8"/>
  <c r="W7" i="8" s="1"/>
  <c r="R7" i="8"/>
  <c r="X7" i="8" s="1"/>
  <c r="S7" i="8"/>
  <c r="Y7" i="8" s="1"/>
  <c r="O8" i="8"/>
  <c r="U8" i="8" s="1"/>
  <c r="P8" i="8"/>
  <c r="V8" i="8" s="1"/>
  <c r="Q8" i="8"/>
  <c r="W8" i="8" s="1"/>
  <c r="R8" i="8"/>
  <c r="X8" i="8" s="1"/>
  <c r="S8" i="8"/>
  <c r="Y8" i="8" s="1"/>
  <c r="O9" i="8"/>
  <c r="U9" i="8" s="1"/>
  <c r="P9" i="8"/>
  <c r="V9" i="8" s="1"/>
  <c r="Q9" i="8"/>
  <c r="W9" i="8" s="1"/>
  <c r="R9" i="8"/>
  <c r="X9" i="8" s="1"/>
  <c r="S9" i="8"/>
  <c r="Y9" i="8" s="1"/>
  <c r="O10" i="8"/>
  <c r="U10" i="8" s="1"/>
  <c r="P10" i="8"/>
  <c r="V10" i="8" s="1"/>
  <c r="Q10" i="8"/>
  <c r="W10" i="8" s="1"/>
  <c r="R10" i="8"/>
  <c r="X10" i="8" s="1"/>
  <c r="S10" i="8"/>
  <c r="Y10" i="8" s="1"/>
  <c r="O11" i="8"/>
  <c r="P11" i="8"/>
  <c r="V11" i="8" s="1"/>
  <c r="Q11" i="8"/>
  <c r="W11" i="8" s="1"/>
  <c r="R11" i="8"/>
  <c r="X11" i="8" s="1"/>
  <c r="S11" i="8"/>
  <c r="Y11" i="8" s="1"/>
  <c r="O12" i="8"/>
  <c r="P12" i="8"/>
  <c r="V12" i="8" s="1"/>
  <c r="Q12" i="8"/>
  <c r="W12" i="8" s="1"/>
  <c r="R12" i="8"/>
  <c r="X12" i="8" s="1"/>
  <c r="S12" i="8"/>
  <c r="Y12" i="8" s="1"/>
  <c r="O13" i="8"/>
  <c r="P13" i="8"/>
  <c r="V13" i="8" s="1"/>
  <c r="Q13" i="8"/>
  <c r="W13" i="8" s="1"/>
  <c r="R13" i="8"/>
  <c r="X13" i="8" s="1"/>
  <c r="S13" i="8"/>
  <c r="Y13" i="8" s="1"/>
  <c r="P14" i="8"/>
  <c r="V14" i="8" s="1"/>
  <c r="Q14" i="8"/>
  <c r="W14" i="8" s="1"/>
  <c r="R14" i="8"/>
  <c r="X14" i="8" s="1"/>
  <c r="S14" i="8"/>
  <c r="Y14" i="8" s="1"/>
  <c r="O15" i="8"/>
  <c r="P15" i="8"/>
  <c r="V15" i="8" s="1"/>
  <c r="Q15" i="8"/>
  <c r="W15" i="8" s="1"/>
  <c r="R15" i="8"/>
  <c r="X15" i="8" s="1"/>
  <c r="S15" i="8"/>
  <c r="Y15" i="8" s="1"/>
  <c r="O16" i="8"/>
  <c r="P16" i="8"/>
  <c r="V16" i="8" s="1"/>
  <c r="Q16" i="8"/>
  <c r="W16" i="8" s="1"/>
  <c r="R16" i="8"/>
  <c r="X16" i="8" s="1"/>
  <c r="S16" i="8"/>
  <c r="Y16" i="8" s="1"/>
  <c r="O17" i="8"/>
  <c r="U17" i="8" s="1"/>
  <c r="P17" i="8"/>
  <c r="V17" i="8" s="1"/>
  <c r="Q17" i="8"/>
  <c r="W17" i="8" s="1"/>
  <c r="R17" i="8"/>
  <c r="X17" i="8" s="1"/>
  <c r="S17" i="8"/>
  <c r="Y17" i="8" s="1"/>
  <c r="O18" i="8"/>
  <c r="U18" i="8" s="1"/>
  <c r="P18" i="8"/>
  <c r="V18" i="8" s="1"/>
  <c r="Q18" i="8"/>
  <c r="W18" i="8" s="1"/>
  <c r="R18" i="8"/>
  <c r="X18" i="8" s="1"/>
  <c r="S18" i="8"/>
  <c r="Y18" i="8" s="1"/>
  <c r="O19" i="8"/>
  <c r="U19" i="8" s="1"/>
  <c r="P19" i="8"/>
  <c r="V19" i="8" s="1"/>
  <c r="Q19" i="8"/>
  <c r="W19" i="8" s="1"/>
  <c r="R19" i="8"/>
  <c r="X19" i="8" s="1"/>
  <c r="S19" i="8"/>
  <c r="Y19" i="8" s="1"/>
  <c r="O20" i="8"/>
  <c r="U20" i="8" s="1"/>
  <c r="P20" i="8"/>
  <c r="V20" i="8" s="1"/>
  <c r="Q20" i="8"/>
  <c r="W20" i="8" s="1"/>
  <c r="R20" i="8"/>
  <c r="X20" i="8" s="1"/>
  <c r="S20" i="8"/>
  <c r="Y20" i="8" s="1"/>
  <c r="N4" i="8"/>
  <c r="T4" i="8" s="1"/>
  <c r="N5" i="8"/>
  <c r="T5" i="8" s="1"/>
  <c r="N6" i="8"/>
  <c r="T6" i="8" s="1"/>
  <c r="N7" i="8"/>
  <c r="T7" i="8" s="1"/>
  <c r="N8" i="8"/>
  <c r="T8" i="8" s="1"/>
  <c r="N9" i="8"/>
  <c r="T9" i="8" s="1"/>
  <c r="N17" i="8"/>
  <c r="N18" i="8"/>
  <c r="T18" i="8" s="1"/>
  <c r="N19" i="8"/>
  <c r="T19" i="8" s="1"/>
  <c r="N20" i="8"/>
  <c r="T20" i="8" s="1"/>
  <c r="BA21" i="8"/>
  <c r="AC22" i="9" l="1"/>
  <c r="G48" i="9" s="1"/>
  <c r="W22" i="9"/>
  <c r="D48" i="9" s="1"/>
  <c r="AD22" i="9"/>
  <c r="H48" i="9" s="1"/>
  <c r="X22" i="9"/>
  <c r="E48" i="9" s="1"/>
  <c r="T3" i="9"/>
  <c r="Z3" i="9"/>
  <c r="T4" i="9"/>
  <c r="AH4" i="9"/>
  <c r="Z4" i="9"/>
  <c r="T5" i="9"/>
  <c r="AH5" i="9"/>
  <c r="Z5" i="9"/>
  <c r="Z6" i="9"/>
  <c r="T6" i="9"/>
  <c r="AH6" i="9"/>
  <c r="T7" i="9"/>
  <c r="AH7" i="9"/>
  <c r="Z7" i="9"/>
  <c r="T8" i="9"/>
  <c r="AH8" i="9"/>
  <c r="Z8" i="9"/>
  <c r="AH9" i="9"/>
  <c r="Z9" i="9"/>
  <c r="U10" i="9"/>
  <c r="AI10" i="9"/>
  <c r="AA10" i="9"/>
  <c r="V11" i="9"/>
  <c r="AJ11" i="9"/>
  <c r="AB11" i="9"/>
  <c r="W12" i="9"/>
  <c r="AK12" i="9"/>
  <c r="AC12" i="9"/>
  <c r="E39" i="9"/>
  <c r="AL13" i="9"/>
  <c r="AD13" i="9"/>
  <c r="U15" i="9"/>
  <c r="AI15" i="9"/>
  <c r="AA15" i="9"/>
  <c r="V16" i="9"/>
  <c r="AJ16" i="9"/>
  <c r="AB16" i="9"/>
  <c r="V17" i="9"/>
  <c r="AJ17" i="9"/>
  <c r="AB17" i="9"/>
  <c r="V18" i="9"/>
  <c r="AB18" i="9"/>
  <c r="AJ18" i="9"/>
  <c r="V19" i="9"/>
  <c r="AJ19" i="9"/>
  <c r="AB19" i="9"/>
  <c r="V20" i="9"/>
  <c r="AB20" i="9"/>
  <c r="AJ20" i="9"/>
  <c r="V21" i="9"/>
  <c r="AJ21" i="9"/>
  <c r="AB21" i="9"/>
  <c r="AK22" i="9"/>
  <c r="J48" i="9" s="1"/>
  <c r="Y23" i="9"/>
  <c r="F49" i="9" s="1"/>
  <c r="AM23" i="9"/>
  <c r="L49" i="9" s="1"/>
  <c r="AE23" i="9"/>
  <c r="I49" i="9" s="1"/>
  <c r="Z12" i="9"/>
  <c r="AH12" i="9"/>
  <c r="Y5" i="9"/>
  <c r="F31" i="9" s="1"/>
  <c r="AE5" i="9"/>
  <c r="I31" i="9" s="1"/>
  <c r="AM5" i="9"/>
  <c r="L31" i="9" s="1"/>
  <c r="Y8" i="9"/>
  <c r="F34" i="9" s="1"/>
  <c r="AM8" i="9"/>
  <c r="AE8" i="9"/>
  <c r="U11" i="9"/>
  <c r="AA11" i="9"/>
  <c r="AI11" i="9"/>
  <c r="W13" i="9"/>
  <c r="D39" i="9" s="1"/>
  <c r="AC13" i="9"/>
  <c r="AK13" i="9"/>
  <c r="U16" i="9"/>
  <c r="AI16" i="9"/>
  <c r="AA16" i="9"/>
  <c r="U19" i="9"/>
  <c r="AI19" i="9"/>
  <c r="AA19" i="9"/>
  <c r="AL23" i="9"/>
  <c r="K49" i="9" s="1"/>
  <c r="AD23" i="9"/>
  <c r="H49" i="9" s="1"/>
  <c r="U5" i="9"/>
  <c r="AI5" i="9"/>
  <c r="AA5" i="9"/>
  <c r="AI9" i="9"/>
  <c r="AA9" i="9"/>
  <c r="W11" i="9"/>
  <c r="D37" i="9" s="1"/>
  <c r="AC11" i="9"/>
  <c r="G37" i="9" s="1"/>
  <c r="AK11" i="9"/>
  <c r="J37" i="9" s="1"/>
  <c r="V15" i="9"/>
  <c r="AJ15" i="9"/>
  <c r="AB15" i="9"/>
  <c r="W17" i="9"/>
  <c r="D43" i="9" s="1"/>
  <c r="AC17" i="9"/>
  <c r="AK17" i="9"/>
  <c r="W19" i="9"/>
  <c r="D45" i="9" s="1"/>
  <c r="AC19" i="9"/>
  <c r="AK19" i="9"/>
  <c r="W21" i="9"/>
  <c r="D47" i="9" s="1"/>
  <c r="AC21" i="9"/>
  <c r="AK21" i="9"/>
  <c r="Z11" i="9"/>
  <c r="AH11" i="9"/>
  <c r="V3" i="9"/>
  <c r="AJ3" i="9"/>
  <c r="AB3" i="9"/>
  <c r="V4" i="9"/>
  <c r="AJ4" i="9"/>
  <c r="AB4" i="9"/>
  <c r="V5" i="9"/>
  <c r="AJ5" i="9"/>
  <c r="AB5" i="9"/>
  <c r="V6" i="9"/>
  <c r="AB6" i="9"/>
  <c r="AJ6" i="9"/>
  <c r="V7" i="9"/>
  <c r="AJ7" i="9"/>
  <c r="AB7" i="9"/>
  <c r="V8" i="9"/>
  <c r="AB8" i="9"/>
  <c r="AJ8" i="9"/>
  <c r="V9" i="9"/>
  <c r="AJ9" i="9"/>
  <c r="AB9" i="9"/>
  <c r="W10" i="9"/>
  <c r="D36" i="9" s="1"/>
  <c r="AC10" i="9"/>
  <c r="AK10" i="9"/>
  <c r="E37" i="9"/>
  <c r="AL11" i="9"/>
  <c r="K37" i="9" s="1"/>
  <c r="AD11" i="9"/>
  <c r="H37" i="9" s="1"/>
  <c r="Y12" i="9"/>
  <c r="AM12" i="9"/>
  <c r="AE12" i="9"/>
  <c r="AJ14" i="9"/>
  <c r="AB14" i="9"/>
  <c r="W15" i="9"/>
  <c r="AC15" i="9"/>
  <c r="AK15" i="9"/>
  <c r="E42" i="9"/>
  <c r="AD16" i="9"/>
  <c r="AL16" i="9"/>
  <c r="AL17" i="9"/>
  <c r="AD17" i="9"/>
  <c r="E44" i="9"/>
  <c r="AL18" i="9"/>
  <c r="AD18" i="9"/>
  <c r="AL19" i="9"/>
  <c r="AD19" i="9"/>
  <c r="E46" i="9"/>
  <c r="AD20" i="9"/>
  <c r="H46" i="9" s="1"/>
  <c r="AL20" i="9"/>
  <c r="E47" i="9"/>
  <c r="AD21" i="9"/>
  <c r="AL21" i="9"/>
  <c r="Y22" i="9"/>
  <c r="F48" i="9" s="1"/>
  <c r="AM22" i="9"/>
  <c r="L48" i="9" s="1"/>
  <c r="AE22" i="9"/>
  <c r="I48" i="9" s="1"/>
  <c r="AH16" i="9"/>
  <c r="Z16" i="9"/>
  <c r="Z10" i="9"/>
  <c r="AH10" i="9"/>
  <c r="Y3" i="9"/>
  <c r="AE3" i="9"/>
  <c r="AM3" i="9"/>
  <c r="Y7" i="9"/>
  <c r="AE7" i="9"/>
  <c r="AM7" i="9"/>
  <c r="V12" i="9"/>
  <c r="AJ12" i="9"/>
  <c r="AB12" i="9"/>
  <c r="U17" i="9"/>
  <c r="AA17" i="9"/>
  <c r="AI17" i="9"/>
  <c r="AI21" i="9"/>
  <c r="AA21" i="9"/>
  <c r="AH13" i="9"/>
  <c r="Z13" i="9"/>
  <c r="AI23" i="9"/>
  <c r="AA23" i="9"/>
  <c r="U3" i="9"/>
  <c r="AI3" i="9"/>
  <c r="AA3" i="9"/>
  <c r="U7" i="9"/>
  <c r="AI7" i="9"/>
  <c r="AA7" i="9"/>
  <c r="AL12" i="9"/>
  <c r="AD12" i="9"/>
  <c r="W16" i="9"/>
  <c r="AC16" i="9"/>
  <c r="AK16" i="9"/>
  <c r="W20" i="9"/>
  <c r="AC20" i="9"/>
  <c r="AK20" i="9"/>
  <c r="AH3" i="9"/>
  <c r="W3" i="9"/>
  <c r="AC3" i="9"/>
  <c r="AK3" i="9"/>
  <c r="W4" i="9"/>
  <c r="D30" i="9" s="1"/>
  <c r="AC4" i="9"/>
  <c r="AK4" i="9"/>
  <c r="W5" i="9"/>
  <c r="AC5" i="9"/>
  <c r="G31" i="9" s="1"/>
  <c r="AK5" i="9"/>
  <c r="J31" i="9" s="1"/>
  <c r="W6" i="9"/>
  <c r="D32" i="9" s="1"/>
  <c r="AK6" i="9"/>
  <c r="AC6" i="9"/>
  <c r="W7" i="9"/>
  <c r="AC7" i="9"/>
  <c r="AK7" i="9"/>
  <c r="W8" i="9"/>
  <c r="D34" i="9" s="1"/>
  <c r="AC8" i="9"/>
  <c r="AK8" i="9"/>
  <c r="W9" i="9"/>
  <c r="AC9" i="9"/>
  <c r="AK9" i="9"/>
  <c r="E36" i="9"/>
  <c r="AD10" i="9"/>
  <c r="AL10" i="9"/>
  <c r="Y11" i="9"/>
  <c r="F37" i="9" s="1"/>
  <c r="AE11" i="9"/>
  <c r="I37" i="9" s="1"/>
  <c r="AM11" i="9"/>
  <c r="L37" i="9" s="1"/>
  <c r="AI13" i="9"/>
  <c r="AA13" i="9"/>
  <c r="W14" i="9"/>
  <c r="D40" i="9" s="1"/>
  <c r="AC14" i="9"/>
  <c r="AK14" i="9"/>
  <c r="E41" i="9"/>
  <c r="AD15" i="9"/>
  <c r="AL15" i="9"/>
  <c r="Y16" i="9"/>
  <c r="AM16" i="9"/>
  <c r="AE16" i="9"/>
  <c r="Y17" i="9"/>
  <c r="AM17" i="9"/>
  <c r="AE17" i="9"/>
  <c r="Y18" i="9"/>
  <c r="F44" i="9" s="1"/>
  <c r="AM18" i="9"/>
  <c r="AE18" i="9"/>
  <c r="Y19" i="9"/>
  <c r="F45" i="9" s="1"/>
  <c r="AM19" i="9"/>
  <c r="AE19" i="9"/>
  <c r="Y20" i="9"/>
  <c r="AM20" i="9"/>
  <c r="AE20" i="9"/>
  <c r="Y21" i="9"/>
  <c r="F47" i="9" s="1"/>
  <c r="AE21" i="9"/>
  <c r="AM21" i="9"/>
  <c r="AB23" i="9"/>
  <c r="AJ23" i="9"/>
  <c r="AH15" i="9"/>
  <c r="Z15" i="9"/>
  <c r="Z23" i="9"/>
  <c r="AH23" i="9"/>
  <c r="Y4" i="9"/>
  <c r="F30" i="9" s="1"/>
  <c r="AE4" i="9"/>
  <c r="AM4" i="9"/>
  <c r="Y6" i="9"/>
  <c r="AM6" i="9"/>
  <c r="AE6" i="9"/>
  <c r="Y9" i="9"/>
  <c r="AE9" i="9"/>
  <c r="AM9" i="9"/>
  <c r="Y14" i="9"/>
  <c r="AM14" i="9"/>
  <c r="AE14" i="9"/>
  <c r="U18" i="9"/>
  <c r="AI18" i="9"/>
  <c r="AA18" i="9"/>
  <c r="U20" i="9"/>
  <c r="AI20" i="9"/>
  <c r="AA20" i="9"/>
  <c r="AJ22" i="9"/>
  <c r="AB22" i="9"/>
  <c r="U4" i="9"/>
  <c r="AI4" i="9"/>
  <c r="AA4" i="9"/>
  <c r="U6" i="9"/>
  <c r="AA6" i="9"/>
  <c r="AI6" i="9"/>
  <c r="U8" i="9"/>
  <c r="AI8" i="9"/>
  <c r="AA8" i="9"/>
  <c r="V10" i="9"/>
  <c r="AJ10" i="9"/>
  <c r="AB10" i="9"/>
  <c r="Y13" i="9"/>
  <c r="F39" i="9" s="1"/>
  <c r="AE13" i="9"/>
  <c r="AM13" i="9"/>
  <c r="W18" i="9"/>
  <c r="AK18" i="9"/>
  <c r="AC18" i="9"/>
  <c r="AL22" i="9"/>
  <c r="K48" i="9" s="1"/>
  <c r="X3" i="9"/>
  <c r="AD3" i="9"/>
  <c r="H29" i="9" s="1"/>
  <c r="AL3" i="9"/>
  <c r="AD4" i="9"/>
  <c r="AL4" i="9"/>
  <c r="E31" i="9"/>
  <c r="AL5" i="9"/>
  <c r="K31" i="9" s="1"/>
  <c r="AD5" i="9"/>
  <c r="H31" i="9" s="1"/>
  <c r="AL6" i="9"/>
  <c r="AD6" i="9"/>
  <c r="AL7" i="9"/>
  <c r="AD7" i="9"/>
  <c r="E34" i="9"/>
  <c r="AD8" i="9"/>
  <c r="AL8" i="9"/>
  <c r="AD9" i="9"/>
  <c r="AL9" i="9"/>
  <c r="Y10" i="9"/>
  <c r="F36" i="9" s="1"/>
  <c r="AE10" i="9"/>
  <c r="AM10" i="9"/>
  <c r="U12" i="9"/>
  <c r="AI12" i="9"/>
  <c r="AA12" i="9"/>
  <c r="AJ13" i="9"/>
  <c r="AB13" i="9"/>
  <c r="AD14" i="9"/>
  <c r="AL14" i="9"/>
  <c r="Y15" i="9"/>
  <c r="AE15" i="9"/>
  <c r="AM15" i="9"/>
  <c r="Z17" i="9"/>
  <c r="AH17" i="9"/>
  <c r="T18" i="9"/>
  <c r="AH18" i="9"/>
  <c r="Z18" i="9"/>
  <c r="T19" i="9"/>
  <c r="AH19" i="9"/>
  <c r="Z19" i="9"/>
  <c r="T20" i="9"/>
  <c r="AH20" i="9"/>
  <c r="Z20" i="9"/>
  <c r="AH21" i="9"/>
  <c r="Z21" i="9"/>
  <c r="AI22" i="9"/>
  <c r="AA22" i="9"/>
  <c r="AK23" i="9"/>
  <c r="J49" i="9" s="1"/>
  <c r="AC23" i="9"/>
  <c r="G49" i="9" s="1"/>
  <c r="AH14" i="9"/>
  <c r="Z14" i="9"/>
  <c r="Z22" i="9"/>
  <c r="AH22" i="9"/>
  <c r="AI14" i="9"/>
  <c r="AA14" i="9"/>
  <c r="M35" i="9"/>
  <c r="M38" i="9"/>
  <c r="M41" i="9"/>
  <c r="M44" i="9"/>
  <c r="M47" i="9"/>
  <c r="N31" i="9"/>
  <c r="N34" i="9"/>
  <c r="N37" i="9"/>
  <c r="N40" i="9"/>
  <c r="N43" i="9"/>
  <c r="N46" i="9"/>
  <c r="M31" i="9"/>
  <c r="M34" i="9"/>
  <c r="M37" i="9"/>
  <c r="M40" i="9"/>
  <c r="M43" i="9"/>
  <c r="M46" i="9"/>
  <c r="N32" i="9"/>
  <c r="N35" i="9"/>
  <c r="N38" i="9"/>
  <c r="N41" i="9"/>
  <c r="N44" i="9"/>
  <c r="N47" i="9"/>
  <c r="M32" i="9"/>
  <c r="E43" i="9"/>
  <c r="N30" i="9"/>
  <c r="N33" i="9"/>
  <c r="N36" i="9"/>
  <c r="N39" i="9"/>
  <c r="N42" i="9"/>
  <c r="N45" i="9"/>
  <c r="M30" i="9"/>
  <c r="M33" i="9"/>
  <c r="M36" i="9"/>
  <c r="M39" i="9"/>
  <c r="M42" i="9"/>
  <c r="M45" i="9"/>
  <c r="BD21" i="8"/>
  <c r="BF22" i="8"/>
  <c r="BE21" i="8"/>
  <c r="BC21" i="8"/>
  <c r="BD22" i="8"/>
  <c r="BB21" i="8"/>
  <c r="BF21" i="8"/>
  <c r="BE22" i="8"/>
  <c r="AC45" i="9" l="1" a="1"/>
  <c r="AC45" i="9" s="1"/>
  <c r="AD46" i="9" a="1"/>
  <c r="AD46" i="9" s="1"/>
  <c r="AC46" i="9" a="1"/>
  <c r="AC46" i="9" s="1"/>
  <c r="AD45" i="9" a="1"/>
  <c r="AD45" i="9" s="1"/>
  <c r="D41" i="9"/>
  <c r="D29" i="9"/>
  <c r="F46" i="9"/>
  <c r="E30" i="9"/>
  <c r="F35" i="9"/>
  <c r="L30" i="9"/>
  <c r="I44" i="9"/>
  <c r="I42" i="9"/>
  <c r="G35" i="9"/>
  <c r="G33" i="9"/>
  <c r="G29" i="9"/>
  <c r="G46" i="9"/>
  <c r="K38" i="9"/>
  <c r="I29" i="9"/>
  <c r="K46" i="9"/>
  <c r="H44" i="9"/>
  <c r="K42" i="9"/>
  <c r="H39" i="9"/>
  <c r="H33" i="9"/>
  <c r="K44" i="9"/>
  <c r="H42" i="9"/>
  <c r="J45" i="9"/>
  <c r="K39" i="9"/>
  <c r="I41" i="9"/>
  <c r="L35" i="9"/>
  <c r="I46" i="9"/>
  <c r="J40" i="9"/>
  <c r="K35" i="9"/>
  <c r="K29" i="9"/>
  <c r="AA46" i="9" s="1" a="1"/>
  <c r="AA46" i="9" s="1"/>
  <c r="G44" i="9"/>
  <c r="I35" i="9"/>
  <c r="I30" i="9"/>
  <c r="L46" i="9"/>
  <c r="L44" i="9"/>
  <c r="L42" i="9"/>
  <c r="G40" i="9"/>
  <c r="E35" i="9"/>
  <c r="K40" i="9"/>
  <c r="H35" i="9"/>
  <c r="K33" i="9"/>
  <c r="J44" i="9"/>
  <c r="K36" i="9"/>
  <c r="J34" i="9"/>
  <c r="G32" i="9"/>
  <c r="J30" i="9"/>
  <c r="J42" i="9"/>
  <c r="L33" i="9"/>
  <c r="I38" i="9"/>
  <c r="J36" i="9"/>
  <c r="G45" i="9"/>
  <c r="J39" i="9"/>
  <c r="I34" i="9"/>
  <c r="H40" i="9"/>
  <c r="I40" i="9"/>
  <c r="I32" i="9"/>
  <c r="L47" i="9"/>
  <c r="I45" i="9"/>
  <c r="I43" i="9"/>
  <c r="K41" i="9"/>
  <c r="H36" i="9"/>
  <c r="G34" i="9"/>
  <c r="J32" i="9"/>
  <c r="G30" i="9"/>
  <c r="G42" i="9"/>
  <c r="I33" i="9"/>
  <c r="K47" i="9"/>
  <c r="H45" i="9"/>
  <c r="H43" i="9"/>
  <c r="J41" i="9"/>
  <c r="L38" i="9"/>
  <c r="G36" i="9"/>
  <c r="G39" i="9"/>
  <c r="L34" i="9"/>
  <c r="G38" i="9"/>
  <c r="L36" i="9"/>
  <c r="K34" i="9"/>
  <c r="H32" i="9"/>
  <c r="K30" i="9"/>
  <c r="L39" i="9"/>
  <c r="L40" i="9"/>
  <c r="L32" i="9"/>
  <c r="I47" i="9"/>
  <c r="L45" i="9"/>
  <c r="L43" i="9"/>
  <c r="H41" i="9"/>
  <c r="H47" i="9"/>
  <c r="K45" i="9"/>
  <c r="K43" i="9"/>
  <c r="G41" i="9"/>
  <c r="J47" i="9"/>
  <c r="J43" i="9"/>
  <c r="J38" i="9"/>
  <c r="E32" i="9"/>
  <c r="L41" i="9"/>
  <c r="I36" i="9"/>
  <c r="H34" i="9"/>
  <c r="K32" i="9"/>
  <c r="H30" i="9"/>
  <c r="X46" i="9" s="1" a="1"/>
  <c r="X46" i="9" s="1"/>
  <c r="I39" i="9"/>
  <c r="J35" i="9"/>
  <c r="J33" i="9"/>
  <c r="J29" i="9"/>
  <c r="J46" i="9"/>
  <c r="H38" i="9"/>
  <c r="L29" i="9"/>
  <c r="G47" i="9"/>
  <c r="G43" i="9"/>
  <c r="F42" i="9"/>
  <c r="F32" i="9"/>
  <c r="D42" i="9"/>
  <c r="F33" i="9"/>
  <c r="F43" i="9"/>
  <c r="E45" i="9"/>
  <c r="F40" i="9"/>
  <c r="E40" i="9"/>
  <c r="E33" i="9"/>
  <c r="E29" i="9"/>
  <c r="F38" i="9"/>
  <c r="D38" i="9"/>
  <c r="D35" i="9"/>
  <c r="F41" i="9"/>
  <c r="D33" i="9"/>
  <c r="E38" i="9"/>
  <c r="F29" i="9"/>
  <c r="D31" i="9"/>
  <c r="D46" i="9"/>
  <c r="D44" i="9"/>
  <c r="T45" i="9" l="1" a="1"/>
  <c r="T45" i="9" s="1"/>
  <c r="T46" i="9" a="1"/>
  <c r="T46" i="9" s="1"/>
  <c r="X45" i="9" a="1"/>
  <c r="X45" i="9" s="1"/>
  <c r="Z46" i="9" a="1"/>
  <c r="Z46" i="9" s="1"/>
  <c r="Y46" i="9" a="1"/>
  <c r="Y46" i="9" s="1"/>
  <c r="W46" i="9" a="1"/>
  <c r="W46" i="9" s="1"/>
  <c r="V45" i="9" a="1"/>
  <c r="V45" i="9" s="1"/>
  <c r="V46" i="9" a="1"/>
  <c r="V46" i="9" s="1"/>
  <c r="U45" i="9" a="1"/>
  <c r="U45" i="9" s="1"/>
  <c r="U46" i="9" a="1"/>
  <c r="U46" i="9" s="1"/>
  <c r="AB46" i="9" a="1"/>
  <c r="AB46" i="9" s="1"/>
  <c r="AB45" i="9" a="1"/>
  <c r="AB45" i="9" s="1"/>
  <c r="Z45" i="9" a="1"/>
  <c r="Z45" i="9" s="1"/>
  <c r="AA45" i="9" a="1"/>
  <c r="AA45" i="9" s="1"/>
  <c r="W45" i="9" a="1"/>
  <c r="W45" i="9" s="1"/>
  <c r="Y45" i="9" a="1"/>
  <c r="Y45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<sst xmlns="http://schemas.openxmlformats.org/spreadsheetml/2006/main" count="817" uniqueCount="127">
  <si>
    <t>Particle #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</si>
  <si>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</si>
  <si>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</si>
  <si>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</si>
  <si>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</si>
  <si>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</si>
  <si>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</si>
  <si>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</si>
  <si>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</si>
  <si>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</si>
  <si>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</si>
  <si>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</si>
  <si>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</si>
  <si>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</si>
  <si>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</si>
  <si>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</si>
  <si>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ch1</t>
  </si>
  <si>
    <t>ch2</t>
  </si>
  <si>
    <t>ch3</t>
  </si>
  <si>
    <t>ch4</t>
  </si>
  <si>
    <t>ch5</t>
  </si>
  <si>
    <t>ch6</t>
  </si>
  <si>
    <t>flood2</t>
  </si>
  <si>
    <t>flood3</t>
  </si>
  <si>
    <t>flood5</t>
  </si>
  <si>
    <t xml:space="preserve">RMSE </t>
  </si>
  <si>
    <t>Max Amp</t>
  </si>
  <si>
    <t>ch6_max</t>
  </si>
  <si>
    <t>ch5_max</t>
  </si>
  <si>
    <t>ch4_max</t>
  </si>
  <si>
    <t>ch3_max</t>
  </si>
  <si>
    <t>ch2_max</t>
  </si>
  <si>
    <t>ch1_max</t>
  </si>
  <si>
    <t>ch6_imp/s</t>
  </si>
  <si>
    <t>ch5_imp/s</t>
  </si>
  <si>
    <t>ch4_imp/s</t>
  </si>
  <si>
    <t>ch3_imp/s</t>
  </si>
  <si>
    <t>ch2_imp/s</t>
  </si>
  <si>
    <t>ch1_imp/s</t>
  </si>
  <si>
    <t>Ch1</t>
  </si>
  <si>
    <t>Ch2</t>
  </si>
  <si>
    <t>Ch3</t>
  </si>
  <si>
    <t>ST2</t>
  </si>
  <si>
    <t>ST4</t>
  </si>
  <si>
    <t>ST7</t>
  </si>
  <si>
    <t>B-axis (mm)</t>
  </si>
  <si>
    <t>Gravelometer</t>
  </si>
  <si>
    <t>Duration (s)</t>
  </si>
  <si>
    <t>No amplification</t>
  </si>
  <si>
    <t>Calibration Subsample</t>
  </si>
  <si>
    <t>Validation Subsample</t>
  </si>
  <si>
    <t>Imp/s * Max Amp</t>
  </si>
  <si>
    <t>Max/Med Amp</t>
  </si>
  <si>
    <t>Max/Mean Amp</t>
  </si>
  <si>
    <t>Med/ Mean Amp</t>
  </si>
  <si>
    <t>Imp/s * Median Amp</t>
  </si>
  <si>
    <t>Max*Med Amp</t>
  </si>
  <si>
    <t>Max*Mean Amp</t>
  </si>
  <si>
    <t>Imp/s * Mean Amp</t>
  </si>
  <si>
    <t>Med/Max Amp</t>
  </si>
  <si>
    <t>Mean/Max Amp</t>
  </si>
  <si>
    <t>Mean/Med Amp</t>
  </si>
  <si>
    <t>Med*Mean Amp</t>
  </si>
  <si>
    <t>Imp/s * Ch Mean Amp</t>
  </si>
  <si>
    <t>Imp/s * Amax</t>
  </si>
  <si>
    <t>Imp/s * Amedian</t>
  </si>
  <si>
    <t>Imp/s * Amean</t>
  </si>
  <si>
    <t>Max*Med</t>
  </si>
  <si>
    <t>Max*Mean</t>
  </si>
  <si>
    <t>Storms with tracer data</t>
  </si>
  <si>
    <t>Original Max Size</t>
  </si>
  <si>
    <t>ST3</t>
  </si>
  <si>
    <t>Using Radius, all measurements</t>
  </si>
  <si>
    <t xml:space="preserve">MinD </t>
  </si>
  <si>
    <t>D</t>
  </si>
  <si>
    <t>Dmax</t>
  </si>
  <si>
    <t>Max Size</t>
  </si>
  <si>
    <t>Largest % Moved</t>
  </si>
  <si>
    <t>D (def)</t>
  </si>
  <si>
    <t>&lt;50% moved</t>
  </si>
  <si>
    <t>Size ratio</t>
  </si>
  <si>
    <t>Imp/s * Amax: Ch1</t>
  </si>
  <si>
    <t>Imp/s * Amax: Ch2</t>
  </si>
  <si>
    <t>Imp/s * Amax: Ch3</t>
  </si>
  <si>
    <t>Imp/s * Amedian: Ch3</t>
  </si>
  <si>
    <t>Imp/s * Amedian: Ch2</t>
  </si>
  <si>
    <t>Imp/s * Amedian: Ch1</t>
  </si>
  <si>
    <t>Imp/s * Amean: Ch3</t>
  </si>
  <si>
    <t>Imp/s * Amean: Ch2</t>
  </si>
  <si>
    <t>Imp/s * Amean: Ch1</t>
  </si>
  <si>
    <t>std</t>
  </si>
  <si>
    <t>avg</t>
  </si>
  <si>
    <t xml:space="preserve">Amplification </t>
  </si>
  <si>
    <t>min</t>
  </si>
  <si>
    <t>max</t>
  </si>
  <si>
    <t>amp</t>
  </si>
  <si>
    <t xml:space="preserve">SPRING </t>
  </si>
  <si>
    <t>SPRING</t>
  </si>
  <si>
    <t>Non amplified predicted sizes</t>
  </si>
  <si>
    <t>Amplified Acoustic Signals</t>
  </si>
  <si>
    <t>impulses_ch6</t>
  </si>
  <si>
    <t>impulses_ch5</t>
  </si>
  <si>
    <t>impulses_ch4</t>
  </si>
  <si>
    <t>impulses_ch3</t>
  </si>
  <si>
    <t>impulses_ch2</t>
  </si>
  <si>
    <t>impulses_ch1</t>
  </si>
  <si>
    <t>time</t>
  </si>
  <si>
    <t>ST5</t>
  </si>
  <si>
    <t>ST6</t>
  </si>
  <si>
    <t>2. Amp function with tau by season</t>
  </si>
  <si>
    <t xml:space="preserve">Imp/s </t>
  </si>
  <si>
    <t>Predicted Grain Sizes</t>
  </si>
  <si>
    <t>2. Amp function season</t>
  </si>
  <si>
    <t>Measured Grain Sizes</t>
  </si>
  <si>
    <t>Using Diameter, valid measurements</t>
  </si>
  <si>
    <t>I* Amax</t>
  </si>
  <si>
    <t>I* Amedian</t>
  </si>
  <si>
    <t>I * Amean</t>
  </si>
  <si>
    <t>max amp tau</t>
  </si>
  <si>
    <t>average</t>
  </si>
  <si>
    <t>non-amplified spring</t>
  </si>
  <si>
    <t xml:space="preserve">2. Amp function by season - not including spring </t>
  </si>
  <si>
    <t>2. Amp function by season -with spring</t>
  </si>
  <si>
    <t>Unamplified Storm Metrics</t>
  </si>
  <si>
    <t>Just Experiments</t>
  </si>
  <si>
    <t>Experiments+Events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</si>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</sst>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"/>
    <numFmt numFmtId="167" formatCode="0.00000"/>
    <numFmt numFmtId="168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center"/>
    </xf>
    <xf numFmtId="2" fontId="0" fillId="0" borderId="0" xfId="0" applyNumberFormat="1"/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" fontId="0" fillId="5" borderId="7" xfId="0" applyNumberFormat="1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6" fontId="0" fillId="0" borderId="0" xfId="0" applyNumberForma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0" fillId="0" borderId="2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10" borderId="0" xfId="0" applyFill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7" borderId="0" xfId="0" applyFill="1"/>
    <xf numFmtId="166" fontId="0" fillId="7" borderId="0" xfId="0" applyNumberFormat="1" applyFill="1" applyAlignment="1">
      <alignment horizontal="center"/>
    </xf>
    <xf numFmtId="0" fontId="0" fillId="7" borderId="2" xfId="0" applyFill="1" applyBorder="1"/>
    <xf numFmtId="0" fontId="1" fillId="0" borderId="3" xfId="0" applyFont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7" xfId="0" applyNumberForma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12" borderId="0" xfId="0" applyNumberFormat="1" applyFill="1" applyAlignment="1">
      <alignment horizontal="center"/>
    </xf>
    <xf numFmtId="2" fontId="1" fillId="12" borderId="0" xfId="0" applyNumberFormat="1" applyFont="1" applyFill="1" applyAlignment="1">
      <alignment horizontal="center"/>
    </xf>
    <xf numFmtId="2" fontId="5" fillId="7" borderId="0" xfId="0" applyNumberFormat="1" applyFont="1" applyFill="1" applyAlignment="1">
      <alignment horizontal="center"/>
    </xf>
    <xf numFmtId="22" fontId="0" fillId="10" borderId="0" xfId="0" applyNumberFormat="1" applyFill="1"/>
    <xf numFmtId="164" fontId="0" fillId="10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2" fontId="1" fillId="11" borderId="6" xfId="0" applyNumberFormat="1" applyFont="1" applyFill="1" applyBorder="1" applyAlignment="1">
      <alignment horizontal="center"/>
    </xf>
    <xf numFmtId="2" fontId="1" fillId="11" borderId="7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2" fontId="0" fillId="13" borderId="0" xfId="0" applyNumberFormat="1" applyFill="1" applyAlignment="1">
      <alignment horizontal="center"/>
    </xf>
    <xf numFmtId="22" fontId="0" fillId="6" borderId="0" xfId="0" applyNumberFormat="1" applyFill="1"/>
    <xf numFmtId="0" fontId="1" fillId="7" borderId="3" xfId="0" applyFont="1" applyFill="1" applyBorder="1" applyAlignment="1">
      <alignment horizontal="center"/>
    </xf>
    <xf numFmtId="2" fontId="0" fillId="13" borderId="7" xfId="0" applyNumberForma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8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forward val="10"/>
            <c:backward val="10"/>
            <c:dispRSqr val="1"/>
            <c:dispEq val="1"/>
            <c:trendlineLbl>
              <c:layout>
                <c:manualLayout>
                  <c:x val="-9.9278066501841664E-2"/>
                  <c:y val="-2.03535450308910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storm_amplification!$Y$11:$Y$14</c:f>
              <c:numCache>
                <c:formatCode>0.00</c:formatCode>
                <c:ptCount val="4"/>
                <c:pt idx="0">
                  <c:v>12.6789259225</c:v>
                </c:pt>
                <c:pt idx="1">
                  <c:v>21.082999999999998</c:v>
                </c:pt>
                <c:pt idx="2">
                  <c:v>20.131538750000001</c:v>
                </c:pt>
                <c:pt idx="3">
                  <c:v>2.060445487</c:v>
                </c:pt>
              </c:numCache>
            </c:numRef>
          </c:xVal>
          <c:yVal>
            <c:numRef>
              <c:f>storm_amplification!$Z$11:$Z$15</c:f>
              <c:numCache>
                <c:formatCode>0.00</c:formatCode>
                <c:ptCount val="5"/>
                <c:pt idx="0">
                  <c:v>9.6477838015699469</c:v>
                </c:pt>
                <c:pt idx="1">
                  <c:v>61.892577433913587</c:v>
                </c:pt>
                <c:pt idx="2">
                  <c:v>62.23</c:v>
                </c:pt>
                <c:pt idx="3">
                  <c:v>2.0092989734523083</c:v>
                </c:pt>
                <c:pt idx="4">
                  <c:v>2.5105304103640393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D8-4F8B-94D3-EB045BBAC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-8.1118875177549274E-2"/>
                  <c:y val="1.86268839009136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storm_amplification!$Y$11:$Y$12</c:f>
              <c:numCache>
                <c:formatCode>0.00</c:formatCode>
                <c:ptCount val="2"/>
                <c:pt idx="0">
                  <c:v>12.6789259225</c:v>
                </c:pt>
                <c:pt idx="1">
                  <c:v>21.082999999999998</c:v>
                </c:pt>
              </c:numCache>
            </c:numRef>
          </c:xVal>
          <c:yVal>
            <c:numRef>
              <c:f>storm_amplification!$Z$11:$Z$12</c:f>
              <c:numCache>
                <c:formatCode>0.00</c:formatCode>
                <c:ptCount val="2"/>
                <c:pt idx="0">
                  <c:v>9.6477838015699469</c:v>
                </c:pt>
                <c:pt idx="1">
                  <c:v>61.892577433913587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D-4440-89B2-14BE777EF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002121263126918"/>
                  <c:y val="-1.476012678295583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storm_amplification!$Y$13:$Y$14</c:f>
              <c:numCache>
                <c:formatCode>0.00</c:formatCode>
                <c:ptCount val="2"/>
                <c:pt idx="0">
                  <c:v>20.131538750000001</c:v>
                </c:pt>
                <c:pt idx="1">
                  <c:v>2.060445487</c:v>
                </c:pt>
              </c:numCache>
            </c:numRef>
          </c:xVal>
          <c:yVal>
            <c:numRef>
              <c:f>storm_amplification!$Z$13:$Z$14</c:f>
              <c:numCache>
                <c:formatCode>0.00</c:formatCode>
                <c:ptCount val="2"/>
                <c:pt idx="0">
                  <c:v>62.23</c:v>
                </c:pt>
                <c:pt idx="1">
                  <c:v>2.0092989734523083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1E-4E2D-8AC9-6B4E10FBB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Max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Gravelometer Sizes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0625945476604343"/>
                  <c:y val="0.1348645277580417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2-4D3E-9E20-CE3ED58DB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163629006002602"/>
                  <c:y val="0.1794036844935678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F1-4B5A-ACEE-66AF98A68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388123994773902E-2"/>
                  <c:y val="0.23912448295509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C9-49B3-8802-B929037C6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Ch1 -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4545901151353792E-2"/>
                  <c:y val="0.2176890540912320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BD-4E4D-959B-409047DB3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Ch3 -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AB-477B-A248-4D0BF78F0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Ch2 -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765859764076684"/>
                  <c:y val="0.1750304434978082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03-43C0-8FDA-D78DCEC0C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Ch1 - Imp/s * Med Amp</a:t>
            </a:r>
          </a:p>
        </c:rich>
      </c:tx>
      <c:layout>
        <c:manualLayout>
          <c:xMode val="edge"/>
          <c:yMode val="edge"/>
          <c:x val="0.23729696048058893"/>
          <c:y val="4.5329198418279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8020811530066081"/>
                  <c:y val="0.1738129997293525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9D-4C2D-9A1A-EC1C81A7B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Ch3 -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97-4441-8560-8C67CE52E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Ch2 -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030197431012176"/>
                  <c:y val="0.2068217361890428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4D-4FD1-9FC3-BBD662ED8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Ch1 -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60-4BF2-9EC9-821FF7002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963079174752913"/>
                  <c:y val="0.1803364185312949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BF-4F08-97D2-4ED20BEC0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17783670119908"/>
                  <c:y val="0.170656414427069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68-4370-9884-12137A2E1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3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storm_amplification!$Y$15:$Y$16</c:f>
              <c:numCache>
                <c:formatCode>General</c:formatCode>
                <c:ptCount val="2"/>
                <c:pt idx="0" formatCode="0.00">
                  <c:v>66.655720000000002</c:v>
                </c:pt>
                <c:pt idx="1">
                  <c:v>20</c:v>
                </c:pt>
              </c:numCache>
            </c:numRef>
          </c:xVal>
          <c:yVal>
            <c:numRef>
              <c:f>storm_amplification!$Z$15:$Z$16</c:f>
              <c:numCache>
                <c:formatCode>General</c:formatCode>
                <c:ptCount val="2"/>
                <c:pt idx="0" formatCode="0.00">
                  <c:v>2.5105304103640393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2-46E6-9BB6-812593FC0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747056"/>
        <c:axId val="1257752336"/>
      </c:scatterChart>
      <c:valAx>
        <c:axId val="125774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52336"/>
        <c:crosses val="autoZero"/>
        <c:crossBetween val="midCat"/>
      </c:valAx>
      <c:valAx>
        <c:axId val="125775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4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Imp/s</a:t>
            </a:r>
            <a:r>
              <a:rPr lang="en-US" sz="1200" baseline="0"/>
              <a:t> * Amax (Ch1) - Storm Calibration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1:1</c:v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storm_amplification!$BN$19:$BN$20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storm_amplification!$BO$19:$BO$20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3F-4EDF-8E17-C4E56FC5C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scatterChart>
        <c:scatterStyle val="lineMarker"/>
        <c:varyColors val="0"/>
        <c:ser>
          <c:idx val="0"/>
          <c:order val="0"/>
          <c:tx>
            <c:strRef>
              <c:f>storm_amplification!$AZ$15</c:f>
              <c:strCache>
                <c:ptCount val="1"/>
                <c:pt idx="0">
                  <c:v>Using Radius, all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64816890732185"/>
                  <c:y val="0.3459042647358078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storm_amplification!$AN$15:$AN$19</c:f>
              <c:numCache>
                <c:formatCode>0.00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storm_amplification!$BC$18:$BC$22</c:f>
              <c:numCache>
                <c:formatCode>General</c:formatCode>
                <c:ptCount val="5"/>
                <c:pt idx="0">
                  <c:v>64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F-4EDF-8E17-C4E56FC5C8AC}"/>
            </c:ext>
          </c:extLst>
        </c:ser>
        <c:ser>
          <c:idx val="1"/>
          <c:order val="1"/>
          <c:tx>
            <c:strRef>
              <c:f>storm_amplification!$BF$15</c:f>
              <c:strCache>
                <c:ptCount val="1"/>
                <c:pt idx="0">
                  <c:v>Using Diameter, valid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815006082817131"/>
                  <c:y val="0.3102727130115613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storm_amplification!$AN$15:$AN$19</c:f>
              <c:numCache>
                <c:formatCode>0.00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storm_amplification!$BJ$18:$BJ$22</c:f>
              <c:numCache>
                <c:formatCode>General</c:formatCode>
                <c:ptCount val="5"/>
                <c:pt idx="0">
                  <c:v>45</c:v>
                </c:pt>
                <c:pt idx="1">
                  <c:v>64</c:v>
                </c:pt>
                <c:pt idx="2">
                  <c:v>45</c:v>
                </c:pt>
                <c:pt idx="3">
                  <c:v>32</c:v>
                </c:pt>
                <c:pt idx="4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3F-4EDF-8E17-C4E56FC5C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valAx>
        <c:axId val="14670488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51680"/>
        <c:crosses val="autoZero"/>
        <c:crossBetween val="midCat"/>
      </c:valAx>
      <c:valAx>
        <c:axId val="14670516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Imp/s</a:t>
            </a:r>
            <a:r>
              <a:rPr lang="en-US" sz="1100" baseline="0"/>
              <a:t> * Amed (Ch2) - </a:t>
            </a:r>
          </a:p>
          <a:p>
            <a:pPr>
              <a:defRPr sz="1100"/>
            </a:pPr>
            <a:r>
              <a:rPr lang="en-US" sz="1100" baseline="0"/>
              <a:t>Storm Calibration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storm_amplification!$BF$15</c:f>
              <c:strCache>
                <c:ptCount val="1"/>
                <c:pt idx="0">
                  <c:v>Using Diameter, valid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storm_amplification!$AP$15:$AP$19</c:f>
              <c:numCache>
                <c:formatCode>0.00</c:formatCode>
                <c:ptCount val="5"/>
                <c:pt idx="0">
                  <c:v>115.81939756104256</c:v>
                </c:pt>
                <c:pt idx="1">
                  <c:v>135.75545102085053</c:v>
                </c:pt>
                <c:pt idx="2">
                  <c:v>116.10682619054465</c:v>
                </c:pt>
                <c:pt idx="3">
                  <c:v>96.123549526448585</c:v>
                </c:pt>
                <c:pt idx="4">
                  <c:v>58.968103244072431</c:v>
                </c:pt>
              </c:numCache>
            </c:numRef>
          </c:xVal>
          <c:yVal>
            <c:numRef>
              <c:f>storm_amplification!$BH$18:$BH$22</c:f>
              <c:numCache>
                <c:formatCode>General</c:formatCode>
                <c:ptCount val="5"/>
                <c:pt idx="0">
                  <c:v>90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A-4401-9236-C922634C8FB7}"/>
            </c:ext>
          </c:extLst>
        </c:ser>
        <c:ser>
          <c:idx val="0"/>
          <c:order val="1"/>
          <c:tx>
            <c:strRef>
              <c:f>storm_amplification!$AZ$15</c:f>
              <c:strCache>
                <c:ptCount val="1"/>
                <c:pt idx="0">
                  <c:v>Using Radius, all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storm_amplification!$AP$15:$AP$19</c:f>
              <c:numCache>
                <c:formatCode>0.00</c:formatCode>
                <c:ptCount val="5"/>
                <c:pt idx="0">
                  <c:v>115.81939756104256</c:v>
                </c:pt>
                <c:pt idx="1">
                  <c:v>135.75545102085053</c:v>
                </c:pt>
                <c:pt idx="2">
                  <c:v>116.10682619054465</c:v>
                </c:pt>
                <c:pt idx="3">
                  <c:v>96.123549526448585</c:v>
                </c:pt>
                <c:pt idx="4">
                  <c:v>58.968103244072431</c:v>
                </c:pt>
              </c:numCache>
            </c:numRef>
          </c:xVal>
          <c:yVal>
            <c:numRef>
              <c:f>storm_amplification!$BB$18:$BB$22</c:f>
              <c:numCache>
                <c:formatCode>General</c:formatCode>
                <c:ptCount val="5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A-4401-9236-C922634C8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scatterChart>
        <c:scatterStyle val="smoothMarker"/>
        <c:varyColors val="0"/>
        <c:ser>
          <c:idx val="2"/>
          <c:order val="2"/>
          <c:tx>
            <c:v>1:1</c:v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storm_amplification!$BN$19:$BN$20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storm_amplification!$BO$19:$BO$20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BA-4401-9236-C922634C8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702784"/>
        <c:axId val="2082709984"/>
      </c:scatterChart>
      <c:valAx>
        <c:axId val="1467048800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51680"/>
        <c:crosses val="autoZero"/>
        <c:crossBetween val="midCat"/>
      </c:valAx>
      <c:valAx>
        <c:axId val="1467051680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8800"/>
        <c:crosses val="autoZero"/>
        <c:crossBetween val="midCat"/>
      </c:valAx>
      <c:valAx>
        <c:axId val="208270998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082702784"/>
        <c:crosses val="max"/>
        <c:crossBetween val="midCat"/>
      </c:valAx>
      <c:valAx>
        <c:axId val="20827027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082709984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Imp/s</a:t>
            </a:r>
            <a:r>
              <a:rPr lang="en-US" sz="1050" baseline="0"/>
              <a:t> * Amax (Ch1) - Storm and Spring Calibration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1:1</c:v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storm_amplification!$BN$19:$BN$20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storm_amplification!$BO$19:$BO$20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97-4B39-8FB6-C0450957D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scatterChart>
        <c:scatterStyle val="lineMarker"/>
        <c:varyColors val="0"/>
        <c:ser>
          <c:idx val="0"/>
          <c:order val="0"/>
          <c:tx>
            <c:strRef>
              <c:f>storm_amplification!$AZ$15</c:f>
              <c:strCache>
                <c:ptCount val="1"/>
                <c:pt idx="0">
                  <c:v>Using Radius, all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64816890732185"/>
                  <c:y val="0.3459042647358078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storm_amplification!$AN$15:$AN$19</c:f>
              <c:numCache>
                <c:formatCode>0.00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storm_amplification!$BC$18:$BC$22</c:f>
              <c:numCache>
                <c:formatCode>General</c:formatCode>
                <c:ptCount val="5"/>
                <c:pt idx="0">
                  <c:v>64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97-4B39-8FB6-C0450957D625}"/>
            </c:ext>
          </c:extLst>
        </c:ser>
        <c:ser>
          <c:idx val="1"/>
          <c:order val="1"/>
          <c:tx>
            <c:strRef>
              <c:f>storm_amplification!$BF$15</c:f>
              <c:strCache>
                <c:ptCount val="1"/>
                <c:pt idx="0">
                  <c:v>Using Diameter, valid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815006082817131"/>
                  <c:y val="0.3102727130115613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storm_amplification!$AN$15:$AN$19</c:f>
              <c:numCache>
                <c:formatCode>0.00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storm_amplification!$BJ$18:$BJ$22</c:f>
              <c:numCache>
                <c:formatCode>General</c:formatCode>
                <c:ptCount val="5"/>
                <c:pt idx="0">
                  <c:v>45</c:v>
                </c:pt>
                <c:pt idx="1">
                  <c:v>64</c:v>
                </c:pt>
                <c:pt idx="2">
                  <c:v>45</c:v>
                </c:pt>
                <c:pt idx="3">
                  <c:v>32</c:v>
                </c:pt>
                <c:pt idx="4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97-4B39-8FB6-C0450957D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valAx>
        <c:axId val="14670488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51680"/>
        <c:crosses val="autoZero"/>
        <c:crossBetween val="midCat"/>
      </c:valAx>
      <c:valAx>
        <c:axId val="14670516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Gravelometer Sizes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8869925688569326"/>
                  <c:y val="8.402333041703120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3-4746-AD79-DBC6CD0EE50A}"/>
            </c:ext>
          </c:extLst>
        </c:ser>
        <c:ser>
          <c:idx val="1"/>
          <c:order val="1"/>
          <c:tx>
            <c:v>B-Axis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23-4746-AD79-DBC6CD0EE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6082432934096644"/>
                  <c:y val="0.2333831048896665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calibration!$F$3:$F$23</c:f>
              <c:numCache>
                <c:formatCode>0.0000</c:formatCode>
                <c:ptCount val="21"/>
                <c:pt idx="0">
                  <c:v>3.3154403752457901E-2</c:v>
                </c:pt>
                <c:pt idx="1">
                  <c:v>1.43345982575964E-2</c:v>
                </c:pt>
                <c:pt idx="2">
                  <c:v>1.9737041545963101E-2</c:v>
                </c:pt>
                <c:pt idx="3">
                  <c:v>2.3629413923689099E-2</c:v>
                </c:pt>
                <c:pt idx="4">
                  <c:v>2.3352349155409499E-2</c:v>
                </c:pt>
                <c:pt idx="5">
                  <c:v>1.9277468694701001E-2</c:v>
                </c:pt>
                <c:pt idx="6">
                  <c:v>1.4478880481023E-2</c:v>
                </c:pt>
                <c:pt idx="7">
                  <c:v>9.1860908476934702E-3</c:v>
                </c:pt>
                <c:pt idx="8">
                  <c:v>7.27047978157239E-3</c:v>
                </c:pt>
                <c:pt idx="9">
                  <c:v>6.77105129691932E-3</c:v>
                </c:pt>
                <c:pt idx="10">
                  <c:v>5.3979442955963304E-3</c:v>
                </c:pt>
                <c:pt idx="11">
                  <c:v>4.2237913969842902E-3</c:v>
                </c:pt>
                <c:pt idx="12">
                  <c:v>5.6784984243662398E-3</c:v>
                </c:pt>
                <c:pt idx="13">
                  <c:v>4.8212415579803897E-3</c:v>
                </c:pt>
                <c:pt idx="14">
                  <c:v>6.5149661727545603E-3</c:v>
                </c:pt>
                <c:pt idx="15">
                  <c:v>1.37528556522491E-2</c:v>
                </c:pt>
                <c:pt idx="16">
                  <c:v>9.8602655911611495E-3</c:v>
                </c:pt>
                <c:pt idx="17">
                  <c:v>2.94139388502281E-2</c:v>
                </c:pt>
                <c:pt idx="18" formatCode="0.000">
                  <c:v>9.3097685505032102E-3</c:v>
                </c:pt>
                <c:pt idx="19" formatCode="0.000">
                  <c:v>3.7541223526986601E-3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93-4C61-BDE4-B8AB06180A2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calibration!$F$3:$F$23</c:f>
              <c:numCache>
                <c:formatCode>0.0000</c:formatCode>
                <c:ptCount val="21"/>
                <c:pt idx="0">
                  <c:v>3.3154403752457901E-2</c:v>
                </c:pt>
                <c:pt idx="1">
                  <c:v>1.43345982575964E-2</c:v>
                </c:pt>
                <c:pt idx="2">
                  <c:v>1.9737041545963101E-2</c:v>
                </c:pt>
                <c:pt idx="3">
                  <c:v>2.3629413923689099E-2</c:v>
                </c:pt>
                <c:pt idx="4">
                  <c:v>2.3352349155409499E-2</c:v>
                </c:pt>
                <c:pt idx="5">
                  <c:v>1.9277468694701001E-2</c:v>
                </c:pt>
                <c:pt idx="6">
                  <c:v>1.4478880481023E-2</c:v>
                </c:pt>
                <c:pt idx="7">
                  <c:v>9.1860908476934702E-3</c:v>
                </c:pt>
                <c:pt idx="8">
                  <c:v>7.27047978157239E-3</c:v>
                </c:pt>
                <c:pt idx="9">
                  <c:v>6.77105129691932E-3</c:v>
                </c:pt>
                <c:pt idx="10">
                  <c:v>5.3979442955963304E-3</c:v>
                </c:pt>
                <c:pt idx="11">
                  <c:v>4.2237913969842902E-3</c:v>
                </c:pt>
                <c:pt idx="12">
                  <c:v>5.6784984243662398E-3</c:v>
                </c:pt>
                <c:pt idx="13">
                  <c:v>4.8212415579803897E-3</c:v>
                </c:pt>
                <c:pt idx="14">
                  <c:v>6.5149661727545603E-3</c:v>
                </c:pt>
                <c:pt idx="15">
                  <c:v>1.37528556522491E-2</c:v>
                </c:pt>
                <c:pt idx="16">
                  <c:v>9.8602655911611495E-3</c:v>
                </c:pt>
                <c:pt idx="17">
                  <c:v>2.94139388502281E-2</c:v>
                </c:pt>
                <c:pt idx="18" formatCode="0.000">
                  <c:v>9.3097685505032102E-3</c:v>
                </c:pt>
                <c:pt idx="19" formatCode="0.000">
                  <c:v>3.7541223526986601E-3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93-4C61-BDE4-B8AB06180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8.2255133741036712E-2"/>
                  <c:y val="0.1759937785554583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calibration!$G$3:$G$23</c:f>
              <c:numCache>
                <c:formatCode>0.0000</c:formatCode>
                <c:ptCount val="21"/>
                <c:pt idx="0">
                  <c:v>2.2914216154744201E-2</c:v>
                </c:pt>
                <c:pt idx="1">
                  <c:v>7.2966466530169603E-3</c:v>
                </c:pt>
                <c:pt idx="2">
                  <c:v>1.1301251811562101E-2</c:v>
                </c:pt>
                <c:pt idx="3">
                  <c:v>3.0143536797057099E-2</c:v>
                </c:pt>
                <c:pt idx="4">
                  <c:v>2.1759151907210301E-2</c:v>
                </c:pt>
                <c:pt idx="5">
                  <c:v>5.1627678565697001E-3</c:v>
                </c:pt>
                <c:pt idx="6">
                  <c:v>1.4642800293065399E-2</c:v>
                </c:pt>
                <c:pt idx="7">
                  <c:v>5.26397191560033E-3</c:v>
                </c:pt>
                <c:pt idx="8">
                  <c:v>6.8585843273274603E-3</c:v>
                </c:pt>
                <c:pt idx="9">
                  <c:v>5.0494700428746703E-3</c:v>
                </c:pt>
                <c:pt idx="10">
                  <c:v>5.0606462291010196E-3</c:v>
                </c:pt>
                <c:pt idx="11">
                  <c:v>4.0412722569313003E-3</c:v>
                </c:pt>
                <c:pt idx="12">
                  <c:v>4.6667095589632999E-3</c:v>
                </c:pt>
                <c:pt idx="13">
                  <c:v>4.1135640493545804E-3</c:v>
                </c:pt>
                <c:pt idx="14">
                  <c:v>4.26435563054003E-3</c:v>
                </c:pt>
                <c:pt idx="15">
                  <c:v>4.5700514622563203E-3</c:v>
                </c:pt>
                <c:pt idx="16">
                  <c:v>4.3864038070395503E-3</c:v>
                </c:pt>
                <c:pt idx="17">
                  <c:v>9.5407724532447606E-3</c:v>
                </c:pt>
                <c:pt idx="18" formatCode="0.000">
                  <c:v>2.6623638531804101E-3</c:v>
                </c:pt>
                <c:pt idx="19" formatCode="0.000">
                  <c:v>3.5652204100954199E-3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EF-40B2-81D4-DFB3BC0AC1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calibration!$G$3:$G$23</c:f>
              <c:numCache>
                <c:formatCode>0.0000</c:formatCode>
                <c:ptCount val="21"/>
                <c:pt idx="0">
                  <c:v>2.2914216154744201E-2</c:v>
                </c:pt>
                <c:pt idx="1">
                  <c:v>7.2966466530169603E-3</c:v>
                </c:pt>
                <c:pt idx="2">
                  <c:v>1.1301251811562101E-2</c:v>
                </c:pt>
                <c:pt idx="3">
                  <c:v>3.0143536797057099E-2</c:v>
                </c:pt>
                <c:pt idx="4">
                  <c:v>2.1759151907210301E-2</c:v>
                </c:pt>
                <c:pt idx="5">
                  <c:v>5.1627678565697001E-3</c:v>
                </c:pt>
                <c:pt idx="6">
                  <c:v>1.4642800293065399E-2</c:v>
                </c:pt>
                <c:pt idx="7">
                  <c:v>5.26397191560033E-3</c:v>
                </c:pt>
                <c:pt idx="8">
                  <c:v>6.8585843273274603E-3</c:v>
                </c:pt>
                <c:pt idx="9">
                  <c:v>5.0494700428746703E-3</c:v>
                </c:pt>
                <c:pt idx="10">
                  <c:v>5.0606462291010196E-3</c:v>
                </c:pt>
                <c:pt idx="11">
                  <c:v>4.0412722569313003E-3</c:v>
                </c:pt>
                <c:pt idx="12">
                  <c:v>4.6667095589632999E-3</c:v>
                </c:pt>
                <c:pt idx="13">
                  <c:v>4.1135640493545804E-3</c:v>
                </c:pt>
                <c:pt idx="14">
                  <c:v>4.26435563054003E-3</c:v>
                </c:pt>
                <c:pt idx="15">
                  <c:v>4.5700514622563203E-3</c:v>
                </c:pt>
                <c:pt idx="16">
                  <c:v>4.3864038070395503E-3</c:v>
                </c:pt>
                <c:pt idx="17">
                  <c:v>9.5407724532447606E-3</c:v>
                </c:pt>
                <c:pt idx="18" formatCode="0.000">
                  <c:v>2.6623638531804101E-3</c:v>
                </c:pt>
                <c:pt idx="19" formatCode="0.000">
                  <c:v>3.5652204100954199E-3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EF-40B2-81D4-DFB3BC0AC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calibration!$N$3:$N$23</c:f>
              <c:numCache>
                <c:formatCode>0.00</c:formatCode>
                <c:ptCount val="21"/>
                <c:pt idx="0">
                  <c:v>0.8571428571428571</c:v>
                </c:pt>
                <c:pt idx="1">
                  <c:v>0.2</c:v>
                </c:pt>
                <c:pt idx="2">
                  <c:v>0.4</c:v>
                </c:pt>
                <c:pt idx="3">
                  <c:v>0.75</c:v>
                </c:pt>
                <c:pt idx="4">
                  <c:v>1</c:v>
                </c:pt>
                <c:pt idx="5">
                  <c:v>0.375</c:v>
                </c:pt>
                <c:pt idx="6">
                  <c:v>0.2</c:v>
                </c:pt>
                <c:pt idx="14">
                  <c:v>6.6666666666666666E-2</c:v>
                </c:pt>
                <c:pt idx="15">
                  <c:v>0.13333333333333333</c:v>
                </c:pt>
                <c:pt idx="16">
                  <c:v>0.2</c:v>
                </c:pt>
                <c:pt idx="17">
                  <c:v>0.8</c:v>
                </c:pt>
                <c:pt idx="18">
                  <c:v>0.1400000634920924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2-451B-9FEB-BF00245CAA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calibration!$N$3:$N$23</c:f>
              <c:numCache>
                <c:formatCode>0.00</c:formatCode>
                <c:ptCount val="21"/>
                <c:pt idx="0">
                  <c:v>0.8571428571428571</c:v>
                </c:pt>
                <c:pt idx="1">
                  <c:v>0.2</c:v>
                </c:pt>
                <c:pt idx="2">
                  <c:v>0.4</c:v>
                </c:pt>
                <c:pt idx="3">
                  <c:v>0.75</c:v>
                </c:pt>
                <c:pt idx="4">
                  <c:v>1</c:v>
                </c:pt>
                <c:pt idx="5">
                  <c:v>0.375</c:v>
                </c:pt>
                <c:pt idx="6">
                  <c:v>0.2</c:v>
                </c:pt>
                <c:pt idx="14">
                  <c:v>6.6666666666666666E-2</c:v>
                </c:pt>
                <c:pt idx="15">
                  <c:v>0.13333333333333333</c:v>
                </c:pt>
                <c:pt idx="16">
                  <c:v>0.2</c:v>
                </c:pt>
                <c:pt idx="17">
                  <c:v>0.8</c:v>
                </c:pt>
                <c:pt idx="18">
                  <c:v>0.1400000634920924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52-451B-9FEB-BF00245CA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calibration!$O$3:$O$23</c:f>
              <c:numCache>
                <c:formatCode>0.00</c:formatCode>
                <c:ptCount val="21"/>
                <c:pt idx="0">
                  <c:v>2.2857142857142856</c:v>
                </c:pt>
                <c:pt idx="1">
                  <c:v>0.8</c:v>
                </c:pt>
                <c:pt idx="2">
                  <c:v>3.2</c:v>
                </c:pt>
                <c:pt idx="3">
                  <c:v>3.625</c:v>
                </c:pt>
                <c:pt idx="4">
                  <c:v>4.666666666666667</c:v>
                </c:pt>
                <c:pt idx="5">
                  <c:v>2.75</c:v>
                </c:pt>
                <c:pt idx="6">
                  <c:v>2.6</c:v>
                </c:pt>
                <c:pt idx="7">
                  <c:v>0.8</c:v>
                </c:pt>
                <c:pt idx="8">
                  <c:v>0.25</c:v>
                </c:pt>
                <c:pt idx="9">
                  <c:v>0.16666666666666666</c:v>
                </c:pt>
                <c:pt idx="10">
                  <c:v>0.1</c:v>
                </c:pt>
                <c:pt idx="12">
                  <c:v>0.05</c:v>
                </c:pt>
                <c:pt idx="13">
                  <c:v>0.05</c:v>
                </c:pt>
                <c:pt idx="14">
                  <c:v>0.33333333333333331</c:v>
                </c:pt>
                <c:pt idx="15">
                  <c:v>2</c:v>
                </c:pt>
                <c:pt idx="16">
                  <c:v>1</c:v>
                </c:pt>
                <c:pt idx="17">
                  <c:v>4.0666666666666664</c:v>
                </c:pt>
                <c:pt idx="18">
                  <c:v>0.64000029024956528</c:v>
                </c:pt>
                <c:pt idx="19">
                  <c:v>3.0000006802722641E-2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41-448F-9398-BAE9519A9CD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calibration!$O$3:$O$23</c:f>
              <c:numCache>
                <c:formatCode>0.00</c:formatCode>
                <c:ptCount val="21"/>
                <c:pt idx="0">
                  <c:v>2.2857142857142856</c:v>
                </c:pt>
                <c:pt idx="1">
                  <c:v>0.8</c:v>
                </c:pt>
                <c:pt idx="2">
                  <c:v>3.2</c:v>
                </c:pt>
                <c:pt idx="3">
                  <c:v>3.625</c:v>
                </c:pt>
                <c:pt idx="4">
                  <c:v>4.666666666666667</c:v>
                </c:pt>
                <c:pt idx="5">
                  <c:v>2.75</c:v>
                </c:pt>
                <c:pt idx="6">
                  <c:v>2.6</c:v>
                </c:pt>
                <c:pt idx="7">
                  <c:v>0.8</c:v>
                </c:pt>
                <c:pt idx="8">
                  <c:v>0.25</c:v>
                </c:pt>
                <c:pt idx="9">
                  <c:v>0.16666666666666666</c:v>
                </c:pt>
                <c:pt idx="10">
                  <c:v>0.1</c:v>
                </c:pt>
                <c:pt idx="12">
                  <c:v>0.05</c:v>
                </c:pt>
                <c:pt idx="13">
                  <c:v>0.05</c:v>
                </c:pt>
                <c:pt idx="14">
                  <c:v>0.33333333333333331</c:v>
                </c:pt>
                <c:pt idx="15">
                  <c:v>2</c:v>
                </c:pt>
                <c:pt idx="16">
                  <c:v>1</c:v>
                </c:pt>
                <c:pt idx="17">
                  <c:v>4.0666666666666664</c:v>
                </c:pt>
                <c:pt idx="18">
                  <c:v>0.64000029024956528</c:v>
                </c:pt>
                <c:pt idx="19">
                  <c:v>3.0000006802722641E-2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41-448F-9398-BAE9519A9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calibration!$P$3:$P$23</c:f>
              <c:numCache>
                <c:formatCode>0.00</c:formatCode>
                <c:ptCount val="21"/>
                <c:pt idx="0">
                  <c:v>13.714285714285714</c:v>
                </c:pt>
                <c:pt idx="1">
                  <c:v>6.5</c:v>
                </c:pt>
                <c:pt idx="2">
                  <c:v>8.1999999999999993</c:v>
                </c:pt>
                <c:pt idx="3">
                  <c:v>12.75</c:v>
                </c:pt>
                <c:pt idx="4">
                  <c:v>13.666666666666666</c:v>
                </c:pt>
                <c:pt idx="5">
                  <c:v>7.25</c:v>
                </c:pt>
                <c:pt idx="6">
                  <c:v>7.8</c:v>
                </c:pt>
                <c:pt idx="7">
                  <c:v>4</c:v>
                </c:pt>
                <c:pt idx="8">
                  <c:v>3</c:v>
                </c:pt>
                <c:pt idx="9">
                  <c:v>2.8333333333333335</c:v>
                </c:pt>
                <c:pt idx="10">
                  <c:v>1.1000000000000001</c:v>
                </c:pt>
                <c:pt idx="11">
                  <c:v>0.2</c:v>
                </c:pt>
                <c:pt idx="12">
                  <c:v>0.9</c:v>
                </c:pt>
                <c:pt idx="13">
                  <c:v>0.55000000000000004</c:v>
                </c:pt>
                <c:pt idx="14">
                  <c:v>1.7333333333333334</c:v>
                </c:pt>
                <c:pt idx="15">
                  <c:v>7.333333333333333</c:v>
                </c:pt>
                <c:pt idx="16">
                  <c:v>3.4</c:v>
                </c:pt>
                <c:pt idx="17">
                  <c:v>12.466666666666667</c:v>
                </c:pt>
                <c:pt idx="18">
                  <c:v>2.9600013424042393</c:v>
                </c:pt>
                <c:pt idx="19">
                  <c:v>0.17000003854876164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57-4BAB-9032-5DE494D45B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calibration!$P$3:$P$23</c:f>
              <c:numCache>
                <c:formatCode>0.00</c:formatCode>
                <c:ptCount val="21"/>
                <c:pt idx="0">
                  <c:v>13.714285714285714</c:v>
                </c:pt>
                <c:pt idx="1">
                  <c:v>6.5</c:v>
                </c:pt>
                <c:pt idx="2">
                  <c:v>8.1999999999999993</c:v>
                </c:pt>
                <c:pt idx="3">
                  <c:v>12.75</c:v>
                </c:pt>
                <c:pt idx="4">
                  <c:v>13.666666666666666</c:v>
                </c:pt>
                <c:pt idx="5">
                  <c:v>7.25</c:v>
                </c:pt>
                <c:pt idx="6">
                  <c:v>7.8</c:v>
                </c:pt>
                <c:pt idx="7">
                  <c:v>4</c:v>
                </c:pt>
                <c:pt idx="8">
                  <c:v>3</c:v>
                </c:pt>
                <c:pt idx="9">
                  <c:v>2.8333333333333335</c:v>
                </c:pt>
                <c:pt idx="10">
                  <c:v>1.1000000000000001</c:v>
                </c:pt>
                <c:pt idx="11">
                  <c:v>0.2</c:v>
                </c:pt>
                <c:pt idx="12">
                  <c:v>0.9</c:v>
                </c:pt>
                <c:pt idx="13">
                  <c:v>0.55000000000000004</c:v>
                </c:pt>
                <c:pt idx="14">
                  <c:v>1.7333333333333334</c:v>
                </c:pt>
                <c:pt idx="15">
                  <c:v>7.333333333333333</c:v>
                </c:pt>
                <c:pt idx="16">
                  <c:v>3.4</c:v>
                </c:pt>
                <c:pt idx="17">
                  <c:v>12.466666666666667</c:v>
                </c:pt>
                <c:pt idx="18">
                  <c:v>2.9600013424042393</c:v>
                </c:pt>
                <c:pt idx="19">
                  <c:v>0.17000003854876164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57-4BAB-9032-5DE494D4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3-4390-8FAE-A72D1997182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23-4390-8FAE-A72D1997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calibration!$R$3:$R$23</c:f>
              <c:numCache>
                <c:formatCode>0.00</c:formatCode>
                <c:ptCount val="21"/>
                <c:pt idx="0">
                  <c:v>86.285714285714292</c:v>
                </c:pt>
                <c:pt idx="1">
                  <c:v>62.8</c:v>
                </c:pt>
                <c:pt idx="2">
                  <c:v>82.8</c:v>
                </c:pt>
                <c:pt idx="3">
                  <c:v>61.625</c:v>
                </c:pt>
                <c:pt idx="4">
                  <c:v>107.66666666666667</c:v>
                </c:pt>
                <c:pt idx="5">
                  <c:v>69.875</c:v>
                </c:pt>
                <c:pt idx="6">
                  <c:v>69</c:v>
                </c:pt>
                <c:pt idx="7">
                  <c:v>63.1</c:v>
                </c:pt>
                <c:pt idx="8">
                  <c:v>68.75</c:v>
                </c:pt>
                <c:pt idx="9">
                  <c:v>54.666666666666664</c:v>
                </c:pt>
                <c:pt idx="10">
                  <c:v>60.7</c:v>
                </c:pt>
                <c:pt idx="11">
                  <c:v>53.6</c:v>
                </c:pt>
                <c:pt idx="12">
                  <c:v>59.8</c:v>
                </c:pt>
                <c:pt idx="13">
                  <c:v>48.6</c:v>
                </c:pt>
                <c:pt idx="14">
                  <c:v>54.06666666666667</c:v>
                </c:pt>
                <c:pt idx="15">
                  <c:v>68.8</c:v>
                </c:pt>
                <c:pt idx="16">
                  <c:v>57.75</c:v>
                </c:pt>
                <c:pt idx="17">
                  <c:v>67.933333333333337</c:v>
                </c:pt>
                <c:pt idx="18">
                  <c:v>37.660017079372857</c:v>
                </c:pt>
                <c:pt idx="19">
                  <c:v>29.650006723357546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A4-45B8-B254-87973F1E7E5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calibration!$R$3:$R$23</c:f>
              <c:numCache>
                <c:formatCode>0.00</c:formatCode>
                <c:ptCount val="21"/>
                <c:pt idx="0">
                  <c:v>86.285714285714292</c:v>
                </c:pt>
                <c:pt idx="1">
                  <c:v>62.8</c:v>
                </c:pt>
                <c:pt idx="2">
                  <c:v>82.8</c:v>
                </c:pt>
                <c:pt idx="3">
                  <c:v>61.625</c:v>
                </c:pt>
                <c:pt idx="4">
                  <c:v>107.66666666666667</c:v>
                </c:pt>
                <c:pt idx="5">
                  <c:v>69.875</c:v>
                </c:pt>
                <c:pt idx="6">
                  <c:v>69</c:v>
                </c:pt>
                <c:pt idx="7">
                  <c:v>63.1</c:v>
                </c:pt>
                <c:pt idx="8">
                  <c:v>68.75</c:v>
                </c:pt>
                <c:pt idx="9">
                  <c:v>54.666666666666664</c:v>
                </c:pt>
                <c:pt idx="10">
                  <c:v>60.7</c:v>
                </c:pt>
                <c:pt idx="11">
                  <c:v>53.6</c:v>
                </c:pt>
                <c:pt idx="12">
                  <c:v>59.8</c:v>
                </c:pt>
                <c:pt idx="13">
                  <c:v>48.6</c:v>
                </c:pt>
                <c:pt idx="14">
                  <c:v>54.06666666666667</c:v>
                </c:pt>
                <c:pt idx="15">
                  <c:v>68.8</c:v>
                </c:pt>
                <c:pt idx="16">
                  <c:v>57.75</c:v>
                </c:pt>
                <c:pt idx="17">
                  <c:v>67.933333333333337</c:v>
                </c:pt>
                <c:pt idx="18">
                  <c:v>37.660017079372857</c:v>
                </c:pt>
                <c:pt idx="19">
                  <c:v>29.650006723357546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A4-45B8-B254-87973F1E7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calibration!$S$3:$S$23</c:f>
              <c:numCache>
                <c:formatCode>0.00</c:formatCode>
                <c:ptCount val="21"/>
                <c:pt idx="0">
                  <c:v>139.71428571428572</c:v>
                </c:pt>
                <c:pt idx="1">
                  <c:v>169</c:v>
                </c:pt>
                <c:pt idx="2">
                  <c:v>176.4</c:v>
                </c:pt>
                <c:pt idx="3">
                  <c:v>166.125</c:v>
                </c:pt>
                <c:pt idx="4">
                  <c:v>186.33333333333334</c:v>
                </c:pt>
                <c:pt idx="5">
                  <c:v>173</c:v>
                </c:pt>
                <c:pt idx="6">
                  <c:v>188.6</c:v>
                </c:pt>
                <c:pt idx="7">
                  <c:v>188.1</c:v>
                </c:pt>
                <c:pt idx="8">
                  <c:v>207.5</c:v>
                </c:pt>
                <c:pt idx="9">
                  <c:v>204.66666666666666</c:v>
                </c:pt>
                <c:pt idx="10">
                  <c:v>191.1</c:v>
                </c:pt>
                <c:pt idx="11">
                  <c:v>202</c:v>
                </c:pt>
                <c:pt idx="12">
                  <c:v>180.85</c:v>
                </c:pt>
                <c:pt idx="13">
                  <c:v>175.05</c:v>
                </c:pt>
                <c:pt idx="14">
                  <c:v>187.2</c:v>
                </c:pt>
                <c:pt idx="15">
                  <c:v>171.33333333333334</c:v>
                </c:pt>
                <c:pt idx="16">
                  <c:v>167.8</c:v>
                </c:pt>
                <c:pt idx="17">
                  <c:v>150.53333333333333</c:v>
                </c:pt>
                <c:pt idx="18">
                  <c:v>117.32005320637343</c:v>
                </c:pt>
                <c:pt idx="19">
                  <c:v>148.97003378005306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F-4FB5-9059-56A920A2E4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5.6677282585334401E-2"/>
                  <c:y val="-0.135046011418382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calibration!$S$3:$S$23</c:f>
              <c:numCache>
                <c:formatCode>0.00</c:formatCode>
                <c:ptCount val="21"/>
                <c:pt idx="0">
                  <c:v>139.71428571428572</c:v>
                </c:pt>
                <c:pt idx="1">
                  <c:v>169</c:v>
                </c:pt>
                <c:pt idx="2">
                  <c:v>176.4</c:v>
                </c:pt>
                <c:pt idx="3">
                  <c:v>166.125</c:v>
                </c:pt>
                <c:pt idx="4">
                  <c:v>186.33333333333334</c:v>
                </c:pt>
                <c:pt idx="5">
                  <c:v>173</c:v>
                </c:pt>
                <c:pt idx="6">
                  <c:v>188.6</c:v>
                </c:pt>
                <c:pt idx="7">
                  <c:v>188.1</c:v>
                </c:pt>
                <c:pt idx="8">
                  <c:v>207.5</c:v>
                </c:pt>
                <c:pt idx="9">
                  <c:v>204.66666666666666</c:v>
                </c:pt>
                <c:pt idx="10">
                  <c:v>191.1</c:v>
                </c:pt>
                <c:pt idx="11">
                  <c:v>202</c:v>
                </c:pt>
                <c:pt idx="12">
                  <c:v>180.85</c:v>
                </c:pt>
                <c:pt idx="13">
                  <c:v>175.05</c:v>
                </c:pt>
                <c:pt idx="14">
                  <c:v>187.2</c:v>
                </c:pt>
                <c:pt idx="15">
                  <c:v>171.33333333333334</c:v>
                </c:pt>
                <c:pt idx="16">
                  <c:v>167.8</c:v>
                </c:pt>
                <c:pt idx="17">
                  <c:v>150.53333333333333</c:v>
                </c:pt>
                <c:pt idx="18">
                  <c:v>117.32005320637343</c:v>
                </c:pt>
                <c:pt idx="19">
                  <c:v>148.97003378005306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5F-4FB5-9059-56A920A2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calibration!$T$3:$T$23</c:f>
              <c:numCache>
                <c:formatCode>0.00</c:formatCode>
                <c:ptCount val="21"/>
                <c:pt idx="0">
                  <c:v>8.984494301195399E-2</c:v>
                </c:pt>
                <c:pt idx="1">
                  <c:v>1.0284460620237581E-2</c:v>
                </c:pt>
                <c:pt idx="2">
                  <c:v>1.8739975134602762E-2</c:v>
                </c:pt>
                <c:pt idx="3">
                  <c:v>3.8815793791857747E-2</c:v>
                </c:pt>
                <c:pt idx="4">
                  <c:v>4.4543546788178297E-2</c:v>
                </c:pt>
                <c:pt idx="5">
                  <c:v>3.5864685900432638E-2</c:v>
                </c:pt>
                <c:pt idx="6">
                  <c:v>5.5449770411289609E-3</c:v>
                </c:pt>
                <c:pt idx="15">
                  <c:v>6.8670601298223997E-3</c:v>
                </c:pt>
                <c:pt idx="16">
                  <c:v>1.0086709095523141E-2</c:v>
                </c:pt>
                <c:pt idx="17">
                  <c:v>7.747256978540977E-2</c:v>
                </c:pt>
                <c:pt idx="18">
                  <c:v>1.452996263730735E-2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A-44AE-98F4-018346AC825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calibration!$T$3:$T$23</c:f>
              <c:numCache>
                <c:formatCode>0.00</c:formatCode>
                <c:ptCount val="21"/>
                <c:pt idx="0">
                  <c:v>8.984494301195399E-2</c:v>
                </c:pt>
                <c:pt idx="1">
                  <c:v>1.0284460620237581E-2</c:v>
                </c:pt>
                <c:pt idx="2">
                  <c:v>1.8739975134602762E-2</c:v>
                </c:pt>
                <c:pt idx="3">
                  <c:v>3.8815793791857747E-2</c:v>
                </c:pt>
                <c:pt idx="4">
                  <c:v>4.4543546788178297E-2</c:v>
                </c:pt>
                <c:pt idx="5">
                  <c:v>3.5864685900432638E-2</c:v>
                </c:pt>
                <c:pt idx="6">
                  <c:v>5.5449770411289609E-3</c:v>
                </c:pt>
                <c:pt idx="15">
                  <c:v>6.8670601298223997E-3</c:v>
                </c:pt>
                <c:pt idx="16">
                  <c:v>1.0086709095523141E-2</c:v>
                </c:pt>
                <c:pt idx="17">
                  <c:v>7.747256978540977E-2</c:v>
                </c:pt>
                <c:pt idx="18">
                  <c:v>1.452996263730735E-2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8A-44AE-98F4-018346AC8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calibration!$U$3:$U$23</c:f>
              <c:numCache>
                <c:formatCode>0.00</c:formatCode>
                <c:ptCount val="21"/>
                <c:pt idx="0">
                  <c:v>0.23958651469854397</c:v>
                </c:pt>
                <c:pt idx="1">
                  <c:v>4.1137842480950322E-2</c:v>
                </c:pt>
                <c:pt idx="2">
                  <c:v>0.1499198010768221</c:v>
                </c:pt>
                <c:pt idx="3">
                  <c:v>0.18760966999397913</c:v>
                </c:pt>
                <c:pt idx="4">
                  <c:v>0.20786988501149872</c:v>
                </c:pt>
                <c:pt idx="5">
                  <c:v>0.26300769660317264</c:v>
                </c:pt>
                <c:pt idx="6">
                  <c:v>7.2084701534676485E-2</c:v>
                </c:pt>
                <c:pt idx="7">
                  <c:v>1.7984892003033839E-2</c:v>
                </c:pt>
                <c:pt idx="14">
                  <c:v>8.0054026560360658E-3</c:v>
                </c:pt>
                <c:pt idx="15">
                  <c:v>0.103005901947336</c:v>
                </c:pt>
                <c:pt idx="16">
                  <c:v>5.04335454776157E-2</c:v>
                </c:pt>
                <c:pt idx="17">
                  <c:v>0.39381889640916629</c:v>
                </c:pt>
                <c:pt idx="18">
                  <c:v>6.6422686341976456E-2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77-4914-84F6-08EDFF0DCD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calibration!$U$3:$U$23</c:f>
              <c:numCache>
                <c:formatCode>0.00</c:formatCode>
                <c:ptCount val="21"/>
                <c:pt idx="0">
                  <c:v>0.23958651469854397</c:v>
                </c:pt>
                <c:pt idx="1">
                  <c:v>4.1137842480950322E-2</c:v>
                </c:pt>
                <c:pt idx="2">
                  <c:v>0.1499198010768221</c:v>
                </c:pt>
                <c:pt idx="3">
                  <c:v>0.18760966999397913</c:v>
                </c:pt>
                <c:pt idx="4">
                  <c:v>0.20786988501149872</c:v>
                </c:pt>
                <c:pt idx="5">
                  <c:v>0.26300769660317264</c:v>
                </c:pt>
                <c:pt idx="6">
                  <c:v>7.2084701534676485E-2</c:v>
                </c:pt>
                <c:pt idx="7">
                  <c:v>1.7984892003033839E-2</c:v>
                </c:pt>
                <c:pt idx="14">
                  <c:v>8.0054026560360658E-3</c:v>
                </c:pt>
                <c:pt idx="15">
                  <c:v>0.103005901947336</c:v>
                </c:pt>
                <c:pt idx="16">
                  <c:v>5.04335454776157E-2</c:v>
                </c:pt>
                <c:pt idx="17">
                  <c:v>0.39381889640916629</c:v>
                </c:pt>
                <c:pt idx="18">
                  <c:v>6.6422686341976456E-2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77-4914-84F6-08EDFF0D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calibration!$V$3:$V$23</c:f>
              <c:numCache>
                <c:formatCode>0.00</c:formatCode>
                <c:ptCount val="21"/>
                <c:pt idx="0">
                  <c:v>1.4375190881912638</c:v>
                </c:pt>
                <c:pt idx="1">
                  <c:v>0.33424497015772137</c:v>
                </c:pt>
                <c:pt idx="2">
                  <c:v>0.38416949025935654</c:v>
                </c:pt>
                <c:pt idx="3">
                  <c:v>0.65986849446158169</c:v>
                </c:pt>
                <c:pt idx="4">
                  <c:v>0.60876180610510333</c:v>
                </c:pt>
                <c:pt idx="5">
                  <c:v>0.6933839274083643</c:v>
                </c:pt>
                <c:pt idx="6">
                  <c:v>0.21625410460402944</c:v>
                </c:pt>
                <c:pt idx="7">
                  <c:v>8.9924460015169197E-2</c:v>
                </c:pt>
                <c:pt idx="8">
                  <c:v>3.2691026650086601E-2</c:v>
                </c:pt>
                <c:pt idx="9">
                  <c:v>3.2062656312361215E-2</c:v>
                </c:pt>
                <c:pt idx="10">
                  <c:v>1.1688036291366491E-2</c:v>
                </c:pt>
                <c:pt idx="11">
                  <c:v>1.082085140323868E-3</c:v>
                </c:pt>
                <c:pt idx="12">
                  <c:v>1.260285812403201E-2</c:v>
                </c:pt>
                <c:pt idx="13">
                  <c:v>5.9899404677243454E-3</c:v>
                </c:pt>
                <c:pt idx="14">
                  <c:v>4.1628093811387545E-2</c:v>
                </c:pt>
                <c:pt idx="15">
                  <c:v>0.37768830714023199</c:v>
                </c:pt>
                <c:pt idx="16">
                  <c:v>0.17147405462389337</c:v>
                </c:pt>
                <c:pt idx="17">
                  <c:v>1.2072808791559688</c:v>
                </c:pt>
                <c:pt idx="18">
                  <c:v>0.30720492433164109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26-478C-B192-486CB10221D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calibration!$V$3:$V$23</c:f>
              <c:numCache>
                <c:formatCode>0.00</c:formatCode>
                <c:ptCount val="21"/>
                <c:pt idx="0">
                  <c:v>1.4375190881912638</c:v>
                </c:pt>
                <c:pt idx="1">
                  <c:v>0.33424497015772137</c:v>
                </c:pt>
                <c:pt idx="2">
                  <c:v>0.38416949025935654</c:v>
                </c:pt>
                <c:pt idx="3">
                  <c:v>0.65986849446158169</c:v>
                </c:pt>
                <c:pt idx="4">
                  <c:v>0.60876180610510333</c:v>
                </c:pt>
                <c:pt idx="5">
                  <c:v>0.6933839274083643</c:v>
                </c:pt>
                <c:pt idx="6">
                  <c:v>0.21625410460402944</c:v>
                </c:pt>
                <c:pt idx="7">
                  <c:v>8.9924460015169197E-2</c:v>
                </c:pt>
                <c:pt idx="8">
                  <c:v>3.2691026650086601E-2</c:v>
                </c:pt>
                <c:pt idx="9">
                  <c:v>3.2062656312361215E-2</c:v>
                </c:pt>
                <c:pt idx="10">
                  <c:v>1.1688036291366491E-2</c:v>
                </c:pt>
                <c:pt idx="11">
                  <c:v>1.082085140323868E-3</c:v>
                </c:pt>
                <c:pt idx="12">
                  <c:v>1.260285812403201E-2</c:v>
                </c:pt>
                <c:pt idx="13">
                  <c:v>5.9899404677243454E-3</c:v>
                </c:pt>
                <c:pt idx="14">
                  <c:v>4.1628093811387545E-2</c:v>
                </c:pt>
                <c:pt idx="15">
                  <c:v>0.37768830714023199</c:v>
                </c:pt>
                <c:pt idx="16">
                  <c:v>0.17147405462389337</c:v>
                </c:pt>
                <c:pt idx="17">
                  <c:v>1.2072808791559688</c:v>
                </c:pt>
                <c:pt idx="18">
                  <c:v>0.30720492433164109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26-478C-B192-486CB1022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9-4083-A5FB-40E5EC1FE7E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39-4083-A5FB-40E5EC1FE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A-456F-BF87-60219BA5844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DA-456F-BF87-60219BA58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2-4982-B999-0A4314E18B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52-4982-B999-0A4314E1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2-492C-870E-DAA7A0E715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2-492C-870E-DAA7A0E7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6-40E7-8224-B70A4CA678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6-40E7-8224-B70A4CA6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calibration!$AB$3:$AB$23</c:f>
              <c:numCache>
                <c:formatCode>0.0000</c:formatCode>
                <c:ptCount val="21"/>
                <c:pt idx="0">
                  <c:v>0.69113642717961588</c:v>
                </c:pt>
                <c:pt idx="1">
                  <c:v>0.50902344955152234</c:v>
                </c:pt>
                <c:pt idx="2">
                  <c:v>0.57259097242330081</c:v>
                </c:pt>
                <c:pt idx="3">
                  <c:v>1.2756785629303071</c:v>
                </c:pt>
                <c:pt idx="4">
                  <c:v>0.93177571825444638</c:v>
                </c:pt>
                <c:pt idx="5">
                  <c:v>0.26781357751543616</c:v>
                </c:pt>
                <c:pt idx="6">
                  <c:v>1.011321304313358</c:v>
                </c:pt>
                <c:pt idx="7">
                  <c:v>0.57303721494568682</c:v>
                </c:pt>
                <c:pt idx="8">
                  <c:v>0.9433468675218778</c:v>
                </c:pt>
                <c:pt idx="9">
                  <c:v>0.7457438766077682</c:v>
                </c:pt>
                <c:pt idx="10">
                  <c:v>0.9375136073985646</c:v>
                </c:pt>
                <c:pt idx="11">
                  <c:v>0.95678784227286762</c:v>
                </c:pt>
                <c:pt idx="12">
                  <c:v>0.82182105377340797</c:v>
                </c:pt>
                <c:pt idx="13">
                  <c:v>0.85321674923040902</c:v>
                </c:pt>
                <c:pt idx="14">
                  <c:v>0.65454762426449242</c:v>
                </c:pt>
                <c:pt idx="15">
                  <c:v>0.33229836608580621</c:v>
                </c:pt>
                <c:pt idx="16">
                  <c:v>0.4448565575121598</c:v>
                </c:pt>
                <c:pt idx="17">
                  <c:v>0.3243622862556802</c:v>
                </c:pt>
                <c:pt idx="18">
                  <c:v>0.28597529989470089</c:v>
                </c:pt>
                <c:pt idx="19">
                  <c:v>0.94968146350705707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DC-4B67-BDDB-77C69E97279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calibration!$AB$3:$AB$23</c:f>
              <c:numCache>
                <c:formatCode>0.0000</c:formatCode>
                <c:ptCount val="21"/>
                <c:pt idx="0">
                  <c:v>0.69113642717961588</c:v>
                </c:pt>
                <c:pt idx="1">
                  <c:v>0.50902344955152234</c:v>
                </c:pt>
                <c:pt idx="2">
                  <c:v>0.57259097242330081</c:v>
                </c:pt>
                <c:pt idx="3">
                  <c:v>1.2756785629303071</c:v>
                </c:pt>
                <c:pt idx="4">
                  <c:v>0.93177571825444638</c:v>
                </c:pt>
                <c:pt idx="5">
                  <c:v>0.26781357751543616</c:v>
                </c:pt>
                <c:pt idx="6">
                  <c:v>1.011321304313358</c:v>
                </c:pt>
                <c:pt idx="7">
                  <c:v>0.57303721494568682</c:v>
                </c:pt>
                <c:pt idx="8">
                  <c:v>0.9433468675218778</c:v>
                </c:pt>
                <c:pt idx="9">
                  <c:v>0.7457438766077682</c:v>
                </c:pt>
                <c:pt idx="10">
                  <c:v>0.9375136073985646</c:v>
                </c:pt>
                <c:pt idx="11">
                  <c:v>0.95678784227286762</c:v>
                </c:pt>
                <c:pt idx="12">
                  <c:v>0.82182105377340797</c:v>
                </c:pt>
                <c:pt idx="13">
                  <c:v>0.85321674923040902</c:v>
                </c:pt>
                <c:pt idx="14">
                  <c:v>0.65454762426449242</c:v>
                </c:pt>
                <c:pt idx="15">
                  <c:v>0.33229836608580621</c:v>
                </c:pt>
                <c:pt idx="16">
                  <c:v>0.4448565575121598</c:v>
                </c:pt>
                <c:pt idx="17">
                  <c:v>0.3243622862556802</c:v>
                </c:pt>
                <c:pt idx="18">
                  <c:v>0.28597529989470089</c:v>
                </c:pt>
                <c:pt idx="19">
                  <c:v>0.94968146350705707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DC-4B67-BDDB-77C69E972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2E-4239-BD95-2AB8E35E46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2E-4239-BD95-2AB8E35E4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8BC-A693-1F102596C1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8BC-A693-1F102596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calibration!$AE$3:$AE$23</c:f>
              <c:numCache>
                <c:formatCode>General</c:formatCode>
                <c:ptCount val="21"/>
                <c:pt idx="0">
                  <c:v>0.31425210726506331</c:v>
                </c:pt>
                <c:pt idx="1">
                  <c:v>4.7428203244610244E-2</c:v>
                </c:pt>
                <c:pt idx="2">
                  <c:v>9.2670264854809212E-2</c:v>
                </c:pt>
                <c:pt idx="3">
                  <c:v>0.38433009416247804</c:v>
                </c:pt>
                <c:pt idx="4">
                  <c:v>0.29737507606520741</c:v>
                </c:pt>
                <c:pt idx="5">
                  <c:v>3.7430066960130327E-2</c:v>
                </c:pt>
                <c:pt idx="6">
                  <c:v>0.11421384228591011</c:v>
                </c:pt>
                <c:pt idx="7">
                  <c:v>2.105588766240132E-2</c:v>
                </c:pt>
                <c:pt idx="8">
                  <c:v>2.057575298198238E-2</c:v>
                </c:pt>
                <c:pt idx="9">
                  <c:v>1.4306831788144901E-2</c:v>
                </c:pt>
                <c:pt idx="10">
                  <c:v>5.5667108520111221E-3</c:v>
                </c:pt>
                <c:pt idx="11">
                  <c:v>8.0825445138626008E-4</c:v>
                </c:pt>
                <c:pt idx="12">
                  <c:v>4.2000386030669702E-3</c:v>
                </c:pt>
                <c:pt idx="13">
                  <c:v>2.2624602271450194E-3</c:v>
                </c:pt>
                <c:pt idx="14">
                  <c:v>7.3915497596027191E-3</c:v>
                </c:pt>
                <c:pt idx="15">
                  <c:v>3.3513710723213012E-2</c:v>
                </c:pt>
                <c:pt idx="16">
                  <c:v>1.4913772943934471E-2</c:v>
                </c:pt>
                <c:pt idx="17">
                  <c:v>0.11894162991711801</c:v>
                </c:pt>
                <c:pt idx="18">
                  <c:v>7.8806005793825365E-3</c:v>
                </c:pt>
                <c:pt idx="19">
                  <c:v>6.0608760715105312E-4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C-451C-8908-23FAA195D6C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calibration!$AE$3:$AE$23</c:f>
              <c:numCache>
                <c:formatCode>General</c:formatCode>
                <c:ptCount val="21"/>
                <c:pt idx="0">
                  <c:v>0.31425210726506331</c:v>
                </c:pt>
                <c:pt idx="1">
                  <c:v>4.7428203244610244E-2</c:v>
                </c:pt>
                <c:pt idx="2">
                  <c:v>9.2670264854809212E-2</c:v>
                </c:pt>
                <c:pt idx="3">
                  <c:v>0.38433009416247804</c:v>
                </c:pt>
                <c:pt idx="4">
                  <c:v>0.29737507606520741</c:v>
                </c:pt>
                <c:pt idx="5">
                  <c:v>3.7430066960130327E-2</c:v>
                </c:pt>
                <c:pt idx="6">
                  <c:v>0.11421384228591011</c:v>
                </c:pt>
                <c:pt idx="7">
                  <c:v>2.105588766240132E-2</c:v>
                </c:pt>
                <c:pt idx="8">
                  <c:v>2.057575298198238E-2</c:v>
                </c:pt>
                <c:pt idx="9">
                  <c:v>1.4306831788144901E-2</c:v>
                </c:pt>
                <c:pt idx="10">
                  <c:v>5.5667108520111221E-3</c:v>
                </c:pt>
                <c:pt idx="11">
                  <c:v>8.0825445138626008E-4</c:v>
                </c:pt>
                <c:pt idx="12">
                  <c:v>4.2000386030669702E-3</c:v>
                </c:pt>
                <c:pt idx="13">
                  <c:v>2.2624602271450194E-3</c:v>
                </c:pt>
                <c:pt idx="14">
                  <c:v>7.3915497596027191E-3</c:v>
                </c:pt>
                <c:pt idx="15">
                  <c:v>3.3513710723213012E-2</c:v>
                </c:pt>
                <c:pt idx="16">
                  <c:v>1.4913772943934471E-2</c:v>
                </c:pt>
                <c:pt idx="17">
                  <c:v>0.11894162991711801</c:v>
                </c:pt>
                <c:pt idx="18">
                  <c:v>7.8806005793825365E-3</c:v>
                </c:pt>
                <c:pt idx="19">
                  <c:v>6.0608760715105312E-4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3C-451C-8908-23FAA195D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0-4818-9ECF-7B96F5FAEC0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60-4818-9ECF-7B96F5FA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3-4CA3-926E-2EB6613C005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83-4CA3-926E-2EB6613C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Med Amp</a:t>
            </a:r>
          </a:p>
        </c:rich>
      </c:tx>
      <c:layout>
        <c:manualLayout>
          <c:xMode val="edge"/>
          <c:yMode val="edge"/>
          <c:x val="0.23729696048058893"/>
          <c:y val="4.5329198418279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1-43B1-A1B7-22BFFABC51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41-43B1-A1B7-22BFFABC5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2-492C-870E-DAA7A0E715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2-492C-870E-DAA7A0E7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6-40E7-8224-B70A4CA678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6-40E7-8224-B70A4CA6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541320618550701E-2"/>
                  <c:y val="0.229080442543510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calibration!$AK$3:$AK$23</c:f>
              <c:numCache>
                <c:formatCode>0.000000</c:formatCode>
                <c:ptCount val="21"/>
                <c:pt idx="0">
                  <c:v>7.597071740654826E-4</c:v>
                </c:pt>
                <c:pt idx="1">
                  <c:v>1.0459449839863352E-4</c:v>
                </c:pt>
                <c:pt idx="2">
                  <c:v>2.2305327652619194E-4</c:v>
                </c:pt>
                <c:pt idx="3">
                  <c:v>7.122741081016157E-4</c:v>
                </c:pt>
                <c:pt idx="4">
                  <c:v>5.0812731266276941E-4</c:v>
                </c:pt>
                <c:pt idx="5">
                  <c:v>9.9525095733030979E-5</c:v>
                </c:pt>
                <c:pt idx="6">
                  <c:v>2.1201135535078248E-4</c:v>
                </c:pt>
                <c:pt idx="7">
                  <c:v>4.8355324236411653E-5</c:v>
                </c:pt>
                <c:pt idx="8">
                  <c:v>4.9865198682043573E-5</c:v>
                </c:pt>
                <c:pt idx="9">
                  <c:v>3.4190220682561793E-5</c:v>
                </c:pt>
                <c:pt idx="10">
                  <c:v>2.731708644440693E-5</c:v>
                </c:pt>
                <c:pt idx="11">
                  <c:v>1.7069490991697714E-5</c:v>
                </c:pt>
                <c:pt idx="12">
                  <c:v>2.6499902877547969E-5</c:v>
                </c:pt>
                <c:pt idx="13">
                  <c:v>1.9832485946162398E-5</c:v>
                </c:pt>
                <c:pt idx="14">
                  <c:v>2.778213268156374E-5</c:v>
                </c:pt>
                <c:pt idx="15">
                  <c:v>6.2851258083761093E-5</c:v>
                </c:pt>
                <c:pt idx="16">
                  <c:v>4.325110652749035E-5</c:v>
                </c:pt>
                <c:pt idx="17">
                  <c:v>2.8063169752368214E-4</c:v>
                </c:pt>
                <c:pt idx="18">
                  <c:v>2.4785991270335527E-5</c:v>
                </c:pt>
                <c:pt idx="19">
                  <c:v>1.33842736338367E-5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5-430D-9A71-74A6BE11829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calibration!$AK$3:$AK$23</c:f>
              <c:numCache>
                <c:formatCode>0.000000</c:formatCode>
                <c:ptCount val="21"/>
                <c:pt idx="0">
                  <c:v>7.597071740654826E-4</c:v>
                </c:pt>
                <c:pt idx="1">
                  <c:v>1.0459449839863352E-4</c:v>
                </c:pt>
                <c:pt idx="2">
                  <c:v>2.2305327652619194E-4</c:v>
                </c:pt>
                <c:pt idx="3">
                  <c:v>7.122741081016157E-4</c:v>
                </c:pt>
                <c:pt idx="4">
                  <c:v>5.0812731266276941E-4</c:v>
                </c:pt>
                <c:pt idx="5">
                  <c:v>9.9525095733030979E-5</c:v>
                </c:pt>
                <c:pt idx="6">
                  <c:v>2.1201135535078248E-4</c:v>
                </c:pt>
                <c:pt idx="7">
                  <c:v>4.8355324236411653E-5</c:v>
                </c:pt>
                <c:pt idx="8">
                  <c:v>4.9865198682043573E-5</c:v>
                </c:pt>
                <c:pt idx="9">
                  <c:v>3.4190220682561793E-5</c:v>
                </c:pt>
                <c:pt idx="10">
                  <c:v>2.731708644440693E-5</c:v>
                </c:pt>
                <c:pt idx="11">
                  <c:v>1.7069490991697714E-5</c:v>
                </c:pt>
                <c:pt idx="12">
                  <c:v>2.6499902877547969E-5</c:v>
                </c:pt>
                <c:pt idx="13">
                  <c:v>1.9832485946162398E-5</c:v>
                </c:pt>
                <c:pt idx="14">
                  <c:v>2.778213268156374E-5</c:v>
                </c:pt>
                <c:pt idx="15">
                  <c:v>6.2851258083761093E-5</c:v>
                </c:pt>
                <c:pt idx="16">
                  <c:v>4.325110652749035E-5</c:v>
                </c:pt>
                <c:pt idx="17">
                  <c:v>2.8063169752368214E-4</c:v>
                </c:pt>
                <c:pt idx="18">
                  <c:v>2.4785991270335527E-5</c:v>
                </c:pt>
                <c:pt idx="19">
                  <c:v>1.33842736338367E-5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E5-430D-9A71-74A6BE118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19-44C1-986D-DC882FD8255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19-44C1-986D-DC882FD82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85-4342-8BAA-3C1AAD4D3AA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85-4342-8BAA-3C1AAD4D3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2E-4239-BD95-2AB8E35E46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2E-4239-BD95-2AB8E35E4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8BC-A693-1F102596C1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8BC-A693-1F102596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calibration!$AL$3:$AL$23</c:f>
              <c:numCache>
                <c:formatCode>General</c:formatCode>
                <c:ptCount val="21"/>
                <c:pt idx="0">
                  <c:v>2.8418060359249629E-2</c:v>
                </c:pt>
                <c:pt idx="1">
                  <c:v>2.8669196515192803E-3</c:v>
                </c:pt>
                <c:pt idx="2">
                  <c:v>7.8948166183852413E-3</c:v>
                </c:pt>
                <c:pt idx="3">
                  <c:v>1.7722060442766824E-2</c:v>
                </c:pt>
                <c:pt idx="4">
                  <c:v>2.3352349155409499E-2</c:v>
                </c:pt>
                <c:pt idx="5">
                  <c:v>7.2290507605128757E-3</c:v>
                </c:pt>
                <c:pt idx="6">
                  <c:v>2.8957760962046004E-3</c:v>
                </c:pt>
                <c:pt idx="14">
                  <c:v>4.3433107818363734E-4</c:v>
                </c:pt>
                <c:pt idx="15">
                  <c:v>1.8337140869665466E-3</c:v>
                </c:pt>
                <c:pt idx="16">
                  <c:v>1.9720531182322301E-3</c:v>
                </c:pt>
                <c:pt idx="17">
                  <c:v>2.3531151080182482E-2</c:v>
                </c:pt>
                <c:pt idx="18">
                  <c:v>1.3033681881671345E-3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AB-4873-9DAD-9F4EB04D798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calibration!$AL$3:$AL$23</c:f>
              <c:numCache>
                <c:formatCode>General</c:formatCode>
                <c:ptCount val="21"/>
                <c:pt idx="0">
                  <c:v>2.8418060359249629E-2</c:v>
                </c:pt>
                <c:pt idx="1">
                  <c:v>2.8669196515192803E-3</c:v>
                </c:pt>
                <c:pt idx="2">
                  <c:v>7.8948166183852413E-3</c:v>
                </c:pt>
                <c:pt idx="3">
                  <c:v>1.7722060442766824E-2</c:v>
                </c:pt>
                <c:pt idx="4">
                  <c:v>2.3352349155409499E-2</c:v>
                </c:pt>
                <c:pt idx="5">
                  <c:v>7.2290507605128757E-3</c:v>
                </c:pt>
                <c:pt idx="6">
                  <c:v>2.8957760962046004E-3</c:v>
                </c:pt>
                <c:pt idx="14">
                  <c:v>4.3433107818363734E-4</c:v>
                </c:pt>
                <c:pt idx="15">
                  <c:v>1.8337140869665466E-3</c:v>
                </c:pt>
                <c:pt idx="16">
                  <c:v>1.9720531182322301E-3</c:v>
                </c:pt>
                <c:pt idx="17">
                  <c:v>2.3531151080182482E-2</c:v>
                </c:pt>
                <c:pt idx="18">
                  <c:v>1.3033681881671345E-3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AB-4873-9DAD-9F4EB04D7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calibration!$AM$3:$AM$23</c:f>
              <c:numCache>
                <c:formatCode>General</c:formatCode>
                <c:ptCount val="21"/>
                <c:pt idx="0">
                  <c:v>7.5781494291332338E-2</c:v>
                </c:pt>
                <c:pt idx="1">
                  <c:v>1.1467678606077121E-2</c:v>
                </c:pt>
                <c:pt idx="2">
                  <c:v>6.315853294708193E-2</c:v>
                </c:pt>
                <c:pt idx="3">
                  <c:v>8.565662547337298E-2</c:v>
                </c:pt>
                <c:pt idx="4">
                  <c:v>0.108977629391911</c:v>
                </c:pt>
                <c:pt idx="5">
                  <c:v>5.3013038910427752E-2</c:v>
                </c:pt>
                <c:pt idx="6">
                  <c:v>3.7645089250659805E-2</c:v>
                </c:pt>
                <c:pt idx="7">
                  <c:v>7.3488726781547765E-3</c:v>
                </c:pt>
                <c:pt idx="8">
                  <c:v>1.8176199453930975E-3</c:v>
                </c:pt>
                <c:pt idx="9">
                  <c:v>1.1285085494865533E-3</c:v>
                </c:pt>
                <c:pt idx="10">
                  <c:v>5.3979442955963311E-4</c:v>
                </c:pt>
                <c:pt idx="12">
                  <c:v>2.8392492121831199E-4</c:v>
                </c:pt>
                <c:pt idx="13">
                  <c:v>2.4106207789901949E-4</c:v>
                </c:pt>
                <c:pt idx="14">
                  <c:v>2.1716553909181865E-3</c:v>
                </c:pt>
                <c:pt idx="15">
                  <c:v>2.75057113044982E-2</c:v>
                </c:pt>
                <c:pt idx="16">
                  <c:v>9.8602655911611495E-3</c:v>
                </c:pt>
                <c:pt idx="17">
                  <c:v>0.11961668465759427</c:v>
                </c:pt>
                <c:pt idx="18">
                  <c:v>5.9582545744783291E-3</c:v>
                </c:pt>
                <c:pt idx="19">
                  <c:v>1.1262369611921293E-4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5-4879-9D06-99824DF9D9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calibration!$AM$3:$AM$23</c:f>
              <c:numCache>
                <c:formatCode>General</c:formatCode>
                <c:ptCount val="21"/>
                <c:pt idx="0">
                  <c:v>7.5781494291332338E-2</c:v>
                </c:pt>
                <c:pt idx="1">
                  <c:v>1.1467678606077121E-2</c:v>
                </c:pt>
                <c:pt idx="2">
                  <c:v>6.315853294708193E-2</c:v>
                </c:pt>
                <c:pt idx="3">
                  <c:v>8.565662547337298E-2</c:v>
                </c:pt>
                <c:pt idx="4">
                  <c:v>0.108977629391911</c:v>
                </c:pt>
                <c:pt idx="5">
                  <c:v>5.3013038910427752E-2</c:v>
                </c:pt>
                <c:pt idx="6">
                  <c:v>3.7645089250659805E-2</c:v>
                </c:pt>
                <c:pt idx="7">
                  <c:v>7.3488726781547765E-3</c:v>
                </c:pt>
                <c:pt idx="8">
                  <c:v>1.8176199453930975E-3</c:v>
                </c:pt>
                <c:pt idx="9">
                  <c:v>1.1285085494865533E-3</c:v>
                </c:pt>
                <c:pt idx="10">
                  <c:v>5.3979442955963311E-4</c:v>
                </c:pt>
                <c:pt idx="12">
                  <c:v>2.8392492121831199E-4</c:v>
                </c:pt>
                <c:pt idx="13">
                  <c:v>2.4106207789901949E-4</c:v>
                </c:pt>
                <c:pt idx="14">
                  <c:v>2.1716553909181865E-3</c:v>
                </c:pt>
                <c:pt idx="15">
                  <c:v>2.75057113044982E-2</c:v>
                </c:pt>
                <c:pt idx="16">
                  <c:v>9.8602655911611495E-3</c:v>
                </c:pt>
                <c:pt idx="17">
                  <c:v>0.11961668465759427</c:v>
                </c:pt>
                <c:pt idx="18">
                  <c:v>5.9582545744783291E-3</c:v>
                </c:pt>
                <c:pt idx="19">
                  <c:v>1.1262369611921293E-4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55-4879-9D06-99824DF9D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calibration!$AN$3:$AN$23</c:f>
              <c:numCache>
                <c:formatCode>General</c:formatCode>
                <c:ptCount val="21"/>
                <c:pt idx="0">
                  <c:v>0.45468896574799406</c:v>
                </c:pt>
                <c:pt idx="1">
                  <c:v>9.3174888674376594E-2</c:v>
                </c:pt>
                <c:pt idx="2">
                  <c:v>0.16184374067689741</c:v>
                </c:pt>
                <c:pt idx="3">
                  <c:v>0.301275027527036</c:v>
                </c:pt>
                <c:pt idx="4">
                  <c:v>0.31914877179059647</c:v>
                </c:pt>
                <c:pt idx="5">
                  <c:v>0.13976164803658225</c:v>
                </c:pt>
                <c:pt idx="6">
                  <c:v>0.1129352677519794</c:v>
                </c:pt>
                <c:pt idx="7">
                  <c:v>3.6744363390773881E-2</c:v>
                </c:pt>
                <c:pt idx="8">
                  <c:v>2.181143934471717E-2</c:v>
                </c:pt>
                <c:pt idx="9">
                  <c:v>1.9184645341271407E-2</c:v>
                </c:pt>
                <c:pt idx="10">
                  <c:v>5.9377387251559636E-3</c:v>
                </c:pt>
                <c:pt idx="11">
                  <c:v>8.4475827939685811E-4</c:v>
                </c:pt>
                <c:pt idx="12">
                  <c:v>5.1106485819296162E-3</c:v>
                </c:pt>
                <c:pt idx="13">
                  <c:v>2.6516828568892144E-3</c:v>
                </c:pt>
                <c:pt idx="14">
                  <c:v>1.1292608032774572E-2</c:v>
                </c:pt>
                <c:pt idx="15">
                  <c:v>0.10085427478316006</c:v>
                </c:pt>
                <c:pt idx="16">
                  <c:v>3.3524903009947905E-2</c:v>
                </c:pt>
                <c:pt idx="17">
                  <c:v>0.36669377099951034</c:v>
                </c:pt>
                <c:pt idx="18">
                  <c:v>2.7556927406962271E-2</c:v>
                </c:pt>
                <c:pt idx="19">
                  <c:v>6.3820094467553995E-4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41-46D6-AF6A-DBC132FF92D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calibration!$AN$3:$AN$23</c:f>
              <c:numCache>
                <c:formatCode>General</c:formatCode>
                <c:ptCount val="21"/>
                <c:pt idx="0">
                  <c:v>0.45468896574799406</c:v>
                </c:pt>
                <c:pt idx="1">
                  <c:v>9.3174888674376594E-2</c:v>
                </c:pt>
                <c:pt idx="2">
                  <c:v>0.16184374067689741</c:v>
                </c:pt>
                <c:pt idx="3">
                  <c:v>0.301275027527036</c:v>
                </c:pt>
                <c:pt idx="4">
                  <c:v>0.31914877179059647</c:v>
                </c:pt>
                <c:pt idx="5">
                  <c:v>0.13976164803658225</c:v>
                </c:pt>
                <c:pt idx="6">
                  <c:v>0.1129352677519794</c:v>
                </c:pt>
                <c:pt idx="7">
                  <c:v>3.6744363390773881E-2</c:v>
                </c:pt>
                <c:pt idx="8">
                  <c:v>2.181143934471717E-2</c:v>
                </c:pt>
                <c:pt idx="9">
                  <c:v>1.9184645341271407E-2</c:v>
                </c:pt>
                <c:pt idx="10">
                  <c:v>5.9377387251559636E-3</c:v>
                </c:pt>
                <c:pt idx="11">
                  <c:v>8.4475827939685811E-4</c:v>
                </c:pt>
                <c:pt idx="12">
                  <c:v>5.1106485819296162E-3</c:v>
                </c:pt>
                <c:pt idx="13">
                  <c:v>2.6516828568892144E-3</c:v>
                </c:pt>
                <c:pt idx="14">
                  <c:v>1.1292608032774572E-2</c:v>
                </c:pt>
                <c:pt idx="15">
                  <c:v>0.10085427478316006</c:v>
                </c:pt>
                <c:pt idx="16">
                  <c:v>3.3524903009947905E-2</c:v>
                </c:pt>
                <c:pt idx="17">
                  <c:v>0.36669377099951034</c:v>
                </c:pt>
                <c:pt idx="18">
                  <c:v>2.7556927406962271E-2</c:v>
                </c:pt>
                <c:pt idx="19">
                  <c:v>6.3820094467553995E-4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41-46D6-AF6A-DBC132FF9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6E-45EA-AA79-F9321E0B30C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6E-45EA-AA79-F9321E0B3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40-4D12-959C-8476D2C4DE7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40-4D12-959C-8476D2C4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3-461F-9ECF-1CA71720356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43-461F-9ECF-1CA717203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541320618550701E-2"/>
                  <c:y val="0.229080442543510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calibration!$AT$3:$AT$23</c:f>
              <c:numCache>
                <c:formatCode>0.000</c:formatCode>
                <c:ptCount val="21"/>
                <c:pt idx="0">
                  <c:v>1.4468923365547266</c:v>
                </c:pt>
                <c:pt idx="1">
                  <c:v>1.9645460359067055</c:v>
                </c:pt>
                <c:pt idx="2">
                  <c:v>1.7464473737122201</c:v>
                </c:pt>
                <c:pt idx="3">
                  <c:v>0.78389653088074351</c:v>
                </c:pt>
                <c:pt idx="4">
                  <c:v>1.0732196390279007</c:v>
                </c:pt>
                <c:pt idx="5">
                  <c:v>3.7339406361589802</c:v>
                </c:pt>
                <c:pt idx="6">
                  <c:v>0.98880543278869759</c:v>
                </c:pt>
                <c:pt idx="7">
                  <c:v>1.745087358933191</c:v>
                </c:pt>
                <c:pt idx="8">
                  <c:v>1.0600554625542427</c:v>
                </c:pt>
                <c:pt idx="9">
                  <c:v>1.3409429582563779</c:v>
                </c:pt>
                <c:pt idx="10">
                  <c:v>1.0666511846956803</c:v>
                </c:pt>
                <c:pt idx="11">
                  <c:v>1.0451637822074338</c:v>
                </c:pt>
                <c:pt idx="12">
                  <c:v>1.2168099069845921</c:v>
                </c:pt>
                <c:pt idx="13">
                  <c:v>1.1720351257778141</c:v>
                </c:pt>
                <c:pt idx="14">
                  <c:v>1.5277727134426444</c:v>
                </c:pt>
                <c:pt idx="15">
                  <c:v>3.0093437165495409</c:v>
                </c:pt>
                <c:pt idx="16">
                  <c:v>2.2479156103541662</c:v>
                </c:pt>
                <c:pt idx="17">
                  <c:v>3.082972473599304</c:v>
                </c:pt>
                <c:pt idx="18">
                  <c:v>3.4968054946291187</c:v>
                </c:pt>
                <c:pt idx="19">
                  <c:v>1.0529846463540762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0E-436B-BAEA-B62C351E0D8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calibration!$AT$3:$AT$23</c:f>
              <c:numCache>
                <c:formatCode>0.000</c:formatCode>
                <c:ptCount val="21"/>
                <c:pt idx="0">
                  <c:v>1.4468923365547266</c:v>
                </c:pt>
                <c:pt idx="1">
                  <c:v>1.9645460359067055</c:v>
                </c:pt>
                <c:pt idx="2">
                  <c:v>1.7464473737122201</c:v>
                </c:pt>
                <c:pt idx="3">
                  <c:v>0.78389653088074351</c:v>
                </c:pt>
                <c:pt idx="4">
                  <c:v>1.0732196390279007</c:v>
                </c:pt>
                <c:pt idx="5">
                  <c:v>3.7339406361589802</c:v>
                </c:pt>
                <c:pt idx="6">
                  <c:v>0.98880543278869759</c:v>
                </c:pt>
                <c:pt idx="7">
                  <c:v>1.745087358933191</c:v>
                </c:pt>
                <c:pt idx="8">
                  <c:v>1.0600554625542427</c:v>
                </c:pt>
                <c:pt idx="9">
                  <c:v>1.3409429582563779</c:v>
                </c:pt>
                <c:pt idx="10">
                  <c:v>1.0666511846956803</c:v>
                </c:pt>
                <c:pt idx="11">
                  <c:v>1.0451637822074338</c:v>
                </c:pt>
                <c:pt idx="12">
                  <c:v>1.2168099069845921</c:v>
                </c:pt>
                <c:pt idx="13">
                  <c:v>1.1720351257778141</c:v>
                </c:pt>
                <c:pt idx="14">
                  <c:v>1.5277727134426444</c:v>
                </c:pt>
                <c:pt idx="15">
                  <c:v>3.0093437165495409</c:v>
                </c:pt>
                <c:pt idx="16">
                  <c:v>2.2479156103541662</c:v>
                </c:pt>
                <c:pt idx="17">
                  <c:v>3.082972473599304</c:v>
                </c:pt>
                <c:pt idx="18">
                  <c:v>3.4968054946291187</c:v>
                </c:pt>
                <c:pt idx="19">
                  <c:v>1.0529846463540762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0E-436B-BAEA-B62C351E0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calibration!$AR$3:$AR$23</c:f>
              <c:numCache>
                <c:formatCode>0.000</c:formatCode>
                <c:ptCount val="21"/>
                <c:pt idx="0">
                  <c:v>0.21860725874636291</c:v>
                </c:pt>
                <c:pt idx="1">
                  <c:v>0.14189653541302394</c:v>
                </c:pt>
                <c:pt idx="2">
                  <c:v>0.24122234379478344</c:v>
                </c:pt>
                <c:pt idx="3">
                  <c:v>0.5824343750129658</c:v>
                </c:pt>
                <c:pt idx="4">
                  <c:v>0.48849167783345676</c:v>
                </c:pt>
                <c:pt idx="5">
                  <c:v>5.3981734332999784E-2</c:v>
                </c:pt>
                <c:pt idx="6">
                  <c:v>0.52814647146254434</c:v>
                </c:pt>
                <c:pt idx="7">
                  <c:v>0.23415083792384675</c:v>
                </c:pt>
                <c:pt idx="8">
                  <c:v>0.62940063651772382</c:v>
                </c:pt>
                <c:pt idx="9">
                  <c:v>0.44621480044462636</c:v>
                </c:pt>
                <c:pt idx="10">
                  <c:v>0.47627426141062207</c:v>
                </c:pt>
                <c:pt idx="11">
                  <c:v>0.74694164189737378</c:v>
                </c:pt>
                <c:pt idx="12">
                  <c:v>0.33326080177464212</c:v>
                </c:pt>
                <c:pt idx="13">
                  <c:v>0.3777099687944907</c:v>
                </c:pt>
                <c:pt idx="14">
                  <c:v>0.17756157159376651</c:v>
                </c:pt>
                <c:pt idx="15">
                  <c:v>8.8733778858474693E-2</c:v>
                </c:pt>
                <c:pt idx="16">
                  <c:v>8.6973933034043799E-2</c:v>
                </c:pt>
                <c:pt idx="17">
                  <c:v>9.85202631555568E-2</c:v>
                </c:pt>
                <c:pt idx="18">
                  <c:v>2.5652585473776735E-2</c:v>
                </c:pt>
                <c:pt idx="19">
                  <c:v>0.20556411175749723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79-432D-B543-B9A158CCE9B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calibration!$AR$3:$AR$23</c:f>
              <c:numCache>
                <c:formatCode>0.000</c:formatCode>
                <c:ptCount val="21"/>
                <c:pt idx="0">
                  <c:v>0.21860725874636291</c:v>
                </c:pt>
                <c:pt idx="1">
                  <c:v>0.14189653541302394</c:v>
                </c:pt>
                <c:pt idx="2">
                  <c:v>0.24122234379478344</c:v>
                </c:pt>
                <c:pt idx="3">
                  <c:v>0.5824343750129658</c:v>
                </c:pt>
                <c:pt idx="4">
                  <c:v>0.48849167783345676</c:v>
                </c:pt>
                <c:pt idx="5">
                  <c:v>5.3981734332999784E-2</c:v>
                </c:pt>
                <c:pt idx="6">
                  <c:v>0.52814647146254434</c:v>
                </c:pt>
                <c:pt idx="7">
                  <c:v>0.23415083792384675</c:v>
                </c:pt>
                <c:pt idx="8">
                  <c:v>0.62940063651772382</c:v>
                </c:pt>
                <c:pt idx="9">
                  <c:v>0.44621480044462636</c:v>
                </c:pt>
                <c:pt idx="10">
                  <c:v>0.47627426141062207</c:v>
                </c:pt>
                <c:pt idx="11">
                  <c:v>0.74694164189737378</c:v>
                </c:pt>
                <c:pt idx="12">
                  <c:v>0.33326080177464212</c:v>
                </c:pt>
                <c:pt idx="13">
                  <c:v>0.3777099687944907</c:v>
                </c:pt>
                <c:pt idx="14">
                  <c:v>0.17756157159376651</c:v>
                </c:pt>
                <c:pt idx="15">
                  <c:v>8.8733778858474693E-2</c:v>
                </c:pt>
                <c:pt idx="16">
                  <c:v>8.6973933034043799E-2</c:v>
                </c:pt>
                <c:pt idx="17">
                  <c:v>9.85202631555568E-2</c:v>
                </c:pt>
                <c:pt idx="18">
                  <c:v>2.5652585473776735E-2</c:v>
                </c:pt>
                <c:pt idx="19">
                  <c:v>0.20556411175749723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79-432D-B543-B9A158CCE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calibration!$AS$3:$AS$23</c:f>
              <c:numCache>
                <c:formatCode>0.000</c:formatCode>
                <c:ptCount val="21"/>
                <c:pt idx="0">
                  <c:v>0.31630116739534875</c:v>
                </c:pt>
                <c:pt idx="1">
                  <c:v>0.27876227615455168</c:v>
                </c:pt>
                <c:pt idx="2">
                  <c:v>0.42128212880110583</c:v>
                </c:pt>
                <c:pt idx="3">
                  <c:v>0.45656828603835786</c:v>
                </c:pt>
                <c:pt idx="4">
                  <c:v>0.52425886215255613</c:v>
                </c:pt>
                <c:pt idx="5">
                  <c:v>0.20156459143632627</c:v>
                </c:pt>
                <c:pt idx="6">
                  <c:v>0.52223410029034467</c:v>
                </c:pt>
                <c:pt idx="7">
                  <c:v>0.40861366734451937</c:v>
                </c:pt>
                <c:pt idx="8">
                  <c:v>0.66719958287573045</c:v>
                </c:pt>
                <c:pt idx="9">
                  <c:v>0.59834859452599665</c:v>
                </c:pt>
                <c:pt idx="10">
                  <c:v>0.50801850517370029</c:v>
                </c:pt>
                <c:pt idx="11">
                  <c:v>0.78067635153368986</c:v>
                </c:pt>
                <c:pt idx="12">
                  <c:v>0.40551504520901288</c:v>
                </c:pt>
                <c:pt idx="13">
                  <c:v>0.44268935078358512</c:v>
                </c:pt>
                <c:pt idx="14">
                  <c:v>0.27127372403694905</c:v>
                </c:pt>
                <c:pt idx="15">
                  <c:v>0.26703043985344732</c:v>
                </c:pt>
                <c:pt idx="16">
                  <c:v>0.19551006176112495</c:v>
                </c:pt>
                <c:pt idx="17">
                  <c:v>0.30373525940034135</c:v>
                </c:pt>
                <c:pt idx="18">
                  <c:v>8.9702101836145604E-2</c:v>
                </c:pt>
                <c:pt idx="19">
                  <c:v>0.21645585352205798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3-4260-B0D9-7C6C5C503C6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calibration!$AS$3:$AS$23</c:f>
              <c:numCache>
                <c:formatCode>0.000</c:formatCode>
                <c:ptCount val="21"/>
                <c:pt idx="0">
                  <c:v>0.31630116739534875</c:v>
                </c:pt>
                <c:pt idx="1">
                  <c:v>0.27876227615455168</c:v>
                </c:pt>
                <c:pt idx="2">
                  <c:v>0.42128212880110583</c:v>
                </c:pt>
                <c:pt idx="3">
                  <c:v>0.45656828603835786</c:v>
                </c:pt>
                <c:pt idx="4">
                  <c:v>0.52425886215255613</c:v>
                </c:pt>
                <c:pt idx="5">
                  <c:v>0.20156459143632627</c:v>
                </c:pt>
                <c:pt idx="6">
                  <c:v>0.52223410029034467</c:v>
                </c:pt>
                <c:pt idx="7">
                  <c:v>0.40861366734451937</c:v>
                </c:pt>
                <c:pt idx="8">
                  <c:v>0.66719958287573045</c:v>
                </c:pt>
                <c:pt idx="9">
                  <c:v>0.59834859452599665</c:v>
                </c:pt>
                <c:pt idx="10">
                  <c:v>0.50801850517370029</c:v>
                </c:pt>
                <c:pt idx="11">
                  <c:v>0.78067635153368986</c:v>
                </c:pt>
                <c:pt idx="12">
                  <c:v>0.40551504520901288</c:v>
                </c:pt>
                <c:pt idx="13">
                  <c:v>0.44268935078358512</c:v>
                </c:pt>
                <c:pt idx="14">
                  <c:v>0.27127372403694905</c:v>
                </c:pt>
                <c:pt idx="15">
                  <c:v>0.26703043985344732</c:v>
                </c:pt>
                <c:pt idx="16">
                  <c:v>0.19551006176112495</c:v>
                </c:pt>
                <c:pt idx="17">
                  <c:v>0.30373525940034135</c:v>
                </c:pt>
                <c:pt idx="18">
                  <c:v>8.9702101836145604E-2</c:v>
                </c:pt>
                <c:pt idx="19">
                  <c:v>0.21645585352205798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3-4260-B0D9-7C6C5C503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Ch6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calibration!$BA$3:$BA$23</c:f>
              <c:numCache>
                <c:formatCode>0.000000</c:formatCode>
                <c:ptCount val="21"/>
                <c:pt idx="0">
                  <c:v>1.8207238150363132E-3</c:v>
                </c:pt>
                <c:pt idx="1">
                  <c:v>1.4742361276493072E-4</c:v>
                </c:pt>
                <c:pt idx="2">
                  <c:v>3.6987167073013237E-4</c:v>
                </c:pt>
                <c:pt idx="3">
                  <c:v>6.9835699924031681E-4</c:v>
                </c:pt>
                <c:pt idx="4">
                  <c:v>9.0105684124097045E-4</c:v>
                </c:pt>
                <c:pt idx="5">
                  <c:v>6.913803619169386E-4</c:v>
                </c:pt>
                <c:pt idx="6">
                  <c:v>8.0285061388412523E-5</c:v>
                </c:pt>
                <c:pt idx="15">
                  <c:v>5.2660054790256215E-5</c:v>
                </c:pt>
                <c:pt idx="16">
                  <c:v>8.3022729956097811E-5</c:v>
                </c:pt>
                <c:pt idx="17">
                  <c:v>1.6394029560580711E-3</c:v>
                </c:pt>
                <c:pt idx="18">
                  <c:v>1.140334715236959E-4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51-4147-A6E1-B847D98D01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calibration!$BA$3:$BA$23</c:f>
              <c:numCache>
                <c:formatCode>0.000000</c:formatCode>
                <c:ptCount val="21"/>
                <c:pt idx="0">
                  <c:v>1.8207238150363132E-3</c:v>
                </c:pt>
                <c:pt idx="1">
                  <c:v>1.4742361276493072E-4</c:v>
                </c:pt>
                <c:pt idx="2">
                  <c:v>3.6987167073013237E-4</c:v>
                </c:pt>
                <c:pt idx="3">
                  <c:v>6.9835699924031681E-4</c:v>
                </c:pt>
                <c:pt idx="4">
                  <c:v>9.0105684124097045E-4</c:v>
                </c:pt>
                <c:pt idx="5">
                  <c:v>6.913803619169386E-4</c:v>
                </c:pt>
                <c:pt idx="6">
                  <c:v>8.0285061388412523E-5</c:v>
                </c:pt>
                <c:pt idx="15">
                  <c:v>5.2660054790256215E-5</c:v>
                </c:pt>
                <c:pt idx="16">
                  <c:v>8.3022729956097811E-5</c:v>
                </c:pt>
                <c:pt idx="17">
                  <c:v>1.6394029560580711E-3</c:v>
                </c:pt>
                <c:pt idx="18">
                  <c:v>1.140334715236959E-4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51-4147-A6E1-B847D98D0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Ch5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calibration!$BB$3:$BB$23</c:f>
              <c:numCache>
                <c:formatCode>0.000000</c:formatCode>
                <c:ptCount val="21"/>
                <c:pt idx="0">
                  <c:v>1.3595731882182523E-2</c:v>
                </c:pt>
                <c:pt idx="1">
                  <c:v>1.5653941384754174E-3</c:v>
                </c:pt>
                <c:pt idx="2">
                  <c:v>7.9172145055472695E-3</c:v>
                </c:pt>
                <c:pt idx="3">
                  <c:v>1.3185769947201612E-2</c:v>
                </c:pt>
                <c:pt idx="4">
                  <c:v>1.279569555756015E-2</c:v>
                </c:pt>
                <c:pt idx="5">
                  <c:v>9.8507558094203581E-3</c:v>
                </c:pt>
                <c:pt idx="6">
                  <c:v>2.9618387416505579E-3</c:v>
                </c:pt>
                <c:pt idx="7">
                  <c:v>5.7291188973186062E-4</c:v>
                </c:pt>
                <c:pt idx="14">
                  <c:v>1.3396305149770212E-4</c:v>
                </c:pt>
                <c:pt idx="15">
                  <c:v>3.1872428437725985E-3</c:v>
                </c:pt>
                <c:pt idx="16">
                  <c:v>1.0595779053355556E-3</c:v>
                </c:pt>
                <c:pt idx="17">
                  <c:v>2.533750009233569E-2</c:v>
                </c:pt>
                <c:pt idx="18">
                  <c:v>1.2469509770945588E-3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6-4D25-B969-1301F7359E4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calibration!$BB$3:$BB$23</c:f>
              <c:numCache>
                <c:formatCode>0.000000</c:formatCode>
                <c:ptCount val="21"/>
                <c:pt idx="0">
                  <c:v>1.3595731882182523E-2</c:v>
                </c:pt>
                <c:pt idx="1">
                  <c:v>1.5653941384754174E-3</c:v>
                </c:pt>
                <c:pt idx="2">
                  <c:v>7.9172145055472695E-3</c:v>
                </c:pt>
                <c:pt idx="3">
                  <c:v>1.3185769947201612E-2</c:v>
                </c:pt>
                <c:pt idx="4">
                  <c:v>1.279569555756015E-2</c:v>
                </c:pt>
                <c:pt idx="5">
                  <c:v>9.8507558094203581E-3</c:v>
                </c:pt>
                <c:pt idx="6">
                  <c:v>2.9618387416505579E-3</c:v>
                </c:pt>
                <c:pt idx="7">
                  <c:v>5.7291188973186062E-4</c:v>
                </c:pt>
                <c:pt idx="14">
                  <c:v>1.3396305149770212E-4</c:v>
                </c:pt>
                <c:pt idx="15">
                  <c:v>3.1872428437725985E-3</c:v>
                </c:pt>
                <c:pt idx="16">
                  <c:v>1.0595779053355556E-3</c:v>
                </c:pt>
                <c:pt idx="17">
                  <c:v>2.533750009233569E-2</c:v>
                </c:pt>
                <c:pt idx="18">
                  <c:v>1.2469509770945588E-3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86-4D25-B969-1301F735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Ch4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calibration!$BC$3:$BC$23</c:f>
              <c:numCache>
                <c:formatCode>0.000000</c:formatCode>
                <c:ptCount val="21"/>
                <c:pt idx="0">
                  <c:v>0.27157622493165545</c:v>
                </c:pt>
                <c:pt idx="1">
                  <c:v>2.4928273110192231E-2</c:v>
                </c:pt>
                <c:pt idx="2">
                  <c:v>7.1314268782948373E-2</c:v>
                </c:pt>
                <c:pt idx="3">
                  <c:v>0.14137896816355472</c:v>
                </c:pt>
                <c:pt idx="4">
                  <c:v>0.14989243367427635</c:v>
                </c:pt>
                <c:pt idx="5">
                  <c:v>8.4606287463909344E-2</c:v>
                </c:pt>
                <c:pt idx="6">
                  <c:v>2.9939799712359102E-2</c:v>
                </c:pt>
                <c:pt idx="7">
                  <c:v>8.8684191608701911E-3</c:v>
                </c:pt>
                <c:pt idx="8">
                  <c:v>2.8586148488777556E-3</c:v>
                </c:pt>
                <c:pt idx="9">
                  <c:v>2.4378441184649468E-3</c:v>
                </c:pt>
                <c:pt idx="10">
                  <c:v>6.9100157689060691E-4</c:v>
                </c:pt>
                <c:pt idx="12">
                  <c:v>9.0266449333367574E-4</c:v>
                </c:pt>
                <c:pt idx="13">
                  <c:v>3.8922699090874552E-4</c:v>
                </c:pt>
                <c:pt idx="14">
                  <c:v>2.2232297425665896E-3</c:v>
                </c:pt>
                <c:pt idx="15">
                  <c:v>4.2795587014884444E-2</c:v>
                </c:pt>
                <c:pt idx="16">
                  <c:v>1.1498414924353792E-2</c:v>
                </c:pt>
                <c:pt idx="17">
                  <c:v>0.26356734157705508</c:v>
                </c:pt>
                <c:pt idx="18">
                  <c:v>1.4634773420707379E-2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EA-42A5-9E26-E385C36AD2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calibration!$BC$3:$BC$23</c:f>
              <c:numCache>
                <c:formatCode>0.000000</c:formatCode>
                <c:ptCount val="21"/>
                <c:pt idx="0">
                  <c:v>0.27157622493165545</c:v>
                </c:pt>
                <c:pt idx="1">
                  <c:v>2.4928273110192231E-2</c:v>
                </c:pt>
                <c:pt idx="2">
                  <c:v>7.1314268782948373E-2</c:v>
                </c:pt>
                <c:pt idx="3">
                  <c:v>0.14137896816355472</c:v>
                </c:pt>
                <c:pt idx="4">
                  <c:v>0.14989243367427635</c:v>
                </c:pt>
                <c:pt idx="5">
                  <c:v>8.4606287463909344E-2</c:v>
                </c:pt>
                <c:pt idx="6">
                  <c:v>2.9939799712359102E-2</c:v>
                </c:pt>
                <c:pt idx="7">
                  <c:v>8.8684191608701911E-3</c:v>
                </c:pt>
                <c:pt idx="8">
                  <c:v>2.8586148488777556E-3</c:v>
                </c:pt>
                <c:pt idx="9">
                  <c:v>2.4378441184649468E-3</c:v>
                </c:pt>
                <c:pt idx="10">
                  <c:v>6.9100157689060691E-4</c:v>
                </c:pt>
                <c:pt idx="12">
                  <c:v>9.0266449333367574E-4</c:v>
                </c:pt>
                <c:pt idx="13">
                  <c:v>3.8922699090874552E-4</c:v>
                </c:pt>
                <c:pt idx="14">
                  <c:v>2.2232297425665896E-3</c:v>
                </c:pt>
                <c:pt idx="15">
                  <c:v>4.2795587014884444E-2</c:v>
                </c:pt>
                <c:pt idx="16">
                  <c:v>1.1498414924353792E-2</c:v>
                </c:pt>
                <c:pt idx="17">
                  <c:v>0.26356734157705508</c:v>
                </c:pt>
                <c:pt idx="18">
                  <c:v>1.4634773420707379E-2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EA-42A5-9E26-E385C36AD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Ch3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calibration!$BD$3:$BD$23</c:f>
              <c:numCache>
                <c:formatCode>0.000000</c:formatCode>
                <c:ptCount val="21"/>
                <c:pt idx="0">
                  <c:v>2.653189713845872</c:v>
                </c:pt>
                <c:pt idx="1">
                  <c:v>0.27603160920571362</c:v>
                </c:pt>
                <c:pt idx="2">
                  <c:v>0.8074245362077126</c:v>
                </c:pt>
                <c:pt idx="3">
                  <c:v>1.2119294228748561</c:v>
                </c:pt>
                <c:pt idx="4">
                  <c:v>1.1982766392565218</c:v>
                </c:pt>
                <c:pt idx="5">
                  <c:v>0.4905394557709713</c:v>
                </c:pt>
                <c:pt idx="6">
                  <c:v>0.20930256111477435</c:v>
                </c:pt>
                <c:pt idx="7">
                  <c:v>6.9171066217892055E-2</c:v>
                </c:pt>
                <c:pt idx="8">
                  <c:v>5.431368212867746E-2</c:v>
                </c:pt>
                <c:pt idx="9">
                  <c:v>3.7166744589754337E-2</c:v>
                </c:pt>
                <c:pt idx="10">
                  <c:v>1.2333836441003014E-2</c:v>
                </c:pt>
                <c:pt idx="11">
                  <c:v>3.8660650791375421E-3</c:v>
                </c:pt>
                <c:pt idx="12">
                  <c:v>1.594854842025039E-2</c:v>
                </c:pt>
                <c:pt idx="13">
                  <c:v>8.1462471518383098E-3</c:v>
                </c:pt>
                <c:pt idx="14">
                  <c:v>2.2544421625052324E-2</c:v>
                </c:pt>
                <c:pt idx="15">
                  <c:v>0.2639315208580415</c:v>
                </c:pt>
                <c:pt idx="16">
                  <c:v>9.1782118936434981E-2</c:v>
                </c:pt>
                <c:pt idx="17">
                  <c:v>2.3398999957462618</c:v>
                </c:pt>
                <c:pt idx="18">
                  <c:v>0.10107115599242855</c:v>
                </c:pt>
                <c:pt idx="19">
                  <c:v>2.4994925843965211E-3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25-471D-9296-C341269C16E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calibration!$BD$3:$BD$23</c:f>
              <c:numCache>
                <c:formatCode>0.000000</c:formatCode>
                <c:ptCount val="21"/>
                <c:pt idx="0">
                  <c:v>2.653189713845872</c:v>
                </c:pt>
                <c:pt idx="1">
                  <c:v>0.27603160920571362</c:v>
                </c:pt>
                <c:pt idx="2">
                  <c:v>0.8074245362077126</c:v>
                </c:pt>
                <c:pt idx="3">
                  <c:v>1.2119294228748561</c:v>
                </c:pt>
                <c:pt idx="4">
                  <c:v>1.1982766392565218</c:v>
                </c:pt>
                <c:pt idx="5">
                  <c:v>0.4905394557709713</c:v>
                </c:pt>
                <c:pt idx="6">
                  <c:v>0.20930256111477435</c:v>
                </c:pt>
                <c:pt idx="7">
                  <c:v>6.9171066217892055E-2</c:v>
                </c:pt>
                <c:pt idx="8">
                  <c:v>5.431368212867746E-2</c:v>
                </c:pt>
                <c:pt idx="9">
                  <c:v>3.7166744589754337E-2</c:v>
                </c:pt>
                <c:pt idx="10">
                  <c:v>1.2333836441003014E-2</c:v>
                </c:pt>
                <c:pt idx="11">
                  <c:v>3.8660650791375421E-3</c:v>
                </c:pt>
                <c:pt idx="12">
                  <c:v>1.594854842025039E-2</c:v>
                </c:pt>
                <c:pt idx="13">
                  <c:v>8.1462471518383098E-3</c:v>
                </c:pt>
                <c:pt idx="14">
                  <c:v>2.2544421625052324E-2</c:v>
                </c:pt>
                <c:pt idx="15">
                  <c:v>0.2639315208580415</c:v>
                </c:pt>
                <c:pt idx="16">
                  <c:v>9.1782118936434981E-2</c:v>
                </c:pt>
                <c:pt idx="17">
                  <c:v>2.3398999957462618</c:v>
                </c:pt>
                <c:pt idx="18">
                  <c:v>0.10107115599242855</c:v>
                </c:pt>
                <c:pt idx="19">
                  <c:v>2.4994925843965211E-3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25-471D-9296-C341269C1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Ch2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calibration!$BE$3:$BE$23</c:f>
              <c:numCache>
                <c:formatCode>0.000000</c:formatCode>
                <c:ptCount val="21"/>
                <c:pt idx="0">
                  <c:v>24.280705866104647</c:v>
                </c:pt>
                <c:pt idx="1">
                  <c:v>3.30347225336845</c:v>
                </c:pt>
                <c:pt idx="2">
                  <c:v>8.2572306069583874</c:v>
                </c:pt>
                <c:pt idx="3">
                  <c:v>8.8085170177106527</c:v>
                </c:pt>
                <c:pt idx="4">
                  <c:v>15.030809882712923</c:v>
                </c:pt>
                <c:pt idx="5">
                  <c:v>6.6475528672963282</c:v>
                </c:pt>
                <c:pt idx="6">
                  <c:v>3.703045312030619</c:v>
                </c:pt>
                <c:pt idx="7">
                  <c:v>1.3631096639136489</c:v>
                </c:pt>
                <c:pt idx="8">
                  <c:v>0.93033382443093693</c:v>
                </c:pt>
                <c:pt idx="9">
                  <c:v>0.64161538028628318</c:v>
                </c:pt>
                <c:pt idx="10">
                  <c:v>0.45277814259728422</c:v>
                </c:pt>
                <c:pt idx="11">
                  <c:v>0.24479902187834415</c:v>
                </c:pt>
                <c:pt idx="12">
                  <c:v>0.49363752766993313</c:v>
                </c:pt>
                <c:pt idx="13">
                  <c:v>0.28919715578759758</c:v>
                </c:pt>
                <c:pt idx="14">
                  <c:v>0.58748108820927669</c:v>
                </c:pt>
                <c:pt idx="15">
                  <c:v>3.331303284506133</c:v>
                </c:pt>
                <c:pt idx="16">
                  <c:v>1.4373719980174464</c:v>
                </c:pt>
                <c:pt idx="17">
                  <c:v>15.04628420027689</c:v>
                </c:pt>
                <c:pt idx="18">
                  <c:v>0.85066727643562667</c:v>
                </c:pt>
                <c:pt idx="19">
                  <c:v>0.10697483054143762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41-4792-BC7F-FED4A6648BA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calibration!$BE$3:$BE$23</c:f>
              <c:numCache>
                <c:formatCode>0.000000</c:formatCode>
                <c:ptCount val="21"/>
                <c:pt idx="0">
                  <c:v>24.280705866104647</c:v>
                </c:pt>
                <c:pt idx="1">
                  <c:v>3.30347225336845</c:v>
                </c:pt>
                <c:pt idx="2">
                  <c:v>8.2572306069583874</c:v>
                </c:pt>
                <c:pt idx="3">
                  <c:v>8.8085170177106527</c:v>
                </c:pt>
                <c:pt idx="4">
                  <c:v>15.030809882712923</c:v>
                </c:pt>
                <c:pt idx="5">
                  <c:v>6.6475528672963282</c:v>
                </c:pt>
                <c:pt idx="6">
                  <c:v>3.703045312030619</c:v>
                </c:pt>
                <c:pt idx="7">
                  <c:v>1.3631096639136489</c:v>
                </c:pt>
                <c:pt idx="8">
                  <c:v>0.93033382443093693</c:v>
                </c:pt>
                <c:pt idx="9">
                  <c:v>0.64161538028628318</c:v>
                </c:pt>
                <c:pt idx="10">
                  <c:v>0.45277814259728422</c:v>
                </c:pt>
                <c:pt idx="11">
                  <c:v>0.24479902187834415</c:v>
                </c:pt>
                <c:pt idx="12">
                  <c:v>0.49363752766993313</c:v>
                </c:pt>
                <c:pt idx="13">
                  <c:v>0.28919715578759758</c:v>
                </c:pt>
                <c:pt idx="14">
                  <c:v>0.58748108820927669</c:v>
                </c:pt>
                <c:pt idx="15">
                  <c:v>3.331303284506133</c:v>
                </c:pt>
                <c:pt idx="16">
                  <c:v>1.4373719980174464</c:v>
                </c:pt>
                <c:pt idx="17">
                  <c:v>15.04628420027689</c:v>
                </c:pt>
                <c:pt idx="18">
                  <c:v>0.85066727643562667</c:v>
                </c:pt>
                <c:pt idx="19">
                  <c:v>0.10697483054143762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41-4792-BC7F-FED4A6648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Ch1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calibration!$BF$3:$BF$23</c:f>
              <c:numCache>
                <c:formatCode>0.000000</c:formatCode>
                <c:ptCount val="21"/>
                <c:pt idx="0">
                  <c:v>157.2617903115916</c:v>
                </c:pt>
                <c:pt idx="1">
                  <c:v>35.559669478934083</c:v>
                </c:pt>
                <c:pt idx="2">
                  <c:v>70.365965172340893</c:v>
                </c:pt>
                <c:pt idx="3">
                  <c:v>94.981899525658974</c:v>
                </c:pt>
                <c:pt idx="4">
                  <c:v>104.05229380107126</c:v>
                </c:pt>
                <c:pt idx="5">
                  <c:v>65.833367930862963</c:v>
                </c:pt>
                <c:pt idx="6">
                  <c:v>40.486628744867993</c:v>
                </c:pt>
                <c:pt idx="7">
                  <c:v>16.253624582070231</c:v>
                </c:pt>
                <c:pt idx="8">
                  <c:v>11.231666534948083</c:v>
                </c:pt>
                <c:pt idx="9">
                  <c:v>9.6085815486775505</c:v>
                </c:pt>
                <c:pt idx="10">
                  <c:v>5.701871700187227</c:v>
                </c:pt>
                <c:pt idx="11">
                  <c:v>3.6902539118974436</c:v>
                </c:pt>
                <c:pt idx="12">
                  <c:v>5.9715282193383086</c:v>
                </c:pt>
                <c:pt idx="13">
                  <c:v>4.1665812444953874</c:v>
                </c:pt>
                <c:pt idx="14">
                  <c:v>8.136359534854039</c:v>
                </c:pt>
                <c:pt idx="15">
                  <c:v>33.183912562715946</c:v>
                </c:pt>
                <c:pt idx="16">
                  <c:v>16.705871602931776</c:v>
                </c:pt>
                <c:pt idx="17">
                  <c:v>133.36412060539811</c:v>
                </c:pt>
                <c:pt idx="18">
                  <c:v>10.412379206370238</c:v>
                </c:pt>
                <c:pt idx="19">
                  <c:v>2.149887420675606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C-41AE-AA5B-C5A0B17E6EA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calibration!$BF$3:$BF$23</c:f>
              <c:numCache>
                <c:formatCode>0.000000</c:formatCode>
                <c:ptCount val="21"/>
                <c:pt idx="0">
                  <c:v>157.2617903115916</c:v>
                </c:pt>
                <c:pt idx="1">
                  <c:v>35.559669478934083</c:v>
                </c:pt>
                <c:pt idx="2">
                  <c:v>70.365965172340893</c:v>
                </c:pt>
                <c:pt idx="3">
                  <c:v>94.981899525658974</c:v>
                </c:pt>
                <c:pt idx="4">
                  <c:v>104.05229380107126</c:v>
                </c:pt>
                <c:pt idx="5">
                  <c:v>65.833367930862963</c:v>
                </c:pt>
                <c:pt idx="6">
                  <c:v>40.486628744867993</c:v>
                </c:pt>
                <c:pt idx="7">
                  <c:v>16.253624582070231</c:v>
                </c:pt>
                <c:pt idx="8">
                  <c:v>11.231666534948083</c:v>
                </c:pt>
                <c:pt idx="9">
                  <c:v>9.6085815486775505</c:v>
                </c:pt>
                <c:pt idx="10">
                  <c:v>5.701871700187227</c:v>
                </c:pt>
                <c:pt idx="11">
                  <c:v>3.6902539118974436</c:v>
                </c:pt>
                <c:pt idx="12">
                  <c:v>5.9715282193383086</c:v>
                </c:pt>
                <c:pt idx="13">
                  <c:v>4.1665812444953874</c:v>
                </c:pt>
                <c:pt idx="14">
                  <c:v>8.136359534854039</c:v>
                </c:pt>
                <c:pt idx="15">
                  <c:v>33.183912562715946</c:v>
                </c:pt>
                <c:pt idx="16">
                  <c:v>16.705871602931776</c:v>
                </c:pt>
                <c:pt idx="17">
                  <c:v>133.36412060539811</c:v>
                </c:pt>
                <c:pt idx="18">
                  <c:v>10.412379206370238</c:v>
                </c:pt>
                <c:pt idx="19">
                  <c:v>2.149887420675606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AC-41AE-AA5B-C5A0B17E6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3-4390-8FAE-A72D1997182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23-4390-8FAE-A72D1997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Max Amp -</a:t>
            </a:r>
            <a:r>
              <a:rPr lang="en-US" baseline="0"/>
              <a:t> </a:t>
            </a:r>
            <a:r>
              <a:rPr lang="en-US"/>
              <a:t>Final!! </a:t>
            </a:r>
          </a:p>
        </c:rich>
      </c:tx>
      <c:layout>
        <c:manualLayout>
          <c:xMode val="edge"/>
          <c:yMode val="edge"/>
          <c:x val="0.25892209574907377"/>
          <c:y val="4.5329273931944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2B-4025-AB24-935421DC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 Amplitude Based 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validation!$C$28</c:f>
              <c:strCache>
                <c:ptCount val="1"/>
                <c:pt idx="0">
                  <c:v>Max Amp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validation!$C$29:$C$49</c:f>
              <c:numCache>
                <c:formatCode>0.00</c:formatCode>
                <c:ptCount val="21"/>
                <c:pt idx="0">
                  <c:v>142.60831146005137</c:v>
                </c:pt>
                <c:pt idx="1">
                  <c:v>99.702281630840119</c:v>
                </c:pt>
                <c:pt idx="2">
                  <c:v>80.494299517891292</c:v>
                </c:pt>
                <c:pt idx="3">
                  <c:v>108.52826698393112</c:v>
                </c:pt>
                <c:pt idx="4">
                  <c:v>51.711320397363707</c:v>
                </c:pt>
                <c:pt idx="5">
                  <c:v>110.07828843908854</c:v>
                </c:pt>
                <c:pt idx="6">
                  <c:v>28.138895212995983</c:v>
                </c:pt>
                <c:pt idx="7">
                  <c:v>43.154717980702401</c:v>
                </c:pt>
                <c:pt idx="8">
                  <c:v>45.758265516180927</c:v>
                </c:pt>
                <c:pt idx="9">
                  <c:v>35.608707540523334</c:v>
                </c:pt>
                <c:pt idx="10">
                  <c:v>18.385700320150519</c:v>
                </c:pt>
                <c:pt idx="11">
                  <c:v>21.41250921689856</c:v>
                </c:pt>
                <c:pt idx="12">
                  <c:v>44.21810982361545</c:v>
                </c:pt>
                <c:pt idx="13">
                  <c:v>56.991450556743601</c:v>
                </c:pt>
                <c:pt idx="14">
                  <c:v>39.729031757563774</c:v>
                </c:pt>
                <c:pt idx="15">
                  <c:v>122.90534144639936</c:v>
                </c:pt>
                <c:pt idx="16">
                  <c:v>62.934080327892111</c:v>
                </c:pt>
                <c:pt idx="17">
                  <c:v>82.301765378972704</c:v>
                </c:pt>
                <c:pt idx="18">
                  <c:v>103.79561762782475</c:v>
                </c:pt>
                <c:pt idx="19">
                  <c:v>43.710102746187239</c:v>
                </c:pt>
                <c:pt idx="20">
                  <c:v>123.75831894928878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2-4E5F-9E53-C5D60AD46CF2}"/>
            </c:ext>
          </c:extLst>
        </c:ser>
        <c:ser>
          <c:idx val="1"/>
          <c:order val="1"/>
          <c:tx>
            <c:strRef>
              <c:f>validation!$M$28</c:f>
              <c:strCache>
                <c:ptCount val="1"/>
                <c:pt idx="0">
                  <c:v>Max*Mean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validation!$M$29:$M$49</c:f>
              <c:numCache>
                <c:formatCode>0.00</c:formatCode>
                <c:ptCount val="21"/>
                <c:pt idx="0">
                  <c:v>148.51264954109695</c:v>
                </c:pt>
                <c:pt idx="1">
                  <c:v>102.06933912439833</c:v>
                </c:pt>
                <c:pt idx="2">
                  <c:v>85.292131472281028</c:v>
                </c:pt>
                <c:pt idx="3">
                  <c:v>112.46258633271916</c:v>
                </c:pt>
                <c:pt idx="4">
                  <c:v>60.677327684459591</c:v>
                </c:pt>
                <c:pt idx="5">
                  <c:v>98.992268531121866</c:v>
                </c:pt>
                <c:pt idx="6">
                  <c:v>28.086060484113897</c:v>
                </c:pt>
                <c:pt idx="7">
                  <c:v>45.907042188380011</c:v>
                </c:pt>
                <c:pt idx="8">
                  <c:v>45.322803330337265</c:v>
                </c:pt>
                <c:pt idx="9">
                  <c:v>39.799314160287572</c:v>
                </c:pt>
                <c:pt idx="10">
                  <c:v>19.607181438968368</c:v>
                </c:pt>
                <c:pt idx="11">
                  <c:v>23.347499534220773</c:v>
                </c:pt>
                <c:pt idx="12">
                  <c:v>46.038254907884948</c:v>
                </c:pt>
                <c:pt idx="13">
                  <c:v>50.778205890389032</c:v>
                </c:pt>
                <c:pt idx="14">
                  <c:v>40.295260239584771</c:v>
                </c:pt>
                <c:pt idx="15">
                  <c:v>102.91199725897496</c:v>
                </c:pt>
                <c:pt idx="16">
                  <c:v>58.832968719528274</c:v>
                </c:pt>
                <c:pt idx="17">
                  <c:v>81.315610363652823</c:v>
                </c:pt>
                <c:pt idx="18">
                  <c:v>57.972240615240565</c:v>
                </c:pt>
                <c:pt idx="19">
                  <c:v>54.860309322942094</c:v>
                </c:pt>
                <c:pt idx="20">
                  <c:v>199.4251968063341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02-4E5F-9E53-C5D60AD46CF2}"/>
            </c:ext>
          </c:extLst>
        </c:ser>
        <c:ser>
          <c:idx val="2"/>
          <c:order val="2"/>
          <c:tx>
            <c:strRef>
              <c:f>validation!$N$28</c:f>
              <c:strCache>
                <c:ptCount val="1"/>
                <c:pt idx="0">
                  <c:v>Max*Med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validation!$N$29:$N$47</c:f>
              <c:numCache>
                <c:formatCode>0.00</c:formatCode>
                <c:ptCount val="19"/>
                <c:pt idx="0">
                  <c:v>110.58117716759436</c:v>
                </c:pt>
                <c:pt idx="1">
                  <c:v>94.836512436415049</c:v>
                </c:pt>
                <c:pt idx="2">
                  <c:v>64.555212382437986</c:v>
                </c:pt>
                <c:pt idx="3">
                  <c:v>95.122649124916435</c:v>
                </c:pt>
                <c:pt idx="4">
                  <c:v>59.81684128500595</c:v>
                </c:pt>
                <c:pt idx="5">
                  <c:v>83.599915485968992</c:v>
                </c:pt>
                <c:pt idx="6">
                  <c:v>29.908779346397502</c:v>
                </c:pt>
                <c:pt idx="7">
                  <c:v>45.539576890893976</c:v>
                </c:pt>
                <c:pt idx="8">
                  <c:v>40.378282611221621</c:v>
                </c:pt>
                <c:pt idx="9">
                  <c:v>42.833464874460979</c:v>
                </c:pt>
                <c:pt idx="10">
                  <c:v>20.209898403573217</c:v>
                </c:pt>
                <c:pt idx="11">
                  <c:v>24.850877167472145</c:v>
                </c:pt>
                <c:pt idx="12">
                  <c:v>45.653523329179976</c:v>
                </c:pt>
                <c:pt idx="13">
                  <c:v>45.55594040850918</c:v>
                </c:pt>
                <c:pt idx="14">
                  <c:v>40.195470850604011</c:v>
                </c:pt>
                <c:pt idx="15">
                  <c:v>80.105211136678733</c:v>
                </c:pt>
                <c:pt idx="16">
                  <c:v>58.43516419455667</c:v>
                </c:pt>
                <c:pt idx="17">
                  <c:v>82.06675104088508</c:v>
                </c:pt>
                <c:pt idx="18">
                  <c:v>60.642260994368897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02-4E5F-9E53-C5D60AD46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ED-4A9A-BB65-0196B2942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logBase val="10"/>
          <c:orientation val="minMax"/>
          <c:max val="150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logBase val="10"/>
          <c:orientation val="minMax"/>
          <c:max val="2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Amax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validation!$D$28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validation!$D$29:$D$49</c:f>
              <c:numCache>
                <c:formatCode>0.000</c:formatCode>
                <c:ptCount val="21"/>
                <c:pt idx="0">
                  <c:v>116.95068108498626</c:v>
                </c:pt>
                <c:pt idx="1">
                  <c:v>98.667109532910658</c:v>
                </c:pt>
                <c:pt idx="2">
                  <c:v>81.839656470222096</c:v>
                </c:pt>
                <c:pt idx="3">
                  <c:v>100.40951956926615</c:v>
                </c:pt>
                <c:pt idx="4">
                  <c:v>64.278148375633563</c:v>
                </c:pt>
                <c:pt idx="5">
                  <c:v>84.645419959614827</c:v>
                </c:pt>
                <c:pt idx="6">
                  <c:v>26.736932705849615</c:v>
                </c:pt>
                <c:pt idx="7">
                  <c:v>53.16003696048103</c:v>
                </c:pt>
                <c:pt idx="8">
                  <c:v>46.625545153582543</c:v>
                </c:pt>
                <c:pt idx="9">
                  <c:v>45.215301267981694</c:v>
                </c:pt>
                <c:pt idx="10">
                  <c:v>15.458241908347745</c:v>
                </c:pt>
                <c:pt idx="11">
                  <c:v>23.336350030250173</c:v>
                </c:pt>
                <c:pt idx="12">
                  <c:v>52.950371279609229</c:v>
                </c:pt>
                <c:pt idx="13">
                  <c:v>52.083412584564385</c:v>
                </c:pt>
                <c:pt idx="14">
                  <c:v>48.039697797790794</c:v>
                </c:pt>
                <c:pt idx="15">
                  <c:v>93.859595433595302</c:v>
                </c:pt>
                <c:pt idx="16">
                  <c:v>66.673723886903545</c:v>
                </c:pt>
                <c:pt idx="17">
                  <c:v>82.551125132717345</c:v>
                </c:pt>
                <c:pt idx="18">
                  <c:v>42.984318298384501</c:v>
                </c:pt>
                <c:pt idx="19">
                  <c:v>98.384492828301248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9E-456A-A305-3D3B59D10220}"/>
            </c:ext>
          </c:extLst>
        </c:ser>
        <c:ser>
          <c:idx val="1"/>
          <c:order val="1"/>
          <c:tx>
            <c:strRef>
              <c:f>validation!$E$28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validation!$E$29:$E$47</c:f>
              <c:numCache>
                <c:formatCode>0.000</c:formatCode>
                <c:ptCount val="19"/>
                <c:pt idx="0">
                  <c:v>115.20235701400605</c:v>
                </c:pt>
                <c:pt idx="1">
                  <c:v>82.464193841089326</c:v>
                </c:pt>
                <c:pt idx="2">
                  <c:v>80.096224013454005</c:v>
                </c:pt>
                <c:pt idx="3">
                  <c:v>107.31183736382886</c:v>
                </c:pt>
                <c:pt idx="4">
                  <c:v>64.292992001684325</c:v>
                </c:pt>
                <c:pt idx="5">
                  <c:v>98.930237776466655</c:v>
                </c:pt>
                <c:pt idx="6">
                  <c:v>28.10042237838346</c:v>
                </c:pt>
                <c:pt idx="7">
                  <c:v>47.762566472643172</c:v>
                </c:pt>
                <c:pt idx="8">
                  <c:v>46.738237285038721</c:v>
                </c:pt>
                <c:pt idx="9">
                  <c:v>43.135793875140585</c:v>
                </c:pt>
                <c:pt idx="10">
                  <c:v>16.910762054923712</c:v>
                </c:pt>
                <c:pt idx="11">
                  <c:v>21.579159215396679</c:v>
                </c:pt>
                <c:pt idx="12">
                  <c:v>52.065455706577225</c:v>
                </c:pt>
                <c:pt idx="13">
                  <c:v>56.677837419095475</c:v>
                </c:pt>
                <c:pt idx="14">
                  <c:v>44.539875444295852</c:v>
                </c:pt>
                <c:pt idx="15">
                  <c:v>110.89242834341546</c:v>
                </c:pt>
                <c:pt idx="16">
                  <c:v>66.462917937619366</c:v>
                </c:pt>
                <c:pt idx="17">
                  <c:v>88.309972427913436</c:v>
                </c:pt>
                <c:pt idx="18">
                  <c:v>67.830233196402276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9E-456A-A305-3D3B59D10220}"/>
            </c:ext>
          </c:extLst>
        </c:ser>
        <c:ser>
          <c:idx val="2"/>
          <c:order val="2"/>
          <c:tx>
            <c:strRef>
              <c:f>validation!$F$28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validation!$B$29:$B$52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  <c:pt idx="21">
                  <c:v>32</c:v>
                </c:pt>
                <c:pt idx="22">
                  <c:v>64</c:v>
                </c:pt>
                <c:pt idx="23">
                  <c:v>64</c:v>
                </c:pt>
              </c:numCache>
            </c:numRef>
          </c:xVal>
          <c:yVal>
            <c:numRef>
              <c:f>validation!$F$29:$F$52</c:f>
              <c:numCache>
                <c:formatCode>0.000</c:formatCode>
                <c:ptCount val="24"/>
                <c:pt idx="0">
                  <c:v>151.38755107192091</c:v>
                </c:pt>
                <c:pt idx="1">
                  <c:v>94.005035092273431</c:v>
                </c:pt>
                <c:pt idx="2">
                  <c:v>82.058911589663026</c:v>
                </c:pt>
                <c:pt idx="3">
                  <c:v>118.23889856838431</c:v>
                </c:pt>
                <c:pt idx="4">
                  <c:v>52.825760217034208</c:v>
                </c:pt>
                <c:pt idx="5">
                  <c:v>124.70779520648537</c:v>
                </c:pt>
                <c:pt idx="6">
                  <c:v>27.901091442354769</c:v>
                </c:pt>
                <c:pt idx="7">
                  <c:v>45.725264313361798</c:v>
                </c:pt>
                <c:pt idx="8">
                  <c:v>50.693872679641075</c:v>
                </c:pt>
                <c:pt idx="9">
                  <c:v>37.809091337666921</c:v>
                </c:pt>
                <c:pt idx="10">
                  <c:v>17.937037785470327</c:v>
                </c:pt>
                <c:pt idx="11">
                  <c:v>20.816449369009678</c:v>
                </c:pt>
                <c:pt idx="12">
                  <c:v>44.439476416146661</c:v>
                </c:pt>
                <c:pt idx="13">
                  <c:v>58.476691429138036</c:v>
                </c:pt>
                <c:pt idx="14">
                  <c:v>40.699633570833882</c:v>
                </c:pt>
                <c:pt idx="15">
                  <c:v>137.04560139288705</c:v>
                </c:pt>
                <c:pt idx="16">
                  <c:v>64.565347307891471</c:v>
                </c:pt>
                <c:pt idx="17">
                  <c:v>86.414678018681897</c:v>
                </c:pt>
                <c:pt idx="18">
                  <c:v>101.31423534097813</c:v>
                </c:pt>
                <c:pt idx="19">
                  <c:v>67.709720089719596</c:v>
                </c:pt>
                <c:pt idx="20">
                  <c:v>28.578768268382458</c:v>
                </c:pt>
                <c:pt idx="21">
                  <c:v>44.253593012320458</c:v>
                </c:pt>
                <c:pt idx="22">
                  <c:v>52.47611539479572</c:v>
                </c:pt>
                <c:pt idx="23">
                  <c:v>89.81692214953847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9E-456A-A305-3D3B59D10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BF7-45DC-B602-07F3715E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  <c:max val="1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Amedian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67-419D-9F4B-A85986A5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0"/>
          <c:order val="0"/>
          <c:tx>
            <c:strRef>
              <c:f>validation!$G$28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validation!$G$29:$G$49</c:f>
              <c:numCache>
                <c:formatCode>0.00</c:formatCode>
                <c:ptCount val="21"/>
                <c:pt idx="0">
                  <c:v>65.384578047646713</c:v>
                </c:pt>
                <c:pt idx="1">
                  <c:v>71.795875306103753</c:v>
                </c:pt>
                <c:pt idx="2">
                  <c:v>57.107285520757799</c:v>
                </c:pt>
                <c:pt idx="3">
                  <c:v>67.228863069123221</c:v>
                </c:pt>
                <c:pt idx="4">
                  <c:v>67.790158190567425</c:v>
                </c:pt>
                <c:pt idx="5">
                  <c:v>52.229548635315865</c:v>
                </c:pt>
                <c:pt idx="6">
                  <c:v>35.266075271003764</c:v>
                </c:pt>
                <c:pt idx="7">
                  <c:v>56.481737181745252</c:v>
                </c:pt>
                <c:pt idx="8">
                  <c:v>43.736421375108904</c:v>
                </c:pt>
                <c:pt idx="9">
                  <c:v>56.805792312904344</c:v>
                </c:pt>
                <c:pt idx="10">
                  <c:v>25.250107129129805</c:v>
                </c:pt>
                <c:pt idx="11">
                  <c:v>35.860619902777074</c:v>
                </c:pt>
                <c:pt idx="12">
                  <c:v>55.070994541852556</c:v>
                </c:pt>
                <c:pt idx="13">
                  <c:v>42.327678645468538</c:v>
                </c:pt>
                <c:pt idx="14">
                  <c:v>51.321814032058477</c:v>
                </c:pt>
                <c:pt idx="15">
                  <c:v>49.641114279051997</c:v>
                </c:pt>
                <c:pt idx="16">
                  <c:v>56.762094883418058</c:v>
                </c:pt>
                <c:pt idx="17">
                  <c:v>67.001302816277274</c:v>
                </c:pt>
                <c:pt idx="18">
                  <c:v>24.654925635784203</c:v>
                </c:pt>
                <c:pt idx="19">
                  <c:v>122.85148602844667</c:v>
                </c:pt>
                <c:pt idx="20">
                  <c:v>270.51505725215441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1-4096-ACAF-78E4BC985C8B}"/>
            </c:ext>
          </c:extLst>
        </c:ser>
        <c:ser>
          <c:idx val="1"/>
          <c:order val="1"/>
          <c:tx>
            <c:strRef>
              <c:f>validation!$H$28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validation!$H$29:$H$49</c:f>
              <c:numCache>
                <c:formatCode>0.00</c:formatCode>
                <c:ptCount val="21"/>
                <c:pt idx="0">
                  <c:v>51.628818352445393</c:v>
                </c:pt>
                <c:pt idx="1">
                  <c:v>54.586371705837585</c:v>
                </c:pt>
                <c:pt idx="2">
                  <c:v>49.706959685477116</c:v>
                </c:pt>
                <c:pt idx="3">
                  <c:v>58.649038570468207</c:v>
                </c:pt>
                <c:pt idx="4">
                  <c:v>65.448134471991892</c:v>
                </c:pt>
                <c:pt idx="5">
                  <c:v>49.69916480382139</c:v>
                </c:pt>
                <c:pt idx="6">
                  <c:v>43.811709923510548</c:v>
                </c:pt>
                <c:pt idx="7">
                  <c:v>53.444660669019079</c:v>
                </c:pt>
                <c:pt idx="8">
                  <c:v>45.109768952226155</c:v>
                </c:pt>
                <c:pt idx="9">
                  <c:v>58.682124784073622</c:v>
                </c:pt>
                <c:pt idx="10">
                  <c:v>37.151370987424627</c:v>
                </c:pt>
                <c:pt idx="11">
                  <c:v>43.103065572380601</c:v>
                </c:pt>
                <c:pt idx="12">
                  <c:v>54.980619547343714</c:v>
                </c:pt>
                <c:pt idx="13">
                  <c:v>44.18193950713075</c:v>
                </c:pt>
                <c:pt idx="14">
                  <c:v>50.693032441828286</c:v>
                </c:pt>
                <c:pt idx="15">
                  <c:v>45.826527086844514</c:v>
                </c:pt>
                <c:pt idx="16">
                  <c:v>53.267136543491972</c:v>
                </c:pt>
                <c:pt idx="17">
                  <c:v>62.193390742230939</c:v>
                </c:pt>
                <c:pt idx="18">
                  <c:v>32.715728904805879</c:v>
                </c:pt>
                <c:pt idx="19">
                  <c:v>128.45388411347565</c:v>
                </c:pt>
                <c:pt idx="20">
                  <c:v>128.80894313797964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E1-4096-ACAF-78E4BC985C8B}"/>
            </c:ext>
          </c:extLst>
        </c:ser>
        <c:ser>
          <c:idx val="2"/>
          <c:order val="2"/>
          <c:tx>
            <c:strRef>
              <c:f>validation!$I$28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validation!$I$29:$I$49</c:f>
              <c:numCache>
                <c:formatCode>0.00</c:formatCode>
                <c:ptCount val="21"/>
                <c:pt idx="0">
                  <c:v>52.643434084458356</c:v>
                </c:pt>
                <c:pt idx="1">
                  <c:v>54.712432439892552</c:v>
                </c:pt>
                <c:pt idx="2">
                  <c:v>47.264726179696602</c:v>
                </c:pt>
                <c:pt idx="3">
                  <c:v>55.822006645722404</c:v>
                </c:pt>
                <c:pt idx="4">
                  <c:v>58.554474525039957</c:v>
                </c:pt>
                <c:pt idx="5">
                  <c:v>50.684987955350557</c:v>
                </c:pt>
                <c:pt idx="6">
                  <c:v>47.568351400075024</c:v>
                </c:pt>
                <c:pt idx="7">
                  <c:v>53.261989913258184</c:v>
                </c:pt>
                <c:pt idx="8">
                  <c:v>47.5106298842461</c:v>
                </c:pt>
                <c:pt idx="9">
                  <c:v>57.143620920571067</c:v>
                </c:pt>
                <c:pt idx="10">
                  <c:v>44.514321903194059</c:v>
                </c:pt>
                <c:pt idx="11">
                  <c:v>47.936496620170558</c:v>
                </c:pt>
                <c:pt idx="12">
                  <c:v>51.228547124253282</c:v>
                </c:pt>
                <c:pt idx="13">
                  <c:v>44.090548863460931</c:v>
                </c:pt>
                <c:pt idx="14">
                  <c:v>49.75878646363784</c:v>
                </c:pt>
                <c:pt idx="15">
                  <c:v>45.321140149968969</c:v>
                </c:pt>
                <c:pt idx="16">
                  <c:v>50.913070065770825</c:v>
                </c:pt>
                <c:pt idx="17">
                  <c:v>57.670539519757106</c:v>
                </c:pt>
                <c:pt idx="18">
                  <c:v>37.493598149762107</c:v>
                </c:pt>
                <c:pt idx="19">
                  <c:v>86.22748600399099</c:v>
                </c:pt>
                <c:pt idx="20">
                  <c:v>57.748296765669359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E1-4096-ACAF-78E4BC985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11808"/>
        <c:axId val="971611328"/>
      </c:scatterChart>
      <c:valAx>
        <c:axId val="69573134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valAx>
        <c:axId val="97161132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611808"/>
        <c:crosses val="max"/>
        <c:crossBetween val="midCat"/>
      </c:valAx>
      <c:valAx>
        <c:axId val="9716118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971611328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Amean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2B-4637-84E5-DA883195E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0"/>
          <c:order val="0"/>
          <c:tx>
            <c:strRef>
              <c:f>validation!$J$28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validation!$J$29:$J$49</c:f>
              <c:numCache>
                <c:formatCode>0.00</c:formatCode>
                <c:ptCount val="21"/>
                <c:pt idx="0">
                  <c:v>92.842677817177901</c:v>
                </c:pt>
                <c:pt idx="1">
                  <c:v>83.292592946891432</c:v>
                </c:pt>
                <c:pt idx="2">
                  <c:v>74.954810960620108</c:v>
                </c:pt>
                <c:pt idx="3">
                  <c:v>84.252068948159007</c:v>
                </c:pt>
                <c:pt idx="4">
                  <c:v>71.06874423077123</c:v>
                </c:pt>
                <c:pt idx="5">
                  <c:v>62.949579087623313</c:v>
                </c:pt>
                <c:pt idx="6">
                  <c:v>30.079911506948299</c:v>
                </c:pt>
                <c:pt idx="7">
                  <c:v>56.269015182775313</c:v>
                </c:pt>
                <c:pt idx="8">
                  <c:v>46.106882454418574</c:v>
                </c:pt>
                <c:pt idx="9">
                  <c:v>52.340891171179685</c:v>
                </c:pt>
                <c:pt idx="10">
                  <c:v>20.606898398021112</c:v>
                </c:pt>
                <c:pt idx="11">
                  <c:v>30.150375188185901</c:v>
                </c:pt>
                <c:pt idx="12">
                  <c:v>54.735478167433257</c:v>
                </c:pt>
                <c:pt idx="13">
                  <c:v>44.660696204200569</c:v>
                </c:pt>
                <c:pt idx="14">
                  <c:v>49.758189863230243</c:v>
                </c:pt>
                <c:pt idx="15">
                  <c:v>63.758286007908318</c:v>
                </c:pt>
                <c:pt idx="16">
                  <c:v>57.802109090072939</c:v>
                </c:pt>
                <c:pt idx="17">
                  <c:v>70.67174735147897</c:v>
                </c:pt>
                <c:pt idx="18">
                  <c:v>21.865693822315428</c:v>
                </c:pt>
                <c:pt idx="19">
                  <c:v>116.54482182172966</c:v>
                </c:pt>
                <c:pt idx="20">
                  <c:v>283.17556780168911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B-4D72-AAB6-8E1C6C02382F}"/>
            </c:ext>
          </c:extLst>
        </c:ser>
        <c:ser>
          <c:idx val="1"/>
          <c:order val="1"/>
          <c:tx>
            <c:strRef>
              <c:f>validation!$K$28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validation!$K$29:$K$49</c:f>
              <c:numCache>
                <c:formatCode>0.00</c:formatCode>
                <c:ptCount val="21"/>
                <c:pt idx="0">
                  <c:v>81.072571300785981</c:v>
                </c:pt>
                <c:pt idx="1">
                  <c:v>64.795355664056643</c:v>
                </c:pt>
                <c:pt idx="2">
                  <c:v>69.961722164412535</c:v>
                </c:pt>
                <c:pt idx="3">
                  <c:v>81.425656805169879</c:v>
                </c:pt>
                <c:pt idx="4">
                  <c:v>73.967491919762509</c:v>
                </c:pt>
                <c:pt idx="5">
                  <c:v>62.769226707154601</c:v>
                </c:pt>
                <c:pt idx="6">
                  <c:v>33.739575287705421</c:v>
                </c:pt>
                <c:pt idx="7">
                  <c:v>52.444532611877179</c:v>
                </c:pt>
                <c:pt idx="8">
                  <c:v>46.153491480304773</c:v>
                </c:pt>
                <c:pt idx="9">
                  <c:v>53.775932795362614</c:v>
                </c:pt>
                <c:pt idx="10">
                  <c:v>26.193008149886403</c:v>
                </c:pt>
                <c:pt idx="11">
                  <c:v>32.169770578692088</c:v>
                </c:pt>
                <c:pt idx="12">
                  <c:v>54.736965281607354</c:v>
                </c:pt>
                <c:pt idx="13">
                  <c:v>45.05127682505821</c:v>
                </c:pt>
                <c:pt idx="14">
                  <c:v>47.369550102291711</c:v>
                </c:pt>
                <c:pt idx="15">
                  <c:v>61.512353564056511</c:v>
                </c:pt>
                <c:pt idx="16">
                  <c:v>53.818834117110711</c:v>
                </c:pt>
                <c:pt idx="17">
                  <c:v>69.320260916444269</c:v>
                </c:pt>
                <c:pt idx="18">
                  <c:v>24.552341859803199</c:v>
                </c:pt>
                <c:pt idx="19">
                  <c:v>157.81430752799429</c:v>
                </c:pt>
                <c:pt idx="20">
                  <c:v>160.41407052528044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3B-4D72-AAB6-8E1C6C02382F}"/>
            </c:ext>
          </c:extLst>
        </c:ser>
        <c:ser>
          <c:idx val="2"/>
          <c:order val="2"/>
          <c:tx>
            <c:strRef>
              <c:f>validation!$L$28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validation!$L$29:$L$49</c:f>
              <c:numCache>
                <c:formatCode>0.00</c:formatCode>
                <c:ptCount val="21"/>
                <c:pt idx="0">
                  <c:v>100.44423476914439</c:v>
                </c:pt>
                <c:pt idx="1">
                  <c:v>70.157847245573649</c:v>
                </c:pt>
                <c:pt idx="2">
                  <c:v>71.098076504051448</c:v>
                </c:pt>
                <c:pt idx="3">
                  <c:v>86.878941050514186</c:v>
                </c:pt>
                <c:pt idx="4">
                  <c:v>66.185835174744469</c:v>
                </c:pt>
                <c:pt idx="5">
                  <c:v>70.11199502976369</c:v>
                </c:pt>
                <c:pt idx="6">
                  <c:v>33.314079141418567</c:v>
                </c:pt>
                <c:pt idx="7">
                  <c:v>51.457953253671036</c:v>
                </c:pt>
                <c:pt idx="8">
                  <c:v>48.788996478358897</c:v>
                </c:pt>
                <c:pt idx="9">
                  <c:v>50.415003086487374</c:v>
                </c:pt>
                <c:pt idx="10">
                  <c:v>28.806524264497664</c:v>
                </c:pt>
                <c:pt idx="11">
                  <c:v>32.721980499652865</c:v>
                </c:pt>
                <c:pt idx="12">
                  <c:v>47.65088313560797</c:v>
                </c:pt>
                <c:pt idx="13">
                  <c:v>42.405450139647805</c:v>
                </c:pt>
                <c:pt idx="14">
                  <c:v>43.4303454246649</c:v>
                </c:pt>
                <c:pt idx="15">
                  <c:v>64.601613003966577</c:v>
                </c:pt>
                <c:pt idx="16">
                  <c:v>49.116994051864594</c:v>
                </c:pt>
                <c:pt idx="17">
                  <c:v>65.18559131526824</c:v>
                </c:pt>
                <c:pt idx="18">
                  <c:v>24.355555477494292</c:v>
                </c:pt>
                <c:pt idx="19">
                  <c:v>101.91079458016144</c:v>
                </c:pt>
                <c:pt idx="20">
                  <c:v>46.451438102040505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3B-4D72-AAB6-8E1C6C02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Measured</a:t>
            </a:r>
            <a:r>
              <a:rPr lang="en-US" sz="1050" baseline="0"/>
              <a:t> vs Predicted - Imp/s * Amax (Ch1)</a:t>
            </a:r>
            <a:endParaRPr lang="en-US" sz="1050"/>
          </a:p>
        </c:rich>
      </c:tx>
      <c:layout>
        <c:manualLayout>
          <c:xMode val="edge"/>
          <c:yMode val="edge"/>
          <c:x val="0.13000521819045616"/>
          <c:y val="3.5939051351912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2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E9-4F3B-9555-8DD0363B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2"/>
          <c:order val="0"/>
          <c:tx>
            <c:strRef>
              <c:f>validation!$Q$46</c:f>
              <c:strCache>
                <c:ptCount val="1"/>
                <c:pt idx="0">
                  <c:v>Experiments+Events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5720398451677221"/>
                  <c:y val="4.1037226673439703E-2"/>
                </c:manualLayout>
              </c:layout>
              <c:numFmt formatCode="General" sourceLinked="0"/>
              <c:spPr>
                <a:solidFill>
                  <a:schemeClr val="accent3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validation!$B$29:$B$52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  <c:pt idx="21">
                  <c:v>32</c:v>
                </c:pt>
                <c:pt idx="22">
                  <c:v>64</c:v>
                </c:pt>
                <c:pt idx="23">
                  <c:v>64</c:v>
                </c:pt>
              </c:numCache>
            </c:numRef>
          </c:xVal>
          <c:yVal>
            <c:numRef>
              <c:f>validation!$F$29:$F$52</c:f>
              <c:numCache>
                <c:formatCode>0.000</c:formatCode>
                <c:ptCount val="24"/>
                <c:pt idx="0">
                  <c:v>151.38755107192091</c:v>
                </c:pt>
                <c:pt idx="1">
                  <c:v>94.005035092273431</c:v>
                </c:pt>
                <c:pt idx="2">
                  <c:v>82.058911589663026</c:v>
                </c:pt>
                <c:pt idx="3">
                  <c:v>118.23889856838431</c:v>
                </c:pt>
                <c:pt idx="4">
                  <c:v>52.825760217034208</c:v>
                </c:pt>
                <c:pt idx="5">
                  <c:v>124.70779520648537</c:v>
                </c:pt>
                <c:pt idx="6">
                  <c:v>27.901091442354769</c:v>
                </c:pt>
                <c:pt idx="7">
                  <c:v>45.725264313361798</c:v>
                </c:pt>
                <c:pt idx="8">
                  <c:v>50.693872679641075</c:v>
                </c:pt>
                <c:pt idx="9">
                  <c:v>37.809091337666921</c:v>
                </c:pt>
                <c:pt idx="10">
                  <c:v>17.937037785470327</c:v>
                </c:pt>
                <c:pt idx="11">
                  <c:v>20.816449369009678</c:v>
                </c:pt>
                <c:pt idx="12">
                  <c:v>44.439476416146661</c:v>
                </c:pt>
                <c:pt idx="13">
                  <c:v>58.476691429138036</c:v>
                </c:pt>
                <c:pt idx="14">
                  <c:v>40.699633570833882</c:v>
                </c:pt>
                <c:pt idx="15">
                  <c:v>137.04560139288705</c:v>
                </c:pt>
                <c:pt idx="16">
                  <c:v>64.565347307891471</c:v>
                </c:pt>
                <c:pt idx="17">
                  <c:v>86.414678018681897</c:v>
                </c:pt>
                <c:pt idx="18">
                  <c:v>101.31423534097813</c:v>
                </c:pt>
                <c:pt idx="19">
                  <c:v>67.709720089719596</c:v>
                </c:pt>
                <c:pt idx="20">
                  <c:v>28.578768268382458</c:v>
                </c:pt>
                <c:pt idx="21">
                  <c:v>44.253593012320458</c:v>
                </c:pt>
                <c:pt idx="22">
                  <c:v>52.47611539479572</c:v>
                </c:pt>
                <c:pt idx="23">
                  <c:v>89.81692214953847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E9-4F3B-9555-8DD0363B39BE}"/>
            </c:ext>
          </c:extLst>
        </c:ser>
        <c:ser>
          <c:idx val="0"/>
          <c:order val="1"/>
          <c:tx>
            <c:strRef>
              <c:f>validation!$Q$45</c:f>
              <c:strCache>
                <c:ptCount val="1"/>
                <c:pt idx="0">
                  <c:v>Just Experiments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368271844357737"/>
                  <c:y val="0.1576877063658823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validation!$F$29:$F$47</c:f>
              <c:numCache>
                <c:formatCode>0.000</c:formatCode>
                <c:ptCount val="19"/>
                <c:pt idx="0">
                  <c:v>151.38755107192091</c:v>
                </c:pt>
                <c:pt idx="1">
                  <c:v>94.005035092273431</c:v>
                </c:pt>
                <c:pt idx="2">
                  <c:v>82.058911589663026</c:v>
                </c:pt>
                <c:pt idx="3">
                  <c:v>118.23889856838431</c:v>
                </c:pt>
                <c:pt idx="4">
                  <c:v>52.825760217034208</c:v>
                </c:pt>
                <c:pt idx="5">
                  <c:v>124.70779520648537</c:v>
                </c:pt>
                <c:pt idx="6">
                  <c:v>27.901091442354769</c:v>
                </c:pt>
                <c:pt idx="7">
                  <c:v>45.725264313361798</c:v>
                </c:pt>
                <c:pt idx="8">
                  <c:v>50.693872679641075</c:v>
                </c:pt>
                <c:pt idx="9">
                  <c:v>37.809091337666921</c:v>
                </c:pt>
                <c:pt idx="10">
                  <c:v>17.937037785470327</c:v>
                </c:pt>
                <c:pt idx="11">
                  <c:v>20.816449369009678</c:v>
                </c:pt>
                <c:pt idx="12">
                  <c:v>44.439476416146661</c:v>
                </c:pt>
                <c:pt idx="13">
                  <c:v>58.476691429138036</c:v>
                </c:pt>
                <c:pt idx="14">
                  <c:v>40.699633570833882</c:v>
                </c:pt>
                <c:pt idx="15">
                  <c:v>137.04560139288705</c:v>
                </c:pt>
                <c:pt idx="16">
                  <c:v>64.565347307891471</c:v>
                </c:pt>
                <c:pt idx="17">
                  <c:v>86.414678018681897</c:v>
                </c:pt>
                <c:pt idx="18">
                  <c:v>101.31423534097813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E9-4F3B-9555-8DD0363B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  <c:max val="1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Measured vs Predicted - Imp/s * Amax</a:t>
            </a:r>
            <a:r>
              <a:rPr lang="en-US" sz="1100" baseline="0"/>
              <a:t> </a:t>
            </a:r>
            <a:endParaRPr lang="en-US" sz="1100"/>
          </a:p>
        </c:rich>
      </c:tx>
      <c:layout>
        <c:manualLayout>
          <c:xMode val="edge"/>
          <c:yMode val="edge"/>
          <c:x val="0.13000521819045616"/>
          <c:y val="3.5939051351912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1"/>
          <c:tx>
            <c:v>1:1</c:v>
          </c:tx>
          <c:spPr>
            <a:ln w="15875" cap="rnd">
              <a:solidFill>
                <a:schemeClr val="accent5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75-42BC-98F4-D13ED44C9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0"/>
          <c:order val="0"/>
          <c:tx>
            <c:strRef>
              <c:f>validation!$Q$45</c:f>
              <c:strCache>
                <c:ptCount val="1"/>
                <c:pt idx="0">
                  <c:v>Just Experiments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368271844357737"/>
                  <c:y val="0.1576877063658823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validation!$F$29:$F$47</c:f>
              <c:numCache>
                <c:formatCode>0.000</c:formatCode>
                <c:ptCount val="19"/>
                <c:pt idx="0">
                  <c:v>151.38755107192091</c:v>
                </c:pt>
                <c:pt idx="1">
                  <c:v>94.005035092273431</c:v>
                </c:pt>
                <c:pt idx="2">
                  <c:v>82.058911589663026</c:v>
                </c:pt>
                <c:pt idx="3">
                  <c:v>118.23889856838431</c:v>
                </c:pt>
                <c:pt idx="4">
                  <c:v>52.825760217034208</c:v>
                </c:pt>
                <c:pt idx="5">
                  <c:v>124.70779520648537</c:v>
                </c:pt>
                <c:pt idx="6">
                  <c:v>27.901091442354769</c:v>
                </c:pt>
                <c:pt idx="7">
                  <c:v>45.725264313361798</c:v>
                </c:pt>
                <c:pt idx="8">
                  <c:v>50.693872679641075</c:v>
                </c:pt>
                <c:pt idx="9">
                  <c:v>37.809091337666921</c:v>
                </c:pt>
                <c:pt idx="10">
                  <c:v>17.937037785470327</c:v>
                </c:pt>
                <c:pt idx="11">
                  <c:v>20.816449369009678</c:v>
                </c:pt>
                <c:pt idx="12">
                  <c:v>44.439476416146661</c:v>
                </c:pt>
                <c:pt idx="13">
                  <c:v>58.476691429138036</c:v>
                </c:pt>
                <c:pt idx="14">
                  <c:v>40.699633570833882</c:v>
                </c:pt>
                <c:pt idx="15">
                  <c:v>137.04560139288705</c:v>
                </c:pt>
                <c:pt idx="16">
                  <c:v>64.565347307891471</c:v>
                </c:pt>
                <c:pt idx="17">
                  <c:v>86.414678018681897</c:v>
                </c:pt>
                <c:pt idx="18">
                  <c:v>101.31423534097813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75-42BC-98F4-D13ED44C9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  <c:max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2.xml"/><Relationship Id="rId18" Type="http://schemas.openxmlformats.org/officeDocument/2006/relationships/chart" Target="../charts/chart37.xml"/><Relationship Id="rId26" Type="http://schemas.openxmlformats.org/officeDocument/2006/relationships/chart" Target="../charts/chart45.xml"/><Relationship Id="rId39" Type="http://schemas.openxmlformats.org/officeDocument/2006/relationships/chart" Target="../charts/chart58.xml"/><Relationship Id="rId21" Type="http://schemas.openxmlformats.org/officeDocument/2006/relationships/chart" Target="../charts/chart40.xml"/><Relationship Id="rId34" Type="http://schemas.openxmlformats.org/officeDocument/2006/relationships/chart" Target="../charts/chart53.xml"/><Relationship Id="rId42" Type="http://schemas.openxmlformats.org/officeDocument/2006/relationships/chart" Target="../charts/chart61.xml"/><Relationship Id="rId47" Type="http://schemas.openxmlformats.org/officeDocument/2006/relationships/chart" Target="../charts/chart66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6" Type="http://schemas.openxmlformats.org/officeDocument/2006/relationships/chart" Target="../charts/chart35.xml"/><Relationship Id="rId29" Type="http://schemas.openxmlformats.org/officeDocument/2006/relationships/chart" Target="../charts/chart48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24" Type="http://schemas.openxmlformats.org/officeDocument/2006/relationships/chart" Target="../charts/chart43.xml"/><Relationship Id="rId32" Type="http://schemas.openxmlformats.org/officeDocument/2006/relationships/chart" Target="../charts/chart51.xml"/><Relationship Id="rId37" Type="http://schemas.openxmlformats.org/officeDocument/2006/relationships/chart" Target="../charts/chart56.xml"/><Relationship Id="rId40" Type="http://schemas.openxmlformats.org/officeDocument/2006/relationships/chart" Target="../charts/chart59.xml"/><Relationship Id="rId45" Type="http://schemas.openxmlformats.org/officeDocument/2006/relationships/chart" Target="../charts/chart64.xml"/><Relationship Id="rId5" Type="http://schemas.openxmlformats.org/officeDocument/2006/relationships/chart" Target="../charts/chart24.xml"/><Relationship Id="rId15" Type="http://schemas.openxmlformats.org/officeDocument/2006/relationships/chart" Target="../charts/chart34.xml"/><Relationship Id="rId23" Type="http://schemas.openxmlformats.org/officeDocument/2006/relationships/chart" Target="../charts/chart42.xml"/><Relationship Id="rId28" Type="http://schemas.openxmlformats.org/officeDocument/2006/relationships/chart" Target="../charts/chart47.xml"/><Relationship Id="rId36" Type="http://schemas.openxmlformats.org/officeDocument/2006/relationships/chart" Target="../charts/chart55.xml"/><Relationship Id="rId10" Type="http://schemas.openxmlformats.org/officeDocument/2006/relationships/chart" Target="../charts/chart29.xml"/><Relationship Id="rId19" Type="http://schemas.openxmlformats.org/officeDocument/2006/relationships/chart" Target="../charts/chart38.xml"/><Relationship Id="rId31" Type="http://schemas.openxmlformats.org/officeDocument/2006/relationships/chart" Target="../charts/chart50.xml"/><Relationship Id="rId44" Type="http://schemas.openxmlformats.org/officeDocument/2006/relationships/chart" Target="../charts/chart63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Relationship Id="rId14" Type="http://schemas.openxmlformats.org/officeDocument/2006/relationships/chart" Target="../charts/chart33.xml"/><Relationship Id="rId22" Type="http://schemas.openxmlformats.org/officeDocument/2006/relationships/chart" Target="../charts/chart41.xml"/><Relationship Id="rId27" Type="http://schemas.openxmlformats.org/officeDocument/2006/relationships/chart" Target="../charts/chart46.xml"/><Relationship Id="rId30" Type="http://schemas.openxmlformats.org/officeDocument/2006/relationships/chart" Target="../charts/chart49.xml"/><Relationship Id="rId35" Type="http://schemas.openxmlformats.org/officeDocument/2006/relationships/chart" Target="../charts/chart54.xml"/><Relationship Id="rId43" Type="http://schemas.openxmlformats.org/officeDocument/2006/relationships/chart" Target="../charts/chart62.xml"/><Relationship Id="rId48" Type="http://schemas.openxmlformats.org/officeDocument/2006/relationships/chart" Target="../charts/chart67.xml"/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12" Type="http://schemas.openxmlformats.org/officeDocument/2006/relationships/chart" Target="../charts/chart31.xml"/><Relationship Id="rId17" Type="http://schemas.openxmlformats.org/officeDocument/2006/relationships/chart" Target="../charts/chart36.xml"/><Relationship Id="rId25" Type="http://schemas.openxmlformats.org/officeDocument/2006/relationships/chart" Target="../charts/chart44.xml"/><Relationship Id="rId33" Type="http://schemas.openxmlformats.org/officeDocument/2006/relationships/chart" Target="../charts/chart52.xml"/><Relationship Id="rId38" Type="http://schemas.openxmlformats.org/officeDocument/2006/relationships/chart" Target="../charts/chart57.xml"/><Relationship Id="rId46" Type="http://schemas.openxmlformats.org/officeDocument/2006/relationships/chart" Target="../charts/chart65.xml"/><Relationship Id="rId20" Type="http://schemas.openxmlformats.org/officeDocument/2006/relationships/chart" Target="../charts/chart39.xml"/><Relationship Id="rId41" Type="http://schemas.openxmlformats.org/officeDocument/2006/relationships/chart" Target="../charts/chart6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chart" Target="../charts/chart69.xml"/><Relationship Id="rId1" Type="http://schemas.openxmlformats.org/officeDocument/2006/relationships/chart" Target="../charts/chart68.xml"/><Relationship Id="rId6" Type="http://schemas.openxmlformats.org/officeDocument/2006/relationships/chart" Target="../charts/chart73.xml"/><Relationship Id="rId5" Type="http://schemas.openxmlformats.org/officeDocument/2006/relationships/chart" Target="../charts/chart72.xml"/><Relationship Id="rId4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82827</xdr:colOff>
      <xdr:row>18</xdr:row>
      <xdr:rowOff>149087</xdr:rowOff>
    </xdr:from>
    <xdr:to>
      <xdr:col>33</xdr:col>
      <xdr:colOff>121802</xdr:colOff>
      <xdr:row>32</xdr:row>
      <xdr:rowOff>140804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BB611F-E2FA-48C6-A183-9A3538871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403970</xdr:colOff>
      <xdr:row>18</xdr:row>
      <xdr:rowOff>168089</xdr:rowOff>
    </xdr:from>
    <xdr:to>
      <xdr:col>24</xdr:col>
      <xdr:colOff>560853</xdr:colOff>
      <xdr:row>32</xdr:row>
      <xdr:rowOff>166967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5F0CB-6CAA-E330-9D2B-050CAC505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30184</xdr:colOff>
      <xdr:row>18</xdr:row>
      <xdr:rowOff>165653</xdr:rowOff>
    </xdr:from>
    <xdr:to>
      <xdr:col>29</xdr:col>
      <xdr:colOff>69159</xdr:colOff>
      <xdr:row>32</xdr:row>
      <xdr:rowOff>157370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1273B3-E416-AF2A-E3EF-AEE0794FB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30206</xdr:colOff>
      <xdr:row>34</xdr:row>
      <xdr:rowOff>38977</xdr:rowOff>
    </xdr:from>
    <xdr:to>
      <xdr:col>23</xdr:col>
      <xdr:colOff>67686</xdr:colOff>
      <xdr:row>44</xdr:row>
      <xdr:rowOff>13552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E15B30-9554-475E-9EDE-66CF7ECF2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96467</xdr:colOff>
      <xdr:row>34</xdr:row>
      <xdr:rowOff>47261</xdr:rowOff>
    </xdr:from>
    <xdr:to>
      <xdr:col>26</xdr:col>
      <xdr:colOff>153560</xdr:colOff>
      <xdr:row>44</xdr:row>
      <xdr:rowOff>49786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03249A-A857-4E72-AC23-81D7AA8CA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212424</xdr:colOff>
      <xdr:row>34</xdr:row>
      <xdr:rowOff>30696</xdr:rowOff>
    </xdr:from>
    <xdr:to>
      <xdr:col>29</xdr:col>
      <xdr:colOff>204141</xdr:colOff>
      <xdr:row>44</xdr:row>
      <xdr:rowOff>63826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B59CD9-244C-4659-8F85-AC22D892C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287455</xdr:colOff>
      <xdr:row>34</xdr:row>
      <xdr:rowOff>38978</xdr:rowOff>
    </xdr:from>
    <xdr:to>
      <xdr:col>32</xdr:col>
      <xdr:colOff>370280</xdr:colOff>
      <xdr:row>44</xdr:row>
      <xdr:rowOff>80390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82BC1B-5F9B-4480-AEAC-F7779518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535933</xdr:colOff>
      <xdr:row>44</xdr:row>
      <xdr:rowOff>80390</xdr:rowOff>
    </xdr:from>
    <xdr:to>
      <xdr:col>23</xdr:col>
      <xdr:colOff>88187</xdr:colOff>
      <xdr:row>54</xdr:row>
      <xdr:rowOff>171499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88814E-0034-46FD-A5E1-9E71562C2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137881</xdr:colOff>
      <xdr:row>44</xdr:row>
      <xdr:rowOff>80389</xdr:rowOff>
    </xdr:from>
    <xdr:to>
      <xdr:col>26</xdr:col>
      <xdr:colOff>195860</xdr:colOff>
      <xdr:row>55</xdr:row>
      <xdr:rowOff>5846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8B67D3-9CFE-4C15-9163-D19FF3706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237759</xdr:colOff>
      <xdr:row>44</xdr:row>
      <xdr:rowOff>113521</xdr:rowOff>
    </xdr:from>
    <xdr:to>
      <xdr:col>29</xdr:col>
      <xdr:colOff>179294</xdr:colOff>
      <xdr:row>55</xdr:row>
      <xdr:rowOff>5847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DAFAF0-A500-4C38-B928-857DB65DE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280147</xdr:colOff>
      <xdr:row>44</xdr:row>
      <xdr:rowOff>123266</xdr:rowOff>
    </xdr:from>
    <xdr:to>
      <xdr:col>32</xdr:col>
      <xdr:colOff>380999</xdr:colOff>
      <xdr:row>55</xdr:row>
      <xdr:rowOff>44824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BF61F80-C2F6-4A93-9701-4CC72B31A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515470</xdr:colOff>
      <xdr:row>55</xdr:row>
      <xdr:rowOff>22412</xdr:rowOff>
    </xdr:from>
    <xdr:to>
      <xdr:col>23</xdr:col>
      <xdr:colOff>112059</xdr:colOff>
      <xdr:row>65</xdr:row>
      <xdr:rowOff>123265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6682DB-F393-42B1-9299-509F959D5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112059</xdr:colOff>
      <xdr:row>55</xdr:row>
      <xdr:rowOff>33618</xdr:rowOff>
    </xdr:from>
    <xdr:to>
      <xdr:col>26</xdr:col>
      <xdr:colOff>134471</xdr:colOff>
      <xdr:row>65</xdr:row>
      <xdr:rowOff>89647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1593FCF-D063-45F9-A12C-762451B70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227197</xdr:colOff>
      <xdr:row>55</xdr:row>
      <xdr:rowOff>55749</xdr:rowOff>
    </xdr:from>
    <xdr:to>
      <xdr:col>29</xdr:col>
      <xdr:colOff>169769</xdr:colOff>
      <xdr:row>65</xdr:row>
      <xdr:rowOff>60513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23727A-98A1-4C0C-821A-2B2E414E0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251012</xdr:colOff>
      <xdr:row>55</xdr:row>
      <xdr:rowOff>60513</xdr:rowOff>
    </xdr:from>
    <xdr:to>
      <xdr:col>32</xdr:col>
      <xdr:colOff>393886</xdr:colOff>
      <xdr:row>65</xdr:row>
      <xdr:rowOff>79562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D78DAF1-70C7-46E2-B39D-9B42E628D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39</xdr:col>
      <xdr:colOff>767703</xdr:colOff>
      <xdr:row>23</xdr:row>
      <xdr:rowOff>138546</xdr:rowOff>
    </xdr:from>
    <xdr:ext cx="3561842" cy="593304"/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CCD7CFE-B291-7DB0-71BD-B4E9B81CDE91}"/>
            </a:ext>
          </a:extLst>
        </xdr:cNvPr>
        <xdr:cNvSpPr/>
      </xdr:nvSpPr>
      <xdr:spPr>
        <a:xfrm>
          <a:off x="29723703" y="4520046"/>
          <a:ext cx="356184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en-US" sz="3200" b="1" cap="none" spc="0">
              <a:ln/>
              <a:solidFill>
                <a:schemeClr val="accent4"/>
              </a:solidFill>
              <a:effectLst/>
            </a:rPr>
            <a:t>RMSE</a:t>
          </a:r>
          <a:r>
            <a:rPr lang="en-US" sz="3200" b="1" cap="none" spc="0" baseline="0">
              <a:ln/>
              <a:solidFill>
                <a:schemeClr val="accent4"/>
              </a:solidFill>
              <a:effectLst/>
            </a:rPr>
            <a:t> calculations</a:t>
          </a:r>
          <a:endParaRPr lang="en-US" sz="3200" b="1" cap="none" spc="0">
            <a:ln/>
            <a:solidFill>
              <a:schemeClr val="accent4"/>
            </a:solidFill>
            <a:effectLst/>
          </a:endParaRPr>
        </a:p>
      </xdr:txBody>
    </xdr:sp>
    <xdr:clientData/>
  </xdr:oneCellAnchor>
  <xdr:twoCellAnchor>
    <xdr:from>
      <xdr:col>26</xdr:col>
      <xdr:colOff>600075</xdr:colOff>
      <xdr:row>5</xdr:row>
      <xdr:rowOff>104774</xdr:rowOff>
    </xdr:from>
    <xdr:to>
      <xdr:col>31</xdr:col>
      <xdr:colOff>71437</xdr:colOff>
      <xdr:row>17</xdr:row>
      <xdr:rowOff>4761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031641E-45AE-C7F8-F59B-A4213F47A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51</xdr:col>
      <xdr:colOff>566057</xdr:colOff>
      <xdr:row>27</xdr:row>
      <xdr:rowOff>125865</xdr:rowOff>
    </xdr:from>
    <xdr:to>
      <xdr:col>57</xdr:col>
      <xdr:colOff>549887</xdr:colOff>
      <xdr:row>46</xdr:row>
      <xdr:rowOff>10884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EE53A20-4C48-7FD0-043C-636479096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58</xdr:col>
      <xdr:colOff>209831</xdr:colOff>
      <xdr:row>27</xdr:row>
      <xdr:rowOff>161244</xdr:rowOff>
    </xdr:from>
    <xdr:to>
      <xdr:col>63</xdr:col>
      <xdr:colOff>549086</xdr:colOff>
      <xdr:row>44</xdr:row>
      <xdr:rowOff>142194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12C45DB-5C6B-4B32-818E-3234A99B8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52</xdr:col>
      <xdr:colOff>595032</xdr:colOff>
      <xdr:row>30</xdr:row>
      <xdr:rowOff>161925</xdr:rowOff>
    </xdr:from>
    <xdr:to>
      <xdr:col>54</xdr:col>
      <xdr:colOff>547408</xdr:colOff>
      <xdr:row>33</xdr:row>
      <xdr:rowOff>152400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A10F6A1-1F77-72C4-6FDA-A64A16EA1FC9}"/>
            </a:ext>
          </a:extLst>
        </xdr:cNvPr>
        <xdr:cNvSpPr txBox="1"/>
      </xdr:nvSpPr>
      <xdr:spPr>
        <a:xfrm>
          <a:off x="41371557" y="5876925"/>
          <a:ext cx="1171576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>
              <a:solidFill>
                <a:schemeClr val="accent3">
                  <a:lumMod val="50000"/>
                </a:schemeClr>
              </a:solidFill>
            </a:rPr>
            <a:t>RMSE:</a:t>
          </a:r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 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Radius: 9.94 mm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Diameter: 15.78 mm</a:t>
          </a:r>
        </a:p>
        <a:p>
          <a:endParaRPr lang="en-US" sz="1100"/>
        </a:p>
      </xdr:txBody>
    </xdr:sp>
    <xdr:clientData/>
  </xdr:twoCellAnchor>
  <xdr:twoCellAnchor>
    <xdr:from>
      <xdr:col>59</xdr:col>
      <xdr:colOff>266700</xdr:colOff>
      <xdr:row>31</xdr:row>
      <xdr:rowOff>38100</xdr:rowOff>
    </xdr:from>
    <xdr:to>
      <xdr:col>61</xdr:col>
      <xdr:colOff>219076</xdr:colOff>
      <xdr:row>34</xdr:row>
      <xdr:rowOff>28575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6583CB4-D1C8-4FD8-80A5-BD7280A9ECFA}"/>
            </a:ext>
          </a:extLst>
        </xdr:cNvPr>
        <xdr:cNvSpPr txBox="1"/>
      </xdr:nvSpPr>
      <xdr:spPr>
        <a:xfrm>
          <a:off x="45310425" y="5943600"/>
          <a:ext cx="1171576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>
              <a:solidFill>
                <a:schemeClr val="accent3">
                  <a:lumMod val="50000"/>
                </a:schemeClr>
              </a:solidFill>
            </a:rPr>
            <a:t>RMSE:</a:t>
          </a:r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 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Radius: 18.48 mm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Diameter: 18.48mm</a:t>
          </a:r>
        </a:p>
        <a:p>
          <a:endParaRPr lang="en-US" sz="1100"/>
        </a:p>
      </xdr:txBody>
    </xdr:sp>
    <xdr:clientData/>
  </xdr:twoCellAnchor>
  <xdr:twoCellAnchor>
    <xdr:from>
      <xdr:col>51</xdr:col>
      <xdr:colOff>600635</xdr:colOff>
      <xdr:row>46</xdr:row>
      <xdr:rowOff>98612</xdr:rowOff>
    </xdr:from>
    <xdr:to>
      <xdr:col>57</xdr:col>
      <xdr:colOff>584465</xdr:colOff>
      <xdr:row>64</xdr:row>
      <xdr:rowOff>162924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7D73DE6-5FBF-4D73-8E57-3405908B2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53</xdr:col>
      <xdr:colOff>80682</xdr:colOff>
      <xdr:row>49</xdr:row>
      <xdr:rowOff>134471</xdr:rowOff>
    </xdr:from>
    <xdr:to>
      <xdr:col>55</xdr:col>
      <xdr:colOff>33058</xdr:colOff>
      <xdr:row>52</xdr:row>
      <xdr:rowOff>124946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7D26E1F-F8D9-4A37-8D69-08609A15ECD0}"/>
            </a:ext>
          </a:extLst>
        </xdr:cNvPr>
        <xdr:cNvSpPr txBox="1"/>
      </xdr:nvSpPr>
      <xdr:spPr>
        <a:xfrm>
          <a:off x="42465811" y="8919883"/>
          <a:ext cx="1171576" cy="5283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>
              <a:solidFill>
                <a:schemeClr val="accent3">
                  <a:lumMod val="50000"/>
                </a:schemeClr>
              </a:solidFill>
            </a:rPr>
            <a:t>RMSE:</a:t>
          </a:r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 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Radius: 9.02 mm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Diameter: 17.33 mm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23</xdr:row>
      <xdr:rowOff>156210</xdr:rowOff>
    </xdr:from>
    <xdr:to>
      <xdr:col>4</xdr:col>
      <xdr:colOff>45720</xdr:colOff>
      <xdr:row>37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12F54-842E-EF26-944B-4B77362E3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137160</xdr:colOff>
      <xdr:row>23</xdr:row>
      <xdr:rowOff>175260</xdr:rowOff>
    </xdr:from>
    <xdr:to>
      <xdr:col>8</xdr:col>
      <xdr:colOff>30480</xdr:colOff>
      <xdr:row>38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04AAA3-2378-4168-B3EF-25EC477C1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129540</xdr:colOff>
      <xdr:row>23</xdr:row>
      <xdr:rowOff>175260</xdr:rowOff>
    </xdr:from>
    <xdr:to>
      <xdr:col>13</xdr:col>
      <xdr:colOff>152400</xdr:colOff>
      <xdr:row>38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DC9181-5B24-470C-8BFB-A77E52D80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270734</xdr:colOff>
      <xdr:row>38</xdr:row>
      <xdr:rowOff>53340</xdr:rowOff>
    </xdr:from>
    <xdr:to>
      <xdr:col>4</xdr:col>
      <xdr:colOff>118334</xdr:colOff>
      <xdr:row>52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171632-65DB-447A-8A32-D5C3EEA4F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137160</xdr:colOff>
      <xdr:row>38</xdr:row>
      <xdr:rowOff>45720</xdr:rowOff>
    </xdr:from>
    <xdr:to>
      <xdr:col>8</xdr:col>
      <xdr:colOff>30480</xdr:colOff>
      <xdr:row>52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E96E72-9F15-4FFC-850F-CBEC6BA62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182880</xdr:colOff>
      <xdr:row>38</xdr:row>
      <xdr:rowOff>53340</xdr:rowOff>
    </xdr:from>
    <xdr:to>
      <xdr:col>13</xdr:col>
      <xdr:colOff>205740</xdr:colOff>
      <xdr:row>52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1845B7-E4E4-49B3-B2AE-9CE31D0DF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179294</xdr:colOff>
      <xdr:row>52</xdr:row>
      <xdr:rowOff>161364</xdr:rowOff>
    </xdr:from>
    <xdr:to>
      <xdr:col>4</xdr:col>
      <xdr:colOff>22860</xdr:colOff>
      <xdr:row>66</xdr:row>
      <xdr:rowOff>172794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E4F3F8-6C68-4AFF-B12B-A5579477A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143435</xdr:colOff>
      <xdr:row>53</xdr:row>
      <xdr:rowOff>17929</xdr:rowOff>
    </xdr:from>
    <xdr:to>
      <xdr:col>8</xdr:col>
      <xdr:colOff>40789</xdr:colOff>
      <xdr:row>67</xdr:row>
      <xdr:rowOff>29359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4FA16C-A787-4881-861F-26E6CE3C2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161365</xdr:colOff>
      <xdr:row>53</xdr:row>
      <xdr:rowOff>26895</xdr:rowOff>
    </xdr:from>
    <xdr:to>
      <xdr:col>13</xdr:col>
      <xdr:colOff>184225</xdr:colOff>
      <xdr:row>67</xdr:row>
      <xdr:rowOff>38325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2C539D5-F45E-41F2-A080-D27CE4D76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30154</xdr:colOff>
      <xdr:row>38</xdr:row>
      <xdr:rowOff>110836</xdr:rowOff>
    </xdr:from>
    <xdr:to>
      <xdr:col>19</xdr:col>
      <xdr:colOff>57048</xdr:colOff>
      <xdr:row>52</xdr:row>
      <xdr:rowOff>122266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D0D5BE-3C4B-425C-90F5-981D1204E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200484</xdr:colOff>
      <xdr:row>38</xdr:row>
      <xdr:rowOff>110836</xdr:rowOff>
    </xdr:from>
    <xdr:to>
      <xdr:col>24</xdr:col>
      <xdr:colOff>227378</xdr:colOff>
      <xdr:row>52</xdr:row>
      <xdr:rowOff>122266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4BE2079-652B-4F91-979C-AE9883268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299096</xdr:colOff>
      <xdr:row>38</xdr:row>
      <xdr:rowOff>119800</xdr:rowOff>
    </xdr:from>
    <xdr:to>
      <xdr:col>27</xdr:col>
      <xdr:colOff>137730</xdr:colOff>
      <xdr:row>52</xdr:row>
      <xdr:rowOff>131230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6F47B4-1641-41A6-AB09-41B0EB345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12224</xdr:colOff>
      <xdr:row>53</xdr:row>
      <xdr:rowOff>21189</xdr:rowOff>
    </xdr:from>
    <xdr:to>
      <xdr:col>19</xdr:col>
      <xdr:colOff>39118</xdr:colOff>
      <xdr:row>67</xdr:row>
      <xdr:rowOff>32620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1523273-9254-4417-A708-41BBFBB89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164625</xdr:colOff>
      <xdr:row>53</xdr:row>
      <xdr:rowOff>30152</xdr:rowOff>
    </xdr:from>
    <xdr:to>
      <xdr:col>24</xdr:col>
      <xdr:colOff>191519</xdr:colOff>
      <xdr:row>67</xdr:row>
      <xdr:rowOff>41583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69AEE9B-5B4C-4A1C-9538-99805345C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343920</xdr:colOff>
      <xdr:row>53</xdr:row>
      <xdr:rowOff>48083</xdr:rowOff>
    </xdr:from>
    <xdr:to>
      <xdr:col>27</xdr:col>
      <xdr:colOff>182554</xdr:colOff>
      <xdr:row>67</xdr:row>
      <xdr:rowOff>59514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219C6F-924E-4CDA-A182-2B92BC5DA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27709</xdr:colOff>
      <xdr:row>23</xdr:row>
      <xdr:rowOff>124691</xdr:rowOff>
    </xdr:from>
    <xdr:to>
      <xdr:col>19</xdr:col>
      <xdr:colOff>55418</xdr:colOff>
      <xdr:row>37</xdr:row>
      <xdr:rowOff>136121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663C2EF-ED15-4F57-B5E2-7CB0F57E8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152400</xdr:colOff>
      <xdr:row>23</xdr:row>
      <xdr:rowOff>108857</xdr:rowOff>
    </xdr:from>
    <xdr:to>
      <xdr:col>24</xdr:col>
      <xdr:colOff>180109</xdr:colOff>
      <xdr:row>37</xdr:row>
      <xdr:rowOff>120287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36E0EE8-2E82-4DF8-B509-65ED3CEE4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283030</xdr:colOff>
      <xdr:row>23</xdr:row>
      <xdr:rowOff>97972</xdr:rowOff>
    </xdr:from>
    <xdr:to>
      <xdr:col>27</xdr:col>
      <xdr:colOff>97973</xdr:colOff>
      <xdr:row>37</xdr:row>
      <xdr:rowOff>109402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28888A6-39CD-40D4-8E04-AEBBD5F87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489858</xdr:colOff>
      <xdr:row>38</xdr:row>
      <xdr:rowOff>108857</xdr:rowOff>
    </xdr:from>
    <xdr:to>
      <xdr:col>31</xdr:col>
      <xdr:colOff>527637</xdr:colOff>
      <xdr:row>52</xdr:row>
      <xdr:rowOff>120287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5E06319-2CAA-4596-96A7-4E2E13B8D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32</xdr:col>
      <xdr:colOff>10885</xdr:colOff>
      <xdr:row>38</xdr:row>
      <xdr:rowOff>97972</xdr:rowOff>
    </xdr:from>
    <xdr:to>
      <xdr:col>35</xdr:col>
      <xdr:colOff>405038</xdr:colOff>
      <xdr:row>52</xdr:row>
      <xdr:rowOff>109402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934E58C-6D96-4E02-9FE9-7E8B0F5CF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35</xdr:col>
      <xdr:colOff>544285</xdr:colOff>
      <xdr:row>38</xdr:row>
      <xdr:rowOff>87086</xdr:rowOff>
    </xdr:from>
    <xdr:to>
      <xdr:col>39</xdr:col>
      <xdr:colOff>130629</xdr:colOff>
      <xdr:row>52</xdr:row>
      <xdr:rowOff>98516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AFACF81-F117-4E0D-BB6C-557A1BCB0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27</xdr:col>
      <xdr:colOff>468086</xdr:colOff>
      <xdr:row>53</xdr:row>
      <xdr:rowOff>-1</xdr:rowOff>
    </xdr:from>
    <xdr:to>
      <xdr:col>31</xdr:col>
      <xdr:colOff>505865</xdr:colOff>
      <xdr:row>67</xdr:row>
      <xdr:rowOff>11429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BBF4E2F-E10D-414C-9FA7-ACF84ADF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555172</xdr:colOff>
      <xdr:row>52</xdr:row>
      <xdr:rowOff>130629</xdr:rowOff>
    </xdr:from>
    <xdr:to>
      <xdr:col>35</xdr:col>
      <xdr:colOff>435428</xdr:colOff>
      <xdr:row>66</xdr:row>
      <xdr:rowOff>142059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87C153C-20DF-48A3-8A95-8C020B51B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35</xdr:col>
      <xdr:colOff>511627</xdr:colOff>
      <xdr:row>52</xdr:row>
      <xdr:rowOff>174173</xdr:rowOff>
    </xdr:from>
    <xdr:to>
      <xdr:col>39</xdr:col>
      <xdr:colOff>97971</xdr:colOff>
      <xdr:row>67</xdr:row>
      <xdr:rowOff>545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81C30A8-137C-4778-88D5-F48C4F908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14</xdr:col>
      <xdr:colOff>60366</xdr:colOff>
      <xdr:row>23</xdr:row>
      <xdr:rowOff>135577</xdr:rowOff>
    </xdr:from>
    <xdr:to>
      <xdr:col>19</xdr:col>
      <xdr:colOff>88075</xdr:colOff>
      <xdr:row>37</xdr:row>
      <xdr:rowOff>147007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5602EC0-7454-282B-11EC-EDACE2A84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19</xdr:col>
      <xdr:colOff>185057</xdr:colOff>
      <xdr:row>23</xdr:row>
      <xdr:rowOff>119743</xdr:rowOff>
    </xdr:from>
    <xdr:to>
      <xdr:col>24</xdr:col>
      <xdr:colOff>212766</xdr:colOff>
      <xdr:row>37</xdr:row>
      <xdr:rowOff>131173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DE58B64-FF7B-D759-9984-E90B94496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35</xdr:col>
      <xdr:colOff>777836</xdr:colOff>
      <xdr:row>23</xdr:row>
      <xdr:rowOff>87086</xdr:rowOff>
    </xdr:from>
    <xdr:to>
      <xdr:col>39</xdr:col>
      <xdr:colOff>141515</xdr:colOff>
      <xdr:row>37</xdr:row>
      <xdr:rowOff>98516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C59D53C-5826-4C5F-B355-5722A1BED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27</xdr:col>
      <xdr:colOff>489858</xdr:colOff>
      <xdr:row>23</xdr:row>
      <xdr:rowOff>124691</xdr:rowOff>
    </xdr:from>
    <xdr:to>
      <xdr:col>31</xdr:col>
      <xdr:colOff>528452</xdr:colOff>
      <xdr:row>37</xdr:row>
      <xdr:rowOff>136121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53300DD-952C-409B-AF41-E0FCAB1AB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15834</xdr:colOff>
      <xdr:row>23</xdr:row>
      <xdr:rowOff>108857</xdr:rowOff>
    </xdr:from>
    <xdr:to>
      <xdr:col>35</xdr:col>
      <xdr:colOff>707572</xdr:colOff>
      <xdr:row>37</xdr:row>
      <xdr:rowOff>120287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69B0290-B576-4BDC-8B7A-AC3496FDC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27</xdr:col>
      <xdr:colOff>566059</xdr:colOff>
      <xdr:row>38</xdr:row>
      <xdr:rowOff>141514</xdr:rowOff>
    </xdr:from>
    <xdr:to>
      <xdr:col>31</xdr:col>
      <xdr:colOff>435428</xdr:colOff>
      <xdr:row>52</xdr:row>
      <xdr:rowOff>152944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4CB5930-32E0-729F-C9E7-921D16625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32</xdr:col>
      <xdr:colOff>43543</xdr:colOff>
      <xdr:row>38</xdr:row>
      <xdr:rowOff>97972</xdr:rowOff>
    </xdr:from>
    <xdr:to>
      <xdr:col>35</xdr:col>
      <xdr:colOff>437696</xdr:colOff>
      <xdr:row>52</xdr:row>
      <xdr:rowOff>109402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3A2A6BA-CB15-B323-C6E4-4C97F191E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39</xdr:col>
      <xdr:colOff>555170</xdr:colOff>
      <xdr:row>38</xdr:row>
      <xdr:rowOff>97972</xdr:rowOff>
    </xdr:from>
    <xdr:to>
      <xdr:col>44</xdr:col>
      <xdr:colOff>87086</xdr:colOff>
      <xdr:row>52</xdr:row>
      <xdr:rowOff>109402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E2332F8-03E8-4992-8175-2C2016A94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44</xdr:col>
      <xdr:colOff>119742</xdr:colOff>
      <xdr:row>38</xdr:row>
      <xdr:rowOff>87085</xdr:rowOff>
    </xdr:from>
    <xdr:to>
      <xdr:col>47</xdr:col>
      <xdr:colOff>76200</xdr:colOff>
      <xdr:row>52</xdr:row>
      <xdr:rowOff>98515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DEE3052-068B-4009-BFC5-A6D18A61F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47</xdr:col>
      <xdr:colOff>206828</xdr:colOff>
      <xdr:row>38</xdr:row>
      <xdr:rowOff>108857</xdr:rowOff>
    </xdr:from>
    <xdr:to>
      <xdr:col>52</xdr:col>
      <xdr:colOff>65312</xdr:colOff>
      <xdr:row>52</xdr:row>
      <xdr:rowOff>120287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3022863-8246-4D3F-8E30-4F8DDF59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39</xdr:col>
      <xdr:colOff>533399</xdr:colOff>
      <xdr:row>53</xdr:row>
      <xdr:rowOff>0</xdr:rowOff>
    </xdr:from>
    <xdr:to>
      <xdr:col>44</xdr:col>
      <xdr:colOff>65315</xdr:colOff>
      <xdr:row>67</xdr:row>
      <xdr:rowOff>11430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0D94379-44AE-474F-8173-A0FF030E9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44</xdr:col>
      <xdr:colOff>141514</xdr:colOff>
      <xdr:row>53</xdr:row>
      <xdr:rowOff>65313</xdr:rowOff>
    </xdr:from>
    <xdr:to>
      <xdr:col>47</xdr:col>
      <xdr:colOff>97972</xdr:colOff>
      <xdr:row>67</xdr:row>
      <xdr:rowOff>76743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7398B51-C732-42A2-91DB-0938EF00B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47</xdr:col>
      <xdr:colOff>283028</xdr:colOff>
      <xdr:row>53</xdr:row>
      <xdr:rowOff>43541</xdr:rowOff>
    </xdr:from>
    <xdr:to>
      <xdr:col>52</xdr:col>
      <xdr:colOff>141512</xdr:colOff>
      <xdr:row>67</xdr:row>
      <xdr:rowOff>54971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23D5905-2C00-443F-AE5A-D157B25B2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47</xdr:col>
      <xdr:colOff>298864</xdr:colOff>
      <xdr:row>23</xdr:row>
      <xdr:rowOff>65315</xdr:rowOff>
    </xdr:from>
    <xdr:to>
      <xdr:col>52</xdr:col>
      <xdr:colOff>0</xdr:colOff>
      <xdr:row>37</xdr:row>
      <xdr:rowOff>76745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7A49CD4C-89CB-49C7-BC39-BF6ED0691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39</xdr:col>
      <xdr:colOff>500743</xdr:colOff>
      <xdr:row>23</xdr:row>
      <xdr:rowOff>102920</xdr:rowOff>
    </xdr:from>
    <xdr:to>
      <xdr:col>44</xdr:col>
      <xdr:colOff>71252</xdr:colOff>
      <xdr:row>37</xdr:row>
      <xdr:rowOff>114350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E73737D3-D367-4513-8B53-435D7E9D8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44</xdr:col>
      <xdr:colOff>168234</xdr:colOff>
      <xdr:row>23</xdr:row>
      <xdr:rowOff>87086</xdr:rowOff>
    </xdr:from>
    <xdr:to>
      <xdr:col>47</xdr:col>
      <xdr:colOff>228600</xdr:colOff>
      <xdr:row>37</xdr:row>
      <xdr:rowOff>98516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40517A88-8DB0-4DBF-9FE8-9E76900A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52</xdr:col>
      <xdr:colOff>239486</xdr:colOff>
      <xdr:row>23</xdr:row>
      <xdr:rowOff>87087</xdr:rowOff>
    </xdr:from>
    <xdr:to>
      <xdr:col>55</xdr:col>
      <xdr:colOff>533398</xdr:colOff>
      <xdr:row>37</xdr:row>
      <xdr:rowOff>98517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36BAC01-7C0D-4EC1-B782-878565551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55</xdr:col>
      <xdr:colOff>609600</xdr:colOff>
      <xdr:row>23</xdr:row>
      <xdr:rowOff>97972</xdr:rowOff>
    </xdr:from>
    <xdr:to>
      <xdr:col>59</xdr:col>
      <xdr:colOff>217713</xdr:colOff>
      <xdr:row>37</xdr:row>
      <xdr:rowOff>109402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9641584-D13B-4A0C-9189-A43049023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59</xdr:col>
      <xdr:colOff>337457</xdr:colOff>
      <xdr:row>23</xdr:row>
      <xdr:rowOff>141515</xdr:rowOff>
    </xdr:from>
    <xdr:to>
      <xdr:col>64</xdr:col>
      <xdr:colOff>195941</xdr:colOff>
      <xdr:row>37</xdr:row>
      <xdr:rowOff>152945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5FD475E9-9980-4407-9596-7C8886837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52</xdr:col>
      <xdr:colOff>233083</xdr:colOff>
      <xdr:row>38</xdr:row>
      <xdr:rowOff>98612</xdr:rowOff>
    </xdr:from>
    <xdr:to>
      <xdr:col>55</xdr:col>
      <xdr:colOff>530837</xdr:colOff>
      <xdr:row>52</xdr:row>
      <xdr:rowOff>110041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BCD78710-6C80-4856-80AB-D2F9876BB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55</xdr:col>
      <xdr:colOff>645458</xdr:colOff>
      <xdr:row>38</xdr:row>
      <xdr:rowOff>71718</xdr:rowOff>
    </xdr:from>
    <xdr:to>
      <xdr:col>59</xdr:col>
      <xdr:colOff>261895</xdr:colOff>
      <xdr:row>52</xdr:row>
      <xdr:rowOff>83147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202B030-A520-4FC6-B522-EB28B07A9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59</xdr:col>
      <xdr:colOff>340659</xdr:colOff>
      <xdr:row>38</xdr:row>
      <xdr:rowOff>80683</xdr:rowOff>
    </xdr:from>
    <xdr:to>
      <xdr:col>64</xdr:col>
      <xdr:colOff>199143</xdr:colOff>
      <xdr:row>52</xdr:row>
      <xdr:rowOff>92112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F58B7479-A9F0-41EE-AA25-F70FE94D2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206188</xdr:colOff>
      <xdr:row>52</xdr:row>
      <xdr:rowOff>161364</xdr:rowOff>
    </xdr:from>
    <xdr:to>
      <xdr:col>4</xdr:col>
      <xdr:colOff>49754</xdr:colOff>
      <xdr:row>66</xdr:row>
      <xdr:rowOff>172794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88961E-EAEE-4CBA-FAC5-AF5DEF146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58</xdr:col>
      <xdr:colOff>392206</xdr:colOff>
      <xdr:row>1</xdr:row>
      <xdr:rowOff>78441</xdr:rowOff>
    </xdr:from>
    <xdr:to>
      <xdr:col>66</xdr:col>
      <xdr:colOff>302558</xdr:colOff>
      <xdr:row>19</xdr:row>
      <xdr:rowOff>100853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B17ED47-3FA7-4520-988B-3C31DE2AE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180975</xdr:colOff>
      <xdr:row>26</xdr:row>
      <xdr:rowOff>95250</xdr:rowOff>
    </xdr:from>
    <xdr:to>
      <xdr:col>19</xdr:col>
      <xdr:colOff>219075</xdr:colOff>
      <xdr:row>41</xdr:row>
      <xdr:rowOff>9526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08D55-643D-7DFD-3250-199073F33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314325</xdr:colOff>
      <xdr:row>26</xdr:row>
      <xdr:rowOff>123826</xdr:rowOff>
    </xdr:from>
    <xdr:to>
      <xdr:col>24</xdr:col>
      <xdr:colOff>476250</xdr:colOff>
      <xdr:row>41</xdr:row>
      <xdr:rowOff>38102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0EB16E-A7A9-4A1D-87F6-63F22479F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552450</xdr:colOff>
      <xdr:row>26</xdr:row>
      <xdr:rowOff>142875</xdr:rowOff>
    </xdr:from>
    <xdr:to>
      <xdr:col>30</xdr:col>
      <xdr:colOff>104775</xdr:colOff>
      <xdr:row>41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ADF5D6-A90C-4624-A3FC-71D9FA238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180975</xdr:colOff>
      <xdr:row>26</xdr:row>
      <xdr:rowOff>123825</xdr:rowOff>
    </xdr:from>
    <xdr:to>
      <xdr:col>34</xdr:col>
      <xdr:colOff>171450</xdr:colOff>
      <xdr:row>41</xdr:row>
      <xdr:rowOff>38101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B5AEBA-D4A6-435E-A92F-8538DBD35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466725</xdr:colOff>
      <xdr:row>48</xdr:row>
      <xdr:rowOff>0</xdr:rowOff>
    </xdr:from>
    <xdr:to>
      <xdr:col>19</xdr:col>
      <xdr:colOff>504825</xdr:colOff>
      <xdr:row>62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F852F7-AE5D-4E75-BAD3-871321D62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54</xdr:row>
      <xdr:rowOff>0</xdr:rowOff>
    </xdr:from>
    <xdr:to>
      <xdr:col>6</xdr:col>
      <xdr:colOff>752475</xdr:colOff>
      <xdr:row>68</xdr:row>
      <xdr:rowOff>104776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39F3D0-B8E3-4282-8F7A-769EA2424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D673-A6E9-4A50-ABDD-A71D46703B35}">
  <dimension ref="A1:BF44"/>
  <sheetViews>
    <sheetView topLeftCell="A16" workbookViewId="0">
      <selection activeCell="R35" sqref="R35"/>
    </sheetView>
  </sheetViews>
  <sheetFormatPr defaultRowHeight="15" x14ac:dyDescent="0.25"/>
  <cols>
    <col min="2" max="2" width="13.7109375" customWidth="1"/>
    <col min="3" max="3" width="12.5703125" customWidth="1"/>
    <col min="4" max="4" width="13" customWidth="1"/>
    <col min="5" max="6" width="12.28515625" customWidth="1"/>
    <col min="7" max="7" width="13.7109375" customWidth="1"/>
    <col min="10" max="11" width="9" bestFit="1" customWidth="1"/>
    <col min="12" max="13" width="9.5703125" bestFit="1" customWidth="1"/>
  </cols>
  <sheetData>
    <row r="1" spans="1:58" x14ac:dyDescent="0.25">
      <c r="E1" s="140" t="s">
        <v>48</v>
      </c>
      <c r="F1" s="140"/>
      <c r="G1" s="140"/>
      <c r="O1" t="s">
        <v>49</v>
      </c>
      <c r="AC1" t="s">
        <v>50</v>
      </c>
    </row>
    <row r="2" spans="1:58" x14ac:dyDescent="0.25">
      <c r="A2" s="1" t="s">
        <v>0</v>
      </c>
      <c r="B2" s="1" t="s">
        <v>46</v>
      </c>
      <c r="C2" s="1" t="s">
        <v>45</v>
      </c>
      <c r="D2" s="1" t="s">
        <v>47</v>
      </c>
      <c r="E2" s="1" t="s">
        <v>1</v>
      </c>
      <c r="F2" s="1" t="s">
        <v>2</v>
      </c>
      <c r="G2" s="1" t="s">
        <v>3</v>
      </c>
      <c r="H2" s="5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6" t="s">
        <v>9</v>
      </c>
      <c r="O2" s="31" t="s">
        <v>0</v>
      </c>
      <c r="P2" s="32" t="s">
        <v>46</v>
      </c>
      <c r="Q2" s="32" t="s">
        <v>45</v>
      </c>
      <c r="R2" s="32" t="s">
        <v>47</v>
      </c>
      <c r="S2" s="32" t="s">
        <v>1</v>
      </c>
      <c r="T2" s="32" t="s">
        <v>2</v>
      </c>
      <c r="U2" s="32" t="s">
        <v>3</v>
      </c>
      <c r="V2" s="31" t="s">
        <v>4</v>
      </c>
      <c r="W2" s="32" t="s">
        <v>5</v>
      </c>
      <c r="X2" s="32" t="s">
        <v>6</v>
      </c>
      <c r="Y2" s="32" t="s">
        <v>7</v>
      </c>
      <c r="Z2" s="32" t="s">
        <v>8</v>
      </c>
      <c r="AA2" s="33" t="s">
        <v>9</v>
      </c>
      <c r="AC2" s="31" t="s">
        <v>0</v>
      </c>
      <c r="AD2" s="32" t="s">
        <v>46</v>
      </c>
      <c r="AE2" s="32" t="s">
        <v>45</v>
      </c>
      <c r="AF2" s="32" t="s">
        <v>47</v>
      </c>
      <c r="AG2" s="32" t="s">
        <v>1</v>
      </c>
      <c r="AH2" s="32" t="s">
        <v>2</v>
      </c>
      <c r="AI2" s="32" t="s">
        <v>3</v>
      </c>
      <c r="AJ2" s="31" t="s">
        <v>4</v>
      </c>
      <c r="AK2" s="32" t="s">
        <v>5</v>
      </c>
      <c r="AL2" s="32" t="s">
        <v>6</v>
      </c>
      <c r="AM2" s="32" t="s">
        <v>7</v>
      </c>
      <c r="AN2" s="32" t="s">
        <v>8</v>
      </c>
      <c r="AO2" s="33" t="s">
        <v>9</v>
      </c>
      <c r="AS2" s="1" t="s">
        <v>0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  <c r="BA2" t="s">
        <v>27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</row>
    <row r="3" spans="1:58" x14ac:dyDescent="0.25">
      <c r="A3" s="2">
        <v>167</v>
      </c>
      <c r="B3" s="2">
        <v>128</v>
      </c>
      <c r="C3" s="2">
        <v>220</v>
      </c>
      <c r="D3" s="2">
        <v>7</v>
      </c>
      <c r="E3" s="27">
        <v>0.104819100180613</v>
      </c>
      <c r="F3" s="27">
        <v>3.3154403752457901E-2</v>
      </c>
      <c r="G3" s="27">
        <v>2.2914216154744201E-2</v>
      </c>
      <c r="H3" s="30">
        <v>6</v>
      </c>
      <c r="I3" s="8">
        <v>16</v>
      </c>
      <c r="J3" s="8">
        <v>96</v>
      </c>
      <c r="K3" s="8">
        <v>264</v>
      </c>
      <c r="L3" s="8">
        <v>604</v>
      </c>
      <c r="M3" s="29">
        <v>978</v>
      </c>
      <c r="O3" s="34">
        <v>167</v>
      </c>
      <c r="P3" s="2">
        <v>128</v>
      </c>
      <c r="Q3" s="2">
        <v>220</v>
      </c>
      <c r="R3" s="2">
        <v>7</v>
      </c>
      <c r="S3" s="27">
        <v>0.104819100180613</v>
      </c>
      <c r="T3" s="27">
        <v>3.3154403752457901E-2</v>
      </c>
      <c r="U3" s="27">
        <v>2.2914216154744201E-2</v>
      </c>
      <c r="V3" s="30">
        <v>6</v>
      </c>
      <c r="W3" s="8">
        <v>16</v>
      </c>
      <c r="X3" s="8">
        <v>96</v>
      </c>
      <c r="Y3" s="8">
        <v>264</v>
      </c>
      <c r="Z3" s="8">
        <v>604</v>
      </c>
      <c r="AA3" s="29">
        <v>978</v>
      </c>
      <c r="AC3" s="34">
        <v>8</v>
      </c>
      <c r="AD3" s="2">
        <v>128</v>
      </c>
      <c r="AE3" s="2">
        <v>160</v>
      </c>
      <c r="AF3" s="2">
        <v>10</v>
      </c>
      <c r="AG3" s="27">
        <v>0.161944718485239</v>
      </c>
      <c r="AH3" s="27">
        <v>3.2526116479269097E-2</v>
      </c>
      <c r="AI3" s="27">
        <v>7.7989329746457701E-3</v>
      </c>
      <c r="AJ3" s="30">
        <v>10</v>
      </c>
      <c r="AK3" s="8">
        <v>31</v>
      </c>
      <c r="AL3" s="8">
        <v>89</v>
      </c>
      <c r="AM3" s="8">
        <v>230</v>
      </c>
      <c r="AN3" s="8">
        <v>509</v>
      </c>
      <c r="AO3" s="29">
        <v>1493</v>
      </c>
      <c r="AS3" s="2">
        <v>167</v>
      </c>
      <c r="AT3">
        <v>6.4069250048013796E-2</v>
      </c>
      <c r="AU3">
        <v>0.17940701762775299</v>
      </c>
      <c r="AV3">
        <v>0.59727911911144405</v>
      </c>
      <c r="AW3">
        <v>2.1218818406845701</v>
      </c>
      <c r="AX3">
        <v>8.4875273627382803</v>
      </c>
      <c r="AY3">
        <v>33.9501094509531</v>
      </c>
      <c r="BA3">
        <v>0.104819100180613</v>
      </c>
      <c r="BB3">
        <v>0.41927640072245398</v>
      </c>
      <c r="BC3">
        <v>1.6771056028898099</v>
      </c>
      <c r="BD3">
        <v>6.7084224115592699</v>
      </c>
      <c r="BE3">
        <v>26.833689646237001</v>
      </c>
      <c r="BF3">
        <v>107.33475858494801</v>
      </c>
    </row>
    <row r="4" spans="1:58" x14ac:dyDescent="0.25">
      <c r="A4" s="2">
        <v>6</v>
      </c>
      <c r="B4" s="2">
        <v>128</v>
      </c>
      <c r="C4" s="2">
        <v>150</v>
      </c>
      <c r="D4" s="2">
        <v>10</v>
      </c>
      <c r="E4" s="27">
        <v>5.1422303101187901E-2</v>
      </c>
      <c r="F4" s="27">
        <v>1.43345982575964E-2</v>
      </c>
      <c r="G4" s="27">
        <v>7.2966466530169603E-3</v>
      </c>
      <c r="H4" s="30">
        <v>2</v>
      </c>
      <c r="I4" s="8">
        <v>8</v>
      </c>
      <c r="J4" s="8">
        <v>65</v>
      </c>
      <c r="K4" s="8">
        <v>195</v>
      </c>
      <c r="L4" s="8">
        <v>628</v>
      </c>
      <c r="M4" s="29">
        <v>1690</v>
      </c>
      <c r="O4" s="34">
        <v>6</v>
      </c>
      <c r="P4" s="2">
        <v>128</v>
      </c>
      <c r="Q4" s="2">
        <v>150</v>
      </c>
      <c r="R4" s="2">
        <v>10</v>
      </c>
      <c r="S4" s="27">
        <v>5.1422303101187901E-2</v>
      </c>
      <c r="T4" s="27">
        <v>1.43345982575964E-2</v>
      </c>
      <c r="U4" s="27">
        <v>7.2966466530169603E-3</v>
      </c>
      <c r="V4" s="30">
        <v>2</v>
      </c>
      <c r="W4" s="8">
        <v>8</v>
      </c>
      <c r="X4" s="8">
        <v>65</v>
      </c>
      <c r="Y4" s="8">
        <v>195</v>
      </c>
      <c r="Z4" s="8">
        <v>628</v>
      </c>
      <c r="AA4" s="29">
        <v>1690</v>
      </c>
      <c r="AC4" s="34">
        <v>168</v>
      </c>
      <c r="AD4" s="2">
        <v>128</v>
      </c>
      <c r="AE4" s="2">
        <v>196</v>
      </c>
      <c r="AF4" s="2">
        <v>10</v>
      </c>
      <c r="AG4" s="27">
        <v>8.9416636847151898E-2</v>
      </c>
      <c r="AH4" s="27">
        <v>2.1060905578879598E-2</v>
      </c>
      <c r="AI4" s="27">
        <v>9.6694169987568603E-3</v>
      </c>
      <c r="AJ4" s="30">
        <v>4</v>
      </c>
      <c r="AK4" s="8">
        <v>16</v>
      </c>
      <c r="AL4" s="8">
        <v>110</v>
      </c>
      <c r="AM4" s="8">
        <v>255</v>
      </c>
      <c r="AN4" s="8">
        <v>489</v>
      </c>
      <c r="AO4" s="29">
        <v>1351</v>
      </c>
      <c r="AS4" s="2">
        <v>6</v>
      </c>
      <c r="AT4">
        <v>5.1422303616638097E-2</v>
      </c>
      <c r="AU4">
        <v>0.136504884052633</v>
      </c>
      <c r="AV4">
        <v>0.26754282688021702</v>
      </c>
      <c r="AW4">
        <v>0.98750358289623297</v>
      </c>
      <c r="AX4">
        <v>3.6696571758817198</v>
      </c>
      <c r="AY4">
        <v>14.678628703526799</v>
      </c>
      <c r="BA4">
        <v>5.1422303101187901E-2</v>
      </c>
      <c r="BB4">
        <v>0.20568921240475099</v>
      </c>
      <c r="BC4">
        <v>0.82275684961900697</v>
      </c>
      <c r="BD4">
        <v>3.2910273984760301</v>
      </c>
      <c r="BE4">
        <v>13.164109593904101</v>
      </c>
      <c r="BF4">
        <v>52.656438375616403</v>
      </c>
    </row>
    <row r="5" spans="1:58" x14ac:dyDescent="0.25">
      <c r="A5" s="2">
        <v>8</v>
      </c>
      <c r="B5" s="2">
        <v>128</v>
      </c>
      <c r="C5" s="2">
        <v>160</v>
      </c>
      <c r="D5" s="2">
        <v>10</v>
      </c>
      <c r="E5" s="27">
        <v>0.161944718485239</v>
      </c>
      <c r="F5" s="27">
        <v>3.2526116479269097E-2</v>
      </c>
      <c r="G5" s="27">
        <v>7.7989329746457701E-3</v>
      </c>
      <c r="H5" s="30">
        <v>10</v>
      </c>
      <c r="I5" s="8">
        <v>31</v>
      </c>
      <c r="J5" s="8">
        <v>89</v>
      </c>
      <c r="K5" s="8">
        <v>230</v>
      </c>
      <c r="L5" s="8">
        <v>509</v>
      </c>
      <c r="M5" s="29">
        <v>1493</v>
      </c>
      <c r="O5" s="34">
        <v>150</v>
      </c>
      <c r="P5" s="2">
        <v>90</v>
      </c>
      <c r="Q5" s="2">
        <v>108.42</v>
      </c>
      <c r="R5" s="2">
        <v>5</v>
      </c>
      <c r="S5" s="27">
        <v>4.68499378365069E-2</v>
      </c>
      <c r="T5" s="27">
        <v>1.9737041545963101E-2</v>
      </c>
      <c r="U5" s="27">
        <v>1.1301251811562101E-2</v>
      </c>
      <c r="V5" s="30">
        <v>2</v>
      </c>
      <c r="W5" s="8">
        <v>16</v>
      </c>
      <c r="X5" s="8">
        <v>41</v>
      </c>
      <c r="Y5" s="8">
        <v>139</v>
      </c>
      <c r="Z5" s="8">
        <v>414</v>
      </c>
      <c r="AA5" s="29">
        <v>882</v>
      </c>
      <c r="AC5" s="34">
        <v>22</v>
      </c>
      <c r="AD5" s="2">
        <v>90</v>
      </c>
      <c r="AE5" s="2"/>
      <c r="AF5" s="2">
        <v>10</v>
      </c>
      <c r="AG5" s="27">
        <v>6.2688332148029005E-2</v>
      </c>
      <c r="AH5" s="27">
        <v>1.8357479777712401E-2</v>
      </c>
      <c r="AI5" s="27">
        <v>5.3392743586913897E-3</v>
      </c>
      <c r="AJ5" s="30">
        <v>3</v>
      </c>
      <c r="AK5" s="8">
        <v>21</v>
      </c>
      <c r="AL5" s="8">
        <v>91</v>
      </c>
      <c r="AM5" s="8">
        <v>212</v>
      </c>
      <c r="AN5" s="8">
        <v>660</v>
      </c>
      <c r="AO5" s="29">
        <v>1581</v>
      </c>
      <c r="AS5" s="2">
        <v>8</v>
      </c>
      <c r="AT5">
        <v>9.4968206718967205E-2</v>
      </c>
      <c r="AU5">
        <v>0.31788484763340902</v>
      </c>
      <c r="AV5">
        <v>0.78149567271952003</v>
      </c>
      <c r="AW5">
        <v>2.2740324054836099</v>
      </c>
      <c r="AX5">
        <v>8.3266858207082599</v>
      </c>
      <c r="AY5">
        <v>33.306743282832997</v>
      </c>
      <c r="BA5">
        <v>0.161944718485239</v>
      </c>
      <c r="BB5">
        <v>0.64777887394095901</v>
      </c>
      <c r="BC5">
        <v>2.5911154957638298</v>
      </c>
      <c r="BD5">
        <v>10.3644619830553</v>
      </c>
      <c r="BE5">
        <v>41.457847932221398</v>
      </c>
      <c r="BF5">
        <v>165.831391728885</v>
      </c>
    </row>
    <row r="6" spans="1:58" x14ac:dyDescent="0.25">
      <c r="A6" s="2">
        <v>168</v>
      </c>
      <c r="B6" s="2">
        <v>128</v>
      </c>
      <c r="C6" s="2">
        <v>196</v>
      </c>
      <c r="D6" s="2">
        <v>10</v>
      </c>
      <c r="E6" s="27">
        <v>8.9416636847151898E-2</v>
      </c>
      <c r="F6" s="27">
        <v>2.1060905578879598E-2</v>
      </c>
      <c r="G6" s="27">
        <v>9.6694169987568603E-3</v>
      </c>
      <c r="H6" s="30">
        <v>4</v>
      </c>
      <c r="I6" s="8">
        <v>16</v>
      </c>
      <c r="J6" s="8">
        <v>110</v>
      </c>
      <c r="K6" s="8">
        <v>255</v>
      </c>
      <c r="L6" s="8">
        <v>489</v>
      </c>
      <c r="M6" s="29">
        <v>1351</v>
      </c>
      <c r="O6" s="34">
        <v>11</v>
      </c>
      <c r="P6" s="2">
        <v>90</v>
      </c>
      <c r="Q6" s="2">
        <v>127.22</v>
      </c>
      <c r="R6" s="2">
        <v>8</v>
      </c>
      <c r="S6" s="27">
        <v>5.1754391722476999E-2</v>
      </c>
      <c r="T6" s="27">
        <v>2.3629413923689099E-2</v>
      </c>
      <c r="U6" s="27">
        <v>3.0143536797057099E-2</v>
      </c>
      <c r="V6" s="30">
        <v>6</v>
      </c>
      <c r="W6" s="8">
        <v>29</v>
      </c>
      <c r="X6" s="8">
        <v>102</v>
      </c>
      <c r="Y6" s="8">
        <v>246</v>
      </c>
      <c r="Z6" s="8">
        <v>493</v>
      </c>
      <c r="AA6" s="29">
        <v>1329</v>
      </c>
      <c r="AC6" s="34">
        <v>152</v>
      </c>
      <c r="AD6" s="2">
        <v>90</v>
      </c>
      <c r="AE6" s="2">
        <v>91.54</v>
      </c>
      <c r="AF6" s="2">
        <v>10</v>
      </c>
      <c r="AG6" s="27">
        <v>0.10293183462706799</v>
      </c>
      <c r="AH6" s="27">
        <v>2.3869849132825499E-2</v>
      </c>
      <c r="AI6" s="27">
        <v>8.4624680045280194E-3</v>
      </c>
      <c r="AJ6" s="30">
        <v>9</v>
      </c>
      <c r="AK6" s="8">
        <v>32</v>
      </c>
      <c r="AL6" s="8">
        <v>75</v>
      </c>
      <c r="AM6" s="8">
        <v>233</v>
      </c>
      <c r="AN6" s="8">
        <v>700</v>
      </c>
      <c r="AO6" s="29">
        <v>1639</v>
      </c>
      <c r="AS6" s="2">
        <v>168</v>
      </c>
      <c r="AT6">
        <v>5.6005964760614799E-2</v>
      </c>
      <c r="AU6">
        <v>0.16309275016740199</v>
      </c>
      <c r="AV6">
        <v>0.449858505678978</v>
      </c>
      <c r="AW6">
        <v>1.61414237742101</v>
      </c>
      <c r="AX6">
        <v>5.3915917727487104</v>
      </c>
      <c r="AY6">
        <v>21.566367090994799</v>
      </c>
      <c r="BA6">
        <v>8.9416636847151898E-2</v>
      </c>
      <c r="BB6">
        <v>0.35766654738860698</v>
      </c>
      <c r="BC6">
        <v>1.4306661895544299</v>
      </c>
      <c r="BD6">
        <v>5.7226647582177197</v>
      </c>
      <c r="BE6">
        <v>22.890659032870801</v>
      </c>
      <c r="BF6">
        <v>91.562636131483501</v>
      </c>
    </row>
    <row r="7" spans="1:58" x14ac:dyDescent="0.25">
      <c r="A7" s="2">
        <v>150</v>
      </c>
      <c r="B7" s="2">
        <v>90</v>
      </c>
      <c r="C7" s="2">
        <v>108.42</v>
      </c>
      <c r="D7" s="2">
        <v>5</v>
      </c>
      <c r="E7" s="27">
        <v>4.68499378365069E-2</v>
      </c>
      <c r="F7" s="27">
        <v>1.9737041545963101E-2</v>
      </c>
      <c r="G7" s="27">
        <v>1.1301251811562101E-2</v>
      </c>
      <c r="H7" s="30">
        <v>2</v>
      </c>
      <c r="I7" s="8">
        <v>16</v>
      </c>
      <c r="J7" s="8">
        <v>41</v>
      </c>
      <c r="K7" s="8">
        <v>139</v>
      </c>
      <c r="L7" s="8">
        <v>414</v>
      </c>
      <c r="M7" s="29">
        <v>882</v>
      </c>
      <c r="O7" s="34">
        <v>12</v>
      </c>
      <c r="P7" s="2">
        <v>64</v>
      </c>
      <c r="Q7" s="2">
        <v>84.2</v>
      </c>
      <c r="R7" s="2">
        <v>3</v>
      </c>
      <c r="S7" s="27">
        <v>4.4543546788178297E-2</v>
      </c>
      <c r="T7" s="27">
        <v>2.3352349155409499E-2</v>
      </c>
      <c r="U7" s="27">
        <v>2.1759151907210301E-2</v>
      </c>
      <c r="V7" s="30">
        <v>3</v>
      </c>
      <c r="W7" s="8">
        <v>14</v>
      </c>
      <c r="X7" s="8">
        <v>41</v>
      </c>
      <c r="Y7" s="8">
        <v>103</v>
      </c>
      <c r="Z7" s="8">
        <v>323</v>
      </c>
      <c r="AA7" s="29">
        <v>559</v>
      </c>
      <c r="AC7" s="34">
        <v>101</v>
      </c>
      <c r="AD7" s="2">
        <v>64</v>
      </c>
      <c r="AE7" s="2">
        <v>108.92</v>
      </c>
      <c r="AF7" s="2">
        <v>6</v>
      </c>
      <c r="AG7" s="27">
        <v>3.00794247374499E-2</v>
      </c>
      <c r="AH7" s="27">
        <v>1.50358559887077E-2</v>
      </c>
      <c r="AI7" s="27">
        <v>9.2196022769056602E-3</v>
      </c>
      <c r="AJ7" s="30">
        <v>2</v>
      </c>
      <c r="AK7" s="8">
        <v>9</v>
      </c>
      <c r="AL7" s="8">
        <v>49</v>
      </c>
      <c r="AM7" s="8">
        <v>132</v>
      </c>
      <c r="AN7" s="8">
        <v>544</v>
      </c>
      <c r="AO7" s="29">
        <v>1041</v>
      </c>
      <c r="AS7" s="2">
        <v>150</v>
      </c>
      <c r="AT7">
        <v>4.6849938207403699E-2</v>
      </c>
      <c r="AU7">
        <v>0.12535462962986799</v>
      </c>
      <c r="AV7">
        <v>0.44063655773576799</v>
      </c>
      <c r="AW7">
        <v>1.4715502319528799</v>
      </c>
      <c r="AX7">
        <v>5.0526826474058097</v>
      </c>
      <c r="AY7">
        <v>20.2107305896232</v>
      </c>
      <c r="BA7">
        <v>4.68499378365069E-2</v>
      </c>
      <c r="BB7">
        <v>0.18739975134602699</v>
      </c>
      <c r="BC7">
        <v>0.74959900538411095</v>
      </c>
      <c r="BD7">
        <v>2.9983960215364398</v>
      </c>
      <c r="BE7">
        <v>11.993584086145701</v>
      </c>
      <c r="BF7">
        <v>47.974336344583101</v>
      </c>
    </row>
    <row r="8" spans="1:58" x14ac:dyDescent="0.25">
      <c r="A8" s="2">
        <v>11</v>
      </c>
      <c r="B8" s="2">
        <v>90</v>
      </c>
      <c r="C8" s="2">
        <v>127.22</v>
      </c>
      <c r="D8" s="2">
        <v>8</v>
      </c>
      <c r="E8" s="27">
        <v>5.1754391722476999E-2</v>
      </c>
      <c r="F8" s="27">
        <v>2.3629413923689099E-2</v>
      </c>
      <c r="G8" s="27">
        <v>3.0143536797057099E-2</v>
      </c>
      <c r="H8" s="30">
        <v>6</v>
      </c>
      <c r="I8" s="8">
        <v>29</v>
      </c>
      <c r="J8" s="8">
        <v>102</v>
      </c>
      <c r="K8" s="8">
        <v>246</v>
      </c>
      <c r="L8" s="8">
        <v>493</v>
      </c>
      <c r="M8" s="29">
        <v>1329</v>
      </c>
      <c r="O8" s="34">
        <v>96</v>
      </c>
      <c r="P8" s="2">
        <v>64</v>
      </c>
      <c r="Q8" s="2">
        <v>86.98</v>
      </c>
      <c r="R8" s="2">
        <v>8</v>
      </c>
      <c r="S8" s="27">
        <v>9.5639162401153693E-2</v>
      </c>
      <c r="T8" s="27">
        <v>1.9277468694701001E-2</v>
      </c>
      <c r="U8" s="27">
        <v>5.1627678565697001E-3</v>
      </c>
      <c r="V8" s="30">
        <v>3</v>
      </c>
      <c r="W8" s="8">
        <v>22</v>
      </c>
      <c r="X8" s="8">
        <v>58</v>
      </c>
      <c r="Y8" s="8">
        <v>165</v>
      </c>
      <c r="Z8" s="8">
        <v>559</v>
      </c>
      <c r="AA8" s="29">
        <v>1384</v>
      </c>
      <c r="AC8" s="34">
        <v>24</v>
      </c>
      <c r="AD8" s="2">
        <v>64</v>
      </c>
      <c r="AE8" s="2">
        <v>87.08</v>
      </c>
      <c r="AF8" s="2">
        <v>10</v>
      </c>
      <c r="AG8" s="27">
        <v>0.10538288704710901</v>
      </c>
      <c r="AH8" s="27">
        <v>1.6430974908246999E-2</v>
      </c>
      <c r="AI8" s="27">
        <v>6.0105568763227698E-3</v>
      </c>
      <c r="AJ8" s="30">
        <v>5</v>
      </c>
      <c r="AK8" s="8">
        <v>18</v>
      </c>
      <c r="AL8" s="8">
        <v>43</v>
      </c>
      <c r="AM8" s="8">
        <v>139</v>
      </c>
      <c r="AN8" s="8">
        <v>586</v>
      </c>
      <c r="AO8" s="29">
        <v>1730</v>
      </c>
      <c r="AS8" s="2">
        <v>11</v>
      </c>
      <c r="AT8">
        <v>3.9406083818281298E-2</v>
      </c>
      <c r="AU8">
        <v>0.15393753693111001</v>
      </c>
      <c r="AV8">
        <v>0.46926879178815301</v>
      </c>
      <c r="AW8">
        <v>1.6679355265670801</v>
      </c>
      <c r="AX8">
        <v>6.0491299651584196</v>
      </c>
      <c r="AY8">
        <v>24.1965198606337</v>
      </c>
      <c r="BA8">
        <v>5.1754391722476999E-2</v>
      </c>
      <c r="BB8">
        <v>0.20701756688990799</v>
      </c>
      <c r="BC8">
        <v>0.82807026755963298</v>
      </c>
      <c r="BD8">
        <v>3.3122810702385301</v>
      </c>
      <c r="BE8">
        <v>13.249124280954099</v>
      </c>
      <c r="BF8">
        <v>52.996497123816503</v>
      </c>
    </row>
    <row r="9" spans="1:58" x14ac:dyDescent="0.25">
      <c r="A9" s="2">
        <v>22</v>
      </c>
      <c r="B9" s="2">
        <v>90</v>
      </c>
      <c r="C9" s="2"/>
      <c r="D9" s="2">
        <v>10</v>
      </c>
      <c r="E9" s="27">
        <v>6.2688332148029005E-2</v>
      </c>
      <c r="F9" s="27">
        <v>1.8357479777712401E-2</v>
      </c>
      <c r="G9" s="27">
        <v>5.3392743586913897E-3</v>
      </c>
      <c r="H9" s="30">
        <v>3</v>
      </c>
      <c r="I9" s="8">
        <v>21</v>
      </c>
      <c r="J9" s="8">
        <v>91</v>
      </c>
      <c r="K9" s="8">
        <v>212</v>
      </c>
      <c r="L9" s="8">
        <v>660</v>
      </c>
      <c r="M9" s="29">
        <v>1581</v>
      </c>
      <c r="O9" s="34">
        <v>107</v>
      </c>
      <c r="P9" s="2">
        <v>45</v>
      </c>
      <c r="Q9" s="2">
        <v>52.94</v>
      </c>
      <c r="R9" s="2">
        <v>5</v>
      </c>
      <c r="S9" s="27">
        <v>2.7724885205644801E-2</v>
      </c>
      <c r="T9" s="27">
        <v>1.4478880481023E-2</v>
      </c>
      <c r="U9" s="27">
        <v>1.4642800293065399E-2</v>
      </c>
      <c r="V9" s="30">
        <v>1</v>
      </c>
      <c r="W9" s="8">
        <v>13</v>
      </c>
      <c r="X9" s="8">
        <v>39</v>
      </c>
      <c r="Y9" s="8">
        <v>78</v>
      </c>
      <c r="Z9" s="8">
        <v>345</v>
      </c>
      <c r="AA9" s="29">
        <v>943</v>
      </c>
      <c r="AC9" s="34">
        <v>159</v>
      </c>
      <c r="AD9" s="2">
        <v>45</v>
      </c>
      <c r="AE9" s="2">
        <v>54.11</v>
      </c>
      <c r="AF9" s="2">
        <v>15</v>
      </c>
      <c r="AG9" s="27">
        <v>1.09573532088619E-2</v>
      </c>
      <c r="AH9" s="27">
        <v>4.9905746416529098E-3</v>
      </c>
      <c r="AI9" s="27">
        <v>4.5767283517164602E-3</v>
      </c>
      <c r="AJ9" s="30">
        <v>0</v>
      </c>
      <c r="AK9" s="8">
        <v>0</v>
      </c>
      <c r="AL9" s="8">
        <v>11</v>
      </c>
      <c r="AM9" s="8">
        <v>72</v>
      </c>
      <c r="AN9" s="8">
        <v>777</v>
      </c>
      <c r="AO9" s="29">
        <v>2820</v>
      </c>
      <c r="AS9" s="2">
        <v>22</v>
      </c>
      <c r="AT9">
        <v>4.5463397559226001E-2</v>
      </c>
      <c r="AU9">
        <v>0.16338445100562901</v>
      </c>
      <c r="AV9">
        <v>0.426009200925964</v>
      </c>
      <c r="AW9">
        <v>1.2687679005852299</v>
      </c>
      <c r="AX9">
        <v>4.6995148199797203</v>
      </c>
      <c r="AY9">
        <v>18.7980592799188</v>
      </c>
      <c r="BA9">
        <v>4.5463397884194803E-2</v>
      </c>
      <c r="BB9">
        <v>0.25075332859211602</v>
      </c>
      <c r="BC9">
        <v>1.0030133143684601</v>
      </c>
      <c r="BD9">
        <v>4.0120532574738599</v>
      </c>
      <c r="BE9">
        <v>16.0482130298954</v>
      </c>
      <c r="BF9">
        <v>64.192852119581701</v>
      </c>
    </row>
    <row r="10" spans="1:58" x14ac:dyDescent="0.25">
      <c r="A10" s="2">
        <v>152</v>
      </c>
      <c r="B10" s="2">
        <v>90</v>
      </c>
      <c r="C10" s="2">
        <v>91.54</v>
      </c>
      <c r="D10" s="2">
        <v>10</v>
      </c>
      <c r="E10" s="27">
        <v>0.10293183462706799</v>
      </c>
      <c r="F10" s="27">
        <v>2.3869849132825499E-2</v>
      </c>
      <c r="G10" s="27">
        <v>8.4624680045280194E-3</v>
      </c>
      <c r="H10" s="30">
        <v>9</v>
      </c>
      <c r="I10" s="8">
        <v>32</v>
      </c>
      <c r="J10" s="8">
        <v>75</v>
      </c>
      <c r="K10" s="8">
        <v>233</v>
      </c>
      <c r="L10" s="8">
        <v>700</v>
      </c>
      <c r="M10" s="29">
        <v>1639</v>
      </c>
      <c r="O10" s="34">
        <v>162</v>
      </c>
      <c r="P10" s="2">
        <v>45</v>
      </c>
      <c r="Q10" s="2">
        <v>54.05</v>
      </c>
      <c r="R10" s="2">
        <v>10</v>
      </c>
      <c r="S10" s="27">
        <v>2.2481115003792299E-2</v>
      </c>
      <c r="T10" s="27">
        <v>9.1860908476934702E-3</v>
      </c>
      <c r="U10" s="27">
        <v>5.26397191560033E-3</v>
      </c>
      <c r="V10" s="30">
        <v>0</v>
      </c>
      <c r="W10" s="8">
        <v>8</v>
      </c>
      <c r="X10" s="8">
        <v>40</v>
      </c>
      <c r="Y10" s="8">
        <v>121</v>
      </c>
      <c r="Z10" s="8">
        <v>631</v>
      </c>
      <c r="AA10" s="29">
        <v>1881</v>
      </c>
      <c r="AC10" s="34">
        <v>35</v>
      </c>
      <c r="AD10" s="2">
        <v>45</v>
      </c>
      <c r="AE10" s="2">
        <v>64.849999999999994</v>
      </c>
      <c r="AF10" s="2">
        <v>6</v>
      </c>
      <c r="AG10" s="27">
        <v>2.2279504588702301E-2</v>
      </c>
      <c r="AH10" s="27">
        <v>9.4453501582737708E-3</v>
      </c>
      <c r="AI10" s="27">
        <v>6.3512880877902899E-3</v>
      </c>
      <c r="AJ10" s="30">
        <v>0</v>
      </c>
      <c r="AK10" s="8">
        <v>6</v>
      </c>
      <c r="AL10" s="8">
        <v>24</v>
      </c>
      <c r="AM10" s="8">
        <v>103</v>
      </c>
      <c r="AN10" s="8">
        <v>418</v>
      </c>
      <c r="AO10" s="29">
        <v>1139</v>
      </c>
      <c r="AS10" s="2">
        <v>152</v>
      </c>
      <c r="AT10">
        <v>9.5743592288179996E-2</v>
      </c>
      <c r="AU10">
        <v>0.18723147718286101</v>
      </c>
      <c r="AV10">
        <v>0.64667150537108198</v>
      </c>
      <c r="AW10">
        <v>1.81287477386409</v>
      </c>
      <c r="AX10">
        <v>6.1106814199081896</v>
      </c>
      <c r="AY10">
        <v>24.442725679632701</v>
      </c>
      <c r="BA10">
        <v>0.10293183462706799</v>
      </c>
      <c r="BB10">
        <v>0.41172733850827198</v>
      </c>
      <c r="BC10">
        <v>1.6469093540330899</v>
      </c>
      <c r="BD10">
        <v>6.5876374161323596</v>
      </c>
      <c r="BE10">
        <v>26.3505496645294</v>
      </c>
      <c r="BF10">
        <v>105.402198658117</v>
      </c>
    </row>
    <row r="11" spans="1:58" x14ac:dyDescent="0.25">
      <c r="A11" s="2">
        <v>12</v>
      </c>
      <c r="B11" s="2">
        <v>64</v>
      </c>
      <c r="C11" s="2">
        <v>84.2</v>
      </c>
      <c r="D11" s="2">
        <v>3</v>
      </c>
      <c r="E11" s="27">
        <v>4.4543546788178297E-2</v>
      </c>
      <c r="F11" s="27">
        <v>2.3352349155409499E-2</v>
      </c>
      <c r="G11" s="27">
        <v>2.1759151907210301E-2</v>
      </c>
      <c r="H11" s="30">
        <v>3</v>
      </c>
      <c r="I11" s="8">
        <v>14</v>
      </c>
      <c r="J11" s="8">
        <v>41</v>
      </c>
      <c r="K11" s="8">
        <v>103</v>
      </c>
      <c r="L11" s="8">
        <v>323</v>
      </c>
      <c r="M11" s="29">
        <v>559</v>
      </c>
      <c r="O11" s="34">
        <v>69</v>
      </c>
      <c r="P11" s="2">
        <v>32</v>
      </c>
      <c r="Q11" s="2"/>
      <c r="R11" s="2">
        <v>4</v>
      </c>
      <c r="S11" s="27">
        <v>1.0897008883362201E-2</v>
      </c>
      <c r="T11" s="27">
        <v>7.27047978157239E-3</v>
      </c>
      <c r="U11" s="27">
        <v>6.8585843273274603E-3</v>
      </c>
      <c r="V11" s="30">
        <v>0</v>
      </c>
      <c r="W11" s="8">
        <v>1</v>
      </c>
      <c r="X11" s="8">
        <v>12</v>
      </c>
      <c r="Y11" s="8">
        <v>57</v>
      </c>
      <c r="Z11" s="8">
        <v>275</v>
      </c>
      <c r="AA11" s="29">
        <v>830</v>
      </c>
      <c r="AC11" s="34">
        <v>61</v>
      </c>
      <c r="AD11" s="2">
        <v>32</v>
      </c>
      <c r="AE11" s="2"/>
      <c r="AF11" s="2">
        <v>6</v>
      </c>
      <c r="AG11" s="27">
        <v>2.4554138346802101E-2</v>
      </c>
      <c r="AH11" s="27">
        <v>8.2745106205033593E-3</v>
      </c>
      <c r="AI11" s="27">
        <v>4.2829956428710502E-3</v>
      </c>
      <c r="AJ11" s="30">
        <v>0</v>
      </c>
      <c r="AK11" s="8">
        <v>6</v>
      </c>
      <c r="AL11" s="8">
        <v>27</v>
      </c>
      <c r="AM11" s="8">
        <v>64</v>
      </c>
      <c r="AN11" s="8">
        <v>364</v>
      </c>
      <c r="AO11" s="29">
        <v>1201</v>
      </c>
      <c r="AS11" s="2">
        <v>12</v>
      </c>
      <c r="AT11">
        <v>3.8585276164057498E-2</v>
      </c>
      <c r="AU11">
        <v>0.117415800187244</v>
      </c>
      <c r="AV11">
        <v>0.46966320074897699</v>
      </c>
      <c r="AW11">
        <v>1.4945503386105301</v>
      </c>
      <c r="AX11">
        <v>5.97820135444214</v>
      </c>
      <c r="AY11">
        <v>23.912805417768499</v>
      </c>
      <c r="BA11">
        <v>4.4543546788178297E-2</v>
      </c>
      <c r="BB11">
        <v>0.17817418715271299</v>
      </c>
      <c r="BC11">
        <v>0.71269674861085297</v>
      </c>
      <c r="BD11">
        <v>2.8507869944434101</v>
      </c>
      <c r="BE11">
        <v>11.4031479777736</v>
      </c>
      <c r="BF11">
        <v>45.612591911094597</v>
      </c>
    </row>
    <row r="12" spans="1:58" x14ac:dyDescent="0.25">
      <c r="A12" s="2">
        <v>96</v>
      </c>
      <c r="B12" s="2">
        <v>64</v>
      </c>
      <c r="C12" s="2">
        <v>86.98</v>
      </c>
      <c r="D12" s="2">
        <v>8</v>
      </c>
      <c r="E12" s="27">
        <v>9.5639162401153693E-2</v>
      </c>
      <c r="F12" s="27">
        <v>1.9277468694701001E-2</v>
      </c>
      <c r="G12" s="27">
        <v>5.1627678565697001E-3</v>
      </c>
      <c r="H12" s="30">
        <v>3</v>
      </c>
      <c r="I12" s="8">
        <v>22</v>
      </c>
      <c r="J12" s="8">
        <v>58</v>
      </c>
      <c r="K12" s="8">
        <v>165</v>
      </c>
      <c r="L12" s="8">
        <v>559</v>
      </c>
      <c r="M12" s="29">
        <v>1384</v>
      </c>
      <c r="O12" s="34">
        <v>85</v>
      </c>
      <c r="P12" s="2">
        <v>32</v>
      </c>
      <c r="Q12" s="2">
        <v>43.73</v>
      </c>
      <c r="R12" s="2">
        <v>6</v>
      </c>
      <c r="S12" s="27">
        <v>1.13162316396569E-2</v>
      </c>
      <c r="T12" s="27">
        <v>6.77105129691932E-3</v>
      </c>
      <c r="U12" s="27">
        <v>5.0494700428746703E-3</v>
      </c>
      <c r="V12" s="30">
        <v>0</v>
      </c>
      <c r="W12" s="8">
        <v>1</v>
      </c>
      <c r="X12" s="8">
        <v>17</v>
      </c>
      <c r="Y12" s="8">
        <v>76</v>
      </c>
      <c r="Z12" s="8">
        <v>328</v>
      </c>
      <c r="AA12" s="29">
        <v>1228</v>
      </c>
      <c r="AC12" s="34">
        <v>52</v>
      </c>
      <c r="AD12" s="2">
        <v>32</v>
      </c>
      <c r="AE12" s="2">
        <v>45.6</v>
      </c>
      <c r="AF12" s="2">
        <v>5</v>
      </c>
      <c r="AG12" s="27">
        <v>1.6195175632876601E-2</v>
      </c>
      <c r="AH12" s="27">
        <v>8.7837172608482301E-3</v>
      </c>
      <c r="AI12" s="27">
        <v>7.5116788153303899E-3</v>
      </c>
      <c r="AJ12" s="30">
        <v>0</v>
      </c>
      <c r="AK12" s="8">
        <v>3</v>
      </c>
      <c r="AL12" s="8">
        <v>21</v>
      </c>
      <c r="AM12" s="8">
        <v>74</v>
      </c>
      <c r="AN12" s="8">
        <v>395</v>
      </c>
      <c r="AO12" s="29">
        <v>990</v>
      </c>
      <c r="AS12" s="2">
        <v>96</v>
      </c>
      <c r="AT12">
        <v>9.5639162709086803E-2</v>
      </c>
      <c r="AU12">
        <v>0.18581760283662399</v>
      </c>
      <c r="AV12">
        <v>0.60536126077852104</v>
      </c>
      <c r="AW12">
        <v>1.2337579982911999</v>
      </c>
      <c r="AX12">
        <v>4.9350319931648103</v>
      </c>
      <c r="AY12">
        <v>19.740127972659199</v>
      </c>
      <c r="BA12">
        <v>9.5639162401153693E-2</v>
      </c>
      <c r="BB12">
        <v>0.382556649604614</v>
      </c>
      <c r="BC12">
        <v>1.53022659841845</v>
      </c>
      <c r="BD12">
        <v>6.1209063936738302</v>
      </c>
      <c r="BE12">
        <v>24.483625574695299</v>
      </c>
      <c r="BF12">
        <v>97.934502298781396</v>
      </c>
    </row>
    <row r="13" spans="1:58" x14ac:dyDescent="0.25">
      <c r="A13" s="2">
        <v>101</v>
      </c>
      <c r="B13" s="2">
        <v>64</v>
      </c>
      <c r="C13" s="2">
        <v>108.92</v>
      </c>
      <c r="D13" s="2">
        <v>6</v>
      </c>
      <c r="E13" s="27">
        <v>3.00794247374499E-2</v>
      </c>
      <c r="F13" s="27">
        <v>1.50358559887077E-2</v>
      </c>
      <c r="G13" s="27">
        <v>9.2196022769056602E-3</v>
      </c>
      <c r="H13" s="30">
        <v>2</v>
      </c>
      <c r="I13" s="8">
        <v>9</v>
      </c>
      <c r="J13" s="8">
        <v>49</v>
      </c>
      <c r="K13" s="8">
        <v>132</v>
      </c>
      <c r="L13" s="8">
        <v>544</v>
      </c>
      <c r="M13" s="29">
        <v>1041</v>
      </c>
      <c r="O13" s="34">
        <v>165</v>
      </c>
      <c r="P13" s="2">
        <v>16</v>
      </c>
      <c r="Q13" s="2"/>
      <c r="R13" s="2">
        <v>10</v>
      </c>
      <c r="S13" s="27">
        <v>1.06254875376059E-2</v>
      </c>
      <c r="T13" s="27">
        <v>5.3979442955963304E-3</v>
      </c>
      <c r="U13" s="27">
        <v>5.0606462291010196E-3</v>
      </c>
      <c r="V13" s="30">
        <v>0</v>
      </c>
      <c r="W13" s="8">
        <v>1</v>
      </c>
      <c r="X13" s="8">
        <v>11</v>
      </c>
      <c r="Y13" s="8">
        <v>62</v>
      </c>
      <c r="Z13" s="8">
        <v>607</v>
      </c>
      <c r="AA13" s="29">
        <v>1911</v>
      </c>
      <c r="AC13" s="34">
        <v>53</v>
      </c>
      <c r="AD13" s="2">
        <v>22.6</v>
      </c>
      <c r="AE13" s="2">
        <v>29.55</v>
      </c>
      <c r="AF13" s="2">
        <v>15</v>
      </c>
      <c r="AG13" s="27">
        <v>5.4074185586351197E-3</v>
      </c>
      <c r="AH13" s="27">
        <v>3.7739188928974099E-3</v>
      </c>
      <c r="AI13" s="27">
        <v>3.5257352179030601E-3</v>
      </c>
      <c r="AJ13" s="30">
        <v>0</v>
      </c>
      <c r="AK13" s="8">
        <v>0</v>
      </c>
      <c r="AL13" s="8">
        <v>2</v>
      </c>
      <c r="AM13" s="8">
        <v>30</v>
      </c>
      <c r="AN13" s="8">
        <v>601</v>
      </c>
      <c r="AO13" s="29">
        <v>3003</v>
      </c>
      <c r="AS13" s="2">
        <v>101</v>
      </c>
      <c r="AT13">
        <v>2.85197693561322E-2</v>
      </c>
      <c r="AU13">
        <v>0.101347429024516</v>
      </c>
      <c r="AV13">
        <v>0.24057369702033901</v>
      </c>
      <c r="AW13">
        <v>0.96229478808135804</v>
      </c>
      <c r="AX13">
        <v>3.84917915232543</v>
      </c>
      <c r="AY13">
        <v>15.3967166093017</v>
      </c>
      <c r="BA13">
        <v>3.00794247374499E-2</v>
      </c>
      <c r="BB13">
        <v>0.120317698949799</v>
      </c>
      <c r="BC13">
        <v>0.48127079579919901</v>
      </c>
      <c r="BD13">
        <v>1.9250831831967901</v>
      </c>
      <c r="BE13">
        <v>7.7003327327871904</v>
      </c>
      <c r="BF13">
        <v>30.801330931148701</v>
      </c>
    </row>
    <row r="14" spans="1:58" x14ac:dyDescent="0.25">
      <c r="A14" s="2">
        <v>24</v>
      </c>
      <c r="B14" s="2">
        <v>64</v>
      </c>
      <c r="C14" s="2">
        <v>87.08</v>
      </c>
      <c r="D14" s="2">
        <v>10</v>
      </c>
      <c r="E14" s="27">
        <v>0.10538288704710901</v>
      </c>
      <c r="F14" s="27">
        <v>1.6430974908246999E-2</v>
      </c>
      <c r="G14" s="27">
        <v>6.0105568763227698E-3</v>
      </c>
      <c r="H14" s="30">
        <v>5</v>
      </c>
      <c r="I14" s="8">
        <v>18</v>
      </c>
      <c r="J14" s="8">
        <v>43</v>
      </c>
      <c r="K14" s="8">
        <v>139</v>
      </c>
      <c r="L14" s="8">
        <v>586</v>
      </c>
      <c r="M14" s="29">
        <v>1730</v>
      </c>
      <c r="O14" s="34">
        <v>166</v>
      </c>
      <c r="P14" s="2">
        <v>16</v>
      </c>
      <c r="Q14" s="2"/>
      <c r="R14" s="2">
        <v>10</v>
      </c>
      <c r="S14" s="27">
        <v>5.4104257016193398E-3</v>
      </c>
      <c r="T14" s="27">
        <v>4.2237913969842902E-3</v>
      </c>
      <c r="U14" s="27">
        <v>4.0412722569313003E-3</v>
      </c>
      <c r="V14" s="30">
        <v>0</v>
      </c>
      <c r="W14" s="8">
        <v>0</v>
      </c>
      <c r="X14" s="8">
        <v>2</v>
      </c>
      <c r="Y14" s="8">
        <v>32</v>
      </c>
      <c r="Z14" s="8">
        <v>536</v>
      </c>
      <c r="AA14" s="29">
        <v>2020</v>
      </c>
      <c r="AC14" s="34">
        <v>45</v>
      </c>
      <c r="AD14" s="2">
        <v>22.6</v>
      </c>
      <c r="AE14" s="2">
        <v>22.6</v>
      </c>
      <c r="AF14" s="2">
        <v>10</v>
      </c>
      <c r="AG14" s="27">
        <v>6.9634801117522301E-3</v>
      </c>
      <c r="AH14" s="27">
        <v>4.7306891897243297E-3</v>
      </c>
      <c r="AI14" s="27">
        <v>4.5595536316889104E-3</v>
      </c>
      <c r="AJ14" s="30">
        <v>0</v>
      </c>
      <c r="AK14" s="8">
        <v>1</v>
      </c>
      <c r="AL14" s="8">
        <v>4</v>
      </c>
      <c r="AM14" s="8">
        <v>51</v>
      </c>
      <c r="AN14" s="8">
        <v>494</v>
      </c>
      <c r="AO14" s="29">
        <v>1931</v>
      </c>
      <c r="AS14" s="2">
        <v>24</v>
      </c>
      <c r="AT14">
        <v>0.10538288717717199</v>
      </c>
      <c r="AU14">
        <v>0.15056990486005101</v>
      </c>
      <c r="AV14">
        <v>0.50129083006757003</v>
      </c>
      <c r="AW14">
        <v>1.0515823951961401</v>
      </c>
      <c r="AX14">
        <v>4.2063295807845602</v>
      </c>
      <c r="AY14">
        <v>16.825318323138202</v>
      </c>
      <c r="BA14">
        <v>0.10538288704710901</v>
      </c>
      <c r="BB14">
        <v>0.42153154818843802</v>
      </c>
      <c r="BC14">
        <v>1.6861261927537501</v>
      </c>
      <c r="BD14">
        <v>6.7445047710150003</v>
      </c>
      <c r="BE14">
        <v>26.978019084060001</v>
      </c>
      <c r="BF14">
        <v>107.91207633624001</v>
      </c>
    </row>
    <row r="15" spans="1:58" x14ac:dyDescent="0.25">
      <c r="A15" s="2">
        <v>107</v>
      </c>
      <c r="B15" s="2">
        <v>45</v>
      </c>
      <c r="C15" s="2">
        <v>52.94</v>
      </c>
      <c r="D15" s="2">
        <v>5</v>
      </c>
      <c r="E15" s="27">
        <v>2.7724885205644801E-2</v>
      </c>
      <c r="F15" s="27">
        <v>1.4478880481023E-2</v>
      </c>
      <c r="G15" s="27">
        <v>1.4642800293065399E-2</v>
      </c>
      <c r="H15" s="30">
        <v>1</v>
      </c>
      <c r="I15" s="8">
        <v>13</v>
      </c>
      <c r="J15" s="8">
        <v>39</v>
      </c>
      <c r="K15" s="8">
        <v>78</v>
      </c>
      <c r="L15" s="8">
        <v>345</v>
      </c>
      <c r="M15" s="29">
        <v>943</v>
      </c>
      <c r="O15" s="7">
        <v>1.1000000000000001</v>
      </c>
      <c r="P15" s="3">
        <v>32</v>
      </c>
      <c r="Q15" s="3">
        <v>45.6</v>
      </c>
      <c r="R15" s="3">
        <v>20</v>
      </c>
      <c r="S15" s="26">
        <v>1.40031756933689E-2</v>
      </c>
      <c r="T15" s="26">
        <v>5.6784984243662398E-3</v>
      </c>
      <c r="U15" s="26">
        <v>4.6667095589632999E-3</v>
      </c>
      <c r="V15" s="30">
        <v>0</v>
      </c>
      <c r="W15" s="8">
        <v>1</v>
      </c>
      <c r="X15" s="8">
        <v>18</v>
      </c>
      <c r="Y15" s="8">
        <v>151</v>
      </c>
      <c r="Z15" s="8">
        <v>1196</v>
      </c>
      <c r="AA15" s="29">
        <v>3617</v>
      </c>
      <c r="AC15" s="7">
        <v>1.3</v>
      </c>
      <c r="AD15" s="3">
        <v>32</v>
      </c>
      <c r="AE15" s="3">
        <v>42.84</v>
      </c>
      <c r="AF15" s="3">
        <v>10</v>
      </c>
      <c r="AG15" s="26">
        <v>2.3197934886697399E-2</v>
      </c>
      <c r="AH15" s="26">
        <v>9.1426900455134907E-3</v>
      </c>
      <c r="AI15" s="26">
        <v>6.1375608082080103E-3</v>
      </c>
      <c r="AJ15" s="30">
        <v>0</v>
      </c>
      <c r="AK15" s="8">
        <v>4</v>
      </c>
      <c r="AL15" s="8">
        <v>35</v>
      </c>
      <c r="AM15" s="8">
        <v>163</v>
      </c>
      <c r="AN15" s="8">
        <v>788</v>
      </c>
      <c r="AO15" s="29">
        <v>1749</v>
      </c>
      <c r="AS15" s="2">
        <v>107</v>
      </c>
      <c r="AT15">
        <v>2.77248857374158E-2</v>
      </c>
      <c r="AU15">
        <v>7.8677957752448305E-2</v>
      </c>
      <c r="AV15">
        <v>0.26510584610390098</v>
      </c>
      <c r="AW15">
        <v>0.92664835919294097</v>
      </c>
      <c r="AX15">
        <v>3.7065934367717599</v>
      </c>
      <c r="AY15">
        <v>14.826373747087001</v>
      </c>
      <c r="BA15">
        <v>2.7724885205644801E-2</v>
      </c>
      <c r="BB15">
        <v>0.110899540822579</v>
      </c>
      <c r="BC15">
        <v>0.44359816329031698</v>
      </c>
      <c r="BD15">
        <v>1.7743926531612599</v>
      </c>
      <c r="BE15">
        <v>7.0975706126450699</v>
      </c>
      <c r="BF15">
        <v>28.390282450580202</v>
      </c>
    </row>
    <row r="16" spans="1:58" x14ac:dyDescent="0.25">
      <c r="A16" s="2">
        <v>162</v>
      </c>
      <c r="B16" s="2">
        <v>45</v>
      </c>
      <c r="C16" s="2">
        <v>54.05</v>
      </c>
      <c r="D16" s="2">
        <v>10</v>
      </c>
      <c r="E16" s="27">
        <v>2.2481115003792299E-2</v>
      </c>
      <c r="F16" s="27">
        <v>9.1860908476934702E-3</v>
      </c>
      <c r="G16" s="27">
        <v>5.26397191560033E-3</v>
      </c>
      <c r="H16" s="30">
        <v>0</v>
      </c>
      <c r="I16" s="8">
        <v>8</v>
      </c>
      <c r="J16" s="8">
        <v>40</v>
      </c>
      <c r="K16" s="8">
        <v>121</v>
      </c>
      <c r="L16" s="8">
        <v>631</v>
      </c>
      <c r="M16" s="29">
        <v>1881</v>
      </c>
      <c r="O16" s="7">
        <v>1.2</v>
      </c>
      <c r="P16" s="3">
        <v>32</v>
      </c>
      <c r="Q16" s="3">
        <v>44.2</v>
      </c>
      <c r="R16" s="3">
        <v>20</v>
      </c>
      <c r="S16" s="26">
        <v>1.0890800850407899E-2</v>
      </c>
      <c r="T16" s="26">
        <v>4.8212415579803897E-3</v>
      </c>
      <c r="U16" s="26">
        <v>4.1135640493545804E-3</v>
      </c>
      <c r="V16" s="30">
        <v>0</v>
      </c>
      <c r="W16" s="8">
        <v>1</v>
      </c>
      <c r="X16" s="8">
        <v>11</v>
      </c>
      <c r="Y16" s="8">
        <v>103</v>
      </c>
      <c r="Z16" s="8">
        <v>972</v>
      </c>
      <c r="AA16" s="29">
        <v>3501</v>
      </c>
      <c r="AC16" s="7">
        <v>2.1</v>
      </c>
      <c r="AD16" s="3">
        <v>45</v>
      </c>
      <c r="AE16" s="3">
        <v>52.94</v>
      </c>
      <c r="AF16" s="3">
        <v>20</v>
      </c>
      <c r="AG16" s="26">
        <v>3.5345925929864103E-2</v>
      </c>
      <c r="AH16" s="26">
        <v>7.8507383881498607E-3</v>
      </c>
      <c r="AI16" s="26">
        <v>4.0069409325786598E-3</v>
      </c>
      <c r="AJ16" s="30">
        <v>0</v>
      </c>
      <c r="AK16" s="8">
        <v>11</v>
      </c>
      <c r="AL16" s="8">
        <v>56</v>
      </c>
      <c r="AM16" s="8">
        <v>204</v>
      </c>
      <c r="AN16" s="8">
        <v>1215</v>
      </c>
      <c r="AO16" s="29">
        <v>3424</v>
      </c>
      <c r="AS16" s="2">
        <v>162</v>
      </c>
      <c r="AU16">
        <v>7.7959153032395798E-2</v>
      </c>
      <c r="AV16">
        <v>0.24135454645261201</v>
      </c>
      <c r="AW16">
        <v>0.62231226944989104</v>
      </c>
      <c r="AX16">
        <v>2.3516392566763402</v>
      </c>
      <c r="AY16">
        <v>9.4065570267053804</v>
      </c>
      <c r="BB16">
        <v>8.9924460015169197E-2</v>
      </c>
      <c r="BC16">
        <v>0.35969784006067601</v>
      </c>
      <c r="BD16">
        <v>1.4387913602427</v>
      </c>
      <c r="BE16">
        <v>5.7551654409708304</v>
      </c>
      <c r="BF16">
        <v>23.0206617638833</v>
      </c>
    </row>
    <row r="17" spans="1:58" x14ac:dyDescent="0.25">
      <c r="A17" s="2">
        <v>159</v>
      </c>
      <c r="B17" s="2">
        <v>45</v>
      </c>
      <c r="C17" s="2">
        <v>54.11</v>
      </c>
      <c r="D17" s="2">
        <v>15</v>
      </c>
      <c r="E17" s="27">
        <v>1.09573532088619E-2</v>
      </c>
      <c r="F17" s="27">
        <v>4.9905746416529098E-3</v>
      </c>
      <c r="G17" s="27">
        <v>4.5767283517164602E-3</v>
      </c>
      <c r="H17" s="30">
        <v>0</v>
      </c>
      <c r="I17" s="8">
        <v>0</v>
      </c>
      <c r="J17" s="8">
        <v>11</v>
      </c>
      <c r="K17" s="8">
        <v>72</v>
      </c>
      <c r="L17" s="8">
        <v>777</v>
      </c>
      <c r="M17" s="29">
        <v>2820</v>
      </c>
      <c r="O17" s="7">
        <v>2.2000000000000002</v>
      </c>
      <c r="P17" s="3">
        <v>45</v>
      </c>
      <c r="Q17" s="3">
        <v>54.05</v>
      </c>
      <c r="R17" s="3">
        <v>15</v>
      </c>
      <c r="S17" s="26">
        <v>2.4016207968108199E-2</v>
      </c>
      <c r="T17" s="26">
        <v>6.5149661727545603E-3</v>
      </c>
      <c r="U17" s="26">
        <v>4.26435563054003E-3</v>
      </c>
      <c r="V17" s="30">
        <v>1</v>
      </c>
      <c r="W17" s="8">
        <v>5</v>
      </c>
      <c r="X17" s="8">
        <v>26</v>
      </c>
      <c r="Y17" s="8">
        <v>112</v>
      </c>
      <c r="Z17" s="8">
        <v>811</v>
      </c>
      <c r="AA17" s="29">
        <v>2808</v>
      </c>
      <c r="AC17" s="7">
        <v>2.2999999999999998</v>
      </c>
      <c r="AD17" s="3">
        <v>45</v>
      </c>
      <c r="AE17" s="3">
        <v>54.11</v>
      </c>
      <c r="AF17" s="3">
        <v>10</v>
      </c>
      <c r="AG17" s="26">
        <v>1.9422121419342901E-2</v>
      </c>
      <c r="AH17" s="26">
        <v>7.5773751595888898E-3</v>
      </c>
      <c r="AI17" s="26">
        <v>5.3544304928017398E-3</v>
      </c>
      <c r="AJ17" s="30">
        <v>0</v>
      </c>
      <c r="AK17" s="8">
        <v>3</v>
      </c>
      <c r="AL17" s="8">
        <v>28</v>
      </c>
      <c r="AM17" s="8">
        <v>147</v>
      </c>
      <c r="AN17" s="8">
        <v>700</v>
      </c>
      <c r="AO17" s="29">
        <v>1838</v>
      </c>
      <c r="AS17" s="2">
        <v>159</v>
      </c>
      <c r="AV17">
        <v>0.12254395097085501</v>
      </c>
      <c r="AW17">
        <v>0.35900970208783201</v>
      </c>
      <c r="AX17">
        <v>1.2775871078584</v>
      </c>
      <c r="AY17">
        <v>5.1103484314336303</v>
      </c>
      <c r="BC17">
        <v>0.175317651341791</v>
      </c>
      <c r="BD17">
        <v>0.70127060536716501</v>
      </c>
      <c r="BE17">
        <v>2.80508242146866</v>
      </c>
      <c r="BF17">
        <v>11.220329685874599</v>
      </c>
    </row>
    <row r="18" spans="1:58" x14ac:dyDescent="0.25">
      <c r="A18" s="2">
        <v>35</v>
      </c>
      <c r="B18" s="2">
        <v>45</v>
      </c>
      <c r="C18" s="2">
        <v>64.849999999999994</v>
      </c>
      <c r="D18" s="2">
        <v>6</v>
      </c>
      <c r="E18" s="27">
        <v>2.2279504588702301E-2</v>
      </c>
      <c r="F18" s="27">
        <v>9.4453501582737708E-3</v>
      </c>
      <c r="G18" s="27">
        <v>6.3512880877902899E-3</v>
      </c>
      <c r="H18" s="30">
        <v>0</v>
      </c>
      <c r="I18" s="8">
        <v>6</v>
      </c>
      <c r="J18" s="8">
        <v>24</v>
      </c>
      <c r="K18" s="8">
        <v>103</v>
      </c>
      <c r="L18" s="8">
        <v>418</v>
      </c>
      <c r="M18" s="29">
        <v>1139</v>
      </c>
      <c r="O18" s="7">
        <v>3.2</v>
      </c>
      <c r="P18" s="3">
        <v>64</v>
      </c>
      <c r="Q18" s="3">
        <v>86.98</v>
      </c>
      <c r="R18" s="3">
        <v>15</v>
      </c>
      <c r="S18" s="26">
        <v>5.1502950973667999E-2</v>
      </c>
      <c r="T18" s="26">
        <v>1.37528556522491E-2</v>
      </c>
      <c r="U18" s="26">
        <v>4.5700514622563203E-3</v>
      </c>
      <c r="V18" s="30">
        <v>2</v>
      </c>
      <c r="W18" s="8">
        <v>30</v>
      </c>
      <c r="X18" s="8">
        <v>110</v>
      </c>
      <c r="Y18" s="8">
        <v>279</v>
      </c>
      <c r="Z18" s="8">
        <v>1032</v>
      </c>
      <c r="AA18" s="29">
        <v>2570</v>
      </c>
      <c r="AC18" s="7">
        <v>3.1</v>
      </c>
      <c r="AD18" s="3">
        <v>64</v>
      </c>
      <c r="AE18" s="3">
        <v>84.98</v>
      </c>
      <c r="AF18" s="3">
        <v>20</v>
      </c>
      <c r="AG18" s="26">
        <v>0.12653412852816501</v>
      </c>
      <c r="AH18" s="26">
        <v>1.5222331559222001E-2</v>
      </c>
      <c r="AI18" s="26">
        <v>4.5052689799184196E-3</v>
      </c>
      <c r="AJ18" s="30">
        <v>10</v>
      </c>
      <c r="AK18" s="8">
        <v>38</v>
      </c>
      <c r="AL18" s="8">
        <v>113</v>
      </c>
      <c r="AM18" s="8">
        <v>312</v>
      </c>
      <c r="AN18" s="8">
        <v>1212</v>
      </c>
      <c r="AO18" s="29">
        <v>3306</v>
      </c>
      <c r="AS18" s="2">
        <v>35</v>
      </c>
      <c r="AU18">
        <v>7.2703926665255297E-2</v>
      </c>
      <c r="AV18">
        <v>0.21382124817687001</v>
      </c>
      <c r="AW18">
        <v>0.60450240905165797</v>
      </c>
      <c r="AX18">
        <v>2.4180096362066301</v>
      </c>
      <c r="AY18">
        <v>9.6720385448265294</v>
      </c>
      <c r="BB18">
        <v>8.9118018354809397E-2</v>
      </c>
      <c r="BC18">
        <v>0.35647207341923698</v>
      </c>
      <c r="BD18">
        <v>1.4258882936769499</v>
      </c>
      <c r="BE18">
        <v>5.7035531747077997</v>
      </c>
      <c r="BF18">
        <v>22.814212698831199</v>
      </c>
    </row>
    <row r="19" spans="1:58" x14ac:dyDescent="0.25">
      <c r="A19" s="2">
        <v>69</v>
      </c>
      <c r="B19" s="2">
        <v>32</v>
      </c>
      <c r="C19" s="2"/>
      <c r="D19" s="2">
        <v>4</v>
      </c>
      <c r="E19" s="27">
        <v>1.0897008883362201E-2</v>
      </c>
      <c r="F19" s="27">
        <v>7.27047978157239E-3</v>
      </c>
      <c r="G19" s="27">
        <v>6.8585843273274603E-3</v>
      </c>
      <c r="H19" s="30">
        <v>0</v>
      </c>
      <c r="I19" s="8">
        <v>1</v>
      </c>
      <c r="J19" s="8">
        <v>12</v>
      </c>
      <c r="K19" s="8">
        <v>57</v>
      </c>
      <c r="L19" s="8">
        <v>275</v>
      </c>
      <c r="M19" s="29">
        <v>830</v>
      </c>
      <c r="O19" s="7">
        <v>3.3</v>
      </c>
      <c r="P19" s="3">
        <v>64</v>
      </c>
      <c r="Q19" s="3">
        <v>87.98</v>
      </c>
      <c r="R19" s="3">
        <v>20</v>
      </c>
      <c r="S19" s="26">
        <v>5.04335454776157E-2</v>
      </c>
      <c r="T19" s="26">
        <v>9.8602655911611495E-3</v>
      </c>
      <c r="U19" s="26">
        <v>4.3864038070395503E-3</v>
      </c>
      <c r="V19" s="30">
        <v>4</v>
      </c>
      <c r="W19" s="8">
        <v>20</v>
      </c>
      <c r="X19" s="8">
        <v>68</v>
      </c>
      <c r="Y19" s="8">
        <v>245</v>
      </c>
      <c r="Z19" s="8">
        <v>1155</v>
      </c>
      <c r="AA19" s="29">
        <v>3356</v>
      </c>
      <c r="AC19" s="7">
        <v>4.2</v>
      </c>
      <c r="AD19" s="3">
        <v>90</v>
      </c>
      <c r="AE19" s="3">
        <v>127.22</v>
      </c>
      <c r="AF19" s="3">
        <v>20</v>
      </c>
      <c r="AG19" s="26">
        <v>4.1669974213015902E-2</v>
      </c>
      <c r="AH19" s="26">
        <v>9.9725509064199202E-3</v>
      </c>
      <c r="AI19" s="26">
        <v>6.2822795747625101E-3</v>
      </c>
      <c r="AJ19" s="30">
        <v>0</v>
      </c>
      <c r="AK19" s="8">
        <v>15</v>
      </c>
      <c r="AL19" s="8">
        <v>82</v>
      </c>
      <c r="AM19" s="8">
        <v>353</v>
      </c>
      <c r="AN19" s="8">
        <v>1394</v>
      </c>
      <c r="AO19" s="29">
        <v>3355</v>
      </c>
      <c r="AS19" s="2">
        <v>69</v>
      </c>
      <c r="AU19">
        <v>4.3588035701968897E-2</v>
      </c>
      <c r="AV19">
        <v>0.13106034882425699</v>
      </c>
      <c r="AW19">
        <v>0.52424139529702896</v>
      </c>
      <c r="AX19">
        <v>1.86124282879616</v>
      </c>
      <c r="AY19">
        <v>7.4449713151846701</v>
      </c>
      <c r="BB19">
        <v>4.3588035533449102E-2</v>
      </c>
      <c r="BC19">
        <v>0.17435214213379599</v>
      </c>
      <c r="BD19">
        <v>0.69740856853518496</v>
      </c>
      <c r="BE19">
        <v>2.7896342741407398</v>
      </c>
      <c r="BF19">
        <v>11.158537096562901</v>
      </c>
    </row>
    <row r="20" spans="1:58" x14ac:dyDescent="0.25">
      <c r="A20" s="2">
        <v>85</v>
      </c>
      <c r="B20" s="2">
        <v>32</v>
      </c>
      <c r="C20" s="2">
        <v>43.73</v>
      </c>
      <c r="D20" s="2">
        <v>6</v>
      </c>
      <c r="E20" s="27">
        <v>1.13162316396569E-2</v>
      </c>
      <c r="F20" s="27">
        <v>6.77105129691932E-3</v>
      </c>
      <c r="G20" s="27">
        <v>5.0494700428746703E-3</v>
      </c>
      <c r="H20" s="30">
        <v>0</v>
      </c>
      <c r="I20" s="8">
        <v>1</v>
      </c>
      <c r="J20" s="8">
        <v>17</v>
      </c>
      <c r="K20" s="8">
        <v>76</v>
      </c>
      <c r="L20" s="8">
        <v>328</v>
      </c>
      <c r="M20" s="29">
        <v>1228</v>
      </c>
      <c r="O20" s="7">
        <v>4.0999999999999996</v>
      </c>
      <c r="P20" s="3">
        <v>90</v>
      </c>
      <c r="Q20" s="3">
        <v>108.42</v>
      </c>
      <c r="R20" s="3">
        <v>15</v>
      </c>
      <c r="S20" s="26">
        <v>9.6840712231762202E-2</v>
      </c>
      <c r="T20" s="26">
        <v>2.94139388502281E-2</v>
      </c>
      <c r="U20" s="26">
        <v>9.5407724532447606E-3</v>
      </c>
      <c r="V20" s="30">
        <v>12</v>
      </c>
      <c r="W20" s="8">
        <v>61</v>
      </c>
      <c r="X20" s="8">
        <v>187</v>
      </c>
      <c r="Y20" s="8">
        <v>490</v>
      </c>
      <c r="Z20" s="8">
        <v>1019</v>
      </c>
      <c r="AA20" s="29">
        <v>2258</v>
      </c>
      <c r="AC20" s="7">
        <v>4.3</v>
      </c>
      <c r="AD20" s="3">
        <v>90</v>
      </c>
      <c r="AE20" s="3">
        <v>91.54</v>
      </c>
      <c r="AF20" s="3">
        <v>20</v>
      </c>
      <c r="AG20" s="26">
        <v>6.5041528765672305E-2</v>
      </c>
      <c r="AH20" s="26">
        <v>1.5521667521925899E-2</v>
      </c>
      <c r="AI20" s="26">
        <v>9.3037999635866304E-3</v>
      </c>
      <c r="AJ20" s="30">
        <v>6</v>
      </c>
      <c r="AK20" s="8">
        <v>32</v>
      </c>
      <c r="AL20" s="8">
        <v>142</v>
      </c>
      <c r="AM20" s="8">
        <v>419</v>
      </c>
      <c r="AN20" s="8">
        <v>1531</v>
      </c>
      <c r="AO20" s="29">
        <v>3286</v>
      </c>
      <c r="AS20" s="2">
        <v>85</v>
      </c>
      <c r="AU20">
        <v>4.5264926352280903E-2</v>
      </c>
      <c r="AV20">
        <v>0.12707267062271299</v>
      </c>
      <c r="AW20">
        <v>0.43334728234498898</v>
      </c>
      <c r="AX20">
        <v>1.7333891293799499</v>
      </c>
      <c r="AY20">
        <v>6.9335565175198299</v>
      </c>
      <c r="BB20">
        <v>4.5264926558627801E-2</v>
      </c>
      <c r="BC20">
        <v>0.18105970623451101</v>
      </c>
      <c r="BD20">
        <v>0.72423882493804503</v>
      </c>
      <c r="BE20">
        <v>2.8969552997521801</v>
      </c>
      <c r="BF20">
        <v>11.587821199008699</v>
      </c>
    </row>
    <row r="21" spans="1:58" x14ac:dyDescent="0.25">
      <c r="A21" s="2">
        <v>61</v>
      </c>
      <c r="B21" s="2">
        <v>32</v>
      </c>
      <c r="C21" s="2"/>
      <c r="D21" s="2">
        <v>6</v>
      </c>
      <c r="E21" s="27">
        <v>2.4554138346802101E-2</v>
      </c>
      <c r="F21" s="27">
        <v>8.2745106205033593E-3</v>
      </c>
      <c r="G21" s="27">
        <v>4.2829956428710502E-3</v>
      </c>
      <c r="H21" s="30">
        <v>0</v>
      </c>
      <c r="I21" s="8">
        <v>6</v>
      </c>
      <c r="J21" s="8">
        <v>27</v>
      </c>
      <c r="K21" s="8">
        <v>64</v>
      </c>
      <c r="L21" s="8">
        <v>364</v>
      </c>
      <c r="M21" s="29">
        <v>1201</v>
      </c>
      <c r="O21" s="35" t="s">
        <v>22</v>
      </c>
      <c r="P21" s="14">
        <v>90</v>
      </c>
      <c r="Q21" s="14">
        <v>113.98</v>
      </c>
      <c r="R21" s="25">
        <v>49.999977324263</v>
      </c>
      <c r="S21" s="15">
        <v>0.103785400341108</v>
      </c>
      <c r="T21" s="15">
        <v>9.3097685505032102E-3</v>
      </c>
      <c r="U21" s="15">
        <v>2.6623638531804101E-3</v>
      </c>
      <c r="V21" s="30">
        <v>7</v>
      </c>
      <c r="W21" s="8">
        <v>32</v>
      </c>
      <c r="X21" s="8">
        <v>148</v>
      </c>
      <c r="Y21" s="8">
        <v>475</v>
      </c>
      <c r="Z21" s="8">
        <v>1883</v>
      </c>
      <c r="AA21" s="29">
        <v>5866</v>
      </c>
      <c r="AC21" s="35" t="s">
        <v>24</v>
      </c>
      <c r="AD21" s="14">
        <v>90</v>
      </c>
      <c r="AE21" s="14">
        <v>108.42</v>
      </c>
      <c r="AF21" s="25">
        <v>149.999977324263</v>
      </c>
      <c r="AG21" s="15">
        <v>9.5590751489404505E-2</v>
      </c>
      <c r="AH21" s="15">
        <v>4.1750172724988703E-3</v>
      </c>
      <c r="AI21" s="15">
        <v>3.0008966016067001E-3</v>
      </c>
      <c r="AJ21" s="30">
        <v>4</v>
      </c>
      <c r="AK21" s="8">
        <v>7</v>
      </c>
      <c r="AL21" s="8">
        <v>43</v>
      </c>
      <c r="AM21" s="8">
        <v>325</v>
      </c>
      <c r="AN21" s="8">
        <v>4737</v>
      </c>
      <c r="AO21" s="29">
        <v>21140</v>
      </c>
      <c r="AS21" s="2">
        <v>61</v>
      </c>
      <c r="AU21">
        <v>6.4224427234734496E-2</v>
      </c>
      <c r="AV21">
        <v>0.22893530246709601</v>
      </c>
      <c r="AW21">
        <v>0.58198300914003198</v>
      </c>
      <c r="AX21">
        <v>2.1182747223488398</v>
      </c>
      <c r="AY21">
        <v>8.4730988893953594</v>
      </c>
      <c r="BB21">
        <v>9.8216553387208499E-2</v>
      </c>
      <c r="BC21">
        <v>0.392866213548834</v>
      </c>
      <c r="BD21">
        <v>1.57146485419533</v>
      </c>
      <c r="BE21">
        <v>6.2858594167813404</v>
      </c>
      <c r="BF21">
        <v>25.143437667125301</v>
      </c>
    </row>
    <row r="22" spans="1:58" x14ac:dyDescent="0.25">
      <c r="A22" s="2">
        <v>52</v>
      </c>
      <c r="B22" s="2">
        <v>32</v>
      </c>
      <c r="C22" s="2">
        <v>45.6</v>
      </c>
      <c r="D22" s="2">
        <v>5</v>
      </c>
      <c r="E22" s="27">
        <v>1.6195175632876601E-2</v>
      </c>
      <c r="F22" s="27">
        <v>8.7837172608482301E-3</v>
      </c>
      <c r="G22" s="27">
        <v>7.5116788153303899E-3</v>
      </c>
      <c r="H22" s="30">
        <v>0</v>
      </c>
      <c r="I22" s="8">
        <v>3</v>
      </c>
      <c r="J22" s="8">
        <v>21</v>
      </c>
      <c r="K22" s="8">
        <v>74</v>
      </c>
      <c r="L22" s="8">
        <v>395</v>
      </c>
      <c r="M22" s="29">
        <v>990</v>
      </c>
      <c r="O22" s="35" t="s">
        <v>23</v>
      </c>
      <c r="P22" s="14">
        <v>45</v>
      </c>
      <c r="Q22" s="14">
        <v>56.56</v>
      </c>
      <c r="R22" s="25">
        <v>99.999977324263</v>
      </c>
      <c r="S22" s="15">
        <v>1.7343593585544201E-2</v>
      </c>
      <c r="T22" s="15">
        <v>3.7541223526986601E-3</v>
      </c>
      <c r="U22" s="15">
        <v>3.5652204100954199E-3</v>
      </c>
      <c r="V22" s="30">
        <v>0</v>
      </c>
      <c r="W22" s="8">
        <v>3</v>
      </c>
      <c r="X22" s="8">
        <v>17</v>
      </c>
      <c r="Y22" s="8">
        <v>221</v>
      </c>
      <c r="Z22" s="8">
        <v>2965</v>
      </c>
      <c r="AA22" s="29">
        <v>14897</v>
      </c>
      <c r="AC22" s="28" t="s">
        <v>42</v>
      </c>
      <c r="AD22" s="11">
        <v>128</v>
      </c>
      <c r="AE22" s="11">
        <v>128</v>
      </c>
      <c r="AF22" s="23">
        <v>60</v>
      </c>
      <c r="AG22" s="24">
        <v>6.3874222410114402E-3</v>
      </c>
      <c r="AH22" s="24">
        <v>4.0872753866210698E-3</v>
      </c>
      <c r="AI22" s="24">
        <v>4.1324979636846596E-3</v>
      </c>
      <c r="AJ22" s="30">
        <v>0</v>
      </c>
      <c r="AK22" s="8">
        <v>0</v>
      </c>
      <c r="AL22" s="8">
        <v>0</v>
      </c>
      <c r="AM22" s="8">
        <v>32.479999999999997</v>
      </c>
      <c r="AN22" s="8">
        <v>580</v>
      </c>
      <c r="AO22" s="29">
        <v>8760.32</v>
      </c>
      <c r="AS22" s="2">
        <v>52</v>
      </c>
      <c r="AU22">
        <v>5.66060042990124E-2</v>
      </c>
      <c r="AV22">
        <v>0.173305439270318</v>
      </c>
      <c r="AW22">
        <v>0.56215790367475604</v>
      </c>
      <c r="AX22">
        <v>2.2486316146990202</v>
      </c>
      <c r="AY22">
        <v>8.9945264587960896</v>
      </c>
      <c r="BB22">
        <v>6.4780702531506598E-2</v>
      </c>
      <c r="BC22">
        <v>0.259122810126026</v>
      </c>
      <c r="BD22">
        <v>1.0364912405041</v>
      </c>
      <c r="BE22">
        <v>4.1459649620164196</v>
      </c>
      <c r="BF22">
        <v>16.5838598480656</v>
      </c>
    </row>
    <row r="23" spans="1:58" x14ac:dyDescent="0.25">
      <c r="A23" s="2">
        <v>165</v>
      </c>
      <c r="B23" s="2">
        <v>16</v>
      </c>
      <c r="C23" s="2"/>
      <c r="D23" s="2">
        <v>10</v>
      </c>
      <c r="E23" s="27">
        <v>1.06254875376059E-2</v>
      </c>
      <c r="F23" s="27">
        <v>5.3979442955963304E-3</v>
      </c>
      <c r="G23" s="27">
        <v>5.0606462291010196E-3</v>
      </c>
      <c r="H23" s="30">
        <v>0</v>
      </c>
      <c r="I23" s="8">
        <v>1</v>
      </c>
      <c r="J23" s="8">
        <v>11</v>
      </c>
      <c r="K23" s="8">
        <v>62</v>
      </c>
      <c r="L23" s="8">
        <v>607</v>
      </c>
      <c r="M23" s="29">
        <v>1911</v>
      </c>
      <c r="O23" s="36" t="s">
        <v>44</v>
      </c>
      <c r="P23" s="37">
        <v>128</v>
      </c>
      <c r="Q23" s="37">
        <v>128</v>
      </c>
      <c r="R23" s="38">
        <v>60</v>
      </c>
      <c r="S23" s="39">
        <v>3.4734349552416499E-2</v>
      </c>
      <c r="T23" s="39">
        <v>1.59772775618169E-2</v>
      </c>
      <c r="U23" s="39">
        <v>1.5617522696591399E-2</v>
      </c>
      <c r="V23" s="40">
        <v>0</v>
      </c>
      <c r="W23" s="41">
        <v>0</v>
      </c>
      <c r="X23" s="41">
        <v>69.12</v>
      </c>
      <c r="Y23" s="41">
        <v>1622.3999999999901</v>
      </c>
      <c r="Z23" s="41">
        <v>12195.84</v>
      </c>
      <c r="AA23" s="42">
        <v>18165.12</v>
      </c>
      <c r="AC23" s="36" t="s">
        <v>43</v>
      </c>
      <c r="AD23" s="37">
        <v>64</v>
      </c>
      <c r="AE23" s="37">
        <v>64</v>
      </c>
      <c r="AF23" s="38">
        <v>60</v>
      </c>
      <c r="AG23" s="39">
        <v>2.3944348715607398E-3</v>
      </c>
      <c r="AH23" s="39">
        <v>1.5049965491053801E-3</v>
      </c>
      <c r="AI23" s="39">
        <v>1.48965533935772E-3</v>
      </c>
      <c r="AJ23" s="40">
        <v>0</v>
      </c>
      <c r="AK23" s="41">
        <v>0</v>
      </c>
      <c r="AL23" s="41">
        <v>0</v>
      </c>
      <c r="AM23" s="41">
        <v>0</v>
      </c>
      <c r="AN23" s="41">
        <v>23.2</v>
      </c>
      <c r="AO23" s="42">
        <v>969.75999999999897</v>
      </c>
      <c r="AS23" s="2">
        <v>165</v>
      </c>
      <c r="AU23">
        <v>4.2501949944915698E-2</v>
      </c>
      <c r="AV23">
        <v>0.116374533955678</v>
      </c>
      <c r="AW23">
        <v>0.36853445483851999</v>
      </c>
      <c r="AX23">
        <v>1.38187374013061</v>
      </c>
      <c r="AY23">
        <v>5.5274949605224499</v>
      </c>
      <c r="BB23">
        <v>4.2501950150423698E-2</v>
      </c>
      <c r="BC23">
        <v>0.17000780060169399</v>
      </c>
      <c r="BD23">
        <v>0.68003120240677895</v>
      </c>
      <c r="BE23">
        <v>2.72012480962711</v>
      </c>
      <c r="BF23">
        <v>10.880499238508399</v>
      </c>
    </row>
    <row r="24" spans="1:58" x14ac:dyDescent="0.25">
      <c r="A24" s="2">
        <v>166</v>
      </c>
      <c r="B24" s="2">
        <v>16</v>
      </c>
      <c r="C24" s="2"/>
      <c r="D24" s="2">
        <v>10</v>
      </c>
      <c r="E24" s="27">
        <v>5.4104257016193398E-3</v>
      </c>
      <c r="F24" s="27">
        <v>4.2237913969842902E-3</v>
      </c>
      <c r="G24" s="27">
        <v>4.0412722569313003E-3</v>
      </c>
      <c r="H24" s="30">
        <v>0</v>
      </c>
      <c r="I24" s="8">
        <v>0</v>
      </c>
      <c r="J24" s="8">
        <v>2</v>
      </c>
      <c r="K24" s="8">
        <v>32</v>
      </c>
      <c r="L24" s="8">
        <v>536</v>
      </c>
      <c r="M24" s="29">
        <v>2020</v>
      </c>
      <c r="AS24" s="2">
        <v>166</v>
      </c>
      <c r="AV24">
        <v>7.8663658425102104E-2</v>
      </c>
      <c r="AW24">
        <v>0.286033381784213</v>
      </c>
      <c r="AX24">
        <v>1.08129059920596</v>
      </c>
      <c r="AY24">
        <v>4.3251623968238597</v>
      </c>
      <c r="BC24">
        <v>8.56390953438151E-2</v>
      </c>
      <c r="BD24">
        <v>0.34626724490363803</v>
      </c>
      <c r="BE24">
        <v>1.3850689796145501</v>
      </c>
      <c r="BF24">
        <v>5.5402759184582102</v>
      </c>
    </row>
    <row r="25" spans="1:58" x14ac:dyDescent="0.25">
      <c r="A25" s="2">
        <v>53</v>
      </c>
      <c r="B25" s="2">
        <v>22.6</v>
      </c>
      <c r="C25" s="2">
        <v>29.55</v>
      </c>
      <c r="D25" s="2">
        <v>15</v>
      </c>
      <c r="E25" s="27">
        <v>5.4074185586351197E-3</v>
      </c>
      <c r="F25" s="27">
        <v>3.7739188928974099E-3</v>
      </c>
      <c r="G25" s="27">
        <v>3.5257352179030601E-3</v>
      </c>
      <c r="H25" s="30">
        <v>0</v>
      </c>
      <c r="I25" s="8">
        <v>0</v>
      </c>
      <c r="J25" s="8">
        <v>2</v>
      </c>
      <c r="K25" s="8">
        <v>30</v>
      </c>
      <c r="L25" s="8">
        <v>601</v>
      </c>
      <c r="M25" s="29">
        <v>3003</v>
      </c>
      <c r="AS25" s="2">
        <v>53</v>
      </c>
      <c r="AV25">
        <v>8.5713068849887802E-2</v>
      </c>
      <c r="AW25">
        <v>0.28274257889141102</v>
      </c>
      <c r="AX25">
        <v>0.96612323561066804</v>
      </c>
      <c r="AY25">
        <v>3.8644929424426699</v>
      </c>
      <c r="BC25">
        <v>8.5713069200916994E-2</v>
      </c>
      <c r="BD25">
        <v>0.346074787752647</v>
      </c>
      <c r="BE25">
        <v>1.38429915101059</v>
      </c>
      <c r="BF25">
        <v>5.5371966040423599</v>
      </c>
    </row>
    <row r="26" spans="1:58" x14ac:dyDescent="0.25">
      <c r="A26" s="2">
        <v>45</v>
      </c>
      <c r="B26" s="2">
        <v>22.6</v>
      </c>
      <c r="C26" s="2">
        <v>22.6</v>
      </c>
      <c r="D26" s="2">
        <v>10</v>
      </c>
      <c r="E26" s="27">
        <v>6.9634801117522301E-3</v>
      </c>
      <c r="F26" s="27">
        <v>4.7306891897243297E-3</v>
      </c>
      <c r="G26" s="27">
        <v>4.5595536316889104E-3</v>
      </c>
      <c r="H26" s="30">
        <v>0</v>
      </c>
      <c r="I26" s="8">
        <v>1</v>
      </c>
      <c r="J26" s="8">
        <v>4</v>
      </c>
      <c r="K26" s="8">
        <v>51</v>
      </c>
      <c r="L26" s="8">
        <v>494</v>
      </c>
      <c r="M26" s="29">
        <v>1931</v>
      </c>
      <c r="AS26" s="2">
        <v>45</v>
      </c>
      <c r="AU26">
        <v>2.7853920384742901E-2</v>
      </c>
      <c r="AV26">
        <v>0.102227488893629</v>
      </c>
      <c r="AW26">
        <v>0.312084224737535</v>
      </c>
      <c r="AX26">
        <v>1.21105643309446</v>
      </c>
      <c r="AY26">
        <v>4.8442257323778604</v>
      </c>
      <c r="BB26">
        <v>2.7853920447008899E-2</v>
      </c>
      <c r="BC26">
        <v>0.111415681788035</v>
      </c>
      <c r="BD26">
        <v>0.445662727152142</v>
      </c>
      <c r="BE26">
        <v>1.78265090860857</v>
      </c>
      <c r="BF26">
        <v>7.13060363443428</v>
      </c>
    </row>
    <row r="27" spans="1:58" x14ac:dyDescent="0.25">
      <c r="A27" s="3">
        <v>1.1000000000000001</v>
      </c>
      <c r="B27" s="3">
        <v>32</v>
      </c>
      <c r="C27" s="3">
        <v>45.6</v>
      </c>
      <c r="D27" s="3">
        <v>20</v>
      </c>
      <c r="E27" s="26">
        <v>1.40031756933689E-2</v>
      </c>
      <c r="F27" s="26">
        <v>5.6784984243662398E-3</v>
      </c>
      <c r="G27" s="26">
        <v>4.6667095589632999E-3</v>
      </c>
      <c r="H27" s="30">
        <v>0</v>
      </c>
      <c r="I27" s="8">
        <v>1</v>
      </c>
      <c r="J27" s="8">
        <v>18</v>
      </c>
      <c r="K27" s="8">
        <v>151</v>
      </c>
      <c r="L27" s="8">
        <v>1196</v>
      </c>
      <c r="M27" s="29">
        <v>3617</v>
      </c>
      <c r="AS27" s="3">
        <v>1.1000000000000001</v>
      </c>
      <c r="AU27">
        <v>5.6012702773475899E-2</v>
      </c>
      <c r="AV27">
        <v>0.17662425401843199</v>
      </c>
      <c r="AW27">
        <v>0.371998081424883</v>
      </c>
      <c r="AX27">
        <v>1.4536955966377501</v>
      </c>
      <c r="AY27">
        <v>5.8147823865510198</v>
      </c>
      <c r="BB27">
        <v>5.6012702773475899E-2</v>
      </c>
      <c r="BC27">
        <v>0.22405081109390301</v>
      </c>
      <c r="BD27">
        <v>0.89620324437561405</v>
      </c>
      <c r="BE27">
        <v>3.58481297750245</v>
      </c>
      <c r="BF27">
        <v>14.3392519100098</v>
      </c>
    </row>
    <row r="28" spans="1:58" x14ac:dyDescent="0.25">
      <c r="A28" s="3">
        <v>1.2</v>
      </c>
      <c r="B28" s="3">
        <v>32</v>
      </c>
      <c r="C28" s="3">
        <v>44.2</v>
      </c>
      <c r="D28" s="3">
        <v>20</v>
      </c>
      <c r="E28" s="26">
        <v>1.0890800850407899E-2</v>
      </c>
      <c r="F28" s="26">
        <v>4.8212415579803897E-3</v>
      </c>
      <c r="G28" s="26">
        <v>4.1135640493545804E-3</v>
      </c>
      <c r="H28" s="30">
        <v>0</v>
      </c>
      <c r="I28" s="8">
        <v>1</v>
      </c>
      <c r="J28" s="8">
        <v>11</v>
      </c>
      <c r="K28" s="8">
        <v>103</v>
      </c>
      <c r="L28" s="8">
        <v>972</v>
      </c>
      <c r="M28" s="29">
        <v>3501</v>
      </c>
      <c r="AS28" s="3">
        <v>1.2</v>
      </c>
      <c r="AU28">
        <v>4.3563203401631702E-2</v>
      </c>
      <c r="AV28">
        <v>0.14678489544762599</v>
      </c>
      <c r="AW28">
        <v>0.32808884276820199</v>
      </c>
      <c r="AX28">
        <v>1.23423783884298</v>
      </c>
      <c r="AY28">
        <v>4.93695135537192</v>
      </c>
      <c r="BB28">
        <v>4.3563203401631702E-2</v>
      </c>
      <c r="BC28">
        <v>0.174252813606527</v>
      </c>
      <c r="BD28">
        <v>0.69701125442610801</v>
      </c>
      <c r="BE28">
        <v>2.7880450177044298</v>
      </c>
      <c r="BF28">
        <v>11.1521800708177</v>
      </c>
    </row>
    <row r="29" spans="1:58" x14ac:dyDescent="0.25">
      <c r="A29" s="3">
        <v>1.3</v>
      </c>
      <c r="B29" s="3">
        <v>32</v>
      </c>
      <c r="C29" s="3">
        <v>42.84</v>
      </c>
      <c r="D29" s="3">
        <v>10</v>
      </c>
      <c r="E29" s="26">
        <v>2.3197934886697399E-2</v>
      </c>
      <c r="F29" s="26">
        <v>9.1426900455134907E-3</v>
      </c>
      <c r="G29" s="26">
        <v>6.1375608082080103E-3</v>
      </c>
      <c r="H29" s="30">
        <v>0</v>
      </c>
      <c r="I29" s="8">
        <v>4</v>
      </c>
      <c r="J29" s="8">
        <v>35</v>
      </c>
      <c r="K29" s="8">
        <v>163</v>
      </c>
      <c r="L29" s="8">
        <v>788</v>
      </c>
      <c r="M29" s="29">
        <v>1749</v>
      </c>
      <c r="AS29" s="3">
        <v>1.3</v>
      </c>
      <c r="AU29">
        <v>9.2791739546789598E-2</v>
      </c>
      <c r="AV29">
        <v>0.222368887754927</v>
      </c>
      <c r="AW29">
        <v>0.58513216291286296</v>
      </c>
      <c r="AX29">
        <v>2.3405286516514501</v>
      </c>
      <c r="AY29">
        <v>9.3621146066058198</v>
      </c>
      <c r="BB29">
        <v>9.2791739546789598E-2</v>
      </c>
      <c r="BC29">
        <v>0.371166958187158</v>
      </c>
      <c r="BD29">
        <v>1.48466783274863</v>
      </c>
      <c r="BE29">
        <v>5.9386713309945298</v>
      </c>
      <c r="BF29">
        <v>23.754685323978102</v>
      </c>
    </row>
    <row r="30" spans="1:58" x14ac:dyDescent="0.25">
      <c r="A30" s="3">
        <v>2.1</v>
      </c>
      <c r="B30" s="3">
        <v>45</v>
      </c>
      <c r="C30" s="3">
        <v>52.94</v>
      </c>
      <c r="D30" s="3">
        <v>20</v>
      </c>
      <c r="E30" s="26">
        <v>3.5345925929864103E-2</v>
      </c>
      <c r="F30" s="26">
        <v>7.8507383881498607E-3</v>
      </c>
      <c r="G30" s="26">
        <v>4.0069409325786598E-3</v>
      </c>
      <c r="H30" s="30">
        <v>0</v>
      </c>
      <c r="I30" s="8">
        <v>11</v>
      </c>
      <c r="J30" s="8">
        <v>56</v>
      </c>
      <c r="K30" s="8">
        <v>204</v>
      </c>
      <c r="L30" s="8">
        <v>1215</v>
      </c>
      <c r="M30" s="29">
        <v>3424</v>
      </c>
      <c r="AS30" s="3">
        <v>2.1</v>
      </c>
      <c r="AU30">
        <v>8.2766257918429495E-2</v>
      </c>
      <c r="AV30">
        <v>0.28137760228112102</v>
      </c>
      <c r="AW30">
        <v>0.60837215584300797</v>
      </c>
      <c r="AX30">
        <v>2.0097890273663599</v>
      </c>
      <c r="AY30">
        <v>8.0391561094654609</v>
      </c>
      <c r="BB30">
        <v>0.14138370371945599</v>
      </c>
      <c r="BC30">
        <v>0.56553481487782498</v>
      </c>
      <c r="BD30">
        <v>2.2621392595112999</v>
      </c>
      <c r="BE30">
        <v>9.0485570380452103</v>
      </c>
      <c r="BF30">
        <v>36.194228152180798</v>
      </c>
    </row>
    <row r="31" spans="1:58" x14ac:dyDescent="0.25">
      <c r="A31" s="3">
        <v>2.2000000000000002</v>
      </c>
      <c r="B31" s="3">
        <v>45</v>
      </c>
      <c r="C31" s="3">
        <v>54.05</v>
      </c>
      <c r="D31" s="3">
        <v>15</v>
      </c>
      <c r="E31" s="26">
        <v>2.4016207968108199E-2</v>
      </c>
      <c r="F31" s="26">
        <v>6.5149661727545603E-3</v>
      </c>
      <c r="G31" s="26">
        <v>4.26435563054003E-3</v>
      </c>
      <c r="H31" s="30">
        <v>1</v>
      </c>
      <c r="I31" s="8">
        <v>5</v>
      </c>
      <c r="J31" s="8">
        <v>26</v>
      </c>
      <c r="K31" s="8">
        <v>112</v>
      </c>
      <c r="L31" s="8">
        <v>811</v>
      </c>
      <c r="M31" s="29">
        <v>2808</v>
      </c>
      <c r="AS31" s="3">
        <v>2.2000000000000002</v>
      </c>
      <c r="AT31">
        <v>2.4016207968108199E-2</v>
      </c>
      <c r="AU31">
        <v>6.1687066952672398E-2</v>
      </c>
      <c r="AV31">
        <v>0.19687478181427201</v>
      </c>
      <c r="AW31">
        <v>0.46344710039377801</v>
      </c>
      <c r="AX31">
        <v>1.6678313402251601</v>
      </c>
      <c r="AY31">
        <v>6.6713253609006697</v>
      </c>
      <c r="BA31">
        <v>2.4016207968108199E-2</v>
      </c>
      <c r="BB31">
        <v>9.6064831872432796E-2</v>
      </c>
      <c r="BC31">
        <v>0.38425932748973102</v>
      </c>
      <c r="BD31">
        <v>1.5370373099589201</v>
      </c>
      <c r="BE31">
        <v>6.1481492398356998</v>
      </c>
      <c r="BF31">
        <v>24.592596959342799</v>
      </c>
    </row>
    <row r="32" spans="1:58" x14ac:dyDescent="0.25">
      <c r="A32" s="3">
        <v>2.2999999999999998</v>
      </c>
      <c r="B32" s="3">
        <v>45</v>
      </c>
      <c r="C32" s="3">
        <v>54.11</v>
      </c>
      <c r="D32" s="3">
        <v>10</v>
      </c>
      <c r="E32" s="26">
        <v>1.9422121419342901E-2</v>
      </c>
      <c r="F32" s="26">
        <v>7.5773751595888898E-3</v>
      </c>
      <c r="G32" s="26">
        <v>5.3544304928017398E-3</v>
      </c>
      <c r="H32" s="30">
        <v>0</v>
      </c>
      <c r="I32" s="8">
        <v>3</v>
      </c>
      <c r="J32" s="8">
        <v>28</v>
      </c>
      <c r="K32" s="8">
        <v>147</v>
      </c>
      <c r="L32" s="8">
        <v>700</v>
      </c>
      <c r="M32" s="29">
        <v>1838</v>
      </c>
      <c r="AS32" s="3">
        <v>2.2999999999999998</v>
      </c>
      <c r="AU32">
        <v>6.6744949341475304E-2</v>
      </c>
      <c r="AV32">
        <v>0.16107374150092801</v>
      </c>
      <c r="AW32">
        <v>0.484952010213689</v>
      </c>
      <c r="AX32">
        <v>1.93980804085475</v>
      </c>
      <c r="AY32">
        <v>7.7592321634190196</v>
      </c>
      <c r="BB32">
        <v>7.7688485677371896E-2</v>
      </c>
      <c r="BC32">
        <v>0.31075394270948697</v>
      </c>
      <c r="BD32">
        <v>1.2430157708379499</v>
      </c>
      <c r="BE32">
        <v>4.9720630833517996</v>
      </c>
      <c r="BF32">
        <v>19.888252333407198</v>
      </c>
    </row>
    <row r="33" spans="1:58" x14ac:dyDescent="0.25">
      <c r="A33" s="3">
        <v>3.1</v>
      </c>
      <c r="B33" s="3">
        <v>64</v>
      </c>
      <c r="C33" s="3">
        <v>84.98</v>
      </c>
      <c r="D33" s="3">
        <v>20</v>
      </c>
      <c r="E33" s="26">
        <v>0.12653412852816501</v>
      </c>
      <c r="F33" s="26">
        <v>1.5222331559222001E-2</v>
      </c>
      <c r="G33" s="26">
        <v>4.5052689799184196E-3</v>
      </c>
      <c r="H33" s="30">
        <v>10</v>
      </c>
      <c r="I33" s="8">
        <v>38</v>
      </c>
      <c r="J33" s="8">
        <v>113</v>
      </c>
      <c r="K33" s="8">
        <v>312</v>
      </c>
      <c r="L33" s="8">
        <v>1212</v>
      </c>
      <c r="M33" s="29">
        <v>3306</v>
      </c>
      <c r="AS33" s="3">
        <v>3.1</v>
      </c>
      <c r="AT33">
        <v>9.5477972807156197E-2</v>
      </c>
      <c r="AU33">
        <v>0.192484405703403</v>
      </c>
      <c r="AV33">
        <v>0.54260603351381897</v>
      </c>
      <c r="AW33">
        <v>1.4445985101020999</v>
      </c>
      <c r="AX33">
        <v>3.8969168791608402</v>
      </c>
      <c r="AY33">
        <v>15.5876675166433</v>
      </c>
      <c r="BA33">
        <v>0.12653412852816501</v>
      </c>
      <c r="BB33">
        <v>0.50613651411266203</v>
      </c>
      <c r="BC33">
        <v>2.0245460564506401</v>
      </c>
      <c r="BD33">
        <v>8.0981842258025907</v>
      </c>
      <c r="BE33">
        <v>32.392736903210299</v>
      </c>
      <c r="BF33">
        <v>129.570947612841</v>
      </c>
    </row>
    <row r="34" spans="1:58" x14ac:dyDescent="0.25">
      <c r="A34" s="3">
        <v>3.2</v>
      </c>
      <c r="B34" s="3">
        <v>64</v>
      </c>
      <c r="C34" s="3">
        <v>86.98</v>
      </c>
      <c r="D34" s="3">
        <v>15</v>
      </c>
      <c r="E34" s="26">
        <v>5.1502950973667999E-2</v>
      </c>
      <c r="F34" s="26">
        <v>1.37528556522491E-2</v>
      </c>
      <c r="G34" s="26">
        <v>4.5700514622563203E-3</v>
      </c>
      <c r="H34" s="30">
        <v>2</v>
      </c>
      <c r="I34" s="8">
        <v>30</v>
      </c>
      <c r="J34" s="8">
        <v>110</v>
      </c>
      <c r="K34" s="8">
        <v>279</v>
      </c>
      <c r="L34" s="8">
        <v>1032</v>
      </c>
      <c r="M34" s="29">
        <v>2570</v>
      </c>
      <c r="AS34" s="3">
        <v>3.2</v>
      </c>
      <c r="AT34">
        <v>2.8717702047744001E-2</v>
      </c>
      <c r="AU34">
        <v>0.11587567427319601</v>
      </c>
      <c r="AV34">
        <v>0.424330918118209</v>
      </c>
      <c r="AW34">
        <v>1.0317760232201201</v>
      </c>
      <c r="AX34">
        <v>3.52073104697577</v>
      </c>
      <c r="AY34">
        <v>14.082924187903</v>
      </c>
      <c r="BA34">
        <v>3.4786896818932399E-2</v>
      </c>
      <c r="BB34">
        <v>0.206011803894672</v>
      </c>
      <c r="BC34">
        <v>0.82404721557868799</v>
      </c>
      <c r="BD34">
        <v>3.2961888623147502</v>
      </c>
      <c r="BE34">
        <v>13.184755449259001</v>
      </c>
      <c r="BF34">
        <v>52.739021797036003</v>
      </c>
    </row>
    <row r="35" spans="1:58" x14ac:dyDescent="0.25">
      <c r="A35" s="3">
        <v>3.3</v>
      </c>
      <c r="B35" s="3">
        <v>64</v>
      </c>
      <c r="C35" s="3">
        <v>87.98</v>
      </c>
      <c r="D35" s="3">
        <v>20</v>
      </c>
      <c r="E35" s="26">
        <v>5.04335454776157E-2</v>
      </c>
      <c r="F35" s="26">
        <v>9.8602655911611495E-3</v>
      </c>
      <c r="G35" s="26">
        <v>4.3864038070395503E-3</v>
      </c>
      <c r="H35" s="30">
        <v>4</v>
      </c>
      <c r="I35" s="8">
        <v>20</v>
      </c>
      <c r="J35" s="8">
        <v>68</v>
      </c>
      <c r="K35" s="8">
        <v>245</v>
      </c>
      <c r="L35" s="8">
        <v>1155</v>
      </c>
      <c r="M35" s="29">
        <v>3356</v>
      </c>
      <c r="AS35" s="3">
        <v>3.3</v>
      </c>
      <c r="AT35">
        <v>4.2099641834455401E-2</v>
      </c>
      <c r="AU35">
        <v>0.10745936765490099</v>
      </c>
      <c r="AV35">
        <v>0.342981303210388</v>
      </c>
      <c r="AW35">
        <v>0.759859641009906</v>
      </c>
      <c r="AX35">
        <v>2.5242279913372498</v>
      </c>
      <c r="AY35">
        <v>10.096911965348999</v>
      </c>
      <c r="BA35">
        <v>5.04335454776157E-2</v>
      </c>
      <c r="BB35">
        <v>0.201734181910463</v>
      </c>
      <c r="BC35">
        <v>0.80693672764185198</v>
      </c>
      <c r="BD35">
        <v>3.2277469105674101</v>
      </c>
      <c r="BE35">
        <v>12.9109876422696</v>
      </c>
      <c r="BF35">
        <v>51.643950569078498</v>
      </c>
    </row>
    <row r="36" spans="1:58" x14ac:dyDescent="0.25">
      <c r="A36" s="3">
        <v>4.0999999999999996</v>
      </c>
      <c r="B36" s="3">
        <v>90</v>
      </c>
      <c r="C36" s="3">
        <v>108.42</v>
      </c>
      <c r="D36" s="3">
        <v>15</v>
      </c>
      <c r="E36" s="26">
        <v>9.6840712231762202E-2</v>
      </c>
      <c r="F36" s="26">
        <v>2.94139388502281E-2</v>
      </c>
      <c r="G36" s="26">
        <v>9.5407724532447606E-3</v>
      </c>
      <c r="H36" s="30">
        <v>12</v>
      </c>
      <c r="I36" s="8">
        <v>61</v>
      </c>
      <c r="J36" s="8">
        <v>187</v>
      </c>
      <c r="K36" s="8">
        <v>490</v>
      </c>
      <c r="L36" s="8">
        <v>1019</v>
      </c>
      <c r="M36" s="29">
        <v>2258</v>
      </c>
      <c r="AS36" s="3">
        <v>4.0999999999999996</v>
      </c>
      <c r="AT36">
        <v>6.9669475601588704E-2</v>
      </c>
      <c r="AU36">
        <v>0.21182245741774999</v>
      </c>
      <c r="AV36">
        <v>0.71876689058186105</v>
      </c>
      <c r="AW36">
        <v>2.4352261038974299</v>
      </c>
      <c r="AX36">
        <v>7.5299683456584097</v>
      </c>
      <c r="AY36">
        <v>30.1198733826336</v>
      </c>
      <c r="BA36">
        <v>9.6840712231762202E-2</v>
      </c>
      <c r="BB36">
        <v>0.38736284892704798</v>
      </c>
      <c r="BC36">
        <v>1.5494513957081899</v>
      </c>
      <c r="BD36">
        <v>6.19780558283278</v>
      </c>
      <c r="BE36">
        <v>24.791222331331099</v>
      </c>
      <c r="BF36">
        <v>99.164889325324495</v>
      </c>
    </row>
    <row r="37" spans="1:58" x14ac:dyDescent="0.25">
      <c r="A37" s="3">
        <v>4.2</v>
      </c>
      <c r="B37" s="3">
        <v>90</v>
      </c>
      <c r="C37" s="3">
        <v>127.22</v>
      </c>
      <c r="D37" s="3">
        <v>20</v>
      </c>
      <c r="E37" s="26">
        <v>4.1669974213015902E-2</v>
      </c>
      <c r="F37" s="26">
        <v>9.9725509064199202E-3</v>
      </c>
      <c r="G37" s="26">
        <v>6.2822795747625101E-3</v>
      </c>
      <c r="H37" s="30">
        <v>0</v>
      </c>
      <c r="I37" s="8">
        <v>15</v>
      </c>
      <c r="J37" s="8">
        <v>82</v>
      </c>
      <c r="K37" s="8">
        <v>353</v>
      </c>
      <c r="L37" s="8">
        <v>1394</v>
      </c>
      <c r="M37" s="29">
        <v>3355</v>
      </c>
      <c r="AS37" s="3">
        <v>4.2</v>
      </c>
      <c r="AU37">
        <v>7.9120500982877304E-2</v>
      </c>
      <c r="AV37">
        <v>0.25286216921415</v>
      </c>
      <c r="AW37">
        <v>0.66084681493743003</v>
      </c>
      <c r="AX37">
        <v>2.5529730320435</v>
      </c>
      <c r="AY37">
        <v>10.211892128174</v>
      </c>
      <c r="BB37">
        <v>0.166679896852063</v>
      </c>
      <c r="BC37">
        <v>0.66671958740825399</v>
      </c>
      <c r="BD37">
        <v>2.6668783496330102</v>
      </c>
      <c r="BE37">
        <v>10.667513398532</v>
      </c>
      <c r="BF37">
        <v>42.670053594128298</v>
      </c>
    </row>
    <row r="38" spans="1:58" x14ac:dyDescent="0.25">
      <c r="A38" s="3">
        <v>4.3</v>
      </c>
      <c r="B38" s="3">
        <v>90</v>
      </c>
      <c r="C38" s="3">
        <v>91.54</v>
      </c>
      <c r="D38" s="3">
        <v>20</v>
      </c>
      <c r="E38" s="26">
        <v>6.5041528765672305E-2</v>
      </c>
      <c r="F38" s="26">
        <v>1.5521667521925899E-2</v>
      </c>
      <c r="G38" s="26">
        <v>9.3037999635866304E-3</v>
      </c>
      <c r="H38" s="30">
        <v>6</v>
      </c>
      <c r="I38" s="8">
        <v>32</v>
      </c>
      <c r="J38" s="8">
        <v>142</v>
      </c>
      <c r="K38" s="8">
        <v>419</v>
      </c>
      <c r="L38" s="8">
        <v>1531</v>
      </c>
      <c r="M38" s="29">
        <v>3286</v>
      </c>
      <c r="AS38" s="3">
        <v>4.3</v>
      </c>
      <c r="AT38">
        <v>6.2038722824561902E-2</v>
      </c>
      <c r="AU38">
        <v>0.13350547172294899</v>
      </c>
      <c r="AV38">
        <v>0.41039439745539202</v>
      </c>
      <c r="AW38">
        <v>1.17781242915115</v>
      </c>
      <c r="AX38">
        <v>3.97354688561304</v>
      </c>
      <c r="AY38">
        <v>15.8941875424521</v>
      </c>
      <c r="BA38">
        <v>6.5041528765672305E-2</v>
      </c>
      <c r="BB38">
        <v>0.260166115062689</v>
      </c>
      <c r="BC38">
        <v>1.04066446025075</v>
      </c>
      <c r="BD38">
        <v>4.1626578410030204</v>
      </c>
      <c r="BE38">
        <v>16.650631364012099</v>
      </c>
      <c r="BF38">
        <v>66.602525456048397</v>
      </c>
    </row>
    <row r="39" spans="1:58" x14ac:dyDescent="0.25">
      <c r="A39" s="14" t="s">
        <v>22</v>
      </c>
      <c r="B39" s="14">
        <v>90</v>
      </c>
      <c r="C39" s="14">
        <v>113.98</v>
      </c>
      <c r="D39" s="25">
        <v>49.999977324263</v>
      </c>
      <c r="E39" s="15">
        <v>0.103785400341108</v>
      </c>
      <c r="F39" s="15">
        <v>9.3097685505032102E-3</v>
      </c>
      <c r="G39" s="15">
        <v>2.6623638531804101E-3</v>
      </c>
      <c r="H39" s="30">
        <v>7</v>
      </c>
      <c r="I39" s="8">
        <v>32</v>
      </c>
      <c r="J39" s="8">
        <v>148</v>
      </c>
      <c r="K39" s="8">
        <v>475</v>
      </c>
      <c r="L39" s="8">
        <v>1883</v>
      </c>
      <c r="M39" s="29">
        <v>5866</v>
      </c>
      <c r="AS39" s="14" t="s">
        <v>22</v>
      </c>
    </row>
    <row r="40" spans="1:58" x14ac:dyDescent="0.25">
      <c r="A40" s="14" t="s">
        <v>23</v>
      </c>
      <c r="B40" s="14">
        <v>45</v>
      </c>
      <c r="C40" s="14">
        <v>56.56</v>
      </c>
      <c r="D40" s="25">
        <v>99.999977324263</v>
      </c>
      <c r="E40" s="15">
        <v>1.7343593585544201E-2</v>
      </c>
      <c r="F40" s="15">
        <v>3.7541223526986601E-3</v>
      </c>
      <c r="G40" s="15">
        <v>3.5652204100954199E-3</v>
      </c>
      <c r="H40" s="30">
        <v>0</v>
      </c>
      <c r="I40" s="8">
        <v>3</v>
      </c>
      <c r="J40" s="8">
        <v>17</v>
      </c>
      <c r="K40" s="8">
        <v>221</v>
      </c>
      <c r="L40" s="8">
        <v>2965</v>
      </c>
      <c r="M40" s="29">
        <v>14897</v>
      </c>
      <c r="AS40" s="14" t="s">
        <v>23</v>
      </c>
    </row>
    <row r="41" spans="1:58" x14ac:dyDescent="0.25">
      <c r="A41" s="14" t="s">
        <v>24</v>
      </c>
      <c r="B41" s="14">
        <v>90</v>
      </c>
      <c r="C41" s="14">
        <v>108.42</v>
      </c>
      <c r="D41" s="25">
        <v>149.999977324263</v>
      </c>
      <c r="E41" s="15">
        <v>9.5590751489404505E-2</v>
      </c>
      <c r="F41" s="15">
        <v>4.1750172724988703E-3</v>
      </c>
      <c r="G41" s="15">
        <v>3.0008966016067001E-3</v>
      </c>
      <c r="H41" s="30">
        <v>4</v>
      </c>
      <c r="I41" s="8">
        <v>7</v>
      </c>
      <c r="J41" s="8">
        <v>43</v>
      </c>
      <c r="K41" s="8">
        <v>325</v>
      </c>
      <c r="L41" s="8">
        <v>4737</v>
      </c>
      <c r="M41" s="29">
        <v>21140</v>
      </c>
      <c r="AS41" s="14" t="s">
        <v>24</v>
      </c>
    </row>
    <row r="42" spans="1:58" x14ac:dyDescent="0.25">
      <c r="A42" s="11" t="s">
        <v>42</v>
      </c>
      <c r="B42" s="11">
        <v>128</v>
      </c>
      <c r="C42" s="11">
        <v>128</v>
      </c>
      <c r="D42" s="23">
        <v>60</v>
      </c>
      <c r="E42" s="24">
        <v>6.3874222410114402E-3</v>
      </c>
      <c r="F42" s="24">
        <v>4.0872753866210698E-3</v>
      </c>
      <c r="G42" s="24">
        <v>4.1324979636846596E-3</v>
      </c>
      <c r="H42" s="30">
        <v>0</v>
      </c>
      <c r="I42" s="8">
        <v>0</v>
      </c>
      <c r="J42" s="8">
        <v>0</v>
      </c>
      <c r="K42" s="8">
        <v>32.479999999999997</v>
      </c>
      <c r="L42" s="8">
        <v>580</v>
      </c>
      <c r="M42" s="29">
        <v>8760.32</v>
      </c>
      <c r="AS42" s="11" t="s">
        <v>42</v>
      </c>
    </row>
    <row r="43" spans="1:58" x14ac:dyDescent="0.25">
      <c r="A43" s="11" t="s">
        <v>43</v>
      </c>
      <c r="B43" s="11">
        <v>64</v>
      </c>
      <c r="C43" s="11">
        <v>64</v>
      </c>
      <c r="D43" s="23">
        <v>60</v>
      </c>
      <c r="E43" s="24">
        <v>2.3944348715607398E-3</v>
      </c>
      <c r="F43" s="24">
        <v>1.5049965491053801E-3</v>
      </c>
      <c r="G43" s="24">
        <v>1.48965533935772E-3</v>
      </c>
      <c r="H43" s="30">
        <v>0</v>
      </c>
      <c r="I43" s="8">
        <v>0</v>
      </c>
      <c r="J43" s="8">
        <v>0</v>
      </c>
      <c r="K43" s="8">
        <v>0</v>
      </c>
      <c r="L43" s="8">
        <v>23.2</v>
      </c>
      <c r="M43" s="29">
        <v>969.75999999999897</v>
      </c>
      <c r="AS43" s="11" t="s">
        <v>43</v>
      </c>
    </row>
    <row r="44" spans="1:58" x14ac:dyDescent="0.25">
      <c r="A44" s="11" t="s">
        <v>44</v>
      </c>
      <c r="B44" s="11">
        <v>128</v>
      </c>
      <c r="C44" s="11">
        <v>128</v>
      </c>
      <c r="D44" s="23">
        <v>60</v>
      </c>
      <c r="E44" s="24">
        <v>3.4734349552416499E-2</v>
      </c>
      <c r="F44" s="24">
        <v>1.59772775618169E-2</v>
      </c>
      <c r="G44" s="24">
        <v>1.5617522696591399E-2</v>
      </c>
      <c r="H44" s="30">
        <v>0</v>
      </c>
      <c r="I44" s="8">
        <v>0</v>
      </c>
      <c r="J44" s="8">
        <v>69.12</v>
      </c>
      <c r="K44" s="8">
        <v>1622.3999999999901</v>
      </c>
      <c r="L44" s="8">
        <v>12195.84</v>
      </c>
      <c r="M44" s="29">
        <v>18165.12</v>
      </c>
      <c r="AS44" s="11" t="s">
        <v>44</v>
      </c>
    </row>
  </sheetData>
  <mergeCells count="1"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0307-38BE-4A59-A990-DF65022A51E1}">
  <dimension ref="B1:BO112"/>
  <sheetViews>
    <sheetView tabSelected="1" topLeftCell="O4" zoomScale="85" zoomScaleNormal="85" workbookViewId="0">
      <selection activeCell="AH13" sqref="AH13"/>
    </sheetView>
  </sheetViews>
  <sheetFormatPr defaultRowHeight="15" x14ac:dyDescent="0.25"/>
  <cols>
    <col min="3" max="3" width="17.42578125" customWidth="1"/>
    <col min="4" max="4" width="15.5703125" customWidth="1"/>
    <col min="5" max="5" width="13.28515625" customWidth="1"/>
    <col min="6" max="6" width="10.7109375" customWidth="1"/>
    <col min="7" max="7" width="10.42578125" customWidth="1"/>
    <col min="8" max="8" width="11.5703125" customWidth="1"/>
    <col min="9" max="10" width="10.7109375" customWidth="1"/>
    <col min="11" max="11" width="12.140625" customWidth="1"/>
    <col min="12" max="12" width="11.7109375" bestFit="1" customWidth="1"/>
    <col min="13" max="13" width="13.28515625" customWidth="1"/>
    <col min="14" max="14" width="13.140625" customWidth="1"/>
    <col min="25" max="25" width="12.7109375" customWidth="1"/>
    <col min="26" max="26" width="12.42578125" customWidth="1"/>
    <col min="35" max="35" width="14.28515625" customWidth="1"/>
    <col min="36" max="36" width="16.140625" customWidth="1"/>
    <col min="37" max="37" width="13.85546875" customWidth="1"/>
    <col min="38" max="38" width="16.85546875" customWidth="1"/>
    <col min="39" max="39" width="15" customWidth="1"/>
    <col min="40" max="40" width="14.5703125" customWidth="1"/>
    <col min="41" max="41" width="14" customWidth="1"/>
    <col min="42" max="42" width="14.28515625" customWidth="1"/>
    <col min="43" max="43" width="16" customWidth="1"/>
    <col min="44" max="44" width="16.7109375" customWidth="1"/>
    <col min="45" max="45" width="17.140625" customWidth="1"/>
    <col min="46" max="46" width="17.85546875" customWidth="1"/>
    <col min="47" max="47" width="11.5703125" customWidth="1"/>
    <col min="48" max="48" width="12.5703125" customWidth="1"/>
    <col min="51" max="51" width="18.140625" customWidth="1"/>
    <col min="64" max="64" width="14.42578125" customWidth="1"/>
    <col min="65" max="65" width="14.28515625" customWidth="1"/>
  </cols>
  <sheetData>
    <row r="1" spans="2:65" x14ac:dyDescent="0.25">
      <c r="B1" t="s">
        <v>69</v>
      </c>
      <c r="D1" s="142" t="s">
        <v>72</v>
      </c>
      <c r="E1" s="136"/>
      <c r="F1" s="136"/>
      <c r="G1" s="136"/>
      <c r="H1" s="136"/>
      <c r="I1" s="143"/>
      <c r="J1" s="144" t="s">
        <v>114</v>
      </c>
      <c r="K1" s="144"/>
      <c r="L1" s="144"/>
      <c r="M1" s="144"/>
      <c r="N1" s="144"/>
      <c r="O1" s="144"/>
      <c r="P1" s="67"/>
      <c r="AJ1" s="67" t="s">
        <v>99</v>
      </c>
    </row>
    <row r="2" spans="2:65" x14ac:dyDescent="0.25">
      <c r="D2" s="142" t="s">
        <v>76</v>
      </c>
      <c r="E2" s="136"/>
      <c r="F2" s="136"/>
      <c r="G2" s="136" t="s">
        <v>77</v>
      </c>
      <c r="H2" s="136"/>
      <c r="I2" s="143"/>
      <c r="J2" s="142" t="s">
        <v>76</v>
      </c>
      <c r="K2" s="136"/>
      <c r="L2" s="136"/>
      <c r="M2" s="136" t="s">
        <v>77</v>
      </c>
      <c r="N2" s="136"/>
      <c r="O2" s="143"/>
      <c r="P2" s="67" t="s">
        <v>79</v>
      </c>
      <c r="AJ2" t="s">
        <v>109</v>
      </c>
      <c r="AV2" s="140" t="s">
        <v>110</v>
      </c>
      <c r="AW2" s="140"/>
      <c r="AX2" s="140"/>
      <c r="AY2" s="140"/>
      <c r="AZ2" s="140"/>
      <c r="BA2" s="140"/>
      <c r="BC2" s="140" t="s">
        <v>64</v>
      </c>
      <c r="BD2" s="140"/>
      <c r="BE2" s="140"/>
      <c r="BF2" s="140" t="s">
        <v>65</v>
      </c>
      <c r="BG2" s="140"/>
      <c r="BH2" s="140"/>
      <c r="BI2" s="140" t="s">
        <v>66</v>
      </c>
      <c r="BJ2" s="140"/>
      <c r="BK2" s="140"/>
      <c r="BL2" s="1"/>
      <c r="BM2" s="1"/>
    </row>
    <row r="3" spans="2:65" x14ac:dyDescent="0.25">
      <c r="C3" s="1" t="s">
        <v>70</v>
      </c>
      <c r="D3" s="5" t="s">
        <v>73</v>
      </c>
      <c r="E3" s="1" t="s">
        <v>74</v>
      </c>
      <c r="F3" s="1" t="s">
        <v>75</v>
      </c>
      <c r="G3" s="1" t="s">
        <v>73</v>
      </c>
      <c r="H3" s="1" t="s">
        <v>74</v>
      </c>
      <c r="I3" s="6" t="s">
        <v>75</v>
      </c>
      <c r="J3" s="5" t="s">
        <v>73</v>
      </c>
      <c r="K3" s="1" t="s">
        <v>74</v>
      </c>
      <c r="L3" s="1" t="s">
        <v>75</v>
      </c>
      <c r="M3" s="1" t="s">
        <v>73</v>
      </c>
      <c r="N3" s="1" t="s">
        <v>74</v>
      </c>
      <c r="O3" s="6" t="s">
        <v>75</v>
      </c>
      <c r="P3" s="1" t="s">
        <v>78</v>
      </c>
      <c r="AK3" s="1" t="s">
        <v>1</v>
      </c>
      <c r="AL3" s="1" t="s">
        <v>2</v>
      </c>
      <c r="AM3" s="1" t="s">
        <v>3</v>
      </c>
      <c r="AN3" s="1" t="s">
        <v>100</v>
      </c>
      <c r="AO3" s="1" t="s">
        <v>101</v>
      </c>
      <c r="AP3" s="1" t="s">
        <v>102</v>
      </c>
      <c r="AQ3" s="1" t="s">
        <v>103</v>
      </c>
      <c r="AR3" s="1" t="s">
        <v>104</v>
      </c>
      <c r="AS3" s="1" t="s">
        <v>105</v>
      </c>
      <c r="AT3" s="1" t="s">
        <v>106</v>
      </c>
      <c r="AV3" s="1" t="s">
        <v>21</v>
      </c>
      <c r="AW3" s="1" t="s">
        <v>20</v>
      </c>
      <c r="AX3" s="1" t="s">
        <v>19</v>
      </c>
      <c r="AY3" s="1" t="s">
        <v>18</v>
      </c>
      <c r="AZ3" s="1" t="s">
        <v>17</v>
      </c>
      <c r="BA3" s="1" t="s">
        <v>16</v>
      </c>
      <c r="BC3" s="1" t="s">
        <v>41</v>
      </c>
      <c r="BD3" s="1" t="s">
        <v>40</v>
      </c>
      <c r="BE3" s="1" t="s">
        <v>39</v>
      </c>
      <c r="BF3" s="1" t="s">
        <v>41</v>
      </c>
      <c r="BG3" s="1" t="s">
        <v>40</v>
      </c>
      <c r="BH3" s="1" t="s">
        <v>39</v>
      </c>
      <c r="BI3" s="1" t="s">
        <v>41</v>
      </c>
      <c r="BJ3" s="1" t="s">
        <v>40</v>
      </c>
      <c r="BK3" s="1" t="s">
        <v>39</v>
      </c>
      <c r="BL3" s="1" t="s">
        <v>68</v>
      </c>
      <c r="BM3" s="1" t="s">
        <v>67</v>
      </c>
    </row>
    <row r="4" spans="2:65" x14ac:dyDescent="0.25">
      <c r="B4" s="12" t="s">
        <v>42</v>
      </c>
      <c r="C4" s="12">
        <v>128</v>
      </c>
      <c r="D4" s="5">
        <v>128</v>
      </c>
      <c r="E4" s="1">
        <v>128</v>
      </c>
      <c r="F4" s="1">
        <v>128</v>
      </c>
      <c r="G4" s="21">
        <v>64</v>
      </c>
      <c r="H4" s="21">
        <v>128</v>
      </c>
      <c r="I4" s="72">
        <v>128</v>
      </c>
      <c r="J4" s="5">
        <v>45</v>
      </c>
      <c r="K4" s="1">
        <v>90</v>
      </c>
      <c r="L4" s="1">
        <v>90</v>
      </c>
      <c r="M4" s="21">
        <v>45</v>
      </c>
      <c r="N4" s="21">
        <v>45</v>
      </c>
      <c r="O4" s="72">
        <v>90</v>
      </c>
      <c r="P4" s="1">
        <v>90</v>
      </c>
      <c r="AJ4" s="12" t="s">
        <v>42</v>
      </c>
      <c r="AK4" s="112">
        <v>2.2757340169528399E-2</v>
      </c>
      <c r="AL4" s="112">
        <v>1.5074113040056999E-2</v>
      </c>
      <c r="AM4" s="112">
        <v>1.5423120947055899E-2</v>
      </c>
      <c r="AN4" s="66">
        <v>0</v>
      </c>
      <c r="AO4" s="66">
        <v>29</v>
      </c>
      <c r="AP4" s="66">
        <v>474</v>
      </c>
      <c r="AQ4" s="66">
        <v>5962</v>
      </c>
      <c r="AR4" s="66">
        <v>27015</v>
      </c>
      <c r="AS4" s="66">
        <v>19751</v>
      </c>
      <c r="AT4" s="111"/>
      <c r="AV4" s="1">
        <f t="shared" ref="AV4:BA5" si="0">AN4/60</f>
        <v>0</v>
      </c>
      <c r="AW4" s="9">
        <f t="shared" si="0"/>
        <v>0.48333333333333334</v>
      </c>
      <c r="AX4" s="9">
        <f t="shared" si="0"/>
        <v>7.9</v>
      </c>
      <c r="AY4" s="9">
        <f t="shared" si="0"/>
        <v>99.36666666666666</v>
      </c>
      <c r="AZ4" s="9">
        <f t="shared" si="0"/>
        <v>450.25</v>
      </c>
      <c r="BA4" s="9">
        <f t="shared" si="0"/>
        <v>329.18333333333334</v>
      </c>
      <c r="BC4" s="9">
        <f t="shared" ref="BC4:BE5" si="1">AY4*$AK4</f>
        <v>2.261321034845472</v>
      </c>
      <c r="BD4" s="9">
        <f t="shared" si="1"/>
        <v>10.246492411330161</v>
      </c>
      <c r="BE4" s="9">
        <f t="shared" si="1"/>
        <v>7.4913370948059237</v>
      </c>
      <c r="BF4" s="1">
        <f t="shared" ref="BF4:BH5" si="2">AY4*$AM4</f>
        <v>1.5325441181057877</v>
      </c>
      <c r="BG4" s="1">
        <f t="shared" si="2"/>
        <v>6.9442602064119185</v>
      </c>
      <c r="BH4" s="1">
        <f t="shared" si="2"/>
        <v>5.0770343637550175</v>
      </c>
      <c r="BI4" s="9">
        <f t="shared" ref="BI4:BK5" si="3">AY4*$AM4</f>
        <v>1.5325441181057877</v>
      </c>
      <c r="BJ4" s="9">
        <f t="shared" si="3"/>
        <v>6.9442602064119185</v>
      </c>
      <c r="BK4" s="9">
        <f t="shared" si="3"/>
        <v>5.0770343637550175</v>
      </c>
      <c r="BL4" s="84">
        <f>AK4*AL4</f>
        <v>3.4304671820650101E-4</v>
      </c>
      <c r="BM4" s="84">
        <f>AK4*AM4</f>
        <v>3.5098920986793012E-4</v>
      </c>
    </row>
    <row r="5" spans="2:65" x14ac:dyDescent="0.25">
      <c r="B5" s="12" t="s">
        <v>43</v>
      </c>
      <c r="C5" s="12">
        <v>64</v>
      </c>
      <c r="D5" s="5">
        <v>64</v>
      </c>
      <c r="E5" s="1">
        <v>128</v>
      </c>
      <c r="F5" s="1">
        <v>128</v>
      </c>
      <c r="G5" s="21">
        <v>32</v>
      </c>
      <c r="H5" s="21">
        <v>45</v>
      </c>
      <c r="I5" s="72">
        <v>128</v>
      </c>
      <c r="J5" s="5">
        <v>64</v>
      </c>
      <c r="K5" s="1">
        <v>64</v>
      </c>
      <c r="L5" s="1">
        <v>128</v>
      </c>
      <c r="M5" s="21">
        <v>32</v>
      </c>
      <c r="N5" s="21">
        <v>45</v>
      </c>
      <c r="O5" s="72">
        <v>64</v>
      </c>
      <c r="P5" s="1">
        <v>45</v>
      </c>
      <c r="AJ5" s="12" t="s">
        <v>71</v>
      </c>
      <c r="AK5" s="112">
        <v>3.9279704565803299E-2</v>
      </c>
      <c r="AL5" s="112">
        <v>2.57503691198461E-2</v>
      </c>
      <c r="AM5" s="112">
        <v>2.5525636117230299E-2</v>
      </c>
      <c r="AN5" s="66">
        <v>0</v>
      </c>
      <c r="AO5" s="66">
        <v>7</v>
      </c>
      <c r="AP5" s="66">
        <v>570</v>
      </c>
      <c r="AQ5" s="66">
        <v>21833</v>
      </c>
      <c r="AR5" s="66">
        <v>28443</v>
      </c>
      <c r="AS5" s="66">
        <v>7895</v>
      </c>
      <c r="AT5" s="111">
        <v>44781.615277777775</v>
      </c>
      <c r="AV5" s="1">
        <f t="shared" si="0"/>
        <v>0</v>
      </c>
      <c r="AW5" s="1">
        <f t="shared" si="0"/>
        <v>0.11666666666666667</v>
      </c>
      <c r="AX5" s="9">
        <f t="shared" si="0"/>
        <v>9.5</v>
      </c>
      <c r="AY5" s="9">
        <f t="shared" si="0"/>
        <v>363.88333333333333</v>
      </c>
      <c r="AZ5" s="9">
        <f t="shared" si="0"/>
        <v>474.05</v>
      </c>
      <c r="BA5" s="9">
        <f t="shared" si="0"/>
        <v>131.58333333333334</v>
      </c>
      <c r="BC5" s="9">
        <f t="shared" si="1"/>
        <v>14.293229829753058</v>
      </c>
      <c r="BD5" s="9">
        <f t="shared" si="1"/>
        <v>18.620543949419055</v>
      </c>
      <c r="BE5" s="9">
        <f t="shared" si="1"/>
        <v>5.168554459116951</v>
      </c>
      <c r="BF5" s="1">
        <f t="shared" si="2"/>
        <v>9.2883535557914847</v>
      </c>
      <c r="BG5" s="1">
        <f t="shared" si="2"/>
        <v>12.100427801373023</v>
      </c>
      <c r="BH5" s="1">
        <f t="shared" si="2"/>
        <v>3.3587482857588871</v>
      </c>
      <c r="BI5" s="9">
        <f t="shared" si="3"/>
        <v>9.2883535557914847</v>
      </c>
      <c r="BJ5" s="9">
        <f t="shared" si="3"/>
        <v>12.100427801373023</v>
      </c>
      <c r="BK5" s="9">
        <f t="shared" si="3"/>
        <v>3.3587482857588871</v>
      </c>
      <c r="BL5" s="84">
        <f>AK5*AL5</f>
        <v>1.0114668914879392E-3</v>
      </c>
      <c r="BM5" s="84">
        <f>AK5*AM5</f>
        <v>1.0026394455390046E-3</v>
      </c>
    </row>
    <row r="6" spans="2:65" x14ac:dyDescent="0.25">
      <c r="B6" s="12" t="s">
        <v>44</v>
      </c>
      <c r="C6" s="12">
        <v>128</v>
      </c>
      <c r="D6" s="5">
        <v>128</v>
      </c>
      <c r="E6" s="1">
        <v>128</v>
      </c>
      <c r="F6" s="1">
        <v>128</v>
      </c>
      <c r="G6" s="21">
        <v>45</v>
      </c>
      <c r="H6" s="21">
        <v>32</v>
      </c>
      <c r="I6" s="72">
        <v>128</v>
      </c>
      <c r="J6" s="5">
        <v>64</v>
      </c>
      <c r="K6" s="1">
        <v>128</v>
      </c>
      <c r="L6" s="1">
        <v>128</v>
      </c>
      <c r="M6" s="21">
        <v>64</v>
      </c>
      <c r="N6" s="21">
        <v>32</v>
      </c>
      <c r="O6" s="72">
        <v>32</v>
      </c>
      <c r="P6" s="1">
        <v>64</v>
      </c>
      <c r="AJ6" s="12" t="s">
        <v>43</v>
      </c>
      <c r="AK6" s="112">
        <v>0.127994748730582</v>
      </c>
      <c r="AL6" s="112">
        <v>9.2368097408640507E-2</v>
      </c>
      <c r="AM6" s="112">
        <v>9.2086383830759302E-2</v>
      </c>
      <c r="AN6" s="66">
        <v>0</v>
      </c>
      <c r="AO6" s="66">
        <v>127</v>
      </c>
      <c r="AP6" s="66">
        <v>7447</v>
      </c>
      <c r="AQ6" s="66">
        <v>14635</v>
      </c>
      <c r="AR6" s="66">
        <v>4564</v>
      </c>
      <c r="AS6" s="66">
        <v>1000</v>
      </c>
      <c r="AT6" s="111">
        <v>45136.65625</v>
      </c>
      <c r="AV6" s="1">
        <f t="shared" ref="AV6:AV9" si="4">AN6/60</f>
        <v>0</v>
      </c>
      <c r="AW6" s="1">
        <f t="shared" ref="AW6:AW9" si="5">AO6/60</f>
        <v>2.1166666666666667</v>
      </c>
      <c r="AX6" s="9">
        <f t="shared" ref="AX6:AX9" si="6">AP6/60</f>
        <v>124.11666666666666</v>
      </c>
      <c r="AY6" s="9">
        <f t="shared" ref="AY6:AY9" si="7">AQ6/60</f>
        <v>243.91666666666666</v>
      </c>
      <c r="AZ6" s="9">
        <f t="shared" ref="AZ6:AZ9" si="8">AR6/60</f>
        <v>76.066666666666663</v>
      </c>
      <c r="BA6" s="9">
        <f t="shared" ref="BA6:BA9" si="9">AS6/60</f>
        <v>16.666666666666668</v>
      </c>
      <c r="BC6" s="9">
        <f t="shared" ref="BC6:BC9" si="10">AY6*$AK6</f>
        <v>31.220052461201124</v>
      </c>
      <c r="BD6" s="9">
        <f t="shared" ref="BD6:BD9" si="11">AZ6*$AK6</f>
        <v>9.7361338867729366</v>
      </c>
      <c r="BE6" s="9">
        <f t="shared" ref="BE6:BE9" si="12">BA6*$AK6</f>
        <v>2.1332458121763667</v>
      </c>
      <c r="BF6" s="1">
        <f t="shared" ref="BF6:BF9" si="13">AY6*$AM6</f>
        <v>22.46140378938604</v>
      </c>
      <c r="BG6" s="1">
        <f t="shared" ref="BG6:BG9" si="14">AZ6*$AM6</f>
        <v>7.0047042633930907</v>
      </c>
      <c r="BH6" s="1">
        <f t="shared" ref="BH6:BH8" si="15">BA6*$AM6</f>
        <v>1.5347730638459884</v>
      </c>
      <c r="BI6" s="9">
        <f t="shared" ref="BI6:BI9" si="16">AY6*$AM6</f>
        <v>22.46140378938604</v>
      </c>
      <c r="BJ6" s="9">
        <f t="shared" ref="BJ6:BJ9" si="17">AZ6*$AM6</f>
        <v>7.0047042633930907</v>
      </c>
      <c r="BK6" s="9">
        <f t="shared" ref="BK6:BK9" si="18">BA6*$AM6</f>
        <v>1.5347730638459884</v>
      </c>
      <c r="BL6" s="84">
        <f t="shared" ref="BL6:BL9" si="19">AK6*AL6</f>
        <v>1.1822631418540864E-2</v>
      </c>
      <c r="BM6" s="84">
        <f t="shared" ref="BM6:BM9" si="20">AK6*AM6</f>
        <v>1.1786573559925967E-2</v>
      </c>
    </row>
    <row r="7" spans="2:65" x14ac:dyDescent="0.25">
      <c r="B7" s="1" t="s">
        <v>71</v>
      </c>
      <c r="C7" s="1">
        <v>128</v>
      </c>
      <c r="D7" s="5">
        <v>128</v>
      </c>
      <c r="E7" s="1">
        <v>128</v>
      </c>
      <c r="F7" s="1">
        <v>128</v>
      </c>
      <c r="G7" s="21">
        <v>32</v>
      </c>
      <c r="H7" s="21">
        <v>42</v>
      </c>
      <c r="I7" s="72">
        <v>128</v>
      </c>
      <c r="J7" s="5">
        <v>128</v>
      </c>
      <c r="K7" s="1">
        <v>128</v>
      </c>
      <c r="L7" s="1">
        <v>128</v>
      </c>
      <c r="M7" s="21">
        <v>128</v>
      </c>
      <c r="N7" s="21">
        <v>64</v>
      </c>
      <c r="O7" s="72">
        <v>32</v>
      </c>
      <c r="P7" s="1">
        <v>128</v>
      </c>
      <c r="AJ7" s="1" t="s">
        <v>107</v>
      </c>
      <c r="AK7" s="112">
        <v>5.1704168537004798E-3</v>
      </c>
      <c r="AL7" s="112">
        <v>3.7200850298957601E-3</v>
      </c>
      <c r="AM7" s="112">
        <v>3.7243475518041699E-3</v>
      </c>
      <c r="AN7" s="66">
        <v>0</v>
      </c>
      <c r="AO7" s="66">
        <v>0</v>
      </c>
      <c r="AP7" s="66">
        <v>0</v>
      </c>
      <c r="AQ7" s="66">
        <v>58</v>
      </c>
      <c r="AR7" s="66">
        <v>2982</v>
      </c>
      <c r="AS7" s="66">
        <v>20316</v>
      </c>
      <c r="AT7" s="111">
        <v>45151.770833333336</v>
      </c>
      <c r="AV7" s="1">
        <f t="shared" si="4"/>
        <v>0</v>
      </c>
      <c r="AW7" s="9">
        <f t="shared" si="5"/>
        <v>0</v>
      </c>
      <c r="AX7" s="9">
        <f t="shared" si="6"/>
        <v>0</v>
      </c>
      <c r="AY7" s="9">
        <f t="shared" si="7"/>
        <v>0.96666666666666667</v>
      </c>
      <c r="AZ7" s="9">
        <f t="shared" si="8"/>
        <v>49.7</v>
      </c>
      <c r="BA7" s="9">
        <f t="shared" si="9"/>
        <v>338.6</v>
      </c>
      <c r="BC7" s="9">
        <f t="shared" si="10"/>
        <v>4.9980696252437968E-3</v>
      </c>
      <c r="BD7" s="9">
        <f t="shared" si="11"/>
        <v>0.25696971762891385</v>
      </c>
      <c r="BE7" s="9">
        <f t="shared" si="12"/>
        <v>1.7507031466629825</v>
      </c>
      <c r="BF7" s="1">
        <f t="shared" si="13"/>
        <v>3.6002026334106974E-3</v>
      </c>
      <c r="BG7" s="1">
        <f t="shared" si="14"/>
        <v>0.18510007332466724</v>
      </c>
      <c r="BH7" s="1">
        <f t="shared" si="15"/>
        <v>1.261064081040892</v>
      </c>
      <c r="BI7" s="9">
        <f t="shared" si="16"/>
        <v>3.6002026334106974E-3</v>
      </c>
      <c r="BJ7" s="9">
        <f t="shared" si="17"/>
        <v>0.18510007332466724</v>
      </c>
      <c r="BK7" s="9">
        <f t="shared" si="18"/>
        <v>1.261064081040892</v>
      </c>
      <c r="BL7" s="84">
        <f t="shared" si="19"/>
        <v>1.9234390335771889E-5</v>
      </c>
      <c r="BM7" s="84">
        <f t="shared" si="20"/>
        <v>1.92564293508864E-5</v>
      </c>
    </row>
    <row r="8" spans="2:65" x14ac:dyDescent="0.25">
      <c r="B8" s="1" t="s">
        <v>97</v>
      </c>
      <c r="C8" s="1">
        <v>128</v>
      </c>
      <c r="D8" s="1">
        <v>128</v>
      </c>
      <c r="E8" s="1">
        <v>128</v>
      </c>
      <c r="F8" s="1">
        <v>128</v>
      </c>
      <c r="G8" s="21">
        <v>90</v>
      </c>
      <c r="H8" s="21">
        <v>128</v>
      </c>
      <c r="I8" s="21">
        <v>128</v>
      </c>
      <c r="J8" s="1">
        <v>128</v>
      </c>
      <c r="K8" s="1">
        <v>128</v>
      </c>
      <c r="L8" s="1">
        <v>128</v>
      </c>
      <c r="M8" s="21">
        <v>32</v>
      </c>
      <c r="N8" s="21">
        <v>32</v>
      </c>
      <c r="O8" s="21">
        <v>128</v>
      </c>
      <c r="P8" s="1">
        <v>128</v>
      </c>
      <c r="AJ8" s="1" t="s">
        <v>108</v>
      </c>
      <c r="AK8" s="112">
        <v>2.1282733338222001E-2</v>
      </c>
      <c r="AL8" s="112">
        <v>1.3489156353501199E-2</v>
      </c>
      <c r="AM8" s="112">
        <v>1.31430110663012E-2</v>
      </c>
      <c r="AN8" s="66">
        <v>0</v>
      </c>
      <c r="AO8" s="66">
        <v>4</v>
      </c>
      <c r="AP8" s="66">
        <v>86</v>
      </c>
      <c r="AQ8" s="66">
        <v>2483</v>
      </c>
      <c r="AR8" s="66">
        <v>15492</v>
      </c>
      <c r="AS8" s="66">
        <v>9155</v>
      </c>
      <c r="AT8" s="111">
        <v>45166.510416666664</v>
      </c>
      <c r="AV8" s="9">
        <f t="shared" si="4"/>
        <v>0</v>
      </c>
      <c r="AW8" s="9">
        <f t="shared" si="5"/>
        <v>6.6666666666666666E-2</v>
      </c>
      <c r="AX8" s="9">
        <f t="shared" si="6"/>
        <v>1.4333333333333333</v>
      </c>
      <c r="AY8" s="9">
        <f t="shared" si="7"/>
        <v>41.383333333333333</v>
      </c>
      <c r="AZ8" s="9">
        <f t="shared" si="8"/>
        <v>258.2</v>
      </c>
      <c r="BA8" s="9">
        <f t="shared" si="9"/>
        <v>152.58333333333334</v>
      </c>
      <c r="BC8" s="9">
        <f t="shared" si="10"/>
        <v>0.88075044798008717</v>
      </c>
      <c r="BD8" s="9">
        <f t="shared" si="11"/>
        <v>5.4952017479289204</v>
      </c>
      <c r="BE8" s="9">
        <f t="shared" si="12"/>
        <v>3.247390395190374</v>
      </c>
      <c r="BF8" s="1">
        <f t="shared" si="13"/>
        <v>0.5439016079604313</v>
      </c>
      <c r="BG8" s="1">
        <f t="shared" si="14"/>
        <v>3.3935254573189697</v>
      </c>
      <c r="BH8" s="1">
        <f t="shared" si="15"/>
        <v>2.0054044385331249</v>
      </c>
      <c r="BI8" s="9">
        <f t="shared" si="16"/>
        <v>0.5439016079604313</v>
      </c>
      <c r="BJ8" s="9">
        <f t="shared" si="17"/>
        <v>3.3935254573189697</v>
      </c>
      <c r="BK8" s="9">
        <f t="shared" si="18"/>
        <v>2.0054044385331249</v>
      </c>
      <c r="BL8" s="84">
        <f t="shared" si="19"/>
        <v>2.8708611762914908E-4</v>
      </c>
      <c r="BM8" s="84">
        <f t="shared" si="20"/>
        <v>2.7971919978538924E-4</v>
      </c>
    </row>
    <row r="9" spans="2:65" x14ac:dyDescent="0.25">
      <c r="AJ9" s="12" t="s">
        <v>44</v>
      </c>
      <c r="AK9" s="112">
        <v>2.7576669957168901E-2</v>
      </c>
      <c r="AL9" s="112">
        <v>1.6051830975608701E-2</v>
      </c>
      <c r="AM9" s="112">
        <v>1.57962386496018E-2</v>
      </c>
      <c r="AN9" s="66">
        <v>0</v>
      </c>
      <c r="AO9" s="66">
        <v>2</v>
      </c>
      <c r="AP9" s="66">
        <v>239</v>
      </c>
      <c r="AQ9" s="66">
        <v>3306</v>
      </c>
      <c r="AR9" s="66">
        <v>13746</v>
      </c>
      <c r="AS9" s="66">
        <v>8774</v>
      </c>
      <c r="AT9" s="111">
        <v>45183.947916666664</v>
      </c>
      <c r="AV9" s="9">
        <f t="shared" si="4"/>
        <v>0</v>
      </c>
      <c r="AW9" s="9">
        <f t="shared" si="5"/>
        <v>3.3333333333333333E-2</v>
      </c>
      <c r="AX9" s="9">
        <f t="shared" si="6"/>
        <v>3.9833333333333334</v>
      </c>
      <c r="AY9" s="9">
        <f t="shared" si="7"/>
        <v>55.1</v>
      </c>
      <c r="AZ9" s="9">
        <f t="shared" si="8"/>
        <v>229.1</v>
      </c>
      <c r="BA9" s="9">
        <f t="shared" si="9"/>
        <v>146.23333333333332</v>
      </c>
      <c r="BC9" s="9">
        <f t="shared" si="10"/>
        <v>1.5194745146400066</v>
      </c>
      <c r="BD9" s="9">
        <f t="shared" si="11"/>
        <v>6.3178150871873955</v>
      </c>
      <c r="BE9" s="9">
        <f t="shared" si="12"/>
        <v>4.0326283700699985</v>
      </c>
      <c r="BF9" s="1">
        <f t="shared" si="13"/>
        <v>0.87037274959305921</v>
      </c>
      <c r="BG9" s="1">
        <f t="shared" si="14"/>
        <v>3.6189182746237725</v>
      </c>
      <c r="BH9" s="1">
        <f>BA9*$AM9</f>
        <v>2.3099366318601029</v>
      </c>
      <c r="BI9" s="9">
        <f t="shared" si="16"/>
        <v>0.87037274959305921</v>
      </c>
      <c r="BJ9" s="9">
        <f t="shared" si="17"/>
        <v>3.6189182746237725</v>
      </c>
      <c r="BK9" s="9">
        <f t="shared" si="18"/>
        <v>2.3099366318601029</v>
      </c>
      <c r="BL9" s="84">
        <f t="shared" si="19"/>
        <v>4.4265604502262163E-4</v>
      </c>
      <c r="BM9" s="84">
        <f t="shared" si="20"/>
        <v>4.3560765980474423E-4</v>
      </c>
    </row>
    <row r="10" spans="2:65" x14ac:dyDescent="0.25">
      <c r="B10" s="59" t="s">
        <v>98</v>
      </c>
      <c r="C10" s="68"/>
      <c r="D10" s="138" t="s">
        <v>64</v>
      </c>
      <c r="E10" s="138"/>
      <c r="F10" s="138"/>
      <c r="G10" s="138" t="s">
        <v>65</v>
      </c>
      <c r="H10" s="138"/>
      <c r="I10" s="138"/>
      <c r="J10" s="138" t="s">
        <v>66</v>
      </c>
      <c r="K10" s="138"/>
      <c r="L10" s="138"/>
      <c r="M10" s="68"/>
      <c r="N10" s="69"/>
      <c r="R10" s="1" t="s">
        <v>92</v>
      </c>
      <c r="S10" s="1"/>
      <c r="T10" s="1" t="s">
        <v>90</v>
      </c>
      <c r="U10" s="1"/>
      <c r="V10" s="1" t="s">
        <v>93</v>
      </c>
      <c r="W10" s="1" t="s">
        <v>94</v>
      </c>
      <c r="Y10" s="1" t="s">
        <v>118</v>
      </c>
      <c r="Z10" s="1" t="s">
        <v>95</v>
      </c>
      <c r="AC10" s="1"/>
      <c r="AH10" t="s">
        <v>120</v>
      </c>
      <c r="AJ10" s="12" t="s">
        <v>96</v>
      </c>
      <c r="AK10" s="14">
        <v>1.8111308452651399E-2</v>
      </c>
      <c r="AL10" s="14">
        <v>4.2458617585666601E-3</v>
      </c>
      <c r="AM10" s="14">
        <v>4.0014597242638899E-3</v>
      </c>
      <c r="AN10" s="14">
        <v>1</v>
      </c>
      <c r="AO10" s="14">
        <v>5</v>
      </c>
      <c r="AP10" s="14">
        <v>18</v>
      </c>
      <c r="AQ10" s="14">
        <v>48</v>
      </c>
      <c r="AR10" s="14">
        <v>9829</v>
      </c>
      <c r="AS10" s="14">
        <v>37450</v>
      </c>
      <c r="AT10" s="122">
        <v>45044.125</v>
      </c>
      <c r="AV10" s="9">
        <f t="shared" ref="AV10" si="21">AN10/60</f>
        <v>1.6666666666666666E-2</v>
      </c>
      <c r="AW10" s="9">
        <f t="shared" ref="AW10" si="22">AO10/60</f>
        <v>8.3333333333333329E-2</v>
      </c>
      <c r="AX10" s="9">
        <f t="shared" ref="AX10" si="23">AP10/60</f>
        <v>0.3</v>
      </c>
      <c r="AY10" s="9">
        <f t="shared" ref="AY10" si="24">AQ10/60</f>
        <v>0.8</v>
      </c>
      <c r="AZ10" s="9">
        <f t="shared" ref="AZ10" si="25">AR10/60</f>
        <v>163.81666666666666</v>
      </c>
      <c r="BA10" s="9">
        <f t="shared" ref="BA10" si="26">AS10/60</f>
        <v>624.16666666666663</v>
      </c>
      <c r="BC10" s="9">
        <f t="shared" ref="BC10" si="27">AY10*$AK10</f>
        <v>1.448904676212112E-2</v>
      </c>
      <c r="BD10" s="9">
        <f t="shared" ref="BD10" si="28">AZ10*$AK10</f>
        <v>2.9669341796851767</v>
      </c>
      <c r="BE10" s="9">
        <f t="shared" ref="BE10" si="29">BA10*$AK10</f>
        <v>11.304475025863248</v>
      </c>
      <c r="BF10" s="1">
        <f t="shared" ref="BF10" si="30">AY10*$AM10</f>
        <v>3.201167779411112E-3</v>
      </c>
      <c r="BG10" s="1">
        <f t="shared" ref="BG10" si="31">AZ10*$AM10</f>
        <v>0.65550579382982954</v>
      </c>
      <c r="BH10" s="1">
        <f>BA10*$AM10</f>
        <v>2.497577777894711</v>
      </c>
      <c r="BI10" s="9">
        <f t="shared" ref="BI10" si="32">AY10*$AM10</f>
        <v>3.201167779411112E-3</v>
      </c>
      <c r="BJ10" s="9">
        <f t="shared" ref="BJ10" si="33">AZ10*$AM10</f>
        <v>0.65550579382982954</v>
      </c>
      <c r="BK10" s="9">
        <f t="shared" ref="BK10" si="34">BA10*$AM10</f>
        <v>2.497577777894711</v>
      </c>
      <c r="BL10" s="84">
        <f t="shared" ref="BL10" si="35">AK10*AL10</f>
        <v>7.6898111956717681E-5</v>
      </c>
      <c r="BM10" s="84">
        <f t="shared" ref="BM10" si="36">AK10*AM10</f>
        <v>7.247167132700472E-5</v>
      </c>
    </row>
    <row r="11" spans="2:65" x14ac:dyDescent="0.25">
      <c r="B11" s="53"/>
      <c r="C11" s="74" t="s">
        <v>26</v>
      </c>
      <c r="D11" s="75" t="s">
        <v>41</v>
      </c>
      <c r="E11" s="74" t="s">
        <v>40</v>
      </c>
      <c r="F11" s="21" t="s">
        <v>39</v>
      </c>
      <c r="G11" s="21" t="s">
        <v>41</v>
      </c>
      <c r="H11" s="21" t="s">
        <v>40</v>
      </c>
      <c r="I11" s="21" t="s">
        <v>39</v>
      </c>
      <c r="J11" s="73" t="s">
        <v>41</v>
      </c>
      <c r="K11" s="21" t="s">
        <v>40</v>
      </c>
      <c r="L11" s="21" t="s">
        <v>39</v>
      </c>
      <c r="M11" s="74" t="s">
        <v>68</v>
      </c>
      <c r="N11" s="77" t="s">
        <v>67</v>
      </c>
      <c r="R11" s="12" t="s">
        <v>42</v>
      </c>
      <c r="S11" s="10">
        <f>AVERAGE(S21,S35,S42,S92,S99)</f>
        <v>9.6477838015699469</v>
      </c>
      <c r="T11" s="10">
        <f>_xlfn.STDEV.P(S21,S42,S63,S92,S99)</f>
        <v>0.27090561800536583</v>
      </c>
      <c r="U11" s="10">
        <f>_xlfn.STDEV.S(S21,S42,S63,S92,S99)</f>
        <v>0.31281486296075983</v>
      </c>
      <c r="V11" s="10">
        <f>MIN(S21,S42,S63,S92,S99)</f>
        <v>8.5178125334125632</v>
      </c>
      <c r="W11" s="10">
        <f>MAX(S21,S42,S63,S92,S99)</f>
        <v>9.2398364716446704</v>
      </c>
      <c r="Y11" s="109">
        <v>12.6789259225</v>
      </c>
      <c r="Z11" s="108">
        <f>S11</f>
        <v>9.6477838015699469</v>
      </c>
      <c r="AD11" s="16"/>
    </row>
    <row r="12" spans="2:65" x14ac:dyDescent="0.25">
      <c r="B12" s="70" t="s">
        <v>42</v>
      </c>
      <c r="C12" s="18">
        <v>11.127940878470998</v>
      </c>
      <c r="D12" s="76">
        <v>10.108290582502551</v>
      </c>
      <c r="E12" s="18">
        <v>7.6670920378069045</v>
      </c>
      <c r="F12" s="10">
        <v>10.258375738206395</v>
      </c>
      <c r="G12" s="10">
        <v>17.808367221275912</v>
      </c>
      <c r="H12" s="10">
        <v>23.325025604259231</v>
      </c>
      <c r="I12" s="10">
        <v>34.332532721250736</v>
      </c>
      <c r="J12" s="19">
        <v>13.557015660581559</v>
      </c>
      <c r="K12" s="10">
        <v>12.586421633483333</v>
      </c>
      <c r="L12" s="10">
        <v>16.107479264570827</v>
      </c>
      <c r="M12" s="18">
        <v>10.477626579927524</v>
      </c>
      <c r="N12" s="78">
        <v>10.448028614454108</v>
      </c>
      <c r="R12" s="1" t="s">
        <v>71</v>
      </c>
      <c r="S12" s="10">
        <f>AVERAGE(S24,S38,S45,S95,S102)</f>
        <v>61.892577433913587</v>
      </c>
      <c r="T12" s="10">
        <f>_xlfn.STDEV.P(S24,S45,S66,S95,S102)</f>
        <v>28.13432260344803</v>
      </c>
      <c r="U12" s="10">
        <f>_xlfn.STDEV.S(S24,S45,S66,S95,S102)</f>
        <v>32.486717457136983</v>
      </c>
      <c r="V12" s="10">
        <f>MIN(S24,S45,S66,S95,S102)</f>
        <v>19.551230660022707</v>
      </c>
      <c r="W12" s="10">
        <f>MAX(S24,S45,S66,S95,S102)</f>
        <v>87.51419129508858</v>
      </c>
      <c r="Y12" s="109">
        <v>21.082999999999998</v>
      </c>
      <c r="Z12" s="108">
        <f>S12</f>
        <v>61.892577433913587</v>
      </c>
      <c r="AD12" s="16"/>
      <c r="AJ12" s="67" t="s">
        <v>111</v>
      </c>
    </row>
    <row r="13" spans="2:65" x14ac:dyDescent="0.25">
      <c r="B13" s="70" t="s">
        <v>43</v>
      </c>
      <c r="C13" s="18">
        <v>5.2974378120966987</v>
      </c>
      <c r="D13" s="76">
        <v>0</v>
      </c>
      <c r="E13" s="18">
        <v>0.67367564345011255</v>
      </c>
      <c r="F13" s="10">
        <v>1.1834815249814366</v>
      </c>
      <c r="G13" s="10">
        <v>0</v>
      </c>
      <c r="H13" s="10">
        <v>5.5647743521472153</v>
      </c>
      <c r="I13" s="10">
        <v>12.428167053090949</v>
      </c>
      <c r="J13" s="19">
        <v>0</v>
      </c>
      <c r="K13" s="10">
        <v>1.5333218368011026</v>
      </c>
      <c r="L13" s="10">
        <v>2.1613038684227579</v>
      </c>
      <c r="M13" s="18">
        <v>4.5123184858532124</v>
      </c>
      <c r="N13" s="78">
        <v>4.0294474686782884</v>
      </c>
      <c r="R13" s="12" t="s">
        <v>43</v>
      </c>
      <c r="S13" s="10">
        <v>62.23</v>
      </c>
      <c r="T13" s="10">
        <f>_xlfn.STDEV.P(S22,S43,S64,S93,S100)</f>
        <v>20.004473520106835</v>
      </c>
      <c r="U13" s="10">
        <f>_xlfn.STDEV.S(S22,S43,S64,S93,S100)</f>
        <v>23.099176343660844</v>
      </c>
      <c r="V13" s="10">
        <f>MIN(S22,S43,S64,S93,S100)</f>
        <v>13.90159917964373</v>
      </c>
      <c r="W13" s="10">
        <f>MAX(S22,S43,S64,S93,S100)</f>
        <v>62.225607741542298</v>
      </c>
      <c r="Y13" s="110">
        <v>20.131538750000001</v>
      </c>
      <c r="Z13" s="18">
        <f>S13</f>
        <v>62.23</v>
      </c>
      <c r="AC13" s="13"/>
      <c r="AD13" s="16"/>
      <c r="AJ13" s="85" t="s">
        <v>112</v>
      </c>
      <c r="AK13" s="67"/>
      <c r="AL13" s="136" t="s">
        <v>64</v>
      </c>
      <c r="AM13" s="136"/>
      <c r="AN13" s="136"/>
      <c r="AO13" s="136" t="s">
        <v>65</v>
      </c>
      <c r="AP13" s="136"/>
      <c r="AQ13" s="136"/>
      <c r="AR13" s="136" t="s">
        <v>66</v>
      </c>
      <c r="AS13" s="136"/>
      <c r="AT13" s="136"/>
      <c r="AU13" s="67"/>
      <c r="AV13" s="67"/>
    </row>
    <row r="14" spans="2:65" x14ac:dyDescent="0.25">
      <c r="B14" s="70" t="s">
        <v>44</v>
      </c>
      <c r="C14" s="18">
        <v>36.682276004117632</v>
      </c>
      <c r="D14" s="76">
        <v>49.173395719419638</v>
      </c>
      <c r="E14" s="18">
        <v>61.844363802740844</v>
      </c>
      <c r="F14" s="10">
        <v>41.28542966920206</v>
      </c>
      <c r="G14" s="10">
        <v>62.236678884846377</v>
      </c>
      <c r="H14" s="10">
        <v>74.552316651716168</v>
      </c>
      <c r="I14" s="10">
        <v>61.030991834353728</v>
      </c>
      <c r="J14" s="19">
        <v>14.529921959653377</v>
      </c>
      <c r="K14" s="10">
        <v>10.439498861671252</v>
      </c>
      <c r="L14" s="10">
        <v>3.3761292025595022</v>
      </c>
      <c r="M14" s="18">
        <v>40.04522796174556</v>
      </c>
      <c r="N14" s="78">
        <v>45.831063100933925</v>
      </c>
      <c r="R14" s="12" t="s">
        <v>44</v>
      </c>
      <c r="S14" s="10">
        <f>AVERAGE(S23,S37,S44,S94,S101)</f>
        <v>2.0092989734523083</v>
      </c>
      <c r="T14" s="10">
        <f>_xlfn.STDEV.P(S23,S44,S65,S94,S101)</f>
        <v>0.17051381981222699</v>
      </c>
      <c r="U14" s="10">
        <f>_xlfn.STDEV.S(S23,S44,S65,S94,S101)</f>
        <v>0.19689239953828119</v>
      </c>
      <c r="V14" s="10">
        <f>MIN(S23,S44,S65,S94,S101)</f>
        <v>1.9154195505433393</v>
      </c>
      <c r="W14" s="10">
        <f>MAX(S23,S44,S65,S94,S101)</f>
        <v>2.3931370636832954</v>
      </c>
      <c r="Y14" s="110">
        <v>2.060445487</v>
      </c>
      <c r="Z14" s="18">
        <f>S14</f>
        <v>2.0092989734523083</v>
      </c>
      <c r="AK14" s="74" t="s">
        <v>26</v>
      </c>
      <c r="AL14" s="74" t="s">
        <v>41</v>
      </c>
      <c r="AM14" s="74" t="s">
        <v>40</v>
      </c>
      <c r="AN14" s="120" t="s">
        <v>39</v>
      </c>
      <c r="AO14" s="21" t="s">
        <v>41</v>
      </c>
      <c r="AP14" s="120" t="s">
        <v>40</v>
      </c>
      <c r="AQ14" s="21" t="s">
        <v>39</v>
      </c>
      <c r="AR14" s="21" t="s">
        <v>41</v>
      </c>
      <c r="AS14" s="21" t="s">
        <v>40</v>
      </c>
      <c r="AT14" s="21" t="s">
        <v>39</v>
      </c>
      <c r="AU14" s="74" t="s">
        <v>68</v>
      </c>
      <c r="AV14" s="74" t="s">
        <v>67</v>
      </c>
      <c r="AX14" s="67" t="s">
        <v>113</v>
      </c>
    </row>
    <row r="15" spans="2:65" x14ac:dyDescent="0.25">
      <c r="B15" s="5" t="s">
        <v>71</v>
      </c>
      <c r="C15" s="18">
        <v>5.2974378120966987</v>
      </c>
      <c r="D15" s="76">
        <v>0</v>
      </c>
      <c r="E15" s="18">
        <v>0.67367564345011255</v>
      </c>
      <c r="F15" s="10">
        <v>1.1834815249814366</v>
      </c>
      <c r="G15" s="10">
        <v>0</v>
      </c>
      <c r="H15" s="10">
        <v>5.5647743521472153</v>
      </c>
      <c r="I15" s="10">
        <v>12.428167053090949</v>
      </c>
      <c r="J15" s="19">
        <v>0</v>
      </c>
      <c r="K15" s="10">
        <v>4.920356307662023E-2</v>
      </c>
      <c r="L15" s="10">
        <v>1.6249770792562599E-2</v>
      </c>
      <c r="M15" s="18">
        <v>4.5123184858532124</v>
      </c>
      <c r="N15" s="78">
        <v>4.0294474686782884</v>
      </c>
      <c r="R15" s="12" t="s">
        <v>97</v>
      </c>
      <c r="S15" s="10">
        <f t="shared" ref="S15" si="37">AVERAGE(S25,S39,S46,S96,S103)</f>
        <v>2.5105304103640393</v>
      </c>
      <c r="T15" s="10">
        <f>_xlfn.STDEV.P(S25,S46,S67,S96,S103)</f>
        <v>0.87920867427043092</v>
      </c>
      <c r="U15" s="10">
        <f>_xlfn.STDEV.S(S25,S46,S67,S96,S103)</f>
        <v>1.0152227295277745</v>
      </c>
      <c r="V15" s="10">
        <f>MIN(S25,S46,S67,S96,S103)</f>
        <v>1.2422094400615336</v>
      </c>
      <c r="W15" s="10">
        <f>MAX(S25,S46,S67,S96,S103)</f>
        <v>3.5081623870597909</v>
      </c>
      <c r="Y15" s="107">
        <v>66.655720000000002</v>
      </c>
      <c r="Z15" s="10">
        <f>S15</f>
        <v>2.5105304103640393</v>
      </c>
      <c r="AJ15" s="12" t="s">
        <v>42</v>
      </c>
      <c r="AK15" s="10">
        <f>427.15*(AK4^0.6026)</f>
        <v>43.710102746187239</v>
      </c>
      <c r="AL15" s="10">
        <f>71.352*BC4^0.3356</f>
        <v>93.8274930759368</v>
      </c>
      <c r="AM15" s="10">
        <f>37.823*BD4^0.5145</f>
        <v>125.22669674770776</v>
      </c>
      <c r="AN15" s="121">
        <f>17.285*BE4^0.664</f>
        <v>65.822865624683701</v>
      </c>
      <c r="AO15" s="10">
        <f>101.5*BF4^0.2757</f>
        <v>114.17851817840383</v>
      </c>
      <c r="AP15" s="121">
        <f>66.539*BG4^0.286</f>
        <v>115.81939756104256</v>
      </c>
      <c r="AQ15" s="10">
        <f>49.512*BH4^0.2727</f>
        <v>77.113487495661786</v>
      </c>
      <c r="AR15" s="10">
        <f>96.745*BI4^0.3131</f>
        <v>110.58120923369742</v>
      </c>
      <c r="AS15" s="10">
        <f>63.061*BJ4^0.4573</f>
        <v>152.98061998888875</v>
      </c>
      <c r="AT15" s="10">
        <f>34.986*BK4^0.6412</f>
        <v>99.15885192420258</v>
      </c>
      <c r="AU15" s="10">
        <f>908.48*BL4^0.3562</f>
        <v>52.991743087988418</v>
      </c>
      <c r="AV15" s="10">
        <f>1428.8*BM4^0.3909</f>
        <v>63.756838627881436</v>
      </c>
      <c r="AX15" t="s">
        <v>69</v>
      </c>
      <c r="AZ15" s="142" t="s">
        <v>72</v>
      </c>
      <c r="BA15" s="136"/>
      <c r="BB15" s="136"/>
      <c r="BC15" s="136"/>
      <c r="BD15" s="136"/>
      <c r="BE15" s="143"/>
      <c r="BF15" s="142" t="s">
        <v>114</v>
      </c>
      <c r="BG15" s="136"/>
      <c r="BH15" s="136"/>
      <c r="BI15" s="136"/>
      <c r="BJ15" s="136"/>
      <c r="BK15" s="143"/>
      <c r="BL15" s="67"/>
    </row>
    <row r="16" spans="2:65" x14ac:dyDescent="0.25">
      <c r="B16" s="1" t="s">
        <v>96</v>
      </c>
      <c r="C16" s="18">
        <v>38.090877401267164</v>
      </c>
      <c r="D16" s="76">
        <v>0</v>
      </c>
      <c r="E16" s="18">
        <v>67.213719960455052</v>
      </c>
      <c r="F16" s="10">
        <v>89.81692214953847</v>
      </c>
      <c r="G16" s="10">
        <v>20.018414469847663</v>
      </c>
      <c r="H16" s="10">
        <v>60.571592306793953</v>
      </c>
      <c r="I16" s="10">
        <v>67.983638265854324</v>
      </c>
      <c r="J16" s="19">
        <v>0</v>
      </c>
      <c r="K16" s="10">
        <v>8.1030197496243286</v>
      </c>
      <c r="L16" s="10">
        <v>4.5281170916063544</v>
      </c>
      <c r="M16" s="18">
        <v>31.803382016457103</v>
      </c>
      <c r="N16" s="18">
        <v>34.722356383183225</v>
      </c>
      <c r="Y16" s="1">
        <v>20</v>
      </c>
      <c r="Z16" s="1">
        <v>1</v>
      </c>
      <c r="AJ16" s="12" t="s">
        <v>71</v>
      </c>
      <c r="AK16" s="10">
        <f>427.15*(AK5^0.6026)</f>
        <v>60.733201563976195</v>
      </c>
      <c r="AL16" s="10">
        <f>71.352*BC5^0.3356</f>
        <v>174.20792402871925</v>
      </c>
      <c r="AM16" s="10">
        <f>37.823*BD5^0.5145</f>
        <v>170.28133398929663</v>
      </c>
      <c r="AN16" s="121">
        <f>17.285*BE5^0.664</f>
        <v>51.445390017485174</v>
      </c>
      <c r="AO16" s="10">
        <f>101.5*BF5^0.2757</f>
        <v>187.64057381559309</v>
      </c>
      <c r="AP16" s="121">
        <f>66.539*BG5^0.286</f>
        <v>135.75545102085053</v>
      </c>
      <c r="AQ16" s="10">
        <f>49.512*BH5^0.2727</f>
        <v>68.896801810020818</v>
      </c>
      <c r="AR16" s="10">
        <f>96.745*BI5^0.3131</f>
        <v>194.39726383508926</v>
      </c>
      <c r="AS16" s="10">
        <f>63.061*BJ5^0.4573</f>
        <v>197.20849772604006</v>
      </c>
      <c r="AT16" s="10">
        <f>34.986*BK5^0.6412</f>
        <v>76.081537017034663</v>
      </c>
      <c r="AU16" s="10">
        <f>908.48*BL5^0.3562</f>
        <v>77.889543092932115</v>
      </c>
      <c r="AV16" s="10">
        <f>1428.8*BM5^0.3909</f>
        <v>96.099015518983123</v>
      </c>
      <c r="AZ16" s="142" t="s">
        <v>76</v>
      </c>
      <c r="BA16" s="136"/>
      <c r="BB16" s="136"/>
      <c r="BC16" s="136" t="s">
        <v>77</v>
      </c>
      <c r="BD16" s="136"/>
      <c r="BE16" s="143"/>
      <c r="BF16" s="142" t="s">
        <v>76</v>
      </c>
      <c r="BG16" s="136"/>
      <c r="BH16" s="136"/>
      <c r="BI16" s="136" t="s">
        <v>77</v>
      </c>
      <c r="BJ16" s="136"/>
      <c r="BK16" s="143"/>
      <c r="BL16" s="67" t="s">
        <v>79</v>
      </c>
    </row>
    <row r="17" spans="2:67" x14ac:dyDescent="0.25">
      <c r="AJ17" s="12" t="s">
        <v>43</v>
      </c>
      <c r="AK17" s="10">
        <f>427.15*(AK6^0.6026)</f>
        <v>123.75831894928878</v>
      </c>
      <c r="AL17" s="10">
        <f>71.352*BC6^0.3356</f>
        <v>226.4321429017709</v>
      </c>
      <c r="AM17" s="10">
        <f>37.823*BD6^0.5145</f>
        <v>121.97781408167114</v>
      </c>
      <c r="AN17" s="121">
        <f>17.285*BE6^0.664</f>
        <v>28.585944265784534</v>
      </c>
      <c r="AO17" s="10">
        <f>101.5*BF6^0.2757</f>
        <v>239.36309640864908</v>
      </c>
      <c r="AP17" s="121">
        <f>66.539*BG6^0.286</f>
        <v>116.10682619054465</v>
      </c>
      <c r="AQ17" s="10">
        <f>49.512*BH6^0.2727</f>
        <v>55.647379078320157</v>
      </c>
      <c r="AR17" s="10">
        <f>96.745*BI6^0.3131</f>
        <v>256.30874306354877</v>
      </c>
      <c r="AS17" s="10">
        <f>63.061*BJ6^0.4573</f>
        <v>153.58811518992349</v>
      </c>
      <c r="AT17" s="10">
        <f>34.986*BK6^0.6412</f>
        <v>46.045353620894751</v>
      </c>
      <c r="AU17" s="10">
        <f>908.48*BL6^0.3562</f>
        <v>186.98903966263794</v>
      </c>
      <c r="AV17" s="10">
        <f>1428.8*BM6^0.3909</f>
        <v>251.8122438969788</v>
      </c>
      <c r="AY17" s="1" t="s">
        <v>70</v>
      </c>
      <c r="AZ17" s="5" t="s">
        <v>73</v>
      </c>
      <c r="BA17" s="1" t="s">
        <v>74</v>
      </c>
      <c r="BB17" s="1" t="s">
        <v>75</v>
      </c>
      <c r="BC17" s="17" t="s">
        <v>73</v>
      </c>
      <c r="BD17" s="1" t="s">
        <v>74</v>
      </c>
      <c r="BE17" s="6" t="s">
        <v>75</v>
      </c>
      <c r="BF17" s="5" t="s">
        <v>73</v>
      </c>
      <c r="BG17" s="1" t="s">
        <v>74</v>
      </c>
      <c r="BH17" s="1" t="s">
        <v>75</v>
      </c>
      <c r="BI17" s="1" t="s">
        <v>73</v>
      </c>
      <c r="BJ17" s="17" t="s">
        <v>74</v>
      </c>
      <c r="BK17" s="6" t="s">
        <v>75</v>
      </c>
      <c r="BL17" s="1" t="s">
        <v>78</v>
      </c>
    </row>
    <row r="18" spans="2:67" x14ac:dyDescent="0.25">
      <c r="D18" s="144" t="s">
        <v>72</v>
      </c>
      <c r="E18" s="144"/>
      <c r="F18" s="144"/>
      <c r="G18" s="144"/>
      <c r="H18" s="144"/>
      <c r="I18" s="144"/>
      <c r="J18" s="144" t="s">
        <v>114</v>
      </c>
      <c r="K18" s="144"/>
      <c r="L18" s="144"/>
      <c r="M18" s="144"/>
      <c r="N18" s="144"/>
      <c r="O18" s="144"/>
      <c r="AJ18" s="12" t="s">
        <v>44</v>
      </c>
      <c r="AK18" s="10">
        <f>427.15*(AK9^0.6026)</f>
        <v>49.073938271703952</v>
      </c>
      <c r="AL18" s="10">
        <f>71.352*BC9^0.3356</f>
        <v>82.107430762936232</v>
      </c>
      <c r="AM18" s="10">
        <f>37.823*BD9^0.5145</f>
        <v>97.644469049294202</v>
      </c>
      <c r="AN18" s="121">
        <f>17.285*BE9^0.664</f>
        <v>43.629471215674798</v>
      </c>
      <c r="AO18" s="10">
        <f>101.5*BF9^0.2757</f>
        <v>97.688353411441582</v>
      </c>
      <c r="AP18" s="121">
        <f>66.539*BG9^0.286</f>
        <v>96.123549526448585</v>
      </c>
      <c r="AQ18" s="10">
        <f>49.512*BH9^0.2727</f>
        <v>62.21057389086166</v>
      </c>
      <c r="AR18" s="10">
        <f>96.745*BI9^0.3131</f>
        <v>92.629699204873901</v>
      </c>
      <c r="AS18" s="10">
        <f>63.061*BJ9^0.4573</f>
        <v>113.55308235015505</v>
      </c>
      <c r="AT18" s="10">
        <f>34.986*BK9^0.6412</f>
        <v>59.845934676865099</v>
      </c>
      <c r="AU18" s="10">
        <f>908.48*BL9^0.3562</f>
        <v>58.028884526946278</v>
      </c>
      <c r="AV18" s="10">
        <f>1428.8*BM9^0.3909</f>
        <v>69.373543079928353</v>
      </c>
      <c r="AX18" s="12" t="s">
        <v>42</v>
      </c>
      <c r="AY18" s="12">
        <v>128</v>
      </c>
      <c r="AZ18" s="5">
        <v>128</v>
      </c>
      <c r="BA18" s="1">
        <v>128</v>
      </c>
      <c r="BB18" s="1">
        <v>128</v>
      </c>
      <c r="BC18" s="17">
        <v>64</v>
      </c>
      <c r="BD18" s="1">
        <v>128</v>
      </c>
      <c r="BE18" s="6">
        <v>128</v>
      </c>
      <c r="BF18" s="5">
        <v>45</v>
      </c>
      <c r="BG18" s="1">
        <v>90</v>
      </c>
      <c r="BH18" s="1">
        <v>90</v>
      </c>
      <c r="BI18" s="1">
        <v>45</v>
      </c>
      <c r="BJ18" s="17">
        <v>45</v>
      </c>
      <c r="BK18" s="6">
        <v>90</v>
      </c>
      <c r="BL18" s="1">
        <v>90</v>
      </c>
    </row>
    <row r="19" spans="2:67" x14ac:dyDescent="0.25">
      <c r="B19" s="136" t="s">
        <v>26</v>
      </c>
      <c r="C19" s="136"/>
      <c r="D19" s="140" t="s">
        <v>76</v>
      </c>
      <c r="E19" s="140"/>
      <c r="F19" s="140"/>
      <c r="G19" s="140" t="s">
        <v>77</v>
      </c>
      <c r="H19" s="140"/>
      <c r="I19" s="140"/>
      <c r="J19" s="140" t="s">
        <v>76</v>
      </c>
      <c r="K19" s="140"/>
      <c r="L19" s="140"/>
      <c r="M19" s="140" t="s">
        <v>77</v>
      </c>
      <c r="N19" s="140"/>
      <c r="O19" s="140"/>
      <c r="AJ19" s="12" t="s">
        <v>96</v>
      </c>
      <c r="AK19" s="10">
        <f>427.15*(AK10^0.6026)</f>
        <v>38.090877401267164</v>
      </c>
      <c r="AL19" s="10">
        <f>71.352*BC10^0.3356</f>
        <v>17.228644609604896</v>
      </c>
      <c r="AM19" s="10">
        <f>37.823*BD10^0.5145</f>
        <v>66.184820193453845</v>
      </c>
      <c r="AN19" s="121">
        <f>17.285*BE10^0.664</f>
        <v>86.50229872740951</v>
      </c>
      <c r="AO19" s="10">
        <f>101.5*BF10^0.2757</f>
        <v>20.829535167035836</v>
      </c>
      <c r="AP19" s="121">
        <f>66.539*BG10^0.286</f>
        <v>58.968103244072431</v>
      </c>
      <c r="AQ19" s="10">
        <f>49.512*BH10^0.2727</f>
        <v>63.549758848272582</v>
      </c>
      <c r="AR19" s="10">
        <f>96.745*BI10^0.3131</f>
        <v>16.015503642849914</v>
      </c>
      <c r="AS19" s="10">
        <f>63.061*BJ10^0.4573</f>
        <v>51.98538954657468</v>
      </c>
      <c r="AT19" s="10">
        <f>34.986*BK10^0.6412</f>
        <v>62.919242943171767</v>
      </c>
      <c r="AU19" s="10">
        <f>908.48*BL10^0.3562</f>
        <v>31.108461627924076</v>
      </c>
      <c r="AV19" s="10">
        <f>1428.8*BM10^0.3909</f>
        <v>34.412103547499854</v>
      </c>
      <c r="AX19" s="1" t="s">
        <v>71</v>
      </c>
      <c r="AY19" s="1">
        <v>128</v>
      </c>
      <c r="AZ19" s="5">
        <v>128</v>
      </c>
      <c r="BA19" s="1">
        <v>128</v>
      </c>
      <c r="BB19" s="1">
        <v>128</v>
      </c>
      <c r="BC19" s="17">
        <v>32</v>
      </c>
      <c r="BD19" s="1">
        <v>45</v>
      </c>
      <c r="BE19" s="6">
        <v>128</v>
      </c>
      <c r="BF19" s="5">
        <v>128</v>
      </c>
      <c r="BG19" s="1">
        <v>128</v>
      </c>
      <c r="BH19" s="1">
        <v>128</v>
      </c>
      <c r="BI19" s="1">
        <v>128</v>
      </c>
      <c r="BJ19" s="17">
        <v>64</v>
      </c>
      <c r="BK19" s="6">
        <v>32</v>
      </c>
      <c r="BL19" s="1">
        <v>128</v>
      </c>
      <c r="BN19" s="1">
        <v>0</v>
      </c>
      <c r="BO19" s="1">
        <v>0</v>
      </c>
    </row>
    <row r="20" spans="2:67" x14ac:dyDescent="0.25">
      <c r="B20" t="s">
        <v>80</v>
      </c>
      <c r="C20" s="1" t="s">
        <v>70</v>
      </c>
      <c r="D20" s="1" t="s">
        <v>73</v>
      </c>
      <c r="E20" s="1" t="s">
        <v>74</v>
      </c>
      <c r="F20" s="1" t="s">
        <v>75</v>
      </c>
      <c r="G20" s="1" t="s">
        <v>73</v>
      </c>
      <c r="H20" s="1" t="s">
        <v>74</v>
      </c>
      <c r="I20" s="1" t="s">
        <v>75</v>
      </c>
      <c r="J20" s="1" t="s">
        <v>73</v>
      </c>
      <c r="K20" s="1" t="s">
        <v>74</v>
      </c>
      <c r="L20" s="1" t="s">
        <v>75</v>
      </c>
      <c r="M20" s="1" t="s">
        <v>73</v>
      </c>
      <c r="N20" s="1" t="s">
        <v>74</v>
      </c>
      <c r="O20" s="1" t="s">
        <v>75</v>
      </c>
      <c r="P20" s="1" t="s">
        <v>78</v>
      </c>
      <c r="R20" s="1"/>
      <c r="S20" s="1" t="s">
        <v>91</v>
      </c>
      <c r="T20" s="1" t="s">
        <v>90</v>
      </c>
      <c r="AJ20" s="1" t="s">
        <v>107</v>
      </c>
      <c r="AK20" s="10">
        <f>427.15*(AK7^0.6026)</f>
        <v>17.89579154289024</v>
      </c>
      <c r="AL20" s="10">
        <f>71.352*BC7^0.3356</f>
        <v>12.053806165020303</v>
      </c>
      <c r="AM20" s="10">
        <f>37.823*BD7^0.5145</f>
        <v>18.799237501958476</v>
      </c>
      <c r="AN20" s="121">
        <f>17.285*BE7^0.664</f>
        <v>25.070470937906475</v>
      </c>
      <c r="AO20" s="10">
        <f>101.5*BF7^0.2757</f>
        <v>21.515199678954509</v>
      </c>
      <c r="AP20" s="121">
        <f>66.539*BG7^0.286</f>
        <v>41.072823095230703</v>
      </c>
      <c r="AQ20" s="10">
        <f>49.512*BH7^0.2727</f>
        <v>52.745023733152792</v>
      </c>
      <c r="AR20" s="10">
        <f>96.745*BI7^0.3131</f>
        <v>16.615541347587843</v>
      </c>
      <c r="AS20" s="10">
        <f>63.061*BJ7^0.4573</f>
        <v>29.157204799565427</v>
      </c>
      <c r="AT20" s="10">
        <f>34.986*BK7^0.6412</f>
        <v>40.59634701041292</v>
      </c>
      <c r="AU20" s="10">
        <f>908.48*BL7^0.3562</f>
        <v>18.989087946818657</v>
      </c>
      <c r="AV20" s="10">
        <f>1428.8*BM7^0.3909</f>
        <v>20.498029148581324</v>
      </c>
      <c r="AX20" s="12" t="s">
        <v>43</v>
      </c>
      <c r="AY20" s="12">
        <v>64</v>
      </c>
      <c r="AZ20" s="5">
        <v>64</v>
      </c>
      <c r="BA20" s="1">
        <v>128</v>
      </c>
      <c r="BB20" s="1">
        <v>128</v>
      </c>
      <c r="BC20" s="17">
        <v>32</v>
      </c>
      <c r="BD20" s="1">
        <v>45</v>
      </c>
      <c r="BE20" s="6">
        <v>128</v>
      </c>
      <c r="BF20" s="5">
        <v>64</v>
      </c>
      <c r="BG20" s="1">
        <v>64</v>
      </c>
      <c r="BH20" s="1">
        <v>128</v>
      </c>
      <c r="BI20" s="1">
        <v>32</v>
      </c>
      <c r="BJ20" s="17">
        <v>45</v>
      </c>
      <c r="BK20" s="6">
        <v>64</v>
      </c>
      <c r="BL20" s="1">
        <v>45</v>
      </c>
      <c r="BN20" s="1">
        <v>200</v>
      </c>
      <c r="BO20" s="1">
        <v>200</v>
      </c>
    </row>
    <row r="21" spans="2:67" x14ac:dyDescent="0.25">
      <c r="B21" s="12" t="s">
        <v>42</v>
      </c>
      <c r="C21" s="10">
        <f>C4/$C12</f>
        <v>11.502577287019831</v>
      </c>
      <c r="D21" s="10">
        <f>D4/$C12</f>
        <v>11.502577287019831</v>
      </c>
      <c r="E21" s="10">
        <f>E4/$C12</f>
        <v>11.502577287019831</v>
      </c>
      <c r="F21" s="10">
        <f>F4/$C12</f>
        <v>11.502577287019831</v>
      </c>
      <c r="G21" s="10">
        <f t="shared" ref="G21:O21" si="38">G4/$C12</f>
        <v>5.7512886435099153</v>
      </c>
      <c r="H21" s="10">
        <f t="shared" si="38"/>
        <v>11.502577287019831</v>
      </c>
      <c r="I21" s="10">
        <f>I4/$C12</f>
        <v>11.502577287019831</v>
      </c>
      <c r="J21" s="10">
        <f t="shared" si="38"/>
        <v>4.043874827467909</v>
      </c>
      <c r="K21" s="10">
        <f t="shared" si="38"/>
        <v>8.0877496549358181</v>
      </c>
      <c r="L21" s="10">
        <f>L4/$C12</f>
        <v>8.0877496549358181</v>
      </c>
      <c r="M21" s="10">
        <f t="shared" si="38"/>
        <v>4.043874827467909</v>
      </c>
      <c r="N21" s="10">
        <f t="shared" si="38"/>
        <v>4.043874827467909</v>
      </c>
      <c r="O21" s="10">
        <f t="shared" si="38"/>
        <v>8.0877496549358181</v>
      </c>
      <c r="P21" s="10">
        <f t="shared" ref="P21" si="39">P4/$C12</f>
        <v>8.0877496549358181</v>
      </c>
      <c r="R21" s="12" t="s">
        <v>42</v>
      </c>
      <c r="S21" s="10">
        <f>AVERAGE(C21:P21)</f>
        <v>8.5178125334125632</v>
      </c>
      <c r="T21" s="10">
        <f>_xlfn.STDEV.P(C21:P21)</f>
        <v>2.9507232811568485</v>
      </c>
      <c r="AJ21" s="1" t="s">
        <v>108</v>
      </c>
      <c r="AK21" s="10">
        <f>427.15*(AK8^0.6026)</f>
        <v>41.980704661168303</v>
      </c>
      <c r="AL21" s="10">
        <f>71.352*BC8^0.3356</f>
        <v>68.375226031209706</v>
      </c>
      <c r="AM21" s="10">
        <f>37.823*BD8^0.5145</f>
        <v>90.881933138146138</v>
      </c>
      <c r="AN21" s="121">
        <f>17.285*BE8^0.664</f>
        <v>37.785771425219757</v>
      </c>
      <c r="AO21" s="10">
        <f>101.5*BF8^0.2757</f>
        <v>85.812192976816462</v>
      </c>
      <c r="AP21" s="121">
        <f>66.539*BG8^0.286</f>
        <v>94.371854088766213</v>
      </c>
      <c r="AQ21" s="10">
        <f>49.512*BH8^0.2727</f>
        <v>59.857827092046229</v>
      </c>
      <c r="AR21" s="10">
        <f>96.745*BI8^0.3131</f>
        <v>79.95027248959542</v>
      </c>
      <c r="AS21" s="10">
        <f>63.061*BJ8^0.4573</f>
        <v>110.26244200286639</v>
      </c>
      <c r="AT21" s="10">
        <f>34.986*BK8^0.6412</f>
        <v>54.659568150975161</v>
      </c>
      <c r="AU21" s="10">
        <f>908.48*BL8^0.3562</f>
        <v>49.734678366504632</v>
      </c>
      <c r="AV21" s="10">
        <f>1428.8*BM8^0.3909</f>
        <v>58.343862854065129</v>
      </c>
      <c r="AX21" s="12" t="s">
        <v>44</v>
      </c>
      <c r="AY21" s="12">
        <v>128</v>
      </c>
      <c r="AZ21" s="5">
        <v>128</v>
      </c>
      <c r="BA21" s="1">
        <v>128</v>
      </c>
      <c r="BB21" s="1">
        <v>128</v>
      </c>
      <c r="BC21" s="17">
        <v>45</v>
      </c>
      <c r="BD21" s="1">
        <v>32</v>
      </c>
      <c r="BE21" s="6">
        <v>128</v>
      </c>
      <c r="BF21" s="5">
        <v>64</v>
      </c>
      <c r="BG21" s="1">
        <v>128</v>
      </c>
      <c r="BH21" s="1">
        <v>128</v>
      </c>
      <c r="BI21" s="1">
        <v>64</v>
      </c>
      <c r="BJ21" s="17">
        <v>32</v>
      </c>
      <c r="BK21" s="6">
        <v>32</v>
      </c>
      <c r="BL21" s="1">
        <v>64</v>
      </c>
    </row>
    <row r="22" spans="2:67" x14ac:dyDescent="0.25">
      <c r="B22" s="12" t="s">
        <v>43</v>
      </c>
      <c r="C22" s="10">
        <f>C5/$C13</f>
        <v>12.081312187158858</v>
      </c>
      <c r="D22" s="10">
        <f t="shared" ref="D22:O22" si="40">D5/$C13</f>
        <v>12.081312187158858</v>
      </c>
      <c r="E22" s="10">
        <f t="shared" si="40"/>
        <v>24.162624374317716</v>
      </c>
      <c r="F22" s="10">
        <f t="shared" si="40"/>
        <v>24.162624374317716</v>
      </c>
      <c r="G22" s="10">
        <f t="shared" si="40"/>
        <v>6.0406560935794289</v>
      </c>
      <c r="H22" s="10">
        <f t="shared" si="40"/>
        <v>8.494672631596071</v>
      </c>
      <c r="I22" s="10">
        <f t="shared" si="40"/>
        <v>24.162624374317716</v>
      </c>
      <c r="J22" s="10">
        <f t="shared" si="40"/>
        <v>12.081312187158858</v>
      </c>
      <c r="K22" s="10">
        <f t="shared" si="40"/>
        <v>12.081312187158858</v>
      </c>
      <c r="L22" s="10">
        <f t="shared" si="40"/>
        <v>24.162624374317716</v>
      </c>
      <c r="M22" s="10">
        <f t="shared" si="40"/>
        <v>6.0406560935794289</v>
      </c>
      <c r="N22" s="10">
        <f t="shared" si="40"/>
        <v>8.494672631596071</v>
      </c>
      <c r="O22" s="10">
        <f t="shared" si="40"/>
        <v>12.081312187158858</v>
      </c>
      <c r="P22" s="10">
        <f t="shared" ref="P22" si="41">P5/$C13</f>
        <v>8.494672631596071</v>
      </c>
      <c r="R22" s="12" t="s">
        <v>43</v>
      </c>
      <c r="S22" s="10">
        <f>AVERAGE(C22:P22)</f>
        <v>13.90159917964373</v>
      </c>
      <c r="T22" s="10">
        <f>_xlfn.STDEV.P(C22:P22)</f>
        <v>6.8086876874361089</v>
      </c>
      <c r="AX22" s="1" t="s">
        <v>97</v>
      </c>
      <c r="AY22" s="1">
        <v>128</v>
      </c>
      <c r="AZ22" s="1">
        <v>128</v>
      </c>
      <c r="BA22" s="1">
        <v>128</v>
      </c>
      <c r="BB22" s="1">
        <v>128</v>
      </c>
      <c r="BC22" s="17">
        <v>90</v>
      </c>
      <c r="BD22" s="1">
        <v>128</v>
      </c>
      <c r="BE22" s="1">
        <v>128</v>
      </c>
      <c r="BF22" s="1">
        <v>128</v>
      </c>
      <c r="BG22" s="1">
        <v>128</v>
      </c>
      <c r="BH22" s="1">
        <v>128</v>
      </c>
      <c r="BI22" s="1">
        <v>64</v>
      </c>
      <c r="BJ22" s="17">
        <v>64</v>
      </c>
      <c r="BK22" s="1">
        <v>128</v>
      </c>
      <c r="BL22" s="1">
        <v>128</v>
      </c>
    </row>
    <row r="23" spans="2:67" x14ac:dyDescent="0.25">
      <c r="B23" s="12" t="s">
        <v>44</v>
      </c>
      <c r="C23" s="10">
        <f>C6/$C14</f>
        <v>3.4894236111639265</v>
      </c>
      <c r="D23" s="10">
        <f t="shared" ref="D23:O23" si="42">D6/$C14</f>
        <v>3.4894236111639265</v>
      </c>
      <c r="E23" s="10">
        <f t="shared" si="42"/>
        <v>3.4894236111639265</v>
      </c>
      <c r="F23" s="10">
        <f t="shared" si="42"/>
        <v>3.4894236111639265</v>
      </c>
      <c r="G23" s="10">
        <f t="shared" si="42"/>
        <v>1.2267504882998179</v>
      </c>
      <c r="H23" s="10">
        <f t="shared" si="42"/>
        <v>0.87235590279098163</v>
      </c>
      <c r="I23" s="10">
        <f t="shared" si="42"/>
        <v>3.4894236111639265</v>
      </c>
      <c r="J23" s="10">
        <f t="shared" si="42"/>
        <v>1.7447118055819633</v>
      </c>
      <c r="K23" s="10">
        <f t="shared" si="42"/>
        <v>3.4894236111639265</v>
      </c>
      <c r="L23" s="10">
        <f t="shared" si="42"/>
        <v>3.4894236111639265</v>
      </c>
      <c r="M23" s="10">
        <f t="shared" si="42"/>
        <v>1.7447118055819633</v>
      </c>
      <c r="N23" s="10">
        <f t="shared" si="42"/>
        <v>0.87235590279098163</v>
      </c>
      <c r="O23" s="10">
        <f t="shared" si="42"/>
        <v>0.87235590279098163</v>
      </c>
      <c r="P23" s="10">
        <f t="shared" ref="P23" si="43">P6/$C14</f>
        <v>1.7447118055819633</v>
      </c>
      <c r="R23" s="12" t="s">
        <v>44</v>
      </c>
      <c r="S23" s="10">
        <f>AVERAGE(C23:P23)</f>
        <v>2.3931370636832954</v>
      </c>
      <c r="T23" s="10">
        <f>_xlfn.STDEV.P(C23:P23)</f>
        <v>1.1330445384812324</v>
      </c>
      <c r="AK23" s="67"/>
      <c r="AL23" s="136"/>
      <c r="AM23" s="136"/>
      <c r="AN23" s="136"/>
      <c r="AO23" s="136"/>
      <c r="AP23" s="136"/>
      <c r="AQ23" s="136"/>
      <c r="AR23" s="136"/>
      <c r="AS23" s="136"/>
      <c r="AT23" s="136"/>
      <c r="AU23" s="67"/>
      <c r="AV23" s="67"/>
    </row>
    <row r="24" spans="2:67" x14ac:dyDescent="0.25">
      <c r="B24" s="12" t="s">
        <v>71</v>
      </c>
      <c r="C24" s="10">
        <f>C7/$C15</f>
        <v>24.162624374317716</v>
      </c>
      <c r="D24" s="10">
        <f t="shared" ref="D24:P24" si="44">D7/$C15</f>
        <v>24.162624374317716</v>
      </c>
      <c r="E24" s="10">
        <f t="shared" si="44"/>
        <v>24.162624374317716</v>
      </c>
      <c r="F24" s="10">
        <f t="shared" si="44"/>
        <v>24.162624374317716</v>
      </c>
      <c r="G24" s="10">
        <f t="shared" si="44"/>
        <v>6.0406560935794289</v>
      </c>
      <c r="H24" s="10">
        <f t="shared" si="44"/>
        <v>7.9283611228230004</v>
      </c>
      <c r="I24" s="10">
        <f t="shared" si="44"/>
        <v>24.162624374317716</v>
      </c>
      <c r="J24" s="10">
        <f t="shared" si="44"/>
        <v>24.162624374317716</v>
      </c>
      <c r="K24" s="10">
        <f t="shared" si="44"/>
        <v>24.162624374317716</v>
      </c>
      <c r="L24" s="10">
        <f t="shared" si="44"/>
        <v>24.162624374317716</v>
      </c>
      <c r="M24" s="10">
        <f t="shared" si="44"/>
        <v>24.162624374317716</v>
      </c>
      <c r="N24" s="10">
        <f t="shared" si="44"/>
        <v>12.081312187158858</v>
      </c>
      <c r="O24" s="10">
        <f t="shared" si="44"/>
        <v>6.0406560935794289</v>
      </c>
      <c r="P24" s="10">
        <f t="shared" si="44"/>
        <v>24.162624374317716</v>
      </c>
      <c r="R24" s="12" t="s">
        <v>71</v>
      </c>
      <c r="S24" s="10">
        <f>AVERAGE(C24:P24)</f>
        <v>19.551230660022707</v>
      </c>
      <c r="T24" s="10">
        <f>AVERAGE(C24:P24)</f>
        <v>19.551230660022707</v>
      </c>
      <c r="BN24" t="s">
        <v>126</v>
      </c>
      <c r="BO24" t="s">
        <v>74</v>
      </c>
    </row>
    <row r="25" spans="2:67" x14ac:dyDescent="0.25">
      <c r="B25" s="12" t="s">
        <v>97</v>
      </c>
      <c r="C25" s="10">
        <f>C8/$C16</f>
        <v>3.3603846572392642</v>
      </c>
      <c r="D25" s="10">
        <f t="shared" ref="D25:P25" si="45">D8/$C16</f>
        <v>3.3603846572392642</v>
      </c>
      <c r="E25" s="10">
        <f t="shared" si="45"/>
        <v>3.3603846572392642</v>
      </c>
      <c r="F25" s="10">
        <f t="shared" si="45"/>
        <v>3.3603846572392642</v>
      </c>
      <c r="G25" s="10">
        <f t="shared" si="45"/>
        <v>2.3627704621213579</v>
      </c>
      <c r="H25" s="10">
        <f t="shared" si="45"/>
        <v>3.3603846572392642</v>
      </c>
      <c r="I25" s="10">
        <f t="shared" si="45"/>
        <v>3.3603846572392642</v>
      </c>
      <c r="J25" s="10">
        <f t="shared" si="45"/>
        <v>3.3603846572392642</v>
      </c>
      <c r="K25" s="10">
        <f t="shared" si="45"/>
        <v>3.3603846572392642</v>
      </c>
      <c r="L25" s="10">
        <f t="shared" si="45"/>
        <v>3.3603846572392642</v>
      </c>
      <c r="M25" s="10">
        <f t="shared" si="45"/>
        <v>0.84009616430981604</v>
      </c>
      <c r="N25" s="10">
        <f t="shared" si="45"/>
        <v>0.84009616430981604</v>
      </c>
      <c r="O25" s="10">
        <f t="shared" si="45"/>
        <v>3.3603846572392642</v>
      </c>
      <c r="P25" s="10">
        <f t="shared" si="45"/>
        <v>3.3603846572392642</v>
      </c>
      <c r="R25" s="12" t="s">
        <v>97</v>
      </c>
      <c r="S25" s="10">
        <f>AVERAGE(C25:P25)</f>
        <v>2.9290852871694923</v>
      </c>
      <c r="T25" s="10">
        <f>AVERAGE(C25:P25)</f>
        <v>2.9290852871694923</v>
      </c>
      <c r="BM25" s="1" t="s">
        <v>42</v>
      </c>
      <c r="BN25">
        <f>BC18</f>
        <v>64</v>
      </c>
      <c r="BO25">
        <f>BJ18</f>
        <v>45</v>
      </c>
    </row>
    <row r="26" spans="2:67" x14ac:dyDescent="0.25">
      <c r="B26" s="136" t="s">
        <v>83</v>
      </c>
      <c r="C26" s="136"/>
      <c r="D26" s="140" t="s">
        <v>76</v>
      </c>
      <c r="E26" s="140"/>
      <c r="F26" s="140"/>
      <c r="G26" s="140" t="s">
        <v>77</v>
      </c>
      <c r="H26" s="140"/>
      <c r="I26" s="140"/>
      <c r="J26" s="140" t="s">
        <v>76</v>
      </c>
      <c r="K26" s="140"/>
      <c r="L26" s="140"/>
      <c r="M26" s="140" t="s">
        <v>77</v>
      </c>
      <c r="N26" s="140"/>
      <c r="O26" s="140"/>
      <c r="BM26" s="1" t="s">
        <v>43</v>
      </c>
      <c r="BN26">
        <f>BC20</f>
        <v>32</v>
      </c>
      <c r="BO26">
        <f>BJ20</f>
        <v>45</v>
      </c>
    </row>
    <row r="27" spans="2:67" x14ac:dyDescent="0.25">
      <c r="B27" t="s">
        <v>80</v>
      </c>
      <c r="C27" s="1" t="s">
        <v>70</v>
      </c>
      <c r="D27" s="1" t="s">
        <v>73</v>
      </c>
      <c r="E27" s="1" t="s">
        <v>74</v>
      </c>
      <c r="F27" s="1" t="s">
        <v>75</v>
      </c>
      <c r="G27" s="1" t="s">
        <v>73</v>
      </c>
      <c r="H27" s="1" t="s">
        <v>74</v>
      </c>
      <c r="I27" s="1" t="s">
        <v>75</v>
      </c>
      <c r="J27" s="1" t="s">
        <v>73</v>
      </c>
      <c r="K27" s="1" t="s">
        <v>74</v>
      </c>
      <c r="L27" s="1" t="s">
        <v>75</v>
      </c>
      <c r="M27" s="1" t="s">
        <v>73</v>
      </c>
      <c r="N27" s="1" t="s">
        <v>74</v>
      </c>
      <c r="O27" s="1" t="s">
        <v>75</v>
      </c>
      <c r="P27" s="1" t="s">
        <v>78</v>
      </c>
      <c r="R27" s="1"/>
      <c r="S27" s="1"/>
      <c r="T27" s="1"/>
      <c r="BM27" s="1" t="s">
        <v>44</v>
      </c>
      <c r="BN27">
        <f>BC21</f>
        <v>45</v>
      </c>
      <c r="BO27">
        <f>BJ21</f>
        <v>32</v>
      </c>
    </row>
    <row r="28" spans="2:67" x14ac:dyDescent="0.25">
      <c r="B28" s="12" t="s">
        <v>42</v>
      </c>
      <c r="C28" s="10">
        <f>C4/$D12</f>
        <v>12.662873010553136</v>
      </c>
      <c r="D28" s="10">
        <f>D4/$D12</f>
        <v>12.662873010553136</v>
      </c>
      <c r="E28" s="10">
        <f t="shared" ref="E28:P28" si="46">E4/$D12</f>
        <v>12.662873010553136</v>
      </c>
      <c r="F28" s="10">
        <f t="shared" si="46"/>
        <v>12.662873010553136</v>
      </c>
      <c r="G28" s="10">
        <f t="shared" si="46"/>
        <v>6.3314365052765682</v>
      </c>
      <c r="H28" s="10">
        <f>H4/$D12</f>
        <v>12.662873010553136</v>
      </c>
      <c r="I28" s="10">
        <f t="shared" si="46"/>
        <v>12.662873010553136</v>
      </c>
      <c r="J28" s="10">
        <f t="shared" si="46"/>
        <v>4.4517912927725867</v>
      </c>
      <c r="K28" s="10">
        <f t="shared" si="46"/>
        <v>8.9035825855451733</v>
      </c>
      <c r="L28" s="10">
        <f t="shared" si="46"/>
        <v>8.9035825855451733</v>
      </c>
      <c r="M28" s="10">
        <f t="shared" si="46"/>
        <v>4.4517912927725867</v>
      </c>
      <c r="N28" s="10">
        <f t="shared" si="46"/>
        <v>4.4517912927725867</v>
      </c>
      <c r="O28" s="10">
        <f t="shared" si="46"/>
        <v>8.9035825855451733</v>
      </c>
      <c r="P28" s="10">
        <f t="shared" si="46"/>
        <v>8.9035825855451733</v>
      </c>
      <c r="R28" s="1"/>
      <c r="S28" s="10"/>
      <c r="T28" s="10"/>
      <c r="AI28" t="s">
        <v>121</v>
      </c>
      <c r="BM28" s="1" t="s">
        <v>71</v>
      </c>
      <c r="BN28">
        <f>BC19</f>
        <v>32</v>
      </c>
      <c r="BO28">
        <f>BJ19</f>
        <v>64</v>
      </c>
    </row>
    <row r="29" spans="2:67" x14ac:dyDescent="0.25">
      <c r="B29" s="12" t="s">
        <v>43</v>
      </c>
      <c r="C29" s="10" t="e">
        <f>C5/$D13</f>
        <v>#DIV/0!</v>
      </c>
      <c r="D29" s="10" t="e">
        <f t="shared" ref="D29:P29" si="47">D5/$D13</f>
        <v>#DIV/0!</v>
      </c>
      <c r="E29" s="10" t="e">
        <f t="shared" si="47"/>
        <v>#DIV/0!</v>
      </c>
      <c r="F29" s="10" t="e">
        <f t="shared" si="47"/>
        <v>#DIV/0!</v>
      </c>
      <c r="G29" s="10" t="e">
        <f t="shared" si="47"/>
        <v>#DIV/0!</v>
      </c>
      <c r="H29" s="10" t="e">
        <f t="shared" si="47"/>
        <v>#DIV/0!</v>
      </c>
      <c r="I29" s="10" t="e">
        <f t="shared" si="47"/>
        <v>#DIV/0!</v>
      </c>
      <c r="J29" s="10" t="e">
        <f t="shared" si="47"/>
        <v>#DIV/0!</v>
      </c>
      <c r="K29" s="10" t="e">
        <f t="shared" si="47"/>
        <v>#DIV/0!</v>
      </c>
      <c r="L29" s="10" t="e">
        <f t="shared" si="47"/>
        <v>#DIV/0!</v>
      </c>
      <c r="M29" s="10" t="e">
        <f t="shared" si="47"/>
        <v>#DIV/0!</v>
      </c>
      <c r="N29" s="10" t="e">
        <f t="shared" si="47"/>
        <v>#DIV/0!</v>
      </c>
      <c r="O29" s="10" t="e">
        <f t="shared" si="47"/>
        <v>#DIV/0!</v>
      </c>
      <c r="P29" s="10" t="e">
        <f t="shared" si="47"/>
        <v>#DIV/0!</v>
      </c>
      <c r="R29" s="1"/>
      <c r="S29" s="10"/>
      <c r="T29" s="10"/>
      <c r="AI29" s="59"/>
      <c r="AJ29" s="61"/>
      <c r="AK29" s="138" t="s">
        <v>72</v>
      </c>
      <c r="AL29" s="138"/>
      <c r="AM29" s="138"/>
      <c r="AN29" s="138"/>
      <c r="AO29" s="138"/>
      <c r="AP29" s="139"/>
      <c r="AQ29" s="137" t="s">
        <v>114</v>
      </c>
      <c r="AR29" s="138"/>
      <c r="AS29" s="138"/>
      <c r="AT29" s="138"/>
      <c r="AU29" s="138"/>
      <c r="AV29" s="139"/>
      <c r="AW29" s="95"/>
      <c r="BM29" s="1" t="s">
        <v>97</v>
      </c>
      <c r="BN29">
        <f>BC22</f>
        <v>90</v>
      </c>
      <c r="BO29">
        <f>BJ22</f>
        <v>64</v>
      </c>
    </row>
    <row r="30" spans="2:67" x14ac:dyDescent="0.25">
      <c r="B30" s="12" t="s">
        <v>44</v>
      </c>
      <c r="C30" s="10">
        <f>C6/$D14</f>
        <v>2.6030335738934953</v>
      </c>
      <c r="D30" s="10">
        <f t="shared" ref="D30:P30" si="48">D6/$D14</f>
        <v>2.6030335738934953</v>
      </c>
      <c r="E30" s="10">
        <f t="shared" si="48"/>
        <v>2.6030335738934953</v>
      </c>
      <c r="F30" s="10">
        <f t="shared" si="48"/>
        <v>2.6030335738934953</v>
      </c>
      <c r="G30" s="10">
        <f t="shared" si="48"/>
        <v>0.91512899082193189</v>
      </c>
      <c r="H30" s="10">
        <f t="shared" si="48"/>
        <v>0.65075839347337383</v>
      </c>
      <c r="I30" s="10">
        <f t="shared" si="48"/>
        <v>2.6030335738934953</v>
      </c>
      <c r="J30" s="10">
        <f t="shared" si="48"/>
        <v>1.3015167869467477</v>
      </c>
      <c r="K30" s="10">
        <f t="shared" si="48"/>
        <v>2.6030335738934953</v>
      </c>
      <c r="L30" s="10">
        <f t="shared" si="48"/>
        <v>2.6030335738934953</v>
      </c>
      <c r="M30" s="10">
        <f t="shared" si="48"/>
        <v>1.3015167869467477</v>
      </c>
      <c r="N30" s="10">
        <f t="shared" si="48"/>
        <v>0.65075839347337383</v>
      </c>
      <c r="O30" s="10">
        <f t="shared" si="48"/>
        <v>0.65075839347337383</v>
      </c>
      <c r="P30" s="10">
        <f t="shared" si="48"/>
        <v>1.3015167869467477</v>
      </c>
      <c r="R30" s="1"/>
      <c r="S30" s="10"/>
      <c r="T30" s="10"/>
      <c r="AI30" s="53"/>
      <c r="AJ30" s="54"/>
      <c r="AK30" s="137" t="s">
        <v>76</v>
      </c>
      <c r="AL30" s="138"/>
      <c r="AM30" s="139"/>
      <c r="AN30" s="137" t="s">
        <v>77</v>
      </c>
      <c r="AO30" s="138"/>
      <c r="AP30" s="139"/>
      <c r="AQ30" s="137" t="s">
        <v>76</v>
      </c>
      <c r="AR30" s="138"/>
      <c r="AS30" s="139"/>
      <c r="AT30" s="137" t="s">
        <v>77</v>
      </c>
      <c r="AU30" s="138"/>
      <c r="AV30" s="139"/>
      <c r="AW30" s="96"/>
    </row>
    <row r="31" spans="2:67" x14ac:dyDescent="0.25">
      <c r="B31" s="12" t="s">
        <v>71</v>
      </c>
      <c r="C31" s="10" t="e">
        <f>C7/$D15</f>
        <v>#DIV/0!</v>
      </c>
      <c r="D31" s="10" t="e">
        <f t="shared" ref="D31:P32" si="49">D7/$D15</f>
        <v>#DIV/0!</v>
      </c>
      <c r="E31" s="10" t="e">
        <f t="shared" si="49"/>
        <v>#DIV/0!</v>
      </c>
      <c r="F31" s="10" t="e">
        <f t="shared" si="49"/>
        <v>#DIV/0!</v>
      </c>
      <c r="G31" s="10" t="e">
        <f t="shared" si="49"/>
        <v>#DIV/0!</v>
      </c>
      <c r="H31" s="10" t="e">
        <f t="shared" si="49"/>
        <v>#DIV/0!</v>
      </c>
      <c r="I31" s="10" t="e">
        <f t="shared" si="49"/>
        <v>#DIV/0!</v>
      </c>
      <c r="J31" s="10" t="e">
        <f t="shared" si="49"/>
        <v>#DIV/0!</v>
      </c>
      <c r="K31" s="10" t="e">
        <f t="shared" si="49"/>
        <v>#DIV/0!</v>
      </c>
      <c r="L31" s="10" t="e">
        <f t="shared" si="49"/>
        <v>#DIV/0!</v>
      </c>
      <c r="M31" s="10" t="e">
        <f t="shared" si="49"/>
        <v>#DIV/0!</v>
      </c>
      <c r="N31" s="10" t="e">
        <f t="shared" si="49"/>
        <v>#DIV/0!</v>
      </c>
      <c r="O31" s="10" t="e">
        <f t="shared" si="49"/>
        <v>#DIV/0!</v>
      </c>
      <c r="P31" s="10" t="e">
        <f t="shared" si="49"/>
        <v>#DIV/0!</v>
      </c>
      <c r="R31" s="1"/>
      <c r="S31" s="10"/>
      <c r="T31" s="10"/>
      <c r="AI31" s="53"/>
      <c r="AJ31" s="72" t="s">
        <v>70</v>
      </c>
      <c r="AK31" s="71" t="s">
        <v>73</v>
      </c>
      <c r="AL31" s="21" t="s">
        <v>74</v>
      </c>
      <c r="AM31" s="72" t="s">
        <v>75</v>
      </c>
      <c r="AN31" s="71" t="s">
        <v>73</v>
      </c>
      <c r="AO31" s="21" t="s">
        <v>74</v>
      </c>
      <c r="AP31" s="72" t="s">
        <v>75</v>
      </c>
      <c r="AQ31" s="71" t="s">
        <v>73</v>
      </c>
      <c r="AR31" s="21" t="s">
        <v>74</v>
      </c>
      <c r="AS31" s="72" t="s">
        <v>75</v>
      </c>
      <c r="AT31" s="71" t="s">
        <v>73</v>
      </c>
      <c r="AU31" s="21" t="s">
        <v>74</v>
      </c>
      <c r="AV31" s="72" t="s">
        <v>75</v>
      </c>
      <c r="AW31" s="97" t="s">
        <v>78</v>
      </c>
      <c r="AX31" s="113" t="s">
        <v>93</v>
      </c>
      <c r="AY31" s="113" t="s">
        <v>119</v>
      </c>
    </row>
    <row r="32" spans="2:67" x14ac:dyDescent="0.25">
      <c r="B32" s="12" t="s">
        <v>97</v>
      </c>
      <c r="C32" s="10" t="e">
        <f>C8/$D16</f>
        <v>#DIV/0!</v>
      </c>
      <c r="D32" s="10" t="e">
        <f t="shared" si="49"/>
        <v>#DIV/0!</v>
      </c>
      <c r="E32" s="10" t="e">
        <f t="shared" si="49"/>
        <v>#DIV/0!</v>
      </c>
      <c r="F32" s="10" t="e">
        <f t="shared" si="49"/>
        <v>#DIV/0!</v>
      </c>
      <c r="G32" s="10" t="e">
        <f t="shared" si="49"/>
        <v>#DIV/0!</v>
      </c>
      <c r="H32" s="10" t="e">
        <f t="shared" si="49"/>
        <v>#DIV/0!</v>
      </c>
      <c r="I32" s="10" t="e">
        <f t="shared" si="49"/>
        <v>#DIV/0!</v>
      </c>
      <c r="J32" s="10" t="e">
        <f t="shared" si="49"/>
        <v>#DIV/0!</v>
      </c>
      <c r="K32" s="10" t="e">
        <f t="shared" si="49"/>
        <v>#DIV/0!</v>
      </c>
      <c r="L32" s="10" t="e">
        <f t="shared" si="49"/>
        <v>#DIV/0!</v>
      </c>
      <c r="M32" s="10" t="e">
        <f t="shared" si="49"/>
        <v>#DIV/0!</v>
      </c>
      <c r="N32" s="10" t="e">
        <f t="shared" si="49"/>
        <v>#DIV/0!</v>
      </c>
      <c r="O32" s="10" t="e">
        <f t="shared" si="49"/>
        <v>#DIV/0!</v>
      </c>
      <c r="P32" s="10" t="e">
        <f t="shared" si="49"/>
        <v>#DIV/0!</v>
      </c>
      <c r="R32" s="1"/>
      <c r="S32" s="10"/>
      <c r="T32" s="10"/>
      <c r="AI32" s="86" t="s">
        <v>26</v>
      </c>
      <c r="AJ32" s="22" cm="1">
        <f t="array" ref="AJ32">SQRT(SUMSQ($AK15:$AK19-AY18:AY22)/COUNTA($AK15:$AK19-AY18:AY22))</f>
        <v>76.829212127873163</v>
      </c>
      <c r="AK32" s="20" cm="1">
        <f t="array" ref="AK32">SQRT(SUMSQ($AK15:$AK18-AZ18:AZ21)/COUNTA($AK15:$AK18-AZ18:AZ21))</f>
        <v>73.19492614668502</v>
      </c>
      <c r="AL32" s="10" cm="1">
        <f t="array" ref="AL32">SQRT(SUMSQ($AK15:$AK18-BA18:BA21)/COUNTA($AK15:$AK18-BA18:BA21))</f>
        <v>66.85230741897719</v>
      </c>
      <c r="AM32" s="22" cm="1">
        <f t="array" ref="AM32">SQRT(SUMSQ($AK15:$AK18-BB18:BB21)/COUNTA($AK15:$AK18-BB18:BB21))</f>
        <v>66.85230741897719</v>
      </c>
      <c r="AN32" s="20" cm="1">
        <f t="array" ref="AN32">SQRT(SUMSQ($AK15:$AK18-BC18:BC21)/COUNTA($AK15:$AK18-BC18:BC21))</f>
        <v>49.176881947027269</v>
      </c>
      <c r="AO32" s="10" cm="1">
        <f t="array" ref="AO32">SQRT(SUMSQ($AK15:$AK18-BD18:BD21)/COUNTA($AK15:$AK18-BD18:BD21))</f>
        <v>58.836027615600614</v>
      </c>
      <c r="AP32" s="22" cm="1">
        <f t="array" ref="AP32">SQRT(SUMSQ($AK15:$AK18-BE18:BE21)/COUNTA($AK15:$AK18-BE18:BE21))</f>
        <v>66.85230741897719</v>
      </c>
      <c r="AQ32" s="20" cm="1">
        <f t="array" ref="AQ32">SQRT(SUMSQ($AK15:$AK18-BF18:BF21)/COUNTA($AK15:$AK18-BF18:BF21))</f>
        <v>45.607921486074865</v>
      </c>
      <c r="AR32" s="10" cm="1">
        <f t="array" ref="AR32">SQRT(SUMSQ($AK15:$AK18-BG18:BG21)/COUNTA($AK15:$AK18-BG18:BG21))</f>
        <v>64.16376832602829</v>
      </c>
      <c r="AS32" s="22" cm="1">
        <f t="array" ref="AS32">SQRT(SUMSQ($AK15:$AK18-BH18:BH21)/COUNTA($AK15:$AK18-BH18:BH21))</f>
        <v>56.82185283338611</v>
      </c>
      <c r="AT32" s="20" cm="1">
        <f t="array" ref="AT32">SQRT(SUMSQ($AK15:$AK18-BI18:BI21)/COUNTA($AK15:$AK18-BI18:BI21))</f>
        <v>57.377832003907137</v>
      </c>
      <c r="AU32" s="93" cm="1">
        <f t="array" ref="AU32">SQRT(SUMSQ($AK15:$AK18-BJ18:BJ21)/COUNTA($AK15:$AK18-BJ18:BJ21))</f>
        <v>40.33214592223819</v>
      </c>
      <c r="AV32" s="22" cm="1">
        <f t="array" ref="AV32">SQRT(SUMSQ($AK15:$AK18-BK18:BK21)/COUNTA($AK15:$AK18-BK18:BK21))</f>
        <v>41.324712677874452</v>
      </c>
      <c r="AW32" s="98" cm="1">
        <f t="array" ref="AW32">SQRT(SUMSQ($AK15:$AK18-BL18:BL21)/COUNTA($AK15:$AK18-BL18:BL21))</f>
        <v>57.212841395171068</v>
      </c>
      <c r="AX32" s="116">
        <f t="shared" ref="AX32:AX43" si="50">MIN(AJ32:AW32)</f>
        <v>40.33214592223819</v>
      </c>
      <c r="AY32" s="116">
        <f t="shared" ref="AY32:AY43" si="51">AVERAGE(AJ32:AV32)</f>
        <v>58.786323334125122</v>
      </c>
    </row>
    <row r="33" spans="2:51" x14ac:dyDescent="0.25">
      <c r="B33" s="136" t="s">
        <v>82</v>
      </c>
      <c r="C33" s="136"/>
      <c r="D33" s="140" t="s">
        <v>76</v>
      </c>
      <c r="E33" s="140"/>
      <c r="F33" s="140"/>
      <c r="G33" s="140" t="s">
        <v>77</v>
      </c>
      <c r="H33" s="140"/>
      <c r="I33" s="140"/>
      <c r="J33" s="140" t="s">
        <v>76</v>
      </c>
      <c r="K33" s="140"/>
      <c r="L33" s="140"/>
      <c r="M33" s="140" t="s">
        <v>77</v>
      </c>
      <c r="N33" s="140"/>
      <c r="O33" s="140"/>
      <c r="AH33" s="141" t="s">
        <v>115</v>
      </c>
      <c r="AI33" s="83" t="s">
        <v>41</v>
      </c>
      <c r="AJ33" s="101" cm="1">
        <f t="array" ref="AJ33">SQRT(SUMSQ($AL15:$AL18-AY$18:AY$21)/COUNTA($AL15:$AL18-AY$18:AY$21))</f>
        <v>89.153324995985216</v>
      </c>
      <c r="AK33" s="102" cm="1">
        <f t="array" ref="AK33">SQRT(SUMSQ($AL15:$AL18-AZ$18:AZ$21)/COUNTA($AL15:$AL18-AZ$18:AZ$21))</f>
        <v>89.153324995985216</v>
      </c>
      <c r="AL33" s="103" cm="1">
        <f t="array" ref="AL33">SQRT(SUMSQ($AL15:$AL18-BA$18:BA$21)/COUNTA($AL15:$AL18-BA$18:BA$21))</f>
        <v>61.436852010687318</v>
      </c>
      <c r="AM33" s="101" cm="1">
        <f t="array" ref="AM33">SQRT(SUMSQ($AL15:$AL18-BB$18:BB$21)/COUNTA($AL15:$AL18-BB$18:BB$21))</f>
        <v>61.436852010687318</v>
      </c>
      <c r="AN33" s="102" cm="1">
        <f t="array" ref="AN33">SQRT(SUMSQ($AL15:$AL18-BC$18:BC$21)/COUNTA($AL15:$AL18-BC$18:BC$21))</f>
        <v>122.77376817846087</v>
      </c>
      <c r="AO33" s="103" cm="1">
        <f t="array" ref="AO33">SQRT(SUMSQ($AL15:$AL18-BD$18:BD$21)/COUNTA($AL15:$AL18-BD$18:BD$21))</f>
        <v>115.42402799772401</v>
      </c>
      <c r="AP33" s="101" cm="1">
        <f t="array" ref="AP33">SQRT(SUMSQ($AL15:$AL18-BE$18:BE$21)/COUNTA($AL15:$AL18-BE$18:BE$21))</f>
        <v>61.436852010687318</v>
      </c>
      <c r="AQ33" s="102" cm="1">
        <f t="array" ref="AQ33">SQRT(SUMSQ($AL15:$AL18-BF$18:BF$21)/COUNTA($AL15:$AL18-BF$18:BF$21))</f>
        <v>88.362006003174798</v>
      </c>
      <c r="AR33" s="103" cm="1">
        <f t="array" ref="AR33">SQRT(SUMSQ($AL15:$AL18-BG$18:BG$21)/COUNTA($AL15:$AL18-BG$18:BG$21))</f>
        <v>87.521641473880976</v>
      </c>
      <c r="AS33" s="101" cm="1">
        <f t="array" ref="AS33">SQRT(SUMSQ($AL15:$AL18-BH$18:BH$21)/COUNTA($AL15:$AL18-BH$18:BH$21))</f>
        <v>59.044128864992942</v>
      </c>
      <c r="AT33" s="102" cm="1">
        <f t="array" ref="AT33">SQRT(SUMSQ($AL15:$AL18-BI$18:BI$21)/COUNTA($AL15:$AL18-BI$18:BI$21))</f>
        <v>103.26063330879505</v>
      </c>
      <c r="AU33" s="104" cm="1">
        <f t="array" ref="AU33">SQRT(SUMSQ($AL15:$AL18-BJ$18:BJ$21)/COUNTA($AL15:$AL18-BJ$18:BJ$21))</f>
        <v>111.75675336908245</v>
      </c>
      <c r="AV33" s="101" cm="1">
        <f t="array" ref="AV33">SQRT(SUMSQ($AL15:$AL18-BK$18:BK$21)/COUNTA($AL15:$AL18-BK$18:BK$21))</f>
        <v>110.82948504925044</v>
      </c>
      <c r="AW33" s="98" cm="1">
        <f t="array" ref="AW33">SQRT(SUMSQ($AL15:$AL18-BL$18:BL$21)/COUNTA($AL15:$AL18-BL$18:BL$21))</f>
        <v>94.068224540826463</v>
      </c>
      <c r="AX33" s="116">
        <f t="shared" si="50"/>
        <v>59.044128864992942</v>
      </c>
      <c r="AY33" s="116">
        <f t="shared" si="51"/>
        <v>89.353050020722605</v>
      </c>
    </row>
    <row r="34" spans="2:51" x14ac:dyDescent="0.25">
      <c r="B34" t="s">
        <v>80</v>
      </c>
      <c r="C34" s="1" t="s">
        <v>70</v>
      </c>
      <c r="D34" s="1" t="s">
        <v>73</v>
      </c>
      <c r="E34" s="1" t="s">
        <v>74</v>
      </c>
      <c r="F34" s="1" t="s">
        <v>75</v>
      </c>
      <c r="G34" s="1" t="s">
        <v>73</v>
      </c>
      <c r="H34" s="1" t="s">
        <v>74</v>
      </c>
      <c r="I34" s="1" t="s">
        <v>75</v>
      </c>
      <c r="J34" s="1" t="s">
        <v>73</v>
      </c>
      <c r="K34" s="1" t="s">
        <v>74</v>
      </c>
      <c r="L34" s="1" t="s">
        <v>75</v>
      </c>
      <c r="M34" s="1" t="s">
        <v>73</v>
      </c>
      <c r="N34" s="1" t="s">
        <v>74</v>
      </c>
      <c r="O34" s="1" t="s">
        <v>75</v>
      </c>
      <c r="P34" s="1" t="s">
        <v>78</v>
      </c>
      <c r="R34" s="1"/>
      <c r="S34" s="1" t="s">
        <v>91</v>
      </c>
      <c r="T34" s="1" t="s">
        <v>90</v>
      </c>
      <c r="AH34" s="141"/>
      <c r="AI34" s="71" t="s">
        <v>40</v>
      </c>
      <c r="AJ34" s="22" cm="1">
        <f t="array" ref="AJ34">SQRT(SUMSQ($AM15:$AM18-AY$18:AY$21)/COUNTA($AM15:$AM18-AY$18:AY$21))</f>
        <v>38.981686725408977</v>
      </c>
      <c r="AK34" s="20" cm="1">
        <f t="array" ref="AK34">SQRT(SUMSQ($AM15:$AM18-AZ$18:AZ$21)/COUNTA($AM15:$AM18-AZ$18:AZ$21))</f>
        <v>38.981686725408977</v>
      </c>
      <c r="AL34" s="10" cm="1">
        <f t="array" ref="AL34">SQRT(SUMSQ($AM15:$AM18-BA$18:BA$21)/COUNTA($AM15:$AM18-BA$18:BA$21))</f>
        <v>26.235126249828685</v>
      </c>
      <c r="AM34" s="22" cm="1">
        <f t="array" ref="AM34">SQRT(SUMSQ($AM15:$AM18-BB$18:BB$21)/COUNTA($AM15:$AM18-BB$18:BB$21))</f>
        <v>26.235126249828685</v>
      </c>
      <c r="AN34" s="20" cm="1">
        <f t="array" ref="AN34">SQRT(SUMSQ($AM15:$AM18-BC$18:BC$21)/COUNTA($AM15:$AM18-BC$18:BC$21))</f>
        <v>91.839374552657205</v>
      </c>
      <c r="AO34" s="10" cm="1">
        <f t="array" ref="AO34">SQRT(SUMSQ($AM15:$AM18-BD$18:BD$21)/COUNTA($AM15:$AM18-BD$18:BD$21))</f>
        <v>80.526213177174384</v>
      </c>
      <c r="AP34" s="22" cm="1">
        <f t="array" ref="AP34">SQRT(SUMSQ($AM15:$AM18-BE$18:BE$21)/COUNTA($AM15:$AM18-BE$18:BE$21))</f>
        <v>26.235126249828685</v>
      </c>
      <c r="AQ34" s="92" cm="1">
        <f t="array" ref="AQ34">SQRT(SUMSQ($AM15:$AM18-BF$18:BF$21)/COUNTA($AM15:$AM18-BF$18:BF$21))</f>
        <v>56.385750190675068</v>
      </c>
      <c r="AR34" s="10" cm="1">
        <f t="array" ref="AR34">SQRT(SUMSQ($AM15:$AM18-BG$18:BG$21)/COUNTA($AM15:$AM18-BG$18:BG$21))</f>
        <v>42.753703209948654</v>
      </c>
      <c r="AS34" s="22" cm="1">
        <f t="array" ref="AS34">SQRT(SUMSQ($AM15:$AM18-BH$18:BH$21)/COUNTA($AM15:$AM18-BH$18:BH$21))</f>
        <v>31.568799273188993</v>
      </c>
      <c r="AT34" s="20" cm="1">
        <f t="array" ref="AT34">SQRT(SUMSQ($AM15:$AM18-BI$18:BI$21)/COUNTA($AM15:$AM18-BI$18:BI$21))</f>
        <v>66.052992739708259</v>
      </c>
      <c r="AU34" s="10" cm="1">
        <f t="array" ref="AU34">SQRT(SUMSQ($AM15:$AM18-BJ$18:BJ$21)/COUNTA($AM15:$AM18-BJ$18:BJ$21))</f>
        <v>83.616423331707324</v>
      </c>
      <c r="AV34" s="22" cm="1">
        <f t="array" ref="AV34">SQRT(SUMSQ($AM15:$AM18-BK$18:BK$21)/COUNTA($AM15:$AM18-BK$18:BK$21))</f>
        <v>83.715695565507502</v>
      </c>
      <c r="AW34" s="98" cm="1">
        <f t="array" ref="AW34">SQRT(SUMSQ($AM15:$AM18-BL$18:BL$21)/COUNTA($AM15:$AM18-BL$18:BL$21))</f>
        <v>50.214951772531499</v>
      </c>
      <c r="AX34" s="116">
        <f t="shared" si="50"/>
        <v>26.235126249828685</v>
      </c>
      <c r="AY34" s="116">
        <f t="shared" si="51"/>
        <v>53.317515710836261</v>
      </c>
    </row>
    <row r="35" spans="2:51" x14ac:dyDescent="0.25">
      <c r="B35" s="12" t="s">
        <v>42</v>
      </c>
      <c r="C35" s="10">
        <f>C4/$E12</f>
        <v>16.694725897227279</v>
      </c>
      <c r="D35" s="10">
        <f>D4/$E12</f>
        <v>16.694725897227279</v>
      </c>
      <c r="E35" s="10">
        <f t="shared" ref="E35:P35" si="52">E4/$E12</f>
        <v>16.694725897227279</v>
      </c>
      <c r="F35" s="10">
        <f t="shared" si="52"/>
        <v>16.694725897227279</v>
      </c>
      <c r="G35" s="10">
        <f t="shared" si="52"/>
        <v>8.3473629486136396</v>
      </c>
      <c r="H35" s="10">
        <f t="shared" si="52"/>
        <v>16.694725897227279</v>
      </c>
      <c r="I35" s="10">
        <f t="shared" si="52"/>
        <v>16.694725897227279</v>
      </c>
      <c r="J35" s="10">
        <f t="shared" si="52"/>
        <v>5.8692395732439655</v>
      </c>
      <c r="K35" s="10">
        <f t="shared" si="52"/>
        <v>11.738479146487931</v>
      </c>
      <c r="L35" s="10">
        <f t="shared" si="52"/>
        <v>11.738479146487931</v>
      </c>
      <c r="M35" s="10">
        <f t="shared" si="52"/>
        <v>5.8692395732439655</v>
      </c>
      <c r="N35" s="10">
        <f t="shared" si="52"/>
        <v>5.8692395732439655</v>
      </c>
      <c r="O35" s="10">
        <f t="shared" si="52"/>
        <v>11.738479146487931</v>
      </c>
      <c r="P35" s="10">
        <f t="shared" si="52"/>
        <v>11.738479146487931</v>
      </c>
      <c r="R35" s="12" t="s">
        <v>42</v>
      </c>
      <c r="S35" s="10">
        <f>AVERAGE(C35:P35)</f>
        <v>12.362668116975778</v>
      </c>
      <c r="T35" s="10">
        <f>_xlfn.STDEV.P(C35:P35)</f>
        <v>4.2826503268159124</v>
      </c>
      <c r="AH35" s="141"/>
      <c r="AI35" s="105" t="s">
        <v>39</v>
      </c>
      <c r="AJ35" s="45" cm="1">
        <f t="array" ref="AJ35">SQRT(SUMSQ($AN15:$AN18-AY$18:AY$21)/COUNTA($AN15:$AN18-AY$18:AY$21))</f>
        <v>67.266532948402102</v>
      </c>
      <c r="AK35" s="43" cm="1">
        <f t="array" ref="AK35">SQRT(SUMSQ($AN15:$AN18-AZ$18:AZ$21)/COUNTA($AN15:$AN18-AZ$18:AZ$21))</f>
        <v>67.266532948402102</v>
      </c>
      <c r="AL35" s="44" cm="1">
        <f t="array" ref="AL35">SQRT(SUMSQ($AN15:$AN18-BA$18:BA$21)/COUNTA($AN15:$AN18-BA$18:BA$21))</f>
        <v>81.743722929613142</v>
      </c>
      <c r="AM35" s="45" cm="1">
        <f t="array" ref="AM35">SQRT(SUMSQ($AN15:$AN18-BB$18:BB$21)/COUNTA($AN15:$AN18-BB$18:BB$21))</f>
        <v>81.743722929613142</v>
      </c>
      <c r="AN35" s="114" cm="1">
        <f t="array" ref="AN35">SQRT(SUMSQ($AN15:$AN18-BC$18:BC$21)/COUNTA($AN15:$AN18-BC$18:BC$21))</f>
        <v>9.9370538607119236</v>
      </c>
      <c r="AO35" s="44" cm="1">
        <f t="array" ref="AO35">SQRT(SUMSQ($AN15:$AN18-BD$18:BD$21)/COUNTA($AN15:$AN18-BD$18:BD$21))</f>
        <v>32.833690464238778</v>
      </c>
      <c r="AP35" s="45" cm="1">
        <f t="array" ref="AP35">SQRT(SUMSQ($AN15:$AN18-BE$18:BE$21)/COUNTA($AN15:$AN18-BE$18:BE$21))</f>
        <v>81.743722929613142</v>
      </c>
      <c r="AQ35" s="43" cm="1">
        <f t="array" ref="AQ35">SQRT(SUMSQ($AN15:$AN18-BF$18:BF$21)/COUNTA($AN15:$AN18-BF$18:BF$21))</f>
        <v>44.618700756795157</v>
      </c>
      <c r="AR35" s="44" cm="1">
        <f t="array" ref="AR35">SQRT(SUMSQ($AN15:$AN18-BG$18:BG$21)/COUNTA($AN15:$AN18-BG$18:BG$21))</f>
        <v>60.863954043156419</v>
      </c>
      <c r="AS35" s="45" cm="1">
        <f t="array" ref="AS35">SQRT(SUMSQ($AN15:$AN18-BH$18:BH$21)/COUNTA($AN15:$AN18-BH$18:BH$21))</f>
        <v>76.561548346819308</v>
      </c>
      <c r="AT35" s="43" cm="1">
        <f t="array" ref="AT35">SQRT(SUMSQ($AN15:$AN18-BI$18:BI$21)/COUNTA($AN15:$AN18-BI$18:BI$21))</f>
        <v>40.990286233167311</v>
      </c>
      <c r="AU35" s="115" cm="1">
        <f t="array" ref="AU35">SQRT(SUMSQ($AN15:$AN18-BJ$18:BJ$21)/COUNTA($AN15:$AN18-BJ$18:BJ$21))</f>
        <v>15.778749879496438</v>
      </c>
      <c r="AV35" s="119" cm="1">
        <f t="array" ref="AV35">SQRT(SUMSQ($AN15:$AN18-BK$18:BK$21)/COUNTA($AN15:$AN18-BK$18:BK$21))</f>
        <v>24.249004947814566</v>
      </c>
      <c r="AW35" s="98" cm="1">
        <f t="array" ref="AW35">SQRT(SUMSQ($AN15:$AN18-BL$18:BL$21)/COUNTA($AN15:$AN18-BL$18:BL$21))</f>
        <v>42.218247846091415</v>
      </c>
      <c r="AX35" s="116">
        <f t="shared" si="50"/>
        <v>9.9370538607119236</v>
      </c>
      <c r="AY35" s="116">
        <f t="shared" si="51"/>
        <v>52.738247939834118</v>
      </c>
    </row>
    <row r="36" spans="2:51" x14ac:dyDescent="0.25">
      <c r="B36" s="12" t="s">
        <v>43</v>
      </c>
      <c r="C36" s="10">
        <f>C5/$E13</f>
        <v>95.00120810696842</v>
      </c>
      <c r="D36" s="10">
        <f t="shared" ref="D36:P36" si="53">D5/$E13</f>
        <v>95.00120810696842</v>
      </c>
      <c r="E36" s="10">
        <f t="shared" si="53"/>
        <v>190.00241621393684</v>
      </c>
      <c r="F36" s="10">
        <f t="shared" si="53"/>
        <v>190.00241621393684</v>
      </c>
      <c r="G36" s="10">
        <f t="shared" si="53"/>
        <v>47.50060405348421</v>
      </c>
      <c r="H36" s="10">
        <f t="shared" si="53"/>
        <v>66.797724450212172</v>
      </c>
      <c r="I36" s="10">
        <f t="shared" si="53"/>
        <v>190.00241621393684</v>
      </c>
      <c r="J36" s="10">
        <f t="shared" si="53"/>
        <v>95.00120810696842</v>
      </c>
      <c r="K36" s="10">
        <f t="shared" si="53"/>
        <v>95.00120810696842</v>
      </c>
      <c r="L36" s="10">
        <f t="shared" si="53"/>
        <v>190.00241621393684</v>
      </c>
      <c r="M36" s="10">
        <f t="shared" si="53"/>
        <v>47.50060405348421</v>
      </c>
      <c r="N36" s="10">
        <f t="shared" si="53"/>
        <v>66.797724450212172</v>
      </c>
      <c r="O36" s="10">
        <f t="shared" si="53"/>
        <v>95.00120810696842</v>
      </c>
      <c r="P36" s="10">
        <f t="shared" si="53"/>
        <v>66.797724450212172</v>
      </c>
      <c r="R36" s="12" t="s">
        <v>43</v>
      </c>
      <c r="S36" s="10">
        <f>AVERAGE(C36:P36)</f>
        <v>109.31500620344248</v>
      </c>
      <c r="T36" s="10">
        <f>_xlfn.STDEV.P(C36:P36)</f>
        <v>53.540008395527281</v>
      </c>
      <c r="AH36" s="141" t="s">
        <v>116</v>
      </c>
      <c r="AI36" s="71" t="s">
        <v>41</v>
      </c>
      <c r="AJ36" s="22" cm="1">
        <f t="array" ref="AJ36">SQRT(SUMSQ($AO15:$AO18-AY$18:AY$21)/COUNTA($AO15:$AO18-AY$18:AY$21))</f>
        <v>94.099738184727087</v>
      </c>
      <c r="AK36" s="20" cm="1">
        <f t="array" ref="AK36">SQRT(SUMSQ($AO15:$AO18-AZ$18:AZ$21)/COUNTA($AO15:$AO18-AZ$18:AZ$21))</f>
        <v>94.099738184727087</v>
      </c>
      <c r="AL36" s="10" cm="1">
        <f t="array" ref="AL36">SQRT(SUMSQ($AO15:$AO18-BA$18:BA$21)/COUNTA($AO15:$AO18-BA$18:BA$21))</f>
        <v>65.323362140641649</v>
      </c>
      <c r="AM36" s="22" cm="1">
        <f t="array" ref="AM36">SQRT(SUMSQ($AO15:$AO18-BB$18:BB$21)/COUNTA($AO15:$AO18-BB$18:BB$21))</f>
        <v>65.323362140641649</v>
      </c>
      <c r="AN36" s="20" cm="1">
        <f t="array" ref="AN36">SQRT(SUMSQ($AO15:$AO18-BC$18:BC$21)/COUNTA($AO15:$AO18-BC$18:BC$21))</f>
        <v>134.6452637874975</v>
      </c>
      <c r="AO36" s="10" cm="1">
        <f t="array" ref="AO36">SQRT(SUMSQ($AO15:$AO18-BD$18:BD$21)/COUNTA($AO15:$AO18-BD$18:BD$21))</f>
        <v>125.12927283179049</v>
      </c>
      <c r="AP36" s="22" cm="1">
        <f t="array" ref="AP36">SQRT(SUMSQ($AO15:$AO18-BE$18:BE$21)/COUNTA($AO15:$AO18-BE$18:BE$21))</f>
        <v>65.323362140641649</v>
      </c>
      <c r="AQ36" s="20" cm="1">
        <f t="array" ref="AQ36">SQRT(SUMSQ($AO15:$AO18-BF$18:BF$21)/COUNTA($AO15:$AO18-BF$18:BF$21))</f>
        <v>100.28682136753601</v>
      </c>
      <c r="AR36" s="10" cm="1">
        <f t="array" ref="AR36">SQRT(SUMSQ($AO15:$AO18-BG$18:BG$21)/COUNTA($AO15:$AO18-BG$18:BG$21))</f>
        <v>94.621100034949166</v>
      </c>
      <c r="AS36" s="22" cm="1">
        <f t="array" ref="AS36">SQRT(SUMSQ($AO15:$AO18-BH$18:BH$21)/COUNTA($AO15:$AO18-BH$18:BH$21))</f>
        <v>66.072183910834127</v>
      </c>
      <c r="AT36" s="20" cm="1">
        <f t="array" ref="AT36">SQRT(SUMSQ($AO15:$AO18-BI$18:BI$21)/COUNTA($AO15:$AO18-BI$18:BI$21))</f>
        <v>114.53932111961576</v>
      </c>
      <c r="AU36" s="93" cm="1">
        <f t="array" ref="AU36">SQRT(SUMSQ($AO15:$AO18-BJ$18:BJ$21)/COUNTA($AO15:$AO18-BJ$18:BJ$21))</f>
        <v>124.66418079211159</v>
      </c>
      <c r="AV36" s="22" cm="1">
        <f t="array" ref="AV36">SQRT(SUMSQ($AO15:$AO18-BK$18:BK$21)/COUNTA($AO15:$AO18-BK$18:BK$21))</f>
        <v>122.34762391939421</v>
      </c>
      <c r="AW36" s="98" cm="1">
        <f t="array" ref="AW36">SQRT(SUMSQ($AO15:$AO18-BL$18:BL$21)/COUNTA($AO15:$AO18-BL$18:BL$21))</f>
        <v>103.74670740255883</v>
      </c>
      <c r="AX36" s="116">
        <f t="shared" si="50"/>
        <v>65.323362140641649</v>
      </c>
      <c r="AY36" s="116">
        <f t="shared" si="51"/>
        <v>97.421179273469846</v>
      </c>
    </row>
    <row r="37" spans="2:51" x14ac:dyDescent="0.25">
      <c r="B37" s="12" t="s">
        <v>44</v>
      </c>
      <c r="C37" s="10">
        <f>C6/$E14</f>
        <v>2.0697116459677649</v>
      </c>
      <c r="D37" s="10">
        <f t="shared" ref="D37:P37" si="54">D6/$E14</f>
        <v>2.0697116459677649</v>
      </c>
      <c r="E37" s="10">
        <f>E6/$E14</f>
        <v>2.0697116459677649</v>
      </c>
      <c r="F37" s="10">
        <f t="shared" si="54"/>
        <v>2.0697116459677649</v>
      </c>
      <c r="G37" s="10">
        <f>G6/$E14</f>
        <v>0.72763300053554225</v>
      </c>
      <c r="H37" s="10">
        <f t="shared" si="54"/>
        <v>0.51742791149194123</v>
      </c>
      <c r="I37" s="10">
        <f t="shared" si="54"/>
        <v>2.0697116459677649</v>
      </c>
      <c r="J37" s="10">
        <f t="shared" si="54"/>
        <v>1.0348558229838825</v>
      </c>
      <c r="K37" s="10">
        <f t="shared" si="54"/>
        <v>2.0697116459677649</v>
      </c>
      <c r="L37" s="10">
        <f t="shared" si="54"/>
        <v>2.0697116459677649</v>
      </c>
      <c r="M37" s="10">
        <f t="shared" si="54"/>
        <v>1.0348558229838825</v>
      </c>
      <c r="N37" s="10">
        <f t="shared" si="54"/>
        <v>0.51742791149194123</v>
      </c>
      <c r="O37" s="10">
        <f t="shared" si="54"/>
        <v>0.51742791149194123</v>
      </c>
      <c r="P37" s="10">
        <f t="shared" si="54"/>
        <v>1.0348558229838825</v>
      </c>
      <c r="R37" s="12" t="s">
        <v>44</v>
      </c>
      <c r="S37" s="10">
        <f>AVERAGE(C37:P37)</f>
        <v>1.4194618375526693</v>
      </c>
      <c r="T37" s="10">
        <f>_xlfn.STDEV.P(C37:P37)</f>
        <v>0.67205238973910519</v>
      </c>
      <c r="AH37" s="141"/>
      <c r="AI37" s="71" t="s">
        <v>40</v>
      </c>
      <c r="AJ37" s="22" cm="1">
        <f t="array" ref="AJ37">SQRT(SUMSQ($AP15:$AP18-AY$18:AY$21)/COUNTA($AP15:$AP18-AY$18:AY$21))</f>
        <v>31.383688146699527</v>
      </c>
      <c r="AK37" s="20" cm="1">
        <f t="array" ref="AK37">SQRT(SUMSQ($AP15:$AP18-AZ$18:AZ$21)/COUNTA($AP15:$AP18-AZ$18:AZ$21))</f>
        <v>31.383688146699527</v>
      </c>
      <c r="AL37" s="117" cm="1">
        <f t="array" ref="AL37">SQRT(SUMSQ($AP15:$AP18-BA$18:BA$21)/COUNTA($AP15:$AP18-BA$18:BA$21))</f>
        <v>18.480190572390196</v>
      </c>
      <c r="AM37" s="118" cm="1">
        <f t="array" ref="AM37">SQRT(SUMSQ($AP15:$AP18-BB$18:BB$21)/COUNTA($AP15:$AP18-BB$18:BB$21))</f>
        <v>18.480190572390196</v>
      </c>
      <c r="AN37" s="20" cm="1">
        <f t="array" ref="AN37">SQRT(SUMSQ($AP15:$AP18-BC$18:BC$21)/COUNTA($AP15:$AP18-BC$18:BC$21))</f>
        <v>76.055931899095199</v>
      </c>
      <c r="AO37" s="10" cm="1">
        <f t="array" ref="AO37">SQRT(SUMSQ($AP15:$AP18-BD$18:BD$21)/COUNTA($AP15:$AP18-BD$18:BD$21))</f>
        <v>66.243734233014763</v>
      </c>
      <c r="AP37" s="118" cm="1">
        <f t="array" ref="AP37">SQRT(SUMSQ($AP15:$AP18-BE$18:BE$21)/COUNTA($AP15:$AP18-BE$18:BE$21))</f>
        <v>18.480190572390196</v>
      </c>
      <c r="AQ37" s="92" cm="1">
        <f t="array" ref="AQ37">SQRT(SUMSQ($AP15:$AP18-BF$18:BF$21)/COUNTA($AP15:$AP18-BF$18:BF$21))</f>
        <v>46.964289255975224</v>
      </c>
      <c r="AR37" s="88" cm="1">
        <f t="array" ref="AR37">SQRT(SUMSQ($AP15:$AP18-BG$18:BG$21)/COUNTA($AP15:$AP18-BG$18:BG$21))</f>
        <v>33.384194394190452</v>
      </c>
      <c r="AS37" s="118" cm="1">
        <f t="array" ref="AS37">SQRT(SUMSQ($AP15:$AP18-BH$18:BH$21)/COUNTA($AP15:$AP18-BH$18:BH$21))</f>
        <v>21.704515595877009</v>
      </c>
      <c r="AT37" s="20" cm="1">
        <f t="array" ref="AT37">SQRT(SUMSQ($AP15:$AP18-BI$18:BI$21)/COUNTA($AP15:$AP18-BI$18:BI$21))</f>
        <v>57.405171233675659</v>
      </c>
      <c r="AU37" s="10" cm="1">
        <f t="array" ref="AU37">SQRT(SUMSQ($AP15:$AP18-BJ$18:BJ$21)/COUNTA($AP15:$AP18-BJ$18:BJ$21))</f>
        <v>69.520216766200306</v>
      </c>
      <c r="AV37" s="22" cm="1">
        <f t="array" ref="AV37">SQRT(SUMSQ($AP15:$AP18-BK$18:BK$21)/COUNTA($AP15:$AP18-BK$18:BK$21))</f>
        <v>67.562537412529551</v>
      </c>
      <c r="AW37" s="98" cm="1">
        <f t="array" ref="AW37">SQRT(SUMSQ($AP15:$AP18-BL$18:BL$21)/COUNTA($AP15:$AP18-BL$18:BL$21))</f>
        <v>41.276177984469761</v>
      </c>
      <c r="AX37" s="116">
        <f t="shared" si="50"/>
        <v>18.480190572390196</v>
      </c>
      <c r="AY37" s="116">
        <f t="shared" si="51"/>
        <v>42.84988760008676</v>
      </c>
    </row>
    <row r="38" spans="2:51" x14ac:dyDescent="0.25">
      <c r="B38" s="12" t="s">
        <v>71</v>
      </c>
      <c r="C38" s="10">
        <f>C7/$E15</f>
        <v>190.00241621393684</v>
      </c>
      <c r="D38" s="10">
        <f t="shared" ref="D38:P39" si="55">D7/$E15</f>
        <v>190.00241621393684</v>
      </c>
      <c r="E38" s="10">
        <f t="shared" si="55"/>
        <v>190.00241621393684</v>
      </c>
      <c r="F38" s="10">
        <f t="shared" si="55"/>
        <v>190.00241621393684</v>
      </c>
      <c r="G38" s="10">
        <f t="shared" si="55"/>
        <v>47.50060405348421</v>
      </c>
      <c r="H38" s="10">
        <f t="shared" si="55"/>
        <v>62.344542820198029</v>
      </c>
      <c r="I38" s="10">
        <f t="shared" si="55"/>
        <v>190.00241621393684</v>
      </c>
      <c r="J38" s="10">
        <f t="shared" si="55"/>
        <v>190.00241621393684</v>
      </c>
      <c r="K38" s="10">
        <f t="shared" si="55"/>
        <v>190.00241621393684</v>
      </c>
      <c r="L38" s="10">
        <f t="shared" si="55"/>
        <v>190.00241621393684</v>
      </c>
      <c r="M38" s="10">
        <f t="shared" si="55"/>
        <v>190.00241621393684</v>
      </c>
      <c r="N38" s="10">
        <f t="shared" si="55"/>
        <v>95.00120810696842</v>
      </c>
      <c r="O38" s="10">
        <f t="shared" si="55"/>
        <v>47.50060405348421</v>
      </c>
      <c r="P38" s="10">
        <f t="shared" si="55"/>
        <v>190.00241621393684</v>
      </c>
      <c r="R38" s="12" t="s">
        <v>71</v>
      </c>
      <c r="S38" s="10">
        <f>AVERAGE(C38:P38)</f>
        <v>153.74079436953596</v>
      </c>
      <c r="T38" s="10">
        <f>AVERAGE(C38:P38)</f>
        <v>153.74079436953596</v>
      </c>
      <c r="AH38" s="141"/>
      <c r="AI38" s="71" t="s">
        <v>39</v>
      </c>
      <c r="AJ38" s="90" cm="1">
        <f t="array" ref="AJ38">SQRT(SUMSQ($AQ15:$AQ18-AY$18:AY$21)/COUNTA($AQ15:$AQ18-AY$18:AY$21))</f>
        <v>51.187498608471735</v>
      </c>
      <c r="AK38" s="89" cm="1">
        <f t="array" ref="AK38">SQRT(SUMSQ($AQ15:$AQ18-AZ$18:AZ$21)/COUNTA($AQ15:$AQ18-AZ$18:AZ$21))</f>
        <v>51.187498608471735</v>
      </c>
      <c r="AL38" s="10" cm="1">
        <f t="array" ref="AL38">SQRT(SUMSQ($AQ15:$AQ18-BA$18:BA$21)/COUNTA($AQ15:$AQ18-BA$18:BA$21))</f>
        <v>62.541537263534316</v>
      </c>
      <c r="AM38" s="22" cm="1">
        <f t="array" ref="AM38">SQRT(SUMSQ($AQ15:$AQ18-BB$18:BB$21)/COUNTA($AQ15:$AQ18-BB$18:BB$21))</f>
        <v>62.541537263534316</v>
      </c>
      <c r="AN38" s="20" cm="1">
        <f t="array" ref="AN38">SQRT(SUMSQ($AQ15:$AQ18-BC$18:BC$21)/COUNTA($AQ15:$AQ18-BC$18:BC$21))</f>
        <v>24.437368562477303</v>
      </c>
      <c r="AO38" s="88" cm="1">
        <f t="array" ref="AO38">SQRT(SUMSQ($AQ15:$AQ18-BD$18:BD$21)/COUNTA($AQ15:$AQ18-BD$18:BD$21))</f>
        <v>32.351737772700268</v>
      </c>
      <c r="AP38" s="22" cm="1">
        <f t="array" ref="AP38">SQRT(SUMSQ($AQ15:$AQ18-BE$18:BE$21)/COUNTA($AQ15:$AQ18-BE$18:BE$21))</f>
        <v>62.541537263534316</v>
      </c>
      <c r="AQ38" s="20" cm="1">
        <f t="array" ref="AQ38">SQRT(SUMSQ($AQ15:$AQ18-BF$18:BF$21)/COUNTA($AQ15:$AQ18-BF$18:BF$21))</f>
        <v>33.902184433600048</v>
      </c>
      <c r="AR38" s="10" cm="1">
        <f t="array" ref="AR38">SQRT(SUMSQ($AQ15:$AQ18-BG$18:BG$21)/COUNTA($AQ15:$AQ18-BG$18:BG$21))</f>
        <v>44.881134970161682</v>
      </c>
      <c r="AS38" s="22" cm="1">
        <f t="array" ref="AS38">SQRT(SUMSQ($AQ15:$AQ18-BH$18:BH$21)/COUNTA($AQ15:$AQ18-BH$18:BH$21))</f>
        <v>57.49434881537163</v>
      </c>
      <c r="AT38" s="20" cm="1">
        <f t="array" ref="AT38">SQRT(SUMSQ($AQ15:$AQ18-BI$18:BI$21)/COUNTA($AQ15:$AQ18-BI$18:BI$21))</f>
        <v>35.661129744063857</v>
      </c>
      <c r="AU38" s="93" cm="1">
        <f t="array" ref="AU38">SQRT(SUMSQ($AQ15:$AQ18-BJ$18:BJ$21)/COUNTA($AQ15:$AQ18-BJ$18:BJ$21))</f>
        <v>22.81063459854477</v>
      </c>
      <c r="AV38" s="90" cm="1">
        <f t="array" ref="AV38">SQRT(SUMSQ($AQ15:$AQ18-BK$18:BK$21)/COUNTA($AQ15:$AQ18-BK$18:BK$21))</f>
        <v>25.049357473840107</v>
      </c>
      <c r="AW38" s="100" cm="1">
        <f t="array" ref="AW38">SQRT(SUMSQ($AQ15:$AQ18-BL$18:BL$21)/COUNTA($AQ15:$AQ18-BL$18:BL$21))</f>
        <v>30.723846470803178</v>
      </c>
      <c r="AX38" s="116">
        <f t="shared" si="50"/>
        <v>22.81063459854477</v>
      </c>
      <c r="AY38" s="116">
        <f t="shared" si="51"/>
        <v>43.583654259869704</v>
      </c>
    </row>
    <row r="39" spans="2:51" x14ac:dyDescent="0.25">
      <c r="B39" s="12" t="s">
        <v>97</v>
      </c>
      <c r="C39" s="10">
        <f>C8/$E16</f>
        <v>1.904373096375388</v>
      </c>
      <c r="D39" s="10">
        <f t="shared" si="55"/>
        <v>1.904373096375388</v>
      </c>
      <c r="E39" s="10">
        <f t="shared" si="55"/>
        <v>1.904373096375388</v>
      </c>
      <c r="F39" s="10">
        <f t="shared" si="55"/>
        <v>1.904373096375388</v>
      </c>
      <c r="G39" s="10">
        <f t="shared" si="55"/>
        <v>1.3390123333889445</v>
      </c>
      <c r="H39" s="10">
        <f t="shared" si="55"/>
        <v>1.904373096375388</v>
      </c>
      <c r="I39" s="10">
        <f t="shared" si="55"/>
        <v>1.904373096375388</v>
      </c>
      <c r="J39" s="10">
        <f t="shared" si="55"/>
        <v>1.904373096375388</v>
      </c>
      <c r="K39" s="10">
        <f t="shared" si="55"/>
        <v>1.904373096375388</v>
      </c>
      <c r="L39" s="10">
        <f t="shared" si="55"/>
        <v>1.904373096375388</v>
      </c>
      <c r="M39" s="10">
        <f t="shared" si="55"/>
        <v>0.476093274093847</v>
      </c>
      <c r="N39" s="10">
        <f t="shared" si="55"/>
        <v>0.476093274093847</v>
      </c>
      <c r="O39" s="10">
        <f t="shared" si="55"/>
        <v>1.904373096375388</v>
      </c>
      <c r="P39" s="10">
        <f t="shared" si="55"/>
        <v>1.904373096375388</v>
      </c>
      <c r="R39" s="12" t="s">
        <v>97</v>
      </c>
      <c r="S39" s="10">
        <f>AVERAGE(C39:P39)</f>
        <v>1.6599502101218504</v>
      </c>
      <c r="T39" s="10">
        <f>AVERAGE(C39:P39)</f>
        <v>1.6599502101218504</v>
      </c>
      <c r="AH39" s="141" t="s">
        <v>117</v>
      </c>
      <c r="AI39" s="83" t="s">
        <v>41</v>
      </c>
      <c r="AJ39" s="101" cm="1">
        <f t="array" ref="AJ39">SQRT(SUMSQ($AR15:$AR18-AY$18:AY$21)/COUNTA($AR15:$AR18-AY$18:AY$21))</f>
        <v>103.61674786631551</v>
      </c>
      <c r="AK39" s="102" cm="1">
        <f t="array" ref="AK39">SQRT(SUMSQ($AR15:$AR18-AZ$18:AZ$21)/COUNTA($AR15:$AR18-AZ$18:AZ$21))</f>
        <v>103.61674786631551</v>
      </c>
      <c r="AL39" s="103" cm="1">
        <f t="array" ref="AL39">SQRT(SUMSQ($AR15:$AR18-BA$18:BA$21)/COUNTA($AR15:$AR18-BA$18:BA$21))</f>
        <v>74.876903383874236</v>
      </c>
      <c r="AM39" s="101" cm="1">
        <f t="array" ref="AM39">SQRT(SUMSQ($AR15:$AR18-BB$18:BB$21)/COUNTA($AR15:$AR18-BB$18:BB$21))</f>
        <v>74.876903383874236</v>
      </c>
      <c r="AN39" s="102" cm="1">
        <f t="array" ref="AN39">SQRT(SUMSQ($AR15:$AR18-BC$18:BC$21)/COUNTA($AR15:$AR18-BC$18:BC$21))</f>
        <v>142.41285125989597</v>
      </c>
      <c r="AO39" s="103" cm="1">
        <f t="array" ref="AO39">SQRT(SUMSQ($AR15:$AR18-BD$18:BD$21)/COUNTA($AR15:$AR18-BD$18:BD$21))</f>
        <v>133.18248949650049</v>
      </c>
      <c r="AP39" s="101" cm="1">
        <f t="array" ref="AP39">SQRT(SUMSQ($AR15:$AR18-BE$18:BE$21)/COUNTA($AR15:$AR18-BE$18:BE$21))</f>
        <v>74.876903383874236</v>
      </c>
      <c r="AQ39" s="102" cm="1">
        <f t="array" ref="AQ39">SQRT(SUMSQ($AR15:$AR18-BF$18:BF$21)/COUNTA($AR15:$AR18-BF$18:BF$21))</f>
        <v>107.83297731281468</v>
      </c>
      <c r="AR39" s="103" cm="1">
        <f t="array" ref="AR39">SQRT(SUMSQ($AR15:$AR18-BG$18:BG$21)/COUNTA($AR15:$AR18-BG$18:BG$21))</f>
        <v>103.76161821132057</v>
      </c>
      <c r="AS39" s="101" cm="1">
        <f t="array" ref="AS39">SQRT(SUMSQ($AR15:$AR18-BH$18:BH$21)/COUNTA($AR15:$AR18-BH$18:BH$21))</f>
        <v>75.077251120417884</v>
      </c>
      <c r="AT39" s="102" cm="1">
        <f t="array" ref="AT39">SQRT(SUMSQ($AR15:$AR18-BI$18:BI$21)/COUNTA($AR15:$AR18-BI$18:BI$21))</f>
        <v>122.31472063967929</v>
      </c>
      <c r="AU39" s="104" cm="1">
        <f t="array" ref="AU39">SQRT(SUMSQ($AR15:$AR18-BJ$18:BJ$21)/COUNTA($AR15:$AR18-BJ$18:BJ$21))</f>
        <v>131.93908323635782</v>
      </c>
      <c r="AV39" s="101" cm="1">
        <f t="array" ref="AV39">SQRT(SUMSQ($AR15:$AR18-BK$18:BK$21)/COUNTA($AR15:$AR18-BK$18:BK$21))</f>
        <v>129.86056999624668</v>
      </c>
      <c r="AW39" s="98" cm="1">
        <f t="array" ref="AW39">SQRT(SUMSQ($AR15:$AR18-BL$18:BL$21)/COUNTA($AR15:$AR18-BL$18:BL$21))</f>
        <v>112.14190495747577</v>
      </c>
      <c r="AX39" s="116">
        <f t="shared" si="50"/>
        <v>74.876903383874236</v>
      </c>
      <c r="AY39" s="116">
        <f t="shared" si="51"/>
        <v>106.01890516596055</v>
      </c>
    </row>
    <row r="40" spans="2:51" x14ac:dyDescent="0.25">
      <c r="B40" s="136" t="s">
        <v>81</v>
      </c>
      <c r="C40" s="136"/>
      <c r="D40" s="140" t="s">
        <v>76</v>
      </c>
      <c r="E40" s="140"/>
      <c r="F40" s="140"/>
      <c r="G40" s="140" t="s">
        <v>77</v>
      </c>
      <c r="H40" s="140"/>
      <c r="I40" s="140"/>
      <c r="J40" s="140" t="s">
        <v>76</v>
      </c>
      <c r="K40" s="140"/>
      <c r="L40" s="140"/>
      <c r="M40" s="140" t="s">
        <v>77</v>
      </c>
      <c r="N40" s="140"/>
      <c r="O40" s="140"/>
      <c r="AH40" s="141"/>
      <c r="AI40" s="71" t="s">
        <v>40</v>
      </c>
      <c r="AJ40" s="22" cm="1">
        <f t="array" ref="AJ40">SQRT(SUMSQ($AS15:$AS18-AY$18:AY$21)/COUNTA($AS15:$AS18-AY$18:AY$21))</f>
        <v>58.413592907363949</v>
      </c>
      <c r="AK40" s="20" cm="1">
        <f t="array" ref="AK40">SQRT(SUMSQ($AS15:$AS18-AZ$18:AZ$21)/COUNTA($AS15:$AS18-AZ$18:AZ$21))</f>
        <v>58.413592907363949</v>
      </c>
      <c r="AL40" s="10" cm="1">
        <f t="array" ref="AL40">SQRT(SUMSQ($AS15:$AS18-BA$18:BA$21)/COUNTA($AS15:$AS18-BA$18:BA$21))</f>
        <v>39.61474662634722</v>
      </c>
      <c r="AM40" s="22" cm="1">
        <f t="array" ref="AM40">SQRT(SUMSQ($AS15:$AS18-BB$18:BB$21)/COUNTA($AS15:$AS18-BB$18:BB$21))</f>
        <v>39.61474662634722</v>
      </c>
      <c r="AN40" s="20" cm="1">
        <f t="array" ref="AN40">SQRT(SUMSQ($AS15:$AS18-BC$18:BC$21)/COUNTA($AS15:$AS18-BC$18:BC$21))</f>
        <v>116.93437615779123</v>
      </c>
      <c r="AO40" s="10" cm="1">
        <f t="array" ref="AO40">SQRT(SUMSQ($AS15:$AS18-BD$18:BD$21)/COUNTA($AS15:$AS18-BD$18:BD$21))</f>
        <v>102.75424827757546</v>
      </c>
      <c r="AP40" s="22" cm="1">
        <f t="array" ref="AP40">SQRT(SUMSQ($AS15:$AS18-BE$18:BE$21)/COUNTA($AS15:$AS18-BE$18:BE$21))</f>
        <v>39.61474662634722</v>
      </c>
      <c r="AQ40" s="92" cm="1">
        <f t="array" ref="AQ40">SQRT(SUMSQ($AS15:$AS18-BF$18:BF$21)/COUNTA($AS15:$AS18-BF$18:BF$21))</f>
        <v>82.053593468483058</v>
      </c>
      <c r="AR40" s="10" cm="1">
        <f t="array" ref="AR40">SQRT(SUMSQ($AS15:$AS18-BG$18:BG$21)/COUNTA($AS15:$AS18-BG$18:BG$21))</f>
        <v>65.174992260345746</v>
      </c>
      <c r="AS40" s="22" cm="1">
        <f t="array" ref="AS40">SQRT(SUMSQ($AS15:$AS18-BH$18:BH$21)/COUNTA($AS15:$AS18-BH$18:BH$21))</f>
        <v>49.040390802465829</v>
      </c>
      <c r="AT40" s="20" cm="1">
        <f t="array" ref="AT40">SQRT(SUMSQ($AS15:$AS18-BI$18:BI$21)/COUNTA($AS15:$AS18-BI$18:BI$21))</f>
        <v>91.772556050977798</v>
      </c>
      <c r="AU40" s="10" cm="1">
        <f t="array" ref="AU40">SQRT(SUMSQ($AS15:$AS18-BJ$18:BJ$21)/COUNTA($AS15:$AS18-BJ$18:BJ$21))</f>
        <v>109.3693308941365</v>
      </c>
      <c r="AV40" s="22" cm="1">
        <f t="array" ref="AV40">SQRT(SUMSQ($AS15:$AS18-BK$18:BK$21)/COUNTA($AS15:$AS18-BK$18:BK$21))</f>
        <v>107.1649917640714</v>
      </c>
      <c r="AW40" s="98" cm="1">
        <f t="array" ref="AW40">SQRT(SUMSQ($AS15:$AS18-BL$18:BL$21)/COUNTA($AS15:$AS18-BL$18:BL$21))</f>
        <v>75.834130479918869</v>
      </c>
      <c r="AX40" s="116">
        <f t="shared" si="50"/>
        <v>39.61474662634722</v>
      </c>
      <c r="AY40" s="116">
        <f t="shared" si="51"/>
        <v>73.841223489970503</v>
      </c>
    </row>
    <row r="41" spans="2:51" x14ac:dyDescent="0.25">
      <c r="B41" t="s">
        <v>80</v>
      </c>
      <c r="C41" s="1" t="s">
        <v>70</v>
      </c>
      <c r="D41" s="1" t="s">
        <v>73</v>
      </c>
      <c r="E41" s="1" t="s">
        <v>74</v>
      </c>
      <c r="F41" s="1" t="s">
        <v>75</v>
      </c>
      <c r="G41" s="1" t="s">
        <v>73</v>
      </c>
      <c r="H41" s="1" t="s">
        <v>74</v>
      </c>
      <c r="I41" s="1" t="s">
        <v>75</v>
      </c>
      <c r="J41" s="1" t="s">
        <v>73</v>
      </c>
      <c r="K41" s="1" t="s">
        <v>74</v>
      </c>
      <c r="L41" s="1" t="s">
        <v>75</v>
      </c>
      <c r="M41" s="1" t="s">
        <v>73</v>
      </c>
      <c r="N41" s="1" t="s">
        <v>74</v>
      </c>
      <c r="O41" s="1" t="s">
        <v>75</v>
      </c>
      <c r="P41" s="1" t="s">
        <v>78</v>
      </c>
      <c r="R41" s="1"/>
      <c r="S41" s="1" t="s">
        <v>91</v>
      </c>
      <c r="T41" s="1" t="s">
        <v>90</v>
      </c>
      <c r="AH41" s="141"/>
      <c r="AI41" s="105" t="s">
        <v>39</v>
      </c>
      <c r="AJ41" s="45" cm="1">
        <f t="array" ref="AJ41">SQRT(SUMSQ($AT15:$AT18-AY$18:AY$21)/COUNTA($AT15:$AT18-AY$18:AY$21))</f>
        <v>46.083306542370828</v>
      </c>
      <c r="AK41" s="43" cm="1">
        <f t="array" ref="AK41">SQRT(SUMSQ($AT15:$AT18-AZ$18:AZ$21)/COUNTA($AT15:$AT18-AZ$18:AZ$21))</f>
        <v>46.083306542370828</v>
      </c>
      <c r="AL41" s="44" cm="1">
        <f t="array" ref="AL41">SQRT(SUMSQ($AT15:$AT18-BA$18:BA$21)/COUNTA($AT15:$AT18-BA$18:BA$21))</f>
        <v>61.00999775454418</v>
      </c>
      <c r="AM41" s="45" cm="1">
        <f t="array" ref="AM41">SQRT(SUMSQ($AT15:$AT18-BB$18:BB$21)/COUNTA($AT15:$AT18-BB$18:BB$21))</f>
        <v>61.00999775454418</v>
      </c>
      <c r="AN41" s="43" cm="1">
        <f t="array" ref="AN41">SQRT(SUMSQ($AT15:$AT18-BC$18:BC$21)/COUNTA($AT15:$AT18-BC$18:BC$21))</f>
        <v>29.987499517206864</v>
      </c>
      <c r="AO41" s="44" cm="1">
        <f t="array" ref="AO41">SQRT(SUMSQ($AT15:$AT18-BD$18:BD$21)/COUNTA($AT15:$AT18-BD$18:BD$21))</f>
        <v>25.369088512855193</v>
      </c>
      <c r="AP41" s="45" cm="1">
        <f t="array" ref="AP41">SQRT(SUMSQ($AT15:$AT18-BE$18:BE$21)/COUNTA($AT15:$AT18-BE$18:BE$21))</f>
        <v>61.00999775454418</v>
      </c>
      <c r="AQ41" s="106" cm="1">
        <f t="array" ref="AQ41">SQRT(SUMSQ($AT15:$AT18-BF$18:BF$21)/COUNTA($AT15:$AT18-BF$18:BF$21))</f>
        <v>38.627495471389395</v>
      </c>
      <c r="AR41" s="44" cm="1">
        <f t="array" ref="AR41">SQRT(SUMSQ($AT15:$AT18-BG$18:BG$21)/COUNTA($AT15:$AT18-BG$18:BG$21))</f>
        <v>44.007832580552822</v>
      </c>
      <c r="AS41" s="45" cm="1">
        <f t="array" ref="AS41">SQRT(SUMSQ($AT15:$AT18-BH$18:BH$21)/COUNTA($AT15:$AT18-BH$18:BH$21))</f>
        <v>59.457867541388786</v>
      </c>
      <c r="AT41" s="106" cm="1">
        <f t="array" ref="AT41">SQRT(SUMSQ($AT15:$AT18-BI$18:BI$21)/COUNTA($AT15:$AT18-BI$18:BI$21))</f>
        <v>38.220531973358561</v>
      </c>
      <c r="AU41" s="44" cm="1">
        <f t="array" ref="AU41">SQRT(SUMSQ($AT15:$AT18-BJ$18:BJ$21)/COUNTA($AT15:$AT18-BJ$18:BJ$21))</f>
        <v>31.046874321993496</v>
      </c>
      <c r="AV41" s="45" cm="1">
        <f t="array" ref="AV41">SQRT(SUMSQ($AT15:$AT18-BK$18:BK$21)/COUNTA($AT15:$AT18-BK$18:BK$21))</f>
        <v>27.950097848579269</v>
      </c>
      <c r="AW41" s="98" cm="1">
        <f t="array" ref="AW41">SQRT(SUMSQ($AT15:$AT18-BL$18:BL$21)/COUNTA($AT15:$AT18-BL$18:BL$21))</f>
        <v>26.446929831194968</v>
      </c>
      <c r="AX41" s="116">
        <f t="shared" si="50"/>
        <v>25.369088512855193</v>
      </c>
      <c r="AY41" s="116">
        <f t="shared" si="51"/>
        <v>43.835684162746048</v>
      </c>
    </row>
    <row r="42" spans="2:51" x14ac:dyDescent="0.25">
      <c r="B42" s="12" t="s">
        <v>42</v>
      </c>
      <c r="C42" s="10">
        <f>C4/$F12</f>
        <v>12.477608859975323</v>
      </c>
      <c r="D42" s="10">
        <f>D4/$F12</f>
        <v>12.477608859975323</v>
      </c>
      <c r="E42" s="10">
        <f t="shared" ref="E42:P42" si="56">E4/$F12</f>
        <v>12.477608859975323</v>
      </c>
      <c r="F42" s="10">
        <f t="shared" si="56"/>
        <v>12.477608859975323</v>
      </c>
      <c r="G42" s="10">
        <f t="shared" si="56"/>
        <v>6.2388044299876615</v>
      </c>
      <c r="H42" s="10">
        <f t="shared" si="56"/>
        <v>12.477608859975323</v>
      </c>
      <c r="I42" s="10">
        <f t="shared" si="56"/>
        <v>12.477608859975323</v>
      </c>
      <c r="J42" s="10">
        <f t="shared" si="56"/>
        <v>4.386659364835074</v>
      </c>
      <c r="K42" s="10">
        <f t="shared" si="56"/>
        <v>8.773318729670148</v>
      </c>
      <c r="L42" s="10">
        <f t="shared" si="56"/>
        <v>8.773318729670148</v>
      </c>
      <c r="M42" s="10">
        <f t="shared" si="56"/>
        <v>4.386659364835074</v>
      </c>
      <c r="N42" s="10">
        <f t="shared" si="56"/>
        <v>4.386659364835074</v>
      </c>
      <c r="O42" s="10">
        <f t="shared" si="56"/>
        <v>8.773318729670148</v>
      </c>
      <c r="P42" s="10">
        <f t="shared" si="56"/>
        <v>8.773318729670148</v>
      </c>
      <c r="R42" s="12" t="s">
        <v>42</v>
      </c>
      <c r="S42" s="10">
        <f>AVERAGE(C42:P42)</f>
        <v>9.2398364716446704</v>
      </c>
      <c r="T42" s="10">
        <f>_xlfn.STDEV.P(C42:P42)</f>
        <v>3.2008453442730316</v>
      </c>
      <c r="AI42" s="86" t="s">
        <v>68</v>
      </c>
      <c r="AJ42" s="22" cm="1">
        <f t="array" ref="AJ42">SQRT(SUMSQ($AU15:$AU18-AY$18:AY$21)/COUNTA($AU15:$AU18-AY$18:AY$21))</f>
        <v>83.904048433455799</v>
      </c>
      <c r="AK42" s="20" cm="1">
        <f t="array" ref="AK42">SQRT(SUMSQ($AU15:$AU18-AZ$18:AZ$21)/COUNTA($AU15:$AU18-AZ$18:AZ$21))</f>
        <v>83.904048433455799</v>
      </c>
      <c r="AL42" s="10" cm="1">
        <f t="array" ref="AL42">SQRT(SUMSQ($AU15:$AU18-BA$18:BA$21)/COUNTA($AU15:$AU18-BA$18:BA$21))</f>
        <v>64.251381886456585</v>
      </c>
      <c r="AM42" s="22" cm="1">
        <f t="array" ref="AM42">SQRT(SUMSQ($AU15:$AU18-BB$18:BB$21)/COUNTA($AU15:$AU18-BB$18:BB$21))</f>
        <v>64.251381886456585</v>
      </c>
      <c r="AN42" s="20" cm="1">
        <f t="array" ref="AN42">SQRT(SUMSQ($AU15:$AU18-BC$18:BC$21)/COUNTA($AU15:$AU18-BC$18:BC$21))</f>
        <v>81.268668829202227</v>
      </c>
      <c r="AO42" s="10" cm="1">
        <f t="array" ref="AO42">SQRT(SUMSQ($AU15:$AU18-BD$18:BD$21)/COUNTA($AU15:$AU18-BD$18:BD$21))</f>
        <v>82.985466896131044</v>
      </c>
      <c r="AP42" s="22" cm="1">
        <f t="array" ref="AP42">SQRT(SUMSQ($AU15:$AU18-BE$18:BE$21)/COUNTA($AU15:$AU18-BE$18:BE$21))</f>
        <v>64.251381886456585</v>
      </c>
      <c r="AQ42" s="20" cm="1">
        <f t="array" ref="AQ42">SQRT(SUMSQ($AU15:$AU18-BF$18:BF$21)/COUNTA($AU15:$AU18-BF$18:BF$21))</f>
        <v>66.589946587585558</v>
      </c>
      <c r="AR42" s="10" cm="1">
        <f t="array" ref="AR42">SQRT(SUMSQ($AU15:$AU18-BG$18:BG$21)/COUNTA($AU15:$AU18-BG$18:BG$21))</f>
        <v>77.302861927586335</v>
      </c>
      <c r="AS42" s="22" cm="1">
        <f t="array" ref="AS42">SQRT(SUMSQ($AU15:$AU18-BH$18:BH$21)/COUNTA($AU15:$AU18-BH$18:BH$21))</f>
        <v>55.354161478528987</v>
      </c>
      <c r="AT42" s="20" cm="1">
        <f t="array" ref="AT42">SQRT(SUMSQ($AU15:$AU18-BI$18:BI$21)/COUNTA($AU15:$AU18-BI$18:BI$21))</f>
        <v>81.596848107875488</v>
      </c>
      <c r="AU42" s="93" cm="1">
        <f t="array" ref="AU42">SQRT(SUMSQ($AU15:$AU18-BJ$18:BJ$21)/COUNTA($AU15:$AU18-BJ$18:BJ$21))</f>
        <v>72.620895028480092</v>
      </c>
      <c r="AV42" s="22" cm="1">
        <f t="array" ref="AV42">SQRT(SUMSQ($AU15:$AU18-BK$18:BK$21)/COUNTA($AU15:$AU18-BK$18:BK$21))</f>
        <v>69.424901785667942</v>
      </c>
      <c r="AW42" s="98" cm="1">
        <f t="array" ref="AW42">SQRT(SUMSQ($AU15:$AU18-BL$18:BL$21)/COUNTA($AU15:$AU18-BL$18:BL$21))</f>
        <v>77.584164904011288</v>
      </c>
      <c r="AX42" s="116">
        <f t="shared" si="50"/>
        <v>55.354161478528987</v>
      </c>
      <c r="AY42" s="116">
        <f t="shared" si="51"/>
        <v>72.900461012872242</v>
      </c>
    </row>
    <row r="43" spans="2:51" x14ac:dyDescent="0.25">
      <c r="B43" s="12" t="s">
        <v>43</v>
      </c>
      <c r="C43" s="10">
        <f>C5/$F13</f>
        <v>54.077734758896106</v>
      </c>
      <c r="D43" s="10">
        <f>D5/$F13</f>
        <v>54.077734758896106</v>
      </c>
      <c r="E43" s="10">
        <f t="shared" ref="E43:P43" si="57">E5/$F13</f>
        <v>108.15546951779221</v>
      </c>
      <c r="F43" s="10">
        <f t="shared" si="57"/>
        <v>108.15546951779221</v>
      </c>
      <c r="G43" s="10">
        <f t="shared" si="57"/>
        <v>27.038867379448053</v>
      </c>
      <c r="H43" s="10">
        <f t="shared" si="57"/>
        <v>38.023407252348825</v>
      </c>
      <c r="I43" s="10">
        <f t="shared" si="57"/>
        <v>108.15546951779221</v>
      </c>
      <c r="J43" s="10">
        <f t="shared" si="57"/>
        <v>54.077734758896106</v>
      </c>
      <c r="K43" s="10">
        <f t="shared" si="57"/>
        <v>54.077734758896106</v>
      </c>
      <c r="L43" s="10">
        <f t="shared" si="57"/>
        <v>108.15546951779221</v>
      </c>
      <c r="M43" s="10">
        <f t="shared" si="57"/>
        <v>27.038867379448053</v>
      </c>
      <c r="N43" s="10">
        <f t="shared" si="57"/>
        <v>38.023407252348825</v>
      </c>
      <c r="O43" s="10">
        <f t="shared" si="57"/>
        <v>54.077734758896106</v>
      </c>
      <c r="P43" s="10">
        <f t="shared" si="57"/>
        <v>38.023407252348825</v>
      </c>
      <c r="R43" s="12" t="s">
        <v>43</v>
      </c>
      <c r="S43" s="10">
        <f>AVERAGE(C43:P43)</f>
        <v>62.225607741542298</v>
      </c>
      <c r="T43" s="10">
        <f>_xlfn.STDEV.P(C43:P43)</f>
        <v>30.476690041060877</v>
      </c>
      <c r="AI43" s="87" t="s">
        <v>67</v>
      </c>
      <c r="AJ43" s="45" cm="1">
        <f t="array" ref="AJ43">SQRT(SUMSQ($AV15:$AV18-AY$18:AY$21)/COUNTA($AV15:$AV18-AY$18:AY$21))</f>
        <v>104.70835329924903</v>
      </c>
      <c r="AK43" s="43" cm="1">
        <f t="array" ref="AK43">SQRT(SUMSQ($AV15:$AV18-AZ$18:AZ$21)/COUNTA($AV15:$AV18-AZ$18:AZ$21))</f>
        <v>104.70835329924903</v>
      </c>
      <c r="AL43" s="44" cm="1">
        <f t="array" ref="AL43">SQRT(SUMSQ($AV15:$AV18-BA$18:BA$21)/COUNTA($AV15:$AV18-BA$18:BA$21))</f>
        <v>77.316540571452308</v>
      </c>
      <c r="AM43" s="45" cm="1">
        <f t="array" ref="AM43">SQRT(SUMSQ($AV15:$AV18-BB$18:BB$21)/COUNTA($AV15:$AV18-BB$18:BB$21))</f>
        <v>77.316540571452308</v>
      </c>
      <c r="AN43" s="43" cm="1">
        <f t="array" ref="AN43">SQRT(SUMSQ($AV15:$AV18-BC$18:BC$21)/COUNTA($AV15:$AV18-BC$18:BC$21))</f>
        <v>115.13061613581523</v>
      </c>
      <c r="AO43" s="44" cm="1">
        <f t="array" ref="AO43">SQRT(SUMSQ($AV15:$AV18-BD$18:BD$21)/COUNTA($AV15:$AV18-BD$18:BD$21))</f>
        <v>112.81221024133875</v>
      </c>
      <c r="AP43" s="45" cm="1">
        <f t="array" ref="AP43">SQRT(SUMSQ($AV15:$AV18-BE$18:BE$21)/COUNTA($AV15:$AV18-BE$18:BE$21))</f>
        <v>77.316540571452308</v>
      </c>
      <c r="AQ43" s="43" cm="1">
        <f t="array" ref="AQ43">SQRT(SUMSQ($AV15:$AV18-BF$18:BF$21)/COUNTA($AV15:$AV18-BF$18:BF$21))</f>
        <v>95.749420010019591</v>
      </c>
      <c r="AR43" s="44" cm="1">
        <f t="array" ref="AR43">SQRT(SUMSQ($AV15:$AV18-BG$18:BG$21)/COUNTA($AV15:$AV18-BG$18:BG$21))</f>
        <v>100.51974524724037</v>
      </c>
      <c r="AS43" s="45" cm="1">
        <f t="array" ref="AS43">SQRT(SUMSQ($AV15:$AV18-BH$18:BH$21)/COUNTA($AV15:$AV18-BH$18:BH$21))</f>
        <v>71.541787647966828</v>
      </c>
      <c r="AT43" s="43" cm="1">
        <f t="array" ref="AT43">SQRT(SUMSQ($AV15:$AV18-BI$18:BI$21)/COUNTA($AV15:$AV18-BI$18:BI$21))</f>
        <v>111.4851888575644</v>
      </c>
      <c r="AU43" s="94" cm="1">
        <f t="array" ref="AU43">SQRT(SUMSQ($AV15:$AV18-BJ$18:BJ$21)/COUNTA($AV15:$AV18-BJ$18:BJ$21))</f>
        <v>106.71252473427265</v>
      </c>
      <c r="AV43" s="45" cm="1">
        <f t="array" ref="AV43">SQRT(SUMSQ($AV15:$AV18-BK$18:BK$21)/COUNTA($AV15:$AV18-BK$18:BK$21))</f>
        <v>101.81798464572873</v>
      </c>
      <c r="AW43" s="99" cm="1">
        <f t="array" ref="AW43">SQRT(SUMSQ($AV15:$AV18-BL$18:BL$21)/COUNTA($AV15:$AV18-BL$18:BL$21))</f>
        <v>105.48288429953509</v>
      </c>
      <c r="AX43" s="116">
        <f t="shared" si="50"/>
        <v>71.541787647966828</v>
      </c>
      <c r="AY43" s="116">
        <f t="shared" si="51"/>
        <v>96.702754294830882</v>
      </c>
    </row>
    <row r="44" spans="2:51" x14ac:dyDescent="0.25">
      <c r="B44" s="12" t="s">
        <v>44</v>
      </c>
      <c r="C44" s="10">
        <f>C6/$F14</f>
        <v>3.1003673941532193</v>
      </c>
      <c r="D44" s="10">
        <f t="shared" ref="D44:P44" si="58">D6/$F14</f>
        <v>3.1003673941532193</v>
      </c>
      <c r="E44" s="10">
        <f t="shared" si="58"/>
        <v>3.1003673941532193</v>
      </c>
      <c r="F44" s="10">
        <f t="shared" si="58"/>
        <v>3.1003673941532193</v>
      </c>
      <c r="G44" s="10">
        <f t="shared" si="58"/>
        <v>1.0899729120069912</v>
      </c>
      <c r="H44" s="10">
        <f t="shared" si="58"/>
        <v>0.77509184853830482</v>
      </c>
      <c r="I44" s="10">
        <f t="shared" si="58"/>
        <v>3.1003673941532193</v>
      </c>
      <c r="J44" s="10">
        <f t="shared" si="58"/>
        <v>1.5501836970766096</v>
      </c>
      <c r="K44" s="10">
        <f t="shared" si="58"/>
        <v>3.1003673941532193</v>
      </c>
      <c r="L44" s="10">
        <f t="shared" si="58"/>
        <v>3.1003673941532193</v>
      </c>
      <c r="M44" s="10">
        <f t="shared" si="58"/>
        <v>1.5501836970766096</v>
      </c>
      <c r="N44" s="10">
        <f t="shared" si="58"/>
        <v>0.77509184853830482</v>
      </c>
      <c r="O44" s="10">
        <f t="shared" si="58"/>
        <v>0.77509184853830482</v>
      </c>
      <c r="P44" s="10">
        <f t="shared" si="58"/>
        <v>1.5501836970766096</v>
      </c>
      <c r="R44" s="12" t="s">
        <v>44</v>
      </c>
      <c r="S44" s="10">
        <f>AVERAGE(C44:P44)</f>
        <v>2.1263122362803051</v>
      </c>
      <c r="T44" s="10">
        <f>_xlfn.STDEV.P(C44:P44)</f>
        <v>1.0067147857863119</v>
      </c>
      <c r="AI44" s="113" t="s">
        <v>93</v>
      </c>
      <c r="AJ44" s="116">
        <f>MIN(AJ32:AJ43)</f>
        <v>31.383688146699527</v>
      </c>
      <c r="AK44" s="116">
        <f t="shared" ref="AK44" si="59">MIN(AK32:AK43)</f>
        <v>31.383688146699527</v>
      </c>
      <c r="AL44" s="116">
        <f t="shared" ref="AL44" si="60">MIN(AL32:AL43)</f>
        <v>18.480190572390196</v>
      </c>
      <c r="AM44" s="116">
        <f t="shared" ref="AM44" si="61">MIN(AM32:AM43)</f>
        <v>18.480190572390196</v>
      </c>
      <c r="AN44" s="116">
        <f t="shared" ref="AN44" si="62">MIN(AN32:AN43)</f>
        <v>9.9370538607119236</v>
      </c>
      <c r="AO44" s="116">
        <f t="shared" ref="AO44" si="63">MIN(AO32:AO43)</f>
        <v>25.369088512855193</v>
      </c>
      <c r="AP44" s="116">
        <f t="shared" ref="AP44" si="64">MIN(AP32:AP43)</f>
        <v>18.480190572390196</v>
      </c>
      <c r="AQ44" s="116">
        <f t="shared" ref="AQ44" si="65">MIN(AQ32:AQ43)</f>
        <v>33.902184433600048</v>
      </c>
      <c r="AR44" s="116">
        <f t="shared" ref="AR44" si="66">MIN(AR32:AR43)</f>
        <v>33.384194394190452</v>
      </c>
      <c r="AS44" s="116">
        <f t="shared" ref="AS44" si="67">MIN(AS32:AS43)</f>
        <v>21.704515595877009</v>
      </c>
      <c r="AT44" s="116">
        <f t="shared" ref="AT44" si="68">MIN(AT32:AT43)</f>
        <v>35.661129744063857</v>
      </c>
      <c r="AU44" s="116">
        <f t="shared" ref="AU44" si="69">MIN(AU32:AU43)</f>
        <v>15.778749879496438</v>
      </c>
      <c r="AV44" s="116">
        <f t="shared" ref="AV44" si="70">MIN(AV32:AV43)</f>
        <v>24.249004947814566</v>
      </c>
      <c r="AW44" s="116">
        <f t="shared" ref="AW44" si="71">MIN(AW32:AW43)</f>
        <v>26.446929831194968</v>
      </c>
    </row>
    <row r="45" spans="2:51" x14ac:dyDescent="0.25">
      <c r="B45" s="12" t="s">
        <v>71</v>
      </c>
      <c r="C45" s="10">
        <f>C7/$F15</f>
        <v>108.15546951779221</v>
      </c>
      <c r="D45" s="10">
        <f t="shared" ref="D45:P46" si="72">D7/$F15</f>
        <v>108.15546951779221</v>
      </c>
      <c r="E45" s="10">
        <f t="shared" si="72"/>
        <v>108.15546951779221</v>
      </c>
      <c r="F45" s="10">
        <f t="shared" si="72"/>
        <v>108.15546951779221</v>
      </c>
      <c r="G45" s="10">
        <f t="shared" si="72"/>
        <v>27.038867379448053</v>
      </c>
      <c r="H45" s="10">
        <f t="shared" si="72"/>
        <v>35.488513435525569</v>
      </c>
      <c r="I45" s="10">
        <f t="shared" si="72"/>
        <v>108.15546951779221</v>
      </c>
      <c r="J45" s="10">
        <f t="shared" si="72"/>
        <v>108.15546951779221</v>
      </c>
      <c r="K45" s="10">
        <f t="shared" si="72"/>
        <v>108.15546951779221</v>
      </c>
      <c r="L45" s="10">
        <f t="shared" si="72"/>
        <v>108.15546951779221</v>
      </c>
      <c r="M45" s="10">
        <f t="shared" si="72"/>
        <v>108.15546951779221</v>
      </c>
      <c r="N45" s="10">
        <f t="shared" si="72"/>
        <v>54.077734758896106</v>
      </c>
      <c r="O45" s="10">
        <f t="shared" si="72"/>
        <v>27.038867379448053</v>
      </c>
      <c r="P45" s="10">
        <f t="shared" si="72"/>
        <v>108.15546951779221</v>
      </c>
      <c r="R45" s="12" t="s">
        <v>71</v>
      </c>
      <c r="S45" s="10">
        <f>AVERAGE(C45:P45)</f>
        <v>87.51419129508858</v>
      </c>
      <c r="T45" s="10">
        <f>AVERAGE(C45:P45)</f>
        <v>87.51419129508858</v>
      </c>
      <c r="AI45" s="113" t="s">
        <v>119</v>
      </c>
      <c r="AJ45" s="116">
        <f>AVERAGE(AJ32:AJ43)</f>
        <v>70.468977565526913</v>
      </c>
      <c r="AK45" s="116">
        <f t="shared" ref="AK45:AW45" si="73">AVERAGE(AK32:AK43)</f>
        <v>70.166120400427886</v>
      </c>
      <c r="AL45" s="116">
        <f t="shared" si="73"/>
        <v>58.306889067362242</v>
      </c>
      <c r="AM45" s="116">
        <f t="shared" si="73"/>
        <v>58.306889067362242</v>
      </c>
      <c r="AN45" s="116">
        <f t="shared" si="73"/>
        <v>82.883304557319903</v>
      </c>
      <c r="AO45" s="116">
        <f t="shared" si="73"/>
        <v>80.704017293053695</v>
      </c>
      <c r="AP45" s="116">
        <f t="shared" si="73"/>
        <v>58.306889067362242</v>
      </c>
      <c r="AQ45" s="116">
        <f t="shared" si="73"/>
        <v>67.248425528676947</v>
      </c>
      <c r="AR45" s="116">
        <f t="shared" si="73"/>
        <v>68.246378889946797</v>
      </c>
      <c r="AS45" s="116">
        <f t="shared" si="73"/>
        <v>56.644903019269861</v>
      </c>
      <c r="AT45" s="116">
        <f t="shared" si="73"/>
        <v>76.723101001032376</v>
      </c>
      <c r="AU45" s="116">
        <f t="shared" si="73"/>
        <v>76.680651072885126</v>
      </c>
      <c r="AV45" s="116">
        <f t="shared" si="73"/>
        <v>75.941413590542069</v>
      </c>
      <c r="AW45" s="116">
        <f t="shared" si="73"/>
        <v>68.079250990382334</v>
      </c>
    </row>
    <row r="46" spans="2:51" x14ac:dyDescent="0.25">
      <c r="B46" s="12" t="s">
        <v>97</v>
      </c>
      <c r="C46" s="10">
        <f>C8/$F16</f>
        <v>1.4251212014022208</v>
      </c>
      <c r="D46" s="10">
        <f t="shared" si="72"/>
        <v>1.4251212014022208</v>
      </c>
      <c r="E46" s="10">
        <f t="shared" si="72"/>
        <v>1.4251212014022208</v>
      </c>
      <c r="F46" s="10">
        <f t="shared" si="72"/>
        <v>1.4251212014022208</v>
      </c>
      <c r="G46" s="10">
        <f t="shared" si="72"/>
        <v>1.0020383447359364</v>
      </c>
      <c r="H46" s="10">
        <f t="shared" si="72"/>
        <v>1.4251212014022208</v>
      </c>
      <c r="I46" s="10">
        <f t="shared" si="72"/>
        <v>1.4251212014022208</v>
      </c>
      <c r="J46" s="10">
        <f t="shared" si="72"/>
        <v>1.4251212014022208</v>
      </c>
      <c r="K46" s="10">
        <f t="shared" si="72"/>
        <v>1.4251212014022208</v>
      </c>
      <c r="L46" s="10">
        <f t="shared" si="72"/>
        <v>1.4251212014022208</v>
      </c>
      <c r="M46" s="10">
        <f t="shared" si="72"/>
        <v>0.35628030035055519</v>
      </c>
      <c r="N46" s="10">
        <f t="shared" si="72"/>
        <v>0.35628030035055519</v>
      </c>
      <c r="O46" s="10">
        <f t="shared" si="72"/>
        <v>1.4251212014022208</v>
      </c>
      <c r="P46" s="10">
        <f t="shared" si="72"/>
        <v>1.4251212014022208</v>
      </c>
      <c r="R46" s="12" t="s">
        <v>97</v>
      </c>
      <c r="S46" s="10">
        <f>AVERAGE(C46:P46)</f>
        <v>1.2422094400615336</v>
      </c>
      <c r="T46" s="10">
        <f>AVERAGE(C46:P46)</f>
        <v>1.2422094400615336</v>
      </c>
    </row>
    <row r="47" spans="2:51" x14ac:dyDescent="0.25">
      <c r="B47" s="136" t="s">
        <v>84</v>
      </c>
      <c r="C47" s="136"/>
      <c r="D47" s="140" t="s">
        <v>76</v>
      </c>
      <c r="E47" s="140"/>
      <c r="F47" s="140"/>
      <c r="G47" s="140" t="s">
        <v>77</v>
      </c>
      <c r="H47" s="140"/>
      <c r="I47" s="140"/>
      <c r="J47" s="140" t="s">
        <v>76</v>
      </c>
      <c r="K47" s="140"/>
      <c r="L47" s="140"/>
      <c r="M47" s="140" t="s">
        <v>77</v>
      </c>
      <c r="N47" s="140"/>
      <c r="O47" s="140"/>
      <c r="AI47" t="s">
        <v>122</v>
      </c>
    </row>
    <row r="48" spans="2:51" x14ac:dyDescent="0.25">
      <c r="B48" t="s">
        <v>80</v>
      </c>
      <c r="C48" s="1" t="s">
        <v>70</v>
      </c>
      <c r="D48" s="1" t="s">
        <v>73</v>
      </c>
      <c r="E48" s="1" t="s">
        <v>74</v>
      </c>
      <c r="F48" s="1" t="s">
        <v>75</v>
      </c>
      <c r="G48" s="1" t="s">
        <v>73</v>
      </c>
      <c r="H48" s="1" t="s">
        <v>74</v>
      </c>
      <c r="I48" s="1" t="s">
        <v>75</v>
      </c>
      <c r="J48" s="1" t="s">
        <v>73</v>
      </c>
      <c r="K48" s="1" t="s">
        <v>74</v>
      </c>
      <c r="L48" s="1" t="s">
        <v>75</v>
      </c>
      <c r="M48" s="1" t="s">
        <v>73</v>
      </c>
      <c r="N48" s="1" t="s">
        <v>74</v>
      </c>
      <c r="O48" s="1" t="s">
        <v>75</v>
      </c>
      <c r="P48" s="1" t="s">
        <v>78</v>
      </c>
      <c r="R48" s="1"/>
      <c r="S48" s="1"/>
      <c r="T48" s="1"/>
      <c r="AI48" s="59"/>
      <c r="AJ48" s="61"/>
      <c r="AK48" s="138" t="s">
        <v>72</v>
      </c>
      <c r="AL48" s="138"/>
      <c r="AM48" s="138"/>
      <c r="AN48" s="138"/>
      <c r="AO48" s="138"/>
      <c r="AP48" s="139"/>
      <c r="AQ48" s="137" t="s">
        <v>114</v>
      </c>
      <c r="AR48" s="138"/>
      <c r="AS48" s="138"/>
      <c r="AT48" s="138"/>
      <c r="AU48" s="138"/>
      <c r="AV48" s="139"/>
      <c r="AW48" s="61"/>
    </row>
    <row r="49" spans="2:51" x14ac:dyDescent="0.25">
      <c r="B49" s="12" t="s">
        <v>42</v>
      </c>
      <c r="C49" s="10">
        <f>C4/$G12</f>
        <v>7.1876325555032672</v>
      </c>
      <c r="D49" s="10">
        <f t="shared" ref="D49:P49" si="74">D4/$G12</f>
        <v>7.1876325555032672</v>
      </c>
      <c r="E49" s="10">
        <f t="shared" si="74"/>
        <v>7.1876325555032672</v>
      </c>
      <c r="F49" s="10">
        <f t="shared" si="74"/>
        <v>7.1876325555032672</v>
      </c>
      <c r="G49" s="10">
        <f t="shared" si="74"/>
        <v>3.5938162777516336</v>
      </c>
      <c r="H49" s="10">
        <f t="shared" si="74"/>
        <v>7.1876325555032672</v>
      </c>
      <c r="I49" s="10">
        <f t="shared" si="74"/>
        <v>7.1876325555032672</v>
      </c>
      <c r="J49" s="10">
        <f t="shared" si="74"/>
        <v>2.5269020702941174</v>
      </c>
      <c r="K49" s="10">
        <f t="shared" si="74"/>
        <v>5.0538041405882348</v>
      </c>
      <c r="L49" s="10">
        <f t="shared" si="74"/>
        <v>5.0538041405882348</v>
      </c>
      <c r="M49" s="10">
        <f t="shared" si="74"/>
        <v>2.5269020702941174</v>
      </c>
      <c r="N49" s="10">
        <f t="shared" si="74"/>
        <v>2.5269020702941174</v>
      </c>
      <c r="O49" s="10">
        <f t="shared" si="74"/>
        <v>5.0538041405882348</v>
      </c>
      <c r="P49" s="10">
        <f t="shared" si="74"/>
        <v>5.0538041405882348</v>
      </c>
      <c r="R49" s="1"/>
      <c r="S49" s="10"/>
      <c r="T49" s="10"/>
      <c r="AI49" s="53"/>
      <c r="AK49" s="137" t="s">
        <v>76</v>
      </c>
      <c r="AL49" s="138"/>
      <c r="AM49" s="139"/>
      <c r="AN49" s="137" t="s">
        <v>77</v>
      </c>
      <c r="AO49" s="138"/>
      <c r="AP49" s="139"/>
      <c r="AQ49" s="137" t="s">
        <v>76</v>
      </c>
      <c r="AR49" s="138"/>
      <c r="AS49" s="139"/>
      <c r="AT49" s="137" t="s">
        <v>77</v>
      </c>
      <c r="AU49" s="138"/>
      <c r="AV49" s="139"/>
      <c r="AW49" s="54"/>
    </row>
    <row r="50" spans="2:51" x14ac:dyDescent="0.25">
      <c r="B50" s="12" t="s">
        <v>43</v>
      </c>
      <c r="C50" s="10" t="e">
        <f>C5/$G13</f>
        <v>#DIV/0!</v>
      </c>
      <c r="D50" s="10" t="e">
        <f t="shared" ref="D50:P50" si="75">D5/$G13</f>
        <v>#DIV/0!</v>
      </c>
      <c r="E50" s="10" t="e">
        <f t="shared" si="75"/>
        <v>#DIV/0!</v>
      </c>
      <c r="F50" s="10" t="e">
        <f t="shared" si="75"/>
        <v>#DIV/0!</v>
      </c>
      <c r="G50" s="10" t="e">
        <f t="shared" si="75"/>
        <v>#DIV/0!</v>
      </c>
      <c r="H50" s="10" t="e">
        <f t="shared" si="75"/>
        <v>#DIV/0!</v>
      </c>
      <c r="I50" s="10" t="e">
        <f t="shared" si="75"/>
        <v>#DIV/0!</v>
      </c>
      <c r="J50" s="10" t="e">
        <f t="shared" si="75"/>
        <v>#DIV/0!</v>
      </c>
      <c r="K50" s="10" t="e">
        <f t="shared" si="75"/>
        <v>#DIV/0!</v>
      </c>
      <c r="L50" s="10" t="e">
        <f t="shared" si="75"/>
        <v>#DIV/0!</v>
      </c>
      <c r="M50" s="10" t="e">
        <f t="shared" si="75"/>
        <v>#DIV/0!</v>
      </c>
      <c r="N50" s="10" t="e">
        <f t="shared" si="75"/>
        <v>#DIV/0!</v>
      </c>
      <c r="O50" s="10" t="e">
        <f t="shared" si="75"/>
        <v>#DIV/0!</v>
      </c>
      <c r="P50" s="10" t="e">
        <f t="shared" si="75"/>
        <v>#DIV/0!</v>
      </c>
      <c r="R50" s="1"/>
      <c r="S50" s="10"/>
      <c r="T50" s="10"/>
      <c r="AI50" s="53"/>
      <c r="AJ50" s="21" t="s">
        <v>70</v>
      </c>
      <c r="AK50" s="71" t="s">
        <v>73</v>
      </c>
      <c r="AL50" s="21" t="s">
        <v>74</v>
      </c>
      <c r="AM50" s="72" t="s">
        <v>75</v>
      </c>
      <c r="AN50" s="71" t="s">
        <v>73</v>
      </c>
      <c r="AO50" s="21" t="s">
        <v>74</v>
      </c>
      <c r="AP50" s="72" t="s">
        <v>75</v>
      </c>
      <c r="AQ50" s="71" t="s">
        <v>73</v>
      </c>
      <c r="AR50" s="21" t="s">
        <v>74</v>
      </c>
      <c r="AS50" s="72" t="s">
        <v>75</v>
      </c>
      <c r="AT50" s="71" t="s">
        <v>73</v>
      </c>
      <c r="AU50" s="21" t="s">
        <v>74</v>
      </c>
      <c r="AV50" s="72" t="s">
        <v>75</v>
      </c>
      <c r="AW50" s="6" t="s">
        <v>78</v>
      </c>
      <c r="AX50" s="113" t="s">
        <v>93</v>
      </c>
      <c r="AY50" s="113" t="s">
        <v>119</v>
      </c>
    </row>
    <row r="51" spans="2:51" x14ac:dyDescent="0.25">
      <c r="B51" s="12" t="s">
        <v>44</v>
      </c>
      <c r="C51" s="10">
        <f>C6/$G14</f>
        <v>2.0566650131963571</v>
      </c>
      <c r="D51" s="10">
        <f t="shared" ref="D51:P51" si="76">D6/$G14</f>
        <v>2.0566650131963571</v>
      </c>
      <c r="E51" s="10">
        <f t="shared" si="76"/>
        <v>2.0566650131963571</v>
      </c>
      <c r="F51" s="10">
        <f t="shared" si="76"/>
        <v>2.0566650131963571</v>
      </c>
      <c r="G51" s="10">
        <f t="shared" si="76"/>
        <v>0.72304629370184426</v>
      </c>
      <c r="H51" s="10">
        <f t="shared" si="76"/>
        <v>0.51416625329908927</v>
      </c>
      <c r="I51" s="10">
        <f t="shared" si="76"/>
        <v>2.0566650131963571</v>
      </c>
      <c r="J51" s="10">
        <f t="shared" si="76"/>
        <v>1.0283325065981785</v>
      </c>
      <c r="K51" s="10">
        <f t="shared" si="76"/>
        <v>2.0566650131963571</v>
      </c>
      <c r="L51" s="10">
        <f t="shared" si="76"/>
        <v>2.0566650131963571</v>
      </c>
      <c r="M51" s="10">
        <f t="shared" si="76"/>
        <v>1.0283325065981785</v>
      </c>
      <c r="N51" s="10">
        <f t="shared" si="76"/>
        <v>0.51416625329908927</v>
      </c>
      <c r="O51" s="10">
        <f t="shared" si="76"/>
        <v>0.51416625329908927</v>
      </c>
      <c r="P51" s="10">
        <f t="shared" si="76"/>
        <v>1.0283325065981785</v>
      </c>
      <c r="R51" s="1"/>
      <c r="S51" s="10"/>
      <c r="T51" s="10"/>
      <c r="AI51" s="87" t="s">
        <v>26</v>
      </c>
      <c r="AJ51" s="44" cm="1">
        <f t="array" ref="AJ51">SQRT(SUMSQ($AK15:$AK19-AY18:AY22)/COUNTA($AK15:$AK19-AY18:AY22))</f>
        <v>76.829212127873163</v>
      </c>
      <c r="AK51" s="43" cm="1">
        <f t="array" ref="AK51">SQRT(SUMSQ($AK15:$AK19-AZ18:AZ22)/COUNTA($AK15:$AK19-AZ18:AZ22))</f>
        <v>76.829212127873163</v>
      </c>
      <c r="AL51" s="44" cm="1">
        <f t="array" ref="AL51">SQRT(SUMSQ($AK15:$AK19-BA18:BA22)/COUNTA($AK15:$AK19-BA18:BA22))</f>
        <v>72.0563312352769</v>
      </c>
      <c r="AM51" s="45" cm="1">
        <f t="array" ref="AM51">SQRT(SUMSQ($AK15:$AK19-BB18:BB22)/COUNTA($AK15:$AK19-BB18:BB22))</f>
        <v>72.0563312352769</v>
      </c>
      <c r="AN51" s="43" cm="1">
        <f t="array" ref="AN51">SQRT(SUMSQ($AK15:$AK19-BC18:BC22)/COUNTA($AK15:$AK19-BC18:BC22))</f>
        <v>49.735339309383832</v>
      </c>
      <c r="AO51" s="44" cm="1">
        <f t="array" ref="AO51">SQRT(SUMSQ($AK15:$AK19-BD18:BD22)/COUNTA($AK15:$AK19-BD18:BD22))</f>
        <v>66.227430735019226</v>
      </c>
      <c r="AP51" s="45" cm="1">
        <f t="array" ref="AP51">SQRT(SUMSQ($AK15:$AK19-BE18:BE22)/COUNTA($AK15:$AK19-BE18:BE22))</f>
        <v>72.0563312352769</v>
      </c>
      <c r="AQ51" s="43" cm="1">
        <f t="array" ref="AQ51">SQRT(SUMSQ($AK15:$AK19-BF18:BF22)/COUNTA($AK15:$AK19-BF18:BF22))</f>
        <v>57.278233798876599</v>
      </c>
      <c r="AR51" s="44" cm="1">
        <f t="array" ref="AR51">SQRT(SUMSQ($AK15:$AK19-BG18:BG22)/COUNTA($AK15:$AK19-BG18:BG22))</f>
        <v>70.073685488432673</v>
      </c>
      <c r="AS51" s="45" cm="1">
        <f t="array" ref="AS51">SQRT(SUMSQ($AK15:$AK19-BH18:BH22)/COUNTA($AK15:$AK19-BH18:BH22))</f>
        <v>64.805157455483325</v>
      </c>
      <c r="AT51" s="43" cm="1">
        <f t="array" ref="AT51">SQRT(SUMSQ($AK15:$AK19-BI18:BI22)/COUNTA($AK15:$AK19-BI18:BI22))</f>
        <v>52.612061460677495</v>
      </c>
      <c r="AU51" s="44" cm="1">
        <f t="array" ref="AU51">SQRT(SUMSQ($AK15:$AK19-BJ18:BJ22)/COUNTA($AK15:$AK19-BJ18:BJ22))</f>
        <v>37.889340486757028</v>
      </c>
      <c r="AV51" s="45" cm="1">
        <f t="array" ref="AV51">SQRT(SUMSQ($AK15:$AK19-BK18:BK22)/COUNTA($AK15:$AK19-BK18:BK22))</f>
        <v>54.616074260439994</v>
      </c>
      <c r="AW51" s="45" cm="1">
        <f t="array" ref="AW51">SQRT(SUMSQ($AK15:$AK19-BL18:BL22)/COUNTA($AK15:$AK19-BL18:BL22))</f>
        <v>65.079777517305587</v>
      </c>
      <c r="AX51" s="91">
        <f>MIN(AJ51:AW51)</f>
        <v>37.889340486757028</v>
      </c>
      <c r="AY51" s="116">
        <f t="shared" ref="AY51:AY62" si="77">AVERAGE(AJ51:AV51)</f>
        <v>63.312672381280564</v>
      </c>
    </row>
    <row r="52" spans="2:51" x14ac:dyDescent="0.25">
      <c r="B52" s="12" t="s">
        <v>71</v>
      </c>
      <c r="C52" s="10" t="e">
        <f>C7/$G15</f>
        <v>#DIV/0!</v>
      </c>
      <c r="D52" s="10" t="e">
        <f t="shared" ref="D52:P53" si="78">D7/$G15</f>
        <v>#DIV/0!</v>
      </c>
      <c r="E52" s="10" t="e">
        <f t="shared" si="78"/>
        <v>#DIV/0!</v>
      </c>
      <c r="F52" s="10" t="e">
        <f t="shared" si="78"/>
        <v>#DIV/0!</v>
      </c>
      <c r="G52" s="10" t="e">
        <f t="shared" si="78"/>
        <v>#DIV/0!</v>
      </c>
      <c r="H52" s="10" t="e">
        <f t="shared" si="78"/>
        <v>#DIV/0!</v>
      </c>
      <c r="I52" s="10" t="e">
        <f t="shared" si="78"/>
        <v>#DIV/0!</v>
      </c>
      <c r="J52" s="10" t="e">
        <f t="shared" si="78"/>
        <v>#DIV/0!</v>
      </c>
      <c r="K52" s="10" t="e">
        <f t="shared" si="78"/>
        <v>#DIV/0!</v>
      </c>
      <c r="L52" s="10" t="e">
        <f t="shared" si="78"/>
        <v>#DIV/0!</v>
      </c>
      <c r="M52" s="10" t="e">
        <f t="shared" si="78"/>
        <v>#DIV/0!</v>
      </c>
      <c r="N52" s="10" t="e">
        <f t="shared" si="78"/>
        <v>#DIV/0!</v>
      </c>
      <c r="O52" s="10" t="e">
        <f t="shared" si="78"/>
        <v>#DIV/0!</v>
      </c>
      <c r="P52" s="10" t="e">
        <f t="shared" si="78"/>
        <v>#DIV/0!</v>
      </c>
      <c r="R52" s="1"/>
      <c r="S52" s="10"/>
      <c r="T52" s="10"/>
      <c r="AH52" s="141" t="s">
        <v>115</v>
      </c>
      <c r="AI52" s="83" t="s">
        <v>41</v>
      </c>
      <c r="AJ52" s="103" cm="1">
        <f t="array" ref="AJ52">SQRT(SUMSQ($AL15:$AL19-AY18:AY22)/COUNTA($AL15:$AL19-AY18:AY22))</f>
        <v>93.876040187455985</v>
      </c>
      <c r="AK52" s="102" cm="1">
        <f t="array" ref="AK52">SQRT(SUMSQ($AL15:$AL19-AZ18:AZ22)/COUNTA($AL15:$AL19-AZ18:AZ22))</f>
        <v>93.876040187455985</v>
      </c>
      <c r="AL52" s="103" cm="1">
        <f t="array" ref="AL52">SQRT(SUMSQ($AL15:$AL19-BA18:BA22)/COUNTA($AL15:$AL19-BA18:BA22))</f>
        <v>73.984106827017371</v>
      </c>
      <c r="AM52" s="101" cm="1">
        <f t="array" ref="AM52">SQRT(SUMSQ($AL15:$AL19-BB18:BB22)/COUNTA($AL15:$AL19-BB18:BB22))</f>
        <v>73.984106827017371</v>
      </c>
      <c r="AN52" s="102" cm="1">
        <f t="array" ref="AN52">SQRT(SUMSQ($AL15:$AL19-BC18:BC22)/COUNTA($AL15:$AL19-BC18:BC22))</f>
        <v>114.53319411970399</v>
      </c>
      <c r="AO52" s="103" cm="1">
        <f t="array" ref="AO52">SQRT(SUMSQ($AL15:$AL19-BD18:BD22)/COUNTA($AL15:$AL19-BD18:BD22))</f>
        <v>114.50861813147752</v>
      </c>
      <c r="AP52" s="101" cm="1">
        <f t="array" ref="AP52">SQRT(SUMSQ($AL15:$AL19-BE18:BE22)/COUNTA($AL15:$AL19-BE18:BE22))</f>
        <v>73.984106827017371</v>
      </c>
      <c r="AQ52" s="102" cm="1">
        <f t="array" ref="AQ52">SQRT(SUMSQ($AL15:$AL19-BF18:BF22)/COUNTA($AL15:$AL19-BF18:BF22))</f>
        <v>93.275580507060496</v>
      </c>
      <c r="AR52" s="103" cm="1">
        <f t="array" ref="AR52">SQRT(SUMSQ($AL15:$AL19-BG18:BG22)/COUNTA($AL15:$AL19-BG18:BG22))</f>
        <v>92.639563988779074</v>
      </c>
      <c r="AS52" s="101" cm="1">
        <f t="array" ref="AS52">SQRT(SUMSQ($AL15:$AL19-BH18:BH22)/COUNTA($AL15:$AL19-BH18:BH22))</f>
        <v>72.408742274298319</v>
      </c>
      <c r="AT52" s="102" cm="1">
        <f t="array" ref="AT52">SQRT(SUMSQ($AL15:$AL19-BI18:BI22)/COUNTA($AL15:$AL19-BI18:BI22))</f>
        <v>94.698039314854228</v>
      </c>
      <c r="AU52" s="103" cm="1">
        <f t="array" ref="AU52">SQRT(SUMSQ($AL15:$AL19-BJ18:BJ22)/COUNTA($AL15:$AL19-BJ18:BJ22))</f>
        <v>102.12330525344969</v>
      </c>
      <c r="AV52" s="101" cm="1">
        <f t="array" ref="AV52">SQRT(SUMSQ($AL15:$AL19-BK18:BK22)/COUNTA($AL15:$AL19-BK18:BK22))</f>
        <v>110.81786155683868</v>
      </c>
      <c r="AW52" s="101" cm="1">
        <f t="array" ref="AW52">SQRT(SUMSQ($AL15:$AL19-BL18:BL22)/COUNTA($AL15:$AL19-BL18:BL22))</f>
        <v>97.637714688616711</v>
      </c>
      <c r="AX52" s="91">
        <f t="shared" ref="AX52:AX62" si="79">MIN(AJ52:AW52)</f>
        <v>72.408742274298319</v>
      </c>
      <c r="AY52" s="116">
        <f t="shared" si="77"/>
        <v>92.66994661557122</v>
      </c>
    </row>
    <row r="53" spans="2:51" x14ac:dyDescent="0.25">
      <c r="B53" s="12" t="s">
        <v>97</v>
      </c>
      <c r="C53" s="10">
        <f>C8/$G16</f>
        <v>6.3941127901411692</v>
      </c>
      <c r="D53" s="10">
        <f t="shared" si="78"/>
        <v>6.3941127901411692</v>
      </c>
      <c r="E53" s="10">
        <f t="shared" si="78"/>
        <v>6.3941127901411692</v>
      </c>
      <c r="F53" s="10">
        <f t="shared" si="78"/>
        <v>6.3941127901411692</v>
      </c>
      <c r="G53" s="10">
        <f t="shared" si="78"/>
        <v>4.4958605555680098</v>
      </c>
      <c r="H53" s="10">
        <f t="shared" si="78"/>
        <v>6.3941127901411692</v>
      </c>
      <c r="I53" s="10">
        <f t="shared" si="78"/>
        <v>6.3941127901411692</v>
      </c>
      <c r="J53" s="10">
        <f t="shared" si="78"/>
        <v>6.3941127901411692</v>
      </c>
      <c r="K53" s="10">
        <f t="shared" si="78"/>
        <v>6.3941127901411692</v>
      </c>
      <c r="L53" s="10">
        <f t="shared" si="78"/>
        <v>6.3941127901411692</v>
      </c>
      <c r="M53" s="10">
        <f t="shared" si="78"/>
        <v>1.5985281975352923</v>
      </c>
      <c r="N53" s="10">
        <f t="shared" si="78"/>
        <v>1.5985281975352923</v>
      </c>
      <c r="O53" s="10">
        <f t="shared" si="78"/>
        <v>6.3941127901411692</v>
      </c>
      <c r="P53" s="10">
        <f t="shared" si="78"/>
        <v>6.3941127901411692</v>
      </c>
      <c r="R53" s="1"/>
      <c r="S53" s="10"/>
      <c r="T53" s="10"/>
      <c r="AH53" s="141"/>
      <c r="AI53" s="71" t="s">
        <v>40</v>
      </c>
      <c r="AJ53" s="10" cm="1">
        <f t="array" ref="AJ53">SQRT(SUMSQ($AM15:$AM19-AY18:AY22)/COUNTA($AM15:$AM19-AY18:AY22))</f>
        <v>44.495851614161381</v>
      </c>
      <c r="AK53" s="20" cm="1">
        <f t="array" ref="AK53">SQRT(SUMSQ($AM15:$AM19-AZ18:AZ22)/COUNTA($AM15:$AM19-AZ18:AZ22))</f>
        <v>44.495851614161381</v>
      </c>
      <c r="AL53" s="10" cm="1">
        <f t="array" ref="AL53">SQRT(SUMSQ($AM15:$AM19-BA18:BA22)/COUNTA($AM15:$AM19-BA18:BA22))</f>
        <v>36.260843486861781</v>
      </c>
      <c r="AM53" s="22" cm="1">
        <f t="array" ref="AM53">SQRT(SUMSQ($AM15:$AM19-BB18:BB22)/COUNTA($AM15:$AM19-BB18:BB22))</f>
        <v>36.260843486861781</v>
      </c>
      <c r="AN53" s="20" cm="1">
        <f t="array" ref="AN53">SQRT(SUMSQ($AM15:$AM19-BC18:BC22)/COUNTA($AM15:$AM19-BC18:BC22))</f>
        <v>82.831208686232699</v>
      </c>
      <c r="AO53" s="10" cm="1">
        <f t="array" ref="AO53">SQRT(SUMSQ($AM15:$AM19-BD18:BD22)/COUNTA($AM15:$AM19-BD18:BD22))</f>
        <v>77.147910521463345</v>
      </c>
      <c r="AP53" s="22" cm="1">
        <f t="array" ref="AP53">SQRT(SUMSQ($AM15:$AM19-BE18:BE22)/COUNTA($AM15:$AM19-BE18:BE22))</f>
        <v>36.260843486861781</v>
      </c>
      <c r="AQ53" s="20" cm="1">
        <f t="array" ref="AQ53">SQRT(SUMSQ($AM15:$AM19-BF18:BF22)/COUNTA($AM15:$AM19-BF18:BF22))</f>
        <v>57.512655568625043</v>
      </c>
      <c r="AR53" s="10" cm="1">
        <f t="array" ref="AR53">SQRT(SUMSQ($AM15:$AM19-BG18:BG22)/COUNTA($AM15:$AM19-BG18:BG22))</f>
        <v>47.186084828417641</v>
      </c>
      <c r="AS53" s="22" cm="1">
        <f t="array" ref="AS53">SQRT(SUMSQ($AM15:$AM19-BH18:BH22)/COUNTA($AM15:$AM19-BH18:BH22))</f>
        <v>39.515750795649126</v>
      </c>
      <c r="AT53" s="20" cm="1">
        <f t="array" ref="AT53">SQRT(SUMSQ($AM15:$AM19-BI18:BI22)/COUNTA($AM15:$AM19-BI18:BI22))</f>
        <v>59.087671876230715</v>
      </c>
      <c r="AU53" s="10" cm="1">
        <f t="array" ref="AU53">SQRT(SUMSQ($AM15:$AM19-BJ18:BJ22)/COUNTA($AM15:$AM19-BJ18:BJ22))</f>
        <v>74.795184928479031</v>
      </c>
      <c r="AV53" s="22" cm="1">
        <f t="array" ref="AV53">SQRT(SUMSQ($AM15:$AM19-BK18:BK22)/COUNTA($AM15:$AM19-BK18:BK22))</f>
        <v>79.817776454349527</v>
      </c>
      <c r="AW53" s="22" cm="1">
        <f t="array" ref="AW53">SQRT(SUMSQ($AM15:$AM19-BL18:BL22)/COUNTA($AM15:$AM19-BL18:BL22))</f>
        <v>52.739514560879854</v>
      </c>
      <c r="AX53" s="91">
        <f t="shared" si="79"/>
        <v>36.260843486861781</v>
      </c>
      <c r="AY53" s="116">
        <f t="shared" si="77"/>
        <v>55.051421334488857</v>
      </c>
    </row>
    <row r="54" spans="2:51" x14ac:dyDescent="0.25">
      <c r="B54" s="136" t="s">
        <v>85</v>
      </c>
      <c r="C54" s="136"/>
      <c r="D54" s="140" t="s">
        <v>76</v>
      </c>
      <c r="E54" s="140"/>
      <c r="F54" s="140"/>
      <c r="G54" s="140" t="s">
        <v>77</v>
      </c>
      <c r="H54" s="140"/>
      <c r="I54" s="140"/>
      <c r="J54" s="140" t="s">
        <v>76</v>
      </c>
      <c r="K54" s="140"/>
      <c r="L54" s="140"/>
      <c r="M54" s="140" t="s">
        <v>77</v>
      </c>
      <c r="N54" s="140"/>
      <c r="O54" s="140"/>
      <c r="AH54" s="141"/>
      <c r="AI54" s="105" t="s">
        <v>39</v>
      </c>
      <c r="AJ54" s="44" cm="1">
        <f t="array" ref="AJ54">SQRT(SUMSQ($AN15:$AN19-AY$18:AY$22)/COUNTA($AN15:$AN19-AY$18:AY$22))</f>
        <v>62.962218878471916</v>
      </c>
      <c r="AK54" s="43" cm="1">
        <f t="array" ref="AK54">SQRT(SUMSQ($AN15:$AN19-AZ$18:AZ$22)/COUNTA($AN15:$AN19-AZ$18:AZ$22))</f>
        <v>62.962218878471916</v>
      </c>
      <c r="AL54" s="44" cm="1">
        <f t="array" ref="AL54">SQRT(SUMSQ($AN15:$AN19-BA$18:BA$22)/COUNTA($AN15:$AN19-BA$18:BA$22))</f>
        <v>75.432359322087493</v>
      </c>
      <c r="AM54" s="45" cm="1">
        <f t="array" ref="AM54">SQRT(SUMSQ($AN15:$AN19-BB$18:BB$22)/COUNTA($AN15:$AN19-BB$18:BB$22))</f>
        <v>75.432359322087493</v>
      </c>
      <c r="AN54" s="114" cm="1">
        <f t="array" ref="AN54">SQRT(SUMSQ($AN15:$AN19-BC$18:BC$22)/COUNTA($AN15:$AN19-BC$18:BC$22))</f>
        <v>9.0245672684626825</v>
      </c>
      <c r="AO54" s="44" cm="1">
        <f t="array" ref="AO54">SQRT(SUMSQ($AN15:$AN19-BD$18:BD$22)/COUNTA($AN15:$AN19-BD$18:BD$22))</f>
        <v>34.739787359495843</v>
      </c>
      <c r="AP54" s="45" cm="1">
        <f t="array" ref="AP54">SQRT(SUMSQ($AN15:$AN19-BE$18:BE$22)/COUNTA($AN15:$AN19-BE$18:BE$22))</f>
        <v>75.432359322087493</v>
      </c>
      <c r="AQ54" s="43" cm="1">
        <f t="array" ref="AQ54">SQRT(SUMSQ($AN15:$AN19-BF$18:BF$22)/COUNTA($AN15:$AN19-BF$18:BF$22))</f>
        <v>44.012209760035653</v>
      </c>
      <c r="AR54" s="44" cm="1">
        <f t="array" ref="AR54">SQRT(SUMSQ($AN15:$AN19-BG$18:BG$22)/COUNTA($AN15:$AN19-BG$18:BG$22))</f>
        <v>57.514768221699342</v>
      </c>
      <c r="AS54" s="45" cm="1">
        <f t="array" ref="AS54">SQRT(SUMSQ($AN15:$AN19-BH$18:BH$22)/COUNTA($AN15:$AN19-BH$18:BH$22))</f>
        <v>70.948913947936603</v>
      </c>
      <c r="AT54" s="43" cm="1">
        <f t="array" ref="AT54">SQRT(SUMSQ($AN15:$AN19-BI$18:BI$22)/COUNTA($AN15:$AN19-BI$18:BI$22))</f>
        <v>38.01885771541675</v>
      </c>
      <c r="AU54" s="115" cm="1">
        <f t="array" ref="AU54">SQRT(SUMSQ($AN15:$AN19-BJ$18:BJ$22)/COUNTA($AN15:$AN19-BJ$18:BJ$22))</f>
        <v>17.333373815021766</v>
      </c>
      <c r="AV54" s="45" cm="1">
        <f t="array" ref="AV54">SQRT(SUMSQ($AN15:$AN19-BK$18:BK$22)/COUNTA($AN15:$AN19-BK$18:BK$22))</f>
        <v>28.545108774519317</v>
      </c>
      <c r="AW54" s="22" cm="1">
        <f t="array" ref="AW54">SQRT(SUMSQ($AN15:$AN19-BL18:BL22)/COUNTA($AN15:$AN19-BL18:BL22))</f>
        <v>42.075125705540486</v>
      </c>
      <c r="AX54" s="91">
        <f t="shared" si="79"/>
        <v>9.0245672684626825</v>
      </c>
      <c r="AY54" s="116">
        <f t="shared" si="77"/>
        <v>50.181469429676483</v>
      </c>
    </row>
    <row r="55" spans="2:51" x14ac:dyDescent="0.25">
      <c r="B55" t="s">
        <v>80</v>
      </c>
      <c r="C55" s="1" t="s">
        <v>70</v>
      </c>
      <c r="D55" s="1" t="s">
        <v>73</v>
      </c>
      <c r="E55" s="1" t="s">
        <v>74</v>
      </c>
      <c r="F55" s="1" t="s">
        <v>75</v>
      </c>
      <c r="G55" s="1" t="s">
        <v>73</v>
      </c>
      <c r="H55" s="1" t="s">
        <v>74</v>
      </c>
      <c r="I55" s="1" t="s">
        <v>75</v>
      </c>
      <c r="J55" s="1" t="s">
        <v>73</v>
      </c>
      <c r="K55" s="1" t="s">
        <v>74</v>
      </c>
      <c r="L55" s="1" t="s">
        <v>75</v>
      </c>
      <c r="M55" s="1" t="s">
        <v>73</v>
      </c>
      <c r="N55" s="1" t="s">
        <v>74</v>
      </c>
      <c r="O55" s="1" t="s">
        <v>75</v>
      </c>
      <c r="P55" s="1" t="s">
        <v>78</v>
      </c>
      <c r="R55" s="1"/>
      <c r="S55" s="1"/>
      <c r="T55" s="1"/>
      <c r="AH55" s="141" t="s">
        <v>116</v>
      </c>
      <c r="AI55" s="83" t="s">
        <v>41</v>
      </c>
      <c r="AJ55" s="103" cm="1">
        <f t="array" ref="AJ55">SQRT(SUMSQ($AO15:$AO19-AY$18:AY$22)/COUNTA($AO15:$AO19-AY$18:AY$22))</f>
        <v>96.855099440608029</v>
      </c>
      <c r="AK55" s="102" cm="1">
        <f t="array" ref="AK55">SQRT(SUMSQ($AO15:$AO19-AZ$18:AZ$22)/COUNTA($AO15:$AO19-AZ$18:AZ$22))</f>
        <v>96.855099440608029</v>
      </c>
      <c r="AL55" s="103" cm="1">
        <f t="array" ref="AL55">SQRT(SUMSQ($AO15:$AO19-BA$18:BA$22)/COUNTA($AO15:$AO19-BA$18:BA$22))</f>
        <v>75.569934627394332</v>
      </c>
      <c r="AM55" s="101" cm="1">
        <f t="array" ref="AM55">SQRT(SUMSQ($AO15:$AO19-BB$18:BB$22)/COUNTA($AO15:$AO19-BB$18:BB$22))</f>
        <v>75.569934627394332</v>
      </c>
      <c r="AN55" s="102" cm="1">
        <f t="array" ref="AN55">SQRT(SUMSQ($AO15:$AO19-BC$18:BC$22)/COUNTA($AO15:$AO19-BC$18:BC$22))</f>
        <v>124.33980975281206</v>
      </c>
      <c r="AO55" s="103" cm="1">
        <f t="array" ref="AO55">SQRT(SUMSQ($AO15:$AO19-BD$18:BD$22)/COUNTA($AO15:$AO19-BD$18:BD$22))</f>
        <v>121.7496186525151</v>
      </c>
      <c r="AP55" s="101" cm="1">
        <f t="array" ref="AP55">SQRT(SUMSQ($AO15:$AO19-BE$18:BE$22)/COUNTA($AO15:$AO19-BE$18:BE$22))</f>
        <v>75.569934627394332</v>
      </c>
      <c r="AQ55" s="102" cm="1">
        <f t="array" ref="AQ55">SQRT(SUMSQ($AO15:$AO19-BF$18:BF$22)/COUNTA($AO15:$AO19-BF$18:BF$22))</f>
        <v>101.70083056940088</v>
      </c>
      <c r="AR55" s="103" cm="1">
        <f t="array" ref="AR55">SQRT(SUMSQ($AO15:$AO19-BG$18:BG$22)/COUNTA($AO15:$AO19-BG$18:BG$22))</f>
        <v>97.260597180779271</v>
      </c>
      <c r="AS55" s="101" cm="1">
        <f t="array" ref="AS55">SQRT(SUMSQ($AO15:$AO19-BH$18:BH$22)/COUNTA($AO15:$AO19-BH$18:BH$22))</f>
        <v>76.088951207783069</v>
      </c>
      <c r="AT55" s="102" cm="1">
        <f t="array" ref="AT55">SQRT(SUMSQ($AO15:$AO19-BI$18:BI$22)/COUNTA($AO15:$AO19-BI$18:BI$22))</f>
        <v>104.25038452117482</v>
      </c>
      <c r="AU55" s="103" cm="1">
        <f t="array" ref="AU55">SQRT(SUMSQ($AO15:$AO19-BJ$18:BJ$22)/COUNTA($AO15:$AO19-BJ$18:BJ$22))</f>
        <v>113.16211461807113</v>
      </c>
      <c r="AV55" s="101" cm="1">
        <f t="array" ref="AV55">SQRT(SUMSQ($AO15:$AO19-BK$18:BK$22)/COUNTA($AO15:$AO19-BK$18:BK$22))</f>
        <v>119.46654163187256</v>
      </c>
      <c r="AW55" s="101" cm="1">
        <f t="array" ref="AW55">SQRT(SUMSQ($AO15:$AO19-BL$18:BL$22)/COUNTA($AO15:$AO19-BL$18:BL$22))</f>
        <v>104.44043826028521</v>
      </c>
      <c r="AX55" s="91">
        <f t="shared" si="79"/>
        <v>75.569934627394332</v>
      </c>
      <c r="AY55" s="116">
        <f t="shared" si="77"/>
        <v>98.341450069062162</v>
      </c>
    </row>
    <row r="56" spans="2:51" x14ac:dyDescent="0.25">
      <c r="B56" s="12" t="s">
        <v>42</v>
      </c>
      <c r="C56" s="10">
        <f>C4/$H12</f>
        <v>5.4876681454371798</v>
      </c>
      <c r="D56" s="10">
        <f t="shared" ref="D56:P56" si="80">D4/$H12</f>
        <v>5.4876681454371798</v>
      </c>
      <c r="E56" s="10">
        <f t="shared" si="80"/>
        <v>5.4876681454371798</v>
      </c>
      <c r="F56" s="10">
        <f t="shared" si="80"/>
        <v>5.4876681454371798</v>
      </c>
      <c r="G56" s="10">
        <f t="shared" si="80"/>
        <v>2.7438340727185899</v>
      </c>
      <c r="H56" s="10">
        <f t="shared" si="80"/>
        <v>5.4876681454371798</v>
      </c>
      <c r="I56" s="10">
        <f t="shared" si="80"/>
        <v>5.4876681454371798</v>
      </c>
      <c r="J56" s="10">
        <f t="shared" si="80"/>
        <v>1.9292583323802588</v>
      </c>
      <c r="K56" s="10">
        <f t="shared" si="80"/>
        <v>3.8585166647605176</v>
      </c>
      <c r="L56" s="10">
        <f t="shared" si="80"/>
        <v>3.8585166647605176</v>
      </c>
      <c r="M56" s="10">
        <f t="shared" si="80"/>
        <v>1.9292583323802588</v>
      </c>
      <c r="N56" s="10">
        <f t="shared" si="80"/>
        <v>1.9292583323802588</v>
      </c>
      <c r="O56" s="10">
        <f t="shared" si="80"/>
        <v>3.8585166647605176</v>
      </c>
      <c r="P56" s="10">
        <f t="shared" si="80"/>
        <v>3.8585166647605176</v>
      </c>
      <c r="R56" s="1"/>
      <c r="S56" s="10"/>
      <c r="T56" s="10"/>
      <c r="AH56" s="141"/>
      <c r="AI56" s="71" t="s">
        <v>40</v>
      </c>
      <c r="AJ56" s="10" cm="1">
        <f t="array" ref="AJ56">SQRT(SUMSQ($AP15:$AP19-AY$18:AY$22)/COUNTA($AP15:$AP19-AY$18:AY$22))</f>
        <v>41.725642706801288</v>
      </c>
      <c r="AK56" s="20" cm="1">
        <f t="array" ref="AK56">SQRT(SUMSQ($AP15:$AP19-AZ$18:AZ$22)/COUNTA($AP15:$AP19-AZ$18:AZ$22))</f>
        <v>41.725642706801288</v>
      </c>
      <c r="AL56" s="10" cm="1">
        <f t="array" ref="AL56">SQRT(SUMSQ($AP15:$AP19-BA$18:BA$22)/COUNTA($AP15:$AP19-BA$18:BA$22))</f>
        <v>35.018488100112151</v>
      </c>
      <c r="AM56" s="22" cm="1">
        <f t="array" ref="AM56">SQRT(SUMSQ($AP15:$AP19-BB$18:BB$22)/COUNTA($AP15:$AP19-BB$18:BB$22))</f>
        <v>35.018488100112151</v>
      </c>
      <c r="AN56" s="20" cm="1">
        <f t="array" ref="AN56">SQRT(SUMSQ($AP15:$AP19-BC$18:BC$22)/COUNTA($AP15:$AP19-BC$18:BC$22))</f>
        <v>69.427656916289166</v>
      </c>
      <c r="AO56" s="10" cm="1">
        <f t="array" ref="AO56">SQRT(SUMSQ($AP15:$AP19-BD$18:BD$22)/COUNTA($AP15:$AP19-BD$18:BD$22))</f>
        <v>66.810675898778641</v>
      </c>
      <c r="AP56" s="22" cm="1">
        <f t="array" ref="AP56">SQRT(SUMSQ($AP15:$AP19-BE$18:BE$22)/COUNTA($AP15:$AP19-BE$18:BE$22))</f>
        <v>35.018488100112151</v>
      </c>
      <c r="AQ56" s="20" cm="1">
        <f t="array" ref="AQ56">SQRT(SUMSQ($AP15:$AP19-BF$18:BF$22)/COUNTA($AP15:$AP19-BF$18:BF$22))</f>
        <v>52.130568059434538</v>
      </c>
      <c r="AR56" s="10" cm="1">
        <f t="array" ref="AR56">SQRT(SUMSQ($AP15:$AP19-BG$18:BG$22)/COUNTA($AP15:$AP19-BG$18:BG$22))</f>
        <v>42.949785822789458</v>
      </c>
      <c r="AS56" s="22" cm="1">
        <f t="array" ref="AS56">SQRT(SUMSQ($AP15:$AP19-BH$18:BH$22)/COUNTA($AP15:$AP19-BH$18:BH$22))</f>
        <v>36.4684706526822</v>
      </c>
      <c r="AT56" s="20" cm="1">
        <f t="array" ref="AT56">SQRT(SUMSQ($AP15:$AP19-BI$18:BI$22)/COUNTA($AP15:$AP19-BI$18:BI$22))</f>
        <v>51.394036078970892</v>
      </c>
      <c r="AU56" s="10" cm="1">
        <f t="array" ref="AU56">SQRT(SUMSQ($AP15:$AP19-BJ$18:BJ$22)/COUNTA($AP15:$AP19-BJ$18:BJ$22))</f>
        <v>62.221478834627888</v>
      </c>
      <c r="AV56" s="22" cm="1">
        <f t="array" ref="AV56">SQRT(SUMSQ($AP15:$AP19-BK$18:BK$22)/COUNTA($AP15:$AP19-BK$18:BK$22))</f>
        <v>67.858954628256484</v>
      </c>
      <c r="AW56" s="22" cm="1">
        <f t="array" ref="AW56">SQRT(SUMSQ($AP15:$AP19-BL$18:BL$22)/COUNTA($AP15:$AP19-BL$18:BL$22))</f>
        <v>48.125449079969215</v>
      </c>
      <c r="AX56" s="91">
        <f t="shared" si="79"/>
        <v>35.018488100112151</v>
      </c>
      <c r="AY56" s="116">
        <f t="shared" si="77"/>
        <v>49.059105892751404</v>
      </c>
    </row>
    <row r="57" spans="2:51" x14ac:dyDescent="0.25">
      <c r="B57" s="12" t="s">
        <v>43</v>
      </c>
      <c r="C57" s="10">
        <f>C5/$H13</f>
        <v>11.50091557177068</v>
      </c>
      <c r="D57" s="10">
        <f t="shared" ref="D57:P57" si="81">D5/$H13</f>
        <v>11.50091557177068</v>
      </c>
      <c r="E57" s="10">
        <f t="shared" si="81"/>
        <v>23.001831143541359</v>
      </c>
      <c r="F57" s="10">
        <f t="shared" si="81"/>
        <v>23.001831143541359</v>
      </c>
      <c r="G57" s="10">
        <f t="shared" si="81"/>
        <v>5.7504577858853398</v>
      </c>
      <c r="H57" s="10">
        <f t="shared" si="81"/>
        <v>8.0865812614012587</v>
      </c>
      <c r="I57" s="10">
        <f t="shared" si="81"/>
        <v>23.001831143541359</v>
      </c>
      <c r="J57" s="10">
        <f t="shared" si="81"/>
        <v>11.50091557177068</v>
      </c>
      <c r="K57" s="10">
        <f t="shared" si="81"/>
        <v>11.50091557177068</v>
      </c>
      <c r="L57" s="10">
        <f t="shared" si="81"/>
        <v>23.001831143541359</v>
      </c>
      <c r="M57" s="10">
        <f t="shared" si="81"/>
        <v>5.7504577858853398</v>
      </c>
      <c r="N57" s="10">
        <f t="shared" si="81"/>
        <v>8.0865812614012587</v>
      </c>
      <c r="O57" s="10">
        <f t="shared" si="81"/>
        <v>11.50091557177068</v>
      </c>
      <c r="P57" s="10">
        <f t="shared" si="81"/>
        <v>8.0865812614012587</v>
      </c>
      <c r="R57" s="1"/>
      <c r="S57" s="10"/>
      <c r="T57" s="10"/>
      <c r="AH57" s="141"/>
      <c r="AI57" s="105" t="s">
        <v>39</v>
      </c>
      <c r="AJ57" s="44" cm="1">
        <f t="array" ref="AJ57">SQRT(SUMSQ($AQ15:$AQ19-AY$18:AY$22)/COUNTA($AQ15:$AQ19-AY$18:AY$22))</f>
        <v>54.100783062142462</v>
      </c>
      <c r="AK57" s="43" cm="1">
        <f t="array" ref="AK57">SQRT(SUMSQ($AQ15:$AQ19-AZ$18:AZ$22)/COUNTA($AQ15:$AQ19-AZ$18:AZ$22))</f>
        <v>54.100783062142462</v>
      </c>
      <c r="AL57" s="44" cm="1">
        <f t="array" ref="AL57">SQRT(SUMSQ($AQ15:$AQ19-BA$18:BA$22)/COUNTA($AQ15:$AQ19-BA$18:BA$22))</f>
        <v>62.927909734330164</v>
      </c>
      <c r="AM57" s="45" cm="1">
        <f t="array" ref="AM57">SQRT(SUMSQ($AQ15:$AQ19-BB$18:BB$22)/COUNTA($AQ15:$AQ19-BB$18:BB$22))</f>
        <v>62.927909734330164</v>
      </c>
      <c r="AN57" s="43" cm="1">
        <f t="array" ref="AN57">SQRT(SUMSQ($AQ15:$AQ19-BC$18:BC$22)/COUNTA($AQ15:$AQ19-BC$18:BC$22))</f>
        <v>24.852988496428154</v>
      </c>
      <c r="AO57" s="44" cm="1">
        <f t="array" ref="AO57">SQRT(SUMSQ($AQ15:$AQ19-BD$18:BD$22)/COUNTA($AQ15:$AQ19-BD$18:BD$22))</f>
        <v>40.842069810845935</v>
      </c>
      <c r="AP57" s="45" cm="1">
        <f t="array" ref="AP57">SQRT(SUMSQ($AQ15:$AQ19-BE$18:BE$22)/COUNTA($AQ15:$AQ19-BE$18:BE$22))</f>
        <v>62.927909734330164</v>
      </c>
      <c r="AQ57" s="43" cm="1">
        <f t="array" ref="AQ57">SQRT(SUMSQ($AQ15:$AQ19-BF$18:BF$22)/COUNTA($AQ15:$AQ19-BF$18:BF$22))</f>
        <v>41.836027588658929</v>
      </c>
      <c r="AR57" s="44" cm="1">
        <f t="array" ref="AR57">SQRT(SUMSQ($AQ15:$AQ19-BG$18:BG$22)/COUNTA($AQ15:$AQ19-BG$18:BG$22))</f>
        <v>49.418819672985514</v>
      </c>
      <c r="AS57" s="45" cm="1">
        <f t="array" ref="AS57">SQRT(SUMSQ($AQ15:$AQ19-BH$18:BH$22)/COUNTA($AQ15:$AQ19-BH$18:BH$22))</f>
        <v>58.951224189715212</v>
      </c>
      <c r="AT57" s="43" cm="1">
        <f t="array" ref="AT57">SQRT(SUMSQ($AQ15:$AQ19-BI$18:BI$22)/COUNTA($AQ15:$AQ19-BI$18:BI$22))</f>
        <v>31.896919649353393</v>
      </c>
      <c r="AU57" s="124" cm="1">
        <f t="array" ref="AU57">SQRT(SUMSQ($AQ15:$AQ19-BJ$18:BJ$22)/COUNTA($AQ15:$AQ19-BJ$18:BJ$22))</f>
        <v>20.403445396540359</v>
      </c>
      <c r="AV57" s="45" cm="1">
        <f t="array" ref="AV57">SQRT(SUMSQ($AQ15:$AQ19-BK$18:BK$22)/COUNTA($AQ15:$AQ19-BK$18:BK$22))</f>
        <v>36.506752317687031</v>
      </c>
      <c r="AW57" s="45" cm="1">
        <f t="array" ref="AW57">SQRT(SUMSQ($AQ15:$AQ19-BL$18:BL$22)/COUNTA($AQ15:$AQ19-BL$18:BL$22))</f>
        <v>39.82374304949689</v>
      </c>
      <c r="AX57" s="91">
        <f t="shared" si="79"/>
        <v>20.403445396540359</v>
      </c>
      <c r="AY57" s="116">
        <f t="shared" si="77"/>
        <v>46.284118649960774</v>
      </c>
    </row>
    <row r="58" spans="2:51" x14ac:dyDescent="0.25">
      <c r="B58" s="12" t="s">
        <v>44</v>
      </c>
      <c r="C58" s="10">
        <f>C6/$H14</f>
        <v>1.7169151241533349</v>
      </c>
      <c r="D58" s="10">
        <f t="shared" ref="D58:P58" si="82">D6/$H14</f>
        <v>1.7169151241533349</v>
      </c>
      <c r="E58" s="10">
        <f t="shared" si="82"/>
        <v>1.7169151241533349</v>
      </c>
      <c r="F58" s="10">
        <f t="shared" si="82"/>
        <v>1.7169151241533349</v>
      </c>
      <c r="G58" s="10">
        <f t="shared" si="82"/>
        <v>0.60360297333515678</v>
      </c>
      <c r="H58" s="10">
        <f t="shared" si="82"/>
        <v>0.42922878103833373</v>
      </c>
      <c r="I58" s="10">
        <f t="shared" si="82"/>
        <v>1.7169151241533349</v>
      </c>
      <c r="J58" s="10">
        <f t="shared" si="82"/>
        <v>0.85845756207666746</v>
      </c>
      <c r="K58" s="10">
        <f t="shared" si="82"/>
        <v>1.7169151241533349</v>
      </c>
      <c r="L58" s="10">
        <f t="shared" si="82"/>
        <v>1.7169151241533349</v>
      </c>
      <c r="M58" s="10">
        <f t="shared" si="82"/>
        <v>0.85845756207666746</v>
      </c>
      <c r="N58" s="10">
        <f t="shared" si="82"/>
        <v>0.42922878103833373</v>
      </c>
      <c r="O58" s="10">
        <f t="shared" si="82"/>
        <v>0.42922878103833373</v>
      </c>
      <c r="P58" s="10">
        <f t="shared" si="82"/>
        <v>0.85845756207666746</v>
      </c>
      <c r="R58" s="1"/>
      <c r="S58" s="10"/>
      <c r="T58" s="10"/>
      <c r="AH58" s="141" t="s">
        <v>117</v>
      </c>
      <c r="AI58" s="83" t="s">
        <v>41</v>
      </c>
      <c r="AJ58" s="103" cm="1">
        <f t="array" ref="AJ58">SQRT(SUMSQ($AR15:$AR19-AY$18:AY$22)/COUNTA($AR15:$AR19-AY$18:AY$22))</f>
        <v>105.34348501728141</v>
      </c>
      <c r="AK58" s="102" cm="1">
        <f t="array" ref="AK58">SQRT(SUMSQ($AR15:$AR19-AZ$18:AZ$22)/COUNTA($AR15:$AR19-AZ$18:AZ$22))</f>
        <v>105.34348501728141</v>
      </c>
      <c r="AL58" s="103" cm="1">
        <f t="array" ref="AL58">SQRT(SUMSQ($AR15:$AR19-BA$18:BA$22)/COUNTA($AR15:$AR19-BA$18:BA$22))</f>
        <v>83.626228021831423</v>
      </c>
      <c r="AM58" s="101" cm="1">
        <f t="array" ref="AM58">SQRT(SUMSQ($AR15:$AR19-BB$18:BB$22)/COUNTA($AR15:$AR19-BB$18:BB$22))</f>
        <v>83.626228021831423</v>
      </c>
      <c r="AN58" s="102" cm="1">
        <f t="array" ref="AN58">SQRT(SUMSQ($AR15:$AR19-BC$18:BC$22)/COUNTA($AR15:$AR19-BC$18:BC$22))</f>
        <v>131.60500485704497</v>
      </c>
      <c r="AO58" s="103" cm="1">
        <f t="array" ref="AO58">SQRT(SUMSQ($AR15:$AR19-BD$18:BD$22)/COUNTA($AR15:$AR19-BD$18:BD$22))</f>
        <v>129.22138326012953</v>
      </c>
      <c r="AP58" s="101" cm="1">
        <f t="array" ref="AP58">SQRT(SUMSQ($AR15:$AR19-BE$18:BE$22)/COUNTA($AR15:$AR19-BE$18:BE$22))</f>
        <v>83.626228021831423</v>
      </c>
      <c r="AQ58" s="102" cm="1">
        <f t="array" ref="AQ58">SQRT(SUMSQ($AR15:$AR19-BF$18:BF$22)/COUNTA($AR15:$AR19-BF$18:BF$22))</f>
        <v>108.67596920105989</v>
      </c>
      <c r="AR58" s="103" cm="1">
        <f t="array" ref="AR58">SQRT(SUMSQ($AR15:$AR19-BG$18:BG$22)/COUNTA($AR15:$AR19-BG$18:BG$22))</f>
        <v>105.45749957181042</v>
      </c>
      <c r="AS58" s="101" cm="1">
        <f t="array" ref="AS58">SQRT(SUMSQ($AR15:$AR19-BH$18:BH$22)/COUNTA($AR15:$AR19-BH$18:BH$22))</f>
        <v>83.769805977521173</v>
      </c>
      <c r="AT58" s="102" cm="1">
        <f t="array" ref="AT58">SQRT(SUMSQ($AR15:$AR19-BI$18:BI$22)/COUNTA($AR15:$AR19-BI$18:BI$22))</f>
        <v>111.48638969067076</v>
      </c>
      <c r="AU58" s="103" cm="1">
        <f t="array" ref="AU58">SQRT(SUMSQ($AR15:$AR19-BJ$18:BJ$22)/COUNTA($AR15:$AR19-BJ$18:BJ$22))</f>
        <v>119.94515299223356</v>
      </c>
      <c r="AV58" s="101" cm="1">
        <f t="array" ref="AV58">SQRT(SUMSQ($AR15:$AR19-BK$18:BK$22)/COUNTA($AR15:$AR19-BK$18:BK$22))</f>
        <v>126.48762625914432</v>
      </c>
      <c r="AW58" s="101" cm="1">
        <f t="array" ref="AW58">SQRT(SUMSQ($AR15:$AR19-BL$18:BL$22)/COUNTA($AR15:$AR19-BL$18:BL$22))</f>
        <v>112.11044091816844</v>
      </c>
      <c r="AX58" s="91">
        <f t="shared" si="79"/>
        <v>83.626228021831423</v>
      </c>
      <c r="AY58" s="116">
        <f t="shared" si="77"/>
        <v>106.01649891612858</v>
      </c>
    </row>
    <row r="59" spans="2:51" x14ac:dyDescent="0.25">
      <c r="B59" s="12" t="s">
        <v>71</v>
      </c>
      <c r="C59" s="10">
        <f>C7/$H15</f>
        <v>23.001831143541359</v>
      </c>
      <c r="D59" s="10">
        <f t="shared" ref="D59:P59" si="83">D7/$H15</f>
        <v>23.001831143541359</v>
      </c>
      <c r="E59" s="10">
        <f t="shared" si="83"/>
        <v>23.001831143541359</v>
      </c>
      <c r="F59" s="10">
        <f t="shared" si="83"/>
        <v>23.001831143541359</v>
      </c>
      <c r="G59" s="10">
        <f t="shared" si="83"/>
        <v>5.7504577858853398</v>
      </c>
      <c r="H59" s="10">
        <f t="shared" si="83"/>
        <v>7.5474758439745084</v>
      </c>
      <c r="I59" s="10">
        <f t="shared" si="83"/>
        <v>23.001831143541359</v>
      </c>
      <c r="J59" s="10">
        <f t="shared" si="83"/>
        <v>23.001831143541359</v>
      </c>
      <c r="K59" s="10">
        <f t="shared" si="83"/>
        <v>23.001831143541359</v>
      </c>
      <c r="L59" s="10">
        <f t="shared" si="83"/>
        <v>23.001831143541359</v>
      </c>
      <c r="M59" s="10">
        <f t="shared" si="83"/>
        <v>23.001831143541359</v>
      </c>
      <c r="N59" s="10">
        <f t="shared" si="83"/>
        <v>11.50091557177068</v>
      </c>
      <c r="O59" s="10">
        <f t="shared" si="83"/>
        <v>5.7504577858853398</v>
      </c>
      <c r="P59" s="10">
        <f t="shared" si="83"/>
        <v>23.001831143541359</v>
      </c>
      <c r="R59" s="1"/>
      <c r="S59" s="10"/>
      <c r="T59" s="10"/>
      <c r="AH59" s="141"/>
      <c r="AI59" s="71" t="s">
        <v>40</v>
      </c>
      <c r="AJ59" s="10" cm="1">
        <f t="array" ref="AJ59">SQRT(SUMSQ($AS15:$AS19-AY$18:AY$22)/COUNTA($AS15:$AS19-AY$18:AY$22))</f>
        <v>62.332675777275853</v>
      </c>
      <c r="AK59" s="20" cm="1">
        <f t="array" ref="AK59">SQRT(SUMSQ($AS15:$AS19-AZ$18:AZ$22)/COUNTA($AS15:$AS19-AZ$18:AZ$22))</f>
        <v>62.332675777275853</v>
      </c>
      <c r="AL59" s="10" cm="1">
        <f t="array" ref="AL59">SQRT(SUMSQ($AS15:$AS19-BA$18:BA$22)/COUNTA($AS15:$AS19-BA$18:BA$22))</f>
        <v>49.103021502683013</v>
      </c>
      <c r="AM59" s="22" cm="1">
        <f t="array" ref="AM59">SQRT(SUMSQ($AS15:$AS19-BB$18:BB$22)/COUNTA($AS15:$AS19-BB$18:BB$22))</f>
        <v>49.103021502683013</v>
      </c>
      <c r="AN59" s="20" cm="1">
        <f t="array" ref="AN59">SQRT(SUMSQ($AS15:$AS19-BC$18:BC$22)/COUNTA($AS15:$AS19-BC$18:BC$22))</f>
        <v>105.96197800869228</v>
      </c>
      <c r="AO59" s="10" cm="1">
        <f t="array" ref="AO59">SQRT(SUMSQ($AS15:$AS19-BD$18:BD$22)/COUNTA($AS15:$AS19-BD$18:BD$22))</f>
        <v>97.991798798414223</v>
      </c>
      <c r="AP59" s="22" cm="1">
        <f t="array" ref="AP59">SQRT(SUMSQ($AS15:$AS19-BE$18:BE$22)/COUNTA($AS15:$AS19-BE$18:BE$22))</f>
        <v>49.103021502683013</v>
      </c>
      <c r="AQ59" s="20" cm="1">
        <f t="array" ref="AQ59">SQRT(SUMSQ($AS15:$AS19-BF$18:BF$22)/COUNTA($AS15:$AS19-BF$18:BF$22))</f>
        <v>80.881876593895058</v>
      </c>
      <c r="AR59" s="10" cm="1">
        <f t="array" ref="AR59">SQRT(SUMSQ($AS15:$AS19-BG$18:BG$22)/COUNTA($AS15:$AS19-BG$18:BG$22))</f>
        <v>67.48235245889181</v>
      </c>
      <c r="AS59" s="22" cm="1">
        <f t="array" ref="AS59">SQRT(SUMSQ($AS15:$AS19-BH$18:BH$22)/COUNTA($AS15:$AS19-BH$18:BH$22))</f>
        <v>55.494253256747761</v>
      </c>
      <c r="AT59" s="20" cm="1">
        <f t="array" ref="AT59">SQRT(SUMSQ($AS15:$AS19-BI$18:BI$22)/COUNTA($AS15:$AS19-BI$18:BI$22))</f>
        <v>82.25953931413305</v>
      </c>
      <c r="AU59" s="10" cm="1">
        <f t="array" ref="AU59">SQRT(SUMSQ($AS15:$AS19-BJ$18:BJ$22)/COUNTA($AS15:$AS19-BJ$18:BJ$22))</f>
        <v>97.970355746288931</v>
      </c>
      <c r="AV59" s="22" cm="1">
        <f t="array" ref="AV59">SQRT(SUMSQ($AS15:$AS19-BK$18:BK$22)/COUNTA($AS15:$AS19-BK$18:BK$22))</f>
        <v>101.70109423360199</v>
      </c>
      <c r="AW59" s="22" cm="1">
        <f t="array" ref="AW59">SQRT(SUMSQ($AS15:$AS19-BL$18:BL$22)/COUNTA($AS15:$AS19-BL$18:BL$22))</f>
        <v>75.870260820650202</v>
      </c>
      <c r="AX59" s="91">
        <f t="shared" si="79"/>
        <v>49.103021502683013</v>
      </c>
      <c r="AY59" s="116">
        <f t="shared" si="77"/>
        <v>73.978281882558917</v>
      </c>
    </row>
    <row r="60" spans="2:51" x14ac:dyDescent="0.25">
      <c r="B60" s="12" t="s">
        <v>97</v>
      </c>
      <c r="C60" s="10">
        <f>C8/$H16</f>
        <v>2.1132018348086747</v>
      </c>
      <c r="D60" s="10">
        <f t="shared" ref="D60:P60" si="84">D8/$H16</f>
        <v>2.1132018348086747</v>
      </c>
      <c r="E60" s="10">
        <f t="shared" si="84"/>
        <v>2.1132018348086747</v>
      </c>
      <c r="F60" s="10">
        <f t="shared" si="84"/>
        <v>2.1132018348086747</v>
      </c>
      <c r="G60" s="10">
        <f t="shared" si="84"/>
        <v>1.4858450400998495</v>
      </c>
      <c r="H60" s="10">
        <f t="shared" si="84"/>
        <v>2.1132018348086747</v>
      </c>
      <c r="I60" s="10">
        <f t="shared" si="84"/>
        <v>2.1132018348086747</v>
      </c>
      <c r="J60" s="10">
        <f t="shared" si="84"/>
        <v>2.1132018348086747</v>
      </c>
      <c r="K60" s="10">
        <f t="shared" si="84"/>
        <v>2.1132018348086747</v>
      </c>
      <c r="L60" s="10">
        <f t="shared" si="84"/>
        <v>2.1132018348086747</v>
      </c>
      <c r="M60" s="10">
        <f t="shared" si="84"/>
        <v>0.52830045870216868</v>
      </c>
      <c r="N60" s="10">
        <f t="shared" si="84"/>
        <v>0.52830045870216868</v>
      </c>
      <c r="O60" s="10">
        <f t="shared" si="84"/>
        <v>2.1132018348086747</v>
      </c>
      <c r="P60" s="10">
        <f t="shared" si="84"/>
        <v>2.1132018348086747</v>
      </c>
      <c r="R60" s="1"/>
      <c r="S60" s="10"/>
      <c r="T60" s="10"/>
      <c r="AH60" s="141"/>
      <c r="AI60" s="105" t="s">
        <v>39</v>
      </c>
      <c r="AJ60" s="44" cm="1">
        <f t="array" ref="AJ60">SQRT(SUMSQ($AT15:$AT19-AY$18:AY$22)/COUNTA($AT15:$AT19-AY$18:AY$22))</f>
        <v>50.458278818450339</v>
      </c>
      <c r="AK60" s="43" cm="1">
        <f t="array" ref="AK60">SQRT(SUMSQ($AT15:$AT19-AZ$18:AZ$22)/COUNTA($AT15:$AT19-AZ$18:AZ$22))</f>
        <v>50.458278818450339</v>
      </c>
      <c r="AL60" s="44" cm="1">
        <f t="array" ref="AL60">SQRT(SUMSQ($AT15:$AT19-BA$18:BA$22)/COUNTA($AT15:$AT19-BA$18:BA$22))</f>
        <v>61.845588756398527</v>
      </c>
      <c r="AM60" s="45" cm="1">
        <f t="array" ref="AM60">SQRT(SUMSQ($AT15:$AT19-BB$18:BB$22)/COUNTA($AT15:$AT19-BB$18:BB$22))</f>
        <v>61.845588756398527</v>
      </c>
      <c r="AN60" s="43" cm="1">
        <f t="array" ref="AN60">SQRT(SUMSQ($AT15:$AT19-BC$18:BC$22)/COUNTA($AT15:$AT19-BC$18:BC$22))</f>
        <v>29.42912812826394</v>
      </c>
      <c r="AO60" s="44" cm="1">
        <f t="array" ref="AO60">SQRT(SUMSQ($AT15:$AT19-BD$18:BD$22)/COUNTA($AT15:$AT19-BD$18:BD$22))</f>
        <v>36.904925272874415</v>
      </c>
      <c r="AP60" s="45" cm="1">
        <f t="array" ref="AP60">SQRT(SUMSQ($AT15:$AT19-BE$18:BE$22)/COUNTA($AT15:$AT19-BE$18:BE$22))</f>
        <v>61.845588756398527</v>
      </c>
      <c r="AQ60" s="43" cm="1">
        <f t="array" ref="AQ60">SQRT(SUMSQ($AT15:$AT19-BF$18:BF$22)/COUNTA($AT15:$AT19-BF$18:BF$22))</f>
        <v>45.174857088116461</v>
      </c>
      <c r="AR60" s="44" cm="1">
        <f t="array" ref="AR60">SQRT(SUMSQ($AT15:$AT19-BG$18:BG$22)/COUNTA($AT15:$AT19-BG$18:BG$22))</f>
        <v>48.953574441182049</v>
      </c>
      <c r="AS60" s="45" cm="1">
        <f t="array" ref="AS60">SQRT(SUMSQ($AT15:$AT19-BH$18:BH$22)/COUNTA($AT15:$AT19-BH$18:BH$22))</f>
        <v>60.624181626422363</v>
      </c>
      <c r="AT60" s="43" cm="1">
        <f t="array" ref="AT60">SQRT(SUMSQ($AT15:$AT19-BI$18:BI$22)/COUNTA($AT15:$AT19-BI$18:BI$22))</f>
        <v>34.188899640444646</v>
      </c>
      <c r="AU60" s="44" cm="1">
        <f t="array" ref="AU60">SQRT(SUMSQ($AT15:$AT19-BJ$18:BJ$22)/COUNTA($AT15:$AT19-BJ$18:BJ$22))</f>
        <v>27.773374503212679</v>
      </c>
      <c r="AV60" s="45" cm="1">
        <f t="array" ref="AV60">SQRT(SUMSQ($AT15:$AT19-BK$18:BK$22)/COUNTA($AT15:$AT19-BK$18:BK$22))</f>
        <v>38.367530069240892</v>
      </c>
      <c r="AW60" s="45" cm="1">
        <f t="array" ref="AW60">SQRT(SUMSQ($AT15:$AT19-BL$18:BL$22)/COUNTA($AT15:$AT19-BL$18:BL$22))</f>
        <v>37.505373825825274</v>
      </c>
      <c r="AX60" s="91">
        <f t="shared" si="79"/>
        <v>27.773374503212679</v>
      </c>
      <c r="AY60" s="116">
        <f t="shared" si="77"/>
        <v>46.759214975065667</v>
      </c>
    </row>
    <row r="61" spans="2:51" x14ac:dyDescent="0.25">
      <c r="B61" s="136" t="s">
        <v>86</v>
      </c>
      <c r="C61" s="136"/>
      <c r="D61" s="140" t="s">
        <v>76</v>
      </c>
      <c r="E61" s="140"/>
      <c r="F61" s="140"/>
      <c r="G61" s="140" t="s">
        <v>77</v>
      </c>
      <c r="H61" s="140"/>
      <c r="I61" s="140"/>
      <c r="J61" s="140" t="s">
        <v>76</v>
      </c>
      <c r="K61" s="140"/>
      <c r="L61" s="140"/>
      <c r="M61" s="140" t="s">
        <v>77</v>
      </c>
      <c r="N61" s="140"/>
      <c r="O61" s="140"/>
      <c r="AI61" s="123" t="s">
        <v>68</v>
      </c>
      <c r="AJ61" s="103" cm="1">
        <f t="array" ref="AJ61">SQRT(SUMSQ($AU15:$AU19-AY$18:AY$22)/COUNTA($AU15:$AU19-AY$18:AY$22))</f>
        <v>86.657403125413637</v>
      </c>
      <c r="AK61" s="102" cm="1">
        <f t="array" ref="AK61">SQRT(SUMSQ($AU15:$AU19-AZ$18:AZ$22)/COUNTA($AU15:$AU19-AZ$18:AZ$22))</f>
        <v>86.657403125413637</v>
      </c>
      <c r="AL61" s="103" cm="1">
        <f t="array" ref="AL61">SQRT(SUMSQ($AU15:$AU19-BA$18:BA$22)/COUNTA($AU15:$AU19-BA$18:BA$22))</f>
        <v>71.973509717651794</v>
      </c>
      <c r="AM61" s="101" cm="1">
        <f t="array" ref="AM61">SQRT(SUMSQ($AU15:$AU19-BB$18:BB$22)/COUNTA($AU15:$AU19-BB$18:BB$22))</f>
        <v>71.973509717651794</v>
      </c>
      <c r="AN61" s="102" cm="1">
        <f t="array" ref="AN61">SQRT(SUMSQ($AU15:$AU19-BC$18:BC$22)/COUNTA($AU15:$AU19-BC$18:BC$22))</f>
        <v>77.313128800885906</v>
      </c>
      <c r="AO61" s="103" cm="1">
        <f t="array" ref="AO61">SQRT(SUMSQ($AU15:$AU19-BD$18:BD$22)/COUNTA($AU15:$AU19-BD$18:BD$22))</f>
        <v>85.946868554919334</v>
      </c>
      <c r="AP61" s="101" cm="1">
        <f t="array" ref="AP61">SQRT(SUMSQ($AU15:$AU19-BE$18:BE$22)/COUNTA($AU15:$AU19-BE$18:BE$22))</f>
        <v>71.973509717651794</v>
      </c>
      <c r="AQ61" s="102" cm="1">
        <f t="array" ref="AQ61">SQRT(SUMSQ($AU15:$AU19-BF$18:BF$22)/COUNTA($AU15:$AU19-BF$18:BF$22))</f>
        <v>73.654401299932445</v>
      </c>
      <c r="AR61" s="103" cm="1">
        <f t="array" ref="AR61">SQRT(SUMSQ($AU15:$AU19-BG$18:BG$22)/COUNTA($AU15:$AU19-BG$18:BG$22))</f>
        <v>81.597671605125313</v>
      </c>
      <c r="AS61" s="101" cm="1">
        <f t="array" ref="AS61">SQRT(SUMSQ($AU15:$AU19-BH$18:BH$22)/COUNTA($AU15:$AU19-BH$18:BH$22))</f>
        <v>65.794077210751595</v>
      </c>
      <c r="AT61" s="102" cm="1">
        <f t="array" ref="AT61">SQRT(SUMSQ($AU15:$AU19-BI$18:BI$22)/COUNTA($AU15:$AU19-BI$18:BI$22))</f>
        <v>74.450031270699355</v>
      </c>
      <c r="AU61" s="103" cm="1">
        <f t="array" ref="AU61">SQRT(SUMSQ($AU15:$AU19-BJ$18:BJ$22)/COUNTA($AU15:$AU19-BJ$18:BJ$22))</f>
        <v>66.598845148293435</v>
      </c>
      <c r="AV61" s="101" cm="1">
        <f t="array" ref="AV61">SQRT(SUMSQ($AU15:$AU19-BK$18:BK$22)/COUNTA($AU15:$AU19-BK$18:BK$22))</f>
        <v>75.719532697852827</v>
      </c>
      <c r="AW61" s="101" cm="1">
        <f t="array" ref="AW61">SQRT(SUMSQ($AU15:$AU19-BL$18:BL$22)/COUNTA($AU15:$AU19-BL$18:BL$22))</f>
        <v>81.810978216274535</v>
      </c>
      <c r="AX61" s="91">
        <f t="shared" si="79"/>
        <v>65.794077210751595</v>
      </c>
      <c r="AY61" s="116">
        <f t="shared" si="77"/>
        <v>76.177683999403314</v>
      </c>
    </row>
    <row r="62" spans="2:51" x14ac:dyDescent="0.25">
      <c r="B62" t="s">
        <v>80</v>
      </c>
      <c r="C62" s="1" t="s">
        <v>70</v>
      </c>
      <c r="D62" s="1" t="s">
        <v>73</v>
      </c>
      <c r="E62" s="1" t="s">
        <v>74</v>
      </c>
      <c r="F62" s="1" t="s">
        <v>75</v>
      </c>
      <c r="G62" s="1" t="s">
        <v>73</v>
      </c>
      <c r="H62" s="1" t="s">
        <v>74</v>
      </c>
      <c r="I62" s="1" t="s">
        <v>75</v>
      </c>
      <c r="J62" s="1" t="s">
        <v>73</v>
      </c>
      <c r="K62" s="1" t="s">
        <v>74</v>
      </c>
      <c r="L62" s="1" t="s">
        <v>75</v>
      </c>
      <c r="M62" s="1" t="s">
        <v>73</v>
      </c>
      <c r="N62" s="1" t="s">
        <v>74</v>
      </c>
      <c r="O62" s="1" t="s">
        <v>75</v>
      </c>
      <c r="P62" s="1" t="s">
        <v>78</v>
      </c>
      <c r="R62" s="1"/>
      <c r="S62" s="1"/>
      <c r="T62" s="1"/>
      <c r="AI62" s="87" t="s">
        <v>67</v>
      </c>
      <c r="AJ62" s="44" cm="1">
        <f t="array" ref="AJ62">SQRT(SUMSQ($AV15:$AV19-AY$18:AY$22)/COUNTA($AV15:$AV19-AY$18:AY$22))</f>
        <v>102.58075001184706</v>
      </c>
      <c r="AK62" s="43" cm="1">
        <f t="array" ref="AK62">SQRT(SUMSQ($AV15:$AV19-AZ$18:AZ$22)/COUNTA($AV15:$AV19-AZ$18:AZ$22))</f>
        <v>102.58075001184706</v>
      </c>
      <c r="AL62" s="44" cm="1">
        <f t="array" ref="AL62">SQRT(SUMSQ($AV15:$AV19-BA$18:BA$22)/COUNTA($AV15:$AV19-BA$18:BA$22))</f>
        <v>80.833265610331509</v>
      </c>
      <c r="AM62" s="45" cm="1">
        <f t="array" ref="AM62">SQRT(SUMSQ($AV15:$AV19-BB$18:BB$22)/COUNTA($AV15:$AV19-BB$18:BB$22))</f>
        <v>80.833265610331509</v>
      </c>
      <c r="AN62" s="43" cm="1">
        <f t="array" ref="AN62">SQRT(SUMSQ($AV15:$AV19-BC$18:BC$22)/COUNTA($AV15:$AV19-BC$18:BC$22))</f>
        <v>105.93417703391444</v>
      </c>
      <c r="AO62" s="44" cm="1">
        <f t="array" ref="AO62">SQRT(SUMSQ($AV15:$AV19-BD$18:BD$22)/COUNTA($AV15:$AV19-BD$18:BD$22))</f>
        <v>109.23833894796088</v>
      </c>
      <c r="AP62" s="45" cm="1">
        <f t="array" ref="AP62">SQRT(SUMSQ($AV15:$AV19-BE$18:BE$22)/COUNTA($AV15:$AV19-BE$18:BE$22))</f>
        <v>80.833265610331509</v>
      </c>
      <c r="AQ62" s="43" cm="1">
        <f t="array" ref="AQ62">SQRT(SUMSQ($AV15:$AV19-BF$18:BF$22)/COUNTA($AV15:$AV19-BF$18:BF$22))</f>
        <v>95.321036598879317</v>
      </c>
      <c r="AR62" s="44" cm="1">
        <f t="array" ref="AR62">SQRT(SUMSQ($AV15:$AV19-BG$18:BG$22)/COUNTA($AV15:$AV19-BG$18:BG$22))</f>
        <v>99.172144376013478</v>
      </c>
      <c r="AS62" s="45" cm="1">
        <f t="array" ref="AS62">SQRT(SUMSQ($AV15:$AV19-BH$18:BH$22)/COUNTA($AV15:$AV19-BH$18:BH$22))</f>
        <v>76.461237083728903</v>
      </c>
      <c r="AT62" s="43" cm="1">
        <f t="array" ref="AT62">SQRT(SUMSQ($AV15:$AV19-BI$18:BI$22)/COUNTA($AV15:$AV19-BI$18:BI$22))</f>
        <v>100.58949543059759</v>
      </c>
      <c r="AU62" s="44" cm="1">
        <f t="array" ref="AU62">SQRT(SUMSQ($AV15:$AV19-BJ$18:BJ$22)/COUNTA($AV15:$AV19-BJ$18:BJ$22))</f>
        <v>96.359426479338168</v>
      </c>
      <c r="AV62" s="45" cm="1">
        <f t="array" ref="AV62">SQRT(SUMSQ($AV15:$AV19-BK$18:BK$22)/COUNTA($AV15:$AV19-BK$18:BK$22))</f>
        <v>100.22604686574772</v>
      </c>
      <c r="AW62" s="45" cm="1">
        <f t="array" ref="AW62">SQRT(SUMSQ($AV15:$AV19-BL$18:BL$22)/COUNTA($AV15:$AV19-BL$18:BL$22))</f>
        <v>103.21361332983194</v>
      </c>
      <c r="AX62" s="91">
        <f t="shared" si="79"/>
        <v>76.461237083728903</v>
      </c>
      <c r="AY62" s="116">
        <f t="shared" si="77"/>
        <v>94.689476897759178</v>
      </c>
    </row>
    <row r="63" spans="2:51" x14ac:dyDescent="0.25">
      <c r="B63" s="12" t="s">
        <v>42</v>
      </c>
      <c r="C63" s="10">
        <f>C4/$I12</f>
        <v>3.7282422779363467</v>
      </c>
      <c r="D63" s="10">
        <f t="shared" ref="D63:P63" si="85">D4/$I12</f>
        <v>3.7282422779363467</v>
      </c>
      <c r="E63" s="10">
        <f t="shared" si="85"/>
        <v>3.7282422779363467</v>
      </c>
      <c r="F63" s="10">
        <f t="shared" si="85"/>
        <v>3.7282422779363467</v>
      </c>
      <c r="G63" s="10">
        <f t="shared" si="85"/>
        <v>1.8641211389681733</v>
      </c>
      <c r="H63" s="10">
        <f t="shared" si="85"/>
        <v>3.7282422779363467</v>
      </c>
      <c r="I63" s="10">
        <f t="shared" si="85"/>
        <v>3.7282422779363467</v>
      </c>
      <c r="J63" s="10">
        <f t="shared" si="85"/>
        <v>1.3107101758369968</v>
      </c>
      <c r="K63" s="10">
        <f t="shared" si="85"/>
        <v>2.6214203516739936</v>
      </c>
      <c r="L63" s="10">
        <f t="shared" si="85"/>
        <v>2.6214203516739936</v>
      </c>
      <c r="M63" s="10">
        <f t="shared" si="85"/>
        <v>1.3107101758369968</v>
      </c>
      <c r="N63" s="10">
        <f t="shared" si="85"/>
        <v>1.3107101758369968</v>
      </c>
      <c r="O63" s="10">
        <f t="shared" si="85"/>
        <v>2.6214203516739936</v>
      </c>
      <c r="P63" s="10">
        <f t="shared" si="85"/>
        <v>2.6214203516739936</v>
      </c>
      <c r="R63" s="1"/>
      <c r="S63" s="10"/>
      <c r="T63" s="10"/>
      <c r="AI63" s="113" t="s">
        <v>93</v>
      </c>
      <c r="AJ63" s="91">
        <f>MIN(AJ51:AJ62)</f>
        <v>41.725642706801288</v>
      </c>
      <c r="AK63" s="91">
        <f t="shared" ref="AK63:AW63" si="86">MIN(AK51:AK62)</f>
        <v>41.725642706801288</v>
      </c>
      <c r="AL63" s="91">
        <f t="shared" si="86"/>
        <v>35.018488100112151</v>
      </c>
      <c r="AM63" s="91">
        <f t="shared" si="86"/>
        <v>35.018488100112151</v>
      </c>
      <c r="AN63" s="91">
        <f t="shared" si="86"/>
        <v>9.0245672684626825</v>
      </c>
      <c r="AO63" s="91">
        <f t="shared" si="86"/>
        <v>34.739787359495843</v>
      </c>
      <c r="AP63" s="91">
        <f t="shared" si="86"/>
        <v>35.018488100112151</v>
      </c>
      <c r="AQ63" s="91">
        <f t="shared" si="86"/>
        <v>41.836027588658929</v>
      </c>
      <c r="AR63" s="91">
        <f t="shared" si="86"/>
        <v>42.949785822789458</v>
      </c>
      <c r="AS63" s="91">
        <f t="shared" si="86"/>
        <v>36.4684706526822</v>
      </c>
      <c r="AT63" s="91">
        <f t="shared" si="86"/>
        <v>31.896919649353393</v>
      </c>
      <c r="AU63" s="91">
        <f t="shared" si="86"/>
        <v>17.333373815021766</v>
      </c>
      <c r="AV63" s="91">
        <f t="shared" si="86"/>
        <v>28.545108774519317</v>
      </c>
      <c r="AW63" s="91">
        <f t="shared" si="86"/>
        <v>37.505373825825274</v>
      </c>
    </row>
    <row r="64" spans="2:51" x14ac:dyDescent="0.25">
      <c r="B64" s="12" t="s">
        <v>43</v>
      </c>
      <c r="C64" s="10">
        <f>C5/$I13</f>
        <v>5.1495928342935233</v>
      </c>
      <c r="D64" s="10">
        <f t="shared" ref="D64:P64" si="87">D5/$I13</f>
        <v>5.1495928342935233</v>
      </c>
      <c r="E64" s="10">
        <f t="shared" si="87"/>
        <v>10.299185668587047</v>
      </c>
      <c r="F64" s="10">
        <f t="shared" si="87"/>
        <v>10.299185668587047</v>
      </c>
      <c r="G64" s="10">
        <f t="shared" si="87"/>
        <v>2.5747964171467617</v>
      </c>
      <c r="H64" s="10">
        <f t="shared" si="87"/>
        <v>3.6208074616126336</v>
      </c>
      <c r="I64" s="10">
        <f t="shared" si="87"/>
        <v>10.299185668587047</v>
      </c>
      <c r="J64" s="10">
        <f t="shared" si="87"/>
        <v>5.1495928342935233</v>
      </c>
      <c r="K64" s="10">
        <f t="shared" si="87"/>
        <v>5.1495928342935233</v>
      </c>
      <c r="L64" s="10">
        <f t="shared" si="87"/>
        <v>10.299185668587047</v>
      </c>
      <c r="M64" s="10">
        <f t="shared" si="87"/>
        <v>2.5747964171467617</v>
      </c>
      <c r="N64" s="10">
        <f t="shared" si="87"/>
        <v>3.6208074616126336</v>
      </c>
      <c r="O64" s="10">
        <f t="shared" si="87"/>
        <v>5.1495928342935233</v>
      </c>
      <c r="P64" s="10">
        <f t="shared" si="87"/>
        <v>3.6208074616126336</v>
      </c>
      <c r="R64" s="1"/>
      <c r="S64" s="10"/>
      <c r="T64" s="10"/>
    </row>
    <row r="65" spans="2:20" x14ac:dyDescent="0.25">
      <c r="B65" s="12" t="s">
        <v>44</v>
      </c>
      <c r="C65" s="10">
        <f>C6/$I14</f>
        <v>2.0972950979956071</v>
      </c>
      <c r="D65" s="10">
        <f t="shared" ref="D65:P65" si="88">D6/$I14</f>
        <v>2.0972950979956071</v>
      </c>
      <c r="E65" s="10">
        <f t="shared" si="88"/>
        <v>2.0972950979956071</v>
      </c>
      <c r="F65" s="10">
        <f t="shared" si="88"/>
        <v>2.0972950979956071</v>
      </c>
      <c r="G65" s="10">
        <f t="shared" si="88"/>
        <v>0.73733030788908061</v>
      </c>
      <c r="H65" s="10">
        <f t="shared" si="88"/>
        <v>0.52432377449890177</v>
      </c>
      <c r="I65" s="10">
        <f t="shared" si="88"/>
        <v>2.0972950979956071</v>
      </c>
      <c r="J65" s="10">
        <f t="shared" si="88"/>
        <v>1.0486475489978035</v>
      </c>
      <c r="K65" s="10">
        <f t="shared" si="88"/>
        <v>2.0972950979956071</v>
      </c>
      <c r="L65" s="10">
        <f t="shared" si="88"/>
        <v>2.0972950979956071</v>
      </c>
      <c r="M65" s="10">
        <f t="shared" si="88"/>
        <v>1.0486475489978035</v>
      </c>
      <c r="N65" s="10">
        <f t="shared" si="88"/>
        <v>0.52432377449890177</v>
      </c>
      <c r="O65" s="10">
        <f t="shared" si="88"/>
        <v>0.52432377449890177</v>
      </c>
      <c r="P65" s="10">
        <f t="shared" si="88"/>
        <v>1.0486475489978035</v>
      </c>
      <c r="R65" s="1"/>
      <c r="S65" s="10"/>
      <c r="T65" s="10"/>
    </row>
    <row r="66" spans="2:20" x14ac:dyDescent="0.25">
      <c r="B66" s="12" t="s">
        <v>71</v>
      </c>
      <c r="C66" s="10">
        <f>C7/$I15</f>
        <v>10.299185668587047</v>
      </c>
      <c r="D66" s="10">
        <f t="shared" ref="D66:P66" si="89">D7/$I15</f>
        <v>10.299185668587047</v>
      </c>
      <c r="E66" s="10">
        <f t="shared" si="89"/>
        <v>10.299185668587047</v>
      </c>
      <c r="F66" s="10">
        <f t="shared" si="89"/>
        <v>10.299185668587047</v>
      </c>
      <c r="G66" s="10">
        <f t="shared" si="89"/>
        <v>2.5747964171467617</v>
      </c>
      <c r="H66" s="10">
        <f t="shared" si="89"/>
        <v>3.3794202975051246</v>
      </c>
      <c r="I66" s="10">
        <f t="shared" si="89"/>
        <v>10.299185668587047</v>
      </c>
      <c r="J66" s="10">
        <f t="shared" si="89"/>
        <v>10.299185668587047</v>
      </c>
      <c r="K66" s="10">
        <f t="shared" si="89"/>
        <v>10.299185668587047</v>
      </c>
      <c r="L66" s="10">
        <f t="shared" si="89"/>
        <v>10.299185668587047</v>
      </c>
      <c r="M66" s="10">
        <f t="shared" si="89"/>
        <v>10.299185668587047</v>
      </c>
      <c r="N66" s="10">
        <f t="shared" si="89"/>
        <v>5.1495928342935233</v>
      </c>
      <c r="O66" s="10">
        <f t="shared" si="89"/>
        <v>2.5747964171467617</v>
      </c>
      <c r="P66" s="10">
        <f t="shared" si="89"/>
        <v>10.299185668587047</v>
      </c>
      <c r="R66" s="1"/>
      <c r="S66" s="10"/>
      <c r="T66" s="10"/>
    </row>
    <row r="67" spans="2:20" x14ac:dyDescent="0.25">
      <c r="B67" s="12" t="s">
        <v>97</v>
      </c>
      <c r="C67" s="10">
        <f>C8/$I16</f>
        <v>1.8828059701578179</v>
      </c>
      <c r="D67" s="10">
        <f t="shared" ref="D67:P67" si="90">D8/$I16</f>
        <v>1.8828059701578179</v>
      </c>
      <c r="E67" s="10">
        <f t="shared" si="90"/>
        <v>1.8828059701578179</v>
      </c>
      <c r="F67" s="10">
        <f t="shared" si="90"/>
        <v>1.8828059701578179</v>
      </c>
      <c r="G67" s="10">
        <f t="shared" si="90"/>
        <v>1.3238479477672156</v>
      </c>
      <c r="H67" s="10">
        <f t="shared" si="90"/>
        <v>1.8828059701578179</v>
      </c>
      <c r="I67" s="10">
        <f t="shared" si="90"/>
        <v>1.8828059701578179</v>
      </c>
      <c r="J67" s="10">
        <f t="shared" si="90"/>
        <v>1.8828059701578179</v>
      </c>
      <c r="K67" s="10">
        <f t="shared" si="90"/>
        <v>1.8828059701578179</v>
      </c>
      <c r="L67" s="10">
        <f t="shared" si="90"/>
        <v>1.8828059701578179</v>
      </c>
      <c r="M67" s="10">
        <f t="shared" si="90"/>
        <v>0.47070149253945448</v>
      </c>
      <c r="N67" s="10">
        <f t="shared" si="90"/>
        <v>0.47070149253945448</v>
      </c>
      <c r="O67" s="10">
        <f t="shared" si="90"/>
        <v>1.8828059701578179</v>
      </c>
      <c r="P67" s="10">
        <f t="shared" si="90"/>
        <v>1.8828059701578179</v>
      </c>
      <c r="R67" s="1"/>
      <c r="S67" s="10"/>
      <c r="T67" s="10"/>
    </row>
    <row r="68" spans="2:20" x14ac:dyDescent="0.25">
      <c r="B68" s="136" t="s">
        <v>87</v>
      </c>
      <c r="C68" s="136"/>
      <c r="D68" s="140" t="s">
        <v>76</v>
      </c>
      <c r="E68" s="140"/>
      <c r="F68" s="140"/>
      <c r="G68" s="140" t="s">
        <v>77</v>
      </c>
      <c r="H68" s="140"/>
      <c r="I68" s="140"/>
      <c r="J68" s="140" t="s">
        <v>76</v>
      </c>
      <c r="K68" s="140"/>
      <c r="L68" s="140"/>
      <c r="M68" s="140" t="s">
        <v>77</v>
      </c>
      <c r="N68" s="140"/>
      <c r="O68" s="140"/>
    </row>
    <row r="69" spans="2:20" x14ac:dyDescent="0.25">
      <c r="B69" t="s">
        <v>80</v>
      </c>
      <c r="C69" s="1" t="s">
        <v>70</v>
      </c>
      <c r="D69" s="1" t="s">
        <v>73</v>
      </c>
      <c r="E69" s="1" t="s">
        <v>74</v>
      </c>
      <c r="F69" s="1" t="s">
        <v>75</v>
      </c>
      <c r="G69" s="1" t="s">
        <v>73</v>
      </c>
      <c r="H69" s="1" t="s">
        <v>74</v>
      </c>
      <c r="I69" s="1" t="s">
        <v>75</v>
      </c>
      <c r="J69" s="1" t="s">
        <v>73</v>
      </c>
      <c r="K69" s="1" t="s">
        <v>74</v>
      </c>
      <c r="L69" s="1" t="s">
        <v>75</v>
      </c>
      <c r="M69" s="1" t="s">
        <v>73</v>
      </c>
      <c r="N69" s="1" t="s">
        <v>74</v>
      </c>
      <c r="O69" s="1" t="s">
        <v>75</v>
      </c>
      <c r="P69" s="1" t="s">
        <v>78</v>
      </c>
      <c r="R69" s="1"/>
      <c r="S69" s="1"/>
      <c r="T69" s="1"/>
    </row>
    <row r="70" spans="2:20" x14ac:dyDescent="0.25">
      <c r="B70" s="12" t="s">
        <v>42</v>
      </c>
      <c r="C70" s="10">
        <f>C4/$J12</f>
        <v>9.4416059702706825</v>
      </c>
      <c r="D70" s="10">
        <f t="shared" ref="D70:P70" si="91">D4/$J12</f>
        <v>9.4416059702706825</v>
      </c>
      <c r="E70" s="10">
        <f t="shared" si="91"/>
        <v>9.4416059702706825</v>
      </c>
      <c r="F70" s="10">
        <f t="shared" si="91"/>
        <v>9.4416059702706825</v>
      </c>
      <c r="G70" s="10">
        <f t="shared" si="91"/>
        <v>4.7208029851353412</v>
      </c>
      <c r="H70" s="10">
        <f t="shared" si="91"/>
        <v>9.4416059702706825</v>
      </c>
      <c r="I70" s="10">
        <f t="shared" si="91"/>
        <v>9.4416059702706825</v>
      </c>
      <c r="J70" s="10">
        <f t="shared" si="91"/>
        <v>3.3193145989232873</v>
      </c>
      <c r="K70" s="10">
        <f t="shared" si="91"/>
        <v>6.6386291978465746</v>
      </c>
      <c r="L70" s="10">
        <f t="shared" si="91"/>
        <v>6.6386291978465746</v>
      </c>
      <c r="M70" s="10">
        <f t="shared" si="91"/>
        <v>3.3193145989232873</v>
      </c>
      <c r="N70" s="10">
        <f t="shared" si="91"/>
        <v>3.3193145989232873</v>
      </c>
      <c r="O70" s="10">
        <f t="shared" si="91"/>
        <v>6.6386291978465746</v>
      </c>
      <c r="P70" s="10">
        <f t="shared" si="91"/>
        <v>6.6386291978465746</v>
      </c>
      <c r="R70" s="1"/>
      <c r="S70" s="10"/>
      <c r="T70" s="10"/>
    </row>
    <row r="71" spans="2:20" x14ac:dyDescent="0.25">
      <c r="B71" s="12" t="s">
        <v>43</v>
      </c>
      <c r="C71" s="10" t="e">
        <f>C5/$J13</f>
        <v>#DIV/0!</v>
      </c>
      <c r="D71" s="10" t="e">
        <f t="shared" ref="D71:P71" si="92">D5/$J13</f>
        <v>#DIV/0!</v>
      </c>
      <c r="E71" s="10" t="e">
        <f t="shared" si="92"/>
        <v>#DIV/0!</v>
      </c>
      <c r="F71" s="10" t="e">
        <f t="shared" si="92"/>
        <v>#DIV/0!</v>
      </c>
      <c r="G71" s="10" t="e">
        <f t="shared" si="92"/>
        <v>#DIV/0!</v>
      </c>
      <c r="H71" s="10" t="e">
        <f t="shared" si="92"/>
        <v>#DIV/0!</v>
      </c>
      <c r="I71" s="10" t="e">
        <f t="shared" si="92"/>
        <v>#DIV/0!</v>
      </c>
      <c r="J71" s="10" t="e">
        <f t="shared" si="92"/>
        <v>#DIV/0!</v>
      </c>
      <c r="K71" s="10" t="e">
        <f t="shared" si="92"/>
        <v>#DIV/0!</v>
      </c>
      <c r="L71" s="10" t="e">
        <f t="shared" si="92"/>
        <v>#DIV/0!</v>
      </c>
      <c r="M71" s="10" t="e">
        <f t="shared" si="92"/>
        <v>#DIV/0!</v>
      </c>
      <c r="N71" s="10" t="e">
        <f t="shared" si="92"/>
        <v>#DIV/0!</v>
      </c>
      <c r="O71" s="10" t="e">
        <f t="shared" si="92"/>
        <v>#DIV/0!</v>
      </c>
      <c r="P71" s="10" t="e">
        <f t="shared" si="92"/>
        <v>#DIV/0!</v>
      </c>
      <c r="R71" s="1"/>
      <c r="S71" s="10"/>
      <c r="T71" s="10"/>
    </row>
    <row r="72" spans="2:20" x14ac:dyDescent="0.25">
      <c r="B72" s="12" t="s">
        <v>44</v>
      </c>
      <c r="C72" s="10">
        <f>C6/$J14</f>
        <v>8.8094072600960853</v>
      </c>
      <c r="D72" s="10">
        <f t="shared" ref="D72:P72" si="93">D6/$J14</f>
        <v>8.8094072600960853</v>
      </c>
      <c r="E72" s="10">
        <f t="shared" si="93"/>
        <v>8.8094072600960853</v>
      </c>
      <c r="F72" s="10">
        <f t="shared" si="93"/>
        <v>8.8094072600960853</v>
      </c>
      <c r="G72" s="10">
        <f t="shared" si="93"/>
        <v>3.0970572398775302</v>
      </c>
      <c r="H72" s="10">
        <f t="shared" si="93"/>
        <v>2.2023518150240213</v>
      </c>
      <c r="I72" s="10">
        <f t="shared" si="93"/>
        <v>8.8094072600960853</v>
      </c>
      <c r="J72" s="10">
        <f t="shared" si="93"/>
        <v>4.4047036300480427</v>
      </c>
      <c r="K72" s="10">
        <f t="shared" si="93"/>
        <v>8.8094072600960853</v>
      </c>
      <c r="L72" s="10">
        <f t="shared" si="93"/>
        <v>8.8094072600960853</v>
      </c>
      <c r="M72" s="10">
        <f t="shared" si="93"/>
        <v>4.4047036300480427</v>
      </c>
      <c r="N72" s="10">
        <f t="shared" si="93"/>
        <v>2.2023518150240213</v>
      </c>
      <c r="O72" s="10">
        <f t="shared" si="93"/>
        <v>2.2023518150240213</v>
      </c>
      <c r="P72" s="10">
        <f t="shared" si="93"/>
        <v>4.4047036300480427</v>
      </c>
      <c r="R72" s="1"/>
      <c r="S72" s="10"/>
      <c r="T72" s="10"/>
    </row>
    <row r="73" spans="2:20" x14ac:dyDescent="0.25">
      <c r="B73" s="12" t="s">
        <v>71</v>
      </c>
      <c r="C73" s="10" t="e">
        <f>C7/$J15</f>
        <v>#DIV/0!</v>
      </c>
      <c r="D73" s="10" t="e">
        <f t="shared" ref="D73:P74" si="94">D7/$J15</f>
        <v>#DIV/0!</v>
      </c>
      <c r="E73" s="10" t="e">
        <f t="shared" si="94"/>
        <v>#DIV/0!</v>
      </c>
      <c r="F73" s="10" t="e">
        <f t="shared" si="94"/>
        <v>#DIV/0!</v>
      </c>
      <c r="G73" s="10" t="e">
        <f t="shared" si="94"/>
        <v>#DIV/0!</v>
      </c>
      <c r="H73" s="10" t="e">
        <f t="shared" si="94"/>
        <v>#DIV/0!</v>
      </c>
      <c r="I73" s="10" t="e">
        <f t="shared" si="94"/>
        <v>#DIV/0!</v>
      </c>
      <c r="J73" s="10" t="e">
        <f t="shared" si="94"/>
        <v>#DIV/0!</v>
      </c>
      <c r="K73" s="10" t="e">
        <f t="shared" si="94"/>
        <v>#DIV/0!</v>
      </c>
      <c r="L73" s="10" t="e">
        <f t="shared" si="94"/>
        <v>#DIV/0!</v>
      </c>
      <c r="M73" s="10" t="e">
        <f t="shared" si="94"/>
        <v>#DIV/0!</v>
      </c>
      <c r="N73" s="10" t="e">
        <f t="shared" si="94"/>
        <v>#DIV/0!</v>
      </c>
      <c r="O73" s="10" t="e">
        <f t="shared" si="94"/>
        <v>#DIV/0!</v>
      </c>
      <c r="P73" s="10" t="e">
        <f t="shared" si="94"/>
        <v>#DIV/0!</v>
      </c>
      <c r="R73" s="1"/>
      <c r="S73" s="10"/>
      <c r="T73" s="10"/>
    </row>
    <row r="74" spans="2:20" x14ac:dyDescent="0.25">
      <c r="B74" s="12" t="s">
        <v>97</v>
      </c>
      <c r="C74" s="10" t="e">
        <f>C8/$J16</f>
        <v>#DIV/0!</v>
      </c>
      <c r="D74" s="10" t="e">
        <f t="shared" si="94"/>
        <v>#DIV/0!</v>
      </c>
      <c r="E74" s="10" t="e">
        <f t="shared" si="94"/>
        <v>#DIV/0!</v>
      </c>
      <c r="F74" s="10" t="e">
        <f t="shared" si="94"/>
        <v>#DIV/0!</v>
      </c>
      <c r="G74" s="10" t="e">
        <f t="shared" si="94"/>
        <v>#DIV/0!</v>
      </c>
      <c r="H74" s="10" t="e">
        <f t="shared" si="94"/>
        <v>#DIV/0!</v>
      </c>
      <c r="I74" s="10" t="e">
        <f t="shared" si="94"/>
        <v>#DIV/0!</v>
      </c>
      <c r="J74" s="10" t="e">
        <f t="shared" si="94"/>
        <v>#DIV/0!</v>
      </c>
      <c r="K74" s="10" t="e">
        <f t="shared" si="94"/>
        <v>#DIV/0!</v>
      </c>
      <c r="L74" s="10" t="e">
        <f t="shared" si="94"/>
        <v>#DIV/0!</v>
      </c>
      <c r="M74" s="10" t="e">
        <f t="shared" si="94"/>
        <v>#DIV/0!</v>
      </c>
      <c r="N74" s="10" t="e">
        <f t="shared" si="94"/>
        <v>#DIV/0!</v>
      </c>
      <c r="O74" s="10" t="e">
        <f t="shared" si="94"/>
        <v>#DIV/0!</v>
      </c>
      <c r="P74" s="10" t="e">
        <f t="shared" si="94"/>
        <v>#DIV/0!</v>
      </c>
      <c r="R74" s="1"/>
      <c r="S74" s="10"/>
      <c r="T74" s="10"/>
    </row>
    <row r="75" spans="2:20" x14ac:dyDescent="0.25">
      <c r="B75" s="136" t="s">
        <v>88</v>
      </c>
      <c r="C75" s="136"/>
      <c r="D75" s="140" t="s">
        <v>76</v>
      </c>
      <c r="E75" s="140"/>
      <c r="F75" s="140"/>
      <c r="G75" s="140" t="s">
        <v>77</v>
      </c>
      <c r="H75" s="140"/>
      <c r="I75" s="140"/>
      <c r="J75" s="140" t="s">
        <v>76</v>
      </c>
      <c r="K75" s="140"/>
      <c r="L75" s="140"/>
      <c r="M75" s="140" t="s">
        <v>77</v>
      </c>
      <c r="N75" s="140"/>
      <c r="O75" s="140"/>
    </row>
    <row r="76" spans="2:20" x14ac:dyDescent="0.25">
      <c r="B76" t="s">
        <v>80</v>
      </c>
      <c r="C76" s="1" t="s">
        <v>70</v>
      </c>
      <c r="D76" s="1" t="s">
        <v>73</v>
      </c>
      <c r="E76" s="1" t="s">
        <v>74</v>
      </c>
      <c r="F76" s="1" t="s">
        <v>75</v>
      </c>
      <c r="G76" s="1" t="s">
        <v>73</v>
      </c>
      <c r="H76" s="1" t="s">
        <v>74</v>
      </c>
      <c r="I76" s="1" t="s">
        <v>75</v>
      </c>
      <c r="J76" s="1" t="s">
        <v>73</v>
      </c>
      <c r="K76" s="1" t="s">
        <v>74</v>
      </c>
      <c r="L76" s="1" t="s">
        <v>75</v>
      </c>
      <c r="M76" s="1" t="s">
        <v>73</v>
      </c>
      <c r="N76" s="1" t="s">
        <v>74</v>
      </c>
      <c r="O76" s="1" t="s">
        <v>75</v>
      </c>
      <c r="P76" s="1" t="s">
        <v>78</v>
      </c>
      <c r="R76" s="1"/>
      <c r="S76" s="1"/>
      <c r="T76" s="1"/>
    </row>
    <row r="77" spans="2:20" x14ac:dyDescent="0.25">
      <c r="B77" s="12" t="s">
        <v>42</v>
      </c>
      <c r="C77" s="10">
        <f>C4/$K12</f>
        <v>10.169689505672121</v>
      </c>
      <c r="D77" s="10">
        <f t="shared" ref="D77:P77" si="95">D4/$K12</f>
        <v>10.169689505672121</v>
      </c>
      <c r="E77" s="10">
        <f t="shared" si="95"/>
        <v>10.169689505672121</v>
      </c>
      <c r="F77" s="10">
        <f t="shared" si="95"/>
        <v>10.169689505672121</v>
      </c>
      <c r="G77" s="10">
        <f t="shared" si="95"/>
        <v>5.0848447528360605</v>
      </c>
      <c r="H77" s="10">
        <f t="shared" si="95"/>
        <v>10.169689505672121</v>
      </c>
      <c r="I77" s="10">
        <f t="shared" si="95"/>
        <v>10.169689505672121</v>
      </c>
      <c r="J77" s="10">
        <f t="shared" si="95"/>
        <v>3.575281466837855</v>
      </c>
      <c r="K77" s="10">
        <f t="shared" si="95"/>
        <v>7.1505629336757099</v>
      </c>
      <c r="L77" s="10">
        <f t="shared" si="95"/>
        <v>7.1505629336757099</v>
      </c>
      <c r="M77" s="10">
        <f t="shared" si="95"/>
        <v>3.575281466837855</v>
      </c>
      <c r="N77" s="10">
        <f t="shared" si="95"/>
        <v>3.575281466837855</v>
      </c>
      <c r="O77" s="10">
        <f t="shared" si="95"/>
        <v>7.1505629336757099</v>
      </c>
      <c r="P77" s="10">
        <f t="shared" si="95"/>
        <v>7.1505629336757099</v>
      </c>
      <c r="R77" s="1"/>
      <c r="S77" s="10"/>
      <c r="T77" s="10"/>
    </row>
    <row r="78" spans="2:20" x14ac:dyDescent="0.25">
      <c r="B78" s="12" t="s">
        <v>43</v>
      </c>
      <c r="C78" s="10">
        <f>C5/$K13</f>
        <v>41.739443386210553</v>
      </c>
      <c r="D78" s="10">
        <f t="shared" ref="D78:P78" si="96">D5/$K13</f>
        <v>41.739443386210553</v>
      </c>
      <c r="E78" s="10">
        <f t="shared" si="96"/>
        <v>83.478886772421106</v>
      </c>
      <c r="F78" s="10">
        <f t="shared" si="96"/>
        <v>83.478886772421106</v>
      </c>
      <c r="G78" s="10">
        <f t="shared" si="96"/>
        <v>20.869721693105276</v>
      </c>
      <c r="H78" s="10">
        <f t="shared" si="96"/>
        <v>29.348046130929298</v>
      </c>
      <c r="I78" s="10">
        <f t="shared" si="96"/>
        <v>83.478886772421106</v>
      </c>
      <c r="J78" s="10">
        <f t="shared" si="96"/>
        <v>41.739443386210553</v>
      </c>
      <c r="K78" s="10">
        <f t="shared" si="96"/>
        <v>41.739443386210553</v>
      </c>
      <c r="L78" s="10">
        <f t="shared" si="96"/>
        <v>83.478886772421106</v>
      </c>
      <c r="M78" s="10">
        <f t="shared" si="96"/>
        <v>20.869721693105276</v>
      </c>
      <c r="N78" s="10">
        <f t="shared" si="96"/>
        <v>29.348046130929298</v>
      </c>
      <c r="O78" s="10">
        <f t="shared" si="96"/>
        <v>41.739443386210553</v>
      </c>
      <c r="P78" s="10">
        <f t="shared" si="96"/>
        <v>29.348046130929298</v>
      </c>
      <c r="R78" s="1"/>
      <c r="S78" s="10"/>
      <c r="T78" s="10"/>
    </row>
    <row r="79" spans="2:20" x14ac:dyDescent="0.25">
      <c r="B79" s="12" t="s">
        <v>44</v>
      </c>
      <c r="C79" s="10">
        <f>C6/$K14</f>
        <v>12.261124953991189</v>
      </c>
      <c r="D79" s="10">
        <f t="shared" ref="D79:P79" si="97">D6/$K14</f>
        <v>12.261124953991189</v>
      </c>
      <c r="E79" s="10">
        <f t="shared" si="97"/>
        <v>12.261124953991189</v>
      </c>
      <c r="F79" s="10">
        <f t="shared" si="97"/>
        <v>12.261124953991189</v>
      </c>
      <c r="G79" s="10">
        <f t="shared" si="97"/>
        <v>4.3105517416375276</v>
      </c>
      <c r="H79" s="10">
        <f t="shared" si="97"/>
        <v>3.0652812384977972</v>
      </c>
      <c r="I79" s="10">
        <f t="shared" si="97"/>
        <v>12.261124953991189</v>
      </c>
      <c r="J79" s="10">
        <f t="shared" si="97"/>
        <v>6.1305624769955944</v>
      </c>
      <c r="K79" s="10">
        <f t="shared" si="97"/>
        <v>12.261124953991189</v>
      </c>
      <c r="L79" s="10">
        <f t="shared" si="97"/>
        <v>12.261124953991189</v>
      </c>
      <c r="M79" s="10">
        <f t="shared" si="97"/>
        <v>6.1305624769955944</v>
      </c>
      <c r="N79" s="10">
        <f t="shared" si="97"/>
        <v>3.0652812384977972</v>
      </c>
      <c r="O79" s="10">
        <f t="shared" si="97"/>
        <v>3.0652812384977972</v>
      </c>
      <c r="P79" s="10">
        <f t="shared" si="97"/>
        <v>6.1305624769955944</v>
      </c>
      <c r="R79" s="1"/>
      <c r="S79" s="10"/>
      <c r="T79" s="10"/>
    </row>
    <row r="80" spans="2:20" x14ac:dyDescent="0.25">
      <c r="B80" s="12" t="s">
        <v>71</v>
      </c>
      <c r="C80" s="10">
        <f>C7/$K15</f>
        <v>2601.4376194804681</v>
      </c>
      <c r="D80" s="10">
        <f t="shared" ref="D80:P80" si="98">D7/$K15</f>
        <v>2601.4376194804681</v>
      </c>
      <c r="E80" s="10">
        <f t="shared" si="98"/>
        <v>2601.4376194804681</v>
      </c>
      <c r="F80" s="10">
        <f t="shared" si="98"/>
        <v>2601.4376194804681</v>
      </c>
      <c r="G80" s="10">
        <f t="shared" si="98"/>
        <v>650.35940487011703</v>
      </c>
      <c r="H80" s="10">
        <f t="shared" si="98"/>
        <v>853.59671889202866</v>
      </c>
      <c r="I80" s="10">
        <f t="shared" si="98"/>
        <v>2601.4376194804681</v>
      </c>
      <c r="J80" s="10">
        <f t="shared" si="98"/>
        <v>2601.4376194804681</v>
      </c>
      <c r="K80" s="10">
        <f t="shared" si="98"/>
        <v>2601.4376194804681</v>
      </c>
      <c r="L80" s="10">
        <f t="shared" si="98"/>
        <v>2601.4376194804681</v>
      </c>
      <c r="M80" s="10">
        <f t="shared" si="98"/>
        <v>2601.4376194804681</v>
      </c>
      <c r="N80" s="10">
        <f t="shared" si="98"/>
        <v>1300.7188097402341</v>
      </c>
      <c r="O80" s="10">
        <f t="shared" si="98"/>
        <v>650.35940487011703</v>
      </c>
      <c r="P80" s="10">
        <f t="shared" si="98"/>
        <v>2601.4376194804681</v>
      </c>
      <c r="R80" s="1"/>
      <c r="S80" s="10"/>
      <c r="T80" s="10"/>
    </row>
    <row r="81" spans="2:20" x14ac:dyDescent="0.25">
      <c r="B81" s="12" t="s">
        <v>97</v>
      </c>
      <c r="C81" s="10">
        <f>C8/$K16</f>
        <v>15.796580034984405</v>
      </c>
      <c r="D81" s="10">
        <f t="shared" ref="D81:P81" si="99">D8/$K16</f>
        <v>15.796580034984405</v>
      </c>
      <c r="E81" s="10">
        <f t="shared" si="99"/>
        <v>15.796580034984405</v>
      </c>
      <c r="F81" s="10">
        <f t="shared" si="99"/>
        <v>15.796580034984405</v>
      </c>
      <c r="G81" s="10">
        <f t="shared" si="99"/>
        <v>11.10697033709841</v>
      </c>
      <c r="H81" s="10">
        <f t="shared" si="99"/>
        <v>15.796580034984405</v>
      </c>
      <c r="I81" s="10">
        <f t="shared" si="99"/>
        <v>15.796580034984405</v>
      </c>
      <c r="J81" s="10">
        <f t="shared" si="99"/>
        <v>15.796580034984405</v>
      </c>
      <c r="K81" s="10">
        <f t="shared" si="99"/>
        <v>15.796580034984405</v>
      </c>
      <c r="L81" s="10">
        <f t="shared" si="99"/>
        <v>15.796580034984405</v>
      </c>
      <c r="M81" s="10">
        <f t="shared" si="99"/>
        <v>3.9491450087461013</v>
      </c>
      <c r="N81" s="10">
        <f t="shared" si="99"/>
        <v>3.9491450087461013</v>
      </c>
      <c r="O81" s="10">
        <f t="shared" si="99"/>
        <v>15.796580034984405</v>
      </c>
      <c r="P81" s="10">
        <f t="shared" si="99"/>
        <v>15.796580034984405</v>
      </c>
      <c r="R81" s="1"/>
      <c r="S81" s="10"/>
      <c r="T81" s="10"/>
    </row>
    <row r="82" spans="2:20" x14ac:dyDescent="0.25">
      <c r="B82" s="136" t="s">
        <v>89</v>
      </c>
      <c r="C82" s="136"/>
      <c r="D82" s="140" t="s">
        <v>76</v>
      </c>
      <c r="E82" s="140"/>
      <c r="F82" s="140"/>
      <c r="G82" s="140" t="s">
        <v>77</v>
      </c>
      <c r="H82" s="140"/>
      <c r="I82" s="140"/>
      <c r="J82" s="140" t="s">
        <v>76</v>
      </c>
      <c r="K82" s="140"/>
      <c r="L82" s="140"/>
      <c r="M82" s="140" t="s">
        <v>77</v>
      </c>
      <c r="N82" s="140"/>
      <c r="O82" s="140"/>
    </row>
    <row r="83" spans="2:20" x14ac:dyDescent="0.25">
      <c r="B83" t="s">
        <v>80</v>
      </c>
      <c r="C83" s="1" t="s">
        <v>70</v>
      </c>
      <c r="D83" s="1" t="s">
        <v>73</v>
      </c>
      <c r="E83" s="1" t="s">
        <v>74</v>
      </c>
      <c r="F83" s="1" t="s">
        <v>75</v>
      </c>
      <c r="G83" s="1" t="s">
        <v>73</v>
      </c>
      <c r="H83" s="1" t="s">
        <v>74</v>
      </c>
      <c r="I83" s="1" t="s">
        <v>75</v>
      </c>
      <c r="J83" s="1" t="s">
        <v>73</v>
      </c>
      <c r="K83" s="1" t="s">
        <v>74</v>
      </c>
      <c r="L83" s="1" t="s">
        <v>75</v>
      </c>
      <c r="M83" s="1" t="s">
        <v>73</v>
      </c>
      <c r="N83" s="1" t="s">
        <v>74</v>
      </c>
      <c r="O83" s="1" t="s">
        <v>75</v>
      </c>
      <c r="P83" s="1" t="s">
        <v>78</v>
      </c>
      <c r="R83" s="1"/>
      <c r="S83" s="1"/>
      <c r="T83" s="1"/>
    </row>
    <row r="84" spans="2:20" x14ac:dyDescent="0.25">
      <c r="B84" s="12" t="s">
        <v>42</v>
      </c>
      <c r="C84" s="10">
        <f>C4/$L12</f>
        <v>7.9466189524478938</v>
      </c>
      <c r="D84" s="10">
        <f>D4/$L12</f>
        <v>7.9466189524478938</v>
      </c>
      <c r="E84" s="10">
        <f t="shared" ref="E84:P84" si="100">E4/$L12</f>
        <v>7.9466189524478938</v>
      </c>
      <c r="F84" s="10">
        <f t="shared" si="100"/>
        <v>7.9466189524478938</v>
      </c>
      <c r="G84" s="10">
        <f t="shared" si="100"/>
        <v>3.9733094762239469</v>
      </c>
      <c r="H84" s="10">
        <f t="shared" si="100"/>
        <v>7.9466189524478938</v>
      </c>
      <c r="I84" s="10">
        <f t="shared" si="100"/>
        <v>7.9466189524478938</v>
      </c>
      <c r="J84" s="10">
        <f t="shared" si="100"/>
        <v>2.7937332254699627</v>
      </c>
      <c r="K84" s="10">
        <f t="shared" si="100"/>
        <v>5.5874664509399254</v>
      </c>
      <c r="L84" s="10">
        <f t="shared" si="100"/>
        <v>5.5874664509399254</v>
      </c>
      <c r="M84" s="10">
        <f t="shared" si="100"/>
        <v>2.7937332254699627</v>
      </c>
      <c r="N84" s="10">
        <f t="shared" si="100"/>
        <v>2.7937332254699627</v>
      </c>
      <c r="O84" s="10">
        <f t="shared" si="100"/>
        <v>5.5874664509399254</v>
      </c>
      <c r="P84" s="10">
        <f t="shared" si="100"/>
        <v>5.5874664509399254</v>
      </c>
      <c r="R84" s="1"/>
      <c r="S84" s="10"/>
      <c r="T84" s="10"/>
    </row>
    <row r="85" spans="2:20" x14ac:dyDescent="0.25">
      <c r="B85" s="12" t="s">
        <v>43</v>
      </c>
      <c r="C85" s="10">
        <f>C5/$L13</f>
        <v>29.611754707451158</v>
      </c>
      <c r="D85" s="10">
        <f>D5/$L13</f>
        <v>29.611754707451158</v>
      </c>
      <c r="E85" s="10">
        <f t="shared" ref="E85:P85" si="101">E5/$L13</f>
        <v>59.223509414902317</v>
      </c>
      <c r="F85" s="10">
        <f t="shared" si="101"/>
        <v>59.223509414902317</v>
      </c>
      <c r="G85" s="10">
        <f t="shared" si="101"/>
        <v>14.805877353725579</v>
      </c>
      <c r="H85" s="10">
        <f t="shared" si="101"/>
        <v>20.820765028676597</v>
      </c>
      <c r="I85" s="10">
        <f t="shared" si="101"/>
        <v>59.223509414902317</v>
      </c>
      <c r="J85" s="10">
        <f t="shared" si="101"/>
        <v>29.611754707451158</v>
      </c>
      <c r="K85" s="10">
        <f t="shared" si="101"/>
        <v>29.611754707451158</v>
      </c>
      <c r="L85" s="10">
        <f t="shared" si="101"/>
        <v>59.223509414902317</v>
      </c>
      <c r="M85" s="10">
        <f t="shared" si="101"/>
        <v>14.805877353725579</v>
      </c>
      <c r="N85" s="10">
        <f t="shared" si="101"/>
        <v>20.820765028676597</v>
      </c>
      <c r="O85" s="10">
        <f t="shared" si="101"/>
        <v>29.611754707451158</v>
      </c>
      <c r="P85" s="10">
        <f t="shared" si="101"/>
        <v>20.820765028676597</v>
      </c>
      <c r="R85" s="1"/>
      <c r="S85" s="10"/>
      <c r="T85" s="10"/>
    </row>
    <row r="86" spans="2:20" x14ac:dyDescent="0.25">
      <c r="B86" s="12" t="s">
        <v>44</v>
      </c>
      <c r="C86" s="10">
        <f>C6/$L14</f>
        <v>37.913240969261771</v>
      </c>
      <c r="D86" s="10">
        <f t="shared" ref="D86:P86" si="102">D6/$L14</f>
        <v>37.913240969261771</v>
      </c>
      <c r="E86" s="10">
        <f t="shared" si="102"/>
        <v>37.913240969261771</v>
      </c>
      <c r="F86" s="10">
        <f t="shared" si="102"/>
        <v>37.913240969261771</v>
      </c>
      <c r="G86" s="10">
        <f t="shared" si="102"/>
        <v>13.328873778256092</v>
      </c>
      <c r="H86" s="10">
        <f t="shared" si="102"/>
        <v>9.4783102423154428</v>
      </c>
      <c r="I86" s="10">
        <f t="shared" si="102"/>
        <v>37.913240969261771</v>
      </c>
      <c r="J86" s="10">
        <f t="shared" si="102"/>
        <v>18.956620484630886</v>
      </c>
      <c r="K86" s="10">
        <f t="shared" si="102"/>
        <v>37.913240969261771</v>
      </c>
      <c r="L86" s="10">
        <f t="shared" si="102"/>
        <v>37.913240969261771</v>
      </c>
      <c r="M86" s="10">
        <f t="shared" si="102"/>
        <v>18.956620484630886</v>
      </c>
      <c r="N86" s="10">
        <f t="shared" si="102"/>
        <v>9.4783102423154428</v>
      </c>
      <c r="O86" s="10">
        <f t="shared" si="102"/>
        <v>9.4783102423154428</v>
      </c>
      <c r="P86" s="10">
        <f t="shared" si="102"/>
        <v>18.956620484630886</v>
      </c>
      <c r="R86" s="1"/>
      <c r="S86" s="10"/>
      <c r="T86" s="10"/>
    </row>
    <row r="87" spans="2:20" x14ac:dyDescent="0.25">
      <c r="B87" s="12" t="s">
        <v>71</v>
      </c>
      <c r="C87" s="10">
        <f>C7/$L15</f>
        <v>7877.0341830658108</v>
      </c>
      <c r="D87" s="10">
        <f t="shared" ref="D87:P88" si="103">D7/$L15</f>
        <v>7877.0341830658108</v>
      </c>
      <c r="E87" s="10">
        <f t="shared" si="103"/>
        <v>7877.0341830658108</v>
      </c>
      <c r="F87" s="10">
        <f t="shared" si="103"/>
        <v>7877.0341830658108</v>
      </c>
      <c r="G87" s="10">
        <f t="shared" si="103"/>
        <v>1969.2585457664527</v>
      </c>
      <c r="H87" s="10">
        <f t="shared" si="103"/>
        <v>2584.651841318469</v>
      </c>
      <c r="I87" s="10">
        <f t="shared" si="103"/>
        <v>7877.0341830658108</v>
      </c>
      <c r="J87" s="10">
        <f t="shared" si="103"/>
        <v>7877.0341830658108</v>
      </c>
      <c r="K87" s="10">
        <f t="shared" si="103"/>
        <v>7877.0341830658108</v>
      </c>
      <c r="L87" s="10">
        <f t="shared" si="103"/>
        <v>7877.0341830658108</v>
      </c>
      <c r="M87" s="10">
        <f t="shared" si="103"/>
        <v>7877.0341830658108</v>
      </c>
      <c r="N87" s="10">
        <f t="shared" si="103"/>
        <v>3938.5170915329054</v>
      </c>
      <c r="O87" s="10">
        <f t="shared" si="103"/>
        <v>1969.2585457664527</v>
      </c>
      <c r="P87" s="10">
        <f t="shared" si="103"/>
        <v>7877.0341830658108</v>
      </c>
      <c r="R87" s="1"/>
      <c r="S87" s="10"/>
      <c r="T87" s="10"/>
    </row>
    <row r="88" spans="2:20" x14ac:dyDescent="0.25">
      <c r="B88" s="12" t="s">
        <v>97</v>
      </c>
      <c r="C88" s="10">
        <f>C8/$L16</f>
        <v>28.267820246360252</v>
      </c>
      <c r="D88" s="10">
        <f t="shared" si="103"/>
        <v>28.267820246360252</v>
      </c>
      <c r="E88" s="10">
        <f t="shared" si="103"/>
        <v>28.267820246360252</v>
      </c>
      <c r="F88" s="10">
        <f t="shared" si="103"/>
        <v>28.267820246360252</v>
      </c>
      <c r="G88" s="10">
        <f t="shared" si="103"/>
        <v>19.875811110722051</v>
      </c>
      <c r="H88" s="10">
        <f t="shared" si="103"/>
        <v>28.267820246360252</v>
      </c>
      <c r="I88" s="10">
        <f t="shared" si="103"/>
        <v>28.267820246360252</v>
      </c>
      <c r="J88" s="10">
        <f t="shared" si="103"/>
        <v>28.267820246360252</v>
      </c>
      <c r="K88" s="10">
        <f t="shared" si="103"/>
        <v>28.267820246360252</v>
      </c>
      <c r="L88" s="10">
        <f t="shared" si="103"/>
        <v>28.267820246360252</v>
      </c>
      <c r="M88" s="10">
        <f t="shared" si="103"/>
        <v>7.0669550615900629</v>
      </c>
      <c r="N88" s="10">
        <f t="shared" si="103"/>
        <v>7.0669550615900629</v>
      </c>
      <c r="O88" s="10">
        <f t="shared" si="103"/>
        <v>28.267820246360252</v>
      </c>
      <c r="P88" s="10">
        <f t="shared" si="103"/>
        <v>28.267820246360252</v>
      </c>
      <c r="R88" s="1"/>
      <c r="S88" s="10"/>
      <c r="T88" s="10"/>
    </row>
    <row r="89" spans="2:20" x14ac:dyDescent="0.25"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1"/>
      <c r="S89" s="10"/>
      <c r="T89" s="10"/>
    </row>
    <row r="90" spans="2:20" x14ac:dyDescent="0.25">
      <c r="B90" s="136" t="s">
        <v>68</v>
      </c>
      <c r="C90" s="136"/>
      <c r="D90" s="140" t="s">
        <v>76</v>
      </c>
      <c r="E90" s="140"/>
      <c r="F90" s="140"/>
      <c r="G90" s="140" t="s">
        <v>77</v>
      </c>
      <c r="H90" s="140"/>
      <c r="I90" s="140"/>
      <c r="J90" s="140" t="s">
        <v>76</v>
      </c>
      <c r="K90" s="140"/>
      <c r="L90" s="140"/>
      <c r="M90" s="140" t="s">
        <v>77</v>
      </c>
      <c r="N90" s="140"/>
      <c r="O90" s="140"/>
    </row>
    <row r="91" spans="2:20" x14ac:dyDescent="0.25">
      <c r="B91" t="s">
        <v>80</v>
      </c>
      <c r="C91" s="1" t="s">
        <v>70</v>
      </c>
      <c r="D91" s="1" t="s">
        <v>73</v>
      </c>
      <c r="E91" s="1" t="s">
        <v>74</v>
      </c>
      <c r="F91" s="1" t="s">
        <v>75</v>
      </c>
      <c r="G91" s="1" t="s">
        <v>73</v>
      </c>
      <c r="H91" s="1" t="s">
        <v>74</v>
      </c>
      <c r="I91" s="1" t="s">
        <v>75</v>
      </c>
      <c r="J91" s="1" t="s">
        <v>73</v>
      </c>
      <c r="K91" s="1" t="s">
        <v>74</v>
      </c>
      <c r="L91" s="1" t="s">
        <v>75</v>
      </c>
      <c r="M91" s="1" t="s">
        <v>73</v>
      </c>
      <c r="N91" s="1" t="s">
        <v>74</v>
      </c>
      <c r="O91" s="1" t="s">
        <v>75</v>
      </c>
      <c r="P91" s="1" t="s">
        <v>78</v>
      </c>
      <c r="R91" s="1"/>
      <c r="S91" s="1" t="s">
        <v>91</v>
      </c>
      <c r="T91" s="1" t="s">
        <v>90</v>
      </c>
    </row>
    <row r="92" spans="2:20" ht="15" customHeight="1" x14ac:dyDescent="0.25">
      <c r="B92" s="12" t="s">
        <v>42</v>
      </c>
      <c r="C92" s="10">
        <f>C4/$M12</f>
        <v>12.216507147259433</v>
      </c>
      <c r="D92" s="10">
        <f t="shared" ref="D92:P92" si="104">D4/$M12</f>
        <v>12.216507147259433</v>
      </c>
      <c r="E92" s="10">
        <f t="shared" si="104"/>
        <v>12.216507147259433</v>
      </c>
      <c r="F92" s="10">
        <f t="shared" si="104"/>
        <v>12.216507147259433</v>
      </c>
      <c r="G92" s="10">
        <f t="shared" si="104"/>
        <v>6.1082535736297165</v>
      </c>
      <c r="H92" s="10">
        <f t="shared" si="104"/>
        <v>12.216507147259433</v>
      </c>
      <c r="I92" s="10">
        <f t="shared" si="104"/>
        <v>12.216507147259433</v>
      </c>
      <c r="J92" s="10">
        <f t="shared" si="104"/>
        <v>4.2948657939583947</v>
      </c>
      <c r="K92" s="10">
        <f t="shared" si="104"/>
        <v>8.5897315879167895</v>
      </c>
      <c r="L92" s="10">
        <f t="shared" si="104"/>
        <v>8.5897315879167895</v>
      </c>
      <c r="M92" s="10">
        <f t="shared" si="104"/>
        <v>4.2948657939583947</v>
      </c>
      <c r="N92" s="10">
        <f t="shared" si="104"/>
        <v>4.2948657939583947</v>
      </c>
      <c r="O92" s="10">
        <f t="shared" si="104"/>
        <v>8.5897315879167895</v>
      </c>
      <c r="P92" s="10">
        <f t="shared" si="104"/>
        <v>8.5897315879167895</v>
      </c>
      <c r="R92" s="12" t="s">
        <v>42</v>
      </c>
      <c r="S92" s="10">
        <f>AVERAGE(C92:P92)</f>
        <v>9.0464871564806177</v>
      </c>
      <c r="T92" s="10">
        <f>_xlfn.STDEV.P(C92:P92)</f>
        <v>3.1338656680460248</v>
      </c>
    </row>
    <row r="93" spans="2:20" x14ac:dyDescent="0.25">
      <c r="B93" s="12" t="s">
        <v>43</v>
      </c>
      <c r="C93" s="10">
        <f t="shared" ref="C93:P93" si="105">C5/$M13</f>
        <v>14.183396008204982</v>
      </c>
      <c r="D93" s="10">
        <f t="shared" si="105"/>
        <v>14.183396008204982</v>
      </c>
      <c r="E93" s="10">
        <f t="shared" si="105"/>
        <v>28.366792016409963</v>
      </c>
      <c r="F93" s="10">
        <f t="shared" si="105"/>
        <v>28.366792016409963</v>
      </c>
      <c r="G93" s="10">
        <f t="shared" si="105"/>
        <v>7.0916980041024908</v>
      </c>
      <c r="H93" s="10">
        <f t="shared" si="105"/>
        <v>9.9727003182691281</v>
      </c>
      <c r="I93" s="10">
        <f t="shared" si="105"/>
        <v>28.366792016409963</v>
      </c>
      <c r="J93" s="10">
        <f t="shared" si="105"/>
        <v>14.183396008204982</v>
      </c>
      <c r="K93" s="10">
        <f t="shared" si="105"/>
        <v>14.183396008204982</v>
      </c>
      <c r="L93" s="10">
        <f t="shared" si="105"/>
        <v>28.366792016409963</v>
      </c>
      <c r="M93" s="10">
        <f t="shared" si="105"/>
        <v>7.0916980041024908</v>
      </c>
      <c r="N93" s="10">
        <f t="shared" si="105"/>
        <v>9.9727003182691281</v>
      </c>
      <c r="O93" s="10">
        <f t="shared" si="105"/>
        <v>14.183396008204982</v>
      </c>
      <c r="P93" s="10">
        <f t="shared" si="105"/>
        <v>9.9727003182691281</v>
      </c>
      <c r="R93" s="12" t="s">
        <v>43</v>
      </c>
      <c r="S93" s="10">
        <f>AVERAGE(C93:P93)</f>
        <v>16.320403219262655</v>
      </c>
      <c r="T93" s="10">
        <f>_xlfn.STDEV.P(C93:P93)</f>
        <v>7.9933629949352385</v>
      </c>
    </row>
    <row r="94" spans="2:20" x14ac:dyDescent="0.25">
      <c r="B94" s="12" t="s">
        <v>44</v>
      </c>
      <c r="C94" s="10">
        <f>C6/$M14</f>
        <v>3.1963858495767821</v>
      </c>
      <c r="D94" s="10">
        <f t="shared" ref="D94:P94" si="106">D6/$M14</f>
        <v>3.1963858495767821</v>
      </c>
      <c r="E94" s="10">
        <f t="shared" si="106"/>
        <v>3.1963858495767821</v>
      </c>
      <c r="F94" s="10">
        <f t="shared" si="106"/>
        <v>3.1963858495767821</v>
      </c>
      <c r="G94" s="10">
        <f t="shared" si="106"/>
        <v>1.1237294002418374</v>
      </c>
      <c r="H94" s="10">
        <f t="shared" si="106"/>
        <v>0.79909646239419552</v>
      </c>
      <c r="I94" s="10">
        <f t="shared" si="106"/>
        <v>3.1963858495767821</v>
      </c>
      <c r="J94" s="10">
        <f t="shared" si="106"/>
        <v>1.598192924788391</v>
      </c>
      <c r="K94" s="10">
        <f t="shared" si="106"/>
        <v>3.1963858495767821</v>
      </c>
      <c r="L94" s="10">
        <f t="shared" si="106"/>
        <v>3.1963858495767821</v>
      </c>
      <c r="M94" s="10">
        <f t="shared" si="106"/>
        <v>1.598192924788391</v>
      </c>
      <c r="N94" s="10">
        <f t="shared" si="106"/>
        <v>0.79909646239419552</v>
      </c>
      <c r="O94" s="10">
        <f t="shared" si="106"/>
        <v>0.79909646239419552</v>
      </c>
      <c r="P94" s="10">
        <f t="shared" si="106"/>
        <v>1.598192924788391</v>
      </c>
      <c r="R94" s="12" t="s">
        <v>44</v>
      </c>
      <c r="S94" s="10">
        <f>AVERAGE(C94:P94)</f>
        <v>2.1921641792019342</v>
      </c>
      <c r="T94" s="10">
        <f>_xlfn.STDEV.P(C94:P94)</f>
        <v>1.0378927677782379</v>
      </c>
    </row>
    <row r="95" spans="2:20" ht="15" customHeight="1" x14ac:dyDescent="0.25">
      <c r="B95" s="12" t="s">
        <v>71</v>
      </c>
      <c r="C95" s="10">
        <f>C7/$M15</f>
        <v>28.366792016409963</v>
      </c>
      <c r="D95" s="10">
        <f t="shared" ref="D95:P96" si="107">D7/$M15</f>
        <v>28.366792016409963</v>
      </c>
      <c r="E95" s="10">
        <f t="shared" si="107"/>
        <v>28.366792016409963</v>
      </c>
      <c r="F95" s="10">
        <f t="shared" si="107"/>
        <v>28.366792016409963</v>
      </c>
      <c r="G95" s="10">
        <f t="shared" si="107"/>
        <v>7.0916980041024908</v>
      </c>
      <c r="H95" s="10">
        <f t="shared" si="107"/>
        <v>9.3078536303845194</v>
      </c>
      <c r="I95" s="10">
        <f t="shared" si="107"/>
        <v>28.366792016409963</v>
      </c>
      <c r="J95" s="10">
        <f t="shared" si="107"/>
        <v>28.366792016409963</v>
      </c>
      <c r="K95" s="10">
        <f t="shared" si="107"/>
        <v>28.366792016409963</v>
      </c>
      <c r="L95" s="10">
        <f t="shared" si="107"/>
        <v>28.366792016409963</v>
      </c>
      <c r="M95" s="10">
        <f t="shared" si="107"/>
        <v>28.366792016409963</v>
      </c>
      <c r="N95" s="10">
        <f t="shared" si="107"/>
        <v>14.183396008204982</v>
      </c>
      <c r="O95" s="10">
        <f t="shared" si="107"/>
        <v>7.0916980041024908</v>
      </c>
      <c r="P95" s="10">
        <f t="shared" si="107"/>
        <v>28.366792016409963</v>
      </c>
      <c r="R95" s="12" t="s">
        <v>71</v>
      </c>
      <c r="S95" s="10">
        <f>AVERAGE(C95:P95)</f>
        <v>22.953040415063867</v>
      </c>
      <c r="T95" s="10">
        <f>AVERAGE(C95:P95)</f>
        <v>22.953040415063867</v>
      </c>
    </row>
    <row r="96" spans="2:20" x14ac:dyDescent="0.25">
      <c r="B96" s="12" t="s">
        <v>97</v>
      </c>
      <c r="C96" s="10">
        <f>C8/$M16</f>
        <v>4.0247291918125132</v>
      </c>
      <c r="D96" s="10">
        <f t="shared" si="107"/>
        <v>4.0247291918125132</v>
      </c>
      <c r="E96" s="10">
        <f t="shared" si="107"/>
        <v>4.0247291918125132</v>
      </c>
      <c r="F96" s="10">
        <f t="shared" si="107"/>
        <v>4.0247291918125132</v>
      </c>
      <c r="G96" s="10">
        <f t="shared" si="107"/>
        <v>2.8298877129931732</v>
      </c>
      <c r="H96" s="10">
        <f t="shared" si="107"/>
        <v>4.0247291918125132</v>
      </c>
      <c r="I96" s="10">
        <f t="shared" si="107"/>
        <v>4.0247291918125132</v>
      </c>
      <c r="J96" s="10">
        <f t="shared" si="107"/>
        <v>4.0247291918125132</v>
      </c>
      <c r="K96" s="10">
        <f t="shared" si="107"/>
        <v>4.0247291918125132</v>
      </c>
      <c r="L96" s="10">
        <f t="shared" si="107"/>
        <v>4.0247291918125132</v>
      </c>
      <c r="M96" s="10">
        <f t="shared" si="107"/>
        <v>1.0061822979531283</v>
      </c>
      <c r="N96" s="10">
        <f t="shared" si="107"/>
        <v>1.0061822979531283</v>
      </c>
      <c r="O96" s="10">
        <f t="shared" si="107"/>
        <v>4.0247291918125132</v>
      </c>
      <c r="P96" s="10">
        <f t="shared" si="107"/>
        <v>4.0247291918125132</v>
      </c>
      <c r="R96" s="12" t="s">
        <v>97</v>
      </c>
      <c r="S96" s="10">
        <f>AVERAGE(C96:P96)</f>
        <v>3.5081623870597909</v>
      </c>
      <c r="T96" s="10">
        <f>AVERAGE(C96:P96)</f>
        <v>3.5081623870597909</v>
      </c>
    </row>
    <row r="97" spans="2:20" x14ac:dyDescent="0.25">
      <c r="B97" s="136" t="s">
        <v>67</v>
      </c>
      <c r="C97" s="136"/>
      <c r="D97" s="140" t="s">
        <v>76</v>
      </c>
      <c r="E97" s="140"/>
      <c r="F97" s="140"/>
      <c r="G97" s="140" t="s">
        <v>77</v>
      </c>
      <c r="H97" s="140"/>
      <c r="I97" s="140"/>
      <c r="J97" s="140" t="s">
        <v>76</v>
      </c>
      <c r="K97" s="140"/>
      <c r="L97" s="140"/>
      <c r="M97" s="140" t="s">
        <v>77</v>
      </c>
      <c r="N97" s="140"/>
      <c r="O97" s="140"/>
    </row>
    <row r="98" spans="2:20" ht="15" customHeight="1" x14ac:dyDescent="0.25">
      <c r="B98" t="s">
        <v>80</v>
      </c>
      <c r="C98" s="1" t="s">
        <v>70</v>
      </c>
      <c r="D98" s="1" t="s">
        <v>73</v>
      </c>
      <c r="E98" s="1" t="s">
        <v>74</v>
      </c>
      <c r="F98" s="1" t="s">
        <v>75</v>
      </c>
      <c r="G98" s="1" t="s">
        <v>73</v>
      </c>
      <c r="H98" s="1" t="s">
        <v>74</v>
      </c>
      <c r="I98" s="1" t="s">
        <v>75</v>
      </c>
      <c r="J98" s="1" t="s">
        <v>73</v>
      </c>
      <c r="K98" s="1" t="s">
        <v>74</v>
      </c>
      <c r="L98" s="1" t="s">
        <v>75</v>
      </c>
      <c r="M98" s="1" t="s">
        <v>73</v>
      </c>
      <c r="N98" s="1" t="s">
        <v>74</v>
      </c>
      <c r="O98" s="1" t="s">
        <v>75</v>
      </c>
      <c r="P98" s="1" t="s">
        <v>78</v>
      </c>
      <c r="R98" s="1"/>
      <c r="S98" s="1" t="s">
        <v>91</v>
      </c>
      <c r="T98" s="1" t="s">
        <v>90</v>
      </c>
    </row>
    <row r="99" spans="2:20" x14ac:dyDescent="0.25">
      <c r="B99" s="12" t="s">
        <v>42</v>
      </c>
      <c r="C99" s="10">
        <f>C4/$N12</f>
        <v>12.251114992441833</v>
      </c>
      <c r="D99" s="10">
        <f t="shared" ref="D99:O99" si="108">D4/$N12</f>
        <v>12.251114992441833</v>
      </c>
      <c r="E99" s="10">
        <f t="shared" si="108"/>
        <v>12.251114992441833</v>
      </c>
      <c r="F99" s="10">
        <f t="shared" si="108"/>
        <v>12.251114992441833</v>
      </c>
      <c r="G99" s="10">
        <f t="shared" si="108"/>
        <v>6.1255574962209165</v>
      </c>
      <c r="H99" s="10">
        <f t="shared" si="108"/>
        <v>12.251114992441833</v>
      </c>
      <c r="I99" s="10">
        <f t="shared" si="108"/>
        <v>12.251114992441833</v>
      </c>
      <c r="J99" s="10">
        <f t="shared" si="108"/>
        <v>4.3070326145303319</v>
      </c>
      <c r="K99" s="10">
        <f t="shared" si="108"/>
        <v>8.6140652290606639</v>
      </c>
      <c r="L99" s="10">
        <f t="shared" si="108"/>
        <v>8.6140652290606639</v>
      </c>
      <c r="M99" s="10">
        <f t="shared" si="108"/>
        <v>4.3070326145303319</v>
      </c>
      <c r="N99" s="10">
        <f t="shared" si="108"/>
        <v>4.3070326145303319</v>
      </c>
      <c r="O99" s="10">
        <f t="shared" si="108"/>
        <v>8.6140652290606639</v>
      </c>
      <c r="P99" s="10">
        <f>P4/$N12</f>
        <v>8.6140652290606639</v>
      </c>
      <c r="R99" s="12" t="s">
        <v>42</v>
      </c>
      <c r="S99" s="10">
        <f>AVERAGE(C99:P99)</f>
        <v>9.0721147293361089</v>
      </c>
      <c r="T99" s="10">
        <f>_xlfn.STDEV.P(C99:P99)</f>
        <v>3.1427435196737337</v>
      </c>
    </row>
    <row r="100" spans="2:20" x14ac:dyDescent="0.25">
      <c r="B100" s="12" t="s">
        <v>43</v>
      </c>
      <c r="C100" s="10">
        <f>C5/$N13</f>
        <v>15.883070941483904</v>
      </c>
      <c r="D100" s="10">
        <f t="shared" ref="D100:O100" si="109">D5/$N13</f>
        <v>15.883070941483904</v>
      </c>
      <c r="E100" s="10">
        <f t="shared" si="109"/>
        <v>31.766141882967808</v>
      </c>
      <c r="F100" s="10">
        <f t="shared" si="109"/>
        <v>31.766141882967808</v>
      </c>
      <c r="G100" s="10">
        <f t="shared" si="109"/>
        <v>7.9415354707419521</v>
      </c>
      <c r="H100" s="10">
        <f t="shared" si="109"/>
        <v>11.16778425573087</v>
      </c>
      <c r="I100" s="10">
        <f t="shared" si="109"/>
        <v>31.766141882967808</v>
      </c>
      <c r="J100" s="10">
        <f t="shared" si="109"/>
        <v>15.883070941483904</v>
      </c>
      <c r="K100" s="10">
        <f t="shared" si="109"/>
        <v>15.883070941483904</v>
      </c>
      <c r="L100" s="10">
        <f t="shared" si="109"/>
        <v>31.766141882967808</v>
      </c>
      <c r="M100" s="10">
        <f t="shared" si="109"/>
        <v>7.9415354707419521</v>
      </c>
      <c r="N100" s="10">
        <f t="shared" si="109"/>
        <v>11.16778425573087</v>
      </c>
      <c r="O100" s="10">
        <f t="shared" si="109"/>
        <v>15.883070941483904</v>
      </c>
      <c r="P100" s="10">
        <f t="shared" ref="P100" si="110">P5/$N13</f>
        <v>11.16778425573087</v>
      </c>
      <c r="R100" s="12" t="s">
        <v>43</v>
      </c>
      <c r="S100" s="10">
        <f>AVERAGE(C100:P100)</f>
        <v>18.276167567711948</v>
      </c>
      <c r="T100" s="10">
        <f>_xlfn.STDEV.P(C100:P100)</f>
        <v>8.9512519735149247</v>
      </c>
    </row>
    <row r="101" spans="2:20" x14ac:dyDescent="0.25">
      <c r="B101" s="12" t="s">
        <v>44</v>
      </c>
      <c r="C101" s="10">
        <f>C6/$N14</f>
        <v>2.7928656099053413</v>
      </c>
      <c r="D101" s="10">
        <f t="shared" ref="D101:O101" si="111">D6/$N14</f>
        <v>2.7928656099053413</v>
      </c>
      <c r="E101" s="10">
        <f t="shared" si="111"/>
        <v>2.7928656099053413</v>
      </c>
      <c r="F101" s="10">
        <f t="shared" si="111"/>
        <v>2.7928656099053413</v>
      </c>
      <c r="G101" s="10">
        <f t="shared" si="111"/>
        <v>0.98186681598234649</v>
      </c>
      <c r="H101" s="10">
        <f t="shared" si="111"/>
        <v>0.69821640247633532</v>
      </c>
      <c r="I101" s="10">
        <f t="shared" si="111"/>
        <v>2.7928656099053413</v>
      </c>
      <c r="J101" s="10">
        <f t="shared" si="111"/>
        <v>1.3964328049526706</v>
      </c>
      <c r="K101" s="10">
        <f t="shared" si="111"/>
        <v>2.7928656099053413</v>
      </c>
      <c r="L101" s="10">
        <f t="shared" si="111"/>
        <v>2.7928656099053413</v>
      </c>
      <c r="M101" s="10">
        <f t="shared" si="111"/>
        <v>1.3964328049526706</v>
      </c>
      <c r="N101" s="10">
        <f t="shared" si="111"/>
        <v>0.69821640247633532</v>
      </c>
      <c r="O101" s="10">
        <f t="shared" si="111"/>
        <v>0.69821640247633532</v>
      </c>
      <c r="P101" s="10">
        <f t="shared" ref="P101" si="112">P6/$N14</f>
        <v>1.3964328049526706</v>
      </c>
      <c r="R101" s="12" t="s">
        <v>44</v>
      </c>
      <c r="S101" s="10">
        <f>AVERAGE(C101:P101)</f>
        <v>1.9154195505433393</v>
      </c>
      <c r="T101" s="10">
        <f>_xlfn.STDEV.P(C101:P101)</f>
        <v>0.90686642799432948</v>
      </c>
    </row>
    <row r="102" spans="2:20" x14ac:dyDescent="0.25">
      <c r="B102" s="12" t="s">
        <v>71</v>
      </c>
      <c r="C102" s="10">
        <f>C7/$N15</f>
        <v>31.766141882967808</v>
      </c>
      <c r="D102" s="10">
        <f t="shared" ref="D102:O102" si="113">D7/$N15</f>
        <v>31.766141882967808</v>
      </c>
      <c r="E102" s="10">
        <f t="shared" si="113"/>
        <v>31.766141882967808</v>
      </c>
      <c r="F102" s="10">
        <f t="shared" si="113"/>
        <v>31.766141882967808</v>
      </c>
      <c r="G102" s="10">
        <f t="shared" si="113"/>
        <v>7.9415354707419521</v>
      </c>
      <c r="H102" s="10">
        <f t="shared" si="113"/>
        <v>10.423265305348812</v>
      </c>
      <c r="I102" s="10">
        <f t="shared" si="113"/>
        <v>31.766141882967808</v>
      </c>
      <c r="J102" s="10">
        <f t="shared" si="113"/>
        <v>31.766141882967808</v>
      </c>
      <c r="K102" s="10">
        <f t="shared" si="113"/>
        <v>31.766141882967808</v>
      </c>
      <c r="L102" s="10">
        <f t="shared" si="113"/>
        <v>31.766141882967808</v>
      </c>
      <c r="M102" s="10">
        <f t="shared" si="113"/>
        <v>31.766141882967808</v>
      </c>
      <c r="N102" s="10">
        <f t="shared" si="113"/>
        <v>15.883070941483904</v>
      </c>
      <c r="O102" s="10">
        <f t="shared" si="113"/>
        <v>7.9415354707419521</v>
      </c>
      <c r="P102" s="10">
        <f>P7/$N15</f>
        <v>31.766141882967808</v>
      </c>
      <c r="R102" s="12" t="s">
        <v>71</v>
      </c>
      <c r="S102" s="10">
        <f>AVERAGE(C102:P102)</f>
        <v>25.703630429856762</v>
      </c>
      <c r="T102" s="10">
        <f>AVERAGE(C102:P102)</f>
        <v>25.703630429856762</v>
      </c>
    </row>
    <row r="103" spans="2:20" x14ac:dyDescent="0.25">
      <c r="B103" s="12" t="s">
        <v>97</v>
      </c>
      <c r="C103" s="10">
        <f>C8/$N16</f>
        <v>3.6863857564111955</v>
      </c>
      <c r="D103" s="10">
        <f t="shared" ref="D103:O103" si="114">D8/$N16</f>
        <v>3.6863857564111955</v>
      </c>
      <c r="E103" s="10">
        <f t="shared" si="114"/>
        <v>3.6863857564111955</v>
      </c>
      <c r="F103" s="10">
        <f t="shared" si="114"/>
        <v>3.6863857564111955</v>
      </c>
      <c r="G103" s="10">
        <f t="shared" si="114"/>
        <v>2.5919899849766219</v>
      </c>
      <c r="H103" s="10">
        <f t="shared" si="114"/>
        <v>3.6863857564111955</v>
      </c>
      <c r="I103" s="10">
        <f t="shared" si="114"/>
        <v>3.6863857564111955</v>
      </c>
      <c r="J103" s="10">
        <f t="shared" si="114"/>
        <v>3.6863857564111955</v>
      </c>
      <c r="K103" s="10">
        <f t="shared" si="114"/>
        <v>3.6863857564111955</v>
      </c>
      <c r="L103" s="10">
        <f t="shared" si="114"/>
        <v>3.6863857564111955</v>
      </c>
      <c r="M103" s="10">
        <f t="shared" si="114"/>
        <v>0.92159643910279887</v>
      </c>
      <c r="N103" s="10">
        <f t="shared" si="114"/>
        <v>0.92159643910279887</v>
      </c>
      <c r="O103" s="10">
        <f t="shared" si="114"/>
        <v>3.6863857564111955</v>
      </c>
      <c r="P103" s="10">
        <f>P8/$N16</f>
        <v>3.6863857564111955</v>
      </c>
      <c r="R103" s="12" t="s">
        <v>97</v>
      </c>
      <c r="S103" s="10">
        <f>AVERAGE(C103:P103)</f>
        <v>3.2132447274075271</v>
      </c>
      <c r="T103" s="10">
        <f>AVERAGE(C103:P103)</f>
        <v>3.2132447274075271</v>
      </c>
    </row>
    <row r="106" spans="2:20" x14ac:dyDescent="0.25">
      <c r="B106" s="125" t="s">
        <v>123</v>
      </c>
      <c r="C106" s="126"/>
    </row>
    <row r="107" spans="2:20" x14ac:dyDescent="0.25">
      <c r="B107" s="95"/>
      <c r="C107" s="31" t="s">
        <v>1</v>
      </c>
      <c r="D107" s="32" t="s">
        <v>2</v>
      </c>
      <c r="E107" s="33" t="s">
        <v>3</v>
      </c>
      <c r="F107" s="31" t="s">
        <v>4</v>
      </c>
      <c r="G107" s="32" t="s">
        <v>5</v>
      </c>
      <c r="H107" s="32" t="s">
        <v>6</v>
      </c>
      <c r="I107" s="32" t="s">
        <v>7</v>
      </c>
      <c r="J107" s="32" t="s">
        <v>8</v>
      </c>
      <c r="K107" s="33" t="s">
        <v>9</v>
      </c>
    </row>
    <row r="108" spans="2:20" x14ac:dyDescent="0.25">
      <c r="B108" s="97" t="s">
        <v>42</v>
      </c>
      <c r="C108" s="127">
        <v>2.3502595692804699E-3</v>
      </c>
      <c r="D108" s="9">
        <v>1.55677588667908E-3</v>
      </c>
      <c r="E108" s="128">
        <v>1.5928196056310101E-3</v>
      </c>
      <c r="F108" s="5">
        <v>0</v>
      </c>
      <c r="G108" s="1">
        <v>0</v>
      </c>
      <c r="H108" s="1">
        <v>3</v>
      </c>
      <c r="I108" s="1">
        <v>81</v>
      </c>
      <c r="J108" s="1">
        <v>1234</v>
      </c>
      <c r="K108" s="6">
        <v>12249</v>
      </c>
    </row>
    <row r="109" spans="2:20" x14ac:dyDescent="0.25">
      <c r="B109" s="97" t="s">
        <v>43</v>
      </c>
      <c r="C109" s="127">
        <v>6.8578127550032004E-4</v>
      </c>
      <c r="D109" s="9">
        <v>5.2928765328685596E-4</v>
      </c>
      <c r="E109" s="128">
        <v>5.2017823641583303E-4</v>
      </c>
      <c r="F109" s="5">
        <v>0</v>
      </c>
      <c r="G109" s="1">
        <v>0</v>
      </c>
      <c r="H109" s="1">
        <v>0</v>
      </c>
      <c r="I109" s="1">
        <v>0</v>
      </c>
      <c r="J109" s="1">
        <v>42</v>
      </c>
      <c r="K109" s="6">
        <v>1808</v>
      </c>
    </row>
    <row r="110" spans="2:20" x14ac:dyDescent="0.25">
      <c r="B110" s="97" t="s">
        <v>44</v>
      </c>
      <c r="C110" s="127">
        <v>1.70134740460979E-2</v>
      </c>
      <c r="D110" s="9">
        <v>8.5037075107537493E-3</v>
      </c>
      <c r="E110" s="128">
        <v>8.4491126781134403E-3</v>
      </c>
      <c r="F110" s="5">
        <v>0</v>
      </c>
      <c r="G110" s="1">
        <v>0</v>
      </c>
      <c r="H110" s="1">
        <v>28</v>
      </c>
      <c r="I110" s="1">
        <v>1077</v>
      </c>
      <c r="J110" s="1">
        <v>8935</v>
      </c>
      <c r="K110" s="6">
        <v>12854</v>
      </c>
    </row>
    <row r="111" spans="2:20" x14ac:dyDescent="0.25">
      <c r="B111" s="97" t="s">
        <v>71</v>
      </c>
      <c r="C111" s="127">
        <v>6.8578127550032004E-4</v>
      </c>
      <c r="D111" s="9">
        <v>5.2928765328685596E-4</v>
      </c>
      <c r="E111" s="128">
        <v>5.2017823641583303E-4</v>
      </c>
      <c r="F111" s="5">
        <v>0</v>
      </c>
      <c r="G111" s="1">
        <v>0</v>
      </c>
      <c r="H111" s="1">
        <v>0</v>
      </c>
      <c r="I111" s="1">
        <v>0</v>
      </c>
      <c r="J111" s="1">
        <v>42</v>
      </c>
      <c r="K111" s="6">
        <v>1808</v>
      </c>
    </row>
    <row r="112" spans="2:20" x14ac:dyDescent="0.25">
      <c r="B112" s="135" t="s">
        <v>97</v>
      </c>
      <c r="C112" s="129">
        <v>1.8111308452651399E-2</v>
      </c>
      <c r="D112" s="130">
        <v>4.2458617585666601E-3</v>
      </c>
      <c r="E112" s="131">
        <v>4.0014597242638899E-3</v>
      </c>
      <c r="F112" s="132">
        <v>1</v>
      </c>
      <c r="G112" s="133">
        <v>5</v>
      </c>
      <c r="H112" s="133">
        <v>18</v>
      </c>
      <c r="I112" s="133">
        <v>48</v>
      </c>
      <c r="J112" s="133">
        <v>9829</v>
      </c>
      <c r="K112" s="134">
        <v>37450</v>
      </c>
    </row>
  </sheetData>
  <mergeCells count="105">
    <mergeCell ref="D18:I18"/>
    <mergeCell ref="J18:O18"/>
    <mergeCell ref="D19:F19"/>
    <mergeCell ref="G19:I19"/>
    <mergeCell ref="J19:L19"/>
    <mergeCell ref="M19:O19"/>
    <mergeCell ref="D1:I1"/>
    <mergeCell ref="J1:O1"/>
    <mergeCell ref="J2:L2"/>
    <mergeCell ref="M2:O2"/>
    <mergeCell ref="D10:F10"/>
    <mergeCell ref="G10:I10"/>
    <mergeCell ref="J10:L10"/>
    <mergeCell ref="D2:F2"/>
    <mergeCell ref="G2:I2"/>
    <mergeCell ref="D54:F54"/>
    <mergeCell ref="G26:I26"/>
    <mergeCell ref="J26:L26"/>
    <mergeCell ref="M26:O26"/>
    <mergeCell ref="D33:F33"/>
    <mergeCell ref="G33:I33"/>
    <mergeCell ref="J33:L33"/>
    <mergeCell ref="M33:O33"/>
    <mergeCell ref="B19:C19"/>
    <mergeCell ref="B26:C26"/>
    <mergeCell ref="B33:C33"/>
    <mergeCell ref="D26:F26"/>
    <mergeCell ref="M75:O75"/>
    <mergeCell ref="B54:C54"/>
    <mergeCell ref="B61:C61"/>
    <mergeCell ref="B68:C68"/>
    <mergeCell ref="B75:C75"/>
    <mergeCell ref="B82:C82"/>
    <mergeCell ref="G40:I40"/>
    <mergeCell ref="J40:L40"/>
    <mergeCell ref="M40:O40"/>
    <mergeCell ref="B47:C47"/>
    <mergeCell ref="D47:F47"/>
    <mergeCell ref="G47:I47"/>
    <mergeCell ref="J47:L47"/>
    <mergeCell ref="M47:O47"/>
    <mergeCell ref="B40:C40"/>
    <mergeCell ref="D40:F40"/>
    <mergeCell ref="D68:F68"/>
    <mergeCell ref="G54:I54"/>
    <mergeCell ref="J54:L54"/>
    <mergeCell ref="M54:O54"/>
    <mergeCell ref="D61:F61"/>
    <mergeCell ref="G61:I61"/>
    <mergeCell ref="J61:L61"/>
    <mergeCell ref="M61:O61"/>
    <mergeCell ref="BC2:BE2"/>
    <mergeCell ref="BF2:BH2"/>
    <mergeCell ref="BI2:BK2"/>
    <mergeCell ref="AV2:BA2"/>
    <mergeCell ref="B97:C97"/>
    <mergeCell ref="D97:F97"/>
    <mergeCell ref="G97:I97"/>
    <mergeCell ref="J97:L97"/>
    <mergeCell ref="M97:O97"/>
    <mergeCell ref="G82:I82"/>
    <mergeCell ref="J82:L82"/>
    <mergeCell ref="M82:O82"/>
    <mergeCell ref="B90:C90"/>
    <mergeCell ref="D90:F90"/>
    <mergeCell ref="G90:I90"/>
    <mergeCell ref="J90:L90"/>
    <mergeCell ref="M90:O90"/>
    <mergeCell ref="D82:F82"/>
    <mergeCell ref="G68:I68"/>
    <mergeCell ref="J68:L68"/>
    <mergeCell ref="M68:O68"/>
    <mergeCell ref="D75:F75"/>
    <mergeCell ref="G75:I75"/>
    <mergeCell ref="J75:L75"/>
    <mergeCell ref="AL23:AN23"/>
    <mergeCell ref="AO23:AQ23"/>
    <mergeCell ref="AR23:AT23"/>
    <mergeCell ref="AZ16:BB16"/>
    <mergeCell ref="BC16:BE16"/>
    <mergeCell ref="BF16:BH16"/>
    <mergeCell ref="BI16:BK16"/>
    <mergeCell ref="AL13:AN13"/>
    <mergeCell ref="AO13:AQ13"/>
    <mergeCell ref="AR13:AT13"/>
    <mergeCell ref="AZ15:BE15"/>
    <mergeCell ref="BF15:BK15"/>
    <mergeCell ref="AK29:AP29"/>
    <mergeCell ref="AQ29:AV29"/>
    <mergeCell ref="AK30:AM30"/>
    <mergeCell ref="AN30:AP30"/>
    <mergeCell ref="AQ30:AS30"/>
    <mergeCell ref="AT30:AV30"/>
    <mergeCell ref="AH33:AH35"/>
    <mergeCell ref="AH36:AH38"/>
    <mergeCell ref="AH39:AH41"/>
    <mergeCell ref="AH52:AH54"/>
    <mergeCell ref="AH55:AH57"/>
    <mergeCell ref="AH58:AH60"/>
    <mergeCell ref="AK48:AP48"/>
    <mergeCell ref="AQ48:AV48"/>
    <mergeCell ref="AK49:AM49"/>
    <mergeCell ref="AN49:AP49"/>
    <mergeCell ref="AQ49:AS49"/>
    <mergeCell ref="AT49:AV4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CA08-5D98-4289-ADCB-64256AB0F156}">
  <dimension ref="A1:BI37"/>
  <sheetViews>
    <sheetView zoomScale="85" zoomScaleNormal="85" workbookViewId="0">
      <selection activeCell="B23" sqref="B23"/>
    </sheetView>
  </sheetViews>
  <sheetFormatPr defaultRowHeight="15" x14ac:dyDescent="0.25"/>
  <cols>
    <col min="2" max="2" width="13.7109375" customWidth="1"/>
    <col min="3" max="3" width="12.140625" customWidth="1"/>
    <col min="4" max="4" width="12.28515625" customWidth="1"/>
    <col min="5" max="5" width="12.140625" customWidth="1"/>
    <col min="6" max="6" width="12.28515625" customWidth="1"/>
    <col min="7" max="7" width="13" customWidth="1"/>
    <col min="26" max="26" width="19.140625" customWidth="1"/>
    <col min="27" max="27" width="15.7109375" customWidth="1"/>
    <col min="28" max="28" width="17.5703125" customWidth="1"/>
    <col min="35" max="35" width="17" customWidth="1"/>
    <col min="36" max="36" width="15.42578125" customWidth="1"/>
    <col min="37" max="37" width="16.28515625" customWidth="1"/>
    <col min="44" max="44" width="15.5703125" customWidth="1"/>
    <col min="45" max="45" width="16.7109375" customWidth="1"/>
    <col min="46" max="46" width="18.28515625" customWidth="1"/>
    <col min="53" max="57" width="12.7109375" bestFit="1" customWidth="1"/>
    <col min="58" max="58" width="13.7109375" bestFit="1" customWidth="1"/>
  </cols>
  <sheetData>
    <row r="1" spans="1:58" x14ac:dyDescent="0.25">
      <c r="T1" s="136" t="s">
        <v>51</v>
      </c>
      <c r="U1" s="136"/>
      <c r="V1" s="136"/>
      <c r="W1" s="136"/>
      <c r="X1" s="136"/>
      <c r="Y1" s="136"/>
      <c r="AC1" s="136" t="s">
        <v>55</v>
      </c>
      <c r="AD1" s="136"/>
      <c r="AE1" s="136"/>
      <c r="AF1" s="136"/>
      <c r="AG1" s="136"/>
      <c r="AH1" s="136"/>
      <c r="AL1" s="136" t="s">
        <v>58</v>
      </c>
      <c r="AM1" s="136"/>
      <c r="AN1" s="136"/>
      <c r="AO1" s="136"/>
      <c r="AP1" s="136"/>
      <c r="AQ1" s="136"/>
      <c r="BA1" s="137" t="s">
        <v>63</v>
      </c>
      <c r="BB1" s="138"/>
      <c r="BC1" s="138"/>
      <c r="BD1" s="138"/>
      <c r="BE1" s="138"/>
      <c r="BF1" s="139"/>
    </row>
    <row r="2" spans="1:58" x14ac:dyDescent="0.25">
      <c r="A2" s="31" t="s">
        <v>0</v>
      </c>
      <c r="B2" s="50" t="s">
        <v>46</v>
      </c>
      <c r="C2" s="47" t="s">
        <v>45</v>
      </c>
      <c r="D2" s="32" t="s">
        <v>47</v>
      </c>
      <c r="E2" s="32" t="s">
        <v>1</v>
      </c>
      <c r="F2" s="32" t="s">
        <v>2</v>
      </c>
      <c r="G2" s="32" t="s">
        <v>3</v>
      </c>
      <c r="H2" s="31" t="s">
        <v>4</v>
      </c>
      <c r="I2" s="32" t="s">
        <v>5</v>
      </c>
      <c r="J2" s="32" t="s">
        <v>6</v>
      </c>
      <c r="K2" s="32" t="s">
        <v>7</v>
      </c>
      <c r="L2" s="32" t="s">
        <v>8</v>
      </c>
      <c r="M2" s="32" t="s">
        <v>9</v>
      </c>
      <c r="N2" s="31" t="s">
        <v>33</v>
      </c>
      <c r="O2" s="32" t="s">
        <v>34</v>
      </c>
      <c r="P2" s="32" t="s">
        <v>35</v>
      </c>
      <c r="Q2" s="32" t="s">
        <v>36</v>
      </c>
      <c r="R2" s="32" t="s">
        <v>37</v>
      </c>
      <c r="S2" s="33" t="s">
        <v>38</v>
      </c>
      <c r="T2" s="31" t="s">
        <v>21</v>
      </c>
      <c r="U2" s="32" t="s">
        <v>20</v>
      </c>
      <c r="V2" s="32" t="s">
        <v>19</v>
      </c>
      <c r="W2" s="32" t="s">
        <v>18</v>
      </c>
      <c r="X2" s="32" t="s">
        <v>17</v>
      </c>
      <c r="Y2" s="33" t="s">
        <v>16</v>
      </c>
      <c r="Z2" s="1" t="s">
        <v>52</v>
      </c>
      <c r="AA2" s="1" t="s">
        <v>53</v>
      </c>
      <c r="AB2" s="1" t="s">
        <v>54</v>
      </c>
      <c r="AC2" s="31" t="s">
        <v>21</v>
      </c>
      <c r="AD2" s="32" t="s">
        <v>20</v>
      </c>
      <c r="AE2" s="32" t="s">
        <v>19</v>
      </c>
      <c r="AF2" s="32" t="s">
        <v>18</v>
      </c>
      <c r="AG2" s="32" t="s">
        <v>17</v>
      </c>
      <c r="AH2" s="33" t="s">
        <v>16</v>
      </c>
      <c r="AI2" s="1" t="s">
        <v>56</v>
      </c>
      <c r="AJ2" t="s">
        <v>57</v>
      </c>
      <c r="AK2" s="1" t="s">
        <v>62</v>
      </c>
      <c r="AL2" s="31" t="s">
        <v>21</v>
      </c>
      <c r="AM2" s="32" t="s">
        <v>20</v>
      </c>
      <c r="AN2" s="32" t="s">
        <v>19</v>
      </c>
      <c r="AO2" s="32" t="s">
        <v>18</v>
      </c>
      <c r="AP2" s="32" t="s">
        <v>17</v>
      </c>
      <c r="AQ2" s="33" t="s">
        <v>16</v>
      </c>
      <c r="AR2" s="1" t="s">
        <v>59</v>
      </c>
      <c r="AS2" s="1" t="s">
        <v>60</v>
      </c>
      <c r="AT2" s="1" t="s">
        <v>61</v>
      </c>
      <c r="AU2" t="s">
        <v>10</v>
      </c>
      <c r="AV2" t="s">
        <v>11</v>
      </c>
      <c r="AW2" t="s">
        <v>12</v>
      </c>
      <c r="AX2" t="s">
        <v>13</v>
      </c>
      <c r="AY2" t="s">
        <v>14</v>
      </c>
      <c r="AZ2" t="s">
        <v>15</v>
      </c>
      <c r="BA2" s="31" t="s">
        <v>21</v>
      </c>
      <c r="BB2" s="32" t="s">
        <v>20</v>
      </c>
      <c r="BC2" s="32" t="s">
        <v>19</v>
      </c>
      <c r="BD2" s="32" t="s">
        <v>18</v>
      </c>
      <c r="BE2" s="32" t="s">
        <v>17</v>
      </c>
      <c r="BF2" s="33" t="s">
        <v>16</v>
      </c>
    </row>
    <row r="3" spans="1:58" x14ac:dyDescent="0.25">
      <c r="A3" s="34">
        <v>167</v>
      </c>
      <c r="B3" s="51">
        <v>128</v>
      </c>
      <c r="C3" s="48">
        <v>195</v>
      </c>
      <c r="D3" s="2">
        <v>7</v>
      </c>
      <c r="E3" s="27">
        <v>0.104819100180613</v>
      </c>
      <c r="F3" s="27">
        <v>3.3154403752457901E-2</v>
      </c>
      <c r="G3" s="27">
        <v>2.2914216154744201E-2</v>
      </c>
      <c r="H3" s="30">
        <v>6</v>
      </c>
      <c r="I3" s="8">
        <v>16</v>
      </c>
      <c r="J3" s="8">
        <v>96</v>
      </c>
      <c r="K3" s="8">
        <v>264</v>
      </c>
      <c r="L3" s="8">
        <v>604</v>
      </c>
      <c r="M3" s="8">
        <v>978</v>
      </c>
      <c r="N3" s="20">
        <f>H3/$D3</f>
        <v>0.8571428571428571</v>
      </c>
      <c r="O3" s="10">
        <f t="shared" ref="O3:S18" si="0">I3/$D3</f>
        <v>2.2857142857142856</v>
      </c>
      <c r="P3" s="10">
        <f t="shared" si="0"/>
        <v>13.714285714285714</v>
      </c>
      <c r="Q3" s="10">
        <f t="shared" si="0"/>
        <v>37.714285714285715</v>
      </c>
      <c r="R3" s="10">
        <f t="shared" si="0"/>
        <v>86.285714285714292</v>
      </c>
      <c r="S3" s="22">
        <f t="shared" si="0"/>
        <v>139.71428571428572</v>
      </c>
      <c r="T3" s="20">
        <f>N3*$E3</f>
        <v>8.984494301195399E-2</v>
      </c>
      <c r="U3" s="10">
        <f t="shared" ref="U3:Y18" si="1">O3*$E3</f>
        <v>0.23958651469854397</v>
      </c>
      <c r="V3" s="10">
        <f t="shared" si="1"/>
        <v>1.4375190881912638</v>
      </c>
      <c r="W3" s="10">
        <f>Q3*$E3</f>
        <v>3.9531774925259757</v>
      </c>
      <c r="X3" s="10">
        <f t="shared" si="1"/>
        <v>9.0443909298700369</v>
      </c>
      <c r="Y3" s="22">
        <f t="shared" si="1"/>
        <v>14.644725710948503</v>
      </c>
      <c r="Z3" s="4">
        <f t="shared" ref="Z3:Z22" si="2">E3/G3</f>
        <v>4.5744135200937714</v>
      </c>
      <c r="AA3" s="9">
        <f>E3/F3</f>
        <v>3.1615438167197394</v>
      </c>
      <c r="AB3" s="4">
        <f>G3/F3</f>
        <v>0.69113642717961588</v>
      </c>
      <c r="AC3" s="59">
        <f>N3*$G3</f>
        <v>1.9640756704066457E-2</v>
      </c>
      <c r="AD3" s="60">
        <f t="shared" ref="AD3:AH18" si="3">O3*$G3</f>
        <v>5.2375351210843885E-2</v>
      </c>
      <c r="AE3" s="60">
        <f t="shared" si="3"/>
        <v>0.31425210726506331</v>
      </c>
      <c r="AF3" s="60">
        <f t="shared" si="3"/>
        <v>0.86419329497892416</v>
      </c>
      <c r="AG3" s="60">
        <f t="shared" si="3"/>
        <v>1.977169508209357</v>
      </c>
      <c r="AH3" s="61">
        <f t="shared" si="3"/>
        <v>3.201443342762833</v>
      </c>
      <c r="AI3" s="58">
        <f>E3*G3</f>
        <v>2.4018475186843532E-3</v>
      </c>
      <c r="AJ3" s="58">
        <f>E3*F3</f>
        <v>3.4752147683573759E-3</v>
      </c>
      <c r="AK3" s="58">
        <f>G3*F3</f>
        <v>7.597071740654826E-4</v>
      </c>
      <c r="AL3" s="59">
        <f>N3*$F3</f>
        <v>2.8418060359249629E-2</v>
      </c>
      <c r="AM3" s="60">
        <f t="shared" ref="AM3:AQ3" si="4">O3*$F3</f>
        <v>7.5781494291332338E-2</v>
      </c>
      <c r="AN3" s="60">
        <f t="shared" si="4"/>
        <v>0.45468896574799406</v>
      </c>
      <c r="AO3" s="60">
        <f t="shared" si="4"/>
        <v>1.2503946558069836</v>
      </c>
      <c r="AP3" s="60">
        <f t="shared" si="4"/>
        <v>2.8607514094977962</v>
      </c>
      <c r="AQ3" s="61">
        <f t="shared" si="4"/>
        <v>4.6321438385576901</v>
      </c>
      <c r="AR3" s="9">
        <f>G3/E3</f>
        <v>0.21860725874636291</v>
      </c>
      <c r="AS3" s="9">
        <f>F3/E3</f>
        <v>0.31630116739534875</v>
      </c>
      <c r="AT3" s="9">
        <f>F3/G3</f>
        <v>1.4468923365547266</v>
      </c>
      <c r="AU3" s="10">
        <v>6.4069250048013796E-2</v>
      </c>
      <c r="AV3" s="10">
        <v>0.17940701762775299</v>
      </c>
      <c r="AW3" s="10">
        <v>0.59727911911144405</v>
      </c>
      <c r="AX3" s="10">
        <v>2.1218818406845701</v>
      </c>
      <c r="AY3" s="10">
        <v>8.4875273627382803</v>
      </c>
      <c r="AZ3" s="10">
        <v>33.9501094509531</v>
      </c>
      <c r="BA3" s="46">
        <f>AU3*AL3</f>
        <v>1.8207238150363132E-3</v>
      </c>
      <c r="BB3" s="58">
        <f t="shared" ref="BB3:BF3" si="5">AV3*AM3</f>
        <v>1.3595731882182523E-2</v>
      </c>
      <c r="BC3" s="58">
        <f t="shared" si="5"/>
        <v>0.27157622493165545</v>
      </c>
      <c r="BD3" s="58">
        <f t="shared" si="5"/>
        <v>2.653189713845872</v>
      </c>
      <c r="BE3" s="58">
        <f t="shared" si="5"/>
        <v>24.280705866104647</v>
      </c>
      <c r="BF3" s="62">
        <f t="shared" si="5"/>
        <v>157.2617903115916</v>
      </c>
    </row>
    <row r="4" spans="1:58" x14ac:dyDescent="0.25">
      <c r="A4" s="34">
        <v>6</v>
      </c>
      <c r="B4" s="51">
        <v>128</v>
      </c>
      <c r="C4" s="48">
        <v>150</v>
      </c>
      <c r="D4" s="2">
        <v>10</v>
      </c>
      <c r="E4" s="27">
        <v>5.1422303101187901E-2</v>
      </c>
      <c r="F4" s="27">
        <v>1.43345982575964E-2</v>
      </c>
      <c r="G4" s="27">
        <v>7.2966466530169603E-3</v>
      </c>
      <c r="H4" s="30">
        <v>2</v>
      </c>
      <c r="I4" s="8">
        <v>8</v>
      </c>
      <c r="J4" s="8">
        <v>65</v>
      </c>
      <c r="K4" s="8">
        <v>195</v>
      </c>
      <c r="L4" s="8">
        <v>628</v>
      </c>
      <c r="M4" s="8">
        <v>1690</v>
      </c>
      <c r="N4" s="20">
        <f t="shared" ref="N4:N21" si="6">H4/$D4</f>
        <v>0.2</v>
      </c>
      <c r="O4" s="10">
        <f t="shared" si="0"/>
        <v>0.8</v>
      </c>
      <c r="P4" s="10">
        <f t="shared" si="0"/>
        <v>6.5</v>
      </c>
      <c r="Q4" s="10">
        <f t="shared" si="0"/>
        <v>19.5</v>
      </c>
      <c r="R4" s="10">
        <f t="shared" si="0"/>
        <v>62.8</v>
      </c>
      <c r="S4" s="22">
        <f t="shared" si="0"/>
        <v>169</v>
      </c>
      <c r="T4" s="20">
        <f t="shared" ref="T4:T21" si="7">N4*$E4</f>
        <v>1.0284460620237581E-2</v>
      </c>
      <c r="U4" s="10">
        <f t="shared" si="1"/>
        <v>4.1137842480950322E-2</v>
      </c>
      <c r="V4" s="10">
        <f t="shared" si="1"/>
        <v>0.33424497015772137</v>
      </c>
      <c r="W4" s="10">
        <f t="shared" si="1"/>
        <v>1.002734910473164</v>
      </c>
      <c r="X4" s="10">
        <f t="shared" si="1"/>
        <v>3.2293206347546</v>
      </c>
      <c r="Y4" s="22">
        <f t="shared" si="1"/>
        <v>8.6903692241007544</v>
      </c>
      <c r="Z4" s="4">
        <f t="shared" si="2"/>
        <v>7.0473884164208789</v>
      </c>
      <c r="AA4" s="9">
        <f t="shared" ref="AA4:AA22" si="8">E4/F4</f>
        <v>3.5872859620559958</v>
      </c>
      <c r="AB4" s="4">
        <f t="shared" ref="AB4:AB22" si="9">G4/F4</f>
        <v>0.50902344955152234</v>
      </c>
      <c r="AC4" s="53">
        <f t="shared" ref="AC4:AC21" si="10">N4*$G4</f>
        <v>1.4593293306033922E-3</v>
      </c>
      <c r="AD4">
        <f t="shared" si="3"/>
        <v>5.8373173224135688E-3</v>
      </c>
      <c r="AE4">
        <f t="shared" si="3"/>
        <v>4.7428203244610244E-2</v>
      </c>
      <c r="AF4">
        <f t="shared" si="3"/>
        <v>0.14228460973383072</v>
      </c>
      <c r="AG4">
        <f t="shared" si="3"/>
        <v>0.45822940980946508</v>
      </c>
      <c r="AH4" s="54">
        <f t="shared" si="3"/>
        <v>1.2331332843598664</v>
      </c>
      <c r="AI4" s="58">
        <f t="shared" ref="AI4:AI22" si="11">E4*G4</f>
        <v>3.7521037581370633E-4</v>
      </c>
      <c r="AJ4" s="58">
        <f t="shared" ref="AJ4:AJ22" si="12">E4*F4</f>
        <v>7.3711805643588205E-4</v>
      </c>
      <c r="AK4" s="58">
        <f t="shared" ref="AK4:AK22" si="13">G4*F4</f>
        <v>1.0459449839863352E-4</v>
      </c>
      <c r="AL4" s="53">
        <f>N4*$F4</f>
        <v>2.8669196515192803E-3</v>
      </c>
      <c r="AM4">
        <f t="shared" ref="AM4:AQ19" si="14">O4*$F4</f>
        <v>1.1467678606077121E-2</v>
      </c>
      <c r="AN4">
        <f t="shared" si="14"/>
        <v>9.3174888674376594E-2</v>
      </c>
      <c r="AO4">
        <f t="shared" si="14"/>
        <v>0.27952466602312981</v>
      </c>
      <c r="AP4">
        <f t="shared" si="14"/>
        <v>0.90021277057705384</v>
      </c>
      <c r="AQ4" s="54">
        <f t="shared" si="14"/>
        <v>2.4225471055337917</v>
      </c>
      <c r="AR4" s="9">
        <f t="shared" ref="AR4:AR22" si="15">G4/E4</f>
        <v>0.14189653541302394</v>
      </c>
      <c r="AS4" s="9">
        <f t="shared" ref="AS4:AS22" si="16">F4/E4</f>
        <v>0.27876227615455168</v>
      </c>
      <c r="AT4" s="9">
        <f t="shared" ref="AT4:AT22" si="17">F4/G4</f>
        <v>1.9645460359067055</v>
      </c>
      <c r="AU4" s="10">
        <v>5.1422303616638097E-2</v>
      </c>
      <c r="AV4" s="10">
        <v>0.136504884052633</v>
      </c>
      <c r="AW4" s="10">
        <v>0.26754282688021702</v>
      </c>
      <c r="AX4" s="10">
        <v>0.98750358289623297</v>
      </c>
      <c r="AY4" s="10">
        <v>3.6696571758817198</v>
      </c>
      <c r="AZ4" s="10">
        <v>14.678628703526799</v>
      </c>
      <c r="BA4" s="46">
        <f t="shared" ref="BA4:BA21" si="18">AU4*AL4</f>
        <v>1.4742361276493072E-4</v>
      </c>
      <c r="BB4" s="58">
        <f t="shared" ref="BB4:BB21" si="19">AV4*AM4</f>
        <v>1.5653941384754174E-3</v>
      </c>
      <c r="BC4" s="58">
        <f t="shared" ref="BC4:BC21" si="20">AW4*AN4</f>
        <v>2.4928273110192231E-2</v>
      </c>
      <c r="BD4" s="58">
        <f t="shared" ref="BD4:BD22" si="21">AX4*AO4</f>
        <v>0.27603160920571362</v>
      </c>
      <c r="BE4" s="58">
        <f t="shared" ref="BE4:BE22" si="22">AY4*AP4</f>
        <v>3.30347225336845</v>
      </c>
      <c r="BF4" s="62">
        <f t="shared" ref="BF4:BF22" si="23">AZ4*AQ4</f>
        <v>35.559669478934083</v>
      </c>
    </row>
    <row r="5" spans="1:58" x14ac:dyDescent="0.25">
      <c r="A5" s="34">
        <v>150</v>
      </c>
      <c r="B5" s="51">
        <v>90</v>
      </c>
      <c r="C5" s="48">
        <v>108.42</v>
      </c>
      <c r="D5" s="2">
        <v>5</v>
      </c>
      <c r="E5" s="27">
        <v>4.68499378365069E-2</v>
      </c>
      <c r="F5" s="27">
        <v>1.9737041545963101E-2</v>
      </c>
      <c r="G5" s="27">
        <v>1.1301251811562101E-2</v>
      </c>
      <c r="H5" s="30">
        <v>2</v>
      </c>
      <c r="I5" s="8">
        <v>16</v>
      </c>
      <c r="J5" s="8">
        <v>41</v>
      </c>
      <c r="K5" s="8">
        <v>139</v>
      </c>
      <c r="L5" s="8">
        <v>414</v>
      </c>
      <c r="M5" s="8">
        <v>882</v>
      </c>
      <c r="N5" s="20">
        <f t="shared" si="6"/>
        <v>0.4</v>
      </c>
      <c r="O5" s="10">
        <f t="shared" si="0"/>
        <v>3.2</v>
      </c>
      <c r="P5" s="10">
        <f t="shared" si="0"/>
        <v>8.1999999999999993</v>
      </c>
      <c r="Q5" s="10">
        <f t="shared" si="0"/>
        <v>27.8</v>
      </c>
      <c r="R5" s="10">
        <f t="shared" si="0"/>
        <v>82.8</v>
      </c>
      <c r="S5" s="22">
        <f t="shared" si="0"/>
        <v>176.4</v>
      </c>
      <c r="T5" s="20">
        <f t="shared" si="7"/>
        <v>1.8739975134602762E-2</v>
      </c>
      <c r="U5" s="10">
        <f t="shared" si="1"/>
        <v>0.1499198010768221</v>
      </c>
      <c r="V5" s="10">
        <f t="shared" si="1"/>
        <v>0.38416949025935654</v>
      </c>
      <c r="W5" s="10">
        <f t="shared" si="1"/>
        <v>1.3024282718548919</v>
      </c>
      <c r="X5" s="10">
        <f t="shared" si="1"/>
        <v>3.879174852862771</v>
      </c>
      <c r="Y5" s="22">
        <f t="shared" si="1"/>
        <v>8.2643290343598181</v>
      </c>
      <c r="Z5" s="4">
        <f t="shared" si="2"/>
        <v>4.1455529544590446</v>
      </c>
      <c r="AA5" s="9">
        <f t="shared" si="8"/>
        <v>2.3737061974259923</v>
      </c>
      <c r="AB5" s="4">
        <f t="shared" si="9"/>
        <v>0.57259097242330081</v>
      </c>
      <c r="AC5" s="53">
        <f t="shared" si="10"/>
        <v>4.5205007246248404E-3</v>
      </c>
      <c r="AD5">
        <f t="shared" si="3"/>
        <v>3.6164005796998723E-2</v>
      </c>
      <c r="AE5">
        <f t="shared" si="3"/>
        <v>9.2670264854809212E-2</v>
      </c>
      <c r="AF5">
        <f t="shared" si="3"/>
        <v>0.31417480036142642</v>
      </c>
      <c r="AG5">
        <f t="shared" si="3"/>
        <v>0.93574364999734194</v>
      </c>
      <c r="AH5" s="54">
        <f t="shared" si="3"/>
        <v>1.9935408195595545</v>
      </c>
      <c r="AI5" s="58">
        <f t="shared" si="11"/>
        <v>5.2946294484639543E-4</v>
      </c>
      <c r="AJ5" s="58">
        <f t="shared" si="12"/>
        <v>9.2467916950492537E-4</v>
      </c>
      <c r="AK5" s="58">
        <f t="shared" si="13"/>
        <v>2.2305327652619194E-4</v>
      </c>
      <c r="AL5" s="53">
        <f t="shared" ref="AL5:AL21" si="24">N5*$F5</f>
        <v>7.8948166183852413E-3</v>
      </c>
      <c r="AM5">
        <f t="shared" si="14"/>
        <v>6.315853294708193E-2</v>
      </c>
      <c r="AN5">
        <f t="shared" si="14"/>
        <v>0.16184374067689741</v>
      </c>
      <c r="AO5">
        <f t="shared" si="14"/>
        <v>0.54868975497777428</v>
      </c>
      <c r="AP5">
        <f t="shared" si="14"/>
        <v>1.6342270400057448</v>
      </c>
      <c r="AQ5" s="54">
        <f t="shared" si="14"/>
        <v>3.481614128707891</v>
      </c>
      <c r="AR5" s="9">
        <f t="shared" si="15"/>
        <v>0.24122234379478344</v>
      </c>
      <c r="AS5" s="9">
        <f t="shared" si="16"/>
        <v>0.42128212880110583</v>
      </c>
      <c r="AT5" s="9">
        <f t="shared" si="17"/>
        <v>1.7464473737122201</v>
      </c>
      <c r="AU5" s="10">
        <v>4.6849938207403699E-2</v>
      </c>
      <c r="AV5" s="10">
        <v>0.12535462962986799</v>
      </c>
      <c r="AW5" s="10">
        <v>0.44063655773576799</v>
      </c>
      <c r="AX5" s="10">
        <v>1.4715502319528799</v>
      </c>
      <c r="AY5" s="10">
        <v>5.0526826474058097</v>
      </c>
      <c r="AZ5" s="10">
        <v>20.2107305896232</v>
      </c>
      <c r="BA5" s="46">
        <f t="shared" si="18"/>
        <v>3.6987167073013237E-4</v>
      </c>
      <c r="BB5" s="58">
        <f t="shared" si="19"/>
        <v>7.9172145055472695E-3</v>
      </c>
      <c r="BC5" s="58">
        <f t="shared" si="20"/>
        <v>7.1314268782948373E-2</v>
      </c>
      <c r="BD5" s="58">
        <f t="shared" si="21"/>
        <v>0.8074245362077126</v>
      </c>
      <c r="BE5" s="58">
        <f t="shared" si="22"/>
        <v>8.2572306069583874</v>
      </c>
      <c r="BF5" s="62">
        <f t="shared" si="23"/>
        <v>70.365965172340893</v>
      </c>
    </row>
    <row r="6" spans="1:58" x14ac:dyDescent="0.25">
      <c r="A6" s="34">
        <v>11</v>
      </c>
      <c r="B6" s="51">
        <v>90</v>
      </c>
      <c r="C6" s="48">
        <v>127.22</v>
      </c>
      <c r="D6" s="2">
        <v>8</v>
      </c>
      <c r="E6" s="27">
        <v>5.1754391722476999E-2</v>
      </c>
      <c r="F6" s="27">
        <v>2.3629413923689099E-2</v>
      </c>
      <c r="G6" s="27">
        <v>3.0143536797057099E-2</v>
      </c>
      <c r="H6" s="30">
        <v>6</v>
      </c>
      <c r="I6" s="8">
        <v>29</v>
      </c>
      <c r="J6" s="8">
        <v>102</v>
      </c>
      <c r="K6" s="8">
        <v>246</v>
      </c>
      <c r="L6" s="8">
        <v>493</v>
      </c>
      <c r="M6" s="8">
        <v>1329</v>
      </c>
      <c r="N6" s="20">
        <f t="shared" si="6"/>
        <v>0.75</v>
      </c>
      <c r="O6" s="10">
        <f t="shared" si="0"/>
        <v>3.625</v>
      </c>
      <c r="P6" s="10">
        <f t="shared" si="0"/>
        <v>12.75</v>
      </c>
      <c r="Q6" s="10">
        <f t="shared" si="0"/>
        <v>30.75</v>
      </c>
      <c r="R6" s="10">
        <f t="shared" si="0"/>
        <v>61.625</v>
      </c>
      <c r="S6" s="22">
        <f t="shared" si="0"/>
        <v>166.125</v>
      </c>
      <c r="T6" s="20">
        <f t="shared" si="7"/>
        <v>3.8815793791857747E-2</v>
      </c>
      <c r="U6" s="10">
        <f t="shared" si="1"/>
        <v>0.18760966999397913</v>
      </c>
      <c r="V6" s="10">
        <f t="shared" si="1"/>
        <v>0.65986849446158169</v>
      </c>
      <c r="W6" s="10">
        <f t="shared" si="1"/>
        <v>1.5914475454661676</v>
      </c>
      <c r="X6" s="10">
        <f t="shared" si="1"/>
        <v>3.1893643898976451</v>
      </c>
      <c r="Y6" s="22">
        <f t="shared" si="1"/>
        <v>8.5976983248964913</v>
      </c>
      <c r="Z6" s="4">
        <f t="shared" si="2"/>
        <v>1.7169316285250826</v>
      </c>
      <c r="AA6" s="9">
        <f t="shared" si="8"/>
        <v>2.1902528725264694</v>
      </c>
      <c r="AB6" s="4">
        <f t="shared" si="9"/>
        <v>1.2756785629303071</v>
      </c>
      <c r="AC6" s="53">
        <f t="shared" si="10"/>
        <v>2.2607652597792825E-2</v>
      </c>
      <c r="AD6">
        <f t="shared" si="3"/>
        <v>0.10927032088933199</v>
      </c>
      <c r="AE6">
        <f t="shared" si="3"/>
        <v>0.38433009416247804</v>
      </c>
      <c r="AF6">
        <f t="shared" si="3"/>
        <v>0.9269137565095058</v>
      </c>
      <c r="AG6">
        <f t="shared" si="3"/>
        <v>1.8575954551186438</v>
      </c>
      <c r="AH6" s="54">
        <f t="shared" si="3"/>
        <v>5.0075950504111111</v>
      </c>
      <c r="AI6" s="58">
        <f t="shared" si="11"/>
        <v>1.5600604112957928E-3</v>
      </c>
      <c r="AJ6" s="58">
        <f t="shared" si="12"/>
        <v>1.2229259443791579E-3</v>
      </c>
      <c r="AK6" s="58">
        <f t="shared" si="13"/>
        <v>7.122741081016157E-4</v>
      </c>
      <c r="AL6" s="53">
        <f t="shared" si="24"/>
        <v>1.7722060442766824E-2</v>
      </c>
      <c r="AM6">
        <f t="shared" si="14"/>
        <v>8.565662547337298E-2</v>
      </c>
      <c r="AN6">
        <f t="shared" si="14"/>
        <v>0.301275027527036</v>
      </c>
      <c r="AO6">
        <f t="shared" si="14"/>
        <v>0.72660447815343976</v>
      </c>
      <c r="AP6">
        <f t="shared" si="14"/>
        <v>1.4561626330473407</v>
      </c>
      <c r="AQ6" s="54">
        <f t="shared" si="14"/>
        <v>3.9254363880728516</v>
      </c>
      <c r="AR6" s="9">
        <f t="shared" si="15"/>
        <v>0.5824343750129658</v>
      </c>
      <c r="AS6" s="9">
        <f t="shared" si="16"/>
        <v>0.45656828603835786</v>
      </c>
      <c r="AT6" s="9">
        <f t="shared" si="17"/>
        <v>0.78389653088074351</v>
      </c>
      <c r="AU6" s="10">
        <v>3.9406083818281298E-2</v>
      </c>
      <c r="AV6" s="10">
        <v>0.15393753693111001</v>
      </c>
      <c r="AW6" s="10">
        <v>0.46926879178815301</v>
      </c>
      <c r="AX6" s="10">
        <v>1.6679355265670801</v>
      </c>
      <c r="AY6" s="10">
        <v>6.0491299651584196</v>
      </c>
      <c r="AZ6" s="10">
        <v>24.1965198606337</v>
      </c>
      <c r="BA6" s="46">
        <f t="shared" si="18"/>
        <v>6.9835699924031681E-4</v>
      </c>
      <c r="BB6" s="58">
        <f t="shared" si="19"/>
        <v>1.3185769947201612E-2</v>
      </c>
      <c r="BC6" s="58">
        <f t="shared" si="20"/>
        <v>0.14137896816355472</v>
      </c>
      <c r="BD6" s="58">
        <f t="shared" si="21"/>
        <v>1.2119294228748561</v>
      </c>
      <c r="BE6" s="58">
        <f t="shared" si="22"/>
        <v>8.8085170177106527</v>
      </c>
      <c r="BF6" s="62">
        <f t="shared" si="23"/>
        <v>94.981899525658974</v>
      </c>
    </row>
    <row r="7" spans="1:58" x14ac:dyDescent="0.25">
      <c r="A7" s="34">
        <v>12</v>
      </c>
      <c r="B7" s="51">
        <v>64</v>
      </c>
      <c r="C7" s="48">
        <v>84.2</v>
      </c>
      <c r="D7" s="2">
        <v>3</v>
      </c>
      <c r="E7" s="27">
        <v>4.4543546788178297E-2</v>
      </c>
      <c r="F7" s="27">
        <v>2.3352349155409499E-2</v>
      </c>
      <c r="G7" s="27">
        <v>2.1759151907210301E-2</v>
      </c>
      <c r="H7" s="30">
        <v>3</v>
      </c>
      <c r="I7" s="8">
        <v>14</v>
      </c>
      <c r="J7" s="8">
        <v>41</v>
      </c>
      <c r="K7" s="8">
        <v>103</v>
      </c>
      <c r="L7" s="8">
        <v>323</v>
      </c>
      <c r="M7" s="8">
        <v>559</v>
      </c>
      <c r="N7" s="20">
        <f t="shared" si="6"/>
        <v>1</v>
      </c>
      <c r="O7" s="10">
        <f t="shared" si="0"/>
        <v>4.666666666666667</v>
      </c>
      <c r="P7" s="10">
        <f t="shared" si="0"/>
        <v>13.666666666666666</v>
      </c>
      <c r="Q7" s="10">
        <f t="shared" si="0"/>
        <v>34.333333333333336</v>
      </c>
      <c r="R7" s="10">
        <f t="shared" si="0"/>
        <v>107.66666666666667</v>
      </c>
      <c r="S7" s="22">
        <f t="shared" si="0"/>
        <v>186.33333333333334</v>
      </c>
      <c r="T7" s="20">
        <f t="shared" si="7"/>
        <v>4.4543546788178297E-2</v>
      </c>
      <c r="U7" s="10">
        <f t="shared" si="1"/>
        <v>0.20786988501149872</v>
      </c>
      <c r="V7" s="10">
        <f t="shared" si="1"/>
        <v>0.60876180610510333</v>
      </c>
      <c r="W7" s="10">
        <f t="shared" si="1"/>
        <v>1.5293284397274549</v>
      </c>
      <c r="X7" s="10">
        <f t="shared" si="1"/>
        <v>4.7958552041938631</v>
      </c>
      <c r="Y7" s="22">
        <f t="shared" si="1"/>
        <v>8.2999475515305559</v>
      </c>
      <c r="Z7" s="4">
        <f t="shared" si="2"/>
        <v>2.0471177818937862</v>
      </c>
      <c r="AA7" s="9">
        <f t="shared" si="8"/>
        <v>1.9074546415755318</v>
      </c>
      <c r="AB7" s="4">
        <f t="shared" si="9"/>
        <v>0.93177571825444638</v>
      </c>
      <c r="AC7" s="53">
        <f t="shared" si="10"/>
        <v>2.1759151907210301E-2</v>
      </c>
      <c r="AD7">
        <f t="shared" si="3"/>
        <v>0.10154270890031475</v>
      </c>
      <c r="AE7">
        <f t="shared" si="3"/>
        <v>0.29737507606520741</v>
      </c>
      <c r="AF7">
        <f t="shared" si="3"/>
        <v>0.74706421548088708</v>
      </c>
      <c r="AG7">
        <f t="shared" si="3"/>
        <v>2.3427353553429757</v>
      </c>
      <c r="AH7" s="54">
        <f t="shared" si="3"/>
        <v>4.0544553053768526</v>
      </c>
      <c r="AI7" s="58">
        <f t="shared" si="11"/>
        <v>9.6922980104990105E-4</v>
      </c>
      <c r="AJ7" s="58">
        <f t="shared" si="12"/>
        <v>1.040196457217859E-3</v>
      </c>
      <c r="AK7" s="58">
        <f t="shared" si="13"/>
        <v>5.0812731266276941E-4</v>
      </c>
      <c r="AL7" s="53">
        <f t="shared" si="24"/>
        <v>2.3352349155409499E-2</v>
      </c>
      <c r="AM7">
        <f t="shared" si="14"/>
        <v>0.108977629391911</v>
      </c>
      <c r="AN7">
        <f t="shared" si="14"/>
        <v>0.31914877179059647</v>
      </c>
      <c r="AO7">
        <f t="shared" si="14"/>
        <v>0.80176398766905954</v>
      </c>
      <c r="AP7">
        <f t="shared" si="14"/>
        <v>2.5142695923990894</v>
      </c>
      <c r="AQ7" s="54">
        <f t="shared" si="14"/>
        <v>4.3513210592913039</v>
      </c>
      <c r="AR7" s="9">
        <f t="shared" si="15"/>
        <v>0.48849167783345676</v>
      </c>
      <c r="AS7" s="9">
        <f t="shared" si="16"/>
        <v>0.52425886215255613</v>
      </c>
      <c r="AT7" s="9">
        <f t="shared" si="17"/>
        <v>1.0732196390279007</v>
      </c>
      <c r="AU7" s="10">
        <v>3.8585276164057498E-2</v>
      </c>
      <c r="AV7" s="10">
        <v>0.117415800187244</v>
      </c>
      <c r="AW7" s="10">
        <v>0.46966320074897699</v>
      </c>
      <c r="AX7" s="10">
        <v>1.4945503386105301</v>
      </c>
      <c r="AY7" s="10">
        <v>5.97820135444214</v>
      </c>
      <c r="AZ7" s="10">
        <v>23.912805417768499</v>
      </c>
      <c r="BA7" s="46">
        <f t="shared" si="18"/>
        <v>9.0105684124097045E-4</v>
      </c>
      <c r="BB7" s="58">
        <f t="shared" si="19"/>
        <v>1.279569555756015E-2</v>
      </c>
      <c r="BC7" s="58">
        <f t="shared" si="20"/>
        <v>0.14989243367427635</v>
      </c>
      <c r="BD7" s="58">
        <f t="shared" si="21"/>
        <v>1.1982766392565218</v>
      </c>
      <c r="BE7" s="58">
        <f t="shared" si="22"/>
        <v>15.030809882712923</v>
      </c>
      <c r="BF7" s="62">
        <f t="shared" si="23"/>
        <v>104.05229380107126</v>
      </c>
    </row>
    <row r="8" spans="1:58" x14ac:dyDescent="0.25">
      <c r="A8" s="34">
        <v>96</v>
      </c>
      <c r="B8" s="51">
        <v>64</v>
      </c>
      <c r="C8" s="48">
        <v>86.98</v>
      </c>
      <c r="D8" s="2">
        <v>8</v>
      </c>
      <c r="E8" s="27">
        <v>9.5639162401153693E-2</v>
      </c>
      <c r="F8" s="27">
        <v>1.9277468694701001E-2</v>
      </c>
      <c r="G8" s="27">
        <v>5.1627678565697001E-3</v>
      </c>
      <c r="H8" s="30">
        <v>3</v>
      </c>
      <c r="I8" s="8">
        <v>22</v>
      </c>
      <c r="J8" s="8">
        <v>58</v>
      </c>
      <c r="K8" s="8">
        <v>165</v>
      </c>
      <c r="L8" s="8">
        <v>559</v>
      </c>
      <c r="M8" s="8">
        <v>1384</v>
      </c>
      <c r="N8" s="20">
        <f t="shared" si="6"/>
        <v>0.375</v>
      </c>
      <c r="O8" s="10">
        <f t="shared" si="0"/>
        <v>2.75</v>
      </c>
      <c r="P8" s="10">
        <f t="shared" si="0"/>
        <v>7.25</v>
      </c>
      <c r="Q8" s="10">
        <f t="shared" si="0"/>
        <v>20.625</v>
      </c>
      <c r="R8" s="10">
        <f t="shared" si="0"/>
        <v>69.875</v>
      </c>
      <c r="S8" s="22">
        <f t="shared" si="0"/>
        <v>173</v>
      </c>
      <c r="T8" s="20">
        <f t="shared" si="7"/>
        <v>3.5864685900432638E-2</v>
      </c>
      <c r="U8" s="10">
        <f t="shared" si="1"/>
        <v>0.26300769660317264</v>
      </c>
      <c r="V8" s="10">
        <f t="shared" si="1"/>
        <v>0.6933839274083643</v>
      </c>
      <c r="W8" s="10">
        <f t="shared" si="1"/>
        <v>1.9725577245237949</v>
      </c>
      <c r="X8" s="10">
        <f t="shared" si="1"/>
        <v>6.6827864727806139</v>
      </c>
      <c r="Y8" s="22">
        <f t="shared" si="1"/>
        <v>16.545575095399588</v>
      </c>
      <c r="Z8" s="4">
        <f t="shared" si="2"/>
        <v>18.52478458419381</v>
      </c>
      <c r="AA8" s="9">
        <f t="shared" si="8"/>
        <v>4.9611888321957451</v>
      </c>
      <c r="AB8" s="4">
        <f t="shared" si="9"/>
        <v>0.26781357751543616</v>
      </c>
      <c r="AC8" s="53">
        <f t="shared" si="10"/>
        <v>1.9360379462136377E-3</v>
      </c>
      <c r="AD8">
        <f t="shared" si="3"/>
        <v>1.4197611605566676E-2</v>
      </c>
      <c r="AE8">
        <f t="shared" si="3"/>
        <v>3.7430066960130327E-2</v>
      </c>
      <c r="AF8">
        <f t="shared" si="3"/>
        <v>0.10648208704175006</v>
      </c>
      <c r="AG8">
        <f t="shared" si="3"/>
        <v>0.36074840397780777</v>
      </c>
      <c r="AH8" s="54">
        <f t="shared" si="3"/>
        <v>0.89315883918655814</v>
      </c>
      <c r="AI8" s="58">
        <f t="shared" si="11"/>
        <v>4.9376279347392569E-4</v>
      </c>
      <c r="AJ8" s="58">
        <f t="shared" si="12"/>
        <v>1.8436809591756652E-3</v>
      </c>
      <c r="AK8" s="58">
        <f t="shared" si="13"/>
        <v>9.9525095733030979E-5</v>
      </c>
      <c r="AL8" s="53">
        <f t="shared" si="24"/>
        <v>7.2290507605128757E-3</v>
      </c>
      <c r="AM8">
        <f t="shared" si="14"/>
        <v>5.3013038910427752E-2</v>
      </c>
      <c r="AN8">
        <f t="shared" si="14"/>
        <v>0.13976164803658225</v>
      </c>
      <c r="AO8">
        <f t="shared" si="14"/>
        <v>0.39759779182820815</v>
      </c>
      <c r="AP8">
        <f t="shared" si="14"/>
        <v>1.3470131250422324</v>
      </c>
      <c r="AQ8" s="54">
        <f t="shared" si="14"/>
        <v>3.335002084183273</v>
      </c>
      <c r="AR8" s="9">
        <f t="shared" si="15"/>
        <v>5.3981734332999784E-2</v>
      </c>
      <c r="AS8" s="9">
        <f t="shared" si="16"/>
        <v>0.20156459143632627</v>
      </c>
      <c r="AT8" s="9">
        <f t="shared" si="17"/>
        <v>3.7339406361589802</v>
      </c>
      <c r="AU8" s="10">
        <v>9.5639162709086803E-2</v>
      </c>
      <c r="AV8" s="10">
        <v>0.18581760283662399</v>
      </c>
      <c r="AW8" s="10">
        <v>0.60536126077852104</v>
      </c>
      <c r="AX8" s="10">
        <v>1.2337579982911999</v>
      </c>
      <c r="AY8" s="10">
        <v>4.9350319931648103</v>
      </c>
      <c r="AZ8" s="10">
        <v>19.740127972659199</v>
      </c>
      <c r="BA8" s="46">
        <f t="shared" si="18"/>
        <v>6.913803619169386E-4</v>
      </c>
      <c r="BB8" s="58">
        <f t="shared" si="19"/>
        <v>9.8507558094203581E-3</v>
      </c>
      <c r="BC8" s="58">
        <f t="shared" si="20"/>
        <v>8.4606287463909344E-2</v>
      </c>
      <c r="BD8" s="58">
        <f t="shared" si="21"/>
        <v>0.4905394557709713</v>
      </c>
      <c r="BE8" s="58">
        <f t="shared" si="22"/>
        <v>6.6475528672963282</v>
      </c>
      <c r="BF8" s="62">
        <f t="shared" si="23"/>
        <v>65.833367930862963</v>
      </c>
    </row>
    <row r="9" spans="1:58" x14ac:dyDescent="0.25">
      <c r="A9" s="34">
        <v>107</v>
      </c>
      <c r="B9" s="51">
        <v>45</v>
      </c>
      <c r="C9" s="48">
        <v>52.94</v>
      </c>
      <c r="D9" s="2">
        <v>5</v>
      </c>
      <c r="E9" s="27">
        <v>2.7724885205644801E-2</v>
      </c>
      <c r="F9" s="27">
        <v>1.4478880481023E-2</v>
      </c>
      <c r="G9" s="27">
        <v>1.4642800293065399E-2</v>
      </c>
      <c r="H9" s="30">
        <v>1</v>
      </c>
      <c r="I9" s="8">
        <v>13</v>
      </c>
      <c r="J9" s="8">
        <v>39</v>
      </c>
      <c r="K9" s="8">
        <v>78</v>
      </c>
      <c r="L9" s="8">
        <v>345</v>
      </c>
      <c r="M9" s="8">
        <v>943</v>
      </c>
      <c r="N9" s="20">
        <f t="shared" si="6"/>
        <v>0.2</v>
      </c>
      <c r="O9" s="10">
        <f t="shared" si="0"/>
        <v>2.6</v>
      </c>
      <c r="P9" s="10">
        <f t="shared" si="0"/>
        <v>7.8</v>
      </c>
      <c r="Q9" s="10">
        <f t="shared" si="0"/>
        <v>15.6</v>
      </c>
      <c r="R9" s="10">
        <f t="shared" si="0"/>
        <v>69</v>
      </c>
      <c r="S9" s="22">
        <f t="shared" si="0"/>
        <v>188.6</v>
      </c>
      <c r="T9" s="20">
        <f t="shared" si="7"/>
        <v>5.5449770411289609E-3</v>
      </c>
      <c r="U9" s="10">
        <f t="shared" si="1"/>
        <v>7.2084701534676485E-2</v>
      </c>
      <c r="V9" s="10">
        <f t="shared" si="1"/>
        <v>0.21625410460402944</v>
      </c>
      <c r="W9" s="10">
        <f t="shared" si="1"/>
        <v>0.43250820920805888</v>
      </c>
      <c r="X9" s="10">
        <f t="shared" si="1"/>
        <v>1.9130170791894914</v>
      </c>
      <c r="Y9" s="22">
        <f t="shared" si="1"/>
        <v>5.2289133497846096</v>
      </c>
      <c r="Z9" s="4">
        <f t="shared" si="2"/>
        <v>1.8934141455698792</v>
      </c>
      <c r="AA9" s="9">
        <f t="shared" si="8"/>
        <v>1.9148500633030923</v>
      </c>
      <c r="AB9" s="4">
        <f t="shared" si="9"/>
        <v>1.011321304313358</v>
      </c>
      <c r="AC9" s="53">
        <f t="shared" si="10"/>
        <v>2.9285600586130799E-3</v>
      </c>
      <c r="AD9">
        <f t="shared" si="3"/>
        <v>3.8071280761970042E-2</v>
      </c>
      <c r="AE9">
        <f t="shared" si="3"/>
        <v>0.11421384228591011</v>
      </c>
      <c r="AF9">
        <f t="shared" si="3"/>
        <v>0.22842768457182022</v>
      </c>
      <c r="AG9">
        <f t="shared" si="3"/>
        <v>1.0103532202215126</v>
      </c>
      <c r="AH9" s="54">
        <f t="shared" si="3"/>
        <v>2.761632135272134</v>
      </c>
      <c r="AI9" s="58">
        <f t="shared" si="11"/>
        <v>4.0596995721442025E-4</v>
      </c>
      <c r="AJ9" s="58">
        <f t="shared" si="12"/>
        <v>4.0142529924261388E-4</v>
      </c>
      <c r="AK9" s="58">
        <f t="shared" si="13"/>
        <v>2.1201135535078248E-4</v>
      </c>
      <c r="AL9" s="53">
        <f t="shared" si="24"/>
        <v>2.8957760962046004E-3</v>
      </c>
      <c r="AM9">
        <f t="shared" si="14"/>
        <v>3.7645089250659805E-2</v>
      </c>
      <c r="AN9">
        <f t="shared" si="14"/>
        <v>0.1129352677519794</v>
      </c>
      <c r="AO9">
        <f t="shared" si="14"/>
        <v>0.2258705355039588</v>
      </c>
      <c r="AP9">
        <f t="shared" si="14"/>
        <v>0.999042753190587</v>
      </c>
      <c r="AQ9" s="54">
        <f t="shared" si="14"/>
        <v>2.7307168587209376</v>
      </c>
      <c r="AR9" s="9">
        <f t="shared" si="15"/>
        <v>0.52814647146254434</v>
      </c>
      <c r="AS9" s="9">
        <f t="shared" si="16"/>
        <v>0.52223410029034467</v>
      </c>
      <c r="AT9" s="9">
        <f t="shared" si="17"/>
        <v>0.98880543278869759</v>
      </c>
      <c r="AU9" s="10">
        <v>2.77248857374158E-2</v>
      </c>
      <c r="AV9" s="10">
        <v>7.8677957752448305E-2</v>
      </c>
      <c r="AW9" s="10">
        <v>0.26510584610390098</v>
      </c>
      <c r="AX9" s="10">
        <v>0.92664835919294097</v>
      </c>
      <c r="AY9" s="10">
        <v>3.7065934367717599</v>
      </c>
      <c r="AZ9" s="10">
        <v>14.826373747087001</v>
      </c>
      <c r="BA9" s="46">
        <f t="shared" si="18"/>
        <v>8.0285061388412523E-5</v>
      </c>
      <c r="BB9" s="58">
        <f t="shared" si="19"/>
        <v>2.9618387416505579E-3</v>
      </c>
      <c r="BC9" s="58">
        <f t="shared" si="20"/>
        <v>2.9939799712359102E-2</v>
      </c>
      <c r="BD9" s="58">
        <f t="shared" si="21"/>
        <v>0.20930256111477435</v>
      </c>
      <c r="BE9" s="58">
        <f t="shared" si="22"/>
        <v>3.703045312030619</v>
      </c>
      <c r="BF9" s="62">
        <f t="shared" si="23"/>
        <v>40.486628744867993</v>
      </c>
    </row>
    <row r="10" spans="1:58" x14ac:dyDescent="0.25">
      <c r="A10" s="34">
        <v>162</v>
      </c>
      <c r="B10" s="51">
        <v>45</v>
      </c>
      <c r="C10" s="48">
        <v>54.05</v>
      </c>
      <c r="D10" s="2">
        <v>10</v>
      </c>
      <c r="E10" s="27">
        <v>2.2481115003792299E-2</v>
      </c>
      <c r="F10" s="27">
        <v>9.1860908476934702E-3</v>
      </c>
      <c r="G10" s="27">
        <v>5.26397191560033E-3</v>
      </c>
      <c r="H10" s="30">
        <v>0</v>
      </c>
      <c r="I10" s="8">
        <v>8</v>
      </c>
      <c r="J10" s="8">
        <v>40</v>
      </c>
      <c r="K10" s="8">
        <v>121</v>
      </c>
      <c r="L10" s="8">
        <v>631</v>
      </c>
      <c r="M10" s="8">
        <v>1881</v>
      </c>
      <c r="N10" s="20"/>
      <c r="O10" s="10">
        <f t="shared" si="0"/>
        <v>0.8</v>
      </c>
      <c r="P10" s="10">
        <f t="shared" si="0"/>
        <v>4</v>
      </c>
      <c r="Q10" s="10">
        <f t="shared" si="0"/>
        <v>12.1</v>
      </c>
      <c r="R10" s="10">
        <f t="shared" si="0"/>
        <v>63.1</v>
      </c>
      <c r="S10" s="22">
        <f t="shared" si="0"/>
        <v>188.1</v>
      </c>
      <c r="T10" s="20"/>
      <c r="U10" s="10">
        <f t="shared" si="1"/>
        <v>1.7984892003033839E-2</v>
      </c>
      <c r="V10" s="10">
        <f t="shared" si="1"/>
        <v>8.9924460015169197E-2</v>
      </c>
      <c r="W10" s="10">
        <f t="shared" si="1"/>
        <v>0.27202149154588684</v>
      </c>
      <c r="X10" s="10">
        <f t="shared" si="1"/>
        <v>1.4185583567392941</v>
      </c>
      <c r="Y10" s="22">
        <f t="shared" si="1"/>
        <v>4.2286977322133312</v>
      </c>
      <c r="Z10" s="4">
        <f t="shared" si="2"/>
        <v>4.2707513193919535</v>
      </c>
      <c r="AA10" s="9">
        <f t="shared" si="8"/>
        <v>2.4472994417899829</v>
      </c>
      <c r="AB10" s="4">
        <f t="shared" si="9"/>
        <v>0.57303721494568682</v>
      </c>
      <c r="AC10" s="53"/>
      <c r="AD10">
        <f t="shared" si="3"/>
        <v>4.2111775324802639E-3</v>
      </c>
      <c r="AE10">
        <f t="shared" si="3"/>
        <v>2.105588766240132E-2</v>
      </c>
      <c r="AF10">
        <f t="shared" si="3"/>
        <v>6.3694060178763987E-2</v>
      </c>
      <c r="AG10">
        <f t="shared" si="3"/>
        <v>0.33215662787438083</v>
      </c>
      <c r="AH10" s="54">
        <f t="shared" si="3"/>
        <v>0.99015311732442202</v>
      </c>
      <c r="AI10" s="58">
        <f t="shared" si="11"/>
        <v>1.1833995801134387E-4</v>
      </c>
      <c r="AJ10" s="58">
        <f t="shared" si="12"/>
        <v>2.065135647822808E-4</v>
      </c>
      <c r="AK10" s="58">
        <f t="shared" si="13"/>
        <v>4.8355324236411653E-5</v>
      </c>
      <c r="AL10" s="53"/>
      <c r="AM10">
        <f t="shared" si="14"/>
        <v>7.3488726781547765E-3</v>
      </c>
      <c r="AN10">
        <f t="shared" si="14"/>
        <v>3.6744363390773881E-2</v>
      </c>
      <c r="AO10">
        <f t="shared" si="14"/>
        <v>0.11115169925709098</v>
      </c>
      <c r="AP10">
        <f t="shared" si="14"/>
        <v>0.57964233248945796</v>
      </c>
      <c r="AQ10" s="54">
        <f t="shared" si="14"/>
        <v>1.7279036884511416</v>
      </c>
      <c r="AR10" s="9">
        <f t="shared" si="15"/>
        <v>0.23415083792384675</v>
      </c>
      <c r="AS10" s="9">
        <f t="shared" si="16"/>
        <v>0.40861366734451937</v>
      </c>
      <c r="AT10" s="9">
        <f t="shared" si="17"/>
        <v>1.745087358933191</v>
      </c>
      <c r="AU10" s="10"/>
      <c r="AV10" s="10">
        <v>7.7959153032395798E-2</v>
      </c>
      <c r="AW10" s="10">
        <v>0.24135454645261201</v>
      </c>
      <c r="AX10" s="10">
        <v>0.62231226944989104</v>
      </c>
      <c r="AY10" s="10">
        <v>2.3516392566763402</v>
      </c>
      <c r="AZ10" s="10">
        <v>9.4065570267053804</v>
      </c>
      <c r="BA10" s="46"/>
      <c r="BB10" s="58">
        <f t="shared" si="19"/>
        <v>5.7291188973186062E-4</v>
      </c>
      <c r="BC10" s="58">
        <f t="shared" si="20"/>
        <v>8.8684191608701911E-3</v>
      </c>
      <c r="BD10" s="58">
        <f t="shared" si="21"/>
        <v>6.9171066217892055E-2</v>
      </c>
      <c r="BE10" s="58">
        <f t="shared" si="22"/>
        <v>1.3631096639136489</v>
      </c>
      <c r="BF10" s="62">
        <f t="shared" si="23"/>
        <v>16.253624582070231</v>
      </c>
    </row>
    <row r="11" spans="1:58" x14ac:dyDescent="0.25">
      <c r="A11" s="34">
        <v>69</v>
      </c>
      <c r="B11" s="51">
        <v>32</v>
      </c>
      <c r="C11" s="48"/>
      <c r="D11" s="2">
        <v>4</v>
      </c>
      <c r="E11" s="27">
        <v>1.0897008883362201E-2</v>
      </c>
      <c r="F11" s="27">
        <v>7.27047978157239E-3</v>
      </c>
      <c r="G11" s="27">
        <v>6.8585843273274603E-3</v>
      </c>
      <c r="H11" s="30">
        <v>0</v>
      </c>
      <c r="I11" s="8">
        <v>1</v>
      </c>
      <c r="J11" s="8">
        <v>12</v>
      </c>
      <c r="K11" s="8">
        <v>57</v>
      </c>
      <c r="L11" s="8">
        <v>275</v>
      </c>
      <c r="M11" s="8">
        <v>830</v>
      </c>
      <c r="N11" s="20"/>
      <c r="O11" s="10">
        <f t="shared" si="0"/>
        <v>0.25</v>
      </c>
      <c r="P11" s="10">
        <f t="shared" si="0"/>
        <v>3</v>
      </c>
      <c r="Q11" s="10">
        <f t="shared" si="0"/>
        <v>14.25</v>
      </c>
      <c r="R11" s="10">
        <f t="shared" si="0"/>
        <v>68.75</v>
      </c>
      <c r="S11" s="22">
        <f t="shared" si="0"/>
        <v>207.5</v>
      </c>
      <c r="T11" s="20"/>
      <c r="U11" s="10"/>
      <c r="V11" s="10">
        <f t="shared" si="1"/>
        <v>3.2691026650086601E-2</v>
      </c>
      <c r="W11" s="10">
        <f t="shared" si="1"/>
        <v>0.15528237658791136</v>
      </c>
      <c r="X11" s="10">
        <f t="shared" si="1"/>
        <v>0.74916936073115126</v>
      </c>
      <c r="Y11" s="22">
        <f t="shared" si="1"/>
        <v>2.2611293432976565</v>
      </c>
      <c r="Z11" s="4">
        <f t="shared" si="2"/>
        <v>1.5888131374202068</v>
      </c>
      <c r="AA11" s="9">
        <f t="shared" si="8"/>
        <v>1.4988018962629588</v>
      </c>
      <c r="AB11" s="4">
        <f t="shared" si="9"/>
        <v>0.9433468675218778</v>
      </c>
      <c r="AC11" s="53"/>
      <c r="AD11">
        <f t="shared" si="3"/>
        <v>1.7146460818318651E-3</v>
      </c>
      <c r="AE11">
        <f t="shared" si="3"/>
        <v>2.057575298198238E-2</v>
      </c>
      <c r="AF11">
        <f t="shared" si="3"/>
        <v>9.7734826664416311E-2</v>
      </c>
      <c r="AG11">
        <f t="shared" si="3"/>
        <v>0.47152767250376287</v>
      </c>
      <c r="AH11" s="54">
        <f t="shared" si="3"/>
        <v>1.423156247920448</v>
      </c>
      <c r="AI11" s="58">
        <f t="shared" si="11"/>
        <v>7.4738054342176106E-5</v>
      </c>
      <c r="AJ11" s="58">
        <f t="shared" si="12"/>
        <v>7.9226482766099602E-5</v>
      </c>
      <c r="AK11" s="58">
        <f t="shared" si="13"/>
        <v>4.9865198682043573E-5</v>
      </c>
      <c r="AL11" s="53"/>
      <c r="AM11">
        <f t="shared" si="14"/>
        <v>1.8176199453930975E-3</v>
      </c>
      <c r="AN11">
        <f t="shared" si="14"/>
        <v>2.181143934471717E-2</v>
      </c>
      <c r="AO11">
        <f t="shared" si="14"/>
        <v>0.10360433688740656</v>
      </c>
      <c r="AP11">
        <f t="shared" si="14"/>
        <v>0.49984548498310183</v>
      </c>
      <c r="AQ11" s="54">
        <f t="shared" si="14"/>
        <v>1.5086245546762709</v>
      </c>
      <c r="AR11" s="9">
        <f t="shared" si="15"/>
        <v>0.62940063651772382</v>
      </c>
      <c r="AS11" s="9">
        <f t="shared" si="16"/>
        <v>0.66719958287573045</v>
      </c>
      <c r="AT11" s="9">
        <f t="shared" si="17"/>
        <v>1.0600554625542427</v>
      </c>
      <c r="AU11" s="10"/>
      <c r="AV11" s="10">
        <v>4.3588035701968897E-2</v>
      </c>
      <c r="AW11" s="10">
        <v>0.13106034882425699</v>
      </c>
      <c r="AX11" s="10">
        <v>0.52424139529702896</v>
      </c>
      <c r="AY11" s="10">
        <v>1.86124282879616</v>
      </c>
      <c r="AZ11" s="10">
        <v>7.4449713151846701</v>
      </c>
      <c r="BA11" s="46"/>
      <c r="BB11" s="58"/>
      <c r="BC11" s="58">
        <f t="shared" si="20"/>
        <v>2.8586148488777556E-3</v>
      </c>
      <c r="BD11" s="58">
        <f t="shared" si="21"/>
        <v>5.431368212867746E-2</v>
      </c>
      <c r="BE11" s="58">
        <f t="shared" si="22"/>
        <v>0.93033382443093693</v>
      </c>
      <c r="BF11" s="62">
        <f t="shared" si="23"/>
        <v>11.231666534948083</v>
      </c>
    </row>
    <row r="12" spans="1:58" x14ac:dyDescent="0.25">
      <c r="A12" s="34">
        <v>85</v>
      </c>
      <c r="B12" s="51">
        <v>32</v>
      </c>
      <c r="C12" s="48">
        <v>43.73</v>
      </c>
      <c r="D12" s="2">
        <v>6</v>
      </c>
      <c r="E12" s="27">
        <v>1.13162316396569E-2</v>
      </c>
      <c r="F12" s="27">
        <v>6.77105129691932E-3</v>
      </c>
      <c r="G12" s="27">
        <v>5.0494700428746703E-3</v>
      </c>
      <c r="H12" s="30">
        <v>0</v>
      </c>
      <c r="I12" s="8">
        <v>1</v>
      </c>
      <c r="J12" s="8">
        <v>17</v>
      </c>
      <c r="K12" s="8">
        <v>76</v>
      </c>
      <c r="L12" s="8">
        <v>328</v>
      </c>
      <c r="M12" s="8">
        <v>1228</v>
      </c>
      <c r="N12" s="20"/>
      <c r="O12" s="10">
        <f t="shared" si="0"/>
        <v>0.16666666666666666</v>
      </c>
      <c r="P12" s="10">
        <f t="shared" si="0"/>
        <v>2.8333333333333335</v>
      </c>
      <c r="Q12" s="10">
        <f t="shared" si="0"/>
        <v>12.666666666666666</v>
      </c>
      <c r="R12" s="10">
        <f t="shared" si="0"/>
        <v>54.666666666666664</v>
      </c>
      <c r="S12" s="22">
        <f t="shared" si="0"/>
        <v>204.66666666666666</v>
      </c>
      <c r="T12" s="20"/>
      <c r="U12" s="10"/>
      <c r="V12" s="10">
        <f t="shared" si="1"/>
        <v>3.2062656312361215E-2</v>
      </c>
      <c r="W12" s="10">
        <f t="shared" si="1"/>
        <v>0.14333893410232074</v>
      </c>
      <c r="X12" s="10">
        <f t="shared" si="1"/>
        <v>0.61862066296791052</v>
      </c>
      <c r="Y12" s="22">
        <f t="shared" si="1"/>
        <v>2.3160554089164456</v>
      </c>
      <c r="Z12" s="4">
        <f t="shared" si="2"/>
        <v>2.2410731311546814</v>
      </c>
      <c r="AA12" s="9">
        <f t="shared" si="8"/>
        <v>1.6712665645888014</v>
      </c>
      <c r="AB12" s="4">
        <f t="shared" si="9"/>
        <v>0.7457438766077682</v>
      </c>
      <c r="AC12" s="53"/>
      <c r="AD12">
        <f t="shared" si="3"/>
        <v>8.4157834047911165E-4</v>
      </c>
      <c r="AE12">
        <f t="shared" si="3"/>
        <v>1.4306831788144901E-2</v>
      </c>
      <c r="AF12">
        <f t="shared" si="3"/>
        <v>6.3959953876412484E-2</v>
      </c>
      <c r="AG12">
        <f t="shared" si="3"/>
        <v>0.27603769567714864</v>
      </c>
      <c r="AH12" s="54">
        <f t="shared" si="3"/>
        <v>1.0334582021083492</v>
      </c>
      <c r="AI12" s="58">
        <f t="shared" si="11"/>
        <v>5.7140972662678026E-5</v>
      </c>
      <c r="AJ12" s="58">
        <f t="shared" si="12"/>
        <v>7.662278491993829E-5</v>
      </c>
      <c r="AK12" s="58">
        <f t="shared" si="13"/>
        <v>3.4190220682561793E-5</v>
      </c>
      <c r="AL12" s="53"/>
      <c r="AM12">
        <f t="shared" si="14"/>
        <v>1.1285085494865533E-3</v>
      </c>
      <c r="AN12">
        <f t="shared" si="14"/>
        <v>1.9184645341271407E-2</v>
      </c>
      <c r="AO12">
        <f t="shared" si="14"/>
        <v>8.5766649760978045E-2</v>
      </c>
      <c r="AP12">
        <f t="shared" si="14"/>
        <v>0.37015080423158947</v>
      </c>
      <c r="AQ12" s="54">
        <f t="shared" si="14"/>
        <v>1.3858084987694874</v>
      </c>
      <c r="AR12" s="9">
        <f t="shared" si="15"/>
        <v>0.44621480044462636</v>
      </c>
      <c r="AS12" s="9">
        <f t="shared" si="16"/>
        <v>0.59834859452599665</v>
      </c>
      <c r="AT12" s="9">
        <f t="shared" si="17"/>
        <v>1.3409429582563779</v>
      </c>
      <c r="AU12" s="10"/>
      <c r="AV12" s="10">
        <v>4.5264926352280903E-2</v>
      </c>
      <c r="AW12" s="10">
        <v>0.12707267062271299</v>
      </c>
      <c r="AX12" s="10">
        <v>0.43334728234498898</v>
      </c>
      <c r="AY12" s="10">
        <v>1.7333891293799499</v>
      </c>
      <c r="AZ12" s="10">
        <v>6.9335565175198299</v>
      </c>
      <c r="BA12" s="46"/>
      <c r="BB12" s="58"/>
      <c r="BC12" s="58">
        <f t="shared" si="20"/>
        <v>2.4378441184649468E-3</v>
      </c>
      <c r="BD12" s="58">
        <f t="shared" si="21"/>
        <v>3.7166744589754337E-2</v>
      </c>
      <c r="BE12" s="58">
        <f t="shared" si="22"/>
        <v>0.64161538028628318</v>
      </c>
      <c r="BF12" s="62">
        <f t="shared" si="23"/>
        <v>9.6085815486775505</v>
      </c>
    </row>
    <row r="13" spans="1:58" x14ac:dyDescent="0.25">
      <c r="A13" s="34">
        <v>165</v>
      </c>
      <c r="B13" s="51">
        <v>16</v>
      </c>
      <c r="C13" s="48"/>
      <c r="D13" s="2">
        <v>10</v>
      </c>
      <c r="E13" s="27">
        <v>1.06254875376059E-2</v>
      </c>
      <c r="F13" s="27">
        <v>5.3979442955963304E-3</v>
      </c>
      <c r="G13" s="27">
        <v>5.0606462291010196E-3</v>
      </c>
      <c r="H13" s="30">
        <v>0</v>
      </c>
      <c r="I13" s="8">
        <v>1</v>
      </c>
      <c r="J13" s="8">
        <v>11</v>
      </c>
      <c r="K13" s="8">
        <v>62</v>
      </c>
      <c r="L13" s="8">
        <v>607</v>
      </c>
      <c r="M13" s="8">
        <v>1911</v>
      </c>
      <c r="N13" s="20"/>
      <c r="O13" s="10">
        <f t="shared" si="0"/>
        <v>0.1</v>
      </c>
      <c r="P13" s="10">
        <f t="shared" si="0"/>
        <v>1.1000000000000001</v>
      </c>
      <c r="Q13" s="10">
        <f t="shared" si="0"/>
        <v>6.2</v>
      </c>
      <c r="R13" s="10">
        <f t="shared" si="0"/>
        <v>60.7</v>
      </c>
      <c r="S13" s="22">
        <f t="shared" si="0"/>
        <v>191.1</v>
      </c>
      <c r="T13" s="20"/>
      <c r="U13" s="10"/>
      <c r="V13" s="10">
        <f t="shared" si="1"/>
        <v>1.1688036291366491E-2</v>
      </c>
      <c r="W13" s="10">
        <f t="shared" si="1"/>
        <v>6.5878022733156585E-2</v>
      </c>
      <c r="X13" s="10">
        <f t="shared" si="1"/>
        <v>0.64496709353267823</v>
      </c>
      <c r="Y13" s="22">
        <f t="shared" si="1"/>
        <v>2.0305306684364877</v>
      </c>
      <c r="Z13" s="4">
        <f t="shared" si="2"/>
        <v>2.0996305721795983</v>
      </c>
      <c r="AA13" s="9">
        <f t="shared" si="8"/>
        <v>1.9684322319284075</v>
      </c>
      <c r="AB13" s="4">
        <f t="shared" si="9"/>
        <v>0.9375136073985646</v>
      </c>
      <c r="AC13" s="53"/>
      <c r="AD13">
        <f t="shared" si="3"/>
        <v>5.0606462291010194E-4</v>
      </c>
      <c r="AE13">
        <f t="shared" si="3"/>
        <v>5.5667108520111221E-3</v>
      </c>
      <c r="AF13">
        <f t="shared" si="3"/>
        <v>3.1376006620426319E-2</v>
      </c>
      <c r="AG13">
        <f t="shared" si="3"/>
        <v>0.30718122610643189</v>
      </c>
      <c r="AH13" s="54">
        <f t="shared" si="3"/>
        <v>0.96708949438120484</v>
      </c>
      <c r="AI13" s="58">
        <f t="shared" si="11"/>
        <v>5.3771833439545179E-5</v>
      </c>
      <c r="AJ13" s="58">
        <f t="shared" si="12"/>
        <v>5.735578984154967E-5</v>
      </c>
      <c r="AK13" s="58">
        <f t="shared" si="13"/>
        <v>2.731708644440693E-5</v>
      </c>
      <c r="AL13" s="53"/>
      <c r="AM13">
        <f t="shared" si="14"/>
        <v>5.3979442955963311E-4</v>
      </c>
      <c r="AN13">
        <f t="shared" si="14"/>
        <v>5.9377387251559636E-3</v>
      </c>
      <c r="AO13">
        <f t="shared" si="14"/>
        <v>3.3467254632697251E-2</v>
      </c>
      <c r="AP13">
        <f t="shared" si="14"/>
        <v>0.32765521874269726</v>
      </c>
      <c r="AQ13" s="54">
        <f t="shared" si="14"/>
        <v>1.0315471548884587</v>
      </c>
      <c r="AR13" s="9">
        <f t="shared" si="15"/>
        <v>0.47627426141062207</v>
      </c>
      <c r="AS13" s="9">
        <f t="shared" si="16"/>
        <v>0.50801850517370029</v>
      </c>
      <c r="AT13" s="9">
        <f t="shared" si="17"/>
        <v>1.0666511846956803</v>
      </c>
      <c r="AU13" s="10"/>
      <c r="AV13" s="10">
        <v>4.2501949944915698E-2</v>
      </c>
      <c r="AW13" s="10">
        <v>0.116374533955678</v>
      </c>
      <c r="AX13" s="10">
        <v>0.36853445483851999</v>
      </c>
      <c r="AY13" s="10">
        <v>1.38187374013061</v>
      </c>
      <c r="AZ13" s="10">
        <v>5.5274949605224499</v>
      </c>
      <c r="BA13" s="46"/>
      <c r="BB13" s="58"/>
      <c r="BC13" s="58">
        <f t="shared" si="20"/>
        <v>6.9100157689060691E-4</v>
      </c>
      <c r="BD13" s="58">
        <f t="shared" si="21"/>
        <v>1.2333836441003014E-2</v>
      </c>
      <c r="BE13" s="58">
        <f t="shared" si="22"/>
        <v>0.45277814259728422</v>
      </c>
      <c r="BF13" s="62">
        <f t="shared" si="23"/>
        <v>5.701871700187227</v>
      </c>
    </row>
    <row r="14" spans="1:58" x14ac:dyDescent="0.25">
      <c r="A14" s="34">
        <v>166</v>
      </c>
      <c r="B14" s="51">
        <v>16</v>
      </c>
      <c r="C14" s="48"/>
      <c r="D14" s="2">
        <v>10</v>
      </c>
      <c r="E14" s="27">
        <v>5.4104257016193398E-3</v>
      </c>
      <c r="F14" s="27">
        <v>4.2237913969842902E-3</v>
      </c>
      <c r="G14" s="27">
        <v>4.0412722569313003E-3</v>
      </c>
      <c r="H14" s="30">
        <v>0</v>
      </c>
      <c r="I14" s="8">
        <v>0</v>
      </c>
      <c r="J14" s="8">
        <v>2</v>
      </c>
      <c r="K14" s="8">
        <v>32</v>
      </c>
      <c r="L14" s="8">
        <v>536</v>
      </c>
      <c r="M14" s="8">
        <v>2020</v>
      </c>
      <c r="N14" s="20"/>
      <c r="O14" s="10"/>
      <c r="P14" s="10">
        <f t="shared" si="0"/>
        <v>0.2</v>
      </c>
      <c r="Q14" s="10">
        <f t="shared" si="0"/>
        <v>3.2</v>
      </c>
      <c r="R14" s="10">
        <f t="shared" si="0"/>
        <v>53.6</v>
      </c>
      <c r="S14" s="22">
        <f t="shared" si="0"/>
        <v>202</v>
      </c>
      <c r="T14" s="20"/>
      <c r="U14" s="10"/>
      <c r="V14" s="10">
        <f t="shared" si="1"/>
        <v>1.082085140323868E-3</v>
      </c>
      <c r="W14" s="10">
        <f t="shared" si="1"/>
        <v>1.7313362245181887E-2</v>
      </c>
      <c r="X14" s="10">
        <f t="shared" si="1"/>
        <v>0.28999881760679663</v>
      </c>
      <c r="Y14" s="22">
        <f t="shared" si="1"/>
        <v>1.0929059917271067</v>
      </c>
      <c r="Z14" s="4">
        <f t="shared" si="2"/>
        <v>1.3387926765735136</v>
      </c>
      <c r="AA14" s="9">
        <f t="shared" si="8"/>
        <v>1.2809405562694893</v>
      </c>
      <c r="AB14" s="4">
        <f t="shared" si="9"/>
        <v>0.95678784227286762</v>
      </c>
      <c r="AC14" s="53"/>
      <c r="AE14">
        <f t="shared" si="3"/>
        <v>8.0825445138626008E-4</v>
      </c>
      <c r="AF14">
        <f t="shared" si="3"/>
        <v>1.2932071222180161E-2</v>
      </c>
      <c r="AG14">
        <f t="shared" si="3"/>
        <v>0.21661219297151771</v>
      </c>
      <c r="AH14" s="54">
        <f t="shared" si="3"/>
        <v>0.81633699590012265</v>
      </c>
      <c r="AI14" s="58">
        <f t="shared" si="11"/>
        <v>2.1865003286142305E-5</v>
      </c>
      <c r="AJ14" s="58">
        <f t="shared" si="12"/>
        <v>2.2852509532522461E-5</v>
      </c>
      <c r="AK14" s="58">
        <f t="shared" si="13"/>
        <v>1.7069490991697714E-5</v>
      </c>
      <c r="AL14" s="53"/>
      <c r="AN14">
        <f t="shared" si="14"/>
        <v>8.4475827939685811E-4</v>
      </c>
      <c r="AO14">
        <f t="shared" si="14"/>
        <v>1.351613247034973E-2</v>
      </c>
      <c r="AP14">
        <f t="shared" si="14"/>
        <v>0.22639521887835795</v>
      </c>
      <c r="AQ14" s="54">
        <f t="shared" si="14"/>
        <v>0.85320586219082661</v>
      </c>
      <c r="AR14" s="9">
        <f t="shared" si="15"/>
        <v>0.74694164189737378</v>
      </c>
      <c r="AS14" s="9">
        <f t="shared" si="16"/>
        <v>0.78067635153368986</v>
      </c>
      <c r="AT14" s="9">
        <f t="shared" si="17"/>
        <v>1.0451637822074338</v>
      </c>
      <c r="AU14" s="10"/>
      <c r="AV14" s="10"/>
      <c r="AW14" s="10">
        <v>7.8663658425102104E-2</v>
      </c>
      <c r="AX14" s="10">
        <v>0.286033381784213</v>
      </c>
      <c r="AY14" s="10">
        <v>1.08129059920596</v>
      </c>
      <c r="AZ14" s="10">
        <v>4.3251623968238597</v>
      </c>
      <c r="BA14" s="46"/>
      <c r="BB14" s="58"/>
      <c r="BC14" s="58"/>
      <c r="BD14" s="58">
        <f t="shared" si="21"/>
        <v>3.8660650791375421E-3</v>
      </c>
      <c r="BE14" s="58">
        <f t="shared" si="22"/>
        <v>0.24479902187834415</v>
      </c>
      <c r="BF14" s="62">
        <f t="shared" si="23"/>
        <v>3.6902539118974436</v>
      </c>
    </row>
    <row r="15" spans="1:58" x14ac:dyDescent="0.25">
      <c r="A15" s="7">
        <v>1.1000000000000001</v>
      </c>
      <c r="B15" s="51">
        <v>32</v>
      </c>
      <c r="C15" s="48">
        <v>45.6</v>
      </c>
      <c r="D15" s="3">
        <v>20</v>
      </c>
      <c r="E15" s="26">
        <v>1.40031756933689E-2</v>
      </c>
      <c r="F15" s="26">
        <v>5.6784984243662398E-3</v>
      </c>
      <c r="G15" s="26">
        <v>4.6667095589632999E-3</v>
      </c>
      <c r="H15" s="30">
        <v>0</v>
      </c>
      <c r="I15" s="8">
        <v>1</v>
      </c>
      <c r="J15" s="8">
        <v>18</v>
      </c>
      <c r="K15" s="8">
        <v>151</v>
      </c>
      <c r="L15" s="8">
        <v>1196</v>
      </c>
      <c r="M15" s="8">
        <v>3617</v>
      </c>
      <c r="N15" s="20"/>
      <c r="O15" s="10">
        <f t="shared" si="0"/>
        <v>0.05</v>
      </c>
      <c r="P15" s="10">
        <f t="shared" si="0"/>
        <v>0.9</v>
      </c>
      <c r="Q15" s="10">
        <f t="shared" si="0"/>
        <v>7.55</v>
      </c>
      <c r="R15" s="10">
        <f t="shared" si="0"/>
        <v>59.8</v>
      </c>
      <c r="S15" s="22">
        <f t="shared" si="0"/>
        <v>180.85</v>
      </c>
      <c r="T15" s="20"/>
      <c r="U15" s="10"/>
      <c r="V15" s="10">
        <f t="shared" si="1"/>
        <v>1.260285812403201E-2</v>
      </c>
      <c r="W15" s="10">
        <f t="shared" si="1"/>
        <v>0.1057239764849352</v>
      </c>
      <c r="X15" s="10">
        <f t="shared" si="1"/>
        <v>0.83738990646346023</v>
      </c>
      <c r="Y15" s="22">
        <f t="shared" si="1"/>
        <v>2.5324743241457655</v>
      </c>
      <c r="Z15" s="4">
        <f t="shared" si="2"/>
        <v>3.0006529261014645</v>
      </c>
      <c r="AA15" s="9">
        <f t="shared" si="8"/>
        <v>2.4659997497369655</v>
      </c>
      <c r="AB15" s="4">
        <f t="shared" si="9"/>
        <v>0.82182105377340797</v>
      </c>
      <c r="AC15" s="53"/>
      <c r="AD15">
        <f t="shared" si="3"/>
        <v>2.33335477948165E-4</v>
      </c>
      <c r="AE15">
        <f t="shared" si="3"/>
        <v>4.2000386030669702E-3</v>
      </c>
      <c r="AF15">
        <f t="shared" si="3"/>
        <v>3.5233657170172912E-2</v>
      </c>
      <c r="AG15">
        <f t="shared" si="3"/>
        <v>0.27906923162600533</v>
      </c>
      <c r="AH15" s="54">
        <f t="shared" si="3"/>
        <v>0.84397442373851272</v>
      </c>
      <c r="AI15" s="58">
        <f t="shared" si="11"/>
        <v>6.5348753864087188E-5</v>
      </c>
      <c r="AJ15" s="58">
        <f t="shared" si="12"/>
        <v>7.9517011110918925E-5</v>
      </c>
      <c r="AK15" s="58">
        <f t="shared" si="13"/>
        <v>2.6499902877547969E-5</v>
      </c>
      <c r="AL15" s="53"/>
      <c r="AM15">
        <f t="shared" si="14"/>
        <v>2.8392492121831199E-4</v>
      </c>
      <c r="AN15">
        <f t="shared" si="14"/>
        <v>5.1106485819296162E-3</v>
      </c>
      <c r="AO15">
        <f t="shared" si="14"/>
        <v>4.2872663103965113E-2</v>
      </c>
      <c r="AP15">
        <f t="shared" si="14"/>
        <v>0.33957420577710112</v>
      </c>
      <c r="AQ15" s="54">
        <f t="shared" si="14"/>
        <v>1.0269564400466344</v>
      </c>
      <c r="AR15" s="9">
        <f t="shared" si="15"/>
        <v>0.33326080177464212</v>
      </c>
      <c r="AS15" s="9">
        <f t="shared" si="16"/>
        <v>0.40551504520901288</v>
      </c>
      <c r="AT15" s="9">
        <f t="shared" si="17"/>
        <v>1.2168099069845921</v>
      </c>
      <c r="AU15" s="10"/>
      <c r="AV15" s="10">
        <v>5.6012702773475899E-2</v>
      </c>
      <c r="AW15" s="10">
        <v>0.17662425401843199</v>
      </c>
      <c r="AX15" s="10">
        <v>0.371998081424883</v>
      </c>
      <c r="AY15" s="10">
        <v>1.4536955966377501</v>
      </c>
      <c r="AZ15" s="10">
        <v>5.8147823865510198</v>
      </c>
      <c r="BA15" s="46"/>
      <c r="BB15" s="58"/>
      <c r="BC15" s="58">
        <f t="shared" si="20"/>
        <v>9.0266449333367574E-4</v>
      </c>
      <c r="BD15" s="58">
        <f t="shared" si="21"/>
        <v>1.594854842025039E-2</v>
      </c>
      <c r="BE15" s="58">
        <f t="shared" si="22"/>
        <v>0.49363752766993313</v>
      </c>
      <c r="BF15" s="62">
        <f t="shared" si="23"/>
        <v>5.9715282193383086</v>
      </c>
    </row>
    <row r="16" spans="1:58" x14ac:dyDescent="0.25">
      <c r="A16" s="7">
        <v>1.2</v>
      </c>
      <c r="B16" s="51">
        <v>32</v>
      </c>
      <c r="C16" s="48">
        <v>44.2</v>
      </c>
      <c r="D16" s="3">
        <v>20</v>
      </c>
      <c r="E16" s="26">
        <v>1.0890800850407899E-2</v>
      </c>
      <c r="F16" s="26">
        <v>4.8212415579803897E-3</v>
      </c>
      <c r="G16" s="26">
        <v>4.1135640493545804E-3</v>
      </c>
      <c r="H16" s="30">
        <v>0</v>
      </c>
      <c r="I16" s="8">
        <v>1</v>
      </c>
      <c r="J16" s="8">
        <v>11</v>
      </c>
      <c r="K16" s="8">
        <v>103</v>
      </c>
      <c r="L16" s="8">
        <v>972</v>
      </c>
      <c r="M16" s="8">
        <v>3501</v>
      </c>
      <c r="N16" s="20"/>
      <c r="O16" s="10">
        <f t="shared" si="0"/>
        <v>0.05</v>
      </c>
      <c r="P16" s="10">
        <f t="shared" si="0"/>
        <v>0.55000000000000004</v>
      </c>
      <c r="Q16" s="10">
        <f t="shared" si="0"/>
        <v>5.15</v>
      </c>
      <c r="R16" s="10">
        <f t="shared" si="0"/>
        <v>48.6</v>
      </c>
      <c r="S16" s="22">
        <f t="shared" si="0"/>
        <v>175.05</v>
      </c>
      <c r="T16" s="20"/>
      <c r="U16" s="10"/>
      <c r="V16" s="10">
        <f t="shared" si="1"/>
        <v>5.9899404677243454E-3</v>
      </c>
      <c r="W16" s="10">
        <f t="shared" si="1"/>
        <v>5.6087624379600687E-2</v>
      </c>
      <c r="X16" s="10">
        <f t="shared" si="1"/>
        <v>0.52929292132982397</v>
      </c>
      <c r="Y16" s="22">
        <f t="shared" si="1"/>
        <v>1.906434688863903</v>
      </c>
      <c r="Z16" s="4">
        <f t="shared" si="2"/>
        <v>2.6475340409775971</v>
      </c>
      <c r="AA16" s="9">
        <f t="shared" si="8"/>
        <v>2.2589203879197535</v>
      </c>
      <c r="AB16" s="4">
        <f t="shared" si="9"/>
        <v>0.85321674923040902</v>
      </c>
      <c r="AC16" s="53"/>
      <c r="AD16">
        <f t="shared" si="3"/>
        <v>2.0567820246772904E-4</v>
      </c>
      <c r="AE16">
        <f t="shared" si="3"/>
        <v>2.2624602271450194E-3</v>
      </c>
      <c r="AF16">
        <f t="shared" si="3"/>
        <v>2.118485485417609E-2</v>
      </c>
      <c r="AG16">
        <f t="shared" si="3"/>
        <v>0.19991921279863262</v>
      </c>
      <c r="AH16" s="54">
        <f t="shared" si="3"/>
        <v>0.72007938683951933</v>
      </c>
      <c r="AI16" s="58">
        <f t="shared" si="11"/>
        <v>4.4800006846918226E-5</v>
      </c>
      <c r="AJ16" s="58">
        <f t="shared" si="12"/>
        <v>5.2507181659674734E-5</v>
      </c>
      <c r="AK16" s="58">
        <f t="shared" si="13"/>
        <v>1.9832485946162398E-5</v>
      </c>
      <c r="AL16" s="53"/>
      <c r="AM16">
        <f t="shared" si="14"/>
        <v>2.4106207789901949E-4</v>
      </c>
      <c r="AN16">
        <f t="shared" si="14"/>
        <v>2.6516828568892144E-3</v>
      </c>
      <c r="AO16">
        <f t="shared" si="14"/>
        <v>2.4829394023599009E-2</v>
      </c>
      <c r="AP16">
        <f t="shared" si="14"/>
        <v>0.23431233971784696</v>
      </c>
      <c r="AQ16" s="54">
        <f t="shared" si="14"/>
        <v>0.84395833472446724</v>
      </c>
      <c r="AR16" s="9">
        <f t="shared" si="15"/>
        <v>0.3777099687944907</v>
      </c>
      <c r="AS16" s="9">
        <f t="shared" si="16"/>
        <v>0.44268935078358512</v>
      </c>
      <c r="AT16" s="9">
        <f t="shared" si="17"/>
        <v>1.1720351257778141</v>
      </c>
      <c r="AU16" s="10"/>
      <c r="AV16" s="10">
        <v>4.3563203401631702E-2</v>
      </c>
      <c r="AW16" s="10">
        <v>0.14678489544762599</v>
      </c>
      <c r="AX16" s="10">
        <v>0.32808884276820199</v>
      </c>
      <c r="AY16" s="10">
        <v>1.23423783884298</v>
      </c>
      <c r="AZ16" s="10">
        <v>4.93695135537192</v>
      </c>
      <c r="BA16" s="46"/>
      <c r="BB16" s="58"/>
      <c r="BC16" s="58">
        <f t="shared" si="20"/>
        <v>3.8922699090874552E-4</v>
      </c>
      <c r="BD16" s="58">
        <f t="shared" si="21"/>
        <v>8.1462471518383098E-3</v>
      </c>
      <c r="BE16" s="58">
        <f t="shared" si="22"/>
        <v>0.28919715578759758</v>
      </c>
      <c r="BF16" s="62">
        <f t="shared" si="23"/>
        <v>4.1665812444953874</v>
      </c>
    </row>
    <row r="17" spans="1:61" x14ac:dyDescent="0.25">
      <c r="A17" s="7">
        <v>2.2000000000000002</v>
      </c>
      <c r="B17" s="51">
        <v>45</v>
      </c>
      <c r="C17" s="48">
        <v>54.05</v>
      </c>
      <c r="D17" s="3">
        <v>15</v>
      </c>
      <c r="E17" s="26">
        <v>2.4016207968108199E-2</v>
      </c>
      <c r="F17" s="26">
        <v>6.5149661727545603E-3</v>
      </c>
      <c r="G17" s="26">
        <v>4.26435563054003E-3</v>
      </c>
      <c r="H17" s="30">
        <v>1</v>
      </c>
      <c r="I17" s="8">
        <v>5</v>
      </c>
      <c r="J17" s="8">
        <v>26</v>
      </c>
      <c r="K17" s="8">
        <v>112</v>
      </c>
      <c r="L17" s="8">
        <v>811</v>
      </c>
      <c r="M17" s="8">
        <v>2808</v>
      </c>
      <c r="N17" s="20">
        <f t="shared" si="6"/>
        <v>6.6666666666666666E-2</v>
      </c>
      <c r="O17" s="10">
        <f t="shared" si="0"/>
        <v>0.33333333333333331</v>
      </c>
      <c r="P17" s="10">
        <f t="shared" si="0"/>
        <v>1.7333333333333334</v>
      </c>
      <c r="Q17" s="10">
        <f t="shared" si="0"/>
        <v>7.4666666666666668</v>
      </c>
      <c r="R17" s="10">
        <f t="shared" si="0"/>
        <v>54.06666666666667</v>
      </c>
      <c r="S17" s="22">
        <f t="shared" si="0"/>
        <v>187.2</v>
      </c>
      <c r="T17" s="20"/>
      <c r="U17" s="10">
        <f t="shared" si="1"/>
        <v>8.0054026560360658E-3</v>
      </c>
      <c r="V17" s="10">
        <f t="shared" si="1"/>
        <v>4.1628093811387545E-2</v>
      </c>
      <c r="W17" s="10">
        <f t="shared" si="1"/>
        <v>0.1793210194952079</v>
      </c>
      <c r="X17" s="10">
        <f t="shared" si="1"/>
        <v>1.29847631080905</v>
      </c>
      <c r="Y17" s="22">
        <f t="shared" si="1"/>
        <v>4.4958341316298549</v>
      </c>
      <c r="Z17" s="4">
        <f t="shared" si="2"/>
        <v>5.6318492285472992</v>
      </c>
      <c r="AA17" s="9">
        <f t="shared" si="8"/>
        <v>3.6863135327614489</v>
      </c>
      <c r="AB17" s="4">
        <f t="shared" si="9"/>
        <v>0.65454762426449242</v>
      </c>
      <c r="AC17" s="53">
        <f t="shared" si="10"/>
        <v>2.8429037536933531E-4</v>
      </c>
      <c r="AD17">
        <f t="shared" si="3"/>
        <v>1.4214518768466767E-3</v>
      </c>
      <c r="AE17">
        <f t="shared" si="3"/>
        <v>7.3915497596027191E-3</v>
      </c>
      <c r="AF17">
        <f t="shared" si="3"/>
        <v>3.184052204136556E-2</v>
      </c>
      <c r="AG17">
        <f t="shared" si="3"/>
        <v>0.23055949442453097</v>
      </c>
      <c r="AH17" s="54">
        <f t="shared" si="3"/>
        <v>0.7982873740370936</v>
      </c>
      <c r="AI17" s="58">
        <f t="shared" si="11"/>
        <v>1.0241365167302253E-4</v>
      </c>
      <c r="AJ17" s="58">
        <f t="shared" si="12"/>
        <v>1.5646478251006346E-4</v>
      </c>
      <c r="AK17" s="58">
        <f t="shared" si="13"/>
        <v>2.778213268156374E-5</v>
      </c>
      <c r="AL17" s="53">
        <f t="shared" si="24"/>
        <v>4.3433107818363734E-4</v>
      </c>
      <c r="AM17">
        <f t="shared" si="14"/>
        <v>2.1716553909181865E-3</v>
      </c>
      <c r="AN17">
        <f t="shared" si="14"/>
        <v>1.1292608032774572E-2</v>
      </c>
      <c r="AO17">
        <f t="shared" si="14"/>
        <v>4.8645080756567385E-2</v>
      </c>
      <c r="AP17">
        <f t="shared" si="14"/>
        <v>0.35224250440692989</v>
      </c>
      <c r="AQ17" s="54">
        <f t="shared" si="14"/>
        <v>1.2196016675396537</v>
      </c>
      <c r="AR17" s="9">
        <f t="shared" si="15"/>
        <v>0.17756157159376651</v>
      </c>
      <c r="AS17" s="9">
        <f t="shared" si="16"/>
        <v>0.27127372403694905</v>
      </c>
      <c r="AT17" s="9">
        <f t="shared" si="17"/>
        <v>1.5277727134426444</v>
      </c>
      <c r="AU17" s="10">
        <v>2.4016207968108199E-2</v>
      </c>
      <c r="AV17" s="10">
        <v>6.1687066952672398E-2</v>
      </c>
      <c r="AW17" s="10">
        <v>0.19687478181427201</v>
      </c>
      <c r="AX17" s="10">
        <v>0.46344710039377801</v>
      </c>
      <c r="AY17" s="10">
        <v>1.6678313402251601</v>
      </c>
      <c r="AZ17" s="10">
        <v>6.6713253609006697</v>
      </c>
      <c r="BA17" s="46"/>
      <c r="BB17" s="58">
        <f t="shared" si="19"/>
        <v>1.3396305149770212E-4</v>
      </c>
      <c r="BC17" s="58">
        <f t="shared" si="20"/>
        <v>2.2232297425665896E-3</v>
      </c>
      <c r="BD17" s="58">
        <f t="shared" si="21"/>
        <v>2.2544421625052324E-2</v>
      </c>
      <c r="BE17" s="58">
        <f t="shared" si="22"/>
        <v>0.58748108820927669</v>
      </c>
      <c r="BF17" s="62">
        <f t="shared" si="23"/>
        <v>8.136359534854039</v>
      </c>
    </row>
    <row r="18" spans="1:61" x14ac:dyDescent="0.25">
      <c r="A18" s="7">
        <v>3.2</v>
      </c>
      <c r="B18" s="51">
        <v>64</v>
      </c>
      <c r="C18" s="48">
        <v>86.98</v>
      </c>
      <c r="D18" s="3">
        <v>15</v>
      </c>
      <c r="E18" s="26">
        <v>5.1502950973667999E-2</v>
      </c>
      <c r="F18" s="26">
        <v>1.37528556522491E-2</v>
      </c>
      <c r="G18" s="26">
        <v>4.5700514622563203E-3</v>
      </c>
      <c r="H18" s="30">
        <v>2</v>
      </c>
      <c r="I18" s="8">
        <v>30</v>
      </c>
      <c r="J18" s="8">
        <v>110</v>
      </c>
      <c r="K18" s="8">
        <v>279</v>
      </c>
      <c r="L18" s="8">
        <v>1032</v>
      </c>
      <c r="M18" s="8">
        <v>2570</v>
      </c>
      <c r="N18" s="20">
        <f t="shared" si="6"/>
        <v>0.13333333333333333</v>
      </c>
      <c r="O18" s="10">
        <f t="shared" si="0"/>
        <v>2</v>
      </c>
      <c r="P18" s="10">
        <f t="shared" si="0"/>
        <v>7.333333333333333</v>
      </c>
      <c r="Q18" s="10">
        <f t="shared" si="0"/>
        <v>18.600000000000001</v>
      </c>
      <c r="R18" s="10">
        <f t="shared" si="0"/>
        <v>68.8</v>
      </c>
      <c r="S18" s="22">
        <f t="shared" si="0"/>
        <v>171.33333333333334</v>
      </c>
      <c r="T18" s="20">
        <f t="shared" si="7"/>
        <v>6.8670601298223997E-3</v>
      </c>
      <c r="U18" s="10">
        <f t="shared" si="1"/>
        <v>0.103005901947336</v>
      </c>
      <c r="V18" s="10">
        <f t="shared" si="1"/>
        <v>0.37768830714023199</v>
      </c>
      <c r="W18" s="10">
        <f t="shared" si="1"/>
        <v>0.95795488811022489</v>
      </c>
      <c r="X18" s="10">
        <f t="shared" si="1"/>
        <v>3.5434030269883583</v>
      </c>
      <c r="Y18" s="22">
        <f t="shared" si="1"/>
        <v>8.824172266821785</v>
      </c>
      <c r="Z18" s="4">
        <f t="shared" si="2"/>
        <v>11.26966542915909</v>
      </c>
      <c r="AA18" s="9">
        <f t="shared" si="8"/>
        <v>3.7448914084432614</v>
      </c>
      <c r="AB18" s="4">
        <f t="shared" si="9"/>
        <v>0.33229836608580621</v>
      </c>
      <c r="AC18" s="53">
        <f t="shared" si="10"/>
        <v>6.0934019496750936E-4</v>
      </c>
      <c r="AD18">
        <f t="shared" si="3"/>
        <v>9.1401029245126407E-3</v>
      </c>
      <c r="AE18">
        <f t="shared" si="3"/>
        <v>3.3513710723213012E-2</v>
      </c>
      <c r="AF18">
        <f t="shared" si="3"/>
        <v>8.5002957197967563E-2</v>
      </c>
      <c r="AG18">
        <f t="shared" si="3"/>
        <v>0.31441954060323485</v>
      </c>
      <c r="AH18" s="54">
        <f t="shared" si="3"/>
        <v>0.78300215053324962</v>
      </c>
      <c r="AI18" s="58">
        <f t="shared" si="11"/>
        <v>2.3537113640772703E-4</v>
      </c>
      <c r="AJ18" s="58">
        <f t="shared" si="12"/>
        <v>7.0831265040571822E-4</v>
      </c>
      <c r="AK18" s="58">
        <f t="shared" si="13"/>
        <v>6.2851258083761093E-5</v>
      </c>
      <c r="AL18" s="53">
        <f t="shared" si="24"/>
        <v>1.8337140869665466E-3</v>
      </c>
      <c r="AM18">
        <f t="shared" si="14"/>
        <v>2.75057113044982E-2</v>
      </c>
      <c r="AN18">
        <f t="shared" si="14"/>
        <v>0.10085427478316006</v>
      </c>
      <c r="AO18">
        <f t="shared" si="14"/>
        <v>0.25580311513183329</v>
      </c>
      <c r="AP18">
        <f t="shared" si="14"/>
        <v>0.94619646887473807</v>
      </c>
      <c r="AQ18" s="54">
        <f t="shared" si="14"/>
        <v>2.3563226017520127</v>
      </c>
      <c r="AR18" s="9">
        <f t="shared" si="15"/>
        <v>8.8733778858474693E-2</v>
      </c>
      <c r="AS18" s="9">
        <f t="shared" si="16"/>
        <v>0.26703043985344732</v>
      </c>
      <c r="AT18" s="9">
        <f t="shared" si="17"/>
        <v>3.0093437165495409</v>
      </c>
      <c r="AU18" s="10">
        <v>2.8717702047744001E-2</v>
      </c>
      <c r="AV18" s="10">
        <v>0.11587567427319601</v>
      </c>
      <c r="AW18" s="10">
        <v>0.424330918118209</v>
      </c>
      <c r="AX18" s="10">
        <v>1.0317760232201201</v>
      </c>
      <c r="AY18" s="10">
        <v>3.52073104697577</v>
      </c>
      <c r="AZ18" s="10">
        <v>14.082924187903</v>
      </c>
      <c r="BA18" s="46">
        <f t="shared" si="18"/>
        <v>5.2660054790256215E-5</v>
      </c>
      <c r="BB18" s="58">
        <f t="shared" si="19"/>
        <v>3.1872428437725985E-3</v>
      </c>
      <c r="BC18" s="58">
        <f t="shared" si="20"/>
        <v>4.2795587014884444E-2</v>
      </c>
      <c r="BD18" s="58">
        <f t="shared" si="21"/>
        <v>0.2639315208580415</v>
      </c>
      <c r="BE18" s="58">
        <f t="shared" si="22"/>
        <v>3.331303284506133</v>
      </c>
      <c r="BF18" s="62">
        <f t="shared" si="23"/>
        <v>33.183912562715946</v>
      </c>
    </row>
    <row r="19" spans="1:61" x14ac:dyDescent="0.25">
      <c r="A19" s="7">
        <v>3.3</v>
      </c>
      <c r="B19" s="51">
        <v>64</v>
      </c>
      <c r="C19" s="48">
        <v>87.98</v>
      </c>
      <c r="D19" s="3">
        <v>20</v>
      </c>
      <c r="E19" s="26">
        <v>5.04335454776157E-2</v>
      </c>
      <c r="F19" s="26">
        <v>9.8602655911611495E-3</v>
      </c>
      <c r="G19" s="26">
        <v>4.3864038070395503E-3</v>
      </c>
      <c r="H19" s="30">
        <v>4</v>
      </c>
      <c r="I19" s="8">
        <v>20</v>
      </c>
      <c r="J19" s="8">
        <v>68</v>
      </c>
      <c r="K19" s="8">
        <v>245</v>
      </c>
      <c r="L19" s="8">
        <v>1155</v>
      </c>
      <c r="M19" s="8">
        <v>3356</v>
      </c>
      <c r="N19" s="20">
        <f t="shared" si="6"/>
        <v>0.2</v>
      </c>
      <c r="O19" s="10">
        <f t="shared" ref="O19:O22" si="25">I19/$D19</f>
        <v>1</v>
      </c>
      <c r="P19" s="10">
        <f t="shared" ref="P19:P22" si="26">J19/$D19</f>
        <v>3.4</v>
      </c>
      <c r="Q19" s="10">
        <f t="shared" ref="Q19:Q22" si="27">K19/$D19</f>
        <v>12.25</v>
      </c>
      <c r="R19" s="10">
        <f t="shared" ref="R19:R22" si="28">L19/$D19</f>
        <v>57.75</v>
      </c>
      <c r="S19" s="22">
        <f t="shared" ref="S19:S22" si="29">M19/$D19</f>
        <v>167.8</v>
      </c>
      <c r="T19" s="20">
        <f t="shared" si="7"/>
        <v>1.0086709095523141E-2</v>
      </c>
      <c r="U19" s="10">
        <f t="shared" ref="U19:U21" si="30">O19*$E19</f>
        <v>5.04335454776157E-2</v>
      </c>
      <c r="V19" s="10">
        <f t="shared" ref="V19:V21" si="31">P19*$E19</f>
        <v>0.17147405462389337</v>
      </c>
      <c r="W19" s="10">
        <f t="shared" ref="W19:W22" si="32">Q19*$E19</f>
        <v>0.6178109321007923</v>
      </c>
      <c r="X19" s="10">
        <f t="shared" ref="X19:Y22" si="33">R19*$E19</f>
        <v>2.9125372513323069</v>
      </c>
      <c r="Y19" s="22">
        <f t="shared" si="33"/>
        <v>8.4627489311439152</v>
      </c>
      <c r="Z19" s="4">
        <f t="shared" si="2"/>
        <v>11.497697817213517</v>
      </c>
      <c r="AA19" s="9">
        <f t="shared" si="8"/>
        <v>5.1148262702806795</v>
      </c>
      <c r="AB19" s="4">
        <f t="shared" si="9"/>
        <v>0.4448565575121598</v>
      </c>
      <c r="AC19" s="53">
        <f t="shared" si="10"/>
        <v>8.7728076140791006E-4</v>
      </c>
      <c r="AD19">
        <f t="shared" ref="AD19:AD22" si="34">O19*$G19</f>
        <v>4.3864038070395503E-3</v>
      </c>
      <c r="AE19">
        <f t="shared" ref="AE19:AE22" si="35">P19*$G19</f>
        <v>1.4913772943934471E-2</v>
      </c>
      <c r="AF19">
        <f t="shared" ref="AF19:AF22" si="36">Q19*$G19</f>
        <v>5.3733446636234493E-2</v>
      </c>
      <c r="AG19">
        <f t="shared" ref="AG19:AG22" si="37">R19*$G19</f>
        <v>0.25331481985653403</v>
      </c>
      <c r="AH19" s="54">
        <f t="shared" ref="AH19:AH22" si="38">S19*$G19</f>
        <v>0.73603855882123659</v>
      </c>
      <c r="AI19" s="58">
        <f t="shared" si="11"/>
        <v>2.212218958855158E-4</v>
      </c>
      <c r="AJ19" s="58">
        <f t="shared" si="12"/>
        <v>4.9728815311319511E-4</v>
      </c>
      <c r="AK19" s="58">
        <f t="shared" si="13"/>
        <v>4.325110652749035E-5</v>
      </c>
      <c r="AL19" s="53">
        <f t="shared" si="24"/>
        <v>1.9720531182322301E-3</v>
      </c>
      <c r="AM19">
        <f t="shared" si="14"/>
        <v>9.8602655911611495E-3</v>
      </c>
      <c r="AN19">
        <f t="shared" si="14"/>
        <v>3.3524903009947905E-2</v>
      </c>
      <c r="AO19">
        <f t="shared" si="14"/>
        <v>0.12078825349172408</v>
      </c>
      <c r="AP19">
        <f t="shared" si="14"/>
        <v>0.56943033788955644</v>
      </c>
      <c r="AQ19" s="54">
        <f t="shared" si="14"/>
        <v>1.654552566196841</v>
      </c>
      <c r="AR19" s="9">
        <f t="shared" si="15"/>
        <v>8.6973933034043799E-2</v>
      </c>
      <c r="AS19" s="9">
        <f t="shared" si="16"/>
        <v>0.19551006176112495</v>
      </c>
      <c r="AT19" s="9">
        <f t="shared" si="17"/>
        <v>2.2479156103541662</v>
      </c>
      <c r="AU19" s="10">
        <v>4.2099641834455401E-2</v>
      </c>
      <c r="AV19" s="10">
        <v>0.10745936765490099</v>
      </c>
      <c r="AW19" s="10">
        <v>0.342981303210388</v>
      </c>
      <c r="AX19" s="10">
        <v>0.759859641009906</v>
      </c>
      <c r="AY19" s="10">
        <v>2.5242279913372498</v>
      </c>
      <c r="AZ19" s="10">
        <v>10.096911965348999</v>
      </c>
      <c r="BA19" s="46">
        <f t="shared" si="18"/>
        <v>8.3022729956097811E-5</v>
      </c>
      <c r="BB19" s="58">
        <f t="shared" si="19"/>
        <v>1.0595779053355556E-3</v>
      </c>
      <c r="BC19" s="58">
        <f t="shared" si="20"/>
        <v>1.1498414924353792E-2</v>
      </c>
      <c r="BD19" s="58">
        <f t="shared" si="21"/>
        <v>9.1782118936434981E-2</v>
      </c>
      <c r="BE19" s="58">
        <f t="shared" si="22"/>
        <v>1.4373719980174464</v>
      </c>
      <c r="BF19" s="62">
        <f t="shared" si="23"/>
        <v>16.705871602931776</v>
      </c>
    </row>
    <row r="20" spans="1:61" x14ac:dyDescent="0.25">
      <c r="A20" s="7">
        <v>4.0999999999999996</v>
      </c>
      <c r="B20" s="51">
        <v>90</v>
      </c>
      <c r="C20" s="48">
        <v>108.42</v>
      </c>
      <c r="D20" s="3">
        <v>15</v>
      </c>
      <c r="E20" s="26">
        <v>9.6840712231762202E-2</v>
      </c>
      <c r="F20" s="26">
        <v>2.94139388502281E-2</v>
      </c>
      <c r="G20" s="26">
        <v>9.5407724532447606E-3</v>
      </c>
      <c r="H20" s="30">
        <v>12</v>
      </c>
      <c r="I20" s="8">
        <v>61</v>
      </c>
      <c r="J20" s="8">
        <v>187</v>
      </c>
      <c r="K20" s="8">
        <v>490</v>
      </c>
      <c r="L20" s="8">
        <v>1019</v>
      </c>
      <c r="M20" s="8">
        <v>2258</v>
      </c>
      <c r="N20" s="20">
        <f t="shared" si="6"/>
        <v>0.8</v>
      </c>
      <c r="O20" s="10">
        <f t="shared" si="25"/>
        <v>4.0666666666666664</v>
      </c>
      <c r="P20" s="10">
        <f t="shared" si="26"/>
        <v>12.466666666666667</v>
      </c>
      <c r="Q20" s="10">
        <f t="shared" si="27"/>
        <v>32.666666666666664</v>
      </c>
      <c r="R20" s="10">
        <f t="shared" si="28"/>
        <v>67.933333333333337</v>
      </c>
      <c r="S20" s="22">
        <f t="shared" si="29"/>
        <v>150.53333333333333</v>
      </c>
      <c r="T20" s="20">
        <f>N20*$E20</f>
        <v>7.747256978540977E-2</v>
      </c>
      <c r="U20" s="10">
        <f t="shared" si="30"/>
        <v>0.39381889640916629</v>
      </c>
      <c r="V20" s="10">
        <f t="shared" si="31"/>
        <v>1.2072808791559688</v>
      </c>
      <c r="W20" s="10">
        <f t="shared" si="32"/>
        <v>3.163463266237565</v>
      </c>
      <c r="X20" s="10">
        <f t="shared" si="33"/>
        <v>6.5787123842777122</v>
      </c>
      <c r="Y20" s="22">
        <f t="shared" si="33"/>
        <v>14.57775521462127</v>
      </c>
      <c r="Z20" s="4">
        <f t="shared" si="2"/>
        <v>10.150196192848854</v>
      </c>
      <c r="AA20" s="9">
        <f t="shared" si="8"/>
        <v>3.2923408430561558</v>
      </c>
      <c r="AB20" s="4">
        <f t="shared" si="9"/>
        <v>0.3243622862556802</v>
      </c>
      <c r="AC20" s="53">
        <f t="shared" si="10"/>
        <v>7.632617962595809E-3</v>
      </c>
      <c r="AD20">
        <f t="shared" si="34"/>
        <v>3.8799141309862027E-2</v>
      </c>
      <c r="AE20">
        <f t="shared" si="35"/>
        <v>0.11894162991711801</v>
      </c>
      <c r="AF20">
        <f t="shared" si="36"/>
        <v>0.31166523347266217</v>
      </c>
      <c r="AG20">
        <f t="shared" si="37"/>
        <v>0.64813647532376073</v>
      </c>
      <c r="AH20" s="54">
        <f t="shared" si="38"/>
        <v>1.436204279961778</v>
      </c>
      <c r="AI20" s="58">
        <f t="shared" si="11"/>
        <v>9.2393519961339978E-4</v>
      </c>
      <c r="AJ20" s="58">
        <f t="shared" si="12"/>
        <v>2.8484667877975898E-3</v>
      </c>
      <c r="AK20" s="58">
        <f t="shared" si="13"/>
        <v>2.8063169752368214E-4</v>
      </c>
      <c r="AL20" s="53">
        <f t="shared" si="24"/>
        <v>2.3531151080182482E-2</v>
      </c>
      <c r="AM20">
        <f t="shared" ref="AM20:AM22" si="39">O20*$F20</f>
        <v>0.11961668465759427</v>
      </c>
      <c r="AN20">
        <f t="shared" ref="AN20:AN22" si="40">P20*$F20</f>
        <v>0.36669377099951034</v>
      </c>
      <c r="AO20">
        <f t="shared" ref="AO20:AO22" si="41">Q20*$F20</f>
        <v>0.96085533577411786</v>
      </c>
      <c r="AP20">
        <f t="shared" ref="AP20:AP22" si="42">R20*$F20</f>
        <v>1.998186912558829</v>
      </c>
      <c r="AQ20" s="54">
        <f t="shared" ref="AQ20:AQ22" si="43">S20*$F20</f>
        <v>4.4277782615876697</v>
      </c>
      <c r="AR20" s="9">
        <f t="shared" si="15"/>
        <v>9.85202631555568E-2</v>
      </c>
      <c r="AS20" s="9">
        <f t="shared" si="16"/>
        <v>0.30373525940034135</v>
      </c>
      <c r="AT20" s="9">
        <f t="shared" si="17"/>
        <v>3.082972473599304</v>
      </c>
      <c r="AU20" s="10">
        <v>6.9669475601588704E-2</v>
      </c>
      <c r="AV20" s="10">
        <v>0.21182245741774999</v>
      </c>
      <c r="AW20" s="10">
        <v>0.71876689058186105</v>
      </c>
      <c r="AX20" s="10">
        <v>2.4352261038974299</v>
      </c>
      <c r="AY20" s="10">
        <v>7.5299683456584097</v>
      </c>
      <c r="AZ20" s="10">
        <v>30.1198733826336</v>
      </c>
      <c r="BA20" s="46">
        <f t="shared" si="18"/>
        <v>1.6394029560580711E-3</v>
      </c>
      <c r="BB20" s="58">
        <f t="shared" si="19"/>
        <v>2.533750009233569E-2</v>
      </c>
      <c r="BC20" s="58">
        <f t="shared" si="20"/>
        <v>0.26356734157705508</v>
      </c>
      <c r="BD20" s="58">
        <f t="shared" si="21"/>
        <v>2.3398999957462618</v>
      </c>
      <c r="BE20" s="58">
        <f t="shared" si="22"/>
        <v>15.04628420027689</v>
      </c>
      <c r="BF20" s="62">
        <f t="shared" si="23"/>
        <v>133.36412060539811</v>
      </c>
    </row>
    <row r="21" spans="1:61" x14ac:dyDescent="0.25">
      <c r="A21" s="35" t="s">
        <v>22</v>
      </c>
      <c r="B21" s="51">
        <v>90</v>
      </c>
      <c r="C21" s="48">
        <v>113.98</v>
      </c>
      <c r="D21" s="25">
        <v>49.999977324263</v>
      </c>
      <c r="E21" s="15">
        <v>0.103785400341108</v>
      </c>
      <c r="F21" s="15">
        <v>9.3097685505032102E-3</v>
      </c>
      <c r="G21" s="15">
        <v>2.6623638531804101E-3</v>
      </c>
      <c r="H21" s="30">
        <v>7</v>
      </c>
      <c r="I21" s="8">
        <v>32</v>
      </c>
      <c r="J21" s="8">
        <v>148</v>
      </c>
      <c r="K21" s="8">
        <v>475</v>
      </c>
      <c r="L21" s="8">
        <v>1883</v>
      </c>
      <c r="M21" s="8">
        <v>5866</v>
      </c>
      <c r="N21" s="20">
        <f t="shared" si="6"/>
        <v>0.1400000634920924</v>
      </c>
      <c r="O21" s="10">
        <f t="shared" si="25"/>
        <v>0.64000029024956528</v>
      </c>
      <c r="P21" s="10">
        <f t="shared" si="26"/>
        <v>2.9600013424042393</v>
      </c>
      <c r="Q21" s="10">
        <f t="shared" si="27"/>
        <v>9.5000043083919845</v>
      </c>
      <c r="R21" s="10">
        <f t="shared" si="28"/>
        <v>37.660017079372857</v>
      </c>
      <c r="S21" s="22">
        <f t="shared" si="29"/>
        <v>117.32005320637343</v>
      </c>
      <c r="T21" s="20">
        <f t="shared" si="7"/>
        <v>1.452996263730735E-2</v>
      </c>
      <c r="U21" s="10">
        <f t="shared" si="30"/>
        <v>6.6422686341976456E-2</v>
      </c>
      <c r="V21" s="10">
        <f t="shared" si="31"/>
        <v>0.30720492433164109</v>
      </c>
      <c r="W21" s="10">
        <f t="shared" si="32"/>
        <v>0.98596175038871292</v>
      </c>
      <c r="X21" s="10">
        <f t="shared" si="33"/>
        <v>3.9085599494356771</v>
      </c>
      <c r="Y21" s="22">
        <f t="shared" si="33"/>
        <v>12.176108690063558</v>
      </c>
      <c r="Z21" s="4">
        <f t="shared" si="2"/>
        <v>38.982425417595685</v>
      </c>
      <c r="AA21" s="9">
        <f t="shared" si="8"/>
        <v>11.148010799419735</v>
      </c>
      <c r="AB21" s="4">
        <f t="shared" si="9"/>
        <v>0.28597529989470089</v>
      </c>
      <c r="AC21" s="53">
        <f t="shared" si="10"/>
        <v>3.7273110848430916E-4</v>
      </c>
      <c r="AD21">
        <f t="shared" si="34"/>
        <v>1.7039136387854135E-3</v>
      </c>
      <c r="AE21">
        <f t="shared" si="35"/>
        <v>7.8806005793825365E-3</v>
      </c>
      <c r="AF21">
        <f t="shared" si="36"/>
        <v>2.529246807572098E-2</v>
      </c>
      <c r="AG21">
        <f t="shared" si="37"/>
        <v>0.10026466818227917</v>
      </c>
      <c r="AH21" s="54">
        <f t="shared" si="38"/>
        <v>0.31234866890985108</v>
      </c>
      <c r="AI21" s="58">
        <f t="shared" si="11"/>
        <v>2.7631449835602376E-4</v>
      </c>
      <c r="AJ21" s="58">
        <f t="shared" si="12"/>
        <v>9.6621805609703243E-4</v>
      </c>
      <c r="AK21" s="58">
        <f t="shared" si="13"/>
        <v>2.4785991270335527E-5</v>
      </c>
      <c r="AL21" s="53">
        <f t="shared" si="24"/>
        <v>1.3033681881671345E-3</v>
      </c>
      <c r="AM21">
        <f t="shared" si="39"/>
        <v>5.9582545744783291E-3</v>
      </c>
      <c r="AN21">
        <f t="shared" si="40"/>
        <v>2.7556927406962271E-2</v>
      </c>
      <c r="AO21">
        <f t="shared" si="41"/>
        <v>8.8442841339912703E-2</v>
      </c>
      <c r="AP21">
        <f t="shared" si="42"/>
        <v>0.35060604261695916</v>
      </c>
      <c r="AQ21" s="54">
        <f t="shared" si="43"/>
        <v>1.0922225416840587</v>
      </c>
      <c r="AR21" s="9">
        <f t="shared" si="15"/>
        <v>2.5652585473776735E-2</v>
      </c>
      <c r="AS21" s="9">
        <f t="shared" si="16"/>
        <v>8.9702101836145604E-2</v>
      </c>
      <c r="AT21" s="9">
        <f t="shared" si="17"/>
        <v>3.4968054946291187</v>
      </c>
      <c r="AU21" s="10">
        <v>8.7491372398812203E-2</v>
      </c>
      <c r="AV21" s="10">
        <v>0.209281252002183</v>
      </c>
      <c r="AW21" s="10">
        <v>0.53107420883976697</v>
      </c>
      <c r="AX21" s="10">
        <v>1.1427850401592301</v>
      </c>
      <c r="AY21" s="10">
        <v>2.42627671242104</v>
      </c>
      <c r="AZ21" s="10">
        <v>9.5332029957152908</v>
      </c>
      <c r="BA21" s="46">
        <f t="shared" si="18"/>
        <v>1.140334715236959E-4</v>
      </c>
      <c r="BB21" s="58">
        <f t="shared" si="19"/>
        <v>1.2469509770945588E-3</v>
      </c>
      <c r="BC21" s="58">
        <f t="shared" si="20"/>
        <v>1.4634773420707379E-2</v>
      </c>
      <c r="BD21" s="58">
        <f t="shared" si="21"/>
        <v>0.10107115599242855</v>
      </c>
      <c r="BE21" s="58">
        <f t="shared" si="22"/>
        <v>0.85066727643562667</v>
      </c>
      <c r="BF21" s="62">
        <f t="shared" si="23"/>
        <v>10.412379206370238</v>
      </c>
    </row>
    <row r="22" spans="1:61" x14ac:dyDescent="0.25">
      <c r="A22" s="35" t="s">
        <v>23</v>
      </c>
      <c r="B22" s="51">
        <v>45</v>
      </c>
      <c r="C22" s="48">
        <v>56.56</v>
      </c>
      <c r="D22" s="25">
        <v>99.999977324263</v>
      </c>
      <c r="E22" s="15">
        <v>1.7343593585544201E-2</v>
      </c>
      <c r="F22" s="15">
        <v>3.7541223526986601E-3</v>
      </c>
      <c r="G22" s="15">
        <v>3.5652204100954199E-3</v>
      </c>
      <c r="H22" s="30">
        <v>0</v>
      </c>
      <c r="I22" s="8">
        <v>3</v>
      </c>
      <c r="J22" s="8">
        <v>17</v>
      </c>
      <c r="K22" s="8">
        <v>221</v>
      </c>
      <c r="L22" s="8">
        <v>2965</v>
      </c>
      <c r="M22" s="8">
        <v>14897</v>
      </c>
      <c r="N22" s="20"/>
      <c r="O22" s="10">
        <f t="shared" si="25"/>
        <v>3.0000006802722641E-2</v>
      </c>
      <c r="P22" s="10">
        <f t="shared" si="26"/>
        <v>0.17000003854876164</v>
      </c>
      <c r="Q22" s="10">
        <f t="shared" si="27"/>
        <v>2.2100005011339015</v>
      </c>
      <c r="R22" s="10">
        <f t="shared" si="28"/>
        <v>29.650006723357546</v>
      </c>
      <c r="S22" s="22">
        <f t="shared" si="29"/>
        <v>148.97003378005306</v>
      </c>
      <c r="T22" s="20"/>
      <c r="U22" s="10"/>
      <c r="V22" s="10"/>
      <c r="W22" s="10">
        <f t="shared" si="32"/>
        <v>3.8329350515515399E-2</v>
      </c>
      <c r="X22" s="10">
        <f t="shared" si="33"/>
        <v>0.51423766641856639</v>
      </c>
      <c r="Y22" s="22">
        <f t="shared" si="33"/>
        <v>2.5836757223060309</v>
      </c>
      <c r="Z22" s="4">
        <f t="shared" si="2"/>
        <v>4.8646623744308739</v>
      </c>
      <c r="AA22" s="9">
        <f t="shared" si="8"/>
        <v>4.6198796832172278</v>
      </c>
      <c r="AB22" s="4">
        <f t="shared" si="9"/>
        <v>0.94968146350705707</v>
      </c>
      <c r="AC22" s="53"/>
      <c r="AD22">
        <f t="shared" si="34"/>
        <v>1.069566365560682E-4</v>
      </c>
      <c r="AE22">
        <f t="shared" si="35"/>
        <v>6.0608760715105312E-4</v>
      </c>
      <c r="AF22">
        <f t="shared" si="36"/>
        <v>7.8791388929636916E-3</v>
      </c>
      <c r="AG22">
        <f t="shared" si="37"/>
        <v>0.10570880912958075</v>
      </c>
      <c r="AH22" s="54">
        <f t="shared" si="38"/>
        <v>0.53111100492524932</v>
      </c>
      <c r="AI22" s="58">
        <f t="shared" si="11"/>
        <v>6.1833733835582188E-5</v>
      </c>
      <c r="AJ22" s="58">
        <f t="shared" si="12"/>
        <v>6.5109972355612588E-5</v>
      </c>
      <c r="AK22" s="58">
        <f t="shared" si="13"/>
        <v>1.33842736338367E-5</v>
      </c>
      <c r="AL22" s="53"/>
      <c r="AM22">
        <f t="shared" si="39"/>
        <v>1.1262369611921293E-4</v>
      </c>
      <c r="AN22">
        <f t="shared" si="40"/>
        <v>6.3820094467553995E-4</v>
      </c>
      <c r="AO22">
        <f t="shared" si="41"/>
        <v>8.2966122807820192E-3</v>
      </c>
      <c r="AP22">
        <f t="shared" si="42"/>
        <v>0.11130975299782211</v>
      </c>
      <c r="AQ22" s="54">
        <f t="shared" si="43"/>
        <v>0.5592517336959717</v>
      </c>
      <c r="AR22" s="9">
        <f t="shared" si="15"/>
        <v>0.20556411175749723</v>
      </c>
      <c r="AS22" s="9">
        <f t="shared" si="16"/>
        <v>0.21645585352205798</v>
      </c>
      <c r="AT22" s="9">
        <f t="shared" si="17"/>
        <v>1.0529846463540762</v>
      </c>
      <c r="AU22" s="10">
        <v>0</v>
      </c>
      <c r="AV22" s="10">
        <v>4.8899641067386798E-2</v>
      </c>
      <c r="AW22" s="10">
        <v>0.137793372793407</v>
      </c>
      <c r="AX22" s="10">
        <v>0.30126664954396598</v>
      </c>
      <c r="AY22" s="10">
        <v>0.96105532229085699</v>
      </c>
      <c r="AZ22" s="10">
        <v>3.84422128916342</v>
      </c>
      <c r="BA22" s="46"/>
      <c r="BB22" s="58"/>
      <c r="BC22" s="58"/>
      <c r="BD22" s="58">
        <f t="shared" si="21"/>
        <v>2.4994925843965211E-3</v>
      </c>
      <c r="BE22" s="58">
        <f t="shared" si="22"/>
        <v>0.10697483054143762</v>
      </c>
      <c r="BF22" s="62">
        <f t="shared" si="23"/>
        <v>2.149887420675606</v>
      </c>
    </row>
    <row r="23" spans="1:61" x14ac:dyDescent="0.25">
      <c r="A23" s="36" t="s">
        <v>44</v>
      </c>
      <c r="B23" s="52"/>
      <c r="C23" s="49"/>
      <c r="D23" s="38"/>
      <c r="E23" s="39"/>
      <c r="F23" s="39"/>
      <c r="G23" s="39"/>
      <c r="H23" s="40"/>
      <c r="I23" s="41"/>
      <c r="J23" s="41"/>
      <c r="K23" s="41"/>
      <c r="L23" s="41"/>
      <c r="M23" s="41"/>
      <c r="N23" s="43"/>
      <c r="O23" s="44"/>
      <c r="P23" s="44"/>
      <c r="Q23" s="44"/>
      <c r="R23" s="44"/>
      <c r="S23" s="45"/>
      <c r="T23" s="43"/>
      <c r="U23" s="44"/>
      <c r="V23" s="44"/>
      <c r="W23" s="44"/>
      <c r="X23" s="44"/>
      <c r="Y23" s="45"/>
      <c r="Z23" s="4"/>
      <c r="AA23" s="9"/>
      <c r="AB23" s="4"/>
      <c r="AC23" s="55"/>
      <c r="AD23" s="56"/>
      <c r="AE23" s="56"/>
      <c r="AF23" s="56"/>
      <c r="AG23" s="56"/>
      <c r="AH23" s="57"/>
      <c r="AI23" s="58"/>
      <c r="AJ23" s="58"/>
      <c r="AK23" s="58"/>
      <c r="AL23" s="55"/>
      <c r="AM23" s="56"/>
      <c r="AN23" s="56"/>
      <c r="AO23" s="56"/>
      <c r="AP23" s="56"/>
      <c r="AQ23" s="57"/>
      <c r="AR23" s="9"/>
      <c r="AS23" s="9"/>
      <c r="AT23" s="9"/>
      <c r="AU23" s="10"/>
      <c r="AV23" s="10"/>
      <c r="AW23" s="10"/>
      <c r="AX23" s="10"/>
      <c r="AY23" s="10"/>
      <c r="AZ23" s="10"/>
      <c r="BA23" s="63"/>
      <c r="BB23" s="64"/>
      <c r="BC23" s="64"/>
      <c r="BD23" s="64"/>
      <c r="BE23" s="64"/>
      <c r="BF23" s="65"/>
    </row>
    <row r="24" spans="1:61" x14ac:dyDescent="0.25">
      <c r="BD24" s="1"/>
    </row>
    <row r="25" spans="1:61" x14ac:dyDescent="0.25">
      <c r="BD25" s="1"/>
    </row>
    <row r="29" spans="1:61" x14ac:dyDescent="0.25">
      <c r="BD29" s="1"/>
      <c r="BE29" s="1"/>
      <c r="BF29" s="9"/>
      <c r="BG29" s="9"/>
      <c r="BH29" s="9"/>
      <c r="BI29" s="9"/>
    </row>
    <row r="30" spans="1:61" x14ac:dyDescent="0.25">
      <c r="BD30" s="9"/>
      <c r="BE30" s="9"/>
      <c r="BF30" s="9"/>
      <c r="BG30" s="9"/>
      <c r="BH30" s="9"/>
      <c r="BI30" s="9"/>
    </row>
    <row r="32" spans="1:61" x14ac:dyDescent="0.25">
      <c r="BE32" s="1"/>
    </row>
    <row r="33" spans="57:57" x14ac:dyDescent="0.25">
      <c r="BE33" s="1"/>
    </row>
    <row r="36" spans="57:57" x14ac:dyDescent="0.25">
      <c r="BE36" s="1"/>
    </row>
    <row r="37" spans="57:57" x14ac:dyDescent="0.25">
      <c r="BE37" s="1"/>
    </row>
  </sheetData>
  <mergeCells count="4">
    <mergeCell ref="T1:Y1"/>
    <mergeCell ref="AC1:AH1"/>
    <mergeCell ref="AL1:AQ1"/>
    <mergeCell ref="BA1:B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181C-2EBB-4DC8-BA1A-9D69E59437E1}">
  <dimension ref="A1:AM75"/>
  <sheetViews>
    <sheetView topLeftCell="A4" workbookViewId="0">
      <selection activeCell="D24" sqref="D24"/>
    </sheetView>
  </sheetViews>
  <sheetFormatPr defaultRowHeight="15" x14ac:dyDescent="0.25"/>
  <cols>
    <col min="1" max="1" width="10" customWidth="1"/>
    <col min="2" max="2" width="15.28515625" customWidth="1"/>
    <col min="3" max="3" width="12.85546875" customWidth="1"/>
    <col min="4" max="4" width="13" customWidth="1"/>
    <col min="5" max="5" width="11.28515625" customWidth="1"/>
    <col min="6" max="6" width="12.5703125" customWidth="1"/>
    <col min="7" max="7" width="12" customWidth="1"/>
    <col min="13" max="13" width="11.7109375" customWidth="1"/>
    <col min="14" max="14" width="11.140625" customWidth="1"/>
    <col min="15" max="15" width="11" customWidth="1"/>
    <col min="29" max="29" width="11.85546875" customWidth="1"/>
    <col min="30" max="30" width="11.5703125" customWidth="1"/>
    <col min="32" max="32" width="15.85546875" customWidth="1"/>
    <col min="33" max="33" width="14.140625" customWidth="1"/>
  </cols>
  <sheetData>
    <row r="1" spans="1:39" x14ac:dyDescent="0.25">
      <c r="T1" s="136" t="s">
        <v>51</v>
      </c>
      <c r="U1" s="136"/>
      <c r="V1" s="136"/>
      <c r="W1" s="136"/>
      <c r="X1" s="136"/>
      <c r="Y1" s="136"/>
      <c r="Z1" s="136" t="s">
        <v>55</v>
      </c>
      <c r="AA1" s="136"/>
      <c r="AB1" s="136"/>
      <c r="AC1" s="136"/>
      <c r="AD1" s="136"/>
      <c r="AE1" s="136"/>
      <c r="AH1" s="136" t="s">
        <v>58</v>
      </c>
      <c r="AI1" s="136"/>
      <c r="AJ1" s="136"/>
      <c r="AK1" s="136"/>
      <c r="AL1" s="136"/>
      <c r="AM1" s="136"/>
    </row>
    <row r="2" spans="1:39" x14ac:dyDescent="0.25">
      <c r="A2" s="31" t="s">
        <v>0</v>
      </c>
      <c r="B2" s="32" t="s">
        <v>46</v>
      </c>
      <c r="C2" s="32" t="s">
        <v>45</v>
      </c>
      <c r="D2" s="32" t="s">
        <v>47</v>
      </c>
      <c r="E2" s="32" t="s">
        <v>1</v>
      </c>
      <c r="F2" s="32" t="s">
        <v>2</v>
      </c>
      <c r="G2" s="32" t="s">
        <v>3</v>
      </c>
      <c r="H2" s="31" t="s">
        <v>4</v>
      </c>
      <c r="I2" s="32" t="s">
        <v>5</v>
      </c>
      <c r="J2" s="32" t="s">
        <v>6</v>
      </c>
      <c r="K2" s="32" t="s">
        <v>7</v>
      </c>
      <c r="L2" s="32" t="s">
        <v>8</v>
      </c>
      <c r="M2" s="32" t="s">
        <v>9</v>
      </c>
      <c r="N2" s="31" t="s">
        <v>33</v>
      </c>
      <c r="O2" s="32" t="s">
        <v>34</v>
      </c>
      <c r="P2" s="32" t="s">
        <v>35</v>
      </c>
      <c r="Q2" s="32" t="s">
        <v>36</v>
      </c>
      <c r="R2" s="32" t="s">
        <v>37</v>
      </c>
      <c r="S2" s="33" t="s">
        <v>38</v>
      </c>
      <c r="T2" s="31" t="s">
        <v>21</v>
      </c>
      <c r="U2" s="32" t="s">
        <v>20</v>
      </c>
      <c r="V2" s="32" t="s">
        <v>19</v>
      </c>
      <c r="W2" s="32" t="s">
        <v>18</v>
      </c>
      <c r="X2" s="32" t="s">
        <v>17</v>
      </c>
      <c r="Y2" s="33" t="s">
        <v>16</v>
      </c>
      <c r="Z2" s="31" t="s">
        <v>21</v>
      </c>
      <c r="AA2" s="32" t="s">
        <v>20</v>
      </c>
      <c r="AB2" s="32" t="s">
        <v>19</v>
      </c>
      <c r="AC2" s="32" t="s">
        <v>18</v>
      </c>
      <c r="AD2" s="32" t="s">
        <v>17</v>
      </c>
      <c r="AE2" s="33" t="s">
        <v>16</v>
      </c>
      <c r="AF2" s="5" t="s">
        <v>56</v>
      </c>
      <c r="AG2" s="54" t="s">
        <v>57</v>
      </c>
      <c r="AH2" s="32" t="s">
        <v>21</v>
      </c>
      <c r="AI2" s="32" t="s">
        <v>20</v>
      </c>
      <c r="AJ2" s="32" t="s">
        <v>19</v>
      </c>
      <c r="AK2" s="32" t="s">
        <v>18</v>
      </c>
      <c r="AL2" s="32" t="s">
        <v>17</v>
      </c>
      <c r="AM2" s="33" t="s">
        <v>16</v>
      </c>
    </row>
    <row r="3" spans="1:39" x14ac:dyDescent="0.25">
      <c r="A3" s="34">
        <v>8</v>
      </c>
      <c r="B3" s="2">
        <v>128</v>
      </c>
      <c r="C3" s="2">
        <v>160</v>
      </c>
      <c r="D3" s="2">
        <v>10</v>
      </c>
      <c r="E3" s="27">
        <v>0.161944718485239</v>
      </c>
      <c r="F3" s="27">
        <v>3.2526116479269097E-2</v>
      </c>
      <c r="G3" s="27">
        <v>7.7989329746457701E-3</v>
      </c>
      <c r="H3" s="30">
        <v>10</v>
      </c>
      <c r="I3" s="8">
        <v>31</v>
      </c>
      <c r="J3" s="8">
        <v>89</v>
      </c>
      <c r="K3" s="8">
        <v>230</v>
      </c>
      <c r="L3" s="8">
        <v>509</v>
      </c>
      <c r="M3" s="8">
        <v>1493</v>
      </c>
      <c r="N3" s="20">
        <f>H3/$D3</f>
        <v>1</v>
      </c>
      <c r="O3" s="10">
        <f t="shared" ref="O3:S18" si="0">I3/$D3</f>
        <v>3.1</v>
      </c>
      <c r="P3" s="10">
        <f t="shared" si="0"/>
        <v>8.9</v>
      </c>
      <c r="Q3" s="10">
        <f t="shared" si="0"/>
        <v>23</v>
      </c>
      <c r="R3" s="10">
        <f t="shared" si="0"/>
        <v>50.9</v>
      </c>
      <c r="S3" s="22">
        <f t="shared" si="0"/>
        <v>149.30000000000001</v>
      </c>
      <c r="T3" s="20">
        <f>N3*$E3</f>
        <v>0.161944718485239</v>
      </c>
      <c r="U3" s="10">
        <f t="shared" ref="U3:Y18" si="1">O3*$E3</f>
        <v>0.50202862730424092</v>
      </c>
      <c r="V3" s="10">
        <f t="shared" si="1"/>
        <v>1.4413079945186271</v>
      </c>
      <c r="W3" s="9">
        <f>Q3*$E3</f>
        <v>3.7247285251604971</v>
      </c>
      <c r="X3" s="9">
        <f t="shared" si="1"/>
        <v>8.2429861708986643</v>
      </c>
      <c r="Y3" s="22">
        <f t="shared" si="1"/>
        <v>24.178346469846186</v>
      </c>
      <c r="Z3" s="53">
        <f>N3*$G3</f>
        <v>7.7989329746457701E-3</v>
      </c>
      <c r="AA3">
        <f t="shared" ref="AA3:AE3" si="2">O3*$G3</f>
        <v>2.417669222140189E-2</v>
      </c>
      <c r="AB3">
        <f t="shared" si="2"/>
        <v>6.9410503474347351E-2</v>
      </c>
      <c r="AC3">
        <f t="shared" si="2"/>
        <v>0.17937545841685271</v>
      </c>
      <c r="AD3">
        <f t="shared" si="2"/>
        <v>0.39696568840946966</v>
      </c>
      <c r="AE3" s="54">
        <f t="shared" si="2"/>
        <v>1.1643806931146135</v>
      </c>
      <c r="AF3" s="46">
        <f>E3*G3</f>
        <v>1.2629960050642569E-3</v>
      </c>
      <c r="AG3" s="62">
        <f t="shared" ref="AG3:AG23" si="3">E3*F3</f>
        <v>5.2674327766533274E-3</v>
      </c>
      <c r="AH3">
        <f>N3*$F3</f>
        <v>3.2526116479269097E-2</v>
      </c>
      <c r="AI3">
        <f t="shared" ref="AI3:AM18" si="4">O3*$F3</f>
        <v>0.10083096108573421</v>
      </c>
      <c r="AJ3">
        <f t="shared" si="4"/>
        <v>0.289482436665495</v>
      </c>
      <c r="AK3">
        <f t="shared" si="4"/>
        <v>0.74810067902318922</v>
      </c>
      <c r="AL3">
        <f t="shared" si="4"/>
        <v>1.6555793287947971</v>
      </c>
      <c r="AM3" s="54">
        <f t="shared" si="4"/>
        <v>4.856149190354877</v>
      </c>
    </row>
    <row r="4" spans="1:39" x14ac:dyDescent="0.25">
      <c r="A4" s="34">
        <v>168</v>
      </c>
      <c r="B4" s="2">
        <v>128</v>
      </c>
      <c r="C4" s="2">
        <v>196</v>
      </c>
      <c r="D4" s="2">
        <v>10</v>
      </c>
      <c r="E4" s="27">
        <v>8.9416636847151898E-2</v>
      </c>
      <c r="F4" s="27">
        <v>2.1060905578879598E-2</v>
      </c>
      <c r="G4" s="27">
        <v>9.6694169987568603E-3</v>
      </c>
      <c r="H4" s="30">
        <v>4</v>
      </c>
      <c r="I4" s="8">
        <v>16</v>
      </c>
      <c r="J4" s="8">
        <v>110</v>
      </c>
      <c r="K4" s="8">
        <v>255</v>
      </c>
      <c r="L4" s="8">
        <v>489</v>
      </c>
      <c r="M4" s="8">
        <v>1351</v>
      </c>
      <c r="N4" s="20">
        <f t="shared" ref="N4:S24" si="5">H4/$D4</f>
        <v>0.4</v>
      </c>
      <c r="O4" s="10">
        <f t="shared" si="0"/>
        <v>1.6</v>
      </c>
      <c r="P4" s="10">
        <f t="shared" si="0"/>
        <v>11</v>
      </c>
      <c r="Q4" s="10">
        <f t="shared" si="0"/>
        <v>25.5</v>
      </c>
      <c r="R4" s="10">
        <f t="shared" si="0"/>
        <v>48.9</v>
      </c>
      <c r="S4" s="22">
        <f t="shared" si="0"/>
        <v>135.1</v>
      </c>
      <c r="T4" s="20">
        <f t="shared" ref="T4:Y23" si="6">N4*$E4</f>
        <v>3.5766654738860759E-2</v>
      </c>
      <c r="U4" s="10">
        <f t="shared" si="1"/>
        <v>0.14306661895544304</v>
      </c>
      <c r="V4" s="10">
        <f t="shared" si="1"/>
        <v>0.98358300531867093</v>
      </c>
      <c r="W4" s="9">
        <f t="shared" si="1"/>
        <v>2.2801242396023733</v>
      </c>
      <c r="X4" s="9">
        <f t="shared" si="1"/>
        <v>4.3724735418257277</v>
      </c>
      <c r="Y4" s="22">
        <f t="shared" si="1"/>
        <v>12.080187638050221</v>
      </c>
      <c r="Z4" s="53">
        <f t="shared" ref="Z4:Z23" si="7">N4*$G4</f>
        <v>3.8677667995027443E-3</v>
      </c>
      <c r="AA4">
        <f t="shared" ref="AA4:AA23" si="8">O4*$G4</f>
        <v>1.5471067198010977E-2</v>
      </c>
      <c r="AB4">
        <f t="shared" ref="AB4:AB23" si="9">P4*$G4</f>
        <v>0.10636358698632546</v>
      </c>
      <c r="AC4">
        <f t="shared" ref="AC4:AC23" si="10">Q4*$G4</f>
        <v>0.24657013346829995</v>
      </c>
      <c r="AD4">
        <f t="shared" ref="AD4:AD23" si="11">R4*$G4</f>
        <v>0.47283449123921045</v>
      </c>
      <c r="AE4" s="54">
        <f t="shared" ref="AE4:AE23" si="12">S4*$G4</f>
        <v>1.3063382365320517</v>
      </c>
      <c r="AF4" s="46">
        <f t="shared" ref="AF4:AF24" si="13">E4*G4</f>
        <v>8.6460674830151957E-4</v>
      </c>
      <c r="AG4" s="62">
        <f t="shared" si="3"/>
        <v>1.8831953458188324E-3</v>
      </c>
      <c r="AH4">
        <f t="shared" ref="AH4:AH23" si="14">N4*$F4</f>
        <v>8.4243622315518397E-3</v>
      </c>
      <c r="AI4">
        <f t="shared" si="4"/>
        <v>3.3697448926207359E-2</v>
      </c>
      <c r="AJ4">
        <f t="shared" si="4"/>
        <v>0.23166996136767559</v>
      </c>
      <c r="AK4">
        <f t="shared" si="4"/>
        <v>0.53705309226142972</v>
      </c>
      <c r="AL4">
        <f t="shared" si="4"/>
        <v>1.0298782828072124</v>
      </c>
      <c r="AM4" s="54">
        <f t="shared" si="4"/>
        <v>2.8453283437066337</v>
      </c>
    </row>
    <row r="5" spans="1:39" x14ac:dyDescent="0.25">
      <c r="A5" s="34">
        <v>22</v>
      </c>
      <c r="B5" s="2">
        <v>90</v>
      </c>
      <c r="C5" s="2"/>
      <c r="D5" s="2">
        <v>10</v>
      </c>
      <c r="E5" s="27">
        <v>6.2688332148029005E-2</v>
      </c>
      <c r="F5" s="27">
        <v>1.8357479777712401E-2</v>
      </c>
      <c r="G5" s="27">
        <v>5.3392743586913897E-3</v>
      </c>
      <c r="H5" s="30">
        <v>3</v>
      </c>
      <c r="I5" s="8">
        <v>21</v>
      </c>
      <c r="J5" s="8">
        <v>91</v>
      </c>
      <c r="K5" s="8">
        <v>212</v>
      </c>
      <c r="L5" s="8">
        <v>660</v>
      </c>
      <c r="M5" s="8">
        <v>1581</v>
      </c>
      <c r="N5" s="20">
        <f t="shared" si="5"/>
        <v>0.3</v>
      </c>
      <c r="O5" s="10">
        <f t="shared" si="0"/>
        <v>2.1</v>
      </c>
      <c r="P5" s="10">
        <f t="shared" si="0"/>
        <v>9.1</v>
      </c>
      <c r="Q5" s="10">
        <f t="shared" si="0"/>
        <v>21.2</v>
      </c>
      <c r="R5" s="10">
        <f t="shared" si="0"/>
        <v>66</v>
      </c>
      <c r="S5" s="22">
        <f t="shared" si="0"/>
        <v>158.1</v>
      </c>
      <c r="T5" s="20">
        <f>N5*$E5</f>
        <v>1.8806499644408701E-2</v>
      </c>
      <c r="U5" s="10">
        <f t="shared" si="1"/>
        <v>0.13164549751086091</v>
      </c>
      <c r="V5" s="10">
        <f t="shared" si="1"/>
        <v>0.57046382254706396</v>
      </c>
      <c r="W5" s="9">
        <f t="shared" si="1"/>
        <v>1.3289926415382149</v>
      </c>
      <c r="X5" s="9">
        <f t="shared" si="1"/>
        <v>4.1374299217699146</v>
      </c>
      <c r="Y5" s="22">
        <f t="shared" si="1"/>
        <v>9.9110253126033854</v>
      </c>
      <c r="Z5" s="53">
        <f t="shared" si="7"/>
        <v>1.6017823076074169E-3</v>
      </c>
      <c r="AA5">
        <f t="shared" si="8"/>
        <v>1.1212476153251919E-2</v>
      </c>
      <c r="AB5">
        <f t="shared" si="9"/>
        <v>4.8587396664091648E-2</v>
      </c>
      <c r="AC5">
        <f t="shared" si="10"/>
        <v>0.11319261640425746</v>
      </c>
      <c r="AD5">
        <f t="shared" si="11"/>
        <v>0.35239210767363172</v>
      </c>
      <c r="AE5" s="54">
        <f t="shared" si="12"/>
        <v>0.84413927610910866</v>
      </c>
      <c r="AF5" s="46">
        <f t="shared" si="13"/>
        <v>3.3471020442710041E-4</v>
      </c>
      <c r="AG5" s="62">
        <f t="shared" si="3"/>
        <v>1.1507997897059607E-3</v>
      </c>
      <c r="AH5">
        <f t="shared" si="14"/>
        <v>5.5072439333137199E-3</v>
      </c>
      <c r="AI5">
        <f t="shared" si="4"/>
        <v>3.8550707533196046E-2</v>
      </c>
      <c r="AJ5">
        <f t="shared" si="4"/>
        <v>0.16705306597718284</v>
      </c>
      <c r="AK5">
        <f t="shared" si="4"/>
        <v>0.38917857128750288</v>
      </c>
      <c r="AL5">
        <f t="shared" si="4"/>
        <v>1.2115936653290185</v>
      </c>
      <c r="AM5" s="54">
        <f t="shared" si="4"/>
        <v>2.9023175528563305</v>
      </c>
    </row>
    <row r="6" spans="1:39" x14ac:dyDescent="0.25">
      <c r="A6" s="34">
        <v>152</v>
      </c>
      <c r="B6" s="2">
        <v>90</v>
      </c>
      <c r="C6" s="2">
        <v>91.54</v>
      </c>
      <c r="D6" s="2">
        <v>10</v>
      </c>
      <c r="E6" s="27">
        <v>0.10293183462706799</v>
      </c>
      <c r="F6" s="27">
        <v>2.3869849132825499E-2</v>
      </c>
      <c r="G6" s="27">
        <v>8.4624680045280194E-3</v>
      </c>
      <c r="H6" s="30">
        <v>9</v>
      </c>
      <c r="I6" s="8">
        <v>32</v>
      </c>
      <c r="J6" s="8">
        <v>75</v>
      </c>
      <c r="K6" s="8">
        <v>233</v>
      </c>
      <c r="L6" s="8">
        <v>700</v>
      </c>
      <c r="M6" s="8">
        <v>1639</v>
      </c>
      <c r="N6" s="20">
        <f t="shared" si="5"/>
        <v>0.9</v>
      </c>
      <c r="O6" s="10">
        <f t="shared" si="0"/>
        <v>3.2</v>
      </c>
      <c r="P6" s="10">
        <f t="shared" si="0"/>
        <v>7.5</v>
      </c>
      <c r="Q6" s="10">
        <f t="shared" si="0"/>
        <v>23.3</v>
      </c>
      <c r="R6" s="10">
        <f t="shared" si="0"/>
        <v>70</v>
      </c>
      <c r="S6" s="22">
        <f t="shared" si="0"/>
        <v>163.9</v>
      </c>
      <c r="T6" s="20">
        <f>N6*$E6</f>
        <v>9.2638651164361194E-2</v>
      </c>
      <c r="U6" s="10">
        <f t="shared" si="1"/>
        <v>0.32938187080661763</v>
      </c>
      <c r="V6" s="10">
        <f t="shared" si="1"/>
        <v>0.77198875970300995</v>
      </c>
      <c r="W6" s="9">
        <f t="shared" si="1"/>
        <v>2.3983117468106845</v>
      </c>
      <c r="X6" s="9">
        <f t="shared" si="1"/>
        <v>7.2052284238947593</v>
      </c>
      <c r="Y6" s="22">
        <f t="shared" si="1"/>
        <v>16.870527695376445</v>
      </c>
      <c r="Z6" s="53">
        <f t="shared" si="7"/>
        <v>7.6162212040752179E-3</v>
      </c>
      <c r="AA6">
        <f t="shared" si="8"/>
        <v>2.7079897614489663E-2</v>
      </c>
      <c r="AB6">
        <f t="shared" si="9"/>
        <v>6.3468510033960146E-2</v>
      </c>
      <c r="AC6">
        <f t="shared" si="10"/>
        <v>0.19717550450550286</v>
      </c>
      <c r="AD6">
        <f t="shared" si="11"/>
        <v>0.5923727603169614</v>
      </c>
      <c r="AE6" s="54">
        <f t="shared" si="12"/>
        <v>1.3869985059421424</v>
      </c>
      <c r="AF6" s="46">
        <f t="shared" si="13"/>
        <v>8.7105735717893222E-4</v>
      </c>
      <c r="AG6" s="62">
        <f t="shared" si="3"/>
        <v>2.4569673635130565E-3</v>
      </c>
      <c r="AH6">
        <f t="shared" si="14"/>
        <v>2.1482864219542951E-2</v>
      </c>
      <c r="AI6">
        <f t="shared" si="4"/>
        <v>7.6383517225041608E-2</v>
      </c>
      <c r="AJ6">
        <f t="shared" si="4"/>
        <v>0.17902386849619123</v>
      </c>
      <c r="AK6">
        <f t="shared" si="4"/>
        <v>0.55616748479483413</v>
      </c>
      <c r="AL6">
        <f t="shared" si="4"/>
        <v>1.6708894392977849</v>
      </c>
      <c r="AM6" s="54">
        <f t="shared" si="4"/>
        <v>3.9122682728700995</v>
      </c>
    </row>
    <row r="7" spans="1:39" x14ac:dyDescent="0.25">
      <c r="A7" s="34">
        <v>101</v>
      </c>
      <c r="B7" s="2">
        <v>64</v>
      </c>
      <c r="C7" s="2">
        <v>108.92</v>
      </c>
      <c r="D7" s="2">
        <v>6</v>
      </c>
      <c r="E7" s="27">
        <v>3.00794247374499E-2</v>
      </c>
      <c r="F7" s="27">
        <v>1.50358559887077E-2</v>
      </c>
      <c r="G7" s="27">
        <v>9.2196022769056602E-3</v>
      </c>
      <c r="H7" s="30">
        <v>2</v>
      </c>
      <c r="I7" s="8">
        <v>9</v>
      </c>
      <c r="J7" s="8">
        <v>49</v>
      </c>
      <c r="K7" s="8">
        <v>132</v>
      </c>
      <c r="L7" s="8">
        <v>544</v>
      </c>
      <c r="M7" s="8">
        <v>1041</v>
      </c>
      <c r="N7" s="20">
        <f t="shared" si="5"/>
        <v>0.33333333333333331</v>
      </c>
      <c r="O7" s="10">
        <f t="shared" si="0"/>
        <v>1.5</v>
      </c>
      <c r="P7" s="10">
        <f t="shared" si="0"/>
        <v>8.1666666666666661</v>
      </c>
      <c r="Q7" s="10">
        <f t="shared" si="0"/>
        <v>22</v>
      </c>
      <c r="R7" s="10">
        <f t="shared" si="0"/>
        <v>90.666666666666671</v>
      </c>
      <c r="S7" s="22">
        <f t="shared" si="0"/>
        <v>173.5</v>
      </c>
      <c r="T7" s="20">
        <f t="shared" si="6"/>
        <v>1.0026474912483299E-2</v>
      </c>
      <c r="U7" s="10">
        <f t="shared" si="1"/>
        <v>4.511913710617485E-2</v>
      </c>
      <c r="V7" s="10">
        <f t="shared" si="1"/>
        <v>0.24564863535584083</v>
      </c>
      <c r="W7" s="9">
        <f t="shared" si="1"/>
        <v>0.6617473442238978</v>
      </c>
      <c r="X7" s="9">
        <f t="shared" si="1"/>
        <v>2.7272011761954578</v>
      </c>
      <c r="Y7" s="22">
        <f t="shared" si="1"/>
        <v>5.218780191947558</v>
      </c>
      <c r="Z7" s="53">
        <f t="shared" si="7"/>
        <v>3.0732007589685533E-3</v>
      </c>
      <c r="AA7">
        <f t="shared" si="8"/>
        <v>1.3829403415358491E-2</v>
      </c>
      <c r="AB7">
        <f t="shared" si="9"/>
        <v>7.5293418594729558E-2</v>
      </c>
      <c r="AC7">
        <f t="shared" si="10"/>
        <v>0.20283125009192451</v>
      </c>
      <c r="AD7">
        <f t="shared" si="11"/>
        <v>0.83591060643944659</v>
      </c>
      <c r="AE7" s="54">
        <f t="shared" si="12"/>
        <v>1.599600995043132</v>
      </c>
      <c r="AF7" s="46">
        <f t="shared" si="13"/>
        <v>2.7732033279740553E-4</v>
      </c>
      <c r="AG7" s="62">
        <f t="shared" si="3"/>
        <v>4.5226989857546863E-4</v>
      </c>
      <c r="AH7">
        <f t="shared" si="14"/>
        <v>5.0119519962358999E-3</v>
      </c>
      <c r="AI7">
        <f t="shared" si="4"/>
        <v>2.255378398306155E-2</v>
      </c>
      <c r="AJ7">
        <f t="shared" si="4"/>
        <v>0.12279282390777954</v>
      </c>
      <c r="AK7">
        <f t="shared" si="4"/>
        <v>0.33078883175156937</v>
      </c>
      <c r="AL7">
        <f t="shared" si="4"/>
        <v>1.3632509429761648</v>
      </c>
      <c r="AM7" s="54">
        <f t="shared" si="4"/>
        <v>2.6087210140407859</v>
      </c>
    </row>
    <row r="8" spans="1:39" x14ac:dyDescent="0.25">
      <c r="A8" s="34">
        <v>24</v>
      </c>
      <c r="B8" s="2">
        <v>64</v>
      </c>
      <c r="C8" s="2">
        <v>87.08</v>
      </c>
      <c r="D8" s="2">
        <v>10</v>
      </c>
      <c r="E8" s="27">
        <v>0.10538288704710901</v>
      </c>
      <c r="F8" s="27">
        <v>1.6430974908246999E-2</v>
      </c>
      <c r="G8" s="27">
        <v>6.0105568763227698E-3</v>
      </c>
      <c r="H8" s="30">
        <v>5</v>
      </c>
      <c r="I8" s="8">
        <v>18</v>
      </c>
      <c r="J8" s="8">
        <v>43</v>
      </c>
      <c r="K8" s="8">
        <v>139</v>
      </c>
      <c r="L8" s="8">
        <v>586</v>
      </c>
      <c r="M8" s="8">
        <v>1730</v>
      </c>
      <c r="N8" s="20">
        <f t="shared" si="5"/>
        <v>0.5</v>
      </c>
      <c r="O8" s="10">
        <f t="shared" si="0"/>
        <v>1.8</v>
      </c>
      <c r="P8" s="10">
        <f t="shared" si="0"/>
        <v>4.3</v>
      </c>
      <c r="Q8" s="10">
        <f t="shared" si="0"/>
        <v>13.9</v>
      </c>
      <c r="R8" s="10">
        <f t="shared" si="0"/>
        <v>58.6</v>
      </c>
      <c r="S8" s="22">
        <f t="shared" si="0"/>
        <v>173</v>
      </c>
      <c r="T8" s="20">
        <f t="shared" si="6"/>
        <v>5.2691443523554503E-2</v>
      </c>
      <c r="U8" s="10">
        <f t="shared" si="1"/>
        <v>0.18968919668479622</v>
      </c>
      <c r="V8" s="10">
        <f t="shared" si="1"/>
        <v>0.45314641430256869</v>
      </c>
      <c r="W8" s="9">
        <f t="shared" si="1"/>
        <v>1.4648221299548152</v>
      </c>
      <c r="X8" s="9">
        <f t="shared" si="1"/>
        <v>6.1754371809605875</v>
      </c>
      <c r="Y8" s="22">
        <f t="shared" si="1"/>
        <v>18.231239459149858</v>
      </c>
      <c r="Z8" s="53">
        <f t="shared" si="7"/>
        <v>3.0052784381613849E-3</v>
      </c>
      <c r="AA8">
        <f t="shared" si="8"/>
        <v>1.0819002377380985E-2</v>
      </c>
      <c r="AB8">
        <f t="shared" si="9"/>
        <v>2.5845394568187911E-2</v>
      </c>
      <c r="AC8">
        <f t="shared" si="10"/>
        <v>8.35467405808865E-2</v>
      </c>
      <c r="AD8">
        <f t="shared" si="11"/>
        <v>0.35221863295251432</v>
      </c>
      <c r="AE8" s="54">
        <f t="shared" si="12"/>
        <v>1.0398263396038392</v>
      </c>
      <c r="AF8" s="46">
        <f t="shared" si="13"/>
        <v>6.3340983638774675E-4</v>
      </c>
      <c r="AG8" s="62">
        <f t="shared" si="3"/>
        <v>1.7315435728296757E-3</v>
      </c>
      <c r="AH8">
        <f t="shared" si="14"/>
        <v>8.2154874541234997E-3</v>
      </c>
      <c r="AI8">
        <f t="shared" si="4"/>
        <v>2.9575754834844599E-2</v>
      </c>
      <c r="AJ8">
        <f t="shared" si="4"/>
        <v>7.0653192105462101E-2</v>
      </c>
      <c r="AK8">
        <f t="shared" si="4"/>
        <v>0.22839055122463331</v>
      </c>
      <c r="AL8">
        <f t="shared" si="4"/>
        <v>0.96285512962327424</v>
      </c>
      <c r="AM8" s="54">
        <f t="shared" si="4"/>
        <v>2.8425586591267309</v>
      </c>
    </row>
    <row r="9" spans="1:39" x14ac:dyDescent="0.25">
      <c r="A9" s="34">
        <v>159</v>
      </c>
      <c r="B9" s="2">
        <v>45</v>
      </c>
      <c r="C9" s="2">
        <v>54.11</v>
      </c>
      <c r="D9" s="2">
        <v>15</v>
      </c>
      <c r="E9" s="27">
        <v>1.09573532088619E-2</v>
      </c>
      <c r="F9" s="27">
        <v>4.9905746416529098E-3</v>
      </c>
      <c r="G9" s="27">
        <v>4.5767283517164602E-3</v>
      </c>
      <c r="H9" s="30">
        <v>0</v>
      </c>
      <c r="I9" s="8">
        <v>0</v>
      </c>
      <c r="J9" s="8">
        <v>11</v>
      </c>
      <c r="K9" s="8">
        <v>72</v>
      </c>
      <c r="L9" s="8">
        <v>777</v>
      </c>
      <c r="M9" s="8">
        <v>2820</v>
      </c>
      <c r="N9" s="20">
        <f t="shared" si="5"/>
        <v>0</v>
      </c>
      <c r="O9" s="10">
        <f t="shared" si="0"/>
        <v>0</v>
      </c>
      <c r="P9" s="10">
        <f t="shared" si="0"/>
        <v>0.73333333333333328</v>
      </c>
      <c r="Q9" s="10">
        <f t="shared" si="0"/>
        <v>4.8</v>
      </c>
      <c r="R9" s="10">
        <f t="shared" si="0"/>
        <v>51.8</v>
      </c>
      <c r="S9" s="22">
        <f t="shared" si="0"/>
        <v>188</v>
      </c>
      <c r="T9" s="20"/>
      <c r="U9" s="10"/>
      <c r="V9" s="10">
        <f t="shared" si="1"/>
        <v>8.0353923531653916E-3</v>
      </c>
      <c r="W9" s="9">
        <f t="shared" si="1"/>
        <v>5.2595295402537115E-2</v>
      </c>
      <c r="X9" s="9">
        <f t="shared" si="1"/>
        <v>0.56759089621904635</v>
      </c>
      <c r="Y9" s="22">
        <f t="shared" si="1"/>
        <v>2.0599824032660372</v>
      </c>
      <c r="Z9" s="53">
        <f t="shared" si="7"/>
        <v>0</v>
      </c>
      <c r="AA9">
        <f t="shared" si="8"/>
        <v>0</v>
      </c>
      <c r="AB9">
        <f t="shared" si="9"/>
        <v>3.3562674579254038E-3</v>
      </c>
      <c r="AC9">
        <f t="shared" si="10"/>
        <v>2.1968296088239008E-2</v>
      </c>
      <c r="AD9">
        <f t="shared" si="11"/>
        <v>0.23707452861891262</v>
      </c>
      <c r="AE9" s="54">
        <f t="shared" si="12"/>
        <v>0.8604249301226945</v>
      </c>
      <c r="AF9" s="46">
        <f t="shared" si="13"/>
        <v>5.0148829090769585E-5</v>
      </c>
      <c r="AG9" s="62">
        <f t="shared" si="3"/>
        <v>5.4683489063780337E-5</v>
      </c>
      <c r="AH9">
        <f t="shared" si="14"/>
        <v>0</v>
      </c>
      <c r="AI9">
        <f t="shared" si="4"/>
        <v>0</v>
      </c>
      <c r="AJ9">
        <f t="shared" si="4"/>
        <v>3.6597547372121337E-3</v>
      </c>
      <c r="AK9">
        <f t="shared" si="4"/>
        <v>2.3954758279933968E-2</v>
      </c>
      <c r="AL9">
        <f t="shared" si="4"/>
        <v>0.25851176643762069</v>
      </c>
      <c r="AM9" s="54">
        <f t="shared" si="4"/>
        <v>0.93822803263074706</v>
      </c>
    </row>
    <row r="10" spans="1:39" x14ac:dyDescent="0.25">
      <c r="A10" s="34">
        <v>35</v>
      </c>
      <c r="B10" s="2">
        <v>45</v>
      </c>
      <c r="C10" s="2">
        <v>64.849999999999994</v>
      </c>
      <c r="D10" s="2">
        <v>6</v>
      </c>
      <c r="E10" s="27">
        <v>2.2279504588702301E-2</v>
      </c>
      <c r="F10" s="27">
        <v>9.4453501582737708E-3</v>
      </c>
      <c r="G10" s="27">
        <v>6.3512880877902899E-3</v>
      </c>
      <c r="H10" s="30">
        <v>0</v>
      </c>
      <c r="I10" s="8">
        <v>6</v>
      </c>
      <c r="J10" s="8">
        <v>24</v>
      </c>
      <c r="K10" s="8">
        <v>103</v>
      </c>
      <c r="L10" s="8">
        <v>418</v>
      </c>
      <c r="M10" s="8">
        <v>1139</v>
      </c>
      <c r="N10" s="20">
        <f t="shared" si="5"/>
        <v>0</v>
      </c>
      <c r="O10" s="10">
        <f t="shared" si="0"/>
        <v>1</v>
      </c>
      <c r="P10" s="10">
        <f t="shared" si="0"/>
        <v>4</v>
      </c>
      <c r="Q10" s="10">
        <f t="shared" si="0"/>
        <v>17.166666666666668</v>
      </c>
      <c r="R10" s="10">
        <f t="shared" si="0"/>
        <v>69.666666666666671</v>
      </c>
      <c r="S10" s="22">
        <f t="shared" si="0"/>
        <v>189.83333333333334</v>
      </c>
      <c r="T10" s="20"/>
      <c r="U10" s="10">
        <f t="shared" si="1"/>
        <v>2.2279504588702301E-2</v>
      </c>
      <c r="V10" s="10">
        <f t="shared" si="1"/>
        <v>8.9118018354809203E-2</v>
      </c>
      <c r="W10" s="9">
        <f t="shared" si="1"/>
        <v>0.38246482877272286</v>
      </c>
      <c r="X10" s="9">
        <f t="shared" si="1"/>
        <v>1.5521388196795938</v>
      </c>
      <c r="Y10" s="22">
        <f t="shared" si="1"/>
        <v>4.2293926210886532</v>
      </c>
      <c r="Z10" s="53">
        <f t="shared" si="7"/>
        <v>0</v>
      </c>
      <c r="AA10">
        <f t="shared" si="8"/>
        <v>6.3512880877902899E-3</v>
      </c>
      <c r="AB10">
        <f t="shared" si="9"/>
        <v>2.5405152351161159E-2</v>
      </c>
      <c r="AC10">
        <f t="shared" si="10"/>
        <v>0.10903044550706666</v>
      </c>
      <c r="AD10">
        <f t="shared" si="11"/>
        <v>0.44247307011605691</v>
      </c>
      <c r="AE10" s="54">
        <f t="shared" si="12"/>
        <v>1.2056861886655235</v>
      </c>
      <c r="AF10" s="46">
        <f t="shared" si="13"/>
        <v>1.4150355209609401E-4</v>
      </c>
      <c r="AG10" s="62">
        <f t="shared" si="3"/>
        <v>2.1043772219316048E-4</v>
      </c>
      <c r="AH10">
        <f t="shared" si="14"/>
        <v>0</v>
      </c>
      <c r="AI10">
        <f t="shared" si="4"/>
        <v>9.4453501582737708E-3</v>
      </c>
      <c r="AJ10">
        <f t="shared" si="4"/>
        <v>3.7781400633095083E-2</v>
      </c>
      <c r="AK10">
        <f t="shared" si="4"/>
        <v>0.16214517771703307</v>
      </c>
      <c r="AL10">
        <f t="shared" si="4"/>
        <v>0.65802606102640604</v>
      </c>
      <c r="AM10" s="54">
        <f t="shared" si="4"/>
        <v>1.7930423050456377</v>
      </c>
    </row>
    <row r="11" spans="1:39" x14ac:dyDescent="0.25">
      <c r="A11" s="34">
        <v>61</v>
      </c>
      <c r="B11" s="2">
        <v>32</v>
      </c>
      <c r="C11" s="2"/>
      <c r="D11" s="2">
        <v>6</v>
      </c>
      <c r="E11" s="27">
        <v>2.4554138346802101E-2</v>
      </c>
      <c r="F11" s="27">
        <v>8.2745106205033593E-3</v>
      </c>
      <c r="G11" s="27">
        <v>4.2829956428710502E-3</v>
      </c>
      <c r="H11" s="30">
        <v>0</v>
      </c>
      <c r="I11" s="8">
        <v>6</v>
      </c>
      <c r="J11" s="8">
        <v>27</v>
      </c>
      <c r="K11" s="8">
        <v>64</v>
      </c>
      <c r="L11" s="8">
        <v>364</v>
      </c>
      <c r="M11" s="8">
        <v>1201</v>
      </c>
      <c r="N11" s="20">
        <f t="shared" si="5"/>
        <v>0</v>
      </c>
      <c r="O11" s="10">
        <f t="shared" si="0"/>
        <v>1</v>
      </c>
      <c r="P11" s="10">
        <f t="shared" si="0"/>
        <v>4.5</v>
      </c>
      <c r="Q11" s="10">
        <f t="shared" si="0"/>
        <v>10.666666666666666</v>
      </c>
      <c r="R11" s="10">
        <f t="shared" si="0"/>
        <v>60.666666666666664</v>
      </c>
      <c r="S11" s="22">
        <f t="shared" si="0"/>
        <v>200.16666666666666</v>
      </c>
      <c r="T11" s="20"/>
      <c r="U11" s="10">
        <f t="shared" si="1"/>
        <v>2.4554138346802101E-2</v>
      </c>
      <c r="V11" s="10">
        <f t="shared" si="1"/>
        <v>0.11049362256060945</v>
      </c>
      <c r="W11" s="9">
        <f t="shared" si="1"/>
        <v>0.2619108090325557</v>
      </c>
      <c r="X11" s="9">
        <f t="shared" si="1"/>
        <v>1.4896177263726607</v>
      </c>
      <c r="Y11" s="22">
        <f t="shared" si="1"/>
        <v>4.9149200257515533</v>
      </c>
      <c r="Z11" s="53">
        <f t="shared" si="7"/>
        <v>0</v>
      </c>
      <c r="AA11">
        <f t="shared" si="8"/>
        <v>4.2829956428710502E-3</v>
      </c>
      <c r="AB11">
        <f t="shared" si="9"/>
        <v>1.9273480392919727E-2</v>
      </c>
      <c r="AC11">
        <f t="shared" si="10"/>
        <v>4.5685286857291202E-2</v>
      </c>
      <c r="AD11">
        <f t="shared" si="11"/>
        <v>0.25983506900084369</v>
      </c>
      <c r="AE11" s="54">
        <f t="shared" si="12"/>
        <v>0.85731296118135514</v>
      </c>
      <c r="AF11" s="46">
        <f t="shared" si="13"/>
        <v>1.0516526755380637E-4</v>
      </c>
      <c r="AG11" s="62">
        <f t="shared" si="3"/>
        <v>2.0317347852792279E-4</v>
      </c>
      <c r="AH11">
        <f t="shared" si="14"/>
        <v>0</v>
      </c>
      <c r="AI11">
        <f t="shared" si="4"/>
        <v>8.2745106205033593E-3</v>
      </c>
      <c r="AJ11">
        <f t="shared" si="4"/>
        <v>3.7235297792265115E-2</v>
      </c>
      <c r="AK11">
        <f t="shared" si="4"/>
        <v>8.8261446618702499E-2</v>
      </c>
      <c r="AL11">
        <f t="shared" si="4"/>
        <v>0.50198697764387046</v>
      </c>
      <c r="AM11" s="54">
        <f t="shared" si="4"/>
        <v>1.6562812092040891</v>
      </c>
    </row>
    <row r="12" spans="1:39" x14ac:dyDescent="0.25">
      <c r="A12" s="34">
        <v>52</v>
      </c>
      <c r="B12" s="2">
        <v>32</v>
      </c>
      <c r="C12" s="2">
        <v>45.6</v>
      </c>
      <c r="D12" s="2">
        <v>5</v>
      </c>
      <c r="E12" s="27">
        <v>1.6195175632876601E-2</v>
      </c>
      <c r="F12" s="27">
        <v>8.7837172608482301E-3</v>
      </c>
      <c r="G12" s="27">
        <v>7.5116788153303899E-3</v>
      </c>
      <c r="H12" s="30">
        <v>0</v>
      </c>
      <c r="I12" s="8">
        <v>3</v>
      </c>
      <c r="J12" s="8">
        <v>21</v>
      </c>
      <c r="K12" s="8">
        <v>74</v>
      </c>
      <c r="L12" s="8">
        <v>395</v>
      </c>
      <c r="M12" s="8">
        <v>990</v>
      </c>
      <c r="N12" s="20">
        <f t="shared" si="5"/>
        <v>0</v>
      </c>
      <c r="O12" s="10">
        <f t="shared" si="0"/>
        <v>0.6</v>
      </c>
      <c r="P12" s="10">
        <f t="shared" si="0"/>
        <v>4.2</v>
      </c>
      <c r="Q12" s="10">
        <f t="shared" si="0"/>
        <v>14.8</v>
      </c>
      <c r="R12" s="10">
        <f t="shared" si="0"/>
        <v>79</v>
      </c>
      <c r="S12" s="22">
        <f t="shared" si="0"/>
        <v>198</v>
      </c>
      <c r="T12" s="20"/>
      <c r="U12" s="10">
        <f t="shared" si="1"/>
        <v>9.7171053797259609E-3</v>
      </c>
      <c r="V12" s="10">
        <f t="shared" si="1"/>
        <v>6.8019737658081725E-2</v>
      </c>
      <c r="W12" s="9">
        <f t="shared" si="1"/>
        <v>0.23968859936657372</v>
      </c>
      <c r="X12" s="9">
        <f t="shared" si="1"/>
        <v>1.2794188749972515</v>
      </c>
      <c r="Y12" s="22">
        <f t="shared" si="1"/>
        <v>3.206644775309567</v>
      </c>
      <c r="Z12" s="53">
        <f t="shared" si="7"/>
        <v>0</v>
      </c>
      <c r="AA12">
        <f t="shared" si="8"/>
        <v>4.5070072891982334E-3</v>
      </c>
      <c r="AB12">
        <f t="shared" si="9"/>
        <v>3.1549051024387639E-2</v>
      </c>
      <c r="AC12">
        <f t="shared" si="10"/>
        <v>0.11117284646688978</v>
      </c>
      <c r="AD12">
        <f t="shared" si="11"/>
        <v>0.59342262641110077</v>
      </c>
      <c r="AE12" s="54">
        <f t="shared" si="12"/>
        <v>1.4873124054354172</v>
      </c>
      <c r="AF12" s="46">
        <f t="shared" si="13"/>
        <v>1.216529577120341E-4</v>
      </c>
      <c r="AG12" s="62">
        <f t="shared" si="3"/>
        <v>1.4225384374896686E-4</v>
      </c>
      <c r="AH12">
        <f t="shared" si="14"/>
        <v>0</v>
      </c>
      <c r="AI12">
        <f t="shared" si="4"/>
        <v>5.2702303565089377E-3</v>
      </c>
      <c r="AJ12">
        <f t="shared" si="4"/>
        <v>3.6891612495562567E-2</v>
      </c>
      <c r="AK12">
        <f t="shared" si="4"/>
        <v>0.12999901546055381</v>
      </c>
      <c r="AL12">
        <f t="shared" si="4"/>
        <v>0.69391366360701012</v>
      </c>
      <c r="AM12" s="54">
        <f t="shared" si="4"/>
        <v>1.7391760176479496</v>
      </c>
    </row>
    <row r="13" spans="1:39" x14ac:dyDescent="0.25">
      <c r="A13" s="34">
        <v>53</v>
      </c>
      <c r="B13" s="2">
        <v>22.6</v>
      </c>
      <c r="C13" s="2">
        <v>29.55</v>
      </c>
      <c r="D13" s="2">
        <v>15</v>
      </c>
      <c r="E13" s="27">
        <v>5.4074185586351197E-3</v>
      </c>
      <c r="F13" s="27">
        <v>3.7739188928974099E-3</v>
      </c>
      <c r="G13" s="27">
        <v>3.5257352179030601E-3</v>
      </c>
      <c r="H13" s="30">
        <v>0</v>
      </c>
      <c r="I13" s="8">
        <v>0</v>
      </c>
      <c r="J13" s="8">
        <v>2</v>
      </c>
      <c r="K13" s="8">
        <v>30</v>
      </c>
      <c r="L13" s="8">
        <v>601</v>
      </c>
      <c r="M13" s="8">
        <v>3003</v>
      </c>
      <c r="N13" s="20">
        <f t="shared" si="5"/>
        <v>0</v>
      </c>
      <c r="O13" s="10">
        <f t="shared" si="0"/>
        <v>0</v>
      </c>
      <c r="P13" s="10">
        <f t="shared" si="0"/>
        <v>0.13333333333333333</v>
      </c>
      <c r="Q13" s="10">
        <f t="shared" si="0"/>
        <v>2</v>
      </c>
      <c r="R13" s="10">
        <f t="shared" si="0"/>
        <v>40.06666666666667</v>
      </c>
      <c r="S13" s="22">
        <f t="shared" si="0"/>
        <v>200.2</v>
      </c>
      <c r="T13" s="20"/>
      <c r="U13" s="10"/>
      <c r="V13" s="10"/>
      <c r="W13" s="9">
        <f t="shared" si="1"/>
        <v>1.0814837117270239E-2</v>
      </c>
      <c r="X13" s="9">
        <f t="shared" si="1"/>
        <v>0.21665723691598049</v>
      </c>
      <c r="Y13" s="22">
        <f t="shared" si="1"/>
        <v>1.082565195438751</v>
      </c>
      <c r="Z13" s="53">
        <f t="shared" si="7"/>
        <v>0</v>
      </c>
      <c r="AA13">
        <f t="shared" si="8"/>
        <v>0</v>
      </c>
      <c r="AB13">
        <f t="shared" si="9"/>
        <v>4.7009802905374136E-4</v>
      </c>
      <c r="AC13">
        <f t="shared" si="10"/>
        <v>7.0514704358061201E-3</v>
      </c>
      <c r="AD13">
        <f t="shared" si="11"/>
        <v>0.14126445773064927</v>
      </c>
      <c r="AE13" s="54">
        <f t="shared" si="12"/>
        <v>0.70585219062419258</v>
      </c>
      <c r="AF13" s="46">
        <f t="shared" si="13"/>
        <v>1.9065126050122445E-5</v>
      </c>
      <c r="AG13" s="62">
        <f t="shared" si="3"/>
        <v>2.0407159060237159E-5</v>
      </c>
      <c r="AH13">
        <f t="shared" si="14"/>
        <v>0</v>
      </c>
      <c r="AI13">
        <f t="shared" si="4"/>
        <v>0</v>
      </c>
      <c r="AJ13">
        <f t="shared" si="4"/>
        <v>5.0318918571965463E-4</v>
      </c>
      <c r="AK13">
        <f t="shared" si="4"/>
        <v>7.5478377857948198E-3</v>
      </c>
      <c r="AL13">
        <f t="shared" si="4"/>
        <v>0.15120835030875623</v>
      </c>
      <c r="AM13" s="54">
        <f t="shared" si="4"/>
        <v>0.75553856235806138</v>
      </c>
    </row>
    <row r="14" spans="1:39" x14ac:dyDescent="0.25">
      <c r="A14" s="34">
        <v>45</v>
      </c>
      <c r="B14" s="2">
        <v>22.6</v>
      </c>
      <c r="C14" s="2">
        <v>22.6</v>
      </c>
      <c r="D14" s="2">
        <v>10</v>
      </c>
      <c r="E14" s="27">
        <v>6.9634801117522301E-3</v>
      </c>
      <c r="F14" s="27">
        <v>4.7306891897243297E-3</v>
      </c>
      <c r="G14" s="27">
        <v>4.5595536316889104E-3</v>
      </c>
      <c r="H14" s="30">
        <v>0</v>
      </c>
      <c r="I14" s="8">
        <v>1</v>
      </c>
      <c r="J14" s="8">
        <v>4</v>
      </c>
      <c r="K14" s="8">
        <v>51</v>
      </c>
      <c r="L14" s="8">
        <v>494</v>
      </c>
      <c r="M14" s="8">
        <v>1931</v>
      </c>
      <c r="N14" s="20">
        <f t="shared" si="5"/>
        <v>0</v>
      </c>
      <c r="O14" s="10">
        <f t="shared" si="0"/>
        <v>0.1</v>
      </c>
      <c r="P14" s="10">
        <f t="shared" si="0"/>
        <v>0.4</v>
      </c>
      <c r="Q14" s="10">
        <f t="shared" si="0"/>
        <v>5.0999999999999996</v>
      </c>
      <c r="R14" s="10">
        <f t="shared" si="0"/>
        <v>49.4</v>
      </c>
      <c r="S14" s="22">
        <f t="shared" si="0"/>
        <v>193.1</v>
      </c>
      <c r="T14" s="20"/>
      <c r="U14" s="10"/>
      <c r="V14" s="10"/>
      <c r="W14" s="9">
        <f t="shared" si="1"/>
        <v>3.5513748569936374E-2</v>
      </c>
      <c r="X14" s="9">
        <f t="shared" si="1"/>
        <v>0.34399591752056013</v>
      </c>
      <c r="Y14" s="22">
        <f t="shared" si="1"/>
        <v>1.3446480095793556</v>
      </c>
      <c r="Z14" s="53">
        <f t="shared" si="7"/>
        <v>0</v>
      </c>
      <c r="AA14">
        <f t="shared" si="8"/>
        <v>4.5595536316889109E-4</v>
      </c>
      <c r="AB14">
        <f t="shared" si="9"/>
        <v>1.8238214526755643E-3</v>
      </c>
      <c r="AC14">
        <f t="shared" si="10"/>
        <v>2.325372352161344E-2</v>
      </c>
      <c r="AD14">
        <f t="shared" si="11"/>
        <v>0.22524194940543216</v>
      </c>
      <c r="AE14" s="54">
        <f t="shared" si="12"/>
        <v>0.88044980627912861</v>
      </c>
      <c r="AF14" s="46">
        <f t="shared" si="13"/>
        <v>3.1750361032733378E-5</v>
      </c>
      <c r="AG14" s="62">
        <f t="shared" si="3"/>
        <v>3.294206008752664E-5</v>
      </c>
      <c r="AH14">
        <f t="shared" si="14"/>
        <v>0</v>
      </c>
      <c r="AI14">
        <f t="shared" si="4"/>
        <v>4.7306891897243297E-4</v>
      </c>
      <c r="AJ14">
        <f t="shared" si="4"/>
        <v>1.8922756758897319E-3</v>
      </c>
      <c r="AK14">
        <f t="shared" si="4"/>
        <v>2.4126514867594082E-2</v>
      </c>
      <c r="AL14">
        <f t="shared" si="4"/>
        <v>0.23369604597238189</v>
      </c>
      <c r="AM14" s="54">
        <f t="shared" si="4"/>
        <v>0.91349608253576808</v>
      </c>
    </row>
    <row r="15" spans="1:39" x14ac:dyDescent="0.25">
      <c r="A15" s="7">
        <v>1.3</v>
      </c>
      <c r="B15" s="3">
        <v>32</v>
      </c>
      <c r="C15" s="3">
        <v>42.84</v>
      </c>
      <c r="D15" s="3">
        <v>10</v>
      </c>
      <c r="E15" s="26">
        <v>2.3197934886697399E-2</v>
      </c>
      <c r="F15" s="26">
        <v>9.1426900455134907E-3</v>
      </c>
      <c r="G15" s="26">
        <v>6.1375608082080103E-3</v>
      </c>
      <c r="H15" s="30">
        <v>0</v>
      </c>
      <c r="I15" s="8">
        <v>4</v>
      </c>
      <c r="J15" s="8">
        <v>35</v>
      </c>
      <c r="K15" s="8">
        <v>163</v>
      </c>
      <c r="L15" s="8">
        <v>788</v>
      </c>
      <c r="M15" s="8">
        <v>1749</v>
      </c>
      <c r="N15" s="20">
        <f t="shared" si="5"/>
        <v>0</v>
      </c>
      <c r="O15" s="10">
        <f t="shared" si="0"/>
        <v>0.4</v>
      </c>
      <c r="P15" s="10">
        <f t="shared" si="0"/>
        <v>3.5</v>
      </c>
      <c r="Q15" s="10">
        <f t="shared" si="0"/>
        <v>16.3</v>
      </c>
      <c r="R15" s="10">
        <f t="shared" si="0"/>
        <v>78.8</v>
      </c>
      <c r="S15" s="22">
        <f t="shared" si="0"/>
        <v>174.9</v>
      </c>
      <c r="T15" s="20"/>
      <c r="U15" s="10">
        <f t="shared" si="1"/>
        <v>9.2791739546789608E-3</v>
      </c>
      <c r="V15" s="10">
        <f t="shared" si="1"/>
        <v>8.1192772103440891E-2</v>
      </c>
      <c r="W15" s="9">
        <f t="shared" si="1"/>
        <v>0.37812633865316764</v>
      </c>
      <c r="X15" s="9">
        <f t="shared" si="1"/>
        <v>1.827997269071755</v>
      </c>
      <c r="Y15" s="22">
        <f t="shared" si="1"/>
        <v>4.0573188116833752</v>
      </c>
      <c r="Z15" s="53">
        <f t="shared" si="7"/>
        <v>0</v>
      </c>
      <c r="AA15">
        <f t="shared" si="8"/>
        <v>2.4550243232832041E-3</v>
      </c>
      <c r="AB15">
        <f t="shared" si="9"/>
        <v>2.1481462828728037E-2</v>
      </c>
      <c r="AC15">
        <f t="shared" si="10"/>
        <v>0.10004224117379057</v>
      </c>
      <c r="AD15">
        <f t="shared" si="11"/>
        <v>0.48363979168679122</v>
      </c>
      <c r="AE15" s="54">
        <f t="shared" si="12"/>
        <v>1.0734593853555809</v>
      </c>
      <c r="AF15" s="46">
        <f t="shared" si="13"/>
        <v>1.4237873599195529E-4</v>
      </c>
      <c r="AG15" s="62">
        <f t="shared" si="3"/>
        <v>2.1209152836507844E-4</v>
      </c>
      <c r="AH15">
        <f t="shared" si="14"/>
        <v>0</v>
      </c>
      <c r="AI15">
        <f t="shared" si="4"/>
        <v>3.6570760182053964E-3</v>
      </c>
      <c r="AJ15">
        <f t="shared" si="4"/>
        <v>3.1999415159297218E-2</v>
      </c>
      <c r="AK15">
        <f t="shared" si="4"/>
        <v>0.14902584774186992</v>
      </c>
      <c r="AL15">
        <f t="shared" si="4"/>
        <v>0.720443975586463</v>
      </c>
      <c r="AM15" s="54">
        <f t="shared" si="4"/>
        <v>1.5990564889603096</v>
      </c>
    </row>
    <row r="16" spans="1:39" x14ac:dyDescent="0.25">
      <c r="A16" s="7">
        <v>2.1</v>
      </c>
      <c r="B16" s="3">
        <v>45</v>
      </c>
      <c r="C16" s="3">
        <v>52.94</v>
      </c>
      <c r="D16" s="3">
        <v>20</v>
      </c>
      <c r="E16" s="26">
        <v>3.5345925929864103E-2</v>
      </c>
      <c r="F16" s="26">
        <v>7.8507383881498607E-3</v>
      </c>
      <c r="G16" s="26">
        <v>4.0069409325786598E-3</v>
      </c>
      <c r="H16" s="30">
        <v>0</v>
      </c>
      <c r="I16" s="8">
        <v>11</v>
      </c>
      <c r="J16" s="8">
        <v>56</v>
      </c>
      <c r="K16" s="8">
        <v>204</v>
      </c>
      <c r="L16" s="8">
        <v>1215</v>
      </c>
      <c r="M16" s="8">
        <v>3424</v>
      </c>
      <c r="N16" s="20">
        <f t="shared" si="5"/>
        <v>0</v>
      </c>
      <c r="O16" s="10">
        <f t="shared" si="0"/>
        <v>0.55000000000000004</v>
      </c>
      <c r="P16" s="10">
        <f t="shared" si="0"/>
        <v>2.8</v>
      </c>
      <c r="Q16" s="10">
        <f t="shared" si="0"/>
        <v>10.199999999999999</v>
      </c>
      <c r="R16" s="10">
        <f t="shared" si="0"/>
        <v>60.75</v>
      </c>
      <c r="S16" s="22">
        <f t="shared" si="0"/>
        <v>171.2</v>
      </c>
      <c r="T16" s="20"/>
      <c r="U16" s="10">
        <f t="shared" si="1"/>
        <v>1.9440259261425258E-2</v>
      </c>
      <c r="V16" s="10">
        <f t="shared" si="1"/>
        <v>9.8968592603619482E-2</v>
      </c>
      <c r="W16" s="9">
        <f t="shared" si="1"/>
        <v>0.3605284444846138</v>
      </c>
      <c r="X16" s="9">
        <f t="shared" si="1"/>
        <v>2.1472650002392442</v>
      </c>
      <c r="Y16" s="22">
        <f t="shared" si="1"/>
        <v>6.0512225191927342</v>
      </c>
      <c r="Z16" s="53">
        <f t="shared" si="7"/>
        <v>0</v>
      </c>
      <c r="AA16">
        <f t="shared" si="8"/>
        <v>2.2038175129182633E-3</v>
      </c>
      <c r="AB16">
        <f t="shared" si="9"/>
        <v>1.1219434611220247E-2</v>
      </c>
      <c r="AC16">
        <f t="shared" si="10"/>
        <v>4.0870797512302326E-2</v>
      </c>
      <c r="AD16">
        <f t="shared" si="11"/>
        <v>0.24342166165415358</v>
      </c>
      <c r="AE16" s="54">
        <f t="shared" si="12"/>
        <v>0.68598828765746656</v>
      </c>
      <c r="AF16" s="46">
        <f t="shared" si="13"/>
        <v>1.4162903740826591E-4</v>
      </c>
      <c r="AG16" s="62">
        <f t="shared" si="3"/>
        <v>2.774916175622857E-4</v>
      </c>
      <c r="AH16">
        <f t="shared" si="14"/>
        <v>0</v>
      </c>
      <c r="AI16">
        <f t="shared" si="4"/>
        <v>4.3179061134824238E-3</v>
      </c>
      <c r="AJ16">
        <f t="shared" si="4"/>
        <v>2.198206748681961E-2</v>
      </c>
      <c r="AK16">
        <f t="shared" si="4"/>
        <v>8.007753155912857E-2</v>
      </c>
      <c r="AL16">
        <f t="shared" si="4"/>
        <v>0.47693235708010406</v>
      </c>
      <c r="AM16" s="54">
        <f t="shared" si="4"/>
        <v>1.3440464120512561</v>
      </c>
    </row>
    <row r="17" spans="1:39" x14ac:dyDescent="0.25">
      <c r="A17" s="7">
        <v>2.2999999999999998</v>
      </c>
      <c r="B17" s="3">
        <v>45</v>
      </c>
      <c r="C17" s="3">
        <v>54.11</v>
      </c>
      <c r="D17" s="3">
        <v>10</v>
      </c>
      <c r="E17" s="26">
        <v>1.9422121419342901E-2</v>
      </c>
      <c r="F17" s="26">
        <v>7.5773751595888898E-3</v>
      </c>
      <c r="G17" s="26">
        <v>5.3544304928017398E-3</v>
      </c>
      <c r="H17" s="30">
        <v>0</v>
      </c>
      <c r="I17" s="8">
        <v>3</v>
      </c>
      <c r="J17" s="8">
        <v>28</v>
      </c>
      <c r="K17" s="8">
        <v>147</v>
      </c>
      <c r="L17" s="8">
        <v>700</v>
      </c>
      <c r="M17" s="8">
        <v>1838</v>
      </c>
      <c r="N17" s="20">
        <f t="shared" si="5"/>
        <v>0</v>
      </c>
      <c r="O17" s="10">
        <f t="shared" si="0"/>
        <v>0.3</v>
      </c>
      <c r="P17" s="10">
        <f t="shared" si="0"/>
        <v>2.8</v>
      </c>
      <c r="Q17" s="10">
        <f t="shared" si="0"/>
        <v>14.7</v>
      </c>
      <c r="R17" s="10">
        <f t="shared" si="0"/>
        <v>70</v>
      </c>
      <c r="S17" s="22">
        <f t="shared" si="0"/>
        <v>183.8</v>
      </c>
      <c r="T17" s="20"/>
      <c r="U17" s="10">
        <f t="shared" si="1"/>
        <v>5.82663642580287E-3</v>
      </c>
      <c r="V17" s="10">
        <f t="shared" si="1"/>
        <v>5.4381939974160118E-2</v>
      </c>
      <c r="W17" s="9">
        <f t="shared" si="1"/>
        <v>0.28550518486434062</v>
      </c>
      <c r="X17" s="9">
        <f t="shared" si="1"/>
        <v>1.359548499354003</v>
      </c>
      <c r="Y17" s="22">
        <f t="shared" si="1"/>
        <v>3.5697859168752255</v>
      </c>
      <c r="Z17" s="53">
        <f t="shared" si="7"/>
        <v>0</v>
      </c>
      <c r="AA17">
        <f t="shared" si="8"/>
        <v>1.6063291478405218E-3</v>
      </c>
      <c r="AB17">
        <f t="shared" si="9"/>
        <v>1.4992405379844871E-2</v>
      </c>
      <c r="AC17">
        <f t="shared" si="10"/>
        <v>7.8710128244185565E-2</v>
      </c>
      <c r="AD17">
        <f t="shared" si="11"/>
        <v>0.37481013449612177</v>
      </c>
      <c r="AE17" s="54">
        <f t="shared" si="12"/>
        <v>0.98414432457695988</v>
      </c>
      <c r="AF17" s="46">
        <f t="shared" si="13"/>
        <v>1.0399439916262744E-4</v>
      </c>
      <c r="AG17" s="62">
        <f t="shared" si="3"/>
        <v>1.4716870038944822E-4</v>
      </c>
      <c r="AH17">
        <f t="shared" si="14"/>
        <v>0</v>
      </c>
      <c r="AI17">
        <f t="shared" si="4"/>
        <v>2.2732125478766669E-3</v>
      </c>
      <c r="AJ17">
        <f t="shared" si="4"/>
        <v>2.1216650446848891E-2</v>
      </c>
      <c r="AK17">
        <f t="shared" si="4"/>
        <v>0.11138741484595667</v>
      </c>
      <c r="AL17">
        <f t="shared" si="4"/>
        <v>0.53041626117122231</v>
      </c>
      <c r="AM17" s="54">
        <f t="shared" si="4"/>
        <v>1.392721554332438</v>
      </c>
    </row>
    <row r="18" spans="1:39" x14ac:dyDescent="0.25">
      <c r="A18" s="7">
        <v>3.1</v>
      </c>
      <c r="B18" s="3">
        <v>64</v>
      </c>
      <c r="C18" s="3">
        <v>84.98</v>
      </c>
      <c r="D18" s="3">
        <v>20</v>
      </c>
      <c r="E18" s="26">
        <v>0.12653412852816501</v>
      </c>
      <c r="F18" s="26">
        <v>1.5222331559222001E-2</v>
      </c>
      <c r="G18" s="26">
        <v>4.5052689799184196E-3</v>
      </c>
      <c r="H18" s="30">
        <v>10</v>
      </c>
      <c r="I18" s="8">
        <v>38</v>
      </c>
      <c r="J18" s="8">
        <v>113</v>
      </c>
      <c r="K18" s="8">
        <v>312</v>
      </c>
      <c r="L18" s="8">
        <v>1212</v>
      </c>
      <c r="M18" s="8">
        <v>3306</v>
      </c>
      <c r="N18" s="20">
        <f t="shared" si="5"/>
        <v>0.5</v>
      </c>
      <c r="O18" s="10">
        <f t="shared" si="0"/>
        <v>1.9</v>
      </c>
      <c r="P18" s="10">
        <f t="shared" si="0"/>
        <v>5.65</v>
      </c>
      <c r="Q18" s="10">
        <f t="shared" si="0"/>
        <v>15.6</v>
      </c>
      <c r="R18" s="10">
        <f t="shared" si="0"/>
        <v>60.6</v>
      </c>
      <c r="S18" s="22">
        <f t="shared" si="0"/>
        <v>165.3</v>
      </c>
      <c r="T18" s="20">
        <f t="shared" si="6"/>
        <v>6.3267064264082504E-2</v>
      </c>
      <c r="U18" s="10">
        <f t="shared" si="1"/>
        <v>0.2404148442035135</v>
      </c>
      <c r="V18" s="10">
        <f t="shared" si="1"/>
        <v>0.71491782618413235</v>
      </c>
      <c r="W18" s="9">
        <f t="shared" si="1"/>
        <v>1.9739324050393741</v>
      </c>
      <c r="X18" s="9">
        <f t="shared" si="1"/>
        <v>7.6679681888067996</v>
      </c>
      <c r="Y18" s="22">
        <f t="shared" si="1"/>
        <v>20.916091445705678</v>
      </c>
      <c r="Z18" s="53">
        <f t="shared" si="7"/>
        <v>2.2526344899592098E-3</v>
      </c>
      <c r="AA18">
        <f t="shared" si="8"/>
        <v>8.5600110618449972E-3</v>
      </c>
      <c r="AB18">
        <f t="shared" si="9"/>
        <v>2.5454769736539071E-2</v>
      </c>
      <c r="AC18">
        <f t="shared" si="10"/>
        <v>7.0282196086727339E-2</v>
      </c>
      <c r="AD18">
        <f t="shared" si="11"/>
        <v>0.27301930018305626</v>
      </c>
      <c r="AE18" s="54">
        <f t="shared" si="12"/>
        <v>0.74472096238051477</v>
      </c>
      <c r="AF18" s="46">
        <f t="shared" si="13"/>
        <v>5.7007028415895211E-4</v>
      </c>
      <c r="AG18" s="62">
        <f t="shared" si="3"/>
        <v>1.9261444580129391E-3</v>
      </c>
      <c r="AH18">
        <f t="shared" si="14"/>
        <v>7.6111657796110004E-3</v>
      </c>
      <c r="AI18">
        <f t="shared" si="4"/>
        <v>2.8922429962521801E-2</v>
      </c>
      <c r="AJ18">
        <f t="shared" si="4"/>
        <v>8.6006173309604306E-2</v>
      </c>
      <c r="AK18">
        <f t="shared" si="4"/>
        <v>0.2374683723238632</v>
      </c>
      <c r="AL18">
        <f t="shared" si="4"/>
        <v>0.92247329248885324</v>
      </c>
      <c r="AM18" s="54">
        <f t="shared" si="4"/>
        <v>2.5162514067393968</v>
      </c>
    </row>
    <row r="19" spans="1:39" x14ac:dyDescent="0.25">
      <c r="A19" s="7">
        <v>4.2</v>
      </c>
      <c r="B19" s="3">
        <v>90</v>
      </c>
      <c r="C19" s="3">
        <v>127.22</v>
      </c>
      <c r="D19" s="3">
        <v>20</v>
      </c>
      <c r="E19" s="26">
        <v>4.1669974213015902E-2</v>
      </c>
      <c r="F19" s="26">
        <v>9.9725509064199202E-3</v>
      </c>
      <c r="G19" s="26">
        <v>6.2822795747625101E-3</v>
      </c>
      <c r="H19" s="30">
        <v>0</v>
      </c>
      <c r="I19" s="8">
        <v>15</v>
      </c>
      <c r="J19" s="8">
        <v>82</v>
      </c>
      <c r="K19" s="8">
        <v>353</v>
      </c>
      <c r="L19" s="8">
        <v>1394</v>
      </c>
      <c r="M19" s="8">
        <v>3355</v>
      </c>
      <c r="N19" s="20">
        <f t="shared" si="5"/>
        <v>0</v>
      </c>
      <c r="O19" s="10">
        <f t="shared" si="5"/>
        <v>0.75</v>
      </c>
      <c r="P19" s="10">
        <f t="shared" si="5"/>
        <v>4.0999999999999996</v>
      </c>
      <c r="Q19" s="10">
        <f t="shared" si="5"/>
        <v>17.649999999999999</v>
      </c>
      <c r="R19" s="10">
        <f t="shared" si="5"/>
        <v>69.7</v>
      </c>
      <c r="S19" s="22">
        <f t="shared" si="5"/>
        <v>167.75</v>
      </c>
      <c r="T19" s="20">
        <f t="shared" si="6"/>
        <v>0</v>
      </c>
      <c r="U19" s="10">
        <f t="shared" si="6"/>
        <v>3.1252480659761925E-2</v>
      </c>
      <c r="V19" s="10">
        <f t="shared" si="6"/>
        <v>0.17084689427336519</v>
      </c>
      <c r="W19" s="9">
        <f t="shared" si="6"/>
        <v>0.73547504485973059</v>
      </c>
      <c r="X19" s="9">
        <f t="shared" si="6"/>
        <v>2.9043972026472087</v>
      </c>
      <c r="Y19" s="22">
        <f t="shared" si="6"/>
        <v>6.9901381742334179</v>
      </c>
      <c r="Z19" s="53">
        <f t="shared" si="7"/>
        <v>0</v>
      </c>
      <c r="AA19">
        <f t="shared" si="8"/>
        <v>4.7117096810718826E-3</v>
      </c>
      <c r="AB19">
        <f t="shared" si="9"/>
        <v>2.575734625652629E-2</v>
      </c>
      <c r="AC19">
        <f t="shared" si="10"/>
        <v>0.11088223449455829</v>
      </c>
      <c r="AD19">
        <f t="shared" si="11"/>
        <v>0.43787488636094696</v>
      </c>
      <c r="AE19" s="54">
        <f t="shared" si="12"/>
        <v>1.053852398666411</v>
      </c>
      <c r="AF19" s="46">
        <f t="shared" si="13"/>
        <v>2.6178242787931028E-4</v>
      </c>
      <c r="AG19" s="62">
        <f t="shared" si="3"/>
        <v>4.1555593910850641E-4</v>
      </c>
      <c r="AH19">
        <f t="shared" si="14"/>
        <v>0</v>
      </c>
      <c r="AI19">
        <f t="shared" ref="AI19:AI22" si="15">O19*$F19</f>
        <v>7.4794131798149397E-3</v>
      </c>
      <c r="AJ19">
        <f t="shared" ref="AJ19:AJ23" si="16">P19*$F19</f>
        <v>4.088745871632167E-2</v>
      </c>
      <c r="AK19">
        <f t="shared" ref="AK19:AK23" si="17">Q19*$F19</f>
        <v>0.17601552349831157</v>
      </c>
      <c r="AL19">
        <f t="shared" ref="AL19:AL23" si="18">R19*$F19</f>
        <v>0.69508679817746843</v>
      </c>
      <c r="AM19" s="54">
        <f t="shared" ref="AM19:AM23" si="19">S19*$F19</f>
        <v>1.6728954145519417</v>
      </c>
    </row>
    <row r="20" spans="1:39" x14ac:dyDescent="0.25">
      <c r="A20" s="7">
        <v>4.3</v>
      </c>
      <c r="B20" s="3">
        <v>90</v>
      </c>
      <c r="C20" s="3">
        <v>91.54</v>
      </c>
      <c r="D20" s="3">
        <v>20</v>
      </c>
      <c r="E20" s="26">
        <v>6.5041528765672305E-2</v>
      </c>
      <c r="F20" s="26">
        <v>1.5521667521925899E-2</v>
      </c>
      <c r="G20" s="26">
        <v>9.3037999635866304E-3</v>
      </c>
      <c r="H20" s="30">
        <v>6</v>
      </c>
      <c r="I20" s="8">
        <v>32</v>
      </c>
      <c r="J20" s="8">
        <v>142</v>
      </c>
      <c r="K20" s="8">
        <v>419</v>
      </c>
      <c r="L20" s="8">
        <v>1531</v>
      </c>
      <c r="M20" s="8">
        <v>3286</v>
      </c>
      <c r="N20" s="20">
        <f t="shared" si="5"/>
        <v>0.3</v>
      </c>
      <c r="O20" s="10">
        <f t="shared" si="5"/>
        <v>1.6</v>
      </c>
      <c r="P20" s="10">
        <f t="shared" si="5"/>
        <v>7.1</v>
      </c>
      <c r="Q20" s="10">
        <f t="shared" si="5"/>
        <v>20.95</v>
      </c>
      <c r="R20" s="10">
        <f t="shared" si="5"/>
        <v>76.55</v>
      </c>
      <c r="S20" s="22">
        <f t="shared" si="5"/>
        <v>164.3</v>
      </c>
      <c r="T20" s="20">
        <f>N20*$E20</f>
        <v>1.951245862970169E-2</v>
      </c>
      <c r="U20" s="10">
        <f t="shared" si="6"/>
        <v>0.1040664460250757</v>
      </c>
      <c r="V20" s="10">
        <f t="shared" si="6"/>
        <v>0.46179485423627337</v>
      </c>
      <c r="W20" s="9">
        <f t="shared" si="6"/>
        <v>1.3626200276408347</v>
      </c>
      <c r="X20" s="9">
        <f t="shared" si="6"/>
        <v>4.9789290270122146</v>
      </c>
      <c r="Y20" s="22">
        <f t="shared" si="6"/>
        <v>10.686323176199961</v>
      </c>
      <c r="Z20" s="53">
        <f t="shared" si="7"/>
        <v>2.7911399890759889E-3</v>
      </c>
      <c r="AA20">
        <f t="shared" si="8"/>
        <v>1.4886079941738609E-2</v>
      </c>
      <c r="AB20">
        <f t="shared" si="9"/>
        <v>6.6056979741465072E-2</v>
      </c>
      <c r="AC20">
        <f t="shared" si="10"/>
        <v>0.19491460923713991</v>
      </c>
      <c r="AD20">
        <f t="shared" si="11"/>
        <v>0.71220588721255651</v>
      </c>
      <c r="AE20" s="54">
        <f t="shared" si="12"/>
        <v>1.5286143340172835</v>
      </c>
      <c r="AF20" s="46">
        <f t="shared" si="13"/>
        <v>6.0513337296168074E-4</v>
      </c>
      <c r="AG20" s="62">
        <f t="shared" si="3"/>
        <v>1.009552984618545E-3</v>
      </c>
      <c r="AH20">
        <f t="shared" si="14"/>
        <v>4.6565002565777695E-3</v>
      </c>
      <c r="AI20">
        <f t="shared" si="15"/>
        <v>2.4834668035081442E-2</v>
      </c>
      <c r="AJ20">
        <f t="shared" si="16"/>
        <v>0.11020383940567388</v>
      </c>
      <c r="AK20">
        <f t="shared" si="17"/>
        <v>0.3251789345843476</v>
      </c>
      <c r="AL20">
        <f t="shared" si="18"/>
        <v>1.1881836488034276</v>
      </c>
      <c r="AM20" s="54">
        <f t="shared" si="19"/>
        <v>2.5502099738524255</v>
      </c>
    </row>
    <row r="21" spans="1:39" x14ac:dyDescent="0.25">
      <c r="A21" s="35" t="s">
        <v>24</v>
      </c>
      <c r="B21" s="14">
        <v>90</v>
      </c>
      <c r="C21" s="14">
        <v>108.42</v>
      </c>
      <c r="D21" s="25">
        <v>149.999977324263</v>
      </c>
      <c r="E21" s="15">
        <v>9.5590751489404505E-2</v>
      </c>
      <c r="F21" s="15">
        <v>4.1750172724988703E-3</v>
      </c>
      <c r="G21" s="15">
        <v>3.0008966016067001E-3</v>
      </c>
      <c r="H21" s="30">
        <v>4</v>
      </c>
      <c r="I21" s="8">
        <v>7</v>
      </c>
      <c r="J21" s="8">
        <v>43</v>
      </c>
      <c r="K21" s="8">
        <v>325</v>
      </c>
      <c r="L21" s="8">
        <v>4737</v>
      </c>
      <c r="M21" s="8">
        <v>21140</v>
      </c>
      <c r="N21" s="20">
        <f t="shared" si="5"/>
        <v>2.6666670697909411E-2</v>
      </c>
      <c r="O21" s="10">
        <f t="shared" si="5"/>
        <v>4.6666673721341465E-2</v>
      </c>
      <c r="P21" s="10">
        <f t="shared" si="5"/>
        <v>0.28666671000252614</v>
      </c>
      <c r="Q21" s="10">
        <f t="shared" si="5"/>
        <v>2.1666669942051393</v>
      </c>
      <c r="R21" s="10">
        <f t="shared" si="5"/>
        <v>31.580004773999217</v>
      </c>
      <c r="S21" s="22">
        <f t="shared" si="5"/>
        <v>140.93335463845122</v>
      </c>
      <c r="T21" s="20"/>
      <c r="U21" s="10"/>
      <c r="V21" s="10">
        <f t="shared" si="6"/>
        <v>2.7402686236136665E-2</v>
      </c>
      <c r="W21" s="9">
        <f t="shared" si="6"/>
        <v>0.20711332620335851</v>
      </c>
      <c r="X21" s="9">
        <f t="shared" si="6"/>
        <v>3.018756388385567</v>
      </c>
      <c r="Y21" s="22">
        <f t="shared" si="6"/>
        <v>13.471925279812304</v>
      </c>
      <c r="Z21" s="53">
        <f t="shared" si="7"/>
        <v>8.0023921473521323E-5</v>
      </c>
      <c r="AA21">
        <f t="shared" si="8"/>
        <v>1.4004186257866229E-4</v>
      </c>
      <c r="AB21">
        <f t="shared" si="9"/>
        <v>8.6025715584035409E-4</v>
      </c>
      <c r="AC21">
        <f t="shared" si="10"/>
        <v>6.5019436197236062E-3</v>
      </c>
      <c r="AD21">
        <f t="shared" si="11"/>
        <v>9.476832900501761E-2</v>
      </c>
      <c r="AE21" s="54">
        <f t="shared" si="12"/>
        <v>0.42292642498756011</v>
      </c>
      <c r="AF21" s="46">
        <f t="shared" si="13"/>
        <v>2.8685796128958456E-4</v>
      </c>
      <c r="AG21" s="62">
        <f t="shared" si="3"/>
        <v>3.9909303855941092E-4</v>
      </c>
      <c r="AH21">
        <f t="shared" si="14"/>
        <v>1.113338107638113E-4</v>
      </c>
      <c r="AI21">
        <f t="shared" si="15"/>
        <v>1.9483416883666975E-4</v>
      </c>
      <c r="AJ21">
        <f t="shared" si="16"/>
        <v>1.1968384657109713E-3</v>
      </c>
      <c r="AK21">
        <f t="shared" si="17"/>
        <v>9.0458721245596663E-3</v>
      </c>
      <c r="AL21">
        <f t="shared" si="18"/>
        <v>0.13184706539704352</v>
      </c>
      <c r="AM21" s="54">
        <f t="shared" si="19"/>
        <v>0.58839918988674267</v>
      </c>
    </row>
    <row r="22" spans="1:39" x14ac:dyDescent="0.25">
      <c r="A22" s="28" t="s">
        <v>42</v>
      </c>
      <c r="B22" s="11"/>
      <c r="C22" s="11">
        <v>128</v>
      </c>
      <c r="D22" s="23">
        <v>60</v>
      </c>
      <c r="E22" s="112">
        <v>2.2757340169528399E-2</v>
      </c>
      <c r="F22" s="112">
        <v>1.5074113040056999E-2</v>
      </c>
      <c r="G22" s="112">
        <v>1.5423120947055899E-2</v>
      </c>
      <c r="H22" s="66">
        <v>0</v>
      </c>
      <c r="I22" s="66">
        <v>29</v>
      </c>
      <c r="J22" s="66">
        <v>474</v>
      </c>
      <c r="K22" s="66">
        <v>5962</v>
      </c>
      <c r="L22" s="66">
        <v>27015</v>
      </c>
      <c r="M22" s="66">
        <v>19751</v>
      </c>
      <c r="N22" s="20">
        <f t="shared" si="5"/>
        <v>0</v>
      </c>
      <c r="O22" s="10">
        <f t="shared" si="5"/>
        <v>0.48333333333333334</v>
      </c>
      <c r="P22" s="10">
        <f t="shared" si="5"/>
        <v>7.9</v>
      </c>
      <c r="Q22" s="10">
        <f t="shared" si="5"/>
        <v>99.36666666666666</v>
      </c>
      <c r="R22" s="10">
        <f t="shared" si="5"/>
        <v>450.25</v>
      </c>
      <c r="S22" s="22">
        <f t="shared" si="5"/>
        <v>329.18333333333334</v>
      </c>
      <c r="T22" s="20"/>
      <c r="U22" s="10"/>
      <c r="V22" s="10"/>
      <c r="W22" s="9">
        <f>Q22*$E22</f>
        <v>2.261321034845472</v>
      </c>
      <c r="X22" s="9">
        <f t="shared" si="6"/>
        <v>10.246492411330161</v>
      </c>
      <c r="Y22" s="22">
        <f t="shared" si="6"/>
        <v>7.4913370948059237</v>
      </c>
      <c r="Z22" s="53">
        <f t="shared" si="7"/>
        <v>0</v>
      </c>
      <c r="AA22">
        <f t="shared" si="8"/>
        <v>7.4545084577436844E-3</v>
      </c>
      <c r="AB22">
        <f t="shared" si="9"/>
        <v>0.12184265548174161</v>
      </c>
      <c r="AC22">
        <f>Q22*$G22</f>
        <v>1.5325441181057877</v>
      </c>
      <c r="AD22">
        <f>R22*$G22</f>
        <v>6.9442602064119185</v>
      </c>
      <c r="AE22" s="54">
        <f t="shared" si="12"/>
        <v>5.0770343637550175</v>
      </c>
      <c r="AF22" s="46">
        <f t="shared" si="13"/>
        <v>3.5098920986793012E-4</v>
      </c>
      <c r="AG22" s="62">
        <f t="shared" si="3"/>
        <v>3.4304671820650101E-4</v>
      </c>
      <c r="AH22">
        <f t="shared" si="14"/>
        <v>0</v>
      </c>
      <c r="AI22">
        <f t="shared" si="15"/>
        <v>7.2858213026942165E-3</v>
      </c>
      <c r="AJ22">
        <f t="shared" si="16"/>
        <v>0.1190854930164503</v>
      </c>
      <c r="AK22">
        <f t="shared" si="17"/>
        <v>1.497864365746997</v>
      </c>
      <c r="AL22">
        <f t="shared" si="18"/>
        <v>6.7871193962856644</v>
      </c>
      <c r="AM22" s="54">
        <f t="shared" si="19"/>
        <v>4.9621467775694299</v>
      </c>
    </row>
    <row r="23" spans="1:39" x14ac:dyDescent="0.25">
      <c r="A23" s="36" t="s">
        <v>43</v>
      </c>
      <c r="B23" s="37"/>
      <c r="C23" s="37">
        <v>64</v>
      </c>
      <c r="D23" s="38">
        <v>60</v>
      </c>
      <c r="E23" s="112">
        <v>0.127994748730582</v>
      </c>
      <c r="F23" s="112">
        <v>9.2368097408640507E-2</v>
      </c>
      <c r="G23" s="112">
        <v>9.2086383830759302E-2</v>
      </c>
      <c r="H23" s="66">
        <v>0</v>
      </c>
      <c r="I23" s="66">
        <v>127</v>
      </c>
      <c r="J23" s="66">
        <v>7447</v>
      </c>
      <c r="K23" s="66">
        <v>14635</v>
      </c>
      <c r="L23" s="66">
        <v>4564</v>
      </c>
      <c r="M23" s="66">
        <v>1000</v>
      </c>
      <c r="N23" s="20">
        <f t="shared" si="5"/>
        <v>0</v>
      </c>
      <c r="O23" s="10">
        <f t="shared" si="5"/>
        <v>2.1166666666666667</v>
      </c>
      <c r="P23" s="10">
        <f t="shared" si="5"/>
        <v>124.11666666666666</v>
      </c>
      <c r="Q23" s="10">
        <f t="shared" si="5"/>
        <v>243.91666666666666</v>
      </c>
      <c r="R23" s="10">
        <f t="shared" si="5"/>
        <v>76.066666666666663</v>
      </c>
      <c r="S23" s="22">
        <f t="shared" si="5"/>
        <v>16.666666666666668</v>
      </c>
      <c r="T23" s="20"/>
      <c r="U23" s="10"/>
      <c r="V23" s="10"/>
      <c r="W23" s="9"/>
      <c r="X23" s="9">
        <f t="shared" si="6"/>
        <v>9.7361338867729366</v>
      </c>
      <c r="Y23" s="22">
        <f t="shared" si="6"/>
        <v>2.1332458121763667</v>
      </c>
      <c r="Z23" s="53">
        <f t="shared" si="7"/>
        <v>0</v>
      </c>
      <c r="AA23">
        <f t="shared" si="8"/>
        <v>0.19491617910844053</v>
      </c>
      <c r="AB23">
        <f t="shared" si="9"/>
        <v>11.429455006461074</v>
      </c>
      <c r="AC23">
        <f t="shared" si="10"/>
        <v>22.46140378938604</v>
      </c>
      <c r="AD23">
        <f t="shared" si="11"/>
        <v>7.0047042633930907</v>
      </c>
      <c r="AE23" s="54">
        <f t="shared" si="12"/>
        <v>1.5347730638459884</v>
      </c>
      <c r="AF23" s="46">
        <f t="shared" si="13"/>
        <v>1.1786573559925967E-2</v>
      </c>
      <c r="AG23" s="62">
        <f t="shared" si="3"/>
        <v>1.1822631418540864E-2</v>
      </c>
      <c r="AH23">
        <f t="shared" si="14"/>
        <v>0</v>
      </c>
      <c r="AI23">
        <f>O23*$F23</f>
        <v>0.19551247284828907</v>
      </c>
      <c r="AJ23">
        <f t="shared" si="16"/>
        <v>11.46442035670243</v>
      </c>
      <c r="AK23">
        <f t="shared" si="17"/>
        <v>22.530118426257562</v>
      </c>
      <c r="AL23">
        <f t="shared" si="18"/>
        <v>7.0261332762172541</v>
      </c>
      <c r="AM23" s="54">
        <f t="shared" si="19"/>
        <v>1.5394682901440087</v>
      </c>
    </row>
    <row r="24" spans="1:39" x14ac:dyDescent="0.25">
      <c r="A24" s="1" t="s">
        <v>44</v>
      </c>
      <c r="D24" s="1">
        <v>60</v>
      </c>
      <c r="E24" s="112">
        <v>2.7576669957168901E-2</v>
      </c>
      <c r="F24" s="112">
        <v>1.6051830975608701E-2</v>
      </c>
      <c r="G24" s="112">
        <v>1.57962386496018E-2</v>
      </c>
      <c r="H24" s="66">
        <v>0</v>
      </c>
      <c r="I24" s="66">
        <v>2</v>
      </c>
      <c r="J24" s="66">
        <v>239</v>
      </c>
      <c r="K24" s="66">
        <v>3306</v>
      </c>
      <c r="L24" s="66">
        <v>13746</v>
      </c>
      <c r="M24" s="66">
        <v>8774</v>
      </c>
      <c r="N24" s="10">
        <f>H24/$D24</f>
        <v>0</v>
      </c>
      <c r="O24" s="10">
        <f t="shared" si="5"/>
        <v>3.3333333333333333E-2</v>
      </c>
      <c r="P24" s="10">
        <f t="shared" si="5"/>
        <v>3.9833333333333334</v>
      </c>
      <c r="Q24" s="10">
        <f t="shared" si="5"/>
        <v>55.1</v>
      </c>
      <c r="R24" s="10">
        <f t="shared" si="5"/>
        <v>229.1</v>
      </c>
      <c r="S24" s="10">
        <f>M24/$D24</f>
        <v>146.23333333333332</v>
      </c>
      <c r="T24" s="10">
        <f t="shared" ref="T24:Y24" si="20">N24*$E24</f>
        <v>0</v>
      </c>
      <c r="U24" s="10">
        <f t="shared" si="20"/>
        <v>9.1922233190563007E-4</v>
      </c>
      <c r="V24" s="10">
        <f t="shared" si="20"/>
        <v>0.10984706866272279</v>
      </c>
      <c r="W24" s="9">
        <f t="shared" si="20"/>
        <v>1.5194745146400066</v>
      </c>
      <c r="X24" s="9">
        <f t="shared" si="20"/>
        <v>6.3178150871873955</v>
      </c>
      <c r="Y24" s="10">
        <f t="shared" si="20"/>
        <v>4.0326283700699985</v>
      </c>
      <c r="Z24">
        <f t="shared" ref="Z24" si="21">N24*$G24</f>
        <v>0</v>
      </c>
      <c r="AA24">
        <f t="shared" ref="AA24" si="22">O24*$G24</f>
        <v>5.2654128832006005E-4</v>
      </c>
      <c r="AB24">
        <f t="shared" ref="AB24" si="23">P24*$G24</f>
        <v>6.2921683954247173E-2</v>
      </c>
      <c r="AC24">
        <f t="shared" ref="AC24" si="24">Q24*$G24</f>
        <v>0.87037274959305921</v>
      </c>
      <c r="AD24">
        <f t="shared" ref="AD24" si="25">R24*$G24</f>
        <v>3.6189182746237725</v>
      </c>
      <c r="AE24">
        <f>S24*$G24</f>
        <v>2.3099366318601029</v>
      </c>
      <c r="AF24" s="58">
        <f t="shared" si="13"/>
        <v>4.3560765980474423E-4</v>
      </c>
      <c r="AG24" s="58">
        <f>E24*F24</f>
        <v>4.4265604502262163E-4</v>
      </c>
      <c r="AH24">
        <f t="shared" ref="AH24:AM24" si="26">T24*$F24</f>
        <v>0</v>
      </c>
      <c r="AI24">
        <f t="shared" si="26"/>
        <v>1.4755201500754056E-5</v>
      </c>
      <c r="AJ24">
        <f t="shared" si="26"/>
        <v>1.7632465793401095E-3</v>
      </c>
      <c r="AK24">
        <f t="shared" si="26"/>
        <v>2.4390348080746454E-2</v>
      </c>
      <c r="AL24">
        <f t="shared" si="26"/>
        <v>0.10141249991468262</v>
      </c>
      <c r="AM24" s="54">
        <f t="shared" si="26"/>
        <v>6.4731068983808024E-2</v>
      </c>
    </row>
    <row r="25" spans="1:39" x14ac:dyDescent="0.25">
      <c r="A25" s="1" t="s">
        <v>71</v>
      </c>
      <c r="D25" s="1">
        <v>60</v>
      </c>
      <c r="E25" s="112">
        <v>3.9279704565803299E-2</v>
      </c>
      <c r="F25" s="112">
        <v>2.57503691198461E-2</v>
      </c>
      <c r="G25" s="112">
        <v>2.5525636117230299E-2</v>
      </c>
      <c r="H25" s="66">
        <v>0</v>
      </c>
      <c r="I25" s="66">
        <v>7</v>
      </c>
      <c r="J25" s="66">
        <v>570</v>
      </c>
      <c r="K25" s="66">
        <v>21833</v>
      </c>
      <c r="L25" s="66">
        <v>28443</v>
      </c>
      <c r="M25" s="66">
        <v>7895</v>
      </c>
      <c r="N25" s="18">
        <f>H25/$D25</f>
        <v>0</v>
      </c>
      <c r="O25" s="18">
        <f t="shared" ref="O25" si="27">I25/$D25</f>
        <v>0.11666666666666667</v>
      </c>
      <c r="P25" s="18">
        <f t="shared" ref="P25" si="28">J25/$D25</f>
        <v>9.5</v>
      </c>
      <c r="Q25" s="18">
        <f t="shared" ref="Q25" si="29">K25/$D25</f>
        <v>363.88333333333333</v>
      </c>
      <c r="R25" s="18">
        <f t="shared" ref="R25" si="30">L25/$D25</f>
        <v>474.05</v>
      </c>
      <c r="S25" s="18">
        <f>M25/$D25</f>
        <v>131.58333333333334</v>
      </c>
      <c r="T25" s="18">
        <f t="shared" ref="T25:V26" si="31">N25*$E25</f>
        <v>0</v>
      </c>
      <c r="U25" s="18">
        <f t="shared" si="31"/>
        <v>4.5826321993437183E-3</v>
      </c>
      <c r="V25" s="18">
        <f t="shared" si="31"/>
        <v>0.37315719337513131</v>
      </c>
      <c r="W25" s="79"/>
      <c r="X25" s="79">
        <f>R25*$E25</f>
        <v>18.620543949419055</v>
      </c>
      <c r="Y25" s="18">
        <f>S25*$E25</f>
        <v>5.168554459116951</v>
      </c>
      <c r="Z25" s="80">
        <f t="shared" ref="Z25" si="32">N25*$G25</f>
        <v>0</v>
      </c>
      <c r="AA25" s="80">
        <f t="shared" ref="AA25" si="33">O25*$G25</f>
        <v>2.9779908803435349E-3</v>
      </c>
      <c r="AB25" s="80">
        <f t="shared" ref="AB25" si="34">P25*$G25</f>
        <v>0.24249354311368784</v>
      </c>
      <c r="AC25" s="80">
        <f t="shared" ref="AC25" si="35">Q25*$G25</f>
        <v>9.2883535557914847</v>
      </c>
      <c r="AD25" s="80">
        <f t="shared" ref="AD25" si="36">R25*$G25</f>
        <v>12.100427801373023</v>
      </c>
      <c r="AE25" s="80">
        <f>S25*$G25</f>
        <v>3.3587482857588871</v>
      </c>
      <c r="AF25" s="81">
        <f t="shared" ref="AF25" si="37">E25*G25</f>
        <v>1.0026394455390046E-3</v>
      </c>
      <c r="AG25" s="81">
        <f>E25*F25</f>
        <v>1.0114668914879392E-3</v>
      </c>
      <c r="AH25" s="80">
        <f t="shared" ref="AH25:AM26" si="38">T25*$F25</f>
        <v>0</v>
      </c>
      <c r="AI25" s="80">
        <f t="shared" si="38"/>
        <v>1.180044706735929E-4</v>
      </c>
      <c r="AJ25" s="80">
        <f t="shared" si="38"/>
        <v>9.6089354691354205E-3</v>
      </c>
      <c r="AK25" s="80">
        <f t="shared" si="38"/>
        <v>0</v>
      </c>
      <c r="AL25" s="80">
        <f t="shared" si="38"/>
        <v>0.47948587990985758</v>
      </c>
      <c r="AM25" s="82">
        <f t="shared" si="38"/>
        <v>0.13309218513828799</v>
      </c>
    </row>
    <row r="26" spans="1:39" x14ac:dyDescent="0.25">
      <c r="A26" s="1" t="s">
        <v>97</v>
      </c>
      <c r="D26" s="1">
        <v>60</v>
      </c>
      <c r="E26" s="1">
        <v>1.8111308452651399E-2</v>
      </c>
      <c r="F26" s="1">
        <v>4.2458617585666601E-3</v>
      </c>
      <c r="G26" s="1">
        <v>4.0014597242638899E-3</v>
      </c>
      <c r="H26" s="1">
        <v>1</v>
      </c>
      <c r="I26" s="1">
        <v>5</v>
      </c>
      <c r="J26" s="1">
        <v>18</v>
      </c>
      <c r="K26" s="1">
        <v>48</v>
      </c>
      <c r="L26" s="1">
        <v>9829</v>
      </c>
      <c r="M26" s="1">
        <v>37450</v>
      </c>
      <c r="N26" s="10">
        <f>H26/$D26</f>
        <v>1.6666666666666666E-2</v>
      </c>
      <c r="O26" s="10">
        <f t="shared" ref="O26" si="39">I26/$D26</f>
        <v>8.3333333333333329E-2</v>
      </c>
      <c r="P26" s="10">
        <f t="shared" ref="P26" si="40">J26/$D26</f>
        <v>0.3</v>
      </c>
      <c r="Q26" s="10">
        <f t="shared" ref="Q26" si="41">K26/$D26</f>
        <v>0.8</v>
      </c>
      <c r="R26" s="10">
        <f t="shared" ref="R26" si="42">L26/$D26</f>
        <v>163.81666666666666</v>
      </c>
      <c r="S26" s="10">
        <f>M26/$D26</f>
        <v>624.16666666666663</v>
      </c>
      <c r="T26" s="10">
        <f>N26*$E26</f>
        <v>3.0185514087752331E-4</v>
      </c>
      <c r="U26" s="10">
        <f t="shared" si="31"/>
        <v>1.5092757043876164E-3</v>
      </c>
      <c r="V26" s="10">
        <f t="shared" si="31"/>
        <v>5.4333925357954197E-3</v>
      </c>
      <c r="W26" s="9"/>
      <c r="X26" s="9">
        <f>R26*$E26</f>
        <v>2.9669341796851767</v>
      </c>
      <c r="Y26" s="10">
        <f>S26*$E26</f>
        <v>11.304475025863248</v>
      </c>
      <c r="Z26">
        <f t="shared" ref="Z26" si="43">N26*$G26</f>
        <v>6.6690995404398163E-5</v>
      </c>
      <c r="AA26">
        <f t="shared" ref="AA26" si="44">O26*$G26</f>
        <v>3.3345497702199083E-4</v>
      </c>
      <c r="AB26">
        <f t="shared" ref="AB26" si="45">P26*$G26</f>
        <v>1.2004379172791668E-3</v>
      </c>
      <c r="AC26">
        <f t="shared" ref="AC26" si="46">Q26*$G26</f>
        <v>3.201167779411112E-3</v>
      </c>
      <c r="AD26">
        <f t="shared" ref="AD26" si="47">R26*$G26</f>
        <v>0.65550579382982954</v>
      </c>
      <c r="AE26">
        <f>S26*$G26</f>
        <v>2.497577777894711</v>
      </c>
      <c r="AF26" s="58">
        <f t="shared" ref="AF26" si="48">E26*G26</f>
        <v>7.247167132700472E-5</v>
      </c>
      <c r="AG26" s="58">
        <f>E26*F26</f>
        <v>7.6898111956717681E-5</v>
      </c>
      <c r="AH26">
        <f t="shared" si="38"/>
        <v>1.2816351992786281E-6</v>
      </c>
      <c r="AI26">
        <f t="shared" si="38"/>
        <v>6.4081759963931398E-6</v>
      </c>
      <c r="AJ26">
        <f t="shared" si="38"/>
        <v>2.3069433587015306E-5</v>
      </c>
      <c r="AK26">
        <f t="shared" si="38"/>
        <v>0</v>
      </c>
      <c r="AL26">
        <f t="shared" si="38"/>
        <v>1.2597192373709636E-2</v>
      </c>
      <c r="AM26" s="54">
        <f t="shared" si="38"/>
        <v>4.7997238212984621E-2</v>
      </c>
    </row>
    <row r="27" spans="1:39" x14ac:dyDescent="0.25">
      <c r="D27" s="140" t="s">
        <v>64</v>
      </c>
      <c r="E27" s="140"/>
      <c r="F27" s="140"/>
      <c r="G27" s="140" t="s">
        <v>65</v>
      </c>
      <c r="H27" s="140"/>
      <c r="I27" s="140"/>
      <c r="J27" s="140" t="s">
        <v>66</v>
      </c>
      <c r="K27" s="140"/>
      <c r="L27" s="140"/>
    </row>
    <row r="28" spans="1:39" x14ac:dyDescent="0.25">
      <c r="A28" s="31" t="s">
        <v>0</v>
      </c>
      <c r="B28" s="50" t="s">
        <v>46</v>
      </c>
      <c r="C28" s="1" t="s">
        <v>26</v>
      </c>
      <c r="D28" s="1" t="s">
        <v>41</v>
      </c>
      <c r="E28" s="1" t="s">
        <v>40</v>
      </c>
      <c r="F28" s="1" t="s">
        <v>39</v>
      </c>
      <c r="G28" s="1" t="s">
        <v>41</v>
      </c>
      <c r="H28" s="1" t="s">
        <v>40</v>
      </c>
      <c r="I28" s="1" t="s">
        <v>39</v>
      </c>
      <c r="J28" s="1" t="s">
        <v>41</v>
      </c>
      <c r="K28" s="1" t="s">
        <v>40</v>
      </c>
      <c r="L28" s="1" t="s">
        <v>39</v>
      </c>
      <c r="M28" s="1" t="s">
        <v>68</v>
      </c>
      <c r="N28" s="1" t="s">
        <v>67</v>
      </c>
    </row>
    <row r="29" spans="1:39" x14ac:dyDescent="0.25">
      <c r="A29" s="34">
        <v>8</v>
      </c>
      <c r="B29" s="66">
        <v>128</v>
      </c>
      <c r="C29" s="10">
        <f t="shared" ref="C29:C50" si="49">427.15*E3^0.6026</f>
        <v>142.60831146005137</v>
      </c>
      <c r="D29" s="9">
        <f t="shared" ref="D29:D51" si="50">74.161*W3^0.3464</f>
        <v>116.95068108498626</v>
      </c>
      <c r="E29" s="9">
        <f t="shared" ref="E29:E52" si="51">37.88*X3^0.5273</f>
        <v>115.20235701400605</v>
      </c>
      <c r="F29" s="9">
        <f t="shared" ref="F29:F52" si="52">16.986*Y3^0.6867</f>
        <v>151.38755107192091</v>
      </c>
      <c r="G29" s="10">
        <f t="shared" ref="G29:G50" si="53">108.36*AC3^0.294</f>
        <v>65.384578047646713</v>
      </c>
      <c r="H29" s="10">
        <f t="shared" ref="H29:H50" si="54">69.293*AD3^0.3185</f>
        <v>51.628818352445393</v>
      </c>
      <c r="I29" s="10">
        <f t="shared" ref="I29:I50" si="55">50.026*AE3^0.3351</f>
        <v>52.643434084458356</v>
      </c>
      <c r="J29" s="10">
        <f t="shared" ref="J29:J50" si="56">102.1*AK3^0.3275</f>
        <v>92.842677817177901</v>
      </c>
      <c r="K29" s="10">
        <f t="shared" ref="K29:K50" si="57">63.901*AL3^0.4721</f>
        <v>81.072571300785981</v>
      </c>
      <c r="L29" s="10">
        <f t="shared" ref="L29:L50" si="58">34.771*AM3^0.6713</f>
        <v>100.44423476914439</v>
      </c>
      <c r="M29" s="10">
        <f t="shared" ref="M29:M50" si="59">1005.7*AG3^0.3646</f>
        <v>148.51264954109695</v>
      </c>
      <c r="N29" s="10">
        <f t="shared" ref="N29:N50" si="60">1653.8*AF3^0.4053</f>
        <v>110.58117716759436</v>
      </c>
    </row>
    <row r="30" spans="1:39" x14ac:dyDescent="0.25">
      <c r="A30" s="34">
        <v>168</v>
      </c>
      <c r="B30" s="66">
        <v>128</v>
      </c>
      <c r="C30" s="10">
        <f t="shared" si="49"/>
        <v>99.702281630840119</v>
      </c>
      <c r="D30" s="9">
        <f t="shared" si="50"/>
        <v>98.667109532910658</v>
      </c>
      <c r="E30" s="9">
        <f t="shared" si="51"/>
        <v>82.464193841089326</v>
      </c>
      <c r="F30" s="9">
        <f t="shared" si="52"/>
        <v>94.005035092273431</v>
      </c>
      <c r="G30" s="10">
        <f t="shared" si="53"/>
        <v>71.795875306103753</v>
      </c>
      <c r="H30" s="10">
        <f t="shared" si="54"/>
        <v>54.586371705837585</v>
      </c>
      <c r="I30" s="10">
        <f t="shared" si="55"/>
        <v>54.712432439892552</v>
      </c>
      <c r="J30" s="10">
        <f t="shared" si="56"/>
        <v>83.292592946891432</v>
      </c>
      <c r="K30" s="10">
        <f t="shared" si="57"/>
        <v>64.795355664056643</v>
      </c>
      <c r="L30" s="10">
        <f t="shared" si="58"/>
        <v>70.157847245573649</v>
      </c>
      <c r="M30" s="10">
        <f t="shared" si="59"/>
        <v>102.06933912439833</v>
      </c>
      <c r="N30" s="10">
        <f t="shared" si="60"/>
        <v>94.836512436415049</v>
      </c>
    </row>
    <row r="31" spans="1:39" x14ac:dyDescent="0.25">
      <c r="A31" s="34">
        <v>22</v>
      </c>
      <c r="B31" s="66">
        <v>90</v>
      </c>
      <c r="C31" s="10">
        <f t="shared" si="49"/>
        <v>80.494299517891292</v>
      </c>
      <c r="D31" s="9">
        <f t="shared" si="50"/>
        <v>81.839656470222096</v>
      </c>
      <c r="E31" s="9">
        <f t="shared" si="51"/>
        <v>80.096224013454005</v>
      </c>
      <c r="F31" s="9">
        <f t="shared" si="52"/>
        <v>82.058911589663026</v>
      </c>
      <c r="G31" s="10">
        <f t="shared" si="53"/>
        <v>57.107285520757799</v>
      </c>
      <c r="H31" s="10">
        <f t="shared" si="54"/>
        <v>49.706959685477116</v>
      </c>
      <c r="I31" s="10">
        <f t="shared" si="55"/>
        <v>47.264726179696602</v>
      </c>
      <c r="J31" s="10">
        <f t="shared" si="56"/>
        <v>74.954810960620108</v>
      </c>
      <c r="K31" s="10">
        <f t="shared" si="57"/>
        <v>69.961722164412535</v>
      </c>
      <c r="L31" s="10">
        <f t="shared" si="58"/>
        <v>71.098076504051448</v>
      </c>
      <c r="M31" s="10">
        <f t="shared" si="59"/>
        <v>85.292131472281028</v>
      </c>
      <c r="N31" s="10">
        <f t="shared" si="60"/>
        <v>64.555212382437986</v>
      </c>
    </row>
    <row r="32" spans="1:39" x14ac:dyDescent="0.25">
      <c r="A32" s="34">
        <v>152</v>
      </c>
      <c r="B32" s="66">
        <v>90</v>
      </c>
      <c r="C32" s="10">
        <f t="shared" si="49"/>
        <v>108.52826698393112</v>
      </c>
      <c r="D32" s="9">
        <f t="shared" si="50"/>
        <v>100.40951956926615</v>
      </c>
      <c r="E32" s="9">
        <f t="shared" si="51"/>
        <v>107.31183736382886</v>
      </c>
      <c r="F32" s="9">
        <f t="shared" si="52"/>
        <v>118.23889856838431</v>
      </c>
      <c r="G32" s="10">
        <f t="shared" si="53"/>
        <v>67.228863069123221</v>
      </c>
      <c r="H32" s="10">
        <f t="shared" si="54"/>
        <v>58.649038570468207</v>
      </c>
      <c r="I32" s="10">
        <f t="shared" si="55"/>
        <v>55.822006645722404</v>
      </c>
      <c r="J32" s="10">
        <f t="shared" si="56"/>
        <v>84.252068948159007</v>
      </c>
      <c r="K32" s="10">
        <f t="shared" si="57"/>
        <v>81.425656805169879</v>
      </c>
      <c r="L32" s="10">
        <f t="shared" si="58"/>
        <v>86.878941050514186</v>
      </c>
      <c r="M32" s="10">
        <f t="shared" si="59"/>
        <v>112.46258633271916</v>
      </c>
      <c r="N32" s="10">
        <f t="shared" si="60"/>
        <v>95.122649124916435</v>
      </c>
    </row>
    <row r="33" spans="1:33" x14ac:dyDescent="0.25">
      <c r="A33" s="34">
        <v>101</v>
      </c>
      <c r="B33" s="66">
        <v>64</v>
      </c>
      <c r="C33" s="10">
        <f t="shared" si="49"/>
        <v>51.711320397363707</v>
      </c>
      <c r="D33" s="9">
        <f t="shared" si="50"/>
        <v>64.278148375633563</v>
      </c>
      <c r="E33" s="9">
        <f t="shared" si="51"/>
        <v>64.292992001684325</v>
      </c>
      <c r="F33" s="9">
        <f t="shared" si="52"/>
        <v>52.825760217034208</v>
      </c>
      <c r="G33" s="10">
        <f t="shared" si="53"/>
        <v>67.790158190567425</v>
      </c>
      <c r="H33" s="10">
        <f t="shared" si="54"/>
        <v>65.448134471991892</v>
      </c>
      <c r="I33" s="10">
        <f t="shared" si="55"/>
        <v>58.554474525039957</v>
      </c>
      <c r="J33" s="10">
        <f t="shared" si="56"/>
        <v>71.06874423077123</v>
      </c>
      <c r="K33" s="10">
        <f t="shared" si="57"/>
        <v>73.967491919762509</v>
      </c>
      <c r="L33" s="10">
        <f t="shared" si="58"/>
        <v>66.185835174744469</v>
      </c>
      <c r="M33" s="10">
        <f t="shared" si="59"/>
        <v>60.677327684459591</v>
      </c>
      <c r="N33" s="10">
        <f t="shared" si="60"/>
        <v>59.81684128500595</v>
      </c>
    </row>
    <row r="34" spans="1:33" x14ac:dyDescent="0.25">
      <c r="A34" s="34">
        <v>24</v>
      </c>
      <c r="B34" s="66">
        <v>64</v>
      </c>
      <c r="C34" s="10">
        <f t="shared" si="49"/>
        <v>110.07828843908854</v>
      </c>
      <c r="D34" s="9">
        <f t="shared" si="50"/>
        <v>84.645419959614827</v>
      </c>
      <c r="E34" s="9">
        <f t="shared" si="51"/>
        <v>98.930237776466655</v>
      </c>
      <c r="F34" s="9">
        <f t="shared" si="52"/>
        <v>124.70779520648537</v>
      </c>
      <c r="G34" s="10">
        <f t="shared" si="53"/>
        <v>52.229548635315865</v>
      </c>
      <c r="H34" s="10">
        <f t="shared" si="54"/>
        <v>49.69916480382139</v>
      </c>
      <c r="I34" s="10">
        <f t="shared" si="55"/>
        <v>50.684987955350557</v>
      </c>
      <c r="J34" s="10">
        <f t="shared" si="56"/>
        <v>62.949579087623313</v>
      </c>
      <c r="K34" s="10">
        <f t="shared" si="57"/>
        <v>62.769226707154601</v>
      </c>
      <c r="L34" s="10">
        <f t="shared" si="58"/>
        <v>70.11199502976369</v>
      </c>
      <c r="M34" s="10">
        <f t="shared" si="59"/>
        <v>98.992268531121866</v>
      </c>
      <c r="N34" s="10">
        <f t="shared" si="60"/>
        <v>83.599915485968992</v>
      </c>
    </row>
    <row r="35" spans="1:33" x14ac:dyDescent="0.25">
      <c r="A35" s="34">
        <v>159</v>
      </c>
      <c r="B35" s="66">
        <v>45</v>
      </c>
      <c r="C35" s="10">
        <f t="shared" si="49"/>
        <v>28.138895212995983</v>
      </c>
      <c r="D35" s="9">
        <f t="shared" si="50"/>
        <v>26.736932705849615</v>
      </c>
      <c r="E35" s="9">
        <f t="shared" si="51"/>
        <v>28.10042237838346</v>
      </c>
      <c r="F35" s="9">
        <f t="shared" si="52"/>
        <v>27.901091442354769</v>
      </c>
      <c r="G35" s="10">
        <f t="shared" si="53"/>
        <v>35.266075271003764</v>
      </c>
      <c r="H35" s="10">
        <f t="shared" si="54"/>
        <v>43.811709923510548</v>
      </c>
      <c r="I35" s="10">
        <f t="shared" si="55"/>
        <v>47.568351400075024</v>
      </c>
      <c r="J35" s="10">
        <f t="shared" si="56"/>
        <v>30.079911506948299</v>
      </c>
      <c r="K35" s="10">
        <f t="shared" si="57"/>
        <v>33.739575287705421</v>
      </c>
      <c r="L35" s="10">
        <f t="shared" si="58"/>
        <v>33.314079141418567</v>
      </c>
      <c r="M35" s="10">
        <f t="shared" si="59"/>
        <v>28.086060484113897</v>
      </c>
      <c r="N35" s="10">
        <f t="shared" si="60"/>
        <v>29.908779346397502</v>
      </c>
    </row>
    <row r="36" spans="1:33" x14ac:dyDescent="0.25">
      <c r="A36" s="34">
        <v>35</v>
      </c>
      <c r="B36" s="66">
        <v>45</v>
      </c>
      <c r="C36" s="10">
        <f t="shared" si="49"/>
        <v>43.154717980702401</v>
      </c>
      <c r="D36" s="9">
        <f t="shared" si="50"/>
        <v>53.16003696048103</v>
      </c>
      <c r="E36" s="9">
        <f t="shared" si="51"/>
        <v>47.762566472643172</v>
      </c>
      <c r="F36" s="9">
        <f t="shared" si="52"/>
        <v>45.725264313361798</v>
      </c>
      <c r="G36" s="10">
        <f t="shared" si="53"/>
        <v>56.481737181745252</v>
      </c>
      <c r="H36" s="10">
        <f t="shared" si="54"/>
        <v>53.444660669019079</v>
      </c>
      <c r="I36" s="10">
        <f t="shared" si="55"/>
        <v>53.261989913258184</v>
      </c>
      <c r="J36" s="10">
        <f t="shared" si="56"/>
        <v>56.269015182775313</v>
      </c>
      <c r="K36" s="10">
        <f t="shared" si="57"/>
        <v>52.444532611877179</v>
      </c>
      <c r="L36" s="10">
        <f t="shared" si="58"/>
        <v>51.457953253671036</v>
      </c>
      <c r="M36" s="10">
        <f t="shared" si="59"/>
        <v>45.907042188380011</v>
      </c>
      <c r="N36" s="10">
        <f t="shared" si="60"/>
        <v>45.539576890893976</v>
      </c>
    </row>
    <row r="37" spans="1:33" x14ac:dyDescent="0.25">
      <c r="A37" s="34">
        <v>61</v>
      </c>
      <c r="B37" s="66">
        <v>32</v>
      </c>
      <c r="C37" s="10">
        <f t="shared" si="49"/>
        <v>45.758265516180927</v>
      </c>
      <c r="D37" s="9">
        <f t="shared" si="50"/>
        <v>46.625545153582543</v>
      </c>
      <c r="E37" s="9">
        <f t="shared" si="51"/>
        <v>46.738237285038721</v>
      </c>
      <c r="F37" s="9">
        <f t="shared" si="52"/>
        <v>50.693872679641075</v>
      </c>
      <c r="G37" s="10">
        <f t="shared" si="53"/>
        <v>43.736421375108904</v>
      </c>
      <c r="H37" s="10">
        <f t="shared" si="54"/>
        <v>45.109768952226155</v>
      </c>
      <c r="I37" s="10">
        <f t="shared" si="55"/>
        <v>47.5106298842461</v>
      </c>
      <c r="J37" s="10">
        <f t="shared" si="56"/>
        <v>46.106882454418574</v>
      </c>
      <c r="K37" s="10">
        <f t="shared" si="57"/>
        <v>46.153491480304773</v>
      </c>
      <c r="L37" s="10">
        <f t="shared" si="58"/>
        <v>48.788996478358897</v>
      </c>
      <c r="M37" s="10">
        <f t="shared" si="59"/>
        <v>45.322803330337265</v>
      </c>
      <c r="N37" s="10">
        <f t="shared" si="60"/>
        <v>40.378282611221621</v>
      </c>
    </row>
    <row r="38" spans="1:33" x14ac:dyDescent="0.25">
      <c r="A38" s="34">
        <v>52</v>
      </c>
      <c r="B38" s="66">
        <v>32</v>
      </c>
      <c r="C38" s="10">
        <f t="shared" si="49"/>
        <v>35.608707540523334</v>
      </c>
      <c r="D38" s="9">
        <f t="shared" si="50"/>
        <v>45.215301267981694</v>
      </c>
      <c r="E38" s="9">
        <f t="shared" si="51"/>
        <v>43.135793875140585</v>
      </c>
      <c r="F38" s="9">
        <f t="shared" si="52"/>
        <v>37.809091337666921</v>
      </c>
      <c r="G38" s="10">
        <f t="shared" si="53"/>
        <v>56.805792312904344</v>
      </c>
      <c r="H38" s="10">
        <f t="shared" si="54"/>
        <v>58.682124784073622</v>
      </c>
      <c r="I38" s="10">
        <f t="shared" si="55"/>
        <v>57.143620920571067</v>
      </c>
      <c r="J38" s="10">
        <f t="shared" si="56"/>
        <v>52.340891171179685</v>
      </c>
      <c r="K38" s="10">
        <f t="shared" si="57"/>
        <v>53.775932795362614</v>
      </c>
      <c r="L38" s="10">
        <f t="shared" si="58"/>
        <v>50.415003086487374</v>
      </c>
      <c r="M38" s="10">
        <f t="shared" si="59"/>
        <v>39.799314160287572</v>
      </c>
      <c r="N38" s="10">
        <f t="shared" si="60"/>
        <v>42.833464874460979</v>
      </c>
    </row>
    <row r="39" spans="1:33" x14ac:dyDescent="0.25">
      <c r="A39" s="34">
        <v>53</v>
      </c>
      <c r="B39" s="66">
        <v>22.6</v>
      </c>
      <c r="C39" s="10">
        <f t="shared" si="49"/>
        <v>18.385700320150519</v>
      </c>
      <c r="D39" s="9">
        <f t="shared" si="50"/>
        <v>15.458241908347745</v>
      </c>
      <c r="E39" s="9">
        <f t="shared" si="51"/>
        <v>16.910762054923712</v>
      </c>
      <c r="F39" s="9">
        <f t="shared" si="52"/>
        <v>17.937037785470327</v>
      </c>
      <c r="G39" s="10">
        <f t="shared" si="53"/>
        <v>25.250107129129805</v>
      </c>
      <c r="H39" s="10">
        <f t="shared" si="54"/>
        <v>37.151370987424627</v>
      </c>
      <c r="I39" s="10">
        <f t="shared" si="55"/>
        <v>44.514321903194059</v>
      </c>
      <c r="J39" s="10">
        <f t="shared" si="56"/>
        <v>20.606898398021112</v>
      </c>
      <c r="K39" s="10">
        <f t="shared" si="57"/>
        <v>26.193008149886403</v>
      </c>
      <c r="L39" s="10">
        <f t="shared" si="58"/>
        <v>28.806524264497664</v>
      </c>
      <c r="M39" s="10">
        <f t="shared" si="59"/>
        <v>19.607181438968368</v>
      </c>
      <c r="N39" s="10">
        <f t="shared" si="60"/>
        <v>20.209898403573217</v>
      </c>
    </row>
    <row r="40" spans="1:33" x14ac:dyDescent="0.25">
      <c r="A40" s="34">
        <v>45</v>
      </c>
      <c r="B40" s="66">
        <v>22.6</v>
      </c>
      <c r="C40" s="10">
        <f t="shared" si="49"/>
        <v>21.41250921689856</v>
      </c>
      <c r="D40" s="9">
        <f t="shared" si="50"/>
        <v>23.336350030250173</v>
      </c>
      <c r="E40" s="9">
        <f t="shared" si="51"/>
        <v>21.579159215396679</v>
      </c>
      <c r="F40" s="9">
        <f t="shared" si="52"/>
        <v>20.816449369009678</v>
      </c>
      <c r="G40" s="10">
        <f t="shared" si="53"/>
        <v>35.860619902777074</v>
      </c>
      <c r="H40" s="10">
        <f t="shared" si="54"/>
        <v>43.103065572380601</v>
      </c>
      <c r="I40" s="10">
        <f t="shared" si="55"/>
        <v>47.936496620170558</v>
      </c>
      <c r="J40" s="10">
        <f t="shared" si="56"/>
        <v>30.150375188185901</v>
      </c>
      <c r="K40" s="10">
        <f t="shared" si="57"/>
        <v>32.169770578692088</v>
      </c>
      <c r="L40" s="10">
        <f t="shared" si="58"/>
        <v>32.721980499652865</v>
      </c>
      <c r="M40" s="10">
        <f t="shared" si="59"/>
        <v>23.347499534220773</v>
      </c>
      <c r="N40" s="10">
        <f t="shared" si="60"/>
        <v>24.850877167472145</v>
      </c>
    </row>
    <row r="41" spans="1:33" x14ac:dyDescent="0.25">
      <c r="A41" s="7">
        <v>1.3</v>
      </c>
      <c r="B41" s="66">
        <v>32</v>
      </c>
      <c r="C41" s="10">
        <f t="shared" si="49"/>
        <v>44.21810982361545</v>
      </c>
      <c r="D41" s="9">
        <f t="shared" si="50"/>
        <v>52.950371279609229</v>
      </c>
      <c r="E41" s="9">
        <f t="shared" si="51"/>
        <v>52.065455706577225</v>
      </c>
      <c r="F41" s="9">
        <f t="shared" si="52"/>
        <v>44.439476416146661</v>
      </c>
      <c r="G41" s="10">
        <f t="shared" si="53"/>
        <v>55.070994541852556</v>
      </c>
      <c r="H41" s="10">
        <f t="shared" si="54"/>
        <v>54.980619547343714</v>
      </c>
      <c r="I41" s="10">
        <f t="shared" si="55"/>
        <v>51.228547124253282</v>
      </c>
      <c r="J41" s="10">
        <f t="shared" si="56"/>
        <v>54.735478167433257</v>
      </c>
      <c r="K41" s="10">
        <f t="shared" si="57"/>
        <v>54.736965281607354</v>
      </c>
      <c r="L41" s="10">
        <f t="shared" si="58"/>
        <v>47.65088313560797</v>
      </c>
      <c r="M41" s="10">
        <f t="shared" si="59"/>
        <v>46.038254907884948</v>
      </c>
      <c r="N41" s="10">
        <f t="shared" si="60"/>
        <v>45.653523329179976</v>
      </c>
    </row>
    <row r="42" spans="1:33" x14ac:dyDescent="0.25">
      <c r="A42" s="7">
        <v>2.1</v>
      </c>
      <c r="B42" s="66">
        <v>45</v>
      </c>
      <c r="C42" s="10">
        <f t="shared" si="49"/>
        <v>56.991450556743601</v>
      </c>
      <c r="D42" s="9">
        <f t="shared" si="50"/>
        <v>52.083412584564385</v>
      </c>
      <c r="E42" s="9">
        <f t="shared" si="51"/>
        <v>56.677837419095475</v>
      </c>
      <c r="F42" s="9">
        <f t="shared" si="52"/>
        <v>58.476691429138036</v>
      </c>
      <c r="G42" s="10">
        <f t="shared" si="53"/>
        <v>42.327678645468538</v>
      </c>
      <c r="H42" s="10">
        <f t="shared" si="54"/>
        <v>44.18193950713075</v>
      </c>
      <c r="I42" s="10">
        <f t="shared" si="55"/>
        <v>44.090548863460931</v>
      </c>
      <c r="J42" s="10">
        <f t="shared" si="56"/>
        <v>44.660696204200569</v>
      </c>
      <c r="K42" s="10">
        <f t="shared" si="57"/>
        <v>45.05127682505821</v>
      </c>
      <c r="L42" s="10">
        <f t="shared" si="58"/>
        <v>42.405450139647805</v>
      </c>
      <c r="M42" s="10">
        <f t="shared" si="59"/>
        <v>50.778205890389032</v>
      </c>
      <c r="N42" s="10">
        <f t="shared" si="60"/>
        <v>45.55594040850918</v>
      </c>
    </row>
    <row r="43" spans="1:33" x14ac:dyDescent="0.25">
      <c r="A43" s="7">
        <v>2.2999999999999998</v>
      </c>
      <c r="B43" s="66">
        <v>45</v>
      </c>
      <c r="C43" s="10">
        <f t="shared" si="49"/>
        <v>39.729031757563774</v>
      </c>
      <c r="D43" s="9">
        <f t="shared" si="50"/>
        <v>48.039697797790794</v>
      </c>
      <c r="E43" s="9">
        <f t="shared" si="51"/>
        <v>44.539875444295852</v>
      </c>
      <c r="F43" s="9">
        <f t="shared" si="52"/>
        <v>40.699633570833882</v>
      </c>
      <c r="G43" s="10">
        <f t="shared" si="53"/>
        <v>51.321814032058477</v>
      </c>
      <c r="H43" s="10">
        <f t="shared" si="54"/>
        <v>50.693032441828286</v>
      </c>
      <c r="I43" s="10">
        <f t="shared" si="55"/>
        <v>49.75878646363784</v>
      </c>
      <c r="J43" s="10">
        <f t="shared" si="56"/>
        <v>49.758189863230243</v>
      </c>
      <c r="K43" s="10">
        <f t="shared" si="57"/>
        <v>47.369550102291711</v>
      </c>
      <c r="L43" s="10">
        <f t="shared" si="58"/>
        <v>43.4303454246649</v>
      </c>
      <c r="M43" s="10">
        <f t="shared" si="59"/>
        <v>40.295260239584771</v>
      </c>
      <c r="N43" s="10">
        <f t="shared" si="60"/>
        <v>40.195470850604011</v>
      </c>
      <c r="T43" s="140" t="s">
        <v>64</v>
      </c>
      <c r="U43" s="140"/>
      <c r="V43" s="140"/>
      <c r="W43" s="140" t="s">
        <v>65</v>
      </c>
      <c r="X43" s="140"/>
      <c r="Y43" s="140"/>
      <c r="Z43" s="140" t="s">
        <v>66</v>
      </c>
      <c r="AA43" s="140"/>
      <c r="AB43" s="140"/>
    </row>
    <row r="44" spans="1:33" x14ac:dyDescent="0.25">
      <c r="A44" s="7">
        <v>3.1</v>
      </c>
      <c r="B44" s="66">
        <v>64</v>
      </c>
      <c r="C44" s="10">
        <f t="shared" si="49"/>
        <v>122.90534144639936</v>
      </c>
      <c r="D44" s="9">
        <f t="shared" si="50"/>
        <v>93.859595433595302</v>
      </c>
      <c r="E44" s="9">
        <f t="shared" si="51"/>
        <v>110.89242834341546</v>
      </c>
      <c r="F44" s="9">
        <f t="shared" si="52"/>
        <v>137.04560139288705</v>
      </c>
      <c r="G44" s="10">
        <f t="shared" si="53"/>
        <v>49.641114279051997</v>
      </c>
      <c r="H44" s="10">
        <f t="shared" si="54"/>
        <v>45.826527086844514</v>
      </c>
      <c r="I44" s="10">
        <f t="shared" si="55"/>
        <v>45.321140149968969</v>
      </c>
      <c r="J44" s="10">
        <f t="shared" si="56"/>
        <v>63.758286007908318</v>
      </c>
      <c r="K44" s="10">
        <f t="shared" si="57"/>
        <v>61.512353564056511</v>
      </c>
      <c r="L44" s="10">
        <f t="shared" si="58"/>
        <v>64.601613003966577</v>
      </c>
      <c r="M44" s="10">
        <f t="shared" si="59"/>
        <v>102.91199725897496</v>
      </c>
      <c r="N44" s="10">
        <f t="shared" si="60"/>
        <v>80.105211136678733</v>
      </c>
      <c r="Q44" t="s">
        <v>25</v>
      </c>
      <c r="S44" s="1" t="s">
        <v>26</v>
      </c>
      <c r="T44" s="1" t="s">
        <v>41</v>
      </c>
      <c r="U44" s="1" t="s">
        <v>40</v>
      </c>
      <c r="V44" s="1" t="s">
        <v>39</v>
      </c>
      <c r="W44" s="1" t="s">
        <v>41</v>
      </c>
      <c r="X44" s="1" t="s">
        <v>40</v>
      </c>
      <c r="Y44" s="1" t="s">
        <v>39</v>
      </c>
      <c r="Z44" s="1" t="s">
        <v>41</v>
      </c>
      <c r="AA44" s="1" t="s">
        <v>40</v>
      </c>
      <c r="AB44" s="1" t="s">
        <v>39</v>
      </c>
      <c r="AC44" s="1" t="s">
        <v>68</v>
      </c>
      <c r="AD44" s="1" t="s">
        <v>67</v>
      </c>
    </row>
    <row r="45" spans="1:33" x14ac:dyDescent="0.25">
      <c r="A45" s="7">
        <v>4.2</v>
      </c>
      <c r="B45" s="66">
        <v>90</v>
      </c>
      <c r="C45" s="10">
        <f t="shared" si="49"/>
        <v>62.934080327892111</v>
      </c>
      <c r="D45" s="9">
        <f t="shared" si="50"/>
        <v>66.673723886903545</v>
      </c>
      <c r="E45" s="9">
        <f t="shared" si="51"/>
        <v>66.462917937619366</v>
      </c>
      <c r="F45" s="9">
        <f t="shared" si="52"/>
        <v>64.565347307891471</v>
      </c>
      <c r="G45" s="10">
        <f t="shared" si="53"/>
        <v>56.762094883418058</v>
      </c>
      <c r="H45" s="10">
        <f t="shared" si="54"/>
        <v>53.267136543491972</v>
      </c>
      <c r="I45" s="10">
        <f t="shared" si="55"/>
        <v>50.913070065770825</v>
      </c>
      <c r="J45" s="10">
        <f t="shared" si="56"/>
        <v>57.802109090072939</v>
      </c>
      <c r="K45" s="10">
        <f t="shared" si="57"/>
        <v>53.818834117110711</v>
      </c>
      <c r="L45" s="10">
        <f t="shared" si="58"/>
        <v>49.116994051864594</v>
      </c>
      <c r="M45" s="10">
        <f t="shared" si="59"/>
        <v>58.832968719528274</v>
      </c>
      <c r="N45" s="10">
        <f t="shared" si="60"/>
        <v>58.43516419455667</v>
      </c>
      <c r="Q45" t="s">
        <v>124</v>
      </c>
      <c r="S45" s="18" cm="1">
        <f t="array" ref="S45">SQRT(SUMSQ($B29:$B47-C29:C47)/COUNTA($B29:$B47-C29:C47))</f>
        <v>21.564023601390119</v>
      </c>
      <c r="T45" s="18" cm="1">
        <f t="array" ref="T45">SQRT(SUMSQ($B29:$B47-D29:D47)/COUNTA($B29:$B47-D29:D47))</f>
        <v>21.392751826010102</v>
      </c>
      <c r="U45" s="18" cm="1">
        <f t="array" ref="U45">SQRT(SUMSQ($B29:$B47-E29:E47)/COUNTA($B29:$B47-E29:E47))</f>
        <v>22.320188271711306</v>
      </c>
      <c r="V45" s="145" cm="1">
        <f t="array" ref="V45">SQRT(SUMSQ($B29:$B47-F29:F47)/COUNTA($B29:$B47-F29:F47))</f>
        <v>26.631247640780277</v>
      </c>
      <c r="W45" s="10" cm="1">
        <f t="array" ref="W45">SQRT(SUMSQ($B29:$B47-G29:G47)/COUNTA($B29:$B47-G29:G47))</f>
        <v>31.979695521135802</v>
      </c>
      <c r="X45" s="10" cm="1">
        <f t="array" ref="X45">SQRT(SUMSQ($B29:$B47-H29:H47)/COUNTA($B29:$B47-H29:H47))</f>
        <v>35.813035399707694</v>
      </c>
      <c r="Y45" s="10" cm="1">
        <f t="array" ref="Y45">SQRT(SUMSQ($B29:$B47-I29:I47)/COUNTA($B29:$B47-I29:I47))</f>
        <v>36.031069989419287</v>
      </c>
      <c r="Z45" s="10" cm="1">
        <f t="array" ref="Z45">SQRT(SUMSQ($B29:$B47-J29:J47)/COUNTA($B29:$B47-J29:J47))</f>
        <v>27.154763263558049</v>
      </c>
      <c r="AA45" s="10" cm="1">
        <f t="array" ref="AA45">SQRT(SUMSQ($B29:$B47-K29:K47)/COUNTA($B29:$B47-K29:K47))</f>
        <v>29.941554570787808</v>
      </c>
      <c r="AB45" s="10" cm="1">
        <f t="array" ref="AB45">SQRT(SUMSQ($B29:$B47-L29:L47)/COUNTA($B29:$B47-L29:L47))</f>
        <v>28.156452438995675</v>
      </c>
      <c r="AC45" s="18" cm="1">
        <f t="array" ref="AC45">SQRT(SUMSQ($B29:$B47-M29:M47)/COUNTA($B29:$B47-M29:M47))</f>
        <v>21.458236337819734</v>
      </c>
      <c r="AD45" s="18" cm="1">
        <f t="array" ref="AD45">SQRT(SUMSQ($B29:$B47-N29:N47)/COUNTA($B29:$B47-N29:N47))</f>
        <v>18.801060982945444</v>
      </c>
      <c r="AF45">
        <v>20</v>
      </c>
      <c r="AG45">
        <v>20</v>
      </c>
    </row>
    <row r="46" spans="1:33" x14ac:dyDescent="0.25">
      <c r="A46" s="7">
        <v>4.3</v>
      </c>
      <c r="B46" s="66">
        <v>90</v>
      </c>
      <c r="C46" s="10">
        <f t="shared" si="49"/>
        <v>82.301765378972704</v>
      </c>
      <c r="D46" s="9">
        <f t="shared" si="50"/>
        <v>82.551125132717345</v>
      </c>
      <c r="E46" s="9">
        <f t="shared" si="51"/>
        <v>88.309972427913436</v>
      </c>
      <c r="F46" s="9">
        <f t="shared" si="52"/>
        <v>86.414678018681897</v>
      </c>
      <c r="G46" s="10">
        <f t="shared" si="53"/>
        <v>67.001302816277274</v>
      </c>
      <c r="H46" s="10">
        <f t="shared" si="54"/>
        <v>62.193390742230939</v>
      </c>
      <c r="I46" s="10">
        <f t="shared" si="55"/>
        <v>57.670539519757106</v>
      </c>
      <c r="J46" s="10">
        <f t="shared" si="56"/>
        <v>70.67174735147897</v>
      </c>
      <c r="K46" s="10">
        <f t="shared" si="57"/>
        <v>69.320260916444269</v>
      </c>
      <c r="L46" s="10">
        <f t="shared" si="58"/>
        <v>65.18559131526824</v>
      </c>
      <c r="M46" s="10">
        <f t="shared" si="59"/>
        <v>81.315610363652823</v>
      </c>
      <c r="N46" s="10">
        <f t="shared" si="60"/>
        <v>82.06675104088508</v>
      </c>
      <c r="Q46" t="s">
        <v>125</v>
      </c>
      <c r="S46" s="9" cm="1">
        <f t="array" ref="S46">SQRT(SUMSQ($B29:$B52-C29:C52)/COUNTA($B29:$B52-C29:C52))</f>
        <v>25.830493749597522</v>
      </c>
      <c r="T46" s="9" cm="1">
        <f t="array" ref="T46">SQRT(SUMSQ($B29:$B52-D29:D52)/COUNTA($B29:$B52-D29:D52))</f>
        <v>32.04734014923244</v>
      </c>
      <c r="U46" s="9" cm="1">
        <f t="array" ref="U46">SQRT(SUMSQ($B29:$B52-E29:E52)/COUNTA($B29:$B52-E29:E52))</f>
        <v>41.084654772591833</v>
      </c>
      <c r="V46" s="145" cm="1">
        <f t="array" ref="V46">SQRT(SUMSQ($B29:$B52-F29:F52)/COUNTA($B29:$B52-F29:F52))</f>
        <v>25.174471057588462</v>
      </c>
      <c r="W46" s="9" cm="1">
        <f t="array" ref="W46">SQRT(SUMSQ($B29:$B52-G29:G52)/COUNTA($B29:$B52-G29:G52))</f>
        <v>65.954022490794557</v>
      </c>
      <c r="X46" s="9" cm="1">
        <f t="array" ref="X46">SQRT(SUMSQ($B29:$B52-H29:H52)/COUNTA($B29:$B52-H29:H52))</f>
        <v>46.360449857648582</v>
      </c>
      <c r="Y46" s="9" cm="1">
        <f t="array" ref="Y46">SQRT(SUMSQ($B29:$B52-I29:I52)/COUNTA($B29:$B52-I29:I52))</f>
        <v>34.058086171512741</v>
      </c>
      <c r="Z46" s="9" cm="1">
        <f t="array" ref="Z46">SQRT(SUMSQ($B29:$B52-J29:J52)/COUNTA($B29:$B52-J29:J52))</f>
        <v>59.178944567351571</v>
      </c>
      <c r="AA46" s="9" cm="1">
        <f t="array" ref="AA46">SQRT(SUMSQ($B29:$B52-K29:K52)/COUNTA($B29:$B52-K29:K52))</f>
        <v>44.09573593303169</v>
      </c>
      <c r="AB46" s="9" cm="1">
        <f t="array" ref="AB46">SQRT(SUMSQ($B29:$B52-L29:L52)/COUNTA($B29:$B52-L29:L52))</f>
        <v>32.639707937962875</v>
      </c>
      <c r="AC46" s="9" cm="1">
        <f t="array" ref="AC46">SQRT(SUMSQ($B29:$B52-M29:M52)/COUNTA($B29:$B52-M29:M52))</f>
        <v>38.093573103864813</v>
      </c>
      <c r="AD46" s="9" cm="1">
        <f t="array" ref="AD46">SQRT(SUMSQ($B29:$B52-N29:N52)/COUNTA($B29:$B52-N29:N52))</f>
        <v>51.2801506001191</v>
      </c>
      <c r="AF46">
        <v>150</v>
      </c>
      <c r="AG46">
        <v>150</v>
      </c>
    </row>
    <row r="47" spans="1:33" x14ac:dyDescent="0.25">
      <c r="A47" s="35" t="s">
        <v>24</v>
      </c>
      <c r="B47" s="14">
        <v>108.42</v>
      </c>
      <c r="C47" s="10">
        <f t="shared" si="49"/>
        <v>103.79561762782475</v>
      </c>
      <c r="D47" s="9">
        <f t="shared" si="50"/>
        <v>42.984318298384501</v>
      </c>
      <c r="E47" s="9">
        <f t="shared" si="51"/>
        <v>67.830233196402276</v>
      </c>
      <c r="F47" s="9">
        <f t="shared" si="52"/>
        <v>101.31423534097813</v>
      </c>
      <c r="G47" s="10">
        <f t="shared" si="53"/>
        <v>24.654925635784203</v>
      </c>
      <c r="H47" s="10">
        <f t="shared" si="54"/>
        <v>32.715728904805879</v>
      </c>
      <c r="I47" s="10">
        <f t="shared" si="55"/>
        <v>37.493598149762107</v>
      </c>
      <c r="J47" s="10">
        <f t="shared" si="56"/>
        <v>21.865693822315428</v>
      </c>
      <c r="K47" s="10">
        <f t="shared" si="57"/>
        <v>24.552341859803199</v>
      </c>
      <c r="L47" s="10">
        <f t="shared" si="58"/>
        <v>24.355555477494292</v>
      </c>
      <c r="M47" s="10">
        <f t="shared" si="59"/>
        <v>57.972240615240565</v>
      </c>
      <c r="N47" s="10">
        <f t="shared" si="60"/>
        <v>60.642260994368897</v>
      </c>
    </row>
    <row r="48" spans="1:33" x14ac:dyDescent="0.25">
      <c r="A48" s="28" t="s">
        <v>42</v>
      </c>
      <c r="B48" s="17">
        <v>45</v>
      </c>
      <c r="C48" s="10">
        <f t="shared" si="49"/>
        <v>43.710102746187239</v>
      </c>
      <c r="D48" s="9">
        <f t="shared" si="50"/>
        <v>98.384492828301248</v>
      </c>
      <c r="E48" s="9">
        <f t="shared" si="51"/>
        <v>129.20707210972915</v>
      </c>
      <c r="F48" s="9">
        <f t="shared" si="52"/>
        <v>67.709720089719596</v>
      </c>
      <c r="G48" s="10">
        <f t="shared" si="53"/>
        <v>122.85148602844667</v>
      </c>
      <c r="H48" s="10">
        <f t="shared" si="54"/>
        <v>128.45388411347565</v>
      </c>
      <c r="I48" s="10">
        <f t="shared" si="55"/>
        <v>86.22748600399099</v>
      </c>
      <c r="J48" s="10">
        <f t="shared" si="56"/>
        <v>116.54482182172966</v>
      </c>
      <c r="K48" s="10">
        <f t="shared" si="57"/>
        <v>157.81430752799429</v>
      </c>
      <c r="L48" s="10">
        <f t="shared" si="58"/>
        <v>101.91079458016144</v>
      </c>
      <c r="M48" s="10">
        <f t="shared" si="59"/>
        <v>54.860309322942094</v>
      </c>
      <c r="N48" s="10">
        <f t="shared" si="60"/>
        <v>65.809796942347262</v>
      </c>
    </row>
    <row r="49" spans="1:14" x14ac:dyDescent="0.25">
      <c r="A49" s="36" t="s">
        <v>43</v>
      </c>
      <c r="B49" s="17">
        <v>45</v>
      </c>
      <c r="C49" s="10">
        <f t="shared" si="49"/>
        <v>123.75831894928878</v>
      </c>
      <c r="D49" s="9">
        <f t="shared" si="50"/>
        <v>0</v>
      </c>
      <c r="E49" s="9">
        <f t="shared" si="51"/>
        <v>125.77264422196005</v>
      </c>
      <c r="F49" s="9">
        <f t="shared" si="52"/>
        <v>28.578768268382458</v>
      </c>
      <c r="G49" s="10">
        <f t="shared" si="53"/>
        <v>270.51505725215441</v>
      </c>
      <c r="H49" s="10">
        <f t="shared" si="54"/>
        <v>128.80894313797964</v>
      </c>
      <c r="I49" s="10">
        <f t="shared" si="55"/>
        <v>57.748296765669359</v>
      </c>
      <c r="J49" s="10">
        <f t="shared" si="56"/>
        <v>283.17556780168911</v>
      </c>
      <c r="K49" s="10">
        <f t="shared" si="57"/>
        <v>160.41407052528044</v>
      </c>
      <c r="L49" s="10">
        <f t="shared" si="58"/>
        <v>46.451438102040505</v>
      </c>
      <c r="M49" s="10">
        <f t="shared" si="59"/>
        <v>199.4251968063341</v>
      </c>
      <c r="N49" s="10">
        <f t="shared" si="60"/>
        <v>273.41124350200914</v>
      </c>
    </row>
    <row r="50" spans="1:14" x14ac:dyDescent="0.25">
      <c r="A50" s="1" t="s">
        <v>44</v>
      </c>
      <c r="B50" s="17">
        <v>32</v>
      </c>
      <c r="C50" s="10">
        <f t="shared" si="49"/>
        <v>49.073938271703952</v>
      </c>
      <c r="D50" s="9">
        <f t="shared" si="50"/>
        <v>85.726319413707017</v>
      </c>
      <c r="E50" s="9">
        <f t="shared" si="51"/>
        <v>100.12646933046592</v>
      </c>
      <c r="F50" s="9">
        <f t="shared" si="52"/>
        <v>44.253593012320458</v>
      </c>
      <c r="G50" s="10">
        <f t="shared" si="53"/>
        <v>104.02610800017462</v>
      </c>
      <c r="H50" s="10">
        <f t="shared" si="54"/>
        <v>104.37505186651595</v>
      </c>
      <c r="I50" s="10">
        <f t="shared" si="55"/>
        <v>66.227469441649291</v>
      </c>
      <c r="J50" s="10">
        <f t="shared" si="56"/>
        <v>30.257959449875919</v>
      </c>
      <c r="K50" s="10">
        <f t="shared" si="57"/>
        <v>21.691193389517782</v>
      </c>
      <c r="L50" s="10">
        <f t="shared" si="58"/>
        <v>5.5349944484141682</v>
      </c>
      <c r="M50" s="10">
        <f t="shared" si="59"/>
        <v>60.203849215955096</v>
      </c>
      <c r="N50" s="10">
        <f t="shared" si="60"/>
        <v>71.830418532113697</v>
      </c>
    </row>
    <row r="51" spans="1:14" x14ac:dyDescent="0.25">
      <c r="A51" s="1" t="s">
        <v>71</v>
      </c>
      <c r="B51" s="17">
        <v>64</v>
      </c>
      <c r="C51" s="10">
        <f t="shared" ref="C51" si="61">427.15*E25^0.6026</f>
        <v>60.733201563976195</v>
      </c>
      <c r="D51" s="9">
        <f t="shared" si="50"/>
        <v>0</v>
      </c>
      <c r="E51" s="9">
        <f t="shared" si="51"/>
        <v>177.0422595061932</v>
      </c>
      <c r="F51" s="9">
        <f t="shared" si="52"/>
        <v>52.47611539479572</v>
      </c>
      <c r="G51" s="10">
        <f t="shared" ref="G51" si="62">108.36*AC25^0.294</f>
        <v>208.66181726580206</v>
      </c>
      <c r="H51" s="10">
        <f t="shared" ref="H51" si="63">69.293*AD25^0.3185</f>
        <v>153.30679169183779</v>
      </c>
      <c r="I51" s="10">
        <f t="shared" ref="I51" si="64">50.026*AE25^0.3351</f>
        <v>75.078890290784315</v>
      </c>
      <c r="J51" s="10">
        <f t="shared" ref="J51" si="65">102.1*AK25^0.3275</f>
        <v>0</v>
      </c>
      <c r="K51" s="10">
        <f t="shared" ref="K51" si="66">63.901*AL25^0.4721</f>
        <v>45.164990200597515</v>
      </c>
      <c r="L51" s="10">
        <f t="shared" ref="L51" si="67">34.771*AM25^0.6713</f>
        <v>8.9796785746504142</v>
      </c>
      <c r="M51" s="10">
        <f t="shared" ref="M51" si="68">1005.7*AG25^0.3646</f>
        <v>81.371782493726926</v>
      </c>
      <c r="N51" s="10">
        <f t="shared" ref="N51" si="69">1653.8*AF25^0.4053</f>
        <v>100.70405758202659</v>
      </c>
    </row>
    <row r="52" spans="1:14" x14ac:dyDescent="0.25">
      <c r="A52" s="1" t="s">
        <v>97</v>
      </c>
      <c r="B52" s="17">
        <v>64</v>
      </c>
      <c r="C52" s="10">
        <f>427.15*E26^0.6026</f>
        <v>38.090877401267164</v>
      </c>
      <c r="D52" s="9">
        <f>74.161*W26^0.3464</f>
        <v>0</v>
      </c>
      <c r="E52" s="9">
        <f t="shared" si="51"/>
        <v>67.213719960455052</v>
      </c>
      <c r="F52" s="9">
        <f t="shared" si="52"/>
        <v>89.81692214953847</v>
      </c>
      <c r="G52" s="10">
        <f t="shared" ref="G52" si="70">108.36*AC26^0.294</f>
        <v>20.018414469847663</v>
      </c>
      <c r="H52" s="10">
        <f t="shared" ref="H52" si="71">69.293*AD26^0.3185</f>
        <v>60.571592306793953</v>
      </c>
      <c r="I52" s="10">
        <f t="shared" ref="I52" si="72">50.026*AE26^0.3351</f>
        <v>67.983638265854324</v>
      </c>
      <c r="J52" s="10">
        <f t="shared" ref="J52" si="73">102.1*AK26^0.3275</f>
        <v>0</v>
      </c>
      <c r="K52" s="10">
        <f t="shared" ref="K52" si="74">63.901*AL26^0.4721</f>
        <v>8.1030197496243286</v>
      </c>
      <c r="L52" s="10">
        <f t="shared" ref="L52" si="75">34.771*AM26^0.6713</f>
        <v>4.5281170916063544</v>
      </c>
      <c r="M52" s="10">
        <f t="shared" ref="M52" si="76">1005.7*AG26^0.3646</f>
        <v>31.803382016457103</v>
      </c>
      <c r="N52" s="10">
        <f t="shared" ref="N52" si="77">1653.8*AF26^0.4053</f>
        <v>34.722356383183225</v>
      </c>
    </row>
    <row r="53" spans="1:14" x14ac:dyDescent="0.25">
      <c r="A53" s="1"/>
      <c r="D53" s="140"/>
      <c r="E53" s="140"/>
      <c r="F53" s="140"/>
      <c r="G53" s="140"/>
      <c r="H53" s="140"/>
      <c r="I53" s="140"/>
      <c r="J53" s="140"/>
      <c r="K53" s="140"/>
      <c r="L53" s="140"/>
      <c r="M53" s="10"/>
      <c r="N53" s="10"/>
    </row>
    <row r="54" spans="1: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9"/>
    </row>
    <row r="56" spans="1:14" x14ac:dyDescent="0.25">
      <c r="A56" s="1"/>
      <c r="B56" s="1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9"/>
    </row>
    <row r="57" spans="1:14" x14ac:dyDescent="0.25">
      <c r="A57" s="1"/>
      <c r="B57" s="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9"/>
    </row>
    <row r="58" spans="1:14" x14ac:dyDescent="0.25">
      <c r="A58" s="1"/>
      <c r="B58" s="1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9"/>
    </row>
    <row r="59" spans="1:14" x14ac:dyDescent="0.25">
      <c r="A59" s="1"/>
      <c r="B59" s="1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9"/>
    </row>
    <row r="60" spans="1:14" x14ac:dyDescent="0.25">
      <c r="A60" s="1"/>
      <c r="B60" s="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9"/>
    </row>
    <row r="61" spans="1:14" x14ac:dyDescent="0.25">
      <c r="A61" s="1"/>
      <c r="B61" s="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9"/>
    </row>
    <row r="62" spans="1:14" x14ac:dyDescent="0.25">
      <c r="A62" s="1"/>
      <c r="B62" s="1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9"/>
    </row>
    <row r="63" spans="1:14" x14ac:dyDescent="0.25">
      <c r="A63" s="1"/>
      <c r="B63" s="1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9"/>
    </row>
    <row r="64" spans="1:14" x14ac:dyDescent="0.25">
      <c r="A64" s="1"/>
      <c r="B64" s="1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9"/>
    </row>
    <row r="65" spans="1:30" x14ac:dyDescent="0.25">
      <c r="A65" s="1"/>
      <c r="B65" s="1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9"/>
    </row>
    <row r="66" spans="1:30" x14ac:dyDescent="0.25">
      <c r="A66" s="1"/>
      <c r="B66" s="1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9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x14ac:dyDescent="0.25">
      <c r="A67" s="1"/>
      <c r="B67" s="1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9"/>
    </row>
    <row r="68" spans="1:30" x14ac:dyDescent="0.25">
      <c r="A68" s="1"/>
      <c r="B68" s="1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9"/>
    </row>
    <row r="69" spans="1:30" x14ac:dyDescent="0.25">
      <c r="A69" s="1"/>
      <c r="B69" s="1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x14ac:dyDescent="0.25">
      <c r="A70" s="1"/>
      <c r="B70" s="1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9"/>
    </row>
    <row r="71" spans="1:30" x14ac:dyDescent="0.25">
      <c r="A71" s="1"/>
      <c r="B71" s="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9"/>
    </row>
    <row r="72" spans="1:30" x14ac:dyDescent="0.25">
      <c r="A72" s="1"/>
      <c r="B72" s="1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9"/>
    </row>
    <row r="73" spans="1:30" x14ac:dyDescent="0.25">
      <c r="A73" s="1"/>
      <c r="B73" s="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9"/>
    </row>
    <row r="74" spans="1:30" x14ac:dyDescent="0.25">
      <c r="A74" s="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9"/>
    </row>
    <row r="75" spans="1:30" x14ac:dyDescent="0.25">
      <c r="A75" s="1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9"/>
    </row>
  </sheetData>
  <mergeCells count="12">
    <mergeCell ref="AH1:AM1"/>
    <mergeCell ref="D27:F27"/>
    <mergeCell ref="G27:I27"/>
    <mergeCell ref="J27:L27"/>
    <mergeCell ref="D53:F53"/>
    <mergeCell ref="G53:I53"/>
    <mergeCell ref="J53:L53"/>
    <mergeCell ref="T1:Y1"/>
    <mergeCell ref="Z1:AE1"/>
    <mergeCell ref="T43:V43"/>
    <mergeCell ref="W43:Y43"/>
    <mergeCell ref="Z43:AB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all_samples</vt:lpstr>
      <vt:lpstr>storm_amplification</vt:lpstr>
      <vt:lpstr>calibration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2026-04-09T00:07:23Z</dcterms:modified>
</cp:coreProperties>
</file>