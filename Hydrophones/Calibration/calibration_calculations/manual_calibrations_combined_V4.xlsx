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3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Calibration\"/>
    </mc:Choice>
  </mc:AlternateContent>
  <xr:revisionPtr revIDLastSave="0" documentId="13_ncr:1_{DD66DCAB-2508-452C-8981-58232DA574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lbert envelope" sheetId="1" r:id="rId1"/>
    <sheet name="validation" sheetId="6" r:id="rId2"/>
    <sheet name="r2" sheetId="5" r:id="rId3"/>
    <sheet name="floo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6" l="1"/>
  <c r="BF3" i="6"/>
  <c r="BG3" i="6"/>
  <c r="BH3" i="6"/>
  <c r="BI3" i="6"/>
  <c r="BJ3" i="6"/>
  <c r="BE4" i="6"/>
  <c r="BF4" i="6"/>
  <c r="BG4" i="6"/>
  <c r="BH4" i="6"/>
  <c r="BI4" i="6"/>
  <c r="BJ4" i="6"/>
  <c r="BE5" i="6"/>
  <c r="BJ5" i="6"/>
  <c r="BI5" i="6"/>
  <c r="BH5" i="6"/>
  <c r="BG5" i="6"/>
  <c r="BF5" i="6"/>
  <c r="BD3" i="6"/>
  <c r="BD4" i="6"/>
  <c r="BD5" i="6"/>
  <c r="BC3" i="6"/>
  <c r="BC4" i="6"/>
  <c r="BC5" i="6"/>
  <c r="AY4" i="6"/>
  <c r="AY5" i="6"/>
  <c r="AY3" i="6"/>
  <c r="AT5" i="6"/>
  <c r="BA3" i="6"/>
  <c r="BB3" i="6"/>
  <c r="BA4" i="6"/>
  <c r="BB4" i="6"/>
  <c r="BA5" i="6"/>
  <c r="BB5" i="6"/>
  <c r="AZ4" i="6"/>
  <c r="AZ5" i="6"/>
  <c r="AZ3" i="6"/>
  <c r="AP144" i="6"/>
  <c r="AP145" i="6"/>
  <c r="AP146" i="6"/>
  <c r="AP147" i="6"/>
  <c r="AP148" i="6"/>
  <c r="AP149" i="6"/>
  <c r="AP150" i="6"/>
  <c r="AP151" i="6"/>
  <c r="AP152" i="6"/>
  <c r="AP143" i="6"/>
  <c r="AO143" i="6"/>
  <c r="AO144" i="6"/>
  <c r="AP172" i="6" s="1" a="1"/>
  <c r="AP172" i="6" s="1"/>
  <c r="AO145" i="6"/>
  <c r="AO146" i="6"/>
  <c r="AO147" i="6"/>
  <c r="AO148" i="6"/>
  <c r="AO149" i="6"/>
  <c r="AO150" i="6"/>
  <c r="AO151" i="6"/>
  <c r="AO152" i="6"/>
  <c r="AP173" i="6" a="1"/>
  <c r="AP173" i="6" s="1"/>
  <c r="AJ144" i="6"/>
  <c r="AJ145" i="6"/>
  <c r="AJ146" i="6"/>
  <c r="AJ147" i="6"/>
  <c r="AJ148" i="6"/>
  <c r="AJ149" i="6"/>
  <c r="AJ173" i="6" s="1" a="1"/>
  <c r="AJ173" i="6" s="1"/>
  <c r="AJ150" i="6"/>
  <c r="AJ151" i="6"/>
  <c r="AJ152" i="6"/>
  <c r="AJ143" i="6"/>
  <c r="AI144" i="6"/>
  <c r="AI145" i="6"/>
  <c r="AI146" i="6"/>
  <c r="AJ172" i="6" s="1" a="1"/>
  <c r="AJ172" i="6" s="1"/>
  <c r="AI147" i="6"/>
  <c r="AI148" i="6"/>
  <c r="AI149" i="6"/>
  <c r="AI150" i="6"/>
  <c r="AI151" i="6"/>
  <c r="AI152" i="6"/>
  <c r="AI143" i="6"/>
  <c r="AE144" i="6"/>
  <c r="AE145" i="6"/>
  <c r="AE146" i="6"/>
  <c r="AE147" i="6"/>
  <c r="AE148" i="6"/>
  <c r="AE149" i="6"/>
  <c r="AE150" i="6"/>
  <c r="AE151" i="6"/>
  <c r="AE152" i="6"/>
  <c r="AE143" i="6"/>
  <c r="AD144" i="6"/>
  <c r="AD145" i="6"/>
  <c r="AD146" i="6"/>
  <c r="AD147" i="6"/>
  <c r="AD148" i="6"/>
  <c r="AD149" i="6"/>
  <c r="AD150" i="6"/>
  <c r="AD151" i="6"/>
  <c r="AD152" i="6"/>
  <c r="AD143" i="6"/>
  <c r="AD173" i="6" s="1" a="1"/>
  <c r="AD173" i="6" s="1"/>
  <c r="X143" i="6"/>
  <c r="AC152" i="6"/>
  <c r="D105" i="6"/>
  <c r="AC144" i="6"/>
  <c r="AC145" i="6"/>
  <c r="AC146" i="6"/>
  <c r="AC147" i="6"/>
  <c r="AC148" i="6"/>
  <c r="AC149" i="6"/>
  <c r="AD172" i="6" s="1" a="1"/>
  <c r="AD172" i="6" s="1"/>
  <c r="AC150" i="6"/>
  <c r="AC151" i="6"/>
  <c r="AC143" i="6"/>
  <c r="AD174" i="6" a="1"/>
  <c r="AD174" i="6" s="1"/>
  <c r="Y143" i="6"/>
  <c r="Y144" i="6"/>
  <c r="Y145" i="6"/>
  <c r="Y146" i="6"/>
  <c r="Y147" i="6"/>
  <c r="Y148" i="6"/>
  <c r="Y149" i="6"/>
  <c r="Y150" i="6"/>
  <c r="Y151" i="6"/>
  <c r="Y152" i="6"/>
  <c r="X152" i="6"/>
  <c r="X144" i="6"/>
  <c r="X145" i="6"/>
  <c r="X146" i="6"/>
  <c r="X147" i="6"/>
  <c r="X148" i="6"/>
  <c r="X149" i="6"/>
  <c r="X150" i="6"/>
  <c r="X151" i="6"/>
  <c r="W144" i="6"/>
  <c r="W145" i="6"/>
  <c r="W146" i="6"/>
  <c r="W147" i="6"/>
  <c r="W148" i="6"/>
  <c r="W149" i="6"/>
  <c r="W150" i="6"/>
  <c r="W151" i="6"/>
  <c r="W152" i="6"/>
  <c r="W143" i="6"/>
  <c r="X173" i="6" a="1"/>
  <c r="X173" i="6" s="1"/>
  <c r="T144" i="6"/>
  <c r="T145" i="6"/>
  <c r="T146" i="6"/>
  <c r="T147" i="6"/>
  <c r="T148" i="6"/>
  <c r="T149" i="6"/>
  <c r="T150" i="6"/>
  <c r="T151" i="6"/>
  <c r="T152" i="6"/>
  <c r="T143" i="6"/>
  <c r="S173" i="6" a="1"/>
  <c r="S173" i="6"/>
  <c r="S144" i="6"/>
  <c r="S145" i="6"/>
  <c r="S146" i="6"/>
  <c r="S147" i="6"/>
  <c r="S148" i="6"/>
  <c r="S149" i="6"/>
  <c r="S150" i="6"/>
  <c r="S151" i="6"/>
  <c r="S152" i="6"/>
  <c r="S143" i="6"/>
  <c r="R144" i="6"/>
  <c r="S172" i="6" s="1" a="1"/>
  <c r="S172" i="6" s="1"/>
  <c r="R145" i="6"/>
  <c r="R146" i="6"/>
  <c r="R147" i="6"/>
  <c r="R148" i="6"/>
  <c r="R149" i="6"/>
  <c r="R150" i="6"/>
  <c r="R151" i="6"/>
  <c r="R152" i="6"/>
  <c r="R143" i="6"/>
  <c r="N174" i="6" a="1"/>
  <c r="N174" i="6" s="1"/>
  <c r="O144" i="6"/>
  <c r="O145" i="6"/>
  <c r="O146" i="6"/>
  <c r="O147" i="6"/>
  <c r="O148" i="6"/>
  <c r="O149" i="6"/>
  <c r="O150" i="6"/>
  <c r="O151" i="6"/>
  <c r="O152" i="6"/>
  <c r="O143" i="6"/>
  <c r="N173" i="6" a="1"/>
  <c r="N173" i="6" s="1"/>
  <c r="N144" i="6"/>
  <c r="N145" i="6"/>
  <c r="N146" i="6"/>
  <c r="N147" i="6"/>
  <c r="N148" i="6"/>
  <c r="N149" i="6"/>
  <c r="N150" i="6"/>
  <c r="N151" i="6"/>
  <c r="N152" i="6"/>
  <c r="N143" i="6"/>
  <c r="N172" i="6" a="1"/>
  <c r="N172" i="6" s="1"/>
  <c r="M144" i="6"/>
  <c r="M145" i="6"/>
  <c r="M146" i="6"/>
  <c r="M147" i="6"/>
  <c r="M148" i="6"/>
  <c r="M149" i="6"/>
  <c r="M150" i="6"/>
  <c r="M151" i="6"/>
  <c r="M152" i="6"/>
  <c r="M143" i="6"/>
  <c r="AO3" i="1"/>
  <c r="AK3" i="1"/>
  <c r="AL3" i="1"/>
  <c r="AM3" i="1"/>
  <c r="AN3" i="1"/>
  <c r="AK4" i="1"/>
  <c r="AL4" i="1"/>
  <c r="AM4" i="1"/>
  <c r="AN4" i="1"/>
  <c r="AO4" i="1"/>
  <c r="AK5" i="1"/>
  <c r="AL5" i="1"/>
  <c r="AM5" i="1"/>
  <c r="AN5" i="1"/>
  <c r="AO5" i="1"/>
  <c r="AK6" i="1"/>
  <c r="AL6" i="1"/>
  <c r="AM6" i="1"/>
  <c r="AN6" i="1"/>
  <c r="AO6" i="1"/>
  <c r="AK7" i="1"/>
  <c r="AL7" i="1"/>
  <c r="AM7" i="1"/>
  <c r="AN7" i="1"/>
  <c r="AO7" i="1"/>
  <c r="AK8" i="1"/>
  <c r="AL8" i="1"/>
  <c r="AM8" i="1"/>
  <c r="AN8" i="1"/>
  <c r="AO8" i="1"/>
  <c r="AK9" i="1"/>
  <c r="AL9" i="1"/>
  <c r="AM9" i="1"/>
  <c r="AN9" i="1"/>
  <c r="AO9" i="1"/>
  <c r="AK10" i="1"/>
  <c r="AL10" i="1"/>
  <c r="AM10" i="1"/>
  <c r="AN10" i="1"/>
  <c r="AO10" i="1"/>
  <c r="AK11" i="1"/>
  <c r="AL11" i="1"/>
  <c r="AM11" i="1"/>
  <c r="AN11" i="1"/>
  <c r="AO11" i="1"/>
  <c r="AK12" i="1"/>
  <c r="AL12" i="1"/>
  <c r="AM12" i="1"/>
  <c r="AN12" i="1"/>
  <c r="AO12" i="1"/>
  <c r="AK13" i="1"/>
  <c r="AL13" i="1"/>
  <c r="AM13" i="1"/>
  <c r="AN13" i="1"/>
  <c r="AO13" i="1"/>
  <c r="AK14" i="1"/>
  <c r="AL14" i="1"/>
  <c r="AM14" i="1"/>
  <c r="AN14" i="1"/>
  <c r="AO14" i="1"/>
  <c r="AK15" i="1"/>
  <c r="AL15" i="1"/>
  <c r="AM15" i="1"/>
  <c r="AN15" i="1"/>
  <c r="AO15" i="1"/>
  <c r="AK16" i="1"/>
  <c r="AL16" i="1"/>
  <c r="AM16" i="1"/>
  <c r="AN16" i="1"/>
  <c r="AO16" i="1"/>
  <c r="AK17" i="1"/>
  <c r="AL17" i="1"/>
  <c r="AM17" i="1"/>
  <c r="AN17" i="1"/>
  <c r="AO17" i="1"/>
  <c r="AK18" i="1"/>
  <c r="AL18" i="1"/>
  <c r="AM18" i="1"/>
  <c r="AN18" i="1"/>
  <c r="AO18" i="1"/>
  <c r="AK19" i="1"/>
  <c r="AL19" i="1"/>
  <c r="AM19" i="1"/>
  <c r="AN19" i="1"/>
  <c r="AO19" i="1"/>
  <c r="AK20" i="1"/>
  <c r="AL20" i="1"/>
  <c r="AM20" i="1"/>
  <c r="AN20" i="1"/>
  <c r="AO20" i="1"/>
  <c r="AK21" i="1"/>
  <c r="AL21" i="1"/>
  <c r="AM21" i="1"/>
  <c r="AN21" i="1"/>
  <c r="AO21" i="1"/>
  <c r="AK22" i="1"/>
  <c r="AL22" i="1"/>
  <c r="AM22" i="1"/>
  <c r="AN22" i="1"/>
  <c r="AO22" i="1"/>
  <c r="AK23" i="1"/>
  <c r="AL23" i="1"/>
  <c r="AM23" i="1"/>
  <c r="AN23" i="1"/>
  <c r="AO23" i="1"/>
  <c r="AK24" i="1"/>
  <c r="AL24" i="1"/>
  <c r="AM24" i="1"/>
  <c r="AN24" i="1"/>
  <c r="AO24" i="1"/>
  <c r="AK25" i="1"/>
  <c r="AL25" i="1"/>
  <c r="AM25" i="1"/>
  <c r="AN25" i="1"/>
  <c r="AO25" i="1"/>
  <c r="AK26" i="1"/>
  <c r="AL26" i="1"/>
  <c r="AM26" i="1"/>
  <c r="AN26" i="1"/>
  <c r="AO26" i="1"/>
  <c r="AK27" i="1"/>
  <c r="AL27" i="1"/>
  <c r="AM27" i="1"/>
  <c r="AN27" i="1"/>
  <c r="AO27" i="1"/>
  <c r="AK28" i="1"/>
  <c r="AL28" i="1"/>
  <c r="AM28" i="1"/>
  <c r="AN28" i="1"/>
  <c r="AO28" i="1"/>
  <c r="AK29" i="1"/>
  <c r="AL29" i="1"/>
  <c r="AM29" i="1"/>
  <c r="AN29" i="1"/>
  <c r="AO29" i="1"/>
  <c r="AK30" i="1"/>
  <c r="AL30" i="1"/>
  <c r="AM30" i="1"/>
  <c r="AN30" i="1"/>
  <c r="AO30" i="1"/>
  <c r="AK31" i="1"/>
  <c r="AL31" i="1"/>
  <c r="AM31" i="1"/>
  <c r="AN31" i="1"/>
  <c r="AO31" i="1"/>
  <c r="AK32" i="1"/>
  <c r="AL32" i="1"/>
  <c r="AM32" i="1"/>
  <c r="AN32" i="1"/>
  <c r="AO32" i="1"/>
  <c r="AK33" i="1"/>
  <c r="AL33" i="1"/>
  <c r="AM33" i="1"/>
  <c r="AN33" i="1"/>
  <c r="AO33" i="1"/>
  <c r="AK34" i="1"/>
  <c r="AL34" i="1"/>
  <c r="AM34" i="1"/>
  <c r="AN34" i="1"/>
  <c r="AO34" i="1"/>
  <c r="AK35" i="1"/>
  <c r="AL35" i="1"/>
  <c r="AM35" i="1"/>
  <c r="AN35" i="1"/>
  <c r="AO35" i="1"/>
  <c r="AK36" i="1"/>
  <c r="AL36" i="1"/>
  <c r="AM36" i="1"/>
  <c r="AN36" i="1"/>
  <c r="AO36" i="1"/>
  <c r="AK37" i="1"/>
  <c r="AL37" i="1"/>
  <c r="AM37" i="1"/>
  <c r="AN37" i="1"/>
  <c r="AO37" i="1"/>
  <c r="AK38" i="1"/>
  <c r="AL38" i="1"/>
  <c r="AM38" i="1"/>
  <c r="AN38" i="1"/>
  <c r="AO38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" i="1"/>
  <c r="G101" i="6"/>
  <c r="G102" i="6"/>
  <c r="G103" i="6"/>
  <c r="G104" i="6"/>
  <c r="G105" i="6"/>
  <c r="G100" i="6"/>
  <c r="G97" i="6"/>
  <c r="G98" i="6"/>
  <c r="G99" i="6"/>
  <c r="G96" i="6"/>
  <c r="F101" i="6"/>
  <c r="F102" i="6"/>
  <c r="F103" i="6"/>
  <c r="F104" i="6"/>
  <c r="F105" i="6"/>
  <c r="F100" i="6"/>
  <c r="F97" i="6"/>
  <c r="F98" i="6"/>
  <c r="F99" i="6"/>
  <c r="F96" i="6"/>
  <c r="E101" i="6"/>
  <c r="E102" i="6"/>
  <c r="E103" i="6"/>
  <c r="E104" i="6"/>
  <c r="E105" i="6"/>
  <c r="E100" i="6"/>
  <c r="E97" i="6"/>
  <c r="E98" i="6"/>
  <c r="E99" i="6"/>
  <c r="E96" i="6"/>
  <c r="D101" i="6"/>
  <c r="D102" i="6"/>
  <c r="D103" i="6"/>
  <c r="D104" i="6"/>
  <c r="D100" i="6"/>
  <c r="D97" i="6"/>
  <c r="D98" i="6"/>
  <c r="D99" i="6"/>
  <c r="D96" i="6"/>
  <c r="C97" i="6"/>
  <c r="C98" i="6"/>
  <c r="C99" i="6"/>
  <c r="C96" i="6"/>
  <c r="C101" i="6"/>
  <c r="C102" i="6"/>
  <c r="C103" i="6"/>
  <c r="C104" i="6"/>
  <c r="C105" i="6"/>
  <c r="C100" i="6"/>
  <c r="B101" i="6"/>
  <c r="B102" i="6"/>
  <c r="B103" i="6"/>
  <c r="B104" i="6"/>
  <c r="B105" i="6"/>
  <c r="B100" i="6"/>
  <c r="B97" i="6"/>
  <c r="B98" i="6"/>
  <c r="B99" i="6"/>
  <c r="B96" i="6"/>
  <c r="BC43" i="6" a="1"/>
  <c r="BC43" i="6"/>
  <c r="AU30" i="6"/>
  <c r="AU31" i="6"/>
  <c r="AU28" i="6"/>
  <c r="AP83" i="6"/>
  <c r="AP84" i="6"/>
  <c r="AP85" i="6"/>
  <c r="AP112" i="6" s="1" a="1"/>
  <c r="AP112" i="6" s="1"/>
  <c r="AP86" i="6"/>
  <c r="AP87" i="6"/>
  <c r="AP88" i="6"/>
  <c r="AP89" i="6"/>
  <c r="AP90" i="6"/>
  <c r="AP91" i="6"/>
  <c r="AP82" i="6"/>
  <c r="AO83" i="6"/>
  <c r="AO84" i="6"/>
  <c r="AO85" i="6"/>
  <c r="AO86" i="6"/>
  <c r="AO87" i="6"/>
  <c r="AO88" i="6"/>
  <c r="AO89" i="6"/>
  <c r="AO90" i="6"/>
  <c r="AO91" i="6"/>
  <c r="AO82" i="6"/>
  <c r="AP111" i="6" s="1" a="1"/>
  <c r="AP111" i="6" s="1"/>
  <c r="AJ111" i="6" a="1"/>
  <c r="AJ111" i="6" s="1"/>
  <c r="AJ112" i="6" a="1"/>
  <c r="AJ112" i="6" s="1"/>
  <c r="AI82" i="6"/>
  <c r="AJ83" i="6"/>
  <c r="AJ84" i="6"/>
  <c r="AJ85" i="6"/>
  <c r="AJ86" i="6"/>
  <c r="AJ87" i="6"/>
  <c r="AJ88" i="6"/>
  <c r="AJ89" i="6"/>
  <c r="AJ90" i="6"/>
  <c r="AJ91" i="6"/>
  <c r="AJ82" i="6"/>
  <c r="AI83" i="6"/>
  <c r="AI84" i="6"/>
  <c r="AI85" i="6"/>
  <c r="AI86" i="6"/>
  <c r="AI87" i="6"/>
  <c r="AI88" i="6"/>
  <c r="AI89" i="6"/>
  <c r="AI90" i="6"/>
  <c r="AI91" i="6"/>
  <c r="AE83" i="6"/>
  <c r="AE84" i="6"/>
  <c r="AE85" i="6"/>
  <c r="AE86" i="6"/>
  <c r="AE87" i="6"/>
  <c r="AE88" i="6"/>
  <c r="AE89" i="6"/>
  <c r="AE90" i="6"/>
  <c r="AE91" i="6"/>
  <c r="AE82" i="6"/>
  <c r="AD113" i="6" s="1" a="1"/>
  <c r="AD113" i="6" s="1"/>
  <c r="AD111" i="6" a="1"/>
  <c r="AD111" i="6" s="1"/>
  <c r="AD83" i="6"/>
  <c r="AD84" i="6"/>
  <c r="AD85" i="6"/>
  <c r="AD86" i="6"/>
  <c r="AD87" i="6"/>
  <c r="AD88" i="6"/>
  <c r="AD89" i="6"/>
  <c r="AD90" i="6"/>
  <c r="AD91" i="6"/>
  <c r="AD82" i="6"/>
  <c r="AD112" i="6" s="1" a="1"/>
  <c r="AD112" i="6" s="1"/>
  <c r="AC83" i="6"/>
  <c r="AC84" i="6"/>
  <c r="AC85" i="6"/>
  <c r="AC86" i="6"/>
  <c r="AC87" i="6"/>
  <c r="AC88" i="6"/>
  <c r="AC89" i="6"/>
  <c r="AC90" i="6"/>
  <c r="AC91" i="6"/>
  <c r="AC82" i="6"/>
  <c r="X112" i="6" a="1"/>
  <c r="X112" i="6" s="1"/>
  <c r="Y83" i="6"/>
  <c r="X113" i="6" s="1" a="1"/>
  <c r="X113" i="6" s="1"/>
  <c r="Y84" i="6"/>
  <c r="Y85" i="6"/>
  <c r="Y86" i="6"/>
  <c r="Y87" i="6"/>
  <c r="Y88" i="6"/>
  <c r="Y89" i="6"/>
  <c r="Y90" i="6"/>
  <c r="Y91" i="6"/>
  <c r="Y82" i="6"/>
  <c r="X83" i="6"/>
  <c r="X84" i="6"/>
  <c r="X85" i="6"/>
  <c r="X86" i="6"/>
  <c r="X87" i="6"/>
  <c r="X88" i="6"/>
  <c r="X89" i="6"/>
  <c r="X90" i="6"/>
  <c r="X91" i="6"/>
  <c r="X82" i="6"/>
  <c r="X111" i="6" a="1"/>
  <c r="X111" i="6" s="1"/>
  <c r="W83" i="6"/>
  <c r="W84" i="6"/>
  <c r="W85" i="6"/>
  <c r="W86" i="6"/>
  <c r="W87" i="6"/>
  <c r="W88" i="6"/>
  <c r="W89" i="6"/>
  <c r="W90" i="6"/>
  <c r="W91" i="6"/>
  <c r="W82" i="6"/>
  <c r="M82" i="6"/>
  <c r="AE3" i="1"/>
  <c r="B87" i="6"/>
  <c r="C87" i="6"/>
  <c r="D87" i="6"/>
  <c r="E87" i="6"/>
  <c r="F87" i="6"/>
  <c r="R87" i="6" s="1"/>
  <c r="G87" i="6"/>
  <c r="O87" i="6" s="1"/>
  <c r="M87" i="6"/>
  <c r="N87" i="6"/>
  <c r="S87" i="6"/>
  <c r="S112" i="6" s="1" a="1"/>
  <c r="S112" i="6" s="1"/>
  <c r="T87" i="6"/>
  <c r="S113" i="6" s="1" a="1"/>
  <c r="S113" i="6" s="1"/>
  <c r="T83" i="6"/>
  <c r="T84" i="6"/>
  <c r="T85" i="6"/>
  <c r="T86" i="6"/>
  <c r="T88" i="6"/>
  <c r="T89" i="6"/>
  <c r="T90" i="6"/>
  <c r="T91" i="6"/>
  <c r="T82" i="6"/>
  <c r="S82" i="6"/>
  <c r="R89" i="6"/>
  <c r="R84" i="6"/>
  <c r="S83" i="6"/>
  <c r="S84" i="6"/>
  <c r="S85" i="6"/>
  <c r="S86" i="6"/>
  <c r="S88" i="6"/>
  <c r="S89" i="6"/>
  <c r="S90" i="6"/>
  <c r="S91" i="6"/>
  <c r="R82" i="6"/>
  <c r="R83" i="6"/>
  <c r="R85" i="6"/>
  <c r="R86" i="6"/>
  <c r="R88" i="6"/>
  <c r="R90" i="6"/>
  <c r="R91" i="6"/>
  <c r="O83" i="6"/>
  <c r="O84" i="6"/>
  <c r="O85" i="6"/>
  <c r="O86" i="6"/>
  <c r="O88" i="6"/>
  <c r="O89" i="6"/>
  <c r="O90" i="6"/>
  <c r="O91" i="6"/>
  <c r="O82" i="6"/>
  <c r="N83" i="6"/>
  <c r="N84" i="6"/>
  <c r="N85" i="6"/>
  <c r="N86" i="6"/>
  <c r="N88" i="6"/>
  <c r="N89" i="6"/>
  <c r="N90" i="6"/>
  <c r="N91" i="6"/>
  <c r="N82" i="6"/>
  <c r="M83" i="6"/>
  <c r="M84" i="6"/>
  <c r="M85" i="6"/>
  <c r="M86" i="6"/>
  <c r="M88" i="6"/>
  <c r="M89" i="6"/>
  <c r="M90" i="6"/>
  <c r="M91" i="6"/>
  <c r="C82" i="6"/>
  <c r="D82" i="6"/>
  <c r="E82" i="6"/>
  <c r="F82" i="6"/>
  <c r="G82" i="6"/>
  <c r="C83" i="6"/>
  <c r="D83" i="6"/>
  <c r="E83" i="6"/>
  <c r="F83" i="6"/>
  <c r="G83" i="6"/>
  <c r="C84" i="6"/>
  <c r="D84" i="6"/>
  <c r="E84" i="6"/>
  <c r="F84" i="6"/>
  <c r="G84" i="6"/>
  <c r="C85" i="6"/>
  <c r="D85" i="6"/>
  <c r="E85" i="6"/>
  <c r="F85" i="6"/>
  <c r="G85" i="6"/>
  <c r="B83" i="6"/>
  <c r="B84" i="6"/>
  <c r="B85" i="6"/>
  <c r="B82" i="6"/>
  <c r="G91" i="6"/>
  <c r="C86" i="6"/>
  <c r="D86" i="6"/>
  <c r="E86" i="6"/>
  <c r="F86" i="6"/>
  <c r="G86" i="6"/>
  <c r="C88" i="6"/>
  <c r="D88" i="6"/>
  <c r="E88" i="6"/>
  <c r="F88" i="6"/>
  <c r="G88" i="6"/>
  <c r="C89" i="6"/>
  <c r="D89" i="6"/>
  <c r="E89" i="6"/>
  <c r="F89" i="6"/>
  <c r="G89" i="6"/>
  <c r="C90" i="6"/>
  <c r="D90" i="6"/>
  <c r="E90" i="6"/>
  <c r="F90" i="6"/>
  <c r="G90" i="6"/>
  <c r="C91" i="6"/>
  <c r="D91" i="6"/>
  <c r="E91" i="6"/>
  <c r="F91" i="6"/>
  <c r="B91" i="6"/>
  <c r="B90" i="6"/>
  <c r="B88" i="6"/>
  <c r="B89" i="6"/>
  <c r="B86" i="6"/>
  <c r="AE4" i="1"/>
  <c r="AF4" i="1"/>
  <c r="AG4" i="1"/>
  <c r="AH4" i="1"/>
  <c r="AE5" i="1"/>
  <c r="AF5" i="1"/>
  <c r="AG5" i="1"/>
  <c r="AH5" i="1"/>
  <c r="AE6" i="1"/>
  <c r="AF6" i="1"/>
  <c r="AG6" i="1"/>
  <c r="AH6" i="1"/>
  <c r="AE7" i="1"/>
  <c r="AF7" i="1"/>
  <c r="AG7" i="1"/>
  <c r="AH7" i="1"/>
  <c r="AE8" i="1"/>
  <c r="AF8" i="1"/>
  <c r="AG8" i="1"/>
  <c r="AH8" i="1"/>
  <c r="AE9" i="1"/>
  <c r="AF9" i="1"/>
  <c r="AG9" i="1"/>
  <c r="AH9" i="1"/>
  <c r="AE10" i="1"/>
  <c r="AF10" i="1"/>
  <c r="AG10" i="1"/>
  <c r="AH10" i="1"/>
  <c r="AE11" i="1"/>
  <c r="AF11" i="1"/>
  <c r="AG11" i="1"/>
  <c r="AH11" i="1"/>
  <c r="AE12" i="1"/>
  <c r="AF12" i="1"/>
  <c r="AG12" i="1"/>
  <c r="AH12" i="1"/>
  <c r="AE13" i="1"/>
  <c r="AF13" i="1"/>
  <c r="AG13" i="1"/>
  <c r="AH13" i="1"/>
  <c r="AE14" i="1"/>
  <c r="AF14" i="1"/>
  <c r="AG14" i="1"/>
  <c r="AH14" i="1"/>
  <c r="AE15" i="1"/>
  <c r="AF15" i="1"/>
  <c r="AG15" i="1"/>
  <c r="AH15" i="1"/>
  <c r="AE16" i="1"/>
  <c r="AF16" i="1"/>
  <c r="AG16" i="1"/>
  <c r="AH16" i="1"/>
  <c r="AE17" i="1"/>
  <c r="AF17" i="1"/>
  <c r="AG17" i="1"/>
  <c r="AH17" i="1"/>
  <c r="AE18" i="1"/>
  <c r="AF18" i="1"/>
  <c r="AG18" i="1"/>
  <c r="AH18" i="1"/>
  <c r="AE19" i="1"/>
  <c r="AF19" i="1"/>
  <c r="AG19" i="1"/>
  <c r="AH19" i="1"/>
  <c r="AE20" i="1"/>
  <c r="AF20" i="1"/>
  <c r="AG20" i="1"/>
  <c r="AH20" i="1"/>
  <c r="AE21" i="1"/>
  <c r="AF21" i="1"/>
  <c r="AG21" i="1"/>
  <c r="AH21" i="1"/>
  <c r="AE22" i="1"/>
  <c r="AF22" i="1"/>
  <c r="AG22" i="1"/>
  <c r="AH22" i="1"/>
  <c r="AE23" i="1"/>
  <c r="AF23" i="1"/>
  <c r="AG23" i="1"/>
  <c r="AH23" i="1"/>
  <c r="AE24" i="1"/>
  <c r="AF24" i="1"/>
  <c r="AG24" i="1"/>
  <c r="AH24" i="1"/>
  <c r="AE25" i="1"/>
  <c r="AF25" i="1"/>
  <c r="AG25" i="1"/>
  <c r="AH25" i="1"/>
  <c r="AE26" i="1"/>
  <c r="AF26" i="1"/>
  <c r="AG26" i="1"/>
  <c r="AH26" i="1"/>
  <c r="AE27" i="1"/>
  <c r="AF27" i="1"/>
  <c r="AG27" i="1"/>
  <c r="AH27" i="1"/>
  <c r="AE28" i="1"/>
  <c r="AF28" i="1"/>
  <c r="AG28" i="1"/>
  <c r="AH28" i="1"/>
  <c r="AE29" i="1"/>
  <c r="AF29" i="1"/>
  <c r="AG29" i="1"/>
  <c r="AH29" i="1"/>
  <c r="AE30" i="1"/>
  <c r="AF30" i="1"/>
  <c r="AG30" i="1"/>
  <c r="AH30" i="1"/>
  <c r="AE31" i="1"/>
  <c r="AF31" i="1"/>
  <c r="AG31" i="1"/>
  <c r="AH31" i="1"/>
  <c r="AE32" i="1"/>
  <c r="AF32" i="1"/>
  <c r="AG32" i="1"/>
  <c r="AH32" i="1"/>
  <c r="AE33" i="1"/>
  <c r="AF33" i="1"/>
  <c r="AG33" i="1"/>
  <c r="AH33" i="1"/>
  <c r="AE34" i="1"/>
  <c r="AF34" i="1"/>
  <c r="AG34" i="1"/>
  <c r="AH34" i="1"/>
  <c r="AE35" i="1"/>
  <c r="AF35" i="1"/>
  <c r="AG35" i="1"/>
  <c r="AH35" i="1"/>
  <c r="AE36" i="1"/>
  <c r="AF36" i="1"/>
  <c r="AG36" i="1"/>
  <c r="AH36" i="1"/>
  <c r="AE37" i="1"/>
  <c r="AF37" i="1"/>
  <c r="AG37" i="1"/>
  <c r="AH37" i="1"/>
  <c r="AE38" i="1"/>
  <c r="AF38" i="1"/>
  <c r="AG38" i="1"/>
  <c r="AH38" i="1"/>
  <c r="AF3" i="1"/>
  <c r="AG3" i="1"/>
  <c r="AH3" i="1"/>
  <c r="AD14" i="1"/>
  <c r="AD4" i="1"/>
  <c r="AD5" i="1"/>
  <c r="AD6" i="1"/>
  <c r="AD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J53" i="6" a="1"/>
  <c r="AJ53" i="6" s="1"/>
  <c r="AW5" i="6" s="1"/>
  <c r="AX5" i="6"/>
  <c r="AX3" i="6"/>
  <c r="AW3" i="6"/>
  <c r="AX4" i="6"/>
  <c r="AS3" i="6"/>
  <c r="AR3" i="6"/>
  <c r="AQ3" i="6"/>
  <c r="BB29" i="6"/>
  <c r="AW23" i="6"/>
  <c r="AQ32" i="6"/>
  <c r="AP32" i="6"/>
  <c r="AO32" i="6"/>
  <c r="Y27" i="6"/>
  <c r="X27" i="6"/>
  <c r="I10" i="6"/>
  <c r="W27" i="6"/>
  <c r="J23" i="6"/>
  <c r="I23" i="6"/>
  <c r="H23" i="6"/>
  <c r="E23" i="6"/>
  <c r="D23" i="6"/>
  <c r="C23" i="6"/>
  <c r="F15" i="6"/>
  <c r="X174" i="6" l="1" a="1"/>
  <c r="X174" i="6" s="1"/>
  <c r="X172" i="6" a="1"/>
  <c r="X172" i="6" s="1"/>
  <c r="S174" i="6" a="1"/>
  <c r="S174" i="6" s="1"/>
  <c r="N112" i="6" a="1"/>
  <c r="N112" i="6" s="1"/>
  <c r="S111" i="6" a="1"/>
  <c r="S111" i="6" s="1"/>
  <c r="N113" i="6" a="1"/>
  <c r="N113" i="6" s="1"/>
  <c r="N111" i="6" a="1"/>
  <c r="N111" i="6" s="1"/>
  <c r="I11" i="6"/>
  <c r="C29" i="6"/>
  <c r="C30" i="6"/>
  <c r="K11" i="6"/>
  <c r="M28" i="6" s="1"/>
  <c r="K12" i="6"/>
  <c r="M29" i="6" s="1"/>
  <c r="H10" i="6"/>
  <c r="K10" i="6"/>
  <c r="M27" i="6" s="1"/>
  <c r="F10" i="6"/>
  <c r="G10" i="6"/>
  <c r="J10" i="6"/>
  <c r="F11" i="6"/>
  <c r="BY23" i="6"/>
  <c r="BP23" i="6"/>
  <c r="AO28" i="6" l="1"/>
  <c r="AQ28" i="6"/>
  <c r="AP28" i="6"/>
  <c r="T27" i="6"/>
  <c r="S27" i="6"/>
  <c r="R27" i="6"/>
  <c r="AK27" i="6"/>
  <c r="AJ27" i="6"/>
  <c r="AI27" i="6"/>
  <c r="AQ27" i="6"/>
  <c r="AP27" i="6"/>
  <c r="AO27" i="6"/>
  <c r="AE27" i="6"/>
  <c r="AD27" i="6"/>
  <c r="AC27" i="6"/>
  <c r="BF32" i="6"/>
  <c r="BF27" i="6"/>
  <c r="BF23" i="6"/>
  <c r="BB32" i="6"/>
  <c r="BB23" i="6"/>
  <c r="AW32" i="6"/>
  <c r="AW27" i="6"/>
  <c r="AU27" i="6"/>
  <c r="BD27" i="6" s="1"/>
  <c r="BW27" i="6" s="1"/>
  <c r="BD28" i="6"/>
  <c r="BW28" i="6" s="1"/>
  <c r="AU29" i="6"/>
  <c r="BD29" i="6" s="1"/>
  <c r="BW29" i="6" s="1"/>
  <c r="BD30" i="6"/>
  <c r="BW30" i="6" s="1"/>
  <c r="BD31" i="6"/>
  <c r="BW31" i="6" s="1"/>
  <c r="AU32" i="6"/>
  <c r="BD32" i="6" s="1"/>
  <c r="BW32" i="6" s="1"/>
  <c r="AU24" i="6"/>
  <c r="BD24" i="6" s="1"/>
  <c r="BW24" i="6" s="1"/>
  <c r="AU25" i="6"/>
  <c r="BD25" i="6" s="1"/>
  <c r="BW25" i="6" s="1"/>
  <c r="AU26" i="6"/>
  <c r="BD26" i="6" s="1"/>
  <c r="BW26" i="6" s="1"/>
  <c r="AU23" i="6"/>
  <c r="BD23" i="6" s="1"/>
  <c r="BW23" i="6" s="1"/>
  <c r="BN24" i="6"/>
  <c r="BN25" i="6"/>
  <c r="BN26" i="6"/>
  <c r="BN27" i="6"/>
  <c r="BN28" i="6"/>
  <c r="BN29" i="6"/>
  <c r="BN30" i="6"/>
  <c r="BN31" i="6"/>
  <c r="BN32" i="6"/>
  <c r="BN23" i="6"/>
  <c r="J29" i="6"/>
  <c r="H28" i="6"/>
  <c r="H29" i="6"/>
  <c r="H30" i="6"/>
  <c r="H31" i="6"/>
  <c r="H32" i="6"/>
  <c r="H27" i="6"/>
  <c r="H24" i="6"/>
  <c r="H25" i="6"/>
  <c r="H26" i="6"/>
  <c r="F12" i="6"/>
  <c r="F13" i="6"/>
  <c r="F14" i="6"/>
  <c r="G11" i="6"/>
  <c r="G12" i="6"/>
  <c r="AJ29" i="6" s="1"/>
  <c r="G13" i="6"/>
  <c r="AJ30" i="6" s="1"/>
  <c r="G14" i="6"/>
  <c r="AI31" i="6" s="1"/>
  <c r="G15" i="6"/>
  <c r="AK32" i="6" s="1"/>
  <c r="H11" i="6"/>
  <c r="H12" i="6"/>
  <c r="AC29" i="6" s="1"/>
  <c r="H13" i="6"/>
  <c r="AC30" i="6" s="1"/>
  <c r="H14" i="6"/>
  <c r="AE31" i="6" s="1"/>
  <c r="H15" i="6"/>
  <c r="X28" i="6"/>
  <c r="I12" i="6"/>
  <c r="I13" i="6"/>
  <c r="X30" i="6" s="1"/>
  <c r="I14" i="6"/>
  <c r="W31" i="6" s="1"/>
  <c r="I15" i="6"/>
  <c r="W32" i="6" s="1"/>
  <c r="J11" i="6"/>
  <c r="J12" i="6"/>
  <c r="T29" i="6" s="1"/>
  <c r="J13" i="6"/>
  <c r="J14" i="6"/>
  <c r="T31" i="6" s="1"/>
  <c r="J15" i="6"/>
  <c r="R32" i="6" s="1"/>
  <c r="N29" i="6"/>
  <c r="K13" i="6"/>
  <c r="K14" i="6"/>
  <c r="M31" i="6" s="1"/>
  <c r="K15" i="6"/>
  <c r="F16" i="6"/>
  <c r="BY27" i="6"/>
  <c r="BZ27" i="6"/>
  <c r="CA27" i="6"/>
  <c r="CB27" i="6"/>
  <c r="CC27" i="6"/>
  <c r="CD27" i="6"/>
  <c r="BY28" i="6"/>
  <c r="BZ28" i="6"/>
  <c r="CA28" i="6"/>
  <c r="CB28" i="6"/>
  <c r="CC28" i="6"/>
  <c r="CD28" i="6"/>
  <c r="BY29" i="6"/>
  <c r="BZ29" i="6"/>
  <c r="CA29" i="6"/>
  <c r="CB29" i="6"/>
  <c r="CC29" i="6"/>
  <c r="CD29" i="6"/>
  <c r="BY30" i="6"/>
  <c r="BZ30" i="6"/>
  <c r="CA30" i="6"/>
  <c r="CB30" i="6"/>
  <c r="CC30" i="6"/>
  <c r="CD30" i="6"/>
  <c r="BY31" i="6"/>
  <c r="BZ31" i="6"/>
  <c r="CA31" i="6"/>
  <c r="CB31" i="6"/>
  <c r="CC31" i="6"/>
  <c r="CD31" i="6"/>
  <c r="BY32" i="6"/>
  <c r="BZ32" i="6"/>
  <c r="CA32" i="6"/>
  <c r="CB32" i="6"/>
  <c r="CC32" i="6"/>
  <c r="CD32" i="6"/>
  <c r="BU27" i="6"/>
  <c r="BU28" i="6"/>
  <c r="BU29" i="6"/>
  <c r="BU30" i="6"/>
  <c r="BU31" i="6"/>
  <c r="BU32" i="6"/>
  <c r="BT27" i="6"/>
  <c r="BT28" i="6"/>
  <c r="BT29" i="6"/>
  <c r="BT30" i="6"/>
  <c r="BT31" i="6"/>
  <c r="BT32" i="6"/>
  <c r="BS27" i="6"/>
  <c r="BS28" i="6"/>
  <c r="BS29" i="6"/>
  <c r="BS30" i="6"/>
  <c r="BS31" i="6"/>
  <c r="BS32" i="6"/>
  <c r="BR27" i="6"/>
  <c r="BR28" i="6"/>
  <c r="BR29" i="6"/>
  <c r="BR30" i="6"/>
  <c r="BR31" i="6"/>
  <c r="BR32" i="6"/>
  <c r="BQ27" i="6"/>
  <c r="BQ28" i="6"/>
  <c r="BQ29" i="6"/>
  <c r="BQ30" i="6"/>
  <c r="BQ31" i="6"/>
  <c r="BQ32" i="6"/>
  <c r="BP27" i="6"/>
  <c r="BP28" i="6"/>
  <c r="BP29" i="6"/>
  <c r="BP30" i="6"/>
  <c r="BP31" i="6"/>
  <c r="BP32" i="6"/>
  <c r="BK27" i="6"/>
  <c r="BK28" i="6"/>
  <c r="BK29" i="6"/>
  <c r="BK30" i="6"/>
  <c r="BK31" i="6"/>
  <c r="BK32" i="6"/>
  <c r="BJ27" i="6"/>
  <c r="BJ28" i="6"/>
  <c r="BJ29" i="6"/>
  <c r="BJ30" i="6"/>
  <c r="BJ31" i="6"/>
  <c r="BJ32" i="6"/>
  <c r="BI27" i="6"/>
  <c r="BI28" i="6"/>
  <c r="BI29" i="6"/>
  <c r="BI30" i="6"/>
  <c r="BI31" i="6"/>
  <c r="BI32" i="6"/>
  <c r="BH27" i="6"/>
  <c r="BH28" i="6"/>
  <c r="BH29" i="6"/>
  <c r="BH30" i="6"/>
  <c r="BH31" i="6"/>
  <c r="BH32" i="6"/>
  <c r="BG27" i="6"/>
  <c r="BG28" i="6"/>
  <c r="BG29" i="6"/>
  <c r="BG30" i="6"/>
  <c r="BG31" i="6"/>
  <c r="BG32" i="6"/>
  <c r="BF28" i="6"/>
  <c r="BF29" i="6"/>
  <c r="BF30" i="6"/>
  <c r="BF31" i="6"/>
  <c r="BB27" i="6"/>
  <c r="BB28" i="6"/>
  <c r="BB30" i="6"/>
  <c r="BB31" i="6"/>
  <c r="BA27" i="6"/>
  <c r="BA28" i="6"/>
  <c r="BA29" i="6"/>
  <c r="BA30" i="6"/>
  <c r="BA31" i="6"/>
  <c r="BA32" i="6"/>
  <c r="AZ27" i="6"/>
  <c r="AZ28" i="6"/>
  <c r="AZ29" i="6"/>
  <c r="AZ30" i="6"/>
  <c r="AZ31" i="6"/>
  <c r="AZ32" i="6"/>
  <c r="AY27" i="6"/>
  <c r="AY28" i="6"/>
  <c r="AY29" i="6"/>
  <c r="AY30" i="6"/>
  <c r="AY31" i="6"/>
  <c r="AY32" i="6"/>
  <c r="AX27" i="6"/>
  <c r="AX28" i="6"/>
  <c r="AX29" i="6"/>
  <c r="AX30" i="6"/>
  <c r="AX31" i="6"/>
  <c r="AX32" i="6"/>
  <c r="AX26" i="6"/>
  <c r="AW28" i="6"/>
  <c r="AW29" i="6"/>
  <c r="AW30" i="6"/>
  <c r="AW31" i="6"/>
  <c r="J27" i="6"/>
  <c r="J28" i="6"/>
  <c r="J30" i="6"/>
  <c r="J31" i="6"/>
  <c r="J32" i="6"/>
  <c r="I27" i="6"/>
  <c r="I28" i="6"/>
  <c r="I29" i="6"/>
  <c r="I30" i="6"/>
  <c r="I31" i="6"/>
  <c r="I32" i="6"/>
  <c r="E27" i="6"/>
  <c r="E28" i="6"/>
  <c r="E29" i="6"/>
  <c r="E30" i="6"/>
  <c r="E31" i="6"/>
  <c r="E32" i="6"/>
  <c r="D27" i="6"/>
  <c r="D28" i="6"/>
  <c r="D29" i="6"/>
  <c r="D30" i="6"/>
  <c r="D31" i="6"/>
  <c r="D32" i="6"/>
  <c r="C27" i="6"/>
  <c r="C28" i="6"/>
  <c r="C31" i="6"/>
  <c r="C32" i="6"/>
  <c r="C26" i="6"/>
  <c r="D26" i="6"/>
  <c r="E26" i="6"/>
  <c r="I26" i="6"/>
  <c r="J26" i="6"/>
  <c r="AW26" i="6"/>
  <c r="AY26" i="6"/>
  <c r="AZ26" i="6"/>
  <c r="BA26" i="6"/>
  <c r="BB26" i="6"/>
  <c r="BF26" i="6"/>
  <c r="BG26" i="6"/>
  <c r="BH26" i="6"/>
  <c r="BI26" i="6"/>
  <c r="BJ26" i="6"/>
  <c r="BK26" i="6"/>
  <c r="BP26" i="6"/>
  <c r="BQ26" i="6"/>
  <c r="BR26" i="6"/>
  <c r="BS26" i="6"/>
  <c r="BT26" i="6"/>
  <c r="BU26" i="6"/>
  <c r="BY26" i="6"/>
  <c r="BZ26" i="6"/>
  <c r="CA26" i="6"/>
  <c r="CB26" i="6"/>
  <c r="CC26" i="6"/>
  <c r="CD26" i="6"/>
  <c r="K9" i="6"/>
  <c r="K16" i="6"/>
  <c r="K17" i="6"/>
  <c r="K18" i="6"/>
  <c r="K19" i="6"/>
  <c r="J9" i="6"/>
  <c r="J16" i="6"/>
  <c r="J17" i="6"/>
  <c r="J18" i="6"/>
  <c r="J19" i="6"/>
  <c r="I9" i="6"/>
  <c r="I16" i="6"/>
  <c r="I17" i="6"/>
  <c r="I18" i="6"/>
  <c r="I19" i="6"/>
  <c r="H9" i="6"/>
  <c r="H16" i="6"/>
  <c r="H17" i="6"/>
  <c r="H18" i="6"/>
  <c r="H19" i="6"/>
  <c r="G9" i="6"/>
  <c r="G16" i="6"/>
  <c r="G17" i="6"/>
  <c r="G18" i="6"/>
  <c r="G19" i="6"/>
  <c r="F17" i="6"/>
  <c r="F18" i="6"/>
  <c r="F19" i="6"/>
  <c r="F9" i="6"/>
  <c r="F2" i="6"/>
  <c r="CD23" i="6"/>
  <c r="CD24" i="6"/>
  <c r="CD25" i="6"/>
  <c r="CC23" i="6"/>
  <c r="CC24" i="6"/>
  <c r="CC25" i="6"/>
  <c r="CB23" i="6"/>
  <c r="CB24" i="6"/>
  <c r="CB25" i="6"/>
  <c r="CA23" i="6"/>
  <c r="CA24" i="6"/>
  <c r="CA25" i="6"/>
  <c r="BZ23" i="6"/>
  <c r="BZ24" i="6"/>
  <c r="BZ25" i="6"/>
  <c r="BY24" i="6"/>
  <c r="BY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4" i="6"/>
  <c r="BP25" i="6"/>
  <c r="BK24" i="6"/>
  <c r="BK23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F25" i="6"/>
  <c r="BB24" i="6"/>
  <c r="BB25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W24" i="6"/>
  <c r="AW25" i="6"/>
  <c r="AD32" i="6" l="1"/>
  <c r="AE32" i="6"/>
  <c r="AC32" i="6"/>
  <c r="AK28" i="6"/>
  <c r="AJ28" i="6"/>
  <c r="AI28" i="6"/>
  <c r="O32" i="6"/>
  <c r="M32" i="6"/>
  <c r="T30" i="6"/>
  <c r="R30" i="6"/>
  <c r="X29" i="6"/>
  <c r="W29" i="6"/>
  <c r="AC28" i="6"/>
  <c r="AE28" i="6"/>
  <c r="AP31" i="6"/>
  <c r="AO31" i="6"/>
  <c r="AQ31" i="6"/>
  <c r="AP30" i="6"/>
  <c r="AO30" i="6"/>
  <c r="AQ30" i="6"/>
  <c r="T28" i="6"/>
  <c r="R28" i="6"/>
  <c r="AP29" i="6"/>
  <c r="AO29" i="6"/>
  <c r="AQ29" i="6"/>
  <c r="N30" i="6"/>
  <c r="M30" i="6"/>
  <c r="BC41" i="6" a="1"/>
  <c r="BC41" i="6" s="1"/>
  <c r="BD38" i="6" a="1"/>
  <c r="BD38" i="6" s="1"/>
  <c r="BD40" i="6" a="1"/>
  <c r="BD40" i="6" s="1"/>
  <c r="BC40" i="6" a="1"/>
  <c r="BC40" i="6" s="1"/>
  <c r="BV42" i="6" a="1"/>
  <c r="BV42" i="6" s="1"/>
  <c r="BD43" i="6" a="1"/>
  <c r="BD43" i="6" s="1"/>
  <c r="BV40" i="6" a="1"/>
  <c r="BV40" i="6" s="1"/>
  <c r="BD41" i="6" a="1"/>
  <c r="BD41" i="6" s="1"/>
  <c r="BV43" i="6" a="1"/>
  <c r="BV43" i="6" s="1"/>
  <c r="BV38" i="6" a="1"/>
  <c r="BV38" i="6" s="1"/>
  <c r="BC39" i="6" a="1"/>
  <c r="BC39" i="6" s="1"/>
  <c r="BV41" i="6" a="1"/>
  <c r="BV41" i="6" s="1"/>
  <c r="BC38" i="6" a="1"/>
  <c r="BC38" i="6" s="1"/>
  <c r="BD42" i="6" a="1"/>
  <c r="BD42" i="6" s="1"/>
  <c r="BD39" i="6" a="1"/>
  <c r="BD39" i="6" s="1"/>
  <c r="BC42" i="6" a="1"/>
  <c r="BC42" i="6" s="1"/>
  <c r="BV39" i="6" a="1"/>
  <c r="BV39" i="6" s="1"/>
  <c r="AJ32" i="6"/>
  <c r="O28" i="6"/>
  <c r="AC31" i="6"/>
  <c r="AI32" i="6"/>
  <c r="AK31" i="6"/>
  <c r="AK30" i="6"/>
  <c r="O31" i="6"/>
  <c r="AI30" i="6"/>
  <c r="AK29" i="6"/>
  <c r="Y28" i="6"/>
  <c r="O30" i="6"/>
  <c r="I51" i="6" a="1"/>
  <c r="I51" i="6" s="1"/>
  <c r="AI29" i="6"/>
  <c r="R31" i="6"/>
  <c r="Y32" i="6"/>
  <c r="W30" i="6"/>
  <c r="Y31" i="6"/>
  <c r="X32" i="6"/>
  <c r="Y30" i="6"/>
  <c r="Y29" i="6"/>
  <c r="AD28" i="6"/>
  <c r="X31" i="6"/>
  <c r="AE30" i="6"/>
  <c r="W28" i="6"/>
  <c r="S29" i="6"/>
  <c r="O29" i="6"/>
  <c r="AJ31" i="6"/>
  <c r="N32" i="6"/>
  <c r="S31" i="6"/>
  <c r="S28" i="6"/>
  <c r="S32" i="6"/>
  <c r="N31" i="6"/>
  <c r="T32" i="6"/>
  <c r="AD31" i="6"/>
  <c r="O27" i="6"/>
  <c r="R29" i="6"/>
  <c r="S30" i="6"/>
  <c r="N28" i="6"/>
  <c r="AD30" i="6"/>
  <c r="AE29" i="6"/>
  <c r="AD29" i="6"/>
  <c r="N27" i="6"/>
  <c r="BW39" i="6" a="1"/>
  <c r="BW39" i="6" s="1"/>
  <c r="BW40" i="6" a="1"/>
  <c r="BW40" i="6" s="1"/>
  <c r="BW43" i="6" a="1"/>
  <c r="BW43" i="6" s="1"/>
  <c r="BW38" i="6" a="1"/>
  <c r="BW38" i="6" s="1"/>
  <c r="BW42" i="6" a="1"/>
  <c r="BW42" i="6" s="1"/>
  <c r="BW41" i="6" a="1"/>
  <c r="BW41" i="6" s="1"/>
  <c r="G3" i="6"/>
  <c r="H3" i="6"/>
  <c r="AC23" i="6" s="1"/>
  <c r="I3" i="6"/>
  <c r="J3" i="6"/>
  <c r="R23" i="6" s="1"/>
  <c r="K3" i="6"/>
  <c r="G4" i="6"/>
  <c r="H4" i="6"/>
  <c r="AC24" i="6" s="1"/>
  <c r="I4" i="6"/>
  <c r="J4" i="6"/>
  <c r="R24" i="6" s="1"/>
  <c r="K4" i="6"/>
  <c r="G5" i="6"/>
  <c r="H5" i="6"/>
  <c r="AC25" i="6" s="1"/>
  <c r="I5" i="6"/>
  <c r="W25" i="6" s="1"/>
  <c r="J5" i="6"/>
  <c r="R25" i="6" s="1"/>
  <c r="K5" i="6"/>
  <c r="G6" i="6"/>
  <c r="H6" i="6"/>
  <c r="AC26" i="6" s="1"/>
  <c r="I6" i="6"/>
  <c r="Y26" i="6" s="1"/>
  <c r="J6" i="6"/>
  <c r="K6" i="6"/>
  <c r="M26" i="6" s="1"/>
  <c r="K2" i="6"/>
  <c r="J2" i="6"/>
  <c r="G2" i="6"/>
  <c r="H2" i="6"/>
  <c r="I2" i="6"/>
  <c r="F3" i="6"/>
  <c r="AO23" i="6" s="1"/>
  <c r="F4" i="6"/>
  <c r="F5" i="6"/>
  <c r="F6" i="6"/>
  <c r="AO26" i="6" s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I24" i="6"/>
  <c r="I25" i="6"/>
  <c r="J24" i="6"/>
  <c r="J25" i="6"/>
  <c r="C25" i="6"/>
  <c r="C24" i="6"/>
  <c r="E24" i="6"/>
  <c r="E25" i="6"/>
  <c r="M23" i="6" l="1"/>
  <c r="O23" i="6"/>
  <c r="N23" i="6"/>
  <c r="N24" i="6"/>
  <c r="M24" i="6"/>
  <c r="N25" i="6"/>
  <c r="M25" i="6"/>
  <c r="AQ26" i="6"/>
  <c r="AQ25" i="6"/>
  <c r="AO25" i="6"/>
  <c r="AQ24" i="6"/>
  <c r="AO24" i="6"/>
  <c r="AP23" i="6"/>
  <c r="AQ23" i="6"/>
  <c r="I52" i="6" a="1"/>
  <c r="I52" i="6" s="1"/>
  <c r="AR4" i="6" s="1"/>
  <c r="AK24" i="6"/>
  <c r="AI24" i="6"/>
  <c r="AI26" i="6"/>
  <c r="AK26" i="6"/>
  <c r="AJ23" i="6"/>
  <c r="AI23" i="6"/>
  <c r="AK23" i="6"/>
  <c r="C51" i="6" a="1"/>
  <c r="C51" i="6" s="1"/>
  <c r="AI25" i="6"/>
  <c r="AK25" i="6"/>
  <c r="I53" i="6" a="1"/>
  <c r="I53" i="6" s="1"/>
  <c r="AR5" i="6" s="1"/>
  <c r="AC51" i="6" a="1"/>
  <c r="AC51" i="6" s="1"/>
  <c r="C53" i="6" a="1"/>
  <c r="C53" i="6" s="1"/>
  <c r="AQ5" i="6" s="1"/>
  <c r="X24" i="6"/>
  <c r="W24" i="6"/>
  <c r="W26" i="6"/>
  <c r="X23" i="6"/>
  <c r="W23" i="6"/>
  <c r="X51" i="6" s="1" a="1"/>
  <c r="X51" i="6" s="1"/>
  <c r="S23" i="6"/>
  <c r="T26" i="6"/>
  <c r="R26" i="6"/>
  <c r="N26" i="6"/>
  <c r="O26" i="6"/>
  <c r="AD26" i="6"/>
  <c r="AE26" i="6"/>
  <c r="AJ26" i="6"/>
  <c r="X26" i="6"/>
  <c r="S26" i="6"/>
  <c r="AP26" i="6"/>
  <c r="AJ24" i="6"/>
  <c r="AP25" i="6"/>
  <c r="AD25" i="6"/>
  <c r="AE25" i="6"/>
  <c r="AP24" i="6"/>
  <c r="AJ25" i="6"/>
  <c r="AD23" i="6"/>
  <c r="AE23" i="6"/>
  <c r="O25" i="6"/>
  <c r="AE24" i="6"/>
  <c r="AD24" i="6"/>
  <c r="O24" i="6"/>
  <c r="N53" i="6" s="1" a="1"/>
  <c r="N53" i="6" s="1"/>
  <c r="T24" i="6"/>
  <c r="S24" i="6"/>
  <c r="T25" i="6"/>
  <c r="S25" i="6"/>
  <c r="Y24" i="6"/>
  <c r="X25" i="6"/>
  <c r="Y25" i="6"/>
  <c r="T23" i="6"/>
  <c r="Y23" i="6"/>
  <c r="D24" i="6"/>
  <c r="C52" i="6" s="1" a="1"/>
  <c r="C52" i="6" s="1"/>
  <c r="D25" i="6"/>
  <c r="N52" i="6" l="1" a="1"/>
  <c r="N52" i="6" s="1"/>
  <c r="AC53" i="6" a="1"/>
  <c r="AC53" i="6" s="1"/>
  <c r="AV5" i="6" s="1"/>
  <c r="AP53" i="6" a="1"/>
  <c r="AP53" i="6" s="1"/>
  <c r="AC52" i="6" a="1"/>
  <c r="AC52" i="6" s="1"/>
  <c r="AV4" i="6" s="1"/>
  <c r="R52" i="6" a="1"/>
  <c r="R52" i="6" s="1"/>
  <c r="AT4" i="6" s="1"/>
  <c r="AJ51" i="6" a="1"/>
  <c r="AJ51" i="6" s="1"/>
  <c r="X52" i="6" a="1"/>
  <c r="X52" i="6" s="1"/>
  <c r="AU4" i="6" s="1"/>
  <c r="AJ52" i="6" a="1"/>
  <c r="AJ52" i="6" s="1"/>
  <c r="AW4" i="6" s="1"/>
  <c r="X53" i="6" a="1"/>
  <c r="X53" i="6" s="1"/>
  <c r="AU5" i="6" s="1"/>
  <c r="R53" i="6" a="1"/>
  <c r="R53" i="6" s="1"/>
  <c r="N51" i="6" a="1"/>
  <c r="N51" i="6" s="1"/>
  <c r="R51" i="6" a="1"/>
  <c r="R51" i="6" s="1"/>
  <c r="AT3" i="6" s="1"/>
  <c r="AS4" i="6"/>
  <c r="AQ4" i="6"/>
  <c r="AP52" i="6" a="1"/>
  <c r="AP52" i="6" s="1"/>
  <c r="AP51" i="6" a="1"/>
  <c r="AP51" i="6" s="1"/>
  <c r="AU3" i="6"/>
  <c r="AV3" i="6"/>
  <c r="AS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<sst xmlns="http://schemas.openxmlformats.org/spreadsheetml/2006/main" count="743" uniqueCount="160">
  <si>
    <t>Particle #</t>
  </si>
  <si>
    <t>Size (mm)</t>
  </si>
  <si>
    <t>Aprox Time Start</t>
  </si>
  <si>
    <t>Aprox Time End</t>
  </si>
  <si>
    <t>Flood 1</t>
  </si>
  <si>
    <t>Flood 2</t>
  </si>
  <si>
    <t>Flood 3</t>
  </si>
  <si>
    <t>Flood 4</t>
  </si>
  <si>
    <t>Flood 5</t>
  </si>
  <si>
    <t>Pipe</t>
  </si>
  <si>
    <t>Hydrophone</t>
  </si>
  <si>
    <t>Max Size</t>
  </si>
  <si>
    <t>Tracers</t>
  </si>
  <si>
    <t>Bedload</t>
  </si>
  <si>
    <t>H1</t>
  </si>
  <si>
    <t>H4</t>
  </si>
  <si>
    <t>Flood 6</t>
  </si>
  <si>
    <t>Flood 7</t>
  </si>
  <si>
    <t>Flood 8</t>
  </si>
  <si>
    <t>Flood 9</t>
  </si>
  <si>
    <t>Env Max Amplitude</t>
  </si>
  <si>
    <t>Raw Max Amplitude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</si>
  <si>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</si>
  <si>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</si>
  <si>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</si>
  <si>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</si>
  <si>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</si>
  <si>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</si>
  <si>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</si>
  <si>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</si>
  <si>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</si>
  <si>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</si>
  <si>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</si>
  <si>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</si>
  <si>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</si>
  <si>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</si>
  <si>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</si>
  <si>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Total Impact Window</t>
  </si>
  <si>
    <t xml:space="preserve">Max Amp (Hil) </t>
  </si>
  <si>
    <t>Max Amp (Rect)</t>
  </si>
  <si>
    <t>Mean Amp (Hil)</t>
  </si>
  <si>
    <t>Mean Amp (Rect)</t>
  </si>
  <si>
    <t>Med Amp (Hil)</t>
  </si>
  <si>
    <t>Med Amp (Rect)</t>
  </si>
  <si>
    <t>Linear</t>
  </si>
  <si>
    <t>Power</t>
  </si>
  <si>
    <t xml:space="preserve">Log </t>
  </si>
  <si>
    <t>Number of Impulses</t>
  </si>
  <si>
    <t xml:space="preserve">Mean Amplitude Above Treshold (2V) </t>
  </si>
  <si>
    <t>Linear (Hil)</t>
  </si>
  <si>
    <t>Linear (Rect)</t>
  </si>
  <si>
    <t>Log (Hil)</t>
  </si>
  <si>
    <t>Log (Rect)</t>
  </si>
  <si>
    <t>Power (Hil)</t>
  </si>
  <si>
    <t>Power (Rect)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</si>
  <si>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</si>
  <si>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</si>
  <si>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</si>
  <si>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</si>
  <si>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</si>
  <si>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</si>
  <si>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</si>
  <si>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</si>
  <si>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</si>
  <si>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</si>
  <si>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</si>
  <si>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</si>
  <si>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</si>
  <si>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</si>
  <si>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</si>
  <si>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</si>
  <si>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flood4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</si>
  <si>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</si>
  <si>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</si>
  <si>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</si>
  <si>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</si>
  <si>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</si>
  <si>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</si>
  <si>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</si>
  <si>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</si>
  <si>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</si>
  <si>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</si>
  <si>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</si>
  <si>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</si>
  <si>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</si>
  <si>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</si>
  <si>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</si>
  <si>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</si>
  <si>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</si>
  <si>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</si>
  <si>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</si>
  <si>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</si>
  <si>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</si>
  <si>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</si>
  <si>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</si>
  <si>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</si>
  <si>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</si>
  <si>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</si>
  <si>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ch6 imp/s</t>
  </si>
  <si>
    <t>ch5 imp/s</t>
  </si>
  <si>
    <t>ch4 imp/s</t>
  </si>
  <si>
    <t>ch3 imp/s</t>
  </si>
  <si>
    <t>ch1 imp/s</t>
  </si>
  <si>
    <t>ch2 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</si>
  <si>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</si>
  <si>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</si>
  <si>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</si>
  <si>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</si>
  <si>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</si>
  <si>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</si>
  <si>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</si>
  <si>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</si>
  <si>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</si>
  <si>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</si>
  <si>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</si>
  <si>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</si>
  <si>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</si>
  <si>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</si>
  <si>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</si>
  <si>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</si>
  <si>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</si>
  <si>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</si>
  <si>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</si>
  <si>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</si>
  <si>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</si>
  <si>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</si>
  <si>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</si>
  <si>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</si>
  <si>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</si>
  <si>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</si>
  <si>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Max Amp by Channel</t>
  </si>
  <si>
    <t>Events</t>
  </si>
  <si>
    <t>ST1</t>
  </si>
  <si>
    <t>ST2</t>
  </si>
  <si>
    <t>ST3</t>
  </si>
  <si>
    <t>ST4</t>
  </si>
  <si>
    <t>ST5</t>
  </si>
  <si>
    <t>ST6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</si>
  <si>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</si>
  <si>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</si>
  <si>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</si>
  <si>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</si>
  <si>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</si>
  <si>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</si>
  <si>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</si>
  <si>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</si>
  <si>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</si>
  <si>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</si>
  <si>
    <t>(Imp/s)/MaxAmp</t>
  </si>
  <si>
    <t>Imps/Amax - Dmax (1)</t>
  </si>
  <si>
    <t>Dmax - Imps/Amax (2)</t>
  </si>
  <si>
    <t>Dmax - Imps/Amax (3)</t>
  </si>
  <si>
    <t>Calibration</t>
  </si>
  <si>
    <t>Number of Impulses per second</t>
  </si>
  <si>
    <t>Number of Impulses per second / Max Amp</t>
  </si>
  <si>
    <t>(Imp/s) * MaxAmp</t>
  </si>
  <si>
    <t>(Imp/s)*MaxAmp</t>
  </si>
  <si>
    <t>Imp/s/MaxAmp</t>
  </si>
  <si>
    <t>Imp/s*MaxAmp</t>
  </si>
  <si>
    <t>Number of Impulses per second * Max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</si>
</sst>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0" fillId="0" borderId="0" xfId="0" applyNumberFormat="1"/>
    <xf numFmtId="11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3" fillId="6" borderId="0" xfId="0" applyNumberFormat="1" applyFont="1" applyFill="1" applyAlignment="1">
      <alignment horizont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6" fontId="0" fillId="0" borderId="0" xfId="0" applyNumberFormat="1" applyAlignment="1">
      <alignment horizontal="center"/>
    </xf>
    <xf numFmtId="2" fontId="3" fillId="7" borderId="0" xfId="0" applyNumberFormat="1" applyFont="1" applyFill="1" applyAlignment="1">
      <alignment horizontal="center"/>
    </xf>
    <xf numFmtId="11" fontId="6" fillId="0" borderId="0" xfId="0" applyNumberFormat="1" applyFont="1" applyAlignment="1">
      <alignment horizontal="center"/>
    </xf>
    <xf numFmtId="2" fontId="3" fillId="5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3" fillId="10" borderId="2" xfId="0" applyNumberFormat="1" applyFont="1" applyFill="1" applyBorder="1" applyAlignment="1">
      <alignment horizontal="center"/>
    </xf>
    <xf numFmtId="2" fontId="3" fillId="10" borderId="0" xfId="0" applyNumberFormat="1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envelope'!$E$3:$E$26</c:f>
              <c:numCache>
                <c:formatCode>0.0000</c:formatCode>
                <c:ptCount val="24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C-4D93-9FF8-AE77C53E1B22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25-42D2-9069-B6468A8E23C9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envelope'!$E$27:$E$38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C-4D93-9FF8-AE77C53E1B22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888571955463971E-2"/>
                  <c:y val="0.364499073067480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envelope'!$F$3:$F$26</c:f>
              <c:numCache>
                <c:formatCode>0.0000</c:formatCode>
                <c:ptCount val="24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4-4310-B45A-94DB5772C795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64-4310-B45A-94DB5772C795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envelope'!$F$27:$F$38</c:f>
              <c:numCache>
                <c:formatCode>0.0000</c:formatCode>
                <c:ptCount val="12"/>
                <c:pt idx="0">
                  <c:v>5.6784984243662398E-3</c:v>
                </c:pt>
                <c:pt idx="1">
                  <c:v>4.8212415579803897E-3</c:v>
                </c:pt>
                <c:pt idx="2">
                  <c:v>9.1426900455134907E-3</c:v>
                </c:pt>
                <c:pt idx="3">
                  <c:v>7.8507383881498607E-3</c:v>
                </c:pt>
                <c:pt idx="4">
                  <c:v>6.5149661727545603E-3</c:v>
                </c:pt>
                <c:pt idx="5">
                  <c:v>7.5773751595888898E-3</c:v>
                </c:pt>
                <c:pt idx="6">
                  <c:v>1.5222331559222001E-2</c:v>
                </c:pt>
                <c:pt idx="7">
                  <c:v>1.37528556522491E-2</c:v>
                </c:pt>
                <c:pt idx="8">
                  <c:v>9.8602655911611495E-3</c:v>
                </c:pt>
                <c:pt idx="9">
                  <c:v>2.94139388502281E-2</c:v>
                </c:pt>
                <c:pt idx="10">
                  <c:v>9.9725509064199202E-3</c:v>
                </c:pt>
                <c:pt idx="11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4-4310-B45A-94DB5772C795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envelope'!$F$3:$F$41</c:f>
              <c:numCache>
                <c:formatCode>0.0000</c:formatCode>
                <c:ptCount val="39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64-4310-B45A-94DB5772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envelope'!$G$3:$G$26</c:f>
              <c:numCache>
                <c:formatCode>0.0000</c:formatCode>
                <c:ptCount val="24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3-45C2-A8ED-FEBED1ABC14E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B3-45C2-A8ED-FEBED1ABC14E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envelope'!$G$27:$G$38</c:f>
              <c:numCache>
                <c:formatCode>0.0000</c:formatCode>
                <c:ptCount val="12"/>
                <c:pt idx="0">
                  <c:v>4.6667095589632999E-3</c:v>
                </c:pt>
                <c:pt idx="1">
                  <c:v>4.1135640493545804E-3</c:v>
                </c:pt>
                <c:pt idx="2">
                  <c:v>6.1375608082080103E-3</c:v>
                </c:pt>
                <c:pt idx="3">
                  <c:v>4.0069409325786598E-3</c:v>
                </c:pt>
                <c:pt idx="4">
                  <c:v>4.26435563054003E-3</c:v>
                </c:pt>
                <c:pt idx="5">
                  <c:v>5.3544304928017398E-3</c:v>
                </c:pt>
                <c:pt idx="6">
                  <c:v>4.5052689799184196E-3</c:v>
                </c:pt>
                <c:pt idx="7">
                  <c:v>4.5700514622563203E-3</c:v>
                </c:pt>
                <c:pt idx="8">
                  <c:v>4.3864038070395503E-3</c:v>
                </c:pt>
                <c:pt idx="9">
                  <c:v>9.5407724532447606E-3</c:v>
                </c:pt>
                <c:pt idx="10">
                  <c:v>6.2822795747625101E-3</c:v>
                </c:pt>
                <c:pt idx="11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5C2-A8ED-FEBED1ABC14E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244778932124731"/>
                  <c:y val="-0.3200467172717418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238245313445168"/>
                  <c:y val="-0.1887200886495545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envelope'!$G$3:$G$38</c:f>
              <c:numCache>
                <c:formatCode>0.0000</c:formatCode>
                <c:ptCount val="36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  <c:pt idx="24">
                  <c:v>4.6667095589632999E-3</c:v>
                </c:pt>
                <c:pt idx="25">
                  <c:v>4.1135640493545804E-3</c:v>
                </c:pt>
                <c:pt idx="26">
                  <c:v>6.1375608082080103E-3</c:v>
                </c:pt>
                <c:pt idx="27">
                  <c:v>4.0069409325786598E-3</c:v>
                </c:pt>
                <c:pt idx="28">
                  <c:v>4.26435563054003E-3</c:v>
                </c:pt>
                <c:pt idx="29">
                  <c:v>5.3544304928017398E-3</c:v>
                </c:pt>
                <c:pt idx="30">
                  <c:v>4.5052689799184196E-3</c:v>
                </c:pt>
                <c:pt idx="31">
                  <c:v>4.5700514622563203E-3</c:v>
                </c:pt>
                <c:pt idx="32">
                  <c:v>4.3864038070395503E-3</c:v>
                </c:pt>
                <c:pt idx="33">
                  <c:v>9.5407724532447606E-3</c:v>
                </c:pt>
                <c:pt idx="34">
                  <c:v>6.2822795747625101E-3</c:v>
                </c:pt>
                <c:pt idx="35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5C2-A8ED-FEBED1AB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A-4141-A8D3-CB9C0E04A2F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6A-4141-A8D3-CB9C0E04A2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6A-4141-A8D3-CB9C0E04A2F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6A-4141-A8D3-CB9C0E04A2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6A-4141-A8D3-CB9C0E04A2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6A-4141-A8D3-CB9C0E04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5-4497-AC3F-3347B2F6FE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5-4497-AC3F-3347B2F6FE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45-4497-AC3F-3347B2F6FE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45-4497-AC3F-3347B2F6FE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45-4497-AC3F-3347B2F6FE6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45-4497-AC3F-3347B2F6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envelope'!$BA$3:$BA$38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B-498C-9EDA-7ED7E56A7BBD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envelope'!$BB$3:$BB$38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B-498C-9EDA-7ED7E56A7BBD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envelope'!$BC$3:$BC$38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B-498C-9EDA-7ED7E56A7BBD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envelope'!$BD$3:$BD$38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4B-498C-9EDA-7ED7E56A7BBD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envelope'!$BE$3:$BE$38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4B-498C-9EDA-7ED7E56A7BBD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envelope'!$BF$3:$BF$38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4B-498C-9EDA-7ED7E56A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envelope'!$BA$3:$BA$38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474-AFFA-85227DE5E7B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envelope'!$BB$3:$BB$38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474-AFFA-85227DE5E7B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envelope'!$BC$3:$BC$38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8-4474-AFFA-85227DE5E7B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envelope'!$BD$3:$BD$38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8-4474-AFFA-85227DE5E7B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envelope'!$BE$3:$BE$38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8-4474-AFFA-85227DE5E7B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envelope'!$BF$3:$BF$38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48-4474-AFFA-85227DE5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9751095714162165"/>
                  <c:y val="-0.3484562599334605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0-4C78-94C4-A5A26B7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153236503025743"/>
                  <c:y val="-0.311255917819161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7-4BF8-9AAD-4379EAD8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1-4F71-BEF7-AF9C8B4DD3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F1-4F71-BEF7-AF9C8B4DD3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F1-4F71-BEF7-AF9C8B4DD3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F1-4F71-BEF7-AF9C8B4DD3C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F1-4F71-BEF7-AF9C8B4DD3C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F1-4F71-BEF7-AF9C8B4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3-4D9D-8147-60F4DDE922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D9D-8147-60F4DDE9220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83-4D9D-8147-60F4DDE9220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83-4D9D-8147-60F4DDE9220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83-4D9D-8147-60F4DDE9220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83-4D9D-8147-60F4DDE9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7-4695-A894-A7D68BBF17D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87-4695-A894-A7D68BBF17D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87-4695-A894-A7D68BBF17D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87-4695-A894-A7D68BBF17D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87-4695-A894-A7D68BBF17D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87-4695-A894-A7D68BBF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8-45F5-BCF6-875B7AE92B2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8-45F5-BCF6-875B7AE92B2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88-45F5-BCF6-875B7AE92B2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8-45F5-BCF6-875B7AE92B2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8-45F5-BCF6-875B7AE92B2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8-45F5-BCF6-875B7AE9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FE1-BC07-F1F4B82CC46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EF-4FE1-BC07-F1F4B82CC46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F-4FE1-BC07-F1F4B82CC46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EF-4FE1-BC07-F1F4B82CC46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EF-4FE1-BC07-F1F4B82CC46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EF-4FE1-BC07-F1F4B82C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36-46C7-A718-9451DE94801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36-46C7-A718-9451DE94801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6-46C7-A718-9451DE94801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36-46C7-A718-9451DE94801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36-46C7-A718-9451DE94801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36-46C7-A718-9451DE94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E-47EF-AEC5-54D05B386B17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E-47EF-AEC5-54D05B386B17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E-47EF-AEC5-54D05B386B17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7E-47EF-AEC5-54D05B386B17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7E-47EF-AEC5-54D05B386B17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7E-47EF-AEC5-54D05B3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6-4D12-AA06-C67E5243AB00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6-4D12-AA06-C67E5243AB00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46-4D12-AA06-C67E5243AB00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6-4D12-AA06-C67E5243AB00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46-4D12-AA06-C67E5243AB00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46-4D12-AA06-C67E5243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7507209239921237"/>
          <c:y val="5.0547058920484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validation!$C$22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validation!$C$23:$C$32</c:f>
              <c:numCache>
                <c:formatCode>0.00</c:formatCode>
                <c:ptCount val="10"/>
                <c:pt idx="0">
                  <c:v>124.98377815678667</c:v>
                </c:pt>
                <c:pt idx="1">
                  <c:v>28.937326206160222</c:v>
                </c:pt>
                <c:pt idx="2">
                  <c:v>18.125609180160435</c:v>
                </c:pt>
                <c:pt idx="3">
                  <c:v>115.87861276600501</c:v>
                </c:pt>
                <c:pt idx="4">
                  <c:v>50.047379531103338</c:v>
                </c:pt>
                <c:pt idx="5">
                  <c:v>21.125580649870781</c:v>
                </c:pt>
                <c:pt idx="6">
                  <c:v>47.327378278646002</c:v>
                </c:pt>
                <c:pt idx="7">
                  <c:v>26.219116975681892</c:v>
                </c:pt>
                <c:pt idx="8">
                  <c:v>72.712478954005448</c:v>
                </c:pt>
                <c:pt idx="9">
                  <c:v>144.65324145357667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validation!$D$22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985548045311981"/>
                  <c:y val="1.2726541379144673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validation!$D$23:$D$32</c:f>
              <c:numCache>
                <c:formatCode>0.00</c:formatCode>
                <c:ptCount val="10"/>
                <c:pt idx="0">
                  <c:v>97.695517607575738</c:v>
                </c:pt>
                <c:pt idx="1">
                  <c:v>42.558611168539372</c:v>
                </c:pt>
                <c:pt idx="2">
                  <c:v>36.351982834008801</c:v>
                </c:pt>
                <c:pt idx="3">
                  <c:v>92.468560837516662</c:v>
                </c:pt>
                <c:pt idx="4">
                  <c:v>54.677153930522834</c:v>
                </c:pt>
                <c:pt idx="5">
                  <c:v>38.074161455768063</c:v>
                </c:pt>
                <c:pt idx="6">
                  <c:v>53.115696411530919</c:v>
                </c:pt>
                <c:pt idx="7">
                  <c:v>40.998182386644821</c:v>
                </c:pt>
                <c:pt idx="8">
                  <c:v>67.688394230731134</c:v>
                </c:pt>
                <c:pt idx="9">
                  <c:v>108.98706805504749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validation!$E$22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217570298525435"/>
                  <c:y val="8.8849424570255617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validation!$E$23:$E$32</c:f>
              <c:numCache>
                <c:formatCode>0.00</c:formatCode>
                <c:ptCount val="10"/>
                <c:pt idx="0">
                  <c:v>99.727167764153535</c:v>
                </c:pt>
                <c:pt idx="1">
                  <c:v>37.904529640463622</c:v>
                </c:pt>
                <c:pt idx="2">
                  <c:v>24.285515845279502</c:v>
                </c:pt>
                <c:pt idx="3">
                  <c:v>95.389258082839561</c:v>
                </c:pt>
                <c:pt idx="4">
                  <c:v>56.546509704584764</c:v>
                </c:pt>
                <c:pt idx="5">
                  <c:v>28.617151338616932</c:v>
                </c:pt>
                <c:pt idx="6">
                  <c:v>54.454083821996328</c:v>
                </c:pt>
                <c:pt idx="7">
                  <c:v>34.912936092268282</c:v>
                </c:pt>
                <c:pt idx="8">
                  <c:v>71.948486596817986</c:v>
                </c:pt>
                <c:pt idx="9">
                  <c:v>108.59145369385539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5007563972066935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envelope'!$E$27:$E$38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354414750415284"/>
                  <c:y val="0.335636206287156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6164697254213425"/>
          <c:y val="7.116117911305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validation!$H$22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validation!$H$23:$H$32</c:f>
              <c:numCache>
                <c:formatCode>0.00</c:formatCode>
                <c:ptCount val="10"/>
                <c:pt idx="0">
                  <c:v>42.048842752516052</c:v>
                </c:pt>
                <c:pt idx="1">
                  <c:v>14.270611763493299</c:v>
                </c:pt>
                <c:pt idx="2">
                  <c:v>18.597174102918199</c:v>
                </c:pt>
                <c:pt idx="3">
                  <c:v>16.375086362494351</c:v>
                </c:pt>
                <c:pt idx="4">
                  <c:v>169.555535279537</c:v>
                </c:pt>
                <c:pt idx="5">
                  <c:v>34.374447498062203</c:v>
                </c:pt>
                <c:pt idx="6">
                  <c:v>118.23583380553599</c:v>
                </c:pt>
                <c:pt idx="7">
                  <c:v>35.720502265398899</c:v>
                </c:pt>
                <c:pt idx="8">
                  <c:v>171.8536905436255</c:v>
                </c:pt>
                <c:pt idx="9">
                  <c:v>312.02028594886252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validation!$I$22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44074885133918"/>
                  <c:y val="-0.23043210335076003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validation!$I$23:$I$32</c:f>
              <c:numCache>
                <c:formatCode>0.000</c:formatCode>
                <c:ptCount val="10"/>
                <c:pt idx="0">
                  <c:v>47.470032741532719</c:v>
                </c:pt>
                <c:pt idx="1">
                  <c:v>28.836950958716034</c:v>
                </c:pt>
                <c:pt idx="2">
                  <c:v>31.739122444755466</c:v>
                </c:pt>
                <c:pt idx="3">
                  <c:v>30.248590430233961</c:v>
                </c:pt>
                <c:pt idx="4">
                  <c:v>132.99897195480781</c:v>
                </c:pt>
                <c:pt idx="5">
                  <c:v>42.322201892750158</c:v>
                </c:pt>
                <c:pt idx="6">
                  <c:v>98.574742600077442</c:v>
                </c:pt>
                <c:pt idx="7">
                  <c:v>43.225108509584274</c:v>
                </c:pt>
                <c:pt idx="8">
                  <c:v>134.54052854285311</c:v>
                </c:pt>
                <c:pt idx="9">
                  <c:v>228.56147740877799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validation!$J$22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496459626968406"/>
                  <c:y val="-0.1393972112397159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validation!$J$23:$J$32</c:f>
              <c:numCache>
                <c:formatCode>0.000</c:formatCode>
                <c:ptCount val="10"/>
                <c:pt idx="0">
                  <c:v>45.304341949768059</c:v>
                </c:pt>
                <c:pt idx="1">
                  <c:v>21.723372749373084</c:v>
                </c:pt>
                <c:pt idx="2">
                  <c:v>25.693859138130588</c:v>
                </c:pt>
                <c:pt idx="3">
                  <c:v>23.674255529249351</c:v>
                </c:pt>
                <c:pt idx="4">
                  <c:v>131.73155894777705</c:v>
                </c:pt>
                <c:pt idx="5">
                  <c:v>39.157632327795177</c:v>
                </c:pt>
                <c:pt idx="6">
                  <c:v>99.290043013447303</c:v>
                </c:pt>
                <c:pt idx="7">
                  <c:v>40.251356089000254</c:v>
                </c:pt>
                <c:pt idx="8">
                  <c:v>133.13743373735352</c:v>
                </c:pt>
                <c:pt idx="9">
                  <c:v>213.73524192239634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validation!$M$23:$M$32</c:f>
              <c:numCache>
                <c:formatCode>0.00</c:formatCode>
                <c:ptCount val="10"/>
                <c:pt idx="0">
                  <c:v>192.24182948416956</c:v>
                </c:pt>
                <c:pt idx="1">
                  <c:v>122.8796103877864</c:v>
                </c:pt>
                <c:pt idx="2">
                  <c:v>123.49327885540521</c:v>
                </c:pt>
                <c:pt idx="3">
                  <c:v>140.49231944235979</c:v>
                </c:pt>
                <c:pt idx="4">
                  <c:v>-102.87822339104389</c:v>
                </c:pt>
                <c:pt idx="5">
                  <c:v>-112.52100226459201</c:v>
                </c:pt>
                <c:pt idx="6">
                  <c:v>62.619621593980547</c:v>
                </c:pt>
                <c:pt idx="7">
                  <c:v>78.617868361458108</c:v>
                </c:pt>
                <c:pt idx="8">
                  <c:v>143.23179194974065</c:v>
                </c:pt>
                <c:pt idx="9">
                  <c:v>110.76046460661844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validation!$P$22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validation!$P$23:$P$26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validation!$S$22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9.6408850792385134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validation!$S$23:$S$32</c:f>
              <c:numCache>
                <c:formatCode>0.00</c:formatCode>
                <c:ptCount val="10"/>
                <c:pt idx="0">
                  <c:v>47.011462828327836</c:v>
                </c:pt>
                <c:pt idx="1">
                  <c:v>42.871088475303516</c:v>
                </c:pt>
                <c:pt idx="2">
                  <c:v>53.945670493273312</c:v>
                </c:pt>
                <c:pt idx="3">
                  <c:v>43.868704467680203</c:v>
                </c:pt>
                <c:pt idx="4">
                  <c:v>129.64998</c:v>
                </c:pt>
                <c:pt idx="5">
                  <c:v>128.71956</c:v>
                </c:pt>
                <c:pt idx="6">
                  <c:v>116.184735</c:v>
                </c:pt>
                <c:pt idx="7">
                  <c:v>85.007050000000007</c:v>
                </c:pt>
                <c:pt idx="8">
                  <c:v>116.98593000000001</c:v>
                </c:pt>
                <c:pt idx="9">
                  <c:v>106.346405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validation!$T$22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4.063590152496764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validation!$T$23:$T$32</c:f>
              <c:numCache>
                <c:formatCode>0.00</c:formatCode>
                <c:ptCount val="10"/>
                <c:pt idx="0">
                  <c:v>32.342147494732167</c:v>
                </c:pt>
                <c:pt idx="1">
                  <c:v>25.960620247950711</c:v>
                </c:pt>
                <c:pt idx="2">
                  <c:v>42.794842976188278</c:v>
                </c:pt>
                <c:pt idx="3">
                  <c:v>27.509761120953833</c:v>
                </c:pt>
                <c:pt idx="4">
                  <c:v>148.35430688486392</c:v>
                </c:pt>
                <c:pt idx="5">
                  <c:v>147.11135128513553</c:v>
                </c:pt>
                <c:pt idx="6">
                  <c:v>130.27180720268166</c:v>
                </c:pt>
                <c:pt idx="7">
                  <c:v>87.464599916915816</c:v>
                </c:pt>
                <c:pt idx="8">
                  <c:v>131.35365131305872</c:v>
                </c:pt>
                <c:pt idx="9">
                  <c:v>116.92018501445042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validation!$X$22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validation!$X$23:$X$32</c:f>
              <c:numCache>
                <c:formatCode>0.000</c:formatCode>
                <c:ptCount val="10"/>
                <c:pt idx="0">
                  <c:v>41.207262199211904</c:v>
                </c:pt>
                <c:pt idx="1">
                  <c:v>20.565616418960641</c:v>
                </c:pt>
                <c:pt idx="2">
                  <c:v>23.029020988777891</c:v>
                </c:pt>
                <c:pt idx="3">
                  <c:v>20.442917594091853</c:v>
                </c:pt>
                <c:pt idx="4">
                  <c:v>796.60425833333341</c:v>
                </c:pt>
                <c:pt idx="5">
                  <c:v>30.164400000000001</c:v>
                </c:pt>
                <c:pt idx="6">
                  <c:v>247.19887500000002</c:v>
                </c:pt>
                <c:pt idx="7">
                  <c:v>36.063358333333333</c:v>
                </c:pt>
                <c:pt idx="8">
                  <c:v>354.7014916666667</c:v>
                </c:pt>
                <c:pt idx="9">
                  <c:v>471.12333333333339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validation!$Y$22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validation!$Y$23:$Y$32</c:f>
              <c:numCache>
                <c:formatCode>0.00</c:formatCode>
                <c:ptCount val="10"/>
                <c:pt idx="0">
                  <c:v>40.923634346381888</c:v>
                </c:pt>
                <c:pt idx="1">
                  <c:v>15.263430355503798</c:v>
                </c:pt>
                <c:pt idx="2">
                  <c:v>19.104974879697991</c:v>
                </c:pt>
                <c:pt idx="3">
                  <c:v>15.060376567986314</c:v>
                </c:pt>
                <c:pt idx="4">
                  <c:v>399.78616697995858</c:v>
                </c:pt>
                <c:pt idx="5">
                  <c:v>28.624581823342357</c:v>
                </c:pt>
                <c:pt idx="6">
                  <c:v>176.17569838163556</c:v>
                </c:pt>
                <c:pt idx="7">
                  <c:v>35.451681043177459</c:v>
                </c:pt>
                <c:pt idx="8">
                  <c:v>227.72971489098444</c:v>
                </c:pt>
                <c:pt idx="9">
                  <c:v>277.85831750426343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validation!$AC$22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validation!$AC$23:$AC$32</c:f>
              <c:numCache>
                <c:formatCode>0.00</c:formatCode>
                <c:ptCount val="10"/>
                <c:pt idx="0">
                  <c:v>34.055752376002616</c:v>
                </c:pt>
                <c:pt idx="1">
                  <c:v>3.5639348475274497</c:v>
                </c:pt>
                <c:pt idx="2">
                  <c:v>2.1431694484715615</c:v>
                </c:pt>
                <c:pt idx="3">
                  <c:v>4.8389804371860778</c:v>
                </c:pt>
                <c:pt idx="4">
                  <c:v>37.953734061930788</c:v>
                </c:pt>
                <c:pt idx="5">
                  <c:v>2.2524590163934426</c:v>
                </c:pt>
                <c:pt idx="6">
                  <c:v>23.017486338797816</c:v>
                </c:pt>
                <c:pt idx="7">
                  <c:v>8.2633879781420774</c:v>
                </c:pt>
                <c:pt idx="8">
                  <c:v>119.37449908925321</c:v>
                </c:pt>
                <c:pt idx="9">
                  <c:v>376.02295081967219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validation!$AD$22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validation!$AD$23:$AD$32</c:f>
              <c:numCache>
                <c:formatCode>0.00</c:formatCode>
                <c:ptCount val="10"/>
                <c:pt idx="0">
                  <c:v>45.44043253352951</c:v>
                </c:pt>
                <c:pt idx="1">
                  <c:v>27.704673245050621</c:v>
                </c:pt>
                <c:pt idx="2">
                  <c:v>26.878276028829479</c:v>
                </c:pt>
                <c:pt idx="3">
                  <c:v>28.446311608815058</c:v>
                </c:pt>
                <c:pt idx="4">
                  <c:v>47.707718333333332</c:v>
                </c:pt>
                <c:pt idx="5">
                  <c:v>26.941844999999997</c:v>
                </c:pt>
                <c:pt idx="6">
                  <c:v>39.019954999999996</c:v>
                </c:pt>
                <c:pt idx="7">
                  <c:v>30.438139999999997</c:v>
                </c:pt>
                <c:pt idx="8">
                  <c:v>95.066623333333339</c:v>
                </c:pt>
                <c:pt idx="9">
                  <c:v>244.347825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validation!$AE$22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26990537771267"/>
                  <c:y val="-0.1668336734508704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validation!$AE$23:$AE$32</c:f>
              <c:numCache>
                <c:formatCode>0.00</c:formatCode>
                <c:ptCount val="10"/>
                <c:pt idx="0">
                  <c:v>49.260837883196288</c:v>
                </c:pt>
                <c:pt idx="1">
                  <c:v>16.178763293074105</c:v>
                </c:pt>
                <c:pt idx="2">
                  <c:v>9.2058127259320273</c:v>
                </c:pt>
                <c:pt idx="3">
                  <c:v>19.832581929011742</c:v>
                </c:pt>
                <c:pt idx="4">
                  <c:v>51.494025006246446</c:v>
                </c:pt>
                <c:pt idx="5">
                  <c:v>10.042178776596568</c:v>
                </c:pt>
                <c:pt idx="6">
                  <c:v>41.866420008767221</c:v>
                </c:pt>
                <c:pt idx="7">
                  <c:v>26.447515495202428</c:v>
                </c:pt>
                <c:pt idx="8">
                  <c:v>81.478196599739903</c:v>
                </c:pt>
                <c:pt idx="9">
                  <c:v>127.90766310578329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validation!$AF$22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validation!$AF$23:$AF$26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validation!$AI$22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validation!$AI$23:$AI$32</c:f>
              <c:numCache>
                <c:formatCode>0.00</c:formatCode>
                <c:ptCount val="10"/>
                <c:pt idx="0">
                  <c:v>29.615074905839549</c:v>
                </c:pt>
                <c:pt idx="1">
                  <c:v>4.0920504938377666</c:v>
                </c:pt>
                <c:pt idx="2">
                  <c:v>2.8368200836820083</c:v>
                </c:pt>
                <c:pt idx="3">
                  <c:v>4.7894005741147057</c:v>
                </c:pt>
                <c:pt idx="4">
                  <c:v>10.507670850767084</c:v>
                </c:pt>
                <c:pt idx="5">
                  <c:v>2.8368200836820083</c:v>
                </c:pt>
                <c:pt idx="6">
                  <c:v>4.2315202231520219</c:v>
                </c:pt>
                <c:pt idx="7">
                  <c:v>2.8368200836820083</c:v>
                </c:pt>
                <c:pt idx="8">
                  <c:v>22.362622036262202</c:v>
                </c:pt>
                <c:pt idx="9">
                  <c:v>90.702928870292894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validation!$AJ$22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215695827785504"/>
                  <c:y val="-0.23292579718656534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validation!$AJ$23:$AJ$32</c:f>
              <c:numCache>
                <c:formatCode>0.00</c:formatCode>
                <c:ptCount val="10"/>
                <c:pt idx="0">
                  <c:v>49.598324488129023</c:v>
                </c:pt>
                <c:pt idx="1">
                  <c:v>40.165890105190499</c:v>
                </c:pt>
                <c:pt idx="2">
                  <c:v>39.701999999999998</c:v>
                </c:pt>
                <c:pt idx="3">
                  <c:v>40.4236067757531</c:v>
                </c:pt>
                <c:pt idx="4">
                  <c:v>42.536883333333328</c:v>
                </c:pt>
                <c:pt idx="5">
                  <c:v>39.701999999999998</c:v>
                </c:pt>
                <c:pt idx="6">
                  <c:v>40.217433333333332</c:v>
                </c:pt>
                <c:pt idx="7">
                  <c:v>39.701999999999998</c:v>
                </c:pt>
                <c:pt idx="8">
                  <c:v>46.918066666666661</c:v>
                </c:pt>
                <c:pt idx="9">
                  <c:v>72.174299999999988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ser>
          <c:idx val="2"/>
          <c:order val="2"/>
          <c:tx>
            <c:strRef>
              <c:f>validation!$AK$22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805558241654704"/>
                  <c:y val="-0.2011498557318741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validation!$AK$23:$AK$32</c:f>
              <c:numCache>
                <c:formatCode>0.00</c:formatCode>
                <c:ptCount val="10"/>
                <c:pt idx="0">
                  <c:v>42.159524335536283</c:v>
                </c:pt>
                <c:pt idx="1">
                  <c:v>35.224946476263852</c:v>
                </c:pt>
                <c:pt idx="2">
                  <c:v>34.914999999999999</c:v>
                </c:pt>
                <c:pt idx="3">
                  <c:v>35.398326265143709</c:v>
                </c:pt>
                <c:pt idx="4">
                  <c:v>36.852613408536079</c:v>
                </c:pt>
                <c:pt idx="5">
                  <c:v>34.914999999999999</c:v>
                </c:pt>
                <c:pt idx="6">
                  <c:v>35.259554292731977</c:v>
                </c:pt>
                <c:pt idx="7">
                  <c:v>34.914999999999999</c:v>
                </c:pt>
                <c:pt idx="8">
                  <c:v>40.060729341415872</c:v>
                </c:pt>
                <c:pt idx="9">
                  <c:v>64.817558833022787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EF-4B00-AAF4-A7F30E8F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8999999294288179"/>
          <c:h val="6.5650658321276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validation!$AO$22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validation!$AO$23:$AO$32</c:f>
              <c:numCache>
                <c:formatCode>0.00</c:formatCode>
                <c:ptCount val="10"/>
                <c:pt idx="0">
                  <c:v>44.637690361172815</c:v>
                </c:pt>
                <c:pt idx="1">
                  <c:v>24.347826086956523</c:v>
                </c:pt>
                <c:pt idx="2">
                  <c:v>24.347826086956523</c:v>
                </c:pt>
                <c:pt idx="3">
                  <c:v>28.212560970711511</c:v>
                </c:pt>
                <c:pt idx="4">
                  <c:v>24.347826086956523</c:v>
                </c:pt>
                <c:pt idx="5">
                  <c:v>24.347826086956523</c:v>
                </c:pt>
                <c:pt idx="6">
                  <c:v>24.347826086956523</c:v>
                </c:pt>
                <c:pt idx="7">
                  <c:v>24.347826086956523</c:v>
                </c:pt>
                <c:pt idx="8">
                  <c:v>26.763285024154591</c:v>
                </c:pt>
                <c:pt idx="9">
                  <c:v>29.178743961352659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validation!$AP$22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validation!$AP$23:$AP$32</c:f>
              <c:numCache>
                <c:formatCode>0.00</c:formatCode>
                <c:ptCount val="10"/>
                <c:pt idx="0">
                  <c:v>53.097644481017909</c:v>
                </c:pt>
                <c:pt idx="1">
                  <c:v>43.216999999999999</c:v>
                </c:pt>
                <c:pt idx="2">
                  <c:v>43.216999999999999</c:v>
                </c:pt>
                <c:pt idx="3">
                  <c:v>45.099026951175652</c:v>
                </c:pt>
                <c:pt idx="4">
                  <c:v>43.216999999999999</c:v>
                </c:pt>
                <c:pt idx="5">
                  <c:v>43.216999999999999</c:v>
                </c:pt>
                <c:pt idx="6">
                  <c:v>43.216999999999999</c:v>
                </c:pt>
                <c:pt idx="7">
                  <c:v>43.216999999999999</c:v>
                </c:pt>
                <c:pt idx="8">
                  <c:v>44.393266666666662</c:v>
                </c:pt>
                <c:pt idx="9">
                  <c:v>45.569533333333332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ser>
          <c:idx val="2"/>
          <c:order val="2"/>
          <c:tx>
            <c:strRef>
              <c:f>validation!$AQ$22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076771494949153"/>
                  <c:y val="-0.1253652895343331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validation!$AQ$23:$AQ$32</c:f>
              <c:numCache>
                <c:formatCode>0.00</c:formatCode>
                <c:ptCount val="10"/>
                <c:pt idx="0">
                  <c:v>45.769097662017188</c:v>
                </c:pt>
                <c:pt idx="1">
                  <c:v>38.631</c:v>
                </c:pt>
                <c:pt idx="2">
                  <c:v>38.631</c:v>
                </c:pt>
                <c:pt idx="3">
                  <c:v>39.898992296177823</c:v>
                </c:pt>
                <c:pt idx="4">
                  <c:v>38.631</c:v>
                </c:pt>
                <c:pt idx="5">
                  <c:v>38.631</c:v>
                </c:pt>
                <c:pt idx="6">
                  <c:v>38.631</c:v>
                </c:pt>
                <c:pt idx="7">
                  <c:v>38.631</c:v>
                </c:pt>
                <c:pt idx="8">
                  <c:v>39.418689749666562</c:v>
                </c:pt>
                <c:pt idx="9">
                  <c:v>40.222440567949768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1E-4E55-BD16-159A5CB06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616613231237254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validation!$AW$22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0.26383233552691271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validation!$AW$23:$AW$32</c:f>
              <c:numCache>
                <c:formatCode>0.00</c:formatCode>
                <c:ptCount val="10"/>
                <c:pt idx="0">
                  <c:v>97.695476093415863</c:v>
                </c:pt>
                <c:pt idx="1">
                  <c:v>42.55860423110196</c:v>
                </c:pt>
                <c:pt idx="2">
                  <c:v>36.351979788789492</c:v>
                </c:pt>
                <c:pt idx="3">
                  <c:v>92.468522601216051</c:v>
                </c:pt>
                <c:pt idx="4">
                  <c:v>54.677139393466177</c:v>
                </c:pt>
                <c:pt idx="5">
                  <c:v>38.074157330559025</c:v>
                </c:pt>
                <c:pt idx="6">
                  <c:v>53.115682853674762</c:v>
                </c:pt>
                <c:pt idx="7">
                  <c:v>40.998176427762694</c:v>
                </c:pt>
                <c:pt idx="8">
                  <c:v>67.688371534238698</c:v>
                </c:pt>
                <c:pt idx="9">
                  <c:v>108.98701945988103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validation!$AX$22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665136985213077"/>
                  <c:y val="-0.1716459104234339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validation!$AX$23:$AX$32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42.558604231101967</c:v>
                </c:pt>
                <c:pt idx="2">
                  <c:v>36.351979788789485</c:v>
                </c:pt>
                <c:pt idx="3">
                  <c:v>92.468522601215938</c:v>
                </c:pt>
                <c:pt idx="4">
                  <c:v>54.677139393466206</c:v>
                </c:pt>
                <c:pt idx="5">
                  <c:v>38.074157330559068</c:v>
                </c:pt>
                <c:pt idx="6">
                  <c:v>53.115682853674762</c:v>
                </c:pt>
                <c:pt idx="7">
                  <c:v>40.998176427762715</c:v>
                </c:pt>
                <c:pt idx="8">
                  <c:v>67.68837153423857</c:v>
                </c:pt>
                <c:pt idx="9">
                  <c:v>108.9870194598809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validation!$AY$22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8.7840069420271449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validation!$AY$23:$AY$32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42.558604231101945</c:v>
                </c:pt>
                <c:pt idx="2">
                  <c:v>36.351979788789492</c:v>
                </c:pt>
                <c:pt idx="3">
                  <c:v>92.468522601215994</c:v>
                </c:pt>
                <c:pt idx="4">
                  <c:v>54.677139393466177</c:v>
                </c:pt>
                <c:pt idx="5">
                  <c:v>38.074157330559075</c:v>
                </c:pt>
                <c:pt idx="6">
                  <c:v>53.115682853674741</c:v>
                </c:pt>
                <c:pt idx="7">
                  <c:v>40.998176427762729</c:v>
                </c:pt>
                <c:pt idx="8">
                  <c:v>67.688371534238684</c:v>
                </c:pt>
                <c:pt idx="9">
                  <c:v>108.9870194598811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validation!$AZ$22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901158600088688"/>
                  <c:y val="-0.1207477196727612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validation!$AZ$23:$AZ$32</c:f>
              <c:numCache>
                <c:formatCode>0.00</c:formatCode>
                <c:ptCount val="10"/>
                <c:pt idx="0">
                  <c:v>97.695819187166947</c:v>
                </c:pt>
                <c:pt idx="1">
                  <c:v>42.561160235106172</c:v>
                </c:pt>
                <c:pt idx="2">
                  <c:v>35.798757291920879</c:v>
                </c:pt>
                <c:pt idx="3">
                  <c:v>92.469075477977853</c:v>
                </c:pt>
                <c:pt idx="4">
                  <c:v>48.784451257564484</c:v>
                </c:pt>
                <c:pt idx="5">
                  <c:v>37.663143822065457</c:v>
                </c:pt>
                <c:pt idx="6">
                  <c:v>53.117815150879217</c:v>
                </c:pt>
                <c:pt idx="7">
                  <c:v>41.000795059307585</c:v>
                </c:pt>
                <c:pt idx="8">
                  <c:v>67.689918958723638</c:v>
                </c:pt>
                <c:pt idx="9">
                  <c:v>108.9869093691977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validation!$BA$22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433588858025625"/>
                  <c:y val="-0.2070485991391754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validation!$BA$23:$BA$32</c:f>
              <c:numCache>
                <c:formatCode>0.00</c:formatCode>
                <c:ptCount val="10"/>
                <c:pt idx="0">
                  <c:v>97.20996129768622</c:v>
                </c:pt>
                <c:pt idx="1">
                  <c:v>44.072453848905766</c:v>
                </c:pt>
                <c:pt idx="2">
                  <c:v>33.411000000000001</c:v>
                </c:pt>
                <c:pt idx="3">
                  <c:v>92.172546755566742</c:v>
                </c:pt>
                <c:pt idx="4">
                  <c:v>50.070317612774126</c:v>
                </c:pt>
                <c:pt idx="5">
                  <c:v>33.411000000000001</c:v>
                </c:pt>
                <c:pt idx="6">
                  <c:v>50.95799155206047</c:v>
                </c:pt>
                <c:pt idx="7">
                  <c:v>33.411000000000001</c:v>
                </c:pt>
                <c:pt idx="8">
                  <c:v>68.082911017010773</c:v>
                </c:pt>
                <c:pt idx="9">
                  <c:v>108.09205252770886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validation!$BB$22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836298084214814"/>
                  <c:y val="7.8384856878430387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validation!$BB$23:$BB$32</c:f>
              <c:numCache>
                <c:formatCode>0.000</c:formatCode>
                <c:ptCount val="10"/>
                <c:pt idx="0">
                  <c:v>94.751502888379235</c:v>
                </c:pt>
                <c:pt idx="1">
                  <c:v>59.341999999999999</c:v>
                </c:pt>
                <c:pt idx="2">
                  <c:v>59.341999999999999</c:v>
                </c:pt>
                <c:pt idx="3">
                  <c:v>91.955652593155037</c:v>
                </c:pt>
                <c:pt idx="4">
                  <c:v>59.341999999999999</c:v>
                </c:pt>
                <c:pt idx="5">
                  <c:v>59.341999999999999</c:v>
                </c:pt>
                <c:pt idx="6">
                  <c:v>59.341999999999999</c:v>
                </c:pt>
                <c:pt idx="7">
                  <c:v>59.341999999999999</c:v>
                </c:pt>
                <c:pt idx="8">
                  <c:v>74.456304696271587</c:v>
                </c:pt>
                <c:pt idx="9">
                  <c:v>86.294423220422289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validation!$BF$22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validation!$BF$23:$BF$32</c:f>
              <c:numCache>
                <c:formatCode>0.00</c:formatCode>
                <c:ptCount val="10"/>
                <c:pt idx="0">
                  <c:v>99.694232599765229</c:v>
                </c:pt>
                <c:pt idx="1">
                  <c:v>37.892011567978848</c:v>
                </c:pt>
                <c:pt idx="2">
                  <c:v>24.277495488594788</c:v>
                </c:pt>
                <c:pt idx="3">
                  <c:v>95.357755524747361</c:v>
                </c:pt>
                <c:pt idx="4">
                  <c:v>56.527835068229642</c:v>
                </c:pt>
                <c:pt idx="5">
                  <c:v>28.607700447703241</c:v>
                </c:pt>
                <c:pt idx="6">
                  <c:v>54.43610021489598</c:v>
                </c:pt>
                <c:pt idx="7">
                  <c:v>34.90140600156915</c:v>
                </c:pt>
                <c:pt idx="8">
                  <c:v>71.924725416322232</c:v>
                </c:pt>
                <c:pt idx="9">
                  <c:v>108.55559107528565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validation!$BG$22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validation!$BG$23:$BG$32</c:f>
              <c:numCache>
                <c:formatCode>0.00</c:formatCode>
                <c:ptCount val="10"/>
                <c:pt idx="0">
                  <c:v>99.698564460136211</c:v>
                </c:pt>
                <c:pt idx="1">
                  <c:v>37.89365803135999</c:v>
                </c:pt>
                <c:pt idx="2">
                  <c:v>24.278550381318947</c:v>
                </c:pt>
                <c:pt idx="3">
                  <c:v>95.361898958840129</c:v>
                </c:pt>
                <c:pt idx="4">
                  <c:v>56.530291285426998</c:v>
                </c:pt>
                <c:pt idx="5">
                  <c:v>28.608943494172923</c:v>
                </c:pt>
                <c:pt idx="6">
                  <c:v>54.438465543151352</c:v>
                </c:pt>
                <c:pt idx="7">
                  <c:v>34.902922518759851</c:v>
                </c:pt>
                <c:pt idx="8">
                  <c:v>71.927850650947946</c:v>
                </c:pt>
                <c:pt idx="9">
                  <c:v>108.56030797465634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validation!$BH$22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validation!$BH$23:$BH$32</c:f>
              <c:numCache>
                <c:formatCode>0.00</c:formatCode>
                <c:ptCount val="10"/>
                <c:pt idx="0">
                  <c:v>99.707475964800153</c:v>
                </c:pt>
                <c:pt idx="1">
                  <c:v>37.897045136401111</c:v>
                </c:pt>
                <c:pt idx="2">
                  <c:v>24.280720506998595</c:v>
                </c:pt>
                <c:pt idx="3">
                  <c:v>95.37042283289928</c:v>
                </c:pt>
                <c:pt idx="4">
                  <c:v>56.535344216300857</c:v>
                </c:pt>
                <c:pt idx="5">
                  <c:v>28.611500689803187</c:v>
                </c:pt>
                <c:pt idx="6">
                  <c:v>54.443331497262228</c:v>
                </c:pt>
                <c:pt idx="7">
                  <c:v>34.906042298452746</c:v>
                </c:pt>
                <c:pt idx="8">
                  <c:v>71.934279884708971</c:v>
                </c:pt>
                <c:pt idx="9">
                  <c:v>108.57001158168504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validation!$BI$22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validation!$BI$23:$BI$32</c:f>
              <c:numCache>
                <c:formatCode>0.00</c:formatCode>
                <c:ptCount val="10"/>
                <c:pt idx="0">
                  <c:v>99.679486561846588</c:v>
                </c:pt>
                <c:pt idx="1">
                  <c:v>37.920313348849398</c:v>
                </c:pt>
                <c:pt idx="2">
                  <c:v>22.760195936132316</c:v>
                </c:pt>
                <c:pt idx="3">
                  <c:v>95.347571958453543</c:v>
                </c:pt>
                <c:pt idx="4">
                  <c:v>48.259709693663041</c:v>
                </c:pt>
                <c:pt idx="5">
                  <c:v>27.648962903321891</c:v>
                </c:pt>
                <c:pt idx="6">
                  <c:v>54.458511303586427</c:v>
                </c:pt>
                <c:pt idx="7">
                  <c:v>34.930129534914791</c:v>
                </c:pt>
                <c:pt idx="8">
                  <c:v>71.93580184996776</c:v>
                </c:pt>
                <c:pt idx="9">
                  <c:v>108.53098774822755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validation!$BU$22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validation!$BT$22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validation!$BP$23:$BP$32</c:f>
              <c:numCache>
                <c:formatCode>0.00</c:formatCode>
                <c:ptCount val="10"/>
                <c:pt idx="0">
                  <c:v>364.33260145892592</c:v>
                </c:pt>
                <c:pt idx="1">
                  <c:v>74.414803400430642</c:v>
                </c:pt>
                <c:pt idx="2">
                  <c:v>41.779457380353541</c:v>
                </c:pt>
                <c:pt idx="3">
                  <c:v>336.84850967372444</c:v>
                </c:pt>
                <c:pt idx="4">
                  <c:v>138.13584725544999</c:v>
                </c:pt>
                <c:pt idx="5">
                  <c:v>50.834920701204027</c:v>
                </c:pt>
                <c:pt idx="6">
                  <c:v>129.92547864928713</c:v>
                </c:pt>
                <c:pt idx="7">
                  <c:v>66.209844042143445</c:v>
                </c:pt>
                <c:pt idx="8">
                  <c:v>206.55082338431853</c:v>
                </c:pt>
                <c:pt idx="9">
                  <c:v>423.70520057304276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validation!$BQ$23:$BQ$32</c:f>
              <c:numCache>
                <c:formatCode>0.00</c:formatCode>
                <c:ptCount val="10"/>
                <c:pt idx="0">
                  <c:v>364.32728764642911</c:v>
                </c:pt>
                <c:pt idx="1">
                  <c:v>74.413915408439124</c:v>
                </c:pt>
                <c:pt idx="2">
                  <c:v>41.779067592282487</c:v>
                </c:pt>
                <c:pt idx="3">
                  <c:v>336.84361542724753</c:v>
                </c:pt>
                <c:pt idx="4">
                  <c:v>138.13398651220135</c:v>
                </c:pt>
                <c:pt idx="5">
                  <c:v>50.834392674447884</c:v>
                </c:pt>
                <c:pt idx="6">
                  <c:v>129.92374324369607</c:v>
                </c:pt>
                <c:pt idx="7">
                  <c:v>66.20908130523334</c:v>
                </c:pt>
                <c:pt idx="8">
                  <c:v>206.5479182332877</c:v>
                </c:pt>
                <c:pt idx="9">
                  <c:v>423.69898039167595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validation!$BR$23:$BR$32</c:f>
              <c:numCache>
                <c:formatCode>0.00</c:formatCode>
                <c:ptCount val="10"/>
                <c:pt idx="0">
                  <c:v>319.96390759037655</c:v>
                </c:pt>
                <c:pt idx="1">
                  <c:v>68.582835131746805</c:v>
                </c:pt>
                <c:pt idx="2">
                  <c:v>40.285475198949058</c:v>
                </c:pt>
                <c:pt idx="3">
                  <c:v>296.13308204333094</c:v>
                </c:pt>
                <c:pt idx="4">
                  <c:v>123.83389060239504</c:v>
                </c:pt>
                <c:pt idx="5">
                  <c:v>48.137259727010147</c:v>
                </c:pt>
                <c:pt idx="6">
                  <c:v>116.71486831635562</c:v>
                </c:pt>
                <c:pt idx="7">
                  <c:v>61.468503080461439</c:v>
                </c:pt>
                <c:pt idx="8">
                  <c:v>183.15494707660451</c:v>
                </c:pt>
                <c:pt idx="9">
                  <c:v>371.44452637236492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validation!$BS$23:$BS$32</c:f>
              <c:numCache>
                <c:formatCode>0.00</c:formatCode>
                <c:ptCount val="10"/>
                <c:pt idx="0">
                  <c:v>234.71949110814046</c:v>
                </c:pt>
                <c:pt idx="1">
                  <c:v>55.266300283589857</c:v>
                </c:pt>
                <c:pt idx="2">
                  <c:v>33.255920445181978</c:v>
                </c:pt>
                <c:pt idx="3">
                  <c:v>217.7074000920035</c:v>
                </c:pt>
                <c:pt idx="4">
                  <c:v>75.521969814092728</c:v>
                </c:pt>
                <c:pt idx="5">
                  <c:v>39.324156254088734</c:v>
                </c:pt>
                <c:pt idx="6">
                  <c:v>89.626273575822253</c:v>
                </c:pt>
                <c:pt idx="7">
                  <c:v>50.187598157364015</c:v>
                </c:pt>
                <c:pt idx="8">
                  <c:v>137.05579567766384</c:v>
                </c:pt>
                <c:pt idx="9">
                  <c:v>271.46991633186343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validation!$BY$22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validation!$BY$23:$BY$32</c:f>
              <c:numCache>
                <c:formatCode>0.00</c:formatCode>
                <c:ptCount val="10"/>
                <c:pt idx="0">
                  <c:v>318.9670548214167</c:v>
                </c:pt>
                <c:pt idx="1">
                  <c:v>74.975956194233888</c:v>
                </c:pt>
                <c:pt idx="2">
                  <c:v>38.506328399357002</c:v>
                </c:pt>
                <c:pt idx="3">
                  <c:v>298.42645328901642</c:v>
                </c:pt>
                <c:pt idx="4">
                  <c:v>136.43689124312615</c:v>
                </c:pt>
                <c:pt idx="5">
                  <c:v>49.228886624186863</c:v>
                </c:pt>
                <c:pt idx="6">
                  <c:v>128.95013253278273</c:v>
                </c:pt>
                <c:pt idx="7">
                  <c:v>66.294952780660694</c:v>
                </c:pt>
                <c:pt idx="8">
                  <c:v>195.66674067824201</c:v>
                </c:pt>
                <c:pt idx="9">
                  <c:v>362.32589731034267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validation!$BZ$22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validation!$BZ$23:$BZ$32</c:f>
              <c:numCache>
                <c:formatCode>0.00</c:formatCode>
                <c:ptCount val="10"/>
                <c:pt idx="0">
                  <c:v>318.95677155946009</c:v>
                </c:pt>
                <c:pt idx="1">
                  <c:v>74.973539024854261</c:v>
                </c:pt>
                <c:pt idx="2">
                  <c:v>38.5050869838065</c:v>
                </c:pt>
                <c:pt idx="3">
                  <c:v>298.41683224086142</c:v>
                </c:pt>
                <c:pt idx="4">
                  <c:v>136.43249261865367</c:v>
                </c:pt>
                <c:pt idx="5">
                  <c:v>49.227299521289261</c:v>
                </c:pt>
                <c:pt idx="6">
                  <c:v>128.94597527587422</c:v>
                </c:pt>
                <c:pt idx="7">
                  <c:v>66.292815480411207</c:v>
                </c:pt>
                <c:pt idx="8">
                  <c:v>195.66043252722616</c:v>
                </c:pt>
                <c:pt idx="9">
                  <c:v>362.31421619136893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validation!$CA$22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validation!$CA$24:$CA$33</c:f>
              <c:numCache>
                <c:formatCode>0.00</c:formatCode>
                <c:ptCount val="10"/>
                <c:pt idx="0">
                  <c:v>69.413766763516179</c:v>
                </c:pt>
                <c:pt idx="1">
                  <c:v>36.229662410963577</c:v>
                </c:pt>
                <c:pt idx="2">
                  <c:v>267.19719303270881</c:v>
                </c:pt>
                <c:pt idx="3">
                  <c:v>124.49685404636813</c:v>
                </c:pt>
                <c:pt idx="4">
                  <c:v>46.043504745447692</c:v>
                </c:pt>
                <c:pt idx="5">
                  <c:v>117.82622122727562</c:v>
                </c:pt>
                <c:pt idx="6">
                  <c:v>61.559961087008617</c:v>
                </c:pt>
                <c:pt idx="7">
                  <c:v>176.99105596955152</c:v>
                </c:pt>
                <c:pt idx="8">
                  <c:v>322.88900229882751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validation!$CB$22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validation!$CB$23:$CB$32</c:f>
              <c:numCache>
                <c:formatCode>0.00</c:formatCode>
                <c:ptCount val="10"/>
                <c:pt idx="0">
                  <c:v>213.30081318545697</c:v>
                </c:pt>
                <c:pt idx="1">
                  <c:v>53.94458799502717</c:v>
                </c:pt>
                <c:pt idx="2">
                  <c:v>26.097541183844328</c:v>
                </c:pt>
                <c:pt idx="3">
                  <c:v>200.23729242898125</c:v>
                </c:pt>
                <c:pt idx="4">
                  <c:v>76.014270757012255</c:v>
                </c:pt>
                <c:pt idx="5">
                  <c:v>34.419099043102484</c:v>
                </c:pt>
                <c:pt idx="6">
                  <c:v>90.270550237634694</c:v>
                </c:pt>
                <c:pt idx="7">
                  <c:v>47.996231039517724</c:v>
                </c:pt>
                <c:pt idx="8">
                  <c:v>134.11866065202094</c:v>
                </c:pt>
                <c:pt idx="9">
                  <c:v>240.74020676375775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validation!$N$82:$N$91</c:f>
              <c:numCache>
                <c:formatCode>0.00</c:formatCode>
                <c:ptCount val="10"/>
                <c:pt idx="0">
                  <c:v>80.679975028742447</c:v>
                </c:pt>
                <c:pt idx="1">
                  <c:v>62.032648320418033</c:v>
                </c:pt>
                <c:pt idx="2">
                  <c:v>34.678640794346997</c:v>
                </c:pt>
                <c:pt idx="3">
                  <c:v>79.820147748538403</c:v>
                </c:pt>
                <c:pt idx="4">
                  <c:v>66.172138013622003</c:v>
                </c:pt>
                <c:pt idx="5">
                  <c:v>21.355614110918637</c:v>
                </c:pt>
                <c:pt idx="6">
                  <c:v>70.490176235553008</c:v>
                </c:pt>
                <c:pt idx="7">
                  <c:v>55.117006308143132</c:v>
                </c:pt>
                <c:pt idx="8">
                  <c:v>77.35159822164141</c:v>
                </c:pt>
                <c:pt idx="9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C-447C-86B2-766B04681BB4}"/>
            </c:ext>
          </c:extLst>
        </c:ser>
        <c:ser>
          <c:idx val="1"/>
          <c:order val="1"/>
          <c:tx>
            <c:strRef>
              <c:f>validation!$N$81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validation!$N$82:$N$91</c:f>
              <c:numCache>
                <c:formatCode>0.00</c:formatCode>
                <c:ptCount val="10"/>
                <c:pt idx="0">
                  <c:v>80.679975028742447</c:v>
                </c:pt>
                <c:pt idx="1">
                  <c:v>62.032648320418033</c:v>
                </c:pt>
                <c:pt idx="2">
                  <c:v>34.678640794346997</c:v>
                </c:pt>
                <c:pt idx="3">
                  <c:v>79.820147748538403</c:v>
                </c:pt>
                <c:pt idx="4">
                  <c:v>66.172138013622003</c:v>
                </c:pt>
                <c:pt idx="5">
                  <c:v>21.355614110918637</c:v>
                </c:pt>
                <c:pt idx="6">
                  <c:v>70.490176235553008</c:v>
                </c:pt>
                <c:pt idx="7">
                  <c:v>55.117006308143132</c:v>
                </c:pt>
                <c:pt idx="8">
                  <c:v>77.35159822164141</c:v>
                </c:pt>
                <c:pt idx="9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DC-447C-86B2-766B04681BB4}"/>
            </c:ext>
          </c:extLst>
        </c:ser>
        <c:ser>
          <c:idx val="2"/>
          <c:order val="2"/>
          <c:tx>
            <c:strRef>
              <c:f>validation!$O$81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validation!$O$82:$O$91</c:f>
              <c:numCache>
                <c:formatCode>0.000</c:formatCode>
                <c:ptCount val="10"/>
                <c:pt idx="0">
                  <c:v>116.90913542084283</c:v>
                </c:pt>
                <c:pt idx="1">
                  <c:v>42.325861261741807</c:v>
                </c:pt>
                <c:pt idx="2">
                  <c:v>28.045768239683728</c:v>
                </c:pt>
                <c:pt idx="3">
                  <c:v>102.3415813265044</c:v>
                </c:pt>
                <c:pt idx="4">
                  <c:v>47.119541924859419</c:v>
                </c:pt>
                <c:pt idx="5">
                  <c:v>24.852624821980118</c:v>
                </c:pt>
                <c:pt idx="6">
                  <c:v>54.392287140951076</c:v>
                </c:pt>
                <c:pt idx="7">
                  <c:v>36.800987556080862</c:v>
                </c:pt>
                <c:pt idx="8">
                  <c:v>79.159950504487711</c:v>
                </c:pt>
                <c:pt idx="9">
                  <c:v>110.20913256007236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8-4473-9568-269A7A08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0-4E2C-B39A-5A87E5F2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FB-4D56-A5AB-DC7580071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validation!$R$82:$R$91</c:f>
              <c:numCache>
                <c:formatCode>0.00</c:formatCode>
                <c:ptCount val="10"/>
                <c:pt idx="0">
                  <c:v>108.03160497575749</c:v>
                </c:pt>
                <c:pt idx="1">
                  <c:v>82.631736044839428</c:v>
                </c:pt>
                <c:pt idx="2">
                  <c:v>-11.659320719635097</c:v>
                </c:pt>
                <c:pt idx="3">
                  <c:v>108.64453530319376</c:v>
                </c:pt>
                <c:pt idx="4">
                  <c:v>12.361282991697527</c:v>
                </c:pt>
                <c:pt idx="5">
                  <c:v>-243.08827327691091</c:v>
                </c:pt>
                <c:pt idx="6">
                  <c:v>19.45293703996408</c:v>
                </c:pt>
                <c:pt idx="7">
                  <c:v>-25.868535843661792</c:v>
                </c:pt>
                <c:pt idx="8">
                  <c:v>57.359171464907199</c:v>
                </c:pt>
                <c:pt idx="9">
                  <c:v>91.207897003848942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6B-4B0B-989E-E5E5DA0A33AE}"/>
            </c:ext>
          </c:extLst>
        </c:ser>
        <c:ser>
          <c:idx val="1"/>
          <c:order val="1"/>
          <c:tx>
            <c:strRef>
              <c:f>validation!$S$81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validation!$S$82:$S$91</c:f>
              <c:numCache>
                <c:formatCode>0.00</c:formatCode>
                <c:ptCount val="10"/>
                <c:pt idx="0">
                  <c:v>88.28677908437983</c:v>
                </c:pt>
                <c:pt idx="1">
                  <c:v>73.60773763156152</c:v>
                </c:pt>
                <c:pt idx="2">
                  <c:v>19.115238688349933</c:v>
                </c:pt>
                <c:pt idx="3">
                  <c:v>88.641002553351143</c:v>
                </c:pt>
                <c:pt idx="4">
                  <c:v>32.997177943995858</c:v>
                </c:pt>
                <c:pt idx="5">
                  <c:v>-114.63171871564582</c:v>
                </c:pt>
                <c:pt idx="6">
                  <c:v>37.09557246826197</c:v>
                </c:pt>
                <c:pt idx="7">
                  <c:v>10.903477502302664</c:v>
                </c:pt>
                <c:pt idx="8">
                  <c:v>59.002267654656244</c:v>
                </c:pt>
                <c:pt idx="9">
                  <c:v>78.564055420670371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B-4B0B-989E-E5E5DA0A33AE}"/>
            </c:ext>
          </c:extLst>
        </c:ser>
        <c:ser>
          <c:idx val="2"/>
          <c:order val="2"/>
          <c:tx>
            <c:strRef>
              <c:f>validation!$T$81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validation!$T$82:$T$91</c:f>
              <c:numCache>
                <c:formatCode>0.00</c:formatCode>
                <c:ptCount val="10"/>
                <c:pt idx="0">
                  <c:v>136.12849358890662</c:v>
                </c:pt>
                <c:pt idx="1">
                  <c:v>57.680453938178793</c:v>
                </c:pt>
                <c:pt idx="2">
                  <c:v>27.04477294163275</c:v>
                </c:pt>
                <c:pt idx="3">
                  <c:v>143.39149511170848</c:v>
                </c:pt>
                <c:pt idx="4">
                  <c:v>30.390182661816421</c:v>
                </c:pt>
                <c:pt idx="5">
                  <c:v>15.201305381216619</c:v>
                </c:pt>
                <c:pt idx="6">
                  <c:v>31.621393256387424</c:v>
                </c:pt>
                <c:pt idx="7">
                  <c:v>25.496319515348361</c:v>
                </c:pt>
                <c:pt idx="8">
                  <c:v>41.858471601355966</c:v>
                </c:pt>
                <c:pt idx="9">
                  <c:v>68.458296254959976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A-4573-85B4-FFBC71D5C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D-480E-8F43-FB2FBFA63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3-4BFC-8776-C08BD480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validation!$W$82:$W$91</c:f>
              <c:numCache>
                <c:formatCode>0.00</c:formatCode>
                <c:ptCount val="10"/>
                <c:pt idx="0">
                  <c:v>166.36887555846923</c:v>
                </c:pt>
                <c:pt idx="1">
                  <c:v>157.14277596522606</c:v>
                </c:pt>
                <c:pt idx="2">
                  <c:v>85.897529700490551</c:v>
                </c:pt>
                <c:pt idx="3">
                  <c:v>184.07298883085699</c:v>
                </c:pt>
                <c:pt idx="4">
                  <c:v>-1764.3883897136739</c:v>
                </c:pt>
                <c:pt idx="5">
                  <c:v>50.310337681339647</c:v>
                </c:pt>
                <c:pt idx="6">
                  <c:v>-433.91448220030696</c:v>
                </c:pt>
                <c:pt idx="7">
                  <c:v>57.314474735562811</c:v>
                </c:pt>
                <c:pt idx="8">
                  <c:v>-354.7487753368016</c:v>
                </c:pt>
                <c:pt idx="9">
                  <c:v>-151.48288613276472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F1-4F9A-8FD1-C2326E29F508}"/>
            </c:ext>
          </c:extLst>
        </c:ser>
        <c:ser>
          <c:idx val="1"/>
          <c:order val="1"/>
          <c:tx>
            <c:strRef>
              <c:f>validation!$X$81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validation!$X$82:$X$91</c:f>
              <c:numCache>
                <c:formatCode>0.00</c:formatCode>
                <c:ptCount val="10"/>
                <c:pt idx="0">
                  <c:v>85.514970107201009</c:v>
                </c:pt>
                <c:pt idx="1">
                  <c:v>83.386721131330447</c:v>
                </c:pt>
                <c:pt idx="2">
                  <c:v>66.952081458720059</c:v>
                </c:pt>
                <c:pt idx="3">
                  <c:v>89.59890184453559</c:v>
                </c:pt>
                <c:pt idx="4">
                  <c:v>-359.86632357398116</c:v>
                </c:pt>
                <c:pt idx="5">
                  <c:v>58.742934765318381</c:v>
                </c:pt>
                <c:pt idx="6">
                  <c:v>-52.95659401052022</c:v>
                </c:pt>
                <c:pt idx="7">
                  <c:v>60.358628088575415</c:v>
                </c:pt>
                <c:pt idx="8">
                  <c:v>-34.694886248367382</c:v>
                </c:pt>
                <c:pt idx="9">
                  <c:v>12.193879275552234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1-4F9A-8FD1-C2326E29F508}"/>
            </c:ext>
          </c:extLst>
        </c:ser>
        <c:ser>
          <c:idx val="2"/>
          <c:order val="2"/>
          <c:tx>
            <c:strRef>
              <c:f>validation!$Y$81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validation!$Y$82:$Y$91</c:f>
              <c:numCache>
                <c:formatCode>0.000</c:formatCode>
                <c:ptCount val="10"/>
                <c:pt idx="0">
                  <c:v>114.44561832326148</c:v>
                </c:pt>
                <c:pt idx="1">
                  <c:v>97.062981620254732</c:v>
                </c:pt>
                <c:pt idx="2">
                  <c:v>54.599373127268684</c:v>
                </c:pt>
                <c:pt idx="3">
                  <c:v>229.34663378511158</c:v>
                </c:pt>
                <c:pt idx="4">
                  <c:v>12.669589442397822</c:v>
                </c:pt>
                <c:pt idx="5">
                  <c:v>47.156149785372641</c:v>
                </c:pt>
                <c:pt idx="6">
                  <c:v>22.37367553379746</c:v>
                </c:pt>
                <c:pt idx="7">
                  <c:v>48.380707702541834</c:v>
                </c:pt>
                <c:pt idx="8">
                  <c:v>23.938058911633377</c:v>
                </c:pt>
                <c:pt idx="9">
                  <c:v>30.207906996492675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8F-43D5-85BB-E972F28D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B-4231-A04D-006AF504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14-4ABA-BCFA-CCBCA80A0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6-4BBF-A739-F33B316B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E-4B68-B30B-F02077CB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85-406D-BC08-B3186DD9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3-4535-B611-2354C488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7-481C-8A6A-BD979C4D0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C-4645-857C-4757FC04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validation!$AC$82:$AC$91</c:f>
              <c:numCache>
                <c:formatCode>0.00</c:formatCode>
                <c:ptCount val="10"/>
                <c:pt idx="0">
                  <c:v>1796.3689945901992</c:v>
                </c:pt>
                <c:pt idx="1">
                  <c:v>2104.746418077214</c:v>
                </c:pt>
                <c:pt idx="2">
                  <c:v>2179.6682407700014</c:v>
                </c:pt>
                <c:pt idx="3">
                  <c:v>2216.8221437960942</c:v>
                </c:pt>
                <c:pt idx="4">
                  <c:v>762.75084863194775</c:v>
                </c:pt>
                <c:pt idx="5">
                  <c:v>2186.355203221407</c:v>
                </c:pt>
                <c:pt idx="6">
                  <c:v>1318.4313095485941</c:v>
                </c:pt>
                <c:pt idx="7">
                  <c:v>1602.7016350090669</c:v>
                </c:pt>
                <c:pt idx="8">
                  <c:v>-859.80755389457283</c:v>
                </c:pt>
                <c:pt idx="9">
                  <c:v>-2378.2708408801836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1E-4BF0-AD4B-86E196E3D380}"/>
            </c:ext>
          </c:extLst>
        </c:ser>
        <c:ser>
          <c:idx val="1"/>
          <c:order val="1"/>
          <c:tx>
            <c:strRef>
              <c:f>validation!$AD$81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validation!$AD$82:$AD$91</c:f>
              <c:numCache>
                <c:formatCode>0.00</c:formatCode>
                <c:ptCount val="10"/>
                <c:pt idx="0">
                  <c:v>62.36109189931058</c:v>
                </c:pt>
                <c:pt idx="1">
                  <c:v>62.552020697288327</c:v>
                </c:pt>
                <c:pt idx="2">
                  <c:v>62.598407794590337</c:v>
                </c:pt>
                <c:pt idx="3">
                  <c:v>62.621411262109916</c:v>
                </c:pt>
                <c:pt idx="4">
                  <c:v>61.721137560421987</c:v>
                </c:pt>
                <c:pt idx="5">
                  <c:v>62.6025479605225</c:v>
                </c:pt>
                <c:pt idx="6">
                  <c:v>62.065181560993921</c:v>
                </c:pt>
                <c:pt idx="7">
                  <c:v>62.241184690299512</c:v>
                </c:pt>
                <c:pt idx="8">
                  <c:v>60.716546751081715</c:v>
                </c:pt>
                <c:pt idx="9">
                  <c:v>59.776405391577441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1E-4BF0-AD4B-86E196E3D380}"/>
            </c:ext>
          </c:extLst>
        </c:ser>
        <c:ser>
          <c:idx val="2"/>
          <c:order val="2"/>
          <c:tx>
            <c:strRef>
              <c:f>validation!$AE$81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validation!$AE$82:$AE$91</c:f>
              <c:numCache>
                <c:formatCode>0.00</c:formatCode>
                <c:ptCount val="10"/>
                <c:pt idx="0">
                  <c:v>43.002843805323621</c:v>
                </c:pt>
                <c:pt idx="1">
                  <c:v>36.637035051611903</c:v>
                </c:pt>
                <c:pt idx="2">
                  <c:v>33.365608441320965</c:v>
                </c:pt>
                <c:pt idx="3">
                  <c:v>30.673832251441233</c:v>
                </c:pt>
                <c:pt idx="4">
                  <c:v>51.199607362734156</c:v>
                </c:pt>
                <c:pt idx="5">
                  <c:v>32.965634226329747</c:v>
                </c:pt>
                <c:pt idx="6">
                  <c:v>47.775953927503508</c:v>
                </c:pt>
                <c:pt idx="7">
                  <c:v>45.287755525646432</c:v>
                </c:pt>
                <c:pt idx="8">
                  <c:v>57.141443498990263</c:v>
                </c:pt>
                <c:pt idx="9">
                  <c:v>60.637732603021483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validation!$AI$82:$AI$91</c:f>
              <c:numCache>
                <c:formatCode>0.00</c:formatCode>
                <c:ptCount val="10"/>
                <c:pt idx="0">
                  <c:v>-100.35322092238862</c:v>
                </c:pt>
                <c:pt idx="1">
                  <c:v>-132.71520261374724</c:v>
                </c:pt>
                <c:pt idx="2">
                  <c:v>-145.33187454412837</c:v>
                </c:pt>
                <c:pt idx="3">
                  <c:v>-141.77102588485073</c:v>
                </c:pt>
                <c:pt idx="4">
                  <c:v>-108.53698623062621</c:v>
                </c:pt>
                <c:pt idx="5">
                  <c:v>-145.33187454412837</c:v>
                </c:pt>
                <c:pt idx="6">
                  <c:v>-138.15871882020107</c:v>
                </c:pt>
                <c:pt idx="7">
                  <c:v>-145.33187454412837</c:v>
                </c:pt>
                <c:pt idx="8">
                  <c:v>-85.343019619142922</c:v>
                </c:pt>
                <c:pt idx="9">
                  <c:v>-19.25113341809282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1-4F06-9150-10B74D0EFAD1}"/>
            </c:ext>
          </c:extLst>
        </c:ser>
        <c:ser>
          <c:idx val="1"/>
          <c:order val="1"/>
          <c:tx>
            <c:strRef>
              <c:f>validation!$AJ$81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validation!$AJ$82:$AJ$91</c:f>
              <c:numCache>
                <c:formatCode>0.00</c:formatCode>
                <c:ptCount val="10"/>
                <c:pt idx="0">
                  <c:v>55.625326191966295</c:v>
                </c:pt>
                <c:pt idx="1">
                  <c:v>54.492604082738588</c:v>
                </c:pt>
                <c:pt idx="2">
                  <c:v>54.051000000000002</c:v>
                </c:pt>
                <c:pt idx="3">
                  <c:v>54.175635507258036</c:v>
                </c:pt>
                <c:pt idx="4">
                  <c:v>55.338881066640532</c:v>
                </c:pt>
                <c:pt idx="5">
                  <c:v>54.051000000000002</c:v>
                </c:pt>
                <c:pt idx="6">
                  <c:v>54.302072142581288</c:v>
                </c:pt>
                <c:pt idx="7">
                  <c:v>54.051000000000002</c:v>
                </c:pt>
                <c:pt idx="8">
                  <c:v>56.150707704208017</c:v>
                </c:pt>
                <c:pt idx="9">
                  <c:v>58.464031451019281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71-4F06-9150-10B74D0EFAD1}"/>
            </c:ext>
          </c:extLst>
        </c:ser>
        <c:ser>
          <c:idx val="2"/>
          <c:order val="2"/>
          <c:tx>
            <c:strRef>
              <c:f>validation!$AK$81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validation!$AK$82:$AK$91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validation!$AO$82:$AO$91</c:f>
              <c:numCache>
                <c:formatCode>0.00</c:formatCode>
                <c:ptCount val="10"/>
                <c:pt idx="0">
                  <c:v>29.556057325059385</c:v>
                </c:pt>
                <c:pt idx="1">
                  <c:v>11.712962962962962</c:v>
                </c:pt>
                <c:pt idx="2">
                  <c:v>11.712962962962962</c:v>
                </c:pt>
                <c:pt idx="3">
                  <c:v>15.403003410332328</c:v>
                </c:pt>
                <c:pt idx="4">
                  <c:v>11.712962962962962</c:v>
                </c:pt>
                <c:pt idx="5">
                  <c:v>11.712962962962962</c:v>
                </c:pt>
                <c:pt idx="6">
                  <c:v>11.712962962962962</c:v>
                </c:pt>
                <c:pt idx="7">
                  <c:v>11.712962962962962</c:v>
                </c:pt>
                <c:pt idx="8">
                  <c:v>15.598295545264314</c:v>
                </c:pt>
                <c:pt idx="9">
                  <c:v>15.342271270760786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A-4C19-8C92-11E6F44CE740}"/>
            </c:ext>
          </c:extLst>
        </c:ser>
        <c:ser>
          <c:idx val="1"/>
          <c:order val="1"/>
          <c:tx>
            <c:strRef>
              <c:f>validation!$AP$81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validation!$AP$82:$AP$91</c:f>
              <c:numCache>
                <c:formatCode>0.00</c:formatCode>
                <c:ptCount val="10"/>
                <c:pt idx="0">
                  <c:v>53.245933148499503</c:v>
                </c:pt>
                <c:pt idx="1">
                  <c:v>48.722000000000001</c:v>
                </c:pt>
                <c:pt idx="2">
                  <c:v>48.722000000000001</c:v>
                </c:pt>
                <c:pt idx="3">
                  <c:v>49.657571821814706</c:v>
                </c:pt>
                <c:pt idx="4">
                  <c:v>48.722000000000001</c:v>
                </c:pt>
                <c:pt idx="5">
                  <c:v>48.722000000000001</c:v>
                </c:pt>
                <c:pt idx="6">
                  <c:v>48.722000000000001</c:v>
                </c:pt>
                <c:pt idx="7">
                  <c:v>48.722000000000001</c:v>
                </c:pt>
                <c:pt idx="8">
                  <c:v>49.707086135023566</c:v>
                </c:pt>
                <c:pt idx="9">
                  <c:v>49.642173812152734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A-4C19-8C92-11E6F44CE740}"/>
            </c:ext>
          </c:extLst>
        </c:ser>
        <c:ser>
          <c:idx val="2"/>
          <c:order val="2"/>
          <c:tx>
            <c:strRef>
              <c:f>validation!$AK$81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validation!$K$82:$K$91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validation!$AK$82:$AK$91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D-4AAC-BA59-E86D5F3D3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4-45F5-AD8F-30037743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C7-4FCF-BA02-A19685318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validation!$M$143:$M$152</c:f>
              <c:numCache>
                <c:formatCode>0.00</c:formatCode>
                <c:ptCount val="10"/>
                <c:pt idx="0">
                  <c:v>95.227895183972151</c:v>
                </c:pt>
                <c:pt idx="1">
                  <c:v>21.891251699587393</c:v>
                </c:pt>
                <c:pt idx="2">
                  <c:v>10.792693229672309</c:v>
                </c:pt>
                <c:pt idx="3">
                  <c:v>105.13474984565981</c:v>
                </c:pt>
                <c:pt idx="4">
                  <c:v>72.151681704596868</c:v>
                </c:pt>
                <c:pt idx="5">
                  <c:v>22.353112439254073</c:v>
                </c:pt>
                <c:pt idx="6">
                  <c:v>47.866775368612835</c:v>
                </c:pt>
                <c:pt idx="7">
                  <c:v>21.405279507244401</c:v>
                </c:pt>
                <c:pt idx="8">
                  <c:v>62.733213239318005</c:v>
                </c:pt>
                <c:pt idx="9">
                  <c:v>145.6390154749223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73-4975-9BF3-3E2EFC68DE76}"/>
            </c:ext>
          </c:extLst>
        </c:ser>
        <c:ser>
          <c:idx val="1"/>
          <c:order val="1"/>
          <c:tx>
            <c:strRef>
              <c:f>validation!$N$81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validation!$N$143:$N$152</c:f>
              <c:numCache>
                <c:formatCode>0.00</c:formatCode>
                <c:ptCount val="10"/>
                <c:pt idx="0">
                  <c:v>78.907068495194437</c:v>
                </c:pt>
                <c:pt idx="1">
                  <c:v>40.807843233855095</c:v>
                </c:pt>
                <c:pt idx="2">
                  <c:v>35.042015141225313</c:v>
                </c:pt>
                <c:pt idx="3">
                  <c:v>84.053792826358517</c:v>
                </c:pt>
                <c:pt idx="4">
                  <c:v>66.91871160077676</c:v>
                </c:pt>
                <c:pt idx="5">
                  <c:v>41.047785171798793</c:v>
                </c:pt>
                <c:pt idx="6">
                  <c:v>54.302424939904583</c:v>
                </c:pt>
                <c:pt idx="7">
                  <c:v>40.555375120411028</c:v>
                </c:pt>
                <c:pt idx="8">
                  <c:v>62.025709485785157</c:v>
                </c:pt>
                <c:pt idx="9">
                  <c:v>105.09622218955917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73-4975-9BF3-3E2EFC68DE76}"/>
            </c:ext>
          </c:extLst>
        </c:ser>
        <c:ser>
          <c:idx val="2"/>
          <c:order val="2"/>
          <c:tx>
            <c:strRef>
              <c:f>validation!$O$142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validation!$O$143:$O$152</c:f>
              <c:numCache>
                <c:formatCode>0.000</c:formatCode>
                <c:ptCount val="10"/>
                <c:pt idx="0">
                  <c:v>82.59702247449286</c:v>
                </c:pt>
                <c:pt idx="1">
                  <c:v>33.537054468443031</c:v>
                </c:pt>
                <c:pt idx="2">
                  <c:v>20.756424561261426</c:v>
                </c:pt>
                <c:pt idx="3">
                  <c:v>87.599201607786554</c:v>
                </c:pt>
                <c:pt idx="4">
                  <c:v>69.989592115514952</c:v>
                </c:pt>
                <c:pt idx="5">
                  <c:v>33.990759326009922</c:v>
                </c:pt>
                <c:pt idx="6">
                  <c:v>54.635837614422663</c:v>
                </c:pt>
                <c:pt idx="7">
                  <c:v>33.054842524970155</c:v>
                </c:pt>
                <c:pt idx="8">
                  <c:v>64.350739323767584</c:v>
                </c:pt>
                <c:pt idx="9">
                  <c:v>106.2283162144093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Ch1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459972523426"/>
                  <c:y val="-0.251222681926909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2-4BC4-8431-C194014D7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</a:t>
            </a:r>
            <a:r>
              <a:rPr lang="en-US" sz="1050" baseline="0"/>
              <a:t>Dmax </a:t>
            </a:r>
            <a:r>
              <a: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50" baseline="0"/>
              <a:t>(2)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043944691239879"/>
                  <c:y val="-7.249597107772282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7-4F93-ADAA-8CD82298B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64682388095806"/>
                  <c:y val="0.127542374313803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0-45F5-82F6-B23E0C9B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E-4520-A6E1-16099A6A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validation!$R$143:$R$152</c:f>
              <c:numCache>
                <c:formatCode>0.00</c:formatCode>
                <c:ptCount val="10"/>
                <c:pt idx="0">
                  <c:v>75.230478586227335</c:v>
                </c:pt>
                <c:pt idx="1">
                  <c:v>17.108521685249425</c:v>
                </c:pt>
                <c:pt idx="2">
                  <c:v>14.96124116566428</c:v>
                </c:pt>
                <c:pt idx="3">
                  <c:v>59.994116239478892</c:v>
                </c:pt>
                <c:pt idx="4">
                  <c:v>131.22916323697859</c:v>
                </c:pt>
                <c:pt idx="5">
                  <c:v>42.868189850706102</c:v>
                </c:pt>
                <c:pt idx="6">
                  <c:v>107.82989600402105</c:v>
                </c:pt>
                <c:pt idx="7">
                  <c:v>36.660490640701596</c:v>
                </c:pt>
                <c:pt idx="8">
                  <c:v>176.42164978608335</c:v>
                </c:pt>
                <c:pt idx="9">
                  <c:v>325.44063345270519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FE-4520-A6E1-16099A6A4A35}"/>
            </c:ext>
          </c:extLst>
        </c:ser>
        <c:ser>
          <c:idx val="1"/>
          <c:order val="1"/>
          <c:tx>
            <c:strRef>
              <c:f>validation!$N$81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validation!$S$143:$S$152</c:f>
              <c:numCache>
                <c:formatCode>0.00</c:formatCode>
                <c:ptCount val="10"/>
                <c:pt idx="0">
                  <c:v>69.447685093851135</c:v>
                </c:pt>
                <c:pt idx="1">
                  <c:v>35.470519040849851</c:v>
                </c:pt>
                <c:pt idx="2">
                  <c:v>34.215253205588688</c:v>
                </c:pt>
                <c:pt idx="3">
                  <c:v>60.540751447739524</c:v>
                </c:pt>
                <c:pt idx="4">
                  <c:v>102.18362016172591</c:v>
                </c:pt>
                <c:pt idx="5">
                  <c:v>50.529208895685173</c:v>
                </c:pt>
                <c:pt idx="6">
                  <c:v>88.504782925614649</c:v>
                </c:pt>
                <c:pt idx="7">
                  <c:v>46.900287260703905</c:v>
                </c:pt>
                <c:pt idx="8">
                  <c:v>128.60242471854775</c:v>
                </c:pt>
                <c:pt idx="9">
                  <c:v>215.71653826631623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FE-4520-A6E1-16099A6A4A35}"/>
            </c:ext>
          </c:extLst>
        </c:ser>
        <c:ser>
          <c:idx val="2"/>
          <c:order val="2"/>
          <c:tx>
            <c:strRef>
              <c:f>validation!$T$142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validation!$T$143:$T$152</c:f>
              <c:numCache>
                <c:formatCode>0.00</c:formatCode>
                <c:ptCount val="10"/>
                <c:pt idx="0">
                  <c:v>72.404274907409402</c:v>
                </c:pt>
                <c:pt idx="1">
                  <c:v>26.817021909960893</c:v>
                </c:pt>
                <c:pt idx="2">
                  <c:v>23.386352758414429</c:v>
                </c:pt>
                <c:pt idx="3">
                  <c:v>63.800693168592431</c:v>
                </c:pt>
                <c:pt idx="4">
                  <c:v>97.51347841560964</c:v>
                </c:pt>
                <c:pt idx="5">
                  <c:v>52.388619007464662</c:v>
                </c:pt>
                <c:pt idx="6">
                  <c:v>87.934081462076819</c:v>
                </c:pt>
                <c:pt idx="7">
                  <c:v>47.548494195253994</c:v>
                </c:pt>
                <c:pt idx="8">
                  <c:v>113.67107388878144</c:v>
                </c:pt>
                <c:pt idx="9">
                  <c:v>155.10541040664523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FE-4520-A6E1-16099A6A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6683680792130169"/>
          <c:w val="0.9395705605124911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Ch2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4D-4B2A-873A-B838309E5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Ch2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410101515390429"/>
                  <c:y val="-6.8724214052282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36-4FB2-BE86-FC233129A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474837011483063"/>
                  <c:y val="0.3175703509955555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E-4A80-85A8-78A367F2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validation!$W$143:$W$152</c:f>
              <c:numCache>
                <c:formatCode>0.00</c:formatCode>
                <c:ptCount val="10"/>
                <c:pt idx="0">
                  <c:v>61.217424542970299</c:v>
                </c:pt>
                <c:pt idx="1">
                  <c:v>25.457711340208132</c:v>
                </c:pt>
                <c:pt idx="2">
                  <c:v>24.896158162487918</c:v>
                </c:pt>
                <c:pt idx="3">
                  <c:v>31.826917969938059</c:v>
                </c:pt>
                <c:pt idx="4">
                  <c:v>402.91193046439628</c:v>
                </c:pt>
                <c:pt idx="5">
                  <c:v>26.190676470767876</c:v>
                </c:pt>
                <c:pt idx="6">
                  <c:v>129.21261045572717</c:v>
                </c:pt>
                <c:pt idx="7">
                  <c:v>28.330573354220387</c:v>
                </c:pt>
                <c:pt idx="8">
                  <c:v>281.41666643126865</c:v>
                </c:pt>
                <c:pt idx="9">
                  <c:v>763.63587392676732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A-4479-B2F3-7EA2F16A509D}"/>
            </c:ext>
          </c:extLst>
        </c:ser>
        <c:ser>
          <c:idx val="1"/>
          <c:order val="1"/>
          <c:tx>
            <c:strRef>
              <c:f>validation!$N$81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validation!$X$143:$X$152</c:f>
              <c:numCache>
                <c:formatCode>0.00</c:formatCode>
                <c:ptCount val="10"/>
                <c:pt idx="0">
                  <c:v>61.310210416434721</c:v>
                </c:pt>
                <c:pt idx="1">
                  <c:v>37.090621540475539</c:v>
                </c:pt>
                <c:pt idx="2">
                  <c:v>36.710288873396948</c:v>
                </c:pt>
                <c:pt idx="3">
                  <c:v>41.404402391105435</c:v>
                </c:pt>
                <c:pt idx="4">
                  <c:v>292.73545724843956</c:v>
                </c:pt>
                <c:pt idx="5">
                  <c:v>37.587049294856961</c:v>
                </c:pt>
                <c:pt idx="6">
                  <c:v>107.3624658977281</c:v>
                </c:pt>
                <c:pt idx="7">
                  <c:v>39.036373635359858</c:v>
                </c:pt>
                <c:pt idx="8">
                  <c:v>210.44829435723463</c:v>
                </c:pt>
                <c:pt idx="9">
                  <c:v>537.04909474423846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6A-4479-B2F3-7EA2F16A509D}"/>
            </c:ext>
          </c:extLst>
        </c:ser>
        <c:ser>
          <c:idx val="2"/>
          <c:order val="2"/>
          <c:tx>
            <c:strRef>
              <c:f>validation!$Y$142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validation!$Y$143:$Y$152</c:f>
              <c:numCache>
                <c:formatCode>0.00</c:formatCode>
                <c:ptCount val="10"/>
                <c:pt idx="0">
                  <c:v>68.957807295619332</c:v>
                </c:pt>
                <c:pt idx="1">
                  <c:v>23.324683235913156</c:v>
                </c:pt>
                <c:pt idx="2">
                  <c:v>19.79590922298398</c:v>
                </c:pt>
                <c:pt idx="3">
                  <c:v>40.962192851694532</c:v>
                </c:pt>
                <c:pt idx="4">
                  <c:v>149.63189369247033</c:v>
                </c:pt>
                <c:pt idx="5">
                  <c:v>26.745230973043942</c:v>
                </c:pt>
                <c:pt idx="6">
                  <c:v>97.558037849240151</c:v>
                </c:pt>
                <c:pt idx="7">
                  <c:v>33.60561267118829</c:v>
                </c:pt>
                <c:pt idx="8">
                  <c:v>131.515387194656</c:v>
                </c:pt>
                <c:pt idx="9">
                  <c:v>187.0632193798823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Ch3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3-4F07-9526-8674AC59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B-4555-91EA-9B7CFF9F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6-49D9-B4A3-0BDA8D91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validation!$AC$143:$AC$152</c:f>
              <c:numCache>
                <c:formatCode>0.00</c:formatCode>
                <c:ptCount val="10"/>
                <c:pt idx="0">
                  <c:v>56.931180626895156</c:v>
                </c:pt>
                <c:pt idx="1">
                  <c:v>26.806773423575901</c:v>
                </c:pt>
                <c:pt idx="2">
                  <c:v>26.54500217475367</c:v>
                </c:pt>
                <c:pt idx="3">
                  <c:v>29.227988736251156</c:v>
                </c:pt>
                <c:pt idx="4">
                  <c:v>38.449151277261727</c:v>
                </c:pt>
                <c:pt idx="5">
                  <c:v>26.565906052400411</c:v>
                </c:pt>
                <c:pt idx="6">
                  <c:v>33.058866225645914</c:v>
                </c:pt>
                <c:pt idx="7">
                  <c:v>27.399833976917645</c:v>
                </c:pt>
                <c:pt idx="8">
                  <c:v>87.001378323199305</c:v>
                </c:pt>
                <c:pt idx="9">
                  <c:v>438.49120473331692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DF-4AC1-8564-5CB989CFD0F9}"/>
            </c:ext>
          </c:extLst>
        </c:ser>
        <c:ser>
          <c:idx val="1"/>
          <c:order val="1"/>
          <c:tx>
            <c:strRef>
              <c:f>validation!$N$81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validation!$AD$143:$AD$152</c:f>
              <c:numCache>
                <c:formatCode>0.00</c:formatCode>
                <c:ptCount val="10"/>
                <c:pt idx="0">
                  <c:v>58.36712909719234</c:v>
                </c:pt>
                <c:pt idx="1">
                  <c:v>38.231128826651336</c:v>
                </c:pt>
                <c:pt idx="2">
                  <c:v>38.056153568166465</c:v>
                </c:pt>
                <c:pt idx="3">
                  <c:v>39.849537177793763</c:v>
                </c:pt>
                <c:pt idx="4">
                  <c:v>46.013221334872632</c:v>
                </c:pt>
                <c:pt idx="5">
                  <c:v>38.070126307384513</c:v>
                </c:pt>
                <c:pt idx="6">
                  <c:v>42.410203339362667</c:v>
                </c:pt>
                <c:pt idx="7">
                  <c:v>38.627547165506506</c:v>
                </c:pt>
                <c:pt idx="8">
                  <c:v>78.466894209957289</c:v>
                </c:pt>
                <c:pt idx="9">
                  <c:v>313.41257104660201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DF-4AC1-8564-5CB989CFD0F9}"/>
            </c:ext>
          </c:extLst>
        </c:ser>
        <c:ser>
          <c:idx val="2"/>
          <c:order val="2"/>
          <c:tx>
            <c:strRef>
              <c:f>validation!$AE$142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validation!$AE$143:$AE$152</c:f>
              <c:numCache>
                <c:formatCode>0.00</c:formatCode>
                <c:ptCount val="10"/>
                <c:pt idx="0">
                  <c:v>67.628114502869821</c:v>
                </c:pt>
                <c:pt idx="1">
                  <c:v>21.384864913798921</c:v>
                </c:pt>
                <c:pt idx="2">
                  <c:v>12.183814353240148</c:v>
                </c:pt>
                <c:pt idx="3">
                  <c:v>37.155894206812931</c:v>
                </c:pt>
                <c:pt idx="4">
                  <c:v>53.634433394312929</c:v>
                </c:pt>
                <c:pt idx="5">
                  <c:v>13.882394707391018</c:v>
                </c:pt>
                <c:pt idx="6">
                  <c:v>46.214645317182772</c:v>
                </c:pt>
                <c:pt idx="7">
                  <c:v>28.149055536711732</c:v>
                </c:pt>
                <c:pt idx="8">
                  <c:v>80.187823799861079</c:v>
                </c:pt>
                <c:pt idx="9">
                  <c:v>128.99674971720674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Ch4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F-4989-BE2F-8E8E3ECD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8-497B-AB34-BDB81E8EB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A-43F3-AF79-7550616B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validation!$AI$143:$AI$152</c:f>
              <c:numCache>
                <c:formatCode>0.00</c:formatCode>
                <c:ptCount val="10"/>
                <c:pt idx="0">
                  <c:v>48.085648593067866</c:v>
                </c:pt>
                <c:pt idx="1">
                  <c:v>22.738579971365379</c:v>
                </c:pt>
                <c:pt idx="2">
                  <c:v>22.53846153846154</c:v>
                </c:pt>
                <c:pt idx="3">
                  <c:v>24.254193234820722</c:v>
                </c:pt>
                <c:pt idx="4">
                  <c:v>25.101083701012325</c:v>
                </c:pt>
                <c:pt idx="5">
                  <c:v>22.53846153846154</c:v>
                </c:pt>
                <c:pt idx="6">
                  <c:v>22.973008210907455</c:v>
                </c:pt>
                <c:pt idx="7">
                  <c:v>22.53846153846154</c:v>
                </c:pt>
                <c:pt idx="8">
                  <c:v>32.722785061800884</c:v>
                </c:pt>
                <c:pt idx="9">
                  <c:v>120.6633178258692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8A-41F7-8640-643ABE52E141}"/>
            </c:ext>
          </c:extLst>
        </c:ser>
        <c:ser>
          <c:idx val="1"/>
          <c:order val="1"/>
          <c:tx>
            <c:strRef>
              <c:f>validation!$N$81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validation!$AJ$143:$AJ$152</c:f>
              <c:numCache>
                <c:formatCode>0.00</c:formatCode>
                <c:ptCount val="10"/>
                <c:pt idx="0">
                  <c:v>55.600917954266201</c:v>
                </c:pt>
                <c:pt idx="1">
                  <c:v>43.963875973493614</c:v>
                </c:pt>
                <c:pt idx="2">
                  <c:v>43.872</c:v>
                </c:pt>
                <c:pt idx="3">
                  <c:v>44.659706147652074</c:v>
                </c:pt>
                <c:pt idx="4">
                  <c:v>45.048520335804369</c:v>
                </c:pt>
                <c:pt idx="5">
                  <c:v>43.872</c:v>
                </c:pt>
                <c:pt idx="6">
                  <c:v>44.071503853693301</c:v>
                </c:pt>
                <c:pt idx="7">
                  <c:v>43.872</c:v>
                </c:pt>
                <c:pt idx="8">
                  <c:v>48.547704404153279</c:v>
                </c:pt>
                <c:pt idx="9">
                  <c:v>88.921906520399148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Ch5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8-4768-870B-5FF6E1CD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E-4C2A-89DC-EB9BC71F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3-47D7-A398-5ECAA32D3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validation!$AO$143:$AO$152</c:f>
              <c:numCache>
                <c:formatCode>0.00</c:formatCode>
                <c:ptCount val="10"/>
                <c:pt idx="0">
                  <c:v>52.757089481867645</c:v>
                </c:pt>
                <c:pt idx="1">
                  <c:v>32</c:v>
                </c:pt>
                <c:pt idx="2">
                  <c:v>32</c:v>
                </c:pt>
                <c:pt idx="3">
                  <c:v>35.641552988190917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33.350981691871546</c:v>
                </c:pt>
                <c:pt idx="9">
                  <c:v>37.785138919438999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C-4B45-A00B-005CFC281156}"/>
            </c:ext>
          </c:extLst>
        </c:ser>
        <c:ser>
          <c:idx val="1"/>
          <c:order val="1"/>
          <c:tx>
            <c:strRef>
              <c:f>validation!$N$81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validation!$K$143:$K$152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validation!$AP$143:$AP$152</c:f>
              <c:numCache>
                <c:formatCode>0.00</c:formatCode>
                <c:ptCount val="10"/>
                <c:pt idx="0">
                  <c:v>56.664046591065002</c:v>
                </c:pt>
                <c:pt idx="1">
                  <c:v>47.755000000000003</c:v>
                </c:pt>
                <c:pt idx="2">
                  <c:v>47.755000000000003</c:v>
                </c:pt>
                <c:pt idx="3">
                  <c:v>49.317972750296484</c:v>
                </c:pt>
                <c:pt idx="4">
                  <c:v>47.755000000000003</c:v>
                </c:pt>
                <c:pt idx="5">
                  <c:v>47.755000000000003</c:v>
                </c:pt>
                <c:pt idx="6">
                  <c:v>47.755000000000003</c:v>
                </c:pt>
                <c:pt idx="7">
                  <c:v>47.755000000000003</c:v>
                </c:pt>
                <c:pt idx="8">
                  <c:v>48.334848097059727</c:v>
                </c:pt>
                <c:pt idx="9">
                  <c:v>50.238010549917817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Ch6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7-47CA-B099-10EDA0C1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72-49C2-9594-7F8D50B6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3-4FF9-A04E-168281BE7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H1 Flood Calibration - Impact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419688736091085"/>
                  <c:y val="5.27688911449786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floods!$F$3:$F$7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45</c:v>
                </c:pt>
                <c:pt idx="3">
                  <c:v>64</c:v>
                </c:pt>
                <c:pt idx="4">
                  <c:v>90</c:v>
                </c:pt>
              </c:numCache>
            </c:numRef>
          </c:xVal>
          <c:yVal>
            <c:numRef>
              <c:f>floods!$B$3:$B$7</c:f>
              <c:numCache>
                <c:formatCode>General</c:formatCode>
                <c:ptCount val="5"/>
                <c:pt idx="0">
                  <c:v>7.0800000000000002E-2</c:v>
                </c:pt>
                <c:pt idx="1">
                  <c:v>4.87E-2</c:v>
                </c:pt>
                <c:pt idx="2">
                  <c:v>6.7999999999999996E-3</c:v>
                </c:pt>
                <c:pt idx="3">
                  <c:v>1.5E-3</c:v>
                </c:pt>
                <c:pt idx="4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C-4426-80EC-39C1B2E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0400"/>
        <c:axId val="1128790880"/>
      </c:scatterChart>
      <c:valAx>
        <c:axId val="11287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880"/>
        <c:crosses val="autoZero"/>
        <c:crossBetween val="midCat"/>
      </c:valAx>
      <c:valAx>
        <c:axId val="11287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43.xml"/><Relationship Id="rId21" Type="http://schemas.openxmlformats.org/officeDocument/2006/relationships/chart" Target="../charts/chart38.xml"/><Relationship Id="rId42" Type="http://schemas.openxmlformats.org/officeDocument/2006/relationships/chart" Target="../charts/chart59.xml"/><Relationship Id="rId47" Type="http://schemas.openxmlformats.org/officeDocument/2006/relationships/chart" Target="../charts/chart64.xml"/><Relationship Id="rId63" Type="http://schemas.openxmlformats.org/officeDocument/2006/relationships/chart" Target="../charts/chart80.xml"/><Relationship Id="rId68" Type="http://schemas.openxmlformats.org/officeDocument/2006/relationships/chart" Target="../charts/chart85.xml"/><Relationship Id="rId84" Type="http://schemas.openxmlformats.org/officeDocument/2006/relationships/chart" Target="../charts/chart101.xml"/><Relationship Id="rId16" Type="http://schemas.openxmlformats.org/officeDocument/2006/relationships/chart" Target="../charts/chart33.xml"/><Relationship Id="rId11" Type="http://schemas.openxmlformats.org/officeDocument/2006/relationships/chart" Target="../charts/chart28.xml"/><Relationship Id="rId32" Type="http://schemas.openxmlformats.org/officeDocument/2006/relationships/chart" Target="../charts/chart49.xml"/><Relationship Id="rId37" Type="http://schemas.openxmlformats.org/officeDocument/2006/relationships/chart" Target="../charts/chart54.xml"/><Relationship Id="rId53" Type="http://schemas.openxmlformats.org/officeDocument/2006/relationships/chart" Target="../charts/chart70.xml"/><Relationship Id="rId58" Type="http://schemas.openxmlformats.org/officeDocument/2006/relationships/chart" Target="../charts/chart75.xml"/><Relationship Id="rId74" Type="http://schemas.openxmlformats.org/officeDocument/2006/relationships/chart" Target="../charts/chart91.xml"/><Relationship Id="rId79" Type="http://schemas.openxmlformats.org/officeDocument/2006/relationships/chart" Target="../charts/chart96.xml"/><Relationship Id="rId5" Type="http://schemas.openxmlformats.org/officeDocument/2006/relationships/chart" Target="../charts/chart22.xml"/><Relationship Id="rId19" Type="http://schemas.openxmlformats.org/officeDocument/2006/relationships/chart" Target="../charts/chart3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Relationship Id="rId30" Type="http://schemas.openxmlformats.org/officeDocument/2006/relationships/chart" Target="../charts/chart47.xml"/><Relationship Id="rId35" Type="http://schemas.openxmlformats.org/officeDocument/2006/relationships/chart" Target="../charts/chart52.xml"/><Relationship Id="rId43" Type="http://schemas.openxmlformats.org/officeDocument/2006/relationships/chart" Target="../charts/chart60.xml"/><Relationship Id="rId48" Type="http://schemas.openxmlformats.org/officeDocument/2006/relationships/chart" Target="../charts/chart65.xml"/><Relationship Id="rId56" Type="http://schemas.openxmlformats.org/officeDocument/2006/relationships/chart" Target="../charts/chart73.xml"/><Relationship Id="rId64" Type="http://schemas.openxmlformats.org/officeDocument/2006/relationships/chart" Target="../charts/chart81.xml"/><Relationship Id="rId69" Type="http://schemas.openxmlformats.org/officeDocument/2006/relationships/chart" Target="../charts/chart86.xml"/><Relationship Id="rId77" Type="http://schemas.openxmlformats.org/officeDocument/2006/relationships/chart" Target="../charts/chart94.xml"/><Relationship Id="rId8" Type="http://schemas.openxmlformats.org/officeDocument/2006/relationships/chart" Target="../charts/chart25.xml"/><Relationship Id="rId51" Type="http://schemas.openxmlformats.org/officeDocument/2006/relationships/chart" Target="../charts/chart68.xml"/><Relationship Id="rId72" Type="http://schemas.openxmlformats.org/officeDocument/2006/relationships/chart" Target="../charts/chart89.xml"/><Relationship Id="rId80" Type="http://schemas.openxmlformats.org/officeDocument/2006/relationships/chart" Target="../charts/chart97.xml"/><Relationship Id="rId85" Type="http://schemas.openxmlformats.org/officeDocument/2006/relationships/chart" Target="../charts/chart102.xml"/><Relationship Id="rId3" Type="http://schemas.openxmlformats.org/officeDocument/2006/relationships/chart" Target="../charts/chart20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33" Type="http://schemas.openxmlformats.org/officeDocument/2006/relationships/chart" Target="../charts/chart50.xml"/><Relationship Id="rId38" Type="http://schemas.openxmlformats.org/officeDocument/2006/relationships/chart" Target="../charts/chart55.xml"/><Relationship Id="rId46" Type="http://schemas.openxmlformats.org/officeDocument/2006/relationships/chart" Target="../charts/chart63.xml"/><Relationship Id="rId59" Type="http://schemas.openxmlformats.org/officeDocument/2006/relationships/chart" Target="../charts/chart76.xml"/><Relationship Id="rId67" Type="http://schemas.openxmlformats.org/officeDocument/2006/relationships/chart" Target="../charts/chart84.xml"/><Relationship Id="rId20" Type="http://schemas.openxmlformats.org/officeDocument/2006/relationships/chart" Target="../charts/chart37.xml"/><Relationship Id="rId41" Type="http://schemas.openxmlformats.org/officeDocument/2006/relationships/chart" Target="../charts/chart58.xml"/><Relationship Id="rId54" Type="http://schemas.openxmlformats.org/officeDocument/2006/relationships/chart" Target="../charts/chart71.xml"/><Relationship Id="rId62" Type="http://schemas.openxmlformats.org/officeDocument/2006/relationships/chart" Target="../charts/chart79.xml"/><Relationship Id="rId70" Type="http://schemas.openxmlformats.org/officeDocument/2006/relationships/chart" Target="../charts/chart87.xml"/><Relationship Id="rId75" Type="http://schemas.openxmlformats.org/officeDocument/2006/relationships/chart" Target="../charts/chart92.xml"/><Relationship Id="rId83" Type="http://schemas.openxmlformats.org/officeDocument/2006/relationships/chart" Target="../charts/chart100.xml"/><Relationship Id="rId88" Type="http://schemas.openxmlformats.org/officeDocument/2006/relationships/chart" Target="../charts/chart105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28" Type="http://schemas.openxmlformats.org/officeDocument/2006/relationships/chart" Target="../charts/chart45.xml"/><Relationship Id="rId36" Type="http://schemas.openxmlformats.org/officeDocument/2006/relationships/chart" Target="../charts/chart53.xml"/><Relationship Id="rId49" Type="http://schemas.openxmlformats.org/officeDocument/2006/relationships/chart" Target="../charts/chart66.xml"/><Relationship Id="rId57" Type="http://schemas.openxmlformats.org/officeDocument/2006/relationships/chart" Target="../charts/chart74.xml"/><Relationship Id="rId10" Type="http://schemas.openxmlformats.org/officeDocument/2006/relationships/chart" Target="../charts/chart27.xml"/><Relationship Id="rId31" Type="http://schemas.openxmlformats.org/officeDocument/2006/relationships/chart" Target="../charts/chart48.xml"/><Relationship Id="rId44" Type="http://schemas.openxmlformats.org/officeDocument/2006/relationships/chart" Target="../charts/chart61.xml"/><Relationship Id="rId52" Type="http://schemas.openxmlformats.org/officeDocument/2006/relationships/chart" Target="../charts/chart69.xml"/><Relationship Id="rId60" Type="http://schemas.openxmlformats.org/officeDocument/2006/relationships/chart" Target="../charts/chart77.xml"/><Relationship Id="rId65" Type="http://schemas.openxmlformats.org/officeDocument/2006/relationships/chart" Target="../charts/chart82.xml"/><Relationship Id="rId73" Type="http://schemas.openxmlformats.org/officeDocument/2006/relationships/chart" Target="../charts/chart90.xml"/><Relationship Id="rId78" Type="http://schemas.openxmlformats.org/officeDocument/2006/relationships/chart" Target="../charts/chart95.xml"/><Relationship Id="rId81" Type="http://schemas.openxmlformats.org/officeDocument/2006/relationships/chart" Target="../charts/chart98.xml"/><Relationship Id="rId86" Type="http://schemas.openxmlformats.org/officeDocument/2006/relationships/chart" Target="../charts/chart103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9" Type="http://schemas.openxmlformats.org/officeDocument/2006/relationships/chart" Target="../charts/chart56.xml"/><Relationship Id="rId34" Type="http://schemas.openxmlformats.org/officeDocument/2006/relationships/chart" Target="../charts/chart51.xml"/><Relationship Id="rId50" Type="http://schemas.openxmlformats.org/officeDocument/2006/relationships/chart" Target="../charts/chart67.xml"/><Relationship Id="rId55" Type="http://schemas.openxmlformats.org/officeDocument/2006/relationships/chart" Target="../charts/chart72.xml"/><Relationship Id="rId76" Type="http://schemas.openxmlformats.org/officeDocument/2006/relationships/chart" Target="../charts/chart93.xml"/><Relationship Id="rId7" Type="http://schemas.openxmlformats.org/officeDocument/2006/relationships/chart" Target="../charts/chart24.xml"/><Relationship Id="rId71" Type="http://schemas.openxmlformats.org/officeDocument/2006/relationships/chart" Target="../charts/chart88.xml"/><Relationship Id="rId2" Type="http://schemas.openxmlformats.org/officeDocument/2006/relationships/chart" Target="../charts/chart19.xml"/><Relationship Id="rId29" Type="http://schemas.openxmlformats.org/officeDocument/2006/relationships/chart" Target="../charts/chart46.xml"/><Relationship Id="rId24" Type="http://schemas.openxmlformats.org/officeDocument/2006/relationships/chart" Target="../charts/chart41.xml"/><Relationship Id="rId40" Type="http://schemas.openxmlformats.org/officeDocument/2006/relationships/chart" Target="../charts/chart57.xml"/><Relationship Id="rId45" Type="http://schemas.openxmlformats.org/officeDocument/2006/relationships/chart" Target="../charts/chart62.xml"/><Relationship Id="rId66" Type="http://schemas.openxmlformats.org/officeDocument/2006/relationships/chart" Target="../charts/chart83.xml"/><Relationship Id="rId87" Type="http://schemas.openxmlformats.org/officeDocument/2006/relationships/chart" Target="../charts/chart104.xml"/><Relationship Id="rId61" Type="http://schemas.openxmlformats.org/officeDocument/2006/relationships/chart" Target="../charts/chart78.xml"/><Relationship Id="rId82" Type="http://schemas.openxmlformats.org/officeDocument/2006/relationships/chart" Target="../charts/chart9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668254</xdr:colOff>
      <xdr:row>39</xdr:row>
      <xdr:rowOff>135484</xdr:rowOff>
    </xdr:from>
    <xdr:to>
      <xdr:col>3</xdr:col>
      <xdr:colOff>614950</xdr:colOff>
      <xdr:row>56</xdr:row>
      <xdr:rowOff>40147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692634</xdr:colOff>
      <xdr:row>39</xdr:row>
      <xdr:rowOff>106638</xdr:rowOff>
    </xdr:from>
    <xdr:to>
      <xdr:col>7</xdr:col>
      <xdr:colOff>13993</xdr:colOff>
      <xdr:row>56</xdr:row>
      <xdr:rowOff>11301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C9BAA-27B9-4ED8-97CD-E7E7741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56943</xdr:colOff>
      <xdr:row>39</xdr:row>
      <xdr:rowOff>114921</xdr:rowOff>
    </xdr:from>
    <xdr:to>
      <xdr:col>12</xdr:col>
      <xdr:colOff>402238</xdr:colOff>
      <xdr:row>56</xdr:row>
      <xdr:rowOff>19584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B500A-9672-4C76-9840-B7AB33DA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697367</xdr:colOff>
      <xdr:row>56</xdr:row>
      <xdr:rowOff>91848</xdr:rowOff>
    </xdr:from>
    <xdr:to>
      <xdr:col>4</xdr:col>
      <xdr:colOff>1102179</xdr:colOff>
      <xdr:row>80</xdr:row>
      <xdr:rowOff>13607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B500E-0FBD-4FFF-A26E-78C825E9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43823</xdr:colOff>
      <xdr:row>56</xdr:row>
      <xdr:rowOff>113459</xdr:rowOff>
    </xdr:from>
    <xdr:to>
      <xdr:col>12</xdr:col>
      <xdr:colOff>227237</xdr:colOff>
      <xdr:row>80</xdr:row>
      <xdr:rowOff>35218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D60EA-FC0E-4CF1-9A27-D1FDB42E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707572</xdr:colOff>
      <xdr:row>80</xdr:row>
      <xdr:rowOff>108857</xdr:rowOff>
    </xdr:from>
    <xdr:to>
      <xdr:col>4</xdr:col>
      <xdr:colOff>1112384</xdr:colOff>
      <xdr:row>104</xdr:row>
      <xdr:rowOff>30616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0278AB-8DD2-4A74-B8C2-88A0A1C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68036</xdr:colOff>
      <xdr:row>80</xdr:row>
      <xdr:rowOff>108857</xdr:rowOff>
    </xdr:from>
    <xdr:to>
      <xdr:col>12</xdr:col>
      <xdr:colOff>251450</xdr:colOff>
      <xdr:row>104</xdr:row>
      <xdr:rowOff>30616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5AA566-695E-4F0B-8254-EF827BE9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344365</xdr:colOff>
      <xdr:row>39</xdr:row>
      <xdr:rowOff>141876</xdr:rowOff>
    </xdr:from>
    <xdr:to>
      <xdr:col>17</xdr:col>
      <xdr:colOff>332446</xdr:colOff>
      <xdr:row>50</xdr:row>
      <xdr:rowOff>117029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470DA8-C972-4552-BB64-A07C9CDA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263769</xdr:colOff>
      <xdr:row>39</xdr:row>
      <xdr:rowOff>153866</xdr:rowOff>
    </xdr:from>
    <xdr:to>
      <xdr:col>21</xdr:col>
      <xdr:colOff>251849</xdr:colOff>
      <xdr:row>50</xdr:row>
      <xdr:rowOff>129019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B19E68-7F9D-47E4-8BDA-9F4A38260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238125</xdr:colOff>
      <xdr:row>35</xdr:row>
      <xdr:rowOff>17008</xdr:rowOff>
    </xdr:from>
    <xdr:to>
      <xdr:col>67</xdr:col>
      <xdr:colOff>563366</xdr:colOff>
      <xdr:row>52</xdr:row>
      <xdr:rowOff>40970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151FD5-B402-4B8F-A319-066ABDD7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68</xdr:col>
      <xdr:colOff>227919</xdr:colOff>
      <xdr:row>34</xdr:row>
      <xdr:rowOff>119061</xdr:rowOff>
    </xdr:from>
    <xdr:to>
      <xdr:col>77</xdr:col>
      <xdr:colOff>553160</xdr:colOff>
      <xdr:row>51</xdr:row>
      <xdr:rowOff>143023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D27C65-07B5-4341-8B07-C875638A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270070</xdr:colOff>
      <xdr:row>52</xdr:row>
      <xdr:rowOff>118913</xdr:rowOff>
    </xdr:from>
    <xdr:to>
      <xdr:col>67</xdr:col>
      <xdr:colOff>595311</xdr:colOff>
      <xdr:row>69</xdr:row>
      <xdr:rowOff>142875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77A9DA-EB73-40CF-819C-875947E2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68</xdr:col>
      <xdr:colOff>187393</xdr:colOff>
      <xdr:row>52</xdr:row>
      <xdr:rowOff>83268</xdr:rowOff>
    </xdr:from>
    <xdr:to>
      <xdr:col>77</xdr:col>
      <xdr:colOff>512635</xdr:colOff>
      <xdr:row>69</xdr:row>
      <xdr:rowOff>107230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ACD1488-0A4E-46E0-88FC-AFFBDADA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333376</xdr:colOff>
      <xdr:row>2</xdr:row>
      <xdr:rowOff>6803</xdr:rowOff>
    </xdr:from>
    <xdr:to>
      <xdr:col>68</xdr:col>
      <xdr:colOff>108562</xdr:colOff>
      <xdr:row>17</xdr:row>
      <xdr:rowOff>171864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3AAD5-46E0-9ABB-E271-68CEDE7F2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68</xdr:col>
      <xdr:colOff>227920</xdr:colOff>
      <xdr:row>2</xdr:row>
      <xdr:rowOff>3402</xdr:rowOff>
    </xdr:from>
    <xdr:to>
      <xdr:col>78</xdr:col>
      <xdr:colOff>3106</xdr:colOff>
      <xdr:row>17</xdr:row>
      <xdr:rowOff>168463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4F640-FA11-E895-2C60-E3B8DA47D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58</xdr:col>
      <xdr:colOff>287081</xdr:colOff>
      <xdr:row>18</xdr:row>
      <xdr:rowOff>67888</xdr:rowOff>
    </xdr:from>
    <xdr:to>
      <xdr:col>68</xdr:col>
      <xdr:colOff>62267</xdr:colOff>
      <xdr:row>34</xdr:row>
      <xdr:rowOff>42449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C1B30D-8974-0300-37B9-1468F8B59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68</xdr:col>
      <xdr:colOff>248625</xdr:colOff>
      <xdr:row>18</xdr:row>
      <xdr:rowOff>42448</xdr:rowOff>
    </xdr:from>
    <xdr:to>
      <xdr:col>78</xdr:col>
      <xdr:colOff>23812</xdr:colOff>
      <xdr:row>34</xdr:row>
      <xdr:rowOff>17009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E33291D-8C36-8399-624A-147252324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54</xdr:row>
      <xdr:rowOff>135835</xdr:rowOff>
    </xdr:from>
    <xdr:to>
      <xdr:col>5</xdr:col>
      <xdr:colOff>95250</xdr:colOff>
      <xdr:row>65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274985</xdr:colOff>
      <xdr:row>32</xdr:row>
      <xdr:rowOff>144322</xdr:rowOff>
    </xdr:from>
    <xdr:to>
      <xdr:col>4</xdr:col>
      <xdr:colOff>339588</xdr:colOff>
      <xdr:row>48</xdr:row>
      <xdr:rowOff>127137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54</xdr:row>
      <xdr:rowOff>107675</xdr:rowOff>
    </xdr:from>
    <xdr:to>
      <xdr:col>2</xdr:col>
      <xdr:colOff>657226</xdr:colOff>
      <xdr:row>65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65</xdr:row>
      <xdr:rowOff>128795</xdr:rowOff>
    </xdr:from>
    <xdr:to>
      <xdr:col>3</xdr:col>
      <xdr:colOff>571501</xdr:colOff>
      <xdr:row>76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54</xdr:row>
      <xdr:rowOff>152399</xdr:rowOff>
    </xdr:from>
    <xdr:to>
      <xdr:col>8</xdr:col>
      <xdr:colOff>19471</xdr:colOff>
      <xdr:row>65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54</xdr:row>
      <xdr:rowOff>176362</xdr:rowOff>
    </xdr:from>
    <xdr:to>
      <xdr:col>10</xdr:col>
      <xdr:colOff>190501</xdr:colOff>
      <xdr:row>65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65</xdr:row>
      <xdr:rowOff>185532</xdr:rowOff>
    </xdr:from>
    <xdr:to>
      <xdr:col>9</xdr:col>
      <xdr:colOff>276226</xdr:colOff>
      <xdr:row>76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32</xdr:row>
      <xdr:rowOff>115246</xdr:rowOff>
    </xdr:from>
    <xdr:to>
      <xdr:col>10</xdr:col>
      <xdr:colOff>20410</xdr:colOff>
      <xdr:row>47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54</xdr:row>
      <xdr:rowOff>136583</xdr:rowOff>
    </xdr:from>
    <xdr:to>
      <xdr:col>13</xdr:col>
      <xdr:colOff>44826</xdr:colOff>
      <xdr:row>65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54</xdr:row>
      <xdr:rowOff>135591</xdr:rowOff>
    </xdr:from>
    <xdr:to>
      <xdr:col>15</xdr:col>
      <xdr:colOff>359856</xdr:colOff>
      <xdr:row>65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65</xdr:row>
      <xdr:rowOff>161365</xdr:rowOff>
    </xdr:from>
    <xdr:to>
      <xdr:col>14</xdr:col>
      <xdr:colOff>228600</xdr:colOff>
      <xdr:row>76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300118</xdr:colOff>
      <xdr:row>32</xdr:row>
      <xdr:rowOff>75468</xdr:rowOff>
    </xdr:from>
    <xdr:to>
      <xdr:col>15</xdr:col>
      <xdr:colOff>140804</xdr:colOff>
      <xdr:row>48</xdr:row>
      <xdr:rowOff>58283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54</xdr:row>
      <xdr:rowOff>181334</xdr:rowOff>
    </xdr:from>
    <xdr:to>
      <xdr:col>18</xdr:col>
      <xdr:colOff>233343</xdr:colOff>
      <xdr:row>65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54</xdr:row>
      <xdr:rowOff>178163</xdr:rowOff>
    </xdr:from>
    <xdr:to>
      <xdr:col>21</xdr:col>
      <xdr:colOff>66675</xdr:colOff>
      <xdr:row>65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66</xdr:row>
      <xdr:rowOff>34964</xdr:rowOff>
    </xdr:from>
    <xdr:to>
      <xdr:col>19</xdr:col>
      <xdr:colOff>511186</xdr:colOff>
      <xdr:row>77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32</xdr:row>
      <xdr:rowOff>95250</xdr:rowOff>
    </xdr:from>
    <xdr:to>
      <xdr:col>20</xdr:col>
      <xdr:colOff>247650</xdr:colOff>
      <xdr:row>48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54</xdr:row>
      <xdr:rowOff>176833</xdr:rowOff>
    </xdr:from>
    <xdr:to>
      <xdr:col>23</xdr:col>
      <xdr:colOff>705216</xdr:colOff>
      <xdr:row>65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55</xdr:row>
      <xdr:rowOff>15323</xdr:rowOff>
    </xdr:from>
    <xdr:to>
      <xdr:col>26</xdr:col>
      <xdr:colOff>581026</xdr:colOff>
      <xdr:row>65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66</xdr:row>
      <xdr:rowOff>50938</xdr:rowOff>
    </xdr:from>
    <xdr:to>
      <xdr:col>25</xdr:col>
      <xdr:colOff>76199</xdr:colOff>
      <xdr:row>77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32</xdr:row>
      <xdr:rowOff>125896</xdr:rowOff>
    </xdr:from>
    <xdr:to>
      <xdr:col>25</xdr:col>
      <xdr:colOff>256761</xdr:colOff>
      <xdr:row>48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54</xdr:row>
      <xdr:rowOff>168728</xdr:rowOff>
    </xdr:from>
    <xdr:to>
      <xdr:col>29</xdr:col>
      <xdr:colOff>68035</xdr:colOff>
      <xdr:row>65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55</xdr:row>
      <xdr:rowOff>22777</xdr:rowOff>
    </xdr:from>
    <xdr:to>
      <xdr:col>31</xdr:col>
      <xdr:colOff>389282</xdr:colOff>
      <xdr:row>65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65</xdr:row>
      <xdr:rowOff>188430</xdr:rowOff>
    </xdr:from>
    <xdr:to>
      <xdr:col>30</xdr:col>
      <xdr:colOff>165239</xdr:colOff>
      <xdr:row>76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32</xdr:row>
      <xdr:rowOff>163582</xdr:rowOff>
    </xdr:from>
    <xdr:to>
      <xdr:col>31</xdr:col>
      <xdr:colOff>33130</xdr:colOff>
      <xdr:row>48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55</xdr:row>
      <xdr:rowOff>9998</xdr:rowOff>
    </xdr:from>
    <xdr:to>
      <xdr:col>34</xdr:col>
      <xdr:colOff>590527</xdr:colOff>
      <xdr:row>65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55</xdr:row>
      <xdr:rowOff>8755</xdr:rowOff>
    </xdr:from>
    <xdr:to>
      <xdr:col>37</xdr:col>
      <xdr:colOff>657329</xdr:colOff>
      <xdr:row>65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66</xdr:row>
      <xdr:rowOff>11781</xdr:rowOff>
    </xdr:from>
    <xdr:to>
      <xdr:col>36</xdr:col>
      <xdr:colOff>454882</xdr:colOff>
      <xdr:row>76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32</xdr:row>
      <xdr:rowOff>158135</xdr:rowOff>
    </xdr:from>
    <xdr:to>
      <xdr:col>37</xdr:col>
      <xdr:colOff>244719</xdr:colOff>
      <xdr:row>48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55</xdr:row>
      <xdr:rowOff>9525</xdr:rowOff>
    </xdr:from>
    <xdr:to>
      <xdr:col>41</xdr:col>
      <xdr:colOff>257177</xdr:colOff>
      <xdr:row>65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55</xdr:row>
      <xdr:rowOff>28575</xdr:rowOff>
    </xdr:from>
    <xdr:to>
      <xdr:col>44</xdr:col>
      <xdr:colOff>381000</xdr:colOff>
      <xdr:row>66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66</xdr:row>
      <xdr:rowOff>85725</xdr:rowOff>
    </xdr:from>
    <xdr:to>
      <xdr:col>42</xdr:col>
      <xdr:colOff>447675</xdr:colOff>
      <xdr:row>77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32</xdr:row>
      <xdr:rowOff>133350</xdr:rowOff>
    </xdr:from>
    <xdr:to>
      <xdr:col>44</xdr:col>
      <xdr:colOff>66675</xdr:colOff>
      <xdr:row>48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164784</xdr:colOff>
      <xdr:row>46</xdr:row>
      <xdr:rowOff>76460</xdr:rowOff>
    </xdr:from>
    <xdr:to>
      <xdr:col>53</xdr:col>
      <xdr:colOff>451863</xdr:colOff>
      <xdr:row>62</xdr:row>
      <xdr:rowOff>76458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33064</xdr:colOff>
      <xdr:row>46</xdr:row>
      <xdr:rowOff>155281</xdr:rowOff>
    </xdr:from>
    <xdr:to>
      <xdr:col>61</xdr:col>
      <xdr:colOff>467446</xdr:colOff>
      <xdr:row>62</xdr:row>
      <xdr:rowOff>91432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32</xdr:row>
      <xdr:rowOff>135339</xdr:rowOff>
    </xdr:from>
    <xdr:to>
      <xdr:col>52</xdr:col>
      <xdr:colOff>309763</xdr:colOff>
      <xdr:row>48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32</xdr:row>
      <xdr:rowOff>129802</xdr:rowOff>
    </xdr:from>
    <xdr:to>
      <xdr:col>62</xdr:col>
      <xdr:colOff>257248</xdr:colOff>
      <xdr:row>48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48</xdr:row>
      <xdr:rowOff>181332</xdr:rowOff>
    </xdr:from>
    <xdr:to>
      <xdr:col>73</xdr:col>
      <xdr:colOff>314785</xdr:colOff>
      <xdr:row>64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49</xdr:row>
      <xdr:rowOff>1121</xdr:rowOff>
    </xdr:from>
    <xdr:to>
      <xdr:col>82</xdr:col>
      <xdr:colOff>511549</xdr:colOff>
      <xdr:row>64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33</xdr:row>
      <xdr:rowOff>11206</xdr:rowOff>
    </xdr:from>
    <xdr:to>
      <xdr:col>71</xdr:col>
      <xdr:colOff>479576</xdr:colOff>
      <xdr:row>48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32</xdr:row>
      <xdr:rowOff>100853</xdr:rowOff>
    </xdr:from>
    <xdr:to>
      <xdr:col>81</xdr:col>
      <xdr:colOff>311487</xdr:colOff>
      <xdr:row>48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</xdr:col>
      <xdr:colOff>843643</xdr:colOff>
      <xdr:row>91</xdr:row>
      <xdr:rowOff>145677</xdr:rowOff>
    </xdr:from>
    <xdr:to>
      <xdr:col>15</xdr:col>
      <xdr:colOff>31186</xdr:colOff>
      <xdr:row>107</xdr:row>
      <xdr:rowOff>128492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58192C1-FF7C-49A3-BF33-4F70D8F7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0</xdr:colOff>
      <xdr:row>115</xdr:row>
      <xdr:rowOff>992</xdr:rowOff>
    </xdr:from>
    <xdr:to>
      <xdr:col>13</xdr:col>
      <xdr:colOff>165377</xdr:colOff>
      <xdr:row>125</xdr:row>
      <xdr:rowOff>166645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8CCECBF-E2C9-4A05-9C5F-E433B3413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</xdr:col>
      <xdr:colOff>205716</xdr:colOff>
      <xdr:row>115</xdr:row>
      <xdr:rowOff>0</xdr:rowOff>
    </xdr:from>
    <xdr:to>
      <xdr:col>15</xdr:col>
      <xdr:colOff>480407</xdr:colOff>
      <xdr:row>125</xdr:row>
      <xdr:rowOff>165653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B8D2C96-57F1-4800-BD2D-6DAAA9BCF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</xdr:col>
      <xdr:colOff>786741</xdr:colOff>
      <xdr:row>126</xdr:row>
      <xdr:rowOff>25774</xdr:rowOff>
    </xdr:from>
    <xdr:to>
      <xdr:col>14</xdr:col>
      <xdr:colOff>349151</xdr:colOff>
      <xdr:row>137</xdr:row>
      <xdr:rowOff>927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430110D-07FC-4132-84C5-72F11BEED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16</xdr:col>
      <xdr:colOff>122465</xdr:colOff>
      <xdr:row>91</xdr:row>
      <xdr:rowOff>81643</xdr:rowOff>
    </xdr:from>
    <xdr:to>
      <xdr:col>20</xdr:col>
      <xdr:colOff>68035</xdr:colOff>
      <xdr:row>107</xdr:row>
      <xdr:rowOff>64458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3AC4DA8-EA6B-4C94-9557-FF2976082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15</xdr:col>
      <xdr:colOff>653143</xdr:colOff>
      <xdr:row>114</xdr:row>
      <xdr:rowOff>177885</xdr:rowOff>
    </xdr:from>
    <xdr:to>
      <xdr:col>18</xdr:col>
      <xdr:colOff>151770</xdr:colOff>
      <xdr:row>125</xdr:row>
      <xdr:rowOff>153038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BE8457A-39C6-4821-A8F8-D077FBDEB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192109</xdr:colOff>
      <xdr:row>114</xdr:row>
      <xdr:rowOff>176893</xdr:rowOff>
    </xdr:from>
    <xdr:to>
      <xdr:col>20</xdr:col>
      <xdr:colOff>126621</xdr:colOff>
      <xdr:row>125</xdr:row>
      <xdr:rowOff>152046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1D654E15-1754-4BFE-A85D-35DE0892F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16</xdr:col>
      <xdr:colOff>664277</xdr:colOff>
      <xdr:row>126</xdr:row>
      <xdr:rowOff>12167</xdr:rowOff>
    </xdr:from>
    <xdr:to>
      <xdr:col>19</xdr:col>
      <xdr:colOff>267508</xdr:colOff>
      <xdr:row>136</xdr:row>
      <xdr:rowOff>177820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500CB0D-0E71-4D4A-9DE0-959A32BE8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21</xdr:col>
      <xdr:colOff>95249</xdr:colOff>
      <xdr:row>91</xdr:row>
      <xdr:rowOff>108858</xdr:rowOff>
    </xdr:from>
    <xdr:to>
      <xdr:col>25</xdr:col>
      <xdr:colOff>285748</xdr:colOff>
      <xdr:row>107</xdr:row>
      <xdr:rowOff>91673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A1E7AA5-36CA-4E14-A543-1F6ABF3B1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20</xdr:col>
      <xdr:colOff>408215</xdr:colOff>
      <xdr:row>115</xdr:row>
      <xdr:rowOff>41813</xdr:rowOff>
    </xdr:from>
    <xdr:to>
      <xdr:col>22</xdr:col>
      <xdr:colOff>628021</xdr:colOff>
      <xdr:row>126</xdr:row>
      <xdr:rowOff>16966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447CE7E-81D0-4152-8272-865A47955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22</xdr:col>
      <xdr:colOff>668360</xdr:colOff>
      <xdr:row>115</xdr:row>
      <xdr:rowOff>40821</xdr:rowOff>
    </xdr:from>
    <xdr:to>
      <xdr:col>25</xdr:col>
      <xdr:colOff>126622</xdr:colOff>
      <xdr:row>126</xdr:row>
      <xdr:rowOff>15974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BF7FF3D-F84A-48FA-A241-2AAA13747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21</xdr:col>
      <xdr:colOff>419349</xdr:colOff>
      <xdr:row>126</xdr:row>
      <xdr:rowOff>66595</xdr:rowOff>
    </xdr:from>
    <xdr:to>
      <xdr:col>24</xdr:col>
      <xdr:colOff>63402</xdr:colOff>
      <xdr:row>137</xdr:row>
      <xdr:rowOff>41748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329C409-2E4F-4558-9D4A-2B64A06E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27</xdr:col>
      <xdr:colOff>553811</xdr:colOff>
      <xdr:row>115</xdr:row>
      <xdr:rowOff>150671</xdr:rowOff>
    </xdr:from>
    <xdr:to>
      <xdr:col>29</xdr:col>
      <xdr:colOff>410306</xdr:colOff>
      <xdr:row>126</xdr:row>
      <xdr:rowOff>125824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C6A2F9C-598D-4469-AD29-FE3B8B5F2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29</xdr:col>
      <xdr:colOff>450645</xdr:colOff>
      <xdr:row>115</xdr:row>
      <xdr:rowOff>149679</xdr:rowOff>
    </xdr:from>
    <xdr:to>
      <xdr:col>31</xdr:col>
      <xdr:colOff>254529</xdr:colOff>
      <xdr:row>126</xdr:row>
      <xdr:rowOff>124832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1ACCE6D-87E6-48B3-82B0-8DCA0B3D4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28</xdr:col>
      <xdr:colOff>407102</xdr:colOff>
      <xdr:row>126</xdr:row>
      <xdr:rowOff>175453</xdr:rowOff>
    </xdr:from>
    <xdr:to>
      <xdr:col>30</xdr:col>
      <xdr:colOff>383170</xdr:colOff>
      <xdr:row>137</xdr:row>
      <xdr:rowOff>150606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8D78F3E1-F9C0-4ECB-817F-1D2CC4B8B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33</xdr:col>
      <xdr:colOff>435428</xdr:colOff>
      <xdr:row>114</xdr:row>
      <xdr:rowOff>177885</xdr:rowOff>
    </xdr:from>
    <xdr:to>
      <xdr:col>35</xdr:col>
      <xdr:colOff>713745</xdr:colOff>
      <xdr:row>125</xdr:row>
      <xdr:rowOff>153038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8A2311F0-276B-476D-B909-5818F5508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35</xdr:col>
      <xdr:colOff>754084</xdr:colOff>
      <xdr:row>114</xdr:row>
      <xdr:rowOff>176893</xdr:rowOff>
    </xdr:from>
    <xdr:to>
      <xdr:col>37</xdr:col>
      <xdr:colOff>530753</xdr:colOff>
      <xdr:row>125</xdr:row>
      <xdr:rowOff>152046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446538B-76F3-4530-8361-4BADFDCFE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34</xdr:col>
      <xdr:colOff>615291</xdr:colOff>
      <xdr:row>126</xdr:row>
      <xdr:rowOff>12167</xdr:rowOff>
    </xdr:from>
    <xdr:to>
      <xdr:col>36</xdr:col>
      <xdr:colOff>645787</xdr:colOff>
      <xdr:row>136</xdr:row>
      <xdr:rowOff>177820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61535E65-C22E-41DA-B2CC-9F36A17A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27</xdr:col>
      <xdr:colOff>446314</xdr:colOff>
      <xdr:row>91</xdr:row>
      <xdr:rowOff>108858</xdr:rowOff>
    </xdr:from>
    <xdr:to>
      <xdr:col>30</xdr:col>
      <xdr:colOff>854527</xdr:colOff>
      <xdr:row>107</xdr:row>
      <xdr:rowOff>91673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B5DB8F79-5978-41DD-8F54-4C2586660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32</xdr:col>
      <xdr:colOff>598714</xdr:colOff>
      <xdr:row>91</xdr:row>
      <xdr:rowOff>76199</xdr:rowOff>
    </xdr:from>
    <xdr:to>
      <xdr:col>36</xdr:col>
      <xdr:colOff>832756</xdr:colOff>
      <xdr:row>107</xdr:row>
      <xdr:rowOff>59014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37412962-E3D7-44BE-856D-A760ACE0F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39</xdr:col>
      <xdr:colOff>43542</xdr:colOff>
      <xdr:row>91</xdr:row>
      <xdr:rowOff>54429</xdr:rowOff>
    </xdr:from>
    <xdr:to>
      <xdr:col>43</xdr:col>
      <xdr:colOff>59870</xdr:colOff>
      <xdr:row>107</xdr:row>
      <xdr:rowOff>37244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BA2D9127-A34A-46DF-9A8B-A0B8E846B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38</xdr:col>
      <xdr:colOff>522514</xdr:colOff>
      <xdr:row>114</xdr:row>
      <xdr:rowOff>175163</xdr:rowOff>
    </xdr:from>
    <xdr:to>
      <xdr:col>41</xdr:col>
      <xdr:colOff>169460</xdr:colOff>
      <xdr:row>125</xdr:row>
      <xdr:rowOff>150316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892ED8B-D6FB-4C1D-AAB3-4F7EF949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41</xdr:col>
      <xdr:colOff>209799</xdr:colOff>
      <xdr:row>114</xdr:row>
      <xdr:rowOff>174171</xdr:rowOff>
    </xdr:from>
    <xdr:to>
      <xdr:col>43</xdr:col>
      <xdr:colOff>204182</xdr:colOff>
      <xdr:row>125</xdr:row>
      <xdr:rowOff>149324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9F91764F-5FA1-4A27-BB49-3E49CE060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40</xdr:col>
      <xdr:colOff>92777</xdr:colOff>
      <xdr:row>126</xdr:row>
      <xdr:rowOff>9445</xdr:rowOff>
    </xdr:from>
    <xdr:to>
      <xdr:col>42</xdr:col>
      <xdr:colOff>221244</xdr:colOff>
      <xdr:row>136</xdr:row>
      <xdr:rowOff>175098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B0A05607-2B5D-4443-BC4E-5DD5EE4E6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10</xdr:col>
      <xdr:colOff>560294</xdr:colOff>
      <xdr:row>153</xdr:row>
      <xdr:rowOff>22412</xdr:rowOff>
    </xdr:from>
    <xdr:to>
      <xdr:col>14</xdr:col>
      <xdr:colOff>593911</xdr:colOff>
      <xdr:row>168</xdr:row>
      <xdr:rowOff>89647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ADB7710-0BD1-46FE-9962-7A13A5B6F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10</xdr:col>
      <xdr:colOff>324971</xdr:colOff>
      <xdr:row>175</xdr:row>
      <xdr:rowOff>79433</xdr:rowOff>
    </xdr:from>
    <xdr:to>
      <xdr:col>12</xdr:col>
      <xdr:colOff>411906</xdr:colOff>
      <xdr:row>186</xdr:row>
      <xdr:rowOff>54586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E5CF2DCE-3D74-433A-97AB-4F973F04B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12</xdr:col>
      <xdr:colOff>452245</xdr:colOff>
      <xdr:row>175</xdr:row>
      <xdr:rowOff>78441</xdr:rowOff>
    </xdr:from>
    <xdr:to>
      <xdr:col>14</xdr:col>
      <xdr:colOff>659701</xdr:colOff>
      <xdr:row>186</xdr:row>
      <xdr:rowOff>53594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74790321-51D5-4C7A-A8CC-B3C48DBAD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11</xdr:col>
      <xdr:colOff>215241</xdr:colOff>
      <xdr:row>186</xdr:row>
      <xdr:rowOff>104215</xdr:rowOff>
    </xdr:from>
    <xdr:to>
      <xdr:col>13</xdr:col>
      <xdr:colOff>584475</xdr:colOff>
      <xdr:row>197</xdr:row>
      <xdr:rowOff>79368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94FE698D-4AC4-4B79-8937-E06710CAE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15</xdr:col>
      <xdr:colOff>770281</xdr:colOff>
      <xdr:row>153</xdr:row>
      <xdr:rowOff>24848</xdr:rowOff>
    </xdr:from>
    <xdr:to>
      <xdr:col>20</xdr:col>
      <xdr:colOff>24847</xdr:colOff>
      <xdr:row>168</xdr:row>
      <xdr:rowOff>92083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F30F663C-7EDA-4485-8B21-F7323A175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15</xdr:col>
      <xdr:colOff>496957</xdr:colOff>
      <xdr:row>175</xdr:row>
      <xdr:rowOff>92102</xdr:rowOff>
    </xdr:from>
    <xdr:to>
      <xdr:col>17</xdr:col>
      <xdr:colOff>799240</xdr:colOff>
      <xdr:row>186</xdr:row>
      <xdr:rowOff>67255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7EC8C45B-CA4A-41D3-B9FA-300203B5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18</xdr:col>
      <xdr:colOff>36166</xdr:colOff>
      <xdr:row>175</xdr:row>
      <xdr:rowOff>91110</xdr:rowOff>
    </xdr:from>
    <xdr:to>
      <xdr:col>19</xdr:col>
      <xdr:colOff>989057</xdr:colOff>
      <xdr:row>186</xdr:row>
      <xdr:rowOff>66263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7458DA2B-C21E-4ECD-BECA-0CC30DF35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16</xdr:col>
      <xdr:colOff>503184</xdr:colOff>
      <xdr:row>186</xdr:row>
      <xdr:rowOff>116884</xdr:rowOff>
    </xdr:from>
    <xdr:to>
      <xdr:col>19</xdr:col>
      <xdr:colOff>102136</xdr:colOff>
      <xdr:row>197</xdr:row>
      <xdr:rowOff>92037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B3D283B-195C-4037-9D9A-D47800A79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20</xdr:col>
      <xdr:colOff>695739</xdr:colOff>
      <xdr:row>152</xdr:row>
      <xdr:rowOff>190499</xdr:rowOff>
    </xdr:from>
    <xdr:to>
      <xdr:col>25</xdr:col>
      <xdr:colOff>49696</xdr:colOff>
      <xdr:row>168</xdr:row>
      <xdr:rowOff>67234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8338D415-379B-42E6-9D9A-7DB0F9954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20</xdr:col>
      <xdr:colOff>438977</xdr:colOff>
      <xdr:row>175</xdr:row>
      <xdr:rowOff>150079</xdr:rowOff>
    </xdr:from>
    <xdr:to>
      <xdr:col>22</xdr:col>
      <xdr:colOff>658434</xdr:colOff>
      <xdr:row>186</xdr:row>
      <xdr:rowOff>125232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B2BA3CB6-D458-40B3-8927-AA3DF7286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22</xdr:col>
      <xdr:colOff>698773</xdr:colOff>
      <xdr:row>175</xdr:row>
      <xdr:rowOff>149087</xdr:rowOff>
    </xdr:from>
    <xdr:to>
      <xdr:col>25</xdr:col>
      <xdr:colOff>160795</xdr:colOff>
      <xdr:row>186</xdr:row>
      <xdr:rowOff>124240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2288AE0D-9625-4316-AF19-514D7CA87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21</xdr:col>
      <xdr:colOff>445204</xdr:colOff>
      <xdr:row>186</xdr:row>
      <xdr:rowOff>174861</xdr:rowOff>
    </xdr:from>
    <xdr:to>
      <xdr:col>24</xdr:col>
      <xdr:colOff>93852</xdr:colOff>
      <xdr:row>197</xdr:row>
      <xdr:rowOff>150014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31370B79-058A-480D-B07B-A4C6A5BBC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27</xdr:col>
      <xdr:colOff>248478</xdr:colOff>
      <xdr:row>152</xdr:row>
      <xdr:rowOff>157370</xdr:rowOff>
    </xdr:from>
    <xdr:to>
      <xdr:col>30</xdr:col>
      <xdr:colOff>588065</xdr:colOff>
      <xdr:row>168</xdr:row>
      <xdr:rowOff>34105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E084A1BF-46C0-47D2-83AC-5B5923222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27</xdr:col>
      <xdr:colOff>74543</xdr:colOff>
      <xdr:row>175</xdr:row>
      <xdr:rowOff>17557</xdr:rowOff>
    </xdr:from>
    <xdr:to>
      <xdr:col>28</xdr:col>
      <xdr:colOff>956609</xdr:colOff>
      <xdr:row>185</xdr:row>
      <xdr:rowOff>183210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913902C5-C0C2-4707-9290-7621A4B3E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28</xdr:col>
      <xdr:colOff>996948</xdr:colOff>
      <xdr:row>175</xdr:row>
      <xdr:rowOff>16565</xdr:rowOff>
    </xdr:from>
    <xdr:to>
      <xdr:col>30</xdr:col>
      <xdr:colOff>781991</xdr:colOff>
      <xdr:row>185</xdr:row>
      <xdr:rowOff>182218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4381E360-B2CA-4E15-9AE3-AA655301F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27</xdr:col>
      <xdr:colOff>859335</xdr:colOff>
      <xdr:row>186</xdr:row>
      <xdr:rowOff>42339</xdr:rowOff>
    </xdr:from>
    <xdr:to>
      <xdr:col>29</xdr:col>
      <xdr:colOff>913831</xdr:colOff>
      <xdr:row>197</xdr:row>
      <xdr:rowOff>17492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D8B40EAB-38DE-470F-B672-A107F5F30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33</xdr:col>
      <xdr:colOff>107674</xdr:colOff>
      <xdr:row>152</xdr:row>
      <xdr:rowOff>140804</xdr:rowOff>
    </xdr:from>
    <xdr:to>
      <xdr:col>36</xdr:col>
      <xdr:colOff>836543</xdr:colOff>
      <xdr:row>168</xdr:row>
      <xdr:rowOff>17539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A0281706-C995-485D-80E7-6050D4BEC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32</xdr:col>
      <xdr:colOff>455544</xdr:colOff>
      <xdr:row>175</xdr:row>
      <xdr:rowOff>17557</xdr:rowOff>
    </xdr:from>
    <xdr:to>
      <xdr:col>35</xdr:col>
      <xdr:colOff>120066</xdr:colOff>
      <xdr:row>185</xdr:row>
      <xdr:rowOff>183210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FE1E378B-DF7C-4A27-BD48-6F1DE9E64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35</xdr:col>
      <xdr:colOff>160405</xdr:colOff>
      <xdr:row>175</xdr:row>
      <xdr:rowOff>16565</xdr:rowOff>
    </xdr:from>
    <xdr:to>
      <xdr:col>36</xdr:col>
      <xdr:colOff>939361</xdr:colOff>
      <xdr:row>185</xdr:row>
      <xdr:rowOff>182218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ED2EA3DB-C905-4FDC-80FC-B91F3A082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34</xdr:col>
      <xdr:colOff>14510</xdr:colOff>
      <xdr:row>186</xdr:row>
      <xdr:rowOff>42339</xdr:rowOff>
    </xdr:from>
    <xdr:to>
      <xdr:col>36</xdr:col>
      <xdr:colOff>52440</xdr:colOff>
      <xdr:row>197</xdr:row>
      <xdr:rowOff>17492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633ECD9D-33E5-4696-BB97-F7FC469C8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39</xdr:col>
      <xdr:colOff>157370</xdr:colOff>
      <xdr:row>152</xdr:row>
      <xdr:rowOff>165653</xdr:rowOff>
    </xdr:from>
    <xdr:to>
      <xdr:col>43</xdr:col>
      <xdr:colOff>91109</xdr:colOff>
      <xdr:row>168</xdr:row>
      <xdr:rowOff>42388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85606281-A2F5-4F6C-91A0-148A09B9F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38</xdr:col>
      <xdr:colOff>356152</xdr:colOff>
      <xdr:row>175</xdr:row>
      <xdr:rowOff>9275</xdr:rowOff>
    </xdr:from>
    <xdr:to>
      <xdr:col>41</xdr:col>
      <xdr:colOff>4109</xdr:colOff>
      <xdr:row>185</xdr:row>
      <xdr:rowOff>174928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EAAC29B2-6A3F-459C-B445-E97241F05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41</xdr:col>
      <xdr:colOff>44448</xdr:colOff>
      <xdr:row>175</xdr:row>
      <xdr:rowOff>8283</xdr:rowOff>
    </xdr:from>
    <xdr:to>
      <xdr:col>43</xdr:col>
      <xdr:colOff>44839</xdr:colOff>
      <xdr:row>185</xdr:row>
      <xdr:rowOff>173936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D0849E7F-E310-454B-A62D-B5C0F3A87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39</xdr:col>
      <xdr:colOff>528031</xdr:colOff>
      <xdr:row>186</xdr:row>
      <xdr:rowOff>34057</xdr:rowOff>
    </xdr:from>
    <xdr:to>
      <xdr:col>42</xdr:col>
      <xdr:colOff>52440</xdr:colOff>
      <xdr:row>197</xdr:row>
      <xdr:rowOff>9210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13BC985B-7A06-405D-980C-6F4127764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91440</xdr:rowOff>
    </xdr:from>
    <xdr:to>
      <xdr:col>12</xdr:col>
      <xdr:colOff>217170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B00F-A438-8A09-D7D6-90C62CF2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3"/>
  <sheetViews>
    <sheetView topLeftCell="X1" zoomScale="115" zoomScaleNormal="115" workbookViewId="0">
      <selection activeCell="AJ8" sqref="AJ8"/>
    </sheetView>
  </sheetViews>
  <sheetFormatPr defaultRowHeight="15" x14ac:dyDescent="0.25"/>
  <cols>
    <col min="1" max="1" width="15.85546875" style="1" customWidth="1"/>
    <col min="2" max="2" width="13" style="1" customWidth="1"/>
    <col min="3" max="3" width="24.42578125" style="1" customWidth="1"/>
    <col min="4" max="4" width="17.85546875" style="1" customWidth="1"/>
    <col min="5" max="5" width="17.140625" style="1" customWidth="1"/>
    <col min="6" max="6" width="13.85546875" customWidth="1"/>
    <col min="7" max="7" width="13.28515625" customWidth="1"/>
    <col min="8" max="8" width="9.5703125" customWidth="1"/>
  </cols>
  <sheetData>
    <row r="1" spans="1:58" x14ac:dyDescent="0.25">
      <c r="AC1" s="62" t="s">
        <v>157</v>
      </c>
      <c r="AD1" s="62"/>
      <c r="AE1" s="62"/>
      <c r="AF1" s="62"/>
      <c r="AG1" s="62"/>
      <c r="AH1" s="62"/>
      <c r="AJ1" s="62" t="s">
        <v>158</v>
      </c>
      <c r="AK1" s="62"/>
      <c r="AL1" s="62"/>
      <c r="AM1" s="62"/>
      <c r="AN1" s="62"/>
      <c r="AO1" s="62"/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23</v>
      </c>
      <c r="G2" s="1" t="s">
        <v>24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103</v>
      </c>
      <c r="M2" s="1" t="s">
        <v>102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C2" s="1" t="s">
        <v>60</v>
      </c>
      <c r="AD2" s="1" t="s">
        <v>59</v>
      </c>
      <c r="AE2" s="1" t="s">
        <v>58</v>
      </c>
      <c r="AF2" s="1" t="s">
        <v>57</v>
      </c>
      <c r="AG2" s="1" t="s">
        <v>56</v>
      </c>
      <c r="AH2" s="1" t="s">
        <v>55</v>
      </c>
      <c r="AJ2" s="1" t="s">
        <v>60</v>
      </c>
      <c r="AK2" s="1" t="s">
        <v>59</v>
      </c>
      <c r="AL2" s="1" t="s">
        <v>58</v>
      </c>
      <c r="AM2" s="1" t="s">
        <v>57</v>
      </c>
      <c r="AN2" s="1" t="s">
        <v>56</v>
      </c>
      <c r="AO2" s="1" t="s">
        <v>55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29</v>
      </c>
      <c r="BF2" s="1" t="s">
        <v>30</v>
      </c>
    </row>
    <row r="3" spans="1:58" x14ac:dyDescent="0.25">
      <c r="A3" s="2">
        <v>167</v>
      </c>
      <c r="B3" s="2">
        <v>128</v>
      </c>
      <c r="C3" s="2">
        <v>41</v>
      </c>
      <c r="D3" s="2">
        <v>48</v>
      </c>
      <c r="E3" s="5">
        <v>0.104819100180613</v>
      </c>
      <c r="F3" s="5">
        <v>3.3154403752457901E-2</v>
      </c>
      <c r="G3" s="5">
        <v>2.2914216154744201E-2</v>
      </c>
      <c r="H3" s="16">
        <f t="shared" ref="H3:M3" si="0">BA3/($D3-$C3)</f>
        <v>0.8571428571428571</v>
      </c>
      <c r="I3" s="16">
        <f t="shared" si="0"/>
        <v>2.2857142857142856</v>
      </c>
      <c r="J3" s="16">
        <f t="shared" si="0"/>
        <v>13.714285714285714</v>
      </c>
      <c r="K3" s="16">
        <f t="shared" si="0"/>
        <v>37.714285714285715</v>
      </c>
      <c r="L3" s="16">
        <f t="shared" si="0"/>
        <v>86.285714285714292</v>
      </c>
      <c r="M3" s="16">
        <f t="shared" si="0"/>
        <v>139.71428571428572</v>
      </c>
      <c r="N3" s="33"/>
      <c r="O3">
        <v>6.4069250048013796E-2</v>
      </c>
      <c r="P3">
        <v>0.17940701762775299</v>
      </c>
      <c r="Q3">
        <v>0.59727911911144405</v>
      </c>
      <c r="R3">
        <v>2.1218818406845701</v>
      </c>
      <c r="S3">
        <v>8.4875273627382803</v>
      </c>
      <c r="T3">
        <v>33.9501094509531</v>
      </c>
      <c r="V3">
        <v>0.104819100180613</v>
      </c>
      <c r="W3">
        <v>0.41927640072245398</v>
      </c>
      <c r="X3">
        <v>1.6771056028898099</v>
      </c>
      <c r="Y3">
        <v>6.7084224115592699</v>
      </c>
      <c r="Z3">
        <v>26.833689646237001</v>
      </c>
      <c r="AA3">
        <v>107.33475858494801</v>
      </c>
      <c r="AC3" s="1">
        <f>H3/$E3</f>
        <v>8.1773537042955038</v>
      </c>
      <c r="AD3" s="1">
        <f>I3/$E3</f>
        <v>21.806276544788009</v>
      </c>
      <c r="AE3" s="1">
        <f>J3/$E3</f>
        <v>130.83765926872806</v>
      </c>
      <c r="AF3" s="1">
        <f t="shared" ref="AF3:AH3" si="1">K3/$E3</f>
        <v>359.80356298900216</v>
      </c>
      <c r="AG3" s="1">
        <f t="shared" si="1"/>
        <v>823.18693956574737</v>
      </c>
      <c r="AH3" s="1">
        <f t="shared" si="1"/>
        <v>1332.908653800167</v>
      </c>
      <c r="AJ3" s="13">
        <f>H3*$E3</f>
        <v>8.984494301195399E-2</v>
      </c>
      <c r="AK3" s="13">
        <f t="shared" ref="AK3:AO18" si="2">I3*$E3</f>
        <v>0.23958651469854397</v>
      </c>
      <c r="AL3" s="13">
        <f t="shared" si="2"/>
        <v>1.4375190881912638</v>
      </c>
      <c r="AM3" s="13">
        <f t="shared" si="2"/>
        <v>3.9531774925259757</v>
      </c>
      <c r="AN3" s="13">
        <f t="shared" si="2"/>
        <v>9.0443909298700369</v>
      </c>
      <c r="AO3" s="13">
        <f>M3*$E3</f>
        <v>14.644725710948503</v>
      </c>
      <c r="BA3" s="1">
        <v>6</v>
      </c>
      <c r="BB3" s="1">
        <v>16</v>
      </c>
      <c r="BC3" s="1">
        <v>96</v>
      </c>
      <c r="BD3" s="1">
        <v>264</v>
      </c>
      <c r="BE3" s="1">
        <v>604</v>
      </c>
      <c r="BF3" s="1">
        <v>978</v>
      </c>
    </row>
    <row r="4" spans="1:58" x14ac:dyDescent="0.25">
      <c r="A4" s="2">
        <v>6</v>
      </c>
      <c r="B4" s="2">
        <v>128</v>
      </c>
      <c r="C4" s="2">
        <v>80</v>
      </c>
      <c r="D4" s="2">
        <v>90</v>
      </c>
      <c r="E4" s="5">
        <v>5.1422303101187901E-2</v>
      </c>
      <c r="F4" s="5">
        <v>1.43345982575964E-2</v>
      </c>
      <c r="G4" s="5">
        <v>7.2966466530169603E-3</v>
      </c>
      <c r="H4" s="16">
        <f t="shared" ref="H4:H38" si="3">BA4/(D4-C4)</f>
        <v>0.2</v>
      </c>
      <c r="I4" s="16">
        <f t="shared" ref="I4:I38" si="4">BB4/($D4-$C4)</f>
        <v>0.8</v>
      </c>
      <c r="J4" s="16">
        <f t="shared" ref="J4:J38" si="5">BC4/($D4-$C4)</f>
        <v>6.5</v>
      </c>
      <c r="K4" s="16">
        <f t="shared" ref="K4:K38" si="6">BD4/($D4-$C4)</f>
        <v>19.5</v>
      </c>
      <c r="L4" s="16">
        <f t="shared" ref="L4:L38" si="7">BE4/($D4-$C4)</f>
        <v>62.8</v>
      </c>
      <c r="M4" s="16">
        <f t="shared" ref="M4:M38" si="8">BF4/($D4-$C4)</f>
        <v>169</v>
      </c>
      <c r="N4" s="33"/>
      <c r="O4">
        <v>5.1422303616638097E-2</v>
      </c>
      <c r="P4">
        <v>0.136504884052633</v>
      </c>
      <c r="Q4">
        <v>0.26754282688021702</v>
      </c>
      <c r="R4">
        <v>0.98750358289623297</v>
      </c>
      <c r="S4">
        <v>3.6696571758817198</v>
      </c>
      <c r="T4">
        <v>14.678628703526799</v>
      </c>
      <c r="V4">
        <v>5.1422303101187901E-2</v>
      </c>
      <c r="W4">
        <v>0.20568921240475099</v>
      </c>
      <c r="X4">
        <v>0.82275684961900697</v>
      </c>
      <c r="Y4">
        <v>3.2910273984760301</v>
      </c>
      <c r="Z4">
        <v>13.164109593904101</v>
      </c>
      <c r="AA4">
        <v>52.656438375616403</v>
      </c>
      <c r="AC4" s="1">
        <f t="shared" ref="AC4:AC38" si="9">H4/E4</f>
        <v>3.8893629405599266</v>
      </c>
      <c r="AD4" s="1">
        <f t="shared" ref="AD4:AD38" si="10">I4/$E4</f>
        <v>15.557451762239706</v>
      </c>
      <c r="AE4" s="1">
        <f t="shared" ref="AE4:AE38" si="11">J4/$E4</f>
        <v>126.40429556819761</v>
      </c>
      <c r="AF4" s="1">
        <f t="shared" ref="AF4:AF38" si="12">K4/$E4</f>
        <v>379.21288670459285</v>
      </c>
      <c r="AG4" s="1">
        <f t="shared" ref="AG4:AG38" si="13">L4/$E4</f>
        <v>1221.2599633358168</v>
      </c>
      <c r="AH4" s="1">
        <f t="shared" ref="AH4:AH38" si="14">M4/$E4</f>
        <v>3286.5116847731379</v>
      </c>
      <c r="AJ4" s="13">
        <f t="shared" ref="AJ4:AJ38" si="15">H4*$E4</f>
        <v>1.0284460620237581E-2</v>
      </c>
      <c r="AK4" s="13">
        <f t="shared" si="2"/>
        <v>4.1137842480950322E-2</v>
      </c>
      <c r="AL4" s="13">
        <f t="shared" si="2"/>
        <v>0.33424497015772137</v>
      </c>
      <c r="AM4" s="13">
        <f t="shared" si="2"/>
        <v>1.002734910473164</v>
      </c>
      <c r="AN4" s="13">
        <f t="shared" si="2"/>
        <v>3.2293206347546</v>
      </c>
      <c r="AO4" s="13">
        <f t="shared" si="2"/>
        <v>8.6903692241007544</v>
      </c>
      <c r="BA4" s="1">
        <v>2</v>
      </c>
      <c r="BB4" s="1">
        <v>8</v>
      </c>
      <c r="BC4" s="1">
        <v>65</v>
      </c>
      <c r="BD4" s="1">
        <v>195</v>
      </c>
      <c r="BE4" s="1">
        <v>628</v>
      </c>
      <c r="BF4" s="1">
        <v>1690</v>
      </c>
    </row>
    <row r="5" spans="1:58" x14ac:dyDescent="0.25">
      <c r="A5" s="2">
        <v>8</v>
      </c>
      <c r="B5" s="2">
        <v>128</v>
      </c>
      <c r="C5" s="2">
        <v>115</v>
      </c>
      <c r="D5" s="2">
        <v>125</v>
      </c>
      <c r="E5" s="5">
        <v>0.161944718485239</v>
      </c>
      <c r="F5" s="5">
        <v>3.2526116479269097E-2</v>
      </c>
      <c r="G5" s="5">
        <v>7.7989329746457701E-3</v>
      </c>
      <c r="H5" s="16">
        <f t="shared" si="3"/>
        <v>1</v>
      </c>
      <c r="I5" s="16">
        <f t="shared" si="4"/>
        <v>3.1</v>
      </c>
      <c r="J5" s="16">
        <f t="shared" si="5"/>
        <v>8.9</v>
      </c>
      <c r="K5" s="16">
        <f t="shared" si="6"/>
        <v>23</v>
      </c>
      <c r="L5" s="16">
        <f t="shared" si="7"/>
        <v>50.9</v>
      </c>
      <c r="M5" s="16">
        <f t="shared" si="8"/>
        <v>149.30000000000001</v>
      </c>
      <c r="N5" s="33"/>
      <c r="O5">
        <v>9.4968206718967205E-2</v>
      </c>
      <c r="P5">
        <v>0.31788484763340902</v>
      </c>
      <c r="Q5">
        <v>0.78149567271952003</v>
      </c>
      <c r="R5">
        <v>2.2740324054836099</v>
      </c>
      <c r="S5">
        <v>8.3266858207082599</v>
      </c>
      <c r="T5">
        <v>33.306743282832997</v>
      </c>
      <c r="V5">
        <v>0.161944718485239</v>
      </c>
      <c r="W5">
        <v>0.64777887394095901</v>
      </c>
      <c r="X5">
        <v>2.5911154957638298</v>
      </c>
      <c r="Y5">
        <v>10.3644619830553</v>
      </c>
      <c r="Z5">
        <v>41.457847932221398</v>
      </c>
      <c r="AA5">
        <v>165.831391728885</v>
      </c>
      <c r="AC5" s="1">
        <f t="shared" si="9"/>
        <v>6.1749466691693833</v>
      </c>
      <c r="AD5" s="1">
        <f t="shared" si="10"/>
        <v>19.142334674425086</v>
      </c>
      <c r="AE5" s="1">
        <f t="shared" si="11"/>
        <v>54.957025355607513</v>
      </c>
      <c r="AF5" s="1">
        <f t="shared" si="12"/>
        <v>142.0237733908958</v>
      </c>
      <c r="AG5" s="1">
        <f t="shared" si="13"/>
        <v>314.30478546072158</v>
      </c>
      <c r="AH5" s="1">
        <f t="shared" si="14"/>
        <v>921.91953770698899</v>
      </c>
      <c r="AJ5" s="13">
        <f t="shared" si="15"/>
        <v>0.161944718485239</v>
      </c>
      <c r="AK5" s="13">
        <f t="shared" si="2"/>
        <v>0.50202862730424092</v>
      </c>
      <c r="AL5" s="13">
        <f t="shared" si="2"/>
        <v>1.4413079945186271</v>
      </c>
      <c r="AM5" s="13">
        <f t="shared" si="2"/>
        <v>3.7247285251604971</v>
      </c>
      <c r="AN5" s="13">
        <f t="shared" si="2"/>
        <v>8.2429861708986643</v>
      </c>
      <c r="AO5" s="13">
        <f t="shared" si="2"/>
        <v>24.178346469846186</v>
      </c>
      <c r="BA5" s="1">
        <v>10</v>
      </c>
      <c r="BB5" s="1">
        <v>31</v>
      </c>
      <c r="BC5" s="1">
        <v>89</v>
      </c>
      <c r="BD5" s="1">
        <v>230</v>
      </c>
      <c r="BE5" s="1">
        <v>509</v>
      </c>
      <c r="BF5" s="1">
        <v>1493</v>
      </c>
    </row>
    <row r="6" spans="1:58" x14ac:dyDescent="0.25">
      <c r="A6" s="2">
        <v>168</v>
      </c>
      <c r="B6" s="2">
        <v>128</v>
      </c>
      <c r="C6" s="2">
        <v>150</v>
      </c>
      <c r="D6" s="2">
        <v>160</v>
      </c>
      <c r="E6" s="5">
        <v>8.9416636847151898E-2</v>
      </c>
      <c r="F6" s="5">
        <v>2.1060905578879598E-2</v>
      </c>
      <c r="G6" s="5">
        <v>9.6694169987568603E-3</v>
      </c>
      <c r="H6" s="16">
        <f t="shared" si="3"/>
        <v>0.4</v>
      </c>
      <c r="I6" s="16">
        <f t="shared" si="4"/>
        <v>1.6</v>
      </c>
      <c r="J6" s="16">
        <f t="shared" si="5"/>
        <v>11</v>
      </c>
      <c r="K6" s="16">
        <f t="shared" si="6"/>
        <v>25.5</v>
      </c>
      <c r="L6" s="16">
        <f t="shared" si="7"/>
        <v>48.9</v>
      </c>
      <c r="M6" s="16">
        <f t="shared" si="8"/>
        <v>135.1</v>
      </c>
      <c r="N6" s="33"/>
      <c r="O6">
        <v>5.6005964760614799E-2</v>
      </c>
      <c r="P6">
        <v>0.16309275016740199</v>
      </c>
      <c r="Q6">
        <v>0.449858505678978</v>
      </c>
      <c r="R6">
        <v>1.61414237742101</v>
      </c>
      <c r="S6">
        <v>5.3915917727487104</v>
      </c>
      <c r="T6">
        <v>21.566367090994799</v>
      </c>
      <c r="V6">
        <v>8.9416636847151898E-2</v>
      </c>
      <c r="W6">
        <v>0.35766654738860698</v>
      </c>
      <c r="X6">
        <v>1.4306661895544299</v>
      </c>
      <c r="Y6">
        <v>5.7226647582177197</v>
      </c>
      <c r="Z6">
        <v>22.890659032870801</v>
      </c>
      <c r="AA6">
        <v>91.562636131483501</v>
      </c>
      <c r="AC6" s="1">
        <f t="shared" si="9"/>
        <v>4.4734404480427612</v>
      </c>
      <c r="AD6" s="1">
        <f t="shared" si="10"/>
        <v>17.893761792171045</v>
      </c>
      <c r="AE6" s="1">
        <f t="shared" si="11"/>
        <v>123.01961232117591</v>
      </c>
      <c r="AF6" s="1">
        <f t="shared" si="12"/>
        <v>285.18182856272597</v>
      </c>
      <c r="AG6" s="1">
        <f t="shared" si="13"/>
        <v>546.87809477322742</v>
      </c>
      <c r="AH6" s="1">
        <f t="shared" si="14"/>
        <v>1510.9045113264424</v>
      </c>
      <c r="AJ6" s="13">
        <f t="shared" si="15"/>
        <v>3.5766654738860759E-2</v>
      </c>
      <c r="AK6" s="13">
        <f t="shared" si="2"/>
        <v>0.14306661895544304</v>
      </c>
      <c r="AL6" s="13">
        <f t="shared" si="2"/>
        <v>0.98358300531867093</v>
      </c>
      <c r="AM6" s="13">
        <f t="shared" si="2"/>
        <v>2.2801242396023733</v>
      </c>
      <c r="AN6" s="13">
        <f t="shared" si="2"/>
        <v>4.3724735418257277</v>
      </c>
      <c r="AO6" s="13">
        <f t="shared" si="2"/>
        <v>12.080187638050221</v>
      </c>
      <c r="BA6" s="1">
        <v>4</v>
      </c>
      <c r="BB6" s="1">
        <v>16</v>
      </c>
      <c r="BC6" s="1">
        <v>110</v>
      </c>
      <c r="BD6" s="1">
        <v>255</v>
      </c>
      <c r="BE6" s="1">
        <v>489</v>
      </c>
      <c r="BF6" s="1">
        <v>1351</v>
      </c>
    </row>
    <row r="7" spans="1:58" x14ac:dyDescent="0.25">
      <c r="A7" s="2">
        <v>150</v>
      </c>
      <c r="B7" s="2">
        <v>90</v>
      </c>
      <c r="C7" s="2">
        <v>194</v>
      </c>
      <c r="D7" s="2">
        <v>199</v>
      </c>
      <c r="E7" s="5">
        <v>4.68499378365069E-2</v>
      </c>
      <c r="F7" s="5">
        <v>1.9737041545963101E-2</v>
      </c>
      <c r="G7" s="5">
        <v>1.1301251811562101E-2</v>
      </c>
      <c r="H7" s="16">
        <f t="shared" si="3"/>
        <v>0.4</v>
      </c>
      <c r="I7" s="16">
        <f t="shared" si="4"/>
        <v>3.2</v>
      </c>
      <c r="J7" s="16">
        <f t="shared" si="5"/>
        <v>8.1999999999999993</v>
      </c>
      <c r="K7" s="16">
        <f t="shared" si="6"/>
        <v>27.8</v>
      </c>
      <c r="L7" s="16">
        <f t="shared" si="7"/>
        <v>82.8</v>
      </c>
      <c r="M7" s="16">
        <f t="shared" si="8"/>
        <v>176.4</v>
      </c>
      <c r="N7" s="33"/>
      <c r="O7">
        <v>4.6849938207403699E-2</v>
      </c>
      <c r="P7">
        <v>0.12535462962986799</v>
      </c>
      <c r="Q7">
        <v>0.44063655773576799</v>
      </c>
      <c r="R7">
        <v>1.4715502319528799</v>
      </c>
      <c r="S7">
        <v>5.0526826474058097</v>
      </c>
      <c r="T7">
        <v>20.2107305896232</v>
      </c>
      <c r="V7">
        <v>4.68499378365069E-2</v>
      </c>
      <c r="W7">
        <v>0.18739975134602699</v>
      </c>
      <c r="X7">
        <v>0.74959900538411095</v>
      </c>
      <c r="Y7">
        <v>2.9983960215364398</v>
      </c>
      <c r="Z7">
        <v>11.993584086145701</v>
      </c>
      <c r="AA7">
        <v>47.974336344583101</v>
      </c>
      <c r="AC7" s="1">
        <f t="shared" si="9"/>
        <v>8.5378982016131477</v>
      </c>
      <c r="AD7" s="1">
        <f t="shared" si="10"/>
        <v>68.303185612905182</v>
      </c>
      <c r="AE7" s="1">
        <f t="shared" si="11"/>
        <v>175.02691313306951</v>
      </c>
      <c r="AF7" s="1">
        <f t="shared" si="12"/>
        <v>593.38392501211376</v>
      </c>
      <c r="AG7" s="1">
        <f t="shared" si="13"/>
        <v>1767.3449277339214</v>
      </c>
      <c r="AH7" s="1">
        <f t="shared" si="14"/>
        <v>3765.213106911398</v>
      </c>
      <c r="AJ7" s="13">
        <f t="shared" si="15"/>
        <v>1.8739975134602762E-2</v>
      </c>
      <c r="AK7" s="13">
        <f t="shared" si="2"/>
        <v>0.1499198010768221</v>
      </c>
      <c r="AL7" s="13">
        <f t="shared" si="2"/>
        <v>0.38416949025935654</v>
      </c>
      <c r="AM7" s="13">
        <f t="shared" si="2"/>
        <v>1.3024282718548919</v>
      </c>
      <c r="AN7" s="13">
        <f t="shared" si="2"/>
        <v>3.879174852862771</v>
      </c>
      <c r="AO7" s="13">
        <f t="shared" si="2"/>
        <v>8.2643290343598181</v>
      </c>
      <c r="BA7" s="1">
        <v>2</v>
      </c>
      <c r="BB7" s="1">
        <v>16</v>
      </c>
      <c r="BC7" s="1">
        <v>41</v>
      </c>
      <c r="BD7" s="1">
        <v>139</v>
      </c>
      <c r="BE7" s="1">
        <v>414</v>
      </c>
      <c r="BF7" s="1">
        <v>882</v>
      </c>
    </row>
    <row r="8" spans="1:58" x14ac:dyDescent="0.25">
      <c r="A8" s="2">
        <v>11</v>
      </c>
      <c r="B8" s="2">
        <v>90</v>
      </c>
      <c r="C8" s="2">
        <v>226</v>
      </c>
      <c r="D8" s="2">
        <v>234</v>
      </c>
      <c r="E8" s="5">
        <v>5.1754391722476999E-2</v>
      </c>
      <c r="F8" s="5">
        <v>2.3629413923689099E-2</v>
      </c>
      <c r="G8" s="5">
        <v>3.0143536797057099E-2</v>
      </c>
      <c r="H8" s="16">
        <f t="shared" si="3"/>
        <v>0.75</v>
      </c>
      <c r="I8" s="16">
        <f t="shared" si="4"/>
        <v>3.625</v>
      </c>
      <c r="J8" s="16">
        <f t="shared" si="5"/>
        <v>12.75</v>
      </c>
      <c r="K8" s="16">
        <f t="shared" si="6"/>
        <v>30.75</v>
      </c>
      <c r="L8" s="16">
        <f t="shared" si="7"/>
        <v>61.625</v>
      </c>
      <c r="M8" s="16">
        <f t="shared" si="8"/>
        <v>166.125</v>
      </c>
      <c r="N8" s="33"/>
      <c r="O8">
        <v>3.9406083818281298E-2</v>
      </c>
      <c r="P8">
        <v>0.15393753693111001</v>
      </c>
      <c r="Q8">
        <v>0.46926879178815301</v>
      </c>
      <c r="R8">
        <v>1.6679355265670801</v>
      </c>
      <c r="S8">
        <v>6.0491299651584196</v>
      </c>
      <c r="T8">
        <v>24.1965198606337</v>
      </c>
      <c r="V8">
        <v>5.1754391722476999E-2</v>
      </c>
      <c r="W8">
        <v>0.20701756688990799</v>
      </c>
      <c r="X8">
        <v>0.82807026755963298</v>
      </c>
      <c r="Y8">
        <v>3.3122810702385301</v>
      </c>
      <c r="Z8">
        <v>13.249124280954099</v>
      </c>
      <c r="AA8">
        <v>52.996497123816503</v>
      </c>
      <c r="AC8" s="1">
        <f t="shared" si="9"/>
        <v>14.491523811577792</v>
      </c>
      <c r="AD8" s="1">
        <f t="shared" si="10"/>
        <v>70.042365089292659</v>
      </c>
      <c r="AE8" s="1">
        <f t="shared" si="11"/>
        <v>246.35590479682247</v>
      </c>
      <c r="AF8" s="1">
        <f t="shared" si="12"/>
        <v>594.15247627468943</v>
      </c>
      <c r="AG8" s="1">
        <f t="shared" si="13"/>
        <v>1190.7202065179752</v>
      </c>
      <c r="AH8" s="1">
        <f t="shared" si="14"/>
        <v>3209.8725242644809</v>
      </c>
      <c r="AJ8" s="13">
        <f t="shared" si="15"/>
        <v>3.8815793791857747E-2</v>
      </c>
      <c r="AK8" s="13">
        <f t="shared" si="2"/>
        <v>0.18760966999397913</v>
      </c>
      <c r="AL8" s="13">
        <f t="shared" si="2"/>
        <v>0.65986849446158169</v>
      </c>
      <c r="AM8" s="13">
        <f t="shared" si="2"/>
        <v>1.5914475454661676</v>
      </c>
      <c r="AN8" s="13">
        <f t="shared" si="2"/>
        <v>3.1893643898976451</v>
      </c>
      <c r="AO8" s="13">
        <f t="shared" si="2"/>
        <v>8.5976983248964913</v>
      </c>
      <c r="BA8" s="1">
        <v>6</v>
      </c>
      <c r="BB8" s="1">
        <v>29</v>
      </c>
      <c r="BC8" s="1">
        <v>102</v>
      </c>
      <c r="BD8" s="1">
        <v>246</v>
      </c>
      <c r="BE8" s="1">
        <v>493</v>
      </c>
      <c r="BF8" s="1">
        <v>1329</v>
      </c>
    </row>
    <row r="9" spans="1:58" x14ac:dyDescent="0.25">
      <c r="A9" s="2">
        <v>22</v>
      </c>
      <c r="B9" s="2">
        <v>90</v>
      </c>
      <c r="C9" s="2">
        <v>265</v>
      </c>
      <c r="D9" s="2">
        <v>275</v>
      </c>
      <c r="E9" s="5">
        <v>6.2688332148029005E-2</v>
      </c>
      <c r="F9" s="5">
        <v>1.8357479777712401E-2</v>
      </c>
      <c r="G9" s="5">
        <v>5.3392743586913897E-3</v>
      </c>
      <c r="H9" s="16">
        <f t="shared" si="3"/>
        <v>0.3</v>
      </c>
      <c r="I9" s="16">
        <f t="shared" si="4"/>
        <v>2.1</v>
      </c>
      <c r="J9" s="16">
        <f t="shared" si="5"/>
        <v>9.1</v>
      </c>
      <c r="K9" s="16">
        <f t="shared" si="6"/>
        <v>21.2</v>
      </c>
      <c r="L9" s="16">
        <f t="shared" si="7"/>
        <v>66</v>
      </c>
      <c r="M9" s="16">
        <f t="shared" si="8"/>
        <v>158.1</v>
      </c>
      <c r="N9" s="33"/>
      <c r="O9">
        <v>4.5463397559226001E-2</v>
      </c>
      <c r="P9">
        <v>0.16338445100562901</v>
      </c>
      <c r="Q9">
        <v>0.426009200925964</v>
      </c>
      <c r="R9">
        <v>1.2687679005852299</v>
      </c>
      <c r="S9">
        <v>4.6995148199797203</v>
      </c>
      <c r="T9">
        <v>18.7980592799188</v>
      </c>
      <c r="V9">
        <v>4.5463397884194803E-2</v>
      </c>
      <c r="W9">
        <v>0.25075332859211602</v>
      </c>
      <c r="X9">
        <v>1.0030133143684601</v>
      </c>
      <c r="Y9">
        <v>4.0120532574738599</v>
      </c>
      <c r="Z9">
        <v>16.0482130298954</v>
      </c>
      <c r="AA9">
        <v>64.192852119581701</v>
      </c>
      <c r="AC9" s="1">
        <f t="shared" si="9"/>
        <v>4.7855795443974394</v>
      </c>
      <c r="AD9" s="1">
        <f t="shared" si="10"/>
        <v>33.499056810782079</v>
      </c>
      <c r="AE9" s="1">
        <f t="shared" si="11"/>
        <v>145.16257951338898</v>
      </c>
      <c r="AF9" s="1">
        <f t="shared" si="12"/>
        <v>338.1809544707524</v>
      </c>
      <c r="AG9" s="1">
        <f t="shared" si="13"/>
        <v>1052.8274997674366</v>
      </c>
      <c r="AH9" s="1">
        <f t="shared" si="14"/>
        <v>2522.0004198974507</v>
      </c>
      <c r="AJ9" s="13">
        <f t="shared" si="15"/>
        <v>1.8806499644408701E-2</v>
      </c>
      <c r="AK9" s="13">
        <f t="shared" si="2"/>
        <v>0.13164549751086091</v>
      </c>
      <c r="AL9" s="13">
        <f t="shared" si="2"/>
        <v>0.57046382254706396</v>
      </c>
      <c r="AM9" s="13">
        <f t="shared" si="2"/>
        <v>1.3289926415382149</v>
      </c>
      <c r="AN9" s="13">
        <f t="shared" si="2"/>
        <v>4.1374299217699146</v>
      </c>
      <c r="AO9" s="13">
        <f t="shared" si="2"/>
        <v>9.9110253126033854</v>
      </c>
      <c r="BA9" s="1">
        <v>3</v>
      </c>
      <c r="BB9" s="1">
        <v>21</v>
      </c>
      <c r="BC9" s="1">
        <v>91</v>
      </c>
      <c r="BD9" s="1">
        <v>212</v>
      </c>
      <c r="BE9" s="1">
        <v>660</v>
      </c>
      <c r="BF9" s="1">
        <v>1581</v>
      </c>
    </row>
    <row r="10" spans="1:58" x14ac:dyDescent="0.25">
      <c r="A10" s="2">
        <v>152</v>
      </c>
      <c r="B10" s="2">
        <v>90</v>
      </c>
      <c r="C10" s="2">
        <v>310</v>
      </c>
      <c r="D10" s="2">
        <v>320</v>
      </c>
      <c r="E10" s="5">
        <v>0.10293183462706799</v>
      </c>
      <c r="F10" s="5">
        <v>2.3869849132825499E-2</v>
      </c>
      <c r="G10" s="5">
        <v>8.4624680045280194E-3</v>
      </c>
      <c r="H10" s="16">
        <f t="shared" si="3"/>
        <v>0.9</v>
      </c>
      <c r="I10" s="16">
        <f t="shared" si="4"/>
        <v>3.2</v>
      </c>
      <c r="J10" s="16">
        <f t="shared" si="5"/>
        <v>7.5</v>
      </c>
      <c r="K10" s="16">
        <f t="shared" si="6"/>
        <v>23.3</v>
      </c>
      <c r="L10" s="16">
        <f t="shared" si="7"/>
        <v>70</v>
      </c>
      <c r="M10" s="16">
        <f t="shared" si="8"/>
        <v>163.9</v>
      </c>
      <c r="N10" s="33"/>
      <c r="O10">
        <v>9.5743592288179996E-2</v>
      </c>
      <c r="P10">
        <v>0.18723147718286101</v>
      </c>
      <c r="Q10">
        <v>0.64667150537108198</v>
      </c>
      <c r="R10">
        <v>1.81287477386409</v>
      </c>
      <c r="S10">
        <v>6.1106814199081896</v>
      </c>
      <c r="T10">
        <v>24.442725679632701</v>
      </c>
      <c r="V10">
        <v>0.10293183462706799</v>
      </c>
      <c r="W10">
        <v>0.41172733850827198</v>
      </c>
      <c r="X10">
        <v>1.6469093540330899</v>
      </c>
      <c r="Y10">
        <v>6.5876374161323596</v>
      </c>
      <c r="Z10">
        <v>26.3505496645294</v>
      </c>
      <c r="AA10">
        <v>105.402198658117</v>
      </c>
      <c r="AC10" s="1">
        <f t="shared" si="9"/>
        <v>8.7436506233546414</v>
      </c>
      <c r="AD10" s="1">
        <f t="shared" si="10"/>
        <v>31.088535549705394</v>
      </c>
      <c r="AE10" s="1">
        <f t="shared" si="11"/>
        <v>72.863755194622016</v>
      </c>
      <c r="AF10" s="1">
        <f t="shared" si="12"/>
        <v>226.36339947129241</v>
      </c>
      <c r="AG10" s="1">
        <f t="shared" si="13"/>
        <v>680.06171514980554</v>
      </c>
      <c r="AH10" s="1">
        <f t="shared" si="14"/>
        <v>1592.3159301864732</v>
      </c>
      <c r="AJ10" s="13">
        <f t="shared" si="15"/>
        <v>9.2638651164361194E-2</v>
      </c>
      <c r="AK10" s="13">
        <f t="shared" si="2"/>
        <v>0.32938187080661763</v>
      </c>
      <c r="AL10" s="13">
        <f t="shared" si="2"/>
        <v>0.77198875970300995</v>
      </c>
      <c r="AM10" s="13">
        <f t="shared" si="2"/>
        <v>2.3983117468106845</v>
      </c>
      <c r="AN10" s="13">
        <f t="shared" si="2"/>
        <v>7.2052284238947593</v>
      </c>
      <c r="AO10" s="13">
        <f t="shared" si="2"/>
        <v>16.870527695376445</v>
      </c>
      <c r="BA10" s="1">
        <v>9</v>
      </c>
      <c r="BB10" s="1">
        <v>32</v>
      </c>
      <c r="BC10" s="1">
        <v>75</v>
      </c>
      <c r="BD10" s="1">
        <v>233</v>
      </c>
      <c r="BE10" s="1">
        <v>700</v>
      </c>
      <c r="BF10" s="1">
        <v>1639</v>
      </c>
    </row>
    <row r="11" spans="1:58" x14ac:dyDescent="0.25">
      <c r="A11" s="2">
        <v>12</v>
      </c>
      <c r="B11" s="2">
        <v>64</v>
      </c>
      <c r="C11" s="2">
        <v>357</v>
      </c>
      <c r="D11" s="2">
        <v>360</v>
      </c>
      <c r="E11" s="5">
        <v>4.4543546788178297E-2</v>
      </c>
      <c r="F11" s="5">
        <v>2.3352349155409499E-2</v>
      </c>
      <c r="G11" s="5">
        <v>2.1759151907210301E-2</v>
      </c>
      <c r="H11" s="16">
        <f t="shared" si="3"/>
        <v>1</v>
      </c>
      <c r="I11" s="16">
        <f t="shared" si="4"/>
        <v>4.666666666666667</v>
      </c>
      <c r="J11" s="16">
        <f t="shared" si="5"/>
        <v>13.666666666666666</v>
      </c>
      <c r="K11" s="16">
        <f t="shared" si="6"/>
        <v>34.333333333333336</v>
      </c>
      <c r="L11" s="16">
        <f t="shared" si="7"/>
        <v>107.66666666666667</v>
      </c>
      <c r="M11" s="16">
        <f t="shared" si="8"/>
        <v>186.33333333333334</v>
      </c>
      <c r="N11" s="33"/>
      <c r="O11">
        <v>3.8585276164057498E-2</v>
      </c>
      <c r="P11">
        <v>0.117415800187244</v>
      </c>
      <c r="Q11">
        <v>0.46966320074897699</v>
      </c>
      <c r="R11">
        <v>1.4945503386105301</v>
      </c>
      <c r="S11">
        <v>5.97820135444214</v>
      </c>
      <c r="T11">
        <v>23.912805417768499</v>
      </c>
      <c r="V11">
        <v>4.4543546788178297E-2</v>
      </c>
      <c r="W11">
        <v>0.17817418715271299</v>
      </c>
      <c r="X11">
        <v>0.71269674861085297</v>
      </c>
      <c r="Y11">
        <v>2.8507869944434101</v>
      </c>
      <c r="Z11">
        <v>11.4031479777736</v>
      </c>
      <c r="AA11">
        <v>45.612591911094597</v>
      </c>
      <c r="AC11" s="1">
        <f t="shared" si="9"/>
        <v>22.449941060045909</v>
      </c>
      <c r="AD11" s="1">
        <f t="shared" si="10"/>
        <v>104.76639161354758</v>
      </c>
      <c r="AE11" s="1">
        <f t="shared" si="11"/>
        <v>306.81586115396073</v>
      </c>
      <c r="AF11" s="1">
        <f t="shared" si="12"/>
        <v>770.78130972824295</v>
      </c>
      <c r="AG11" s="1">
        <f t="shared" si="13"/>
        <v>2417.1103207982765</v>
      </c>
      <c r="AH11" s="1">
        <f t="shared" si="14"/>
        <v>4183.1723508552213</v>
      </c>
      <c r="AJ11" s="13">
        <f t="shared" si="15"/>
        <v>4.4543546788178297E-2</v>
      </c>
      <c r="AK11" s="13">
        <f t="shared" si="2"/>
        <v>0.20786988501149872</v>
      </c>
      <c r="AL11" s="13">
        <f t="shared" si="2"/>
        <v>0.60876180610510333</v>
      </c>
      <c r="AM11" s="13">
        <f t="shared" si="2"/>
        <v>1.5293284397274549</v>
      </c>
      <c r="AN11" s="13">
        <f t="shared" si="2"/>
        <v>4.7958552041938631</v>
      </c>
      <c r="AO11" s="13">
        <f t="shared" si="2"/>
        <v>8.2999475515305559</v>
      </c>
      <c r="BA11" s="1">
        <v>3</v>
      </c>
      <c r="BB11" s="1">
        <v>14</v>
      </c>
      <c r="BC11" s="1">
        <v>41</v>
      </c>
      <c r="BD11" s="1">
        <v>103</v>
      </c>
      <c r="BE11" s="1">
        <v>323</v>
      </c>
      <c r="BF11" s="1">
        <v>559</v>
      </c>
    </row>
    <row r="12" spans="1:58" x14ac:dyDescent="0.25">
      <c r="A12" s="2">
        <v>96</v>
      </c>
      <c r="B12" s="2">
        <v>64</v>
      </c>
      <c r="C12" s="2">
        <v>392</v>
      </c>
      <c r="D12" s="2">
        <v>400</v>
      </c>
      <c r="E12" s="5">
        <v>9.5639162401153693E-2</v>
      </c>
      <c r="F12" s="5">
        <v>1.9277468694701001E-2</v>
      </c>
      <c r="G12" s="5">
        <v>5.1627678565697001E-3</v>
      </c>
      <c r="H12" s="16">
        <f t="shared" si="3"/>
        <v>0.375</v>
      </c>
      <c r="I12" s="16">
        <f t="shared" si="4"/>
        <v>2.75</v>
      </c>
      <c r="J12" s="16">
        <f t="shared" si="5"/>
        <v>7.25</v>
      </c>
      <c r="K12" s="16">
        <f t="shared" si="6"/>
        <v>20.625</v>
      </c>
      <c r="L12" s="16">
        <f t="shared" si="7"/>
        <v>69.875</v>
      </c>
      <c r="M12" s="16">
        <f t="shared" si="8"/>
        <v>173</v>
      </c>
      <c r="N12" s="33"/>
      <c r="O12">
        <v>9.5639162709086803E-2</v>
      </c>
      <c r="P12">
        <v>0.18581760283662399</v>
      </c>
      <c r="Q12">
        <v>0.60536126077852104</v>
      </c>
      <c r="R12">
        <v>1.2337579982911999</v>
      </c>
      <c r="S12">
        <v>4.9350319931648103</v>
      </c>
      <c r="T12">
        <v>19.740127972659199</v>
      </c>
      <c r="V12">
        <v>9.5639162401153693E-2</v>
      </c>
      <c r="W12">
        <v>0.382556649604614</v>
      </c>
      <c r="X12">
        <v>1.53022659841845</v>
      </c>
      <c r="Y12">
        <v>6.1209063936738302</v>
      </c>
      <c r="Z12">
        <v>24.483625574695299</v>
      </c>
      <c r="AA12">
        <v>97.934502298781396</v>
      </c>
      <c r="AC12" s="1">
        <f t="shared" si="9"/>
        <v>3.9209879152546443</v>
      </c>
      <c r="AD12" s="1">
        <f t="shared" si="10"/>
        <v>28.75391137853406</v>
      </c>
      <c r="AE12" s="1">
        <f t="shared" si="11"/>
        <v>75.805766361589789</v>
      </c>
      <c r="AF12" s="1">
        <f t="shared" si="12"/>
        <v>215.65433533900546</v>
      </c>
      <c r="AG12" s="1">
        <f t="shared" si="13"/>
        <v>730.6107482091154</v>
      </c>
      <c r="AH12" s="1">
        <f t="shared" si="14"/>
        <v>1808.8824249041427</v>
      </c>
      <c r="AJ12" s="13">
        <f t="shared" si="15"/>
        <v>3.5864685900432638E-2</v>
      </c>
      <c r="AK12" s="13">
        <f t="shared" si="2"/>
        <v>0.26300769660317264</v>
      </c>
      <c r="AL12" s="13">
        <f t="shared" si="2"/>
        <v>0.6933839274083643</v>
      </c>
      <c r="AM12" s="13">
        <f t="shared" si="2"/>
        <v>1.9725577245237949</v>
      </c>
      <c r="AN12" s="13">
        <f t="shared" si="2"/>
        <v>6.6827864727806139</v>
      </c>
      <c r="AO12" s="13">
        <f t="shared" si="2"/>
        <v>16.545575095399588</v>
      </c>
      <c r="BA12" s="1">
        <v>3</v>
      </c>
      <c r="BB12" s="1">
        <v>22</v>
      </c>
      <c r="BC12" s="1">
        <v>58</v>
      </c>
      <c r="BD12" s="1">
        <v>165</v>
      </c>
      <c r="BE12" s="1">
        <v>559</v>
      </c>
      <c r="BF12" s="1">
        <v>1384</v>
      </c>
    </row>
    <row r="13" spans="1:58" x14ac:dyDescent="0.25">
      <c r="A13" s="2">
        <v>101</v>
      </c>
      <c r="B13" s="2">
        <v>64</v>
      </c>
      <c r="C13" s="2">
        <v>432</v>
      </c>
      <c r="D13" s="2">
        <v>438</v>
      </c>
      <c r="E13" s="5">
        <v>3.00794247374499E-2</v>
      </c>
      <c r="F13" s="5">
        <v>1.50358559887077E-2</v>
      </c>
      <c r="G13" s="5">
        <v>9.2196022769056602E-3</v>
      </c>
      <c r="H13" s="16">
        <f t="shared" si="3"/>
        <v>0.33333333333333331</v>
      </c>
      <c r="I13" s="16">
        <f t="shared" si="4"/>
        <v>1.5</v>
      </c>
      <c r="J13" s="16">
        <f t="shared" si="5"/>
        <v>8.1666666666666661</v>
      </c>
      <c r="K13" s="16">
        <f t="shared" si="6"/>
        <v>22</v>
      </c>
      <c r="L13" s="16">
        <f t="shared" si="7"/>
        <v>90.666666666666671</v>
      </c>
      <c r="M13" s="16">
        <f t="shared" si="8"/>
        <v>173.5</v>
      </c>
      <c r="N13" s="33"/>
      <c r="O13">
        <v>2.85197693561322E-2</v>
      </c>
      <c r="P13">
        <v>0.101347429024516</v>
      </c>
      <c r="Q13">
        <v>0.24057369702033901</v>
      </c>
      <c r="R13">
        <v>0.96229478808135804</v>
      </c>
      <c r="S13">
        <v>3.84917915232543</v>
      </c>
      <c r="T13">
        <v>15.3967166093017</v>
      </c>
      <c r="V13">
        <v>3.00794247374499E-2</v>
      </c>
      <c r="W13">
        <v>0.120317698949799</v>
      </c>
      <c r="X13">
        <v>0.48127079579919901</v>
      </c>
      <c r="Y13">
        <v>1.9250831831967901</v>
      </c>
      <c r="Z13">
        <v>7.7003327327871904</v>
      </c>
      <c r="AA13">
        <v>30.801330931148701</v>
      </c>
      <c r="AC13" s="1">
        <f t="shared" si="9"/>
        <v>11.08177221615286</v>
      </c>
      <c r="AD13" s="1">
        <f t="shared" si="10"/>
        <v>49.867974972687868</v>
      </c>
      <c r="AE13" s="1">
        <f t="shared" si="11"/>
        <v>271.50341929574506</v>
      </c>
      <c r="AF13" s="1">
        <f t="shared" si="12"/>
        <v>731.39696626608873</v>
      </c>
      <c r="AG13" s="1">
        <f t="shared" si="13"/>
        <v>3014.2420427935781</v>
      </c>
      <c r="AH13" s="1">
        <f t="shared" si="14"/>
        <v>5768.0624385075635</v>
      </c>
      <c r="AJ13" s="13">
        <f t="shared" si="15"/>
        <v>1.0026474912483299E-2</v>
      </c>
      <c r="AK13" s="13">
        <f t="shared" si="2"/>
        <v>4.511913710617485E-2</v>
      </c>
      <c r="AL13" s="13">
        <f t="shared" si="2"/>
        <v>0.24564863535584083</v>
      </c>
      <c r="AM13" s="13">
        <f t="shared" si="2"/>
        <v>0.6617473442238978</v>
      </c>
      <c r="AN13" s="13">
        <f t="shared" si="2"/>
        <v>2.7272011761954578</v>
      </c>
      <c r="AO13" s="13">
        <f t="shared" si="2"/>
        <v>5.218780191947558</v>
      </c>
      <c r="BA13" s="1">
        <v>2</v>
      </c>
      <c r="BB13" s="1">
        <v>9</v>
      </c>
      <c r="BC13" s="1">
        <v>49</v>
      </c>
      <c r="BD13" s="1">
        <v>132</v>
      </c>
      <c r="BE13" s="1">
        <v>544</v>
      </c>
      <c r="BF13" s="1">
        <v>1041</v>
      </c>
    </row>
    <row r="14" spans="1:58" x14ac:dyDescent="0.25">
      <c r="A14" s="2">
        <v>24</v>
      </c>
      <c r="B14" s="2">
        <v>64</v>
      </c>
      <c r="C14" s="2">
        <v>468</v>
      </c>
      <c r="D14" s="2">
        <v>478</v>
      </c>
      <c r="E14" s="5">
        <v>0.10538288704710901</v>
      </c>
      <c r="F14" s="5">
        <v>1.6430974908246999E-2</v>
      </c>
      <c r="G14" s="5">
        <v>6.0105568763227698E-3</v>
      </c>
      <c r="H14" s="16">
        <f t="shared" si="3"/>
        <v>0.5</v>
      </c>
      <c r="I14" s="16">
        <f t="shared" si="4"/>
        <v>1.8</v>
      </c>
      <c r="J14" s="16">
        <f t="shared" si="5"/>
        <v>4.3</v>
      </c>
      <c r="K14" s="16">
        <f t="shared" si="6"/>
        <v>13.9</v>
      </c>
      <c r="L14" s="16">
        <f t="shared" si="7"/>
        <v>58.6</v>
      </c>
      <c r="M14" s="16">
        <f t="shared" si="8"/>
        <v>173</v>
      </c>
      <c r="N14" s="33"/>
      <c r="O14">
        <v>0.10538288717717199</v>
      </c>
      <c r="P14">
        <v>0.15056990486005101</v>
      </c>
      <c r="Q14">
        <v>0.50129083006757003</v>
      </c>
      <c r="R14">
        <v>1.0515823951961401</v>
      </c>
      <c r="S14">
        <v>4.2063295807845602</v>
      </c>
      <c r="T14">
        <v>16.825318323138202</v>
      </c>
      <c r="V14">
        <v>0.10538288704710901</v>
      </c>
      <c r="W14">
        <v>0.42153154818843802</v>
      </c>
      <c r="X14">
        <v>1.6861261927537501</v>
      </c>
      <c r="Y14">
        <v>6.7445047710150003</v>
      </c>
      <c r="Z14">
        <v>26.978019084060001</v>
      </c>
      <c r="AA14">
        <v>107.91207633624001</v>
      </c>
      <c r="AC14" s="1">
        <f t="shared" si="9"/>
        <v>4.744603360282647</v>
      </c>
      <c r="AD14" s="1">
        <f>I14/$E14</f>
        <v>17.08057209701753</v>
      </c>
      <c r="AE14" s="1">
        <f t="shared" si="11"/>
        <v>40.80358889843076</v>
      </c>
      <c r="AF14" s="1">
        <f t="shared" si="12"/>
        <v>131.89997341585757</v>
      </c>
      <c r="AG14" s="1">
        <f t="shared" si="13"/>
        <v>556.06751382512618</v>
      </c>
      <c r="AH14" s="1">
        <f t="shared" si="14"/>
        <v>1641.6327626577959</v>
      </c>
      <c r="AJ14" s="13">
        <f t="shared" si="15"/>
        <v>5.2691443523554503E-2</v>
      </c>
      <c r="AK14" s="13">
        <f t="shared" si="2"/>
        <v>0.18968919668479622</v>
      </c>
      <c r="AL14" s="13">
        <f t="shared" si="2"/>
        <v>0.45314641430256869</v>
      </c>
      <c r="AM14" s="13">
        <f t="shared" si="2"/>
        <v>1.4648221299548152</v>
      </c>
      <c r="AN14" s="13">
        <f t="shared" si="2"/>
        <v>6.1754371809605875</v>
      </c>
      <c r="AO14" s="13">
        <f t="shared" si="2"/>
        <v>18.231239459149858</v>
      </c>
      <c r="BA14" s="1">
        <v>5</v>
      </c>
      <c r="BB14" s="1">
        <v>18</v>
      </c>
      <c r="BC14" s="1">
        <v>43</v>
      </c>
      <c r="BD14" s="1">
        <v>139</v>
      </c>
      <c r="BE14" s="1">
        <v>586</v>
      </c>
      <c r="BF14" s="1">
        <v>1730</v>
      </c>
    </row>
    <row r="15" spans="1:58" x14ac:dyDescent="0.25">
      <c r="A15" s="2">
        <v>107</v>
      </c>
      <c r="B15" s="2">
        <v>45</v>
      </c>
      <c r="C15" s="2">
        <v>515</v>
      </c>
      <c r="D15" s="2">
        <v>520</v>
      </c>
      <c r="E15" s="5">
        <v>2.7724885205644801E-2</v>
      </c>
      <c r="F15" s="5">
        <v>1.4478880481023E-2</v>
      </c>
      <c r="G15" s="5">
        <v>1.4642800293065399E-2</v>
      </c>
      <c r="H15" s="16">
        <f t="shared" si="3"/>
        <v>0.2</v>
      </c>
      <c r="I15" s="16">
        <f t="shared" si="4"/>
        <v>2.6</v>
      </c>
      <c r="J15" s="16">
        <f t="shared" si="5"/>
        <v>7.8</v>
      </c>
      <c r="K15" s="16">
        <f t="shared" si="6"/>
        <v>15.6</v>
      </c>
      <c r="L15" s="16">
        <f t="shared" si="7"/>
        <v>69</v>
      </c>
      <c r="M15" s="16">
        <f t="shared" si="8"/>
        <v>188.6</v>
      </c>
      <c r="N15" s="33"/>
      <c r="O15">
        <v>2.77248857374158E-2</v>
      </c>
      <c r="P15">
        <v>7.8677957752448305E-2</v>
      </c>
      <c r="Q15">
        <v>0.26510584610390098</v>
      </c>
      <c r="R15">
        <v>0.92664835919294097</v>
      </c>
      <c r="S15">
        <v>3.7065934367717599</v>
      </c>
      <c r="T15">
        <v>14.826373747087001</v>
      </c>
      <c r="V15">
        <v>2.7724885205644801E-2</v>
      </c>
      <c r="W15">
        <v>0.110899540822579</v>
      </c>
      <c r="X15">
        <v>0.44359816329031698</v>
      </c>
      <c r="Y15">
        <v>1.7743926531612599</v>
      </c>
      <c r="Z15">
        <v>7.0975706126450699</v>
      </c>
      <c r="AA15">
        <v>28.390282450580202</v>
      </c>
      <c r="AC15" s="1">
        <f t="shared" si="9"/>
        <v>7.2137359096902554</v>
      </c>
      <c r="AD15" s="1">
        <f t="shared" si="10"/>
        <v>93.778566825973328</v>
      </c>
      <c r="AE15" s="1">
        <f t="shared" si="11"/>
        <v>281.33570047791994</v>
      </c>
      <c r="AF15" s="1">
        <f t="shared" si="12"/>
        <v>562.67140095583989</v>
      </c>
      <c r="AG15" s="1">
        <f t="shared" si="13"/>
        <v>2488.7388888431383</v>
      </c>
      <c r="AH15" s="1">
        <f t="shared" si="14"/>
        <v>6802.5529628379109</v>
      </c>
      <c r="AJ15" s="13">
        <f t="shared" si="15"/>
        <v>5.5449770411289609E-3</v>
      </c>
      <c r="AK15" s="13">
        <f t="shared" si="2"/>
        <v>7.2084701534676485E-2</v>
      </c>
      <c r="AL15" s="13">
        <f t="shared" si="2"/>
        <v>0.21625410460402944</v>
      </c>
      <c r="AM15" s="13">
        <f t="shared" si="2"/>
        <v>0.43250820920805888</v>
      </c>
      <c r="AN15" s="13">
        <f t="shared" si="2"/>
        <v>1.9130170791894914</v>
      </c>
      <c r="AO15" s="13">
        <f t="shared" si="2"/>
        <v>5.2289133497846096</v>
      </c>
      <c r="BA15" s="1">
        <v>1</v>
      </c>
      <c r="BB15" s="1">
        <v>13</v>
      </c>
      <c r="BC15" s="1">
        <v>39</v>
      </c>
      <c r="BD15" s="1">
        <v>78</v>
      </c>
      <c r="BE15" s="1">
        <v>345</v>
      </c>
      <c r="BF15" s="1">
        <v>943</v>
      </c>
    </row>
    <row r="16" spans="1:58" x14ac:dyDescent="0.25">
      <c r="A16" s="2">
        <v>162</v>
      </c>
      <c r="B16" s="2">
        <v>45</v>
      </c>
      <c r="C16" s="2">
        <v>550</v>
      </c>
      <c r="D16" s="2">
        <v>560</v>
      </c>
      <c r="E16" s="5">
        <v>2.2481115003792299E-2</v>
      </c>
      <c r="F16" s="5">
        <v>9.1860908476934702E-3</v>
      </c>
      <c r="G16" s="5">
        <v>5.26397191560033E-3</v>
      </c>
      <c r="H16" s="16">
        <f t="shared" si="3"/>
        <v>0</v>
      </c>
      <c r="I16" s="16">
        <f t="shared" si="4"/>
        <v>0.8</v>
      </c>
      <c r="J16" s="16">
        <f t="shared" si="5"/>
        <v>4</v>
      </c>
      <c r="K16" s="16">
        <f t="shared" si="6"/>
        <v>12.1</v>
      </c>
      <c r="L16" s="16">
        <f t="shared" si="7"/>
        <v>63.1</v>
      </c>
      <c r="M16" s="16">
        <f t="shared" si="8"/>
        <v>188.1</v>
      </c>
      <c r="N16" s="33"/>
      <c r="P16">
        <v>7.7959153032395798E-2</v>
      </c>
      <c r="Q16">
        <v>0.24135454645261201</v>
      </c>
      <c r="R16">
        <v>0.62231226944989104</v>
      </c>
      <c r="S16">
        <v>2.3516392566763402</v>
      </c>
      <c r="T16">
        <v>9.4065570267053804</v>
      </c>
      <c r="W16">
        <v>8.9924460015169197E-2</v>
      </c>
      <c r="X16">
        <v>0.35969784006067601</v>
      </c>
      <c r="Y16">
        <v>1.4387913602427</v>
      </c>
      <c r="Z16">
        <v>5.7551654409708304</v>
      </c>
      <c r="AA16">
        <v>23.0206617638833</v>
      </c>
      <c r="AC16" s="1">
        <f t="shared" si="9"/>
        <v>0</v>
      </c>
      <c r="AD16" s="1">
        <f t="shared" si="10"/>
        <v>35.585423581750703</v>
      </c>
      <c r="AE16" s="1">
        <f t="shared" si="11"/>
        <v>177.9271179087535</v>
      </c>
      <c r="AF16" s="1">
        <f t="shared" si="12"/>
        <v>538.2295316739793</v>
      </c>
      <c r="AG16" s="1">
        <f t="shared" si="13"/>
        <v>2806.8002850105868</v>
      </c>
      <c r="AH16" s="1">
        <f t="shared" si="14"/>
        <v>8367.0227196591331</v>
      </c>
      <c r="AJ16" s="13">
        <f t="shared" si="15"/>
        <v>0</v>
      </c>
      <c r="AK16" s="13">
        <f t="shared" si="2"/>
        <v>1.7984892003033839E-2</v>
      </c>
      <c r="AL16" s="13">
        <f t="shared" si="2"/>
        <v>8.9924460015169197E-2</v>
      </c>
      <c r="AM16" s="13">
        <f t="shared" si="2"/>
        <v>0.27202149154588684</v>
      </c>
      <c r="AN16" s="13">
        <f t="shared" si="2"/>
        <v>1.4185583567392941</v>
      </c>
      <c r="AO16" s="13">
        <f t="shared" si="2"/>
        <v>4.2286977322133312</v>
      </c>
      <c r="BA16" s="1">
        <v>0</v>
      </c>
      <c r="BB16" s="1">
        <v>8</v>
      </c>
      <c r="BC16" s="1">
        <v>40</v>
      </c>
      <c r="BD16" s="1">
        <v>121</v>
      </c>
      <c r="BE16" s="1">
        <v>631</v>
      </c>
      <c r="BF16" s="1">
        <v>1881</v>
      </c>
    </row>
    <row r="17" spans="1:58" x14ac:dyDescent="0.25">
      <c r="A17" s="2">
        <v>159</v>
      </c>
      <c r="B17" s="2">
        <v>45</v>
      </c>
      <c r="C17" s="2">
        <v>595</v>
      </c>
      <c r="D17" s="2">
        <v>610</v>
      </c>
      <c r="E17" s="5">
        <v>1.09573532088619E-2</v>
      </c>
      <c r="F17" s="5">
        <v>4.9905746416529098E-3</v>
      </c>
      <c r="G17" s="5">
        <v>4.5767283517164602E-3</v>
      </c>
      <c r="H17" s="16">
        <f t="shared" si="3"/>
        <v>0</v>
      </c>
      <c r="I17" s="16">
        <f t="shared" si="4"/>
        <v>0</v>
      </c>
      <c r="J17" s="16">
        <f t="shared" si="5"/>
        <v>0.73333333333333328</v>
      </c>
      <c r="K17" s="16">
        <f t="shared" si="6"/>
        <v>4.8</v>
      </c>
      <c r="L17" s="16">
        <f t="shared" si="7"/>
        <v>51.8</v>
      </c>
      <c r="M17" s="16">
        <f t="shared" si="8"/>
        <v>188</v>
      </c>
      <c r="N17" s="33"/>
      <c r="Q17">
        <v>0.12254395097085501</v>
      </c>
      <c r="R17">
        <v>0.35900970208783201</v>
      </c>
      <c r="S17">
        <v>1.2775871078584</v>
      </c>
      <c r="T17">
        <v>5.1103484314336303</v>
      </c>
      <c r="X17">
        <v>0.175317651341791</v>
      </c>
      <c r="Y17">
        <v>0.70127060536716501</v>
      </c>
      <c r="Z17">
        <v>2.80508242146866</v>
      </c>
      <c r="AA17">
        <v>11.220329685874599</v>
      </c>
      <c r="AC17" s="1">
        <f t="shared" si="9"/>
        <v>0</v>
      </c>
      <c r="AD17" s="1">
        <f t="shared" si="10"/>
        <v>0</v>
      </c>
      <c r="AE17" s="1">
        <f t="shared" si="11"/>
        <v>66.926138033064461</v>
      </c>
      <c r="AF17" s="1">
        <f t="shared" si="12"/>
        <v>438.06199439824013</v>
      </c>
      <c r="AG17" s="1">
        <f t="shared" si="13"/>
        <v>4727.4190228810075</v>
      </c>
      <c r="AH17" s="1">
        <f t="shared" si="14"/>
        <v>17157.428113931073</v>
      </c>
      <c r="AJ17" s="13">
        <f t="shared" si="15"/>
        <v>0</v>
      </c>
      <c r="AK17" s="13">
        <f t="shared" si="2"/>
        <v>0</v>
      </c>
      <c r="AL17" s="13">
        <f t="shared" si="2"/>
        <v>8.0353923531653916E-3</v>
      </c>
      <c r="AM17" s="13">
        <f t="shared" si="2"/>
        <v>5.2595295402537115E-2</v>
      </c>
      <c r="AN17" s="13">
        <f t="shared" si="2"/>
        <v>0.56759089621904635</v>
      </c>
      <c r="AO17" s="13">
        <f t="shared" si="2"/>
        <v>2.0599824032660372</v>
      </c>
      <c r="BA17" s="1">
        <v>0</v>
      </c>
      <c r="BB17" s="1">
        <v>0</v>
      </c>
      <c r="BC17" s="1">
        <v>11</v>
      </c>
      <c r="BD17" s="1">
        <v>72</v>
      </c>
      <c r="BE17" s="1">
        <v>777</v>
      </c>
      <c r="BF17" s="1">
        <v>2820</v>
      </c>
    </row>
    <row r="18" spans="1:58" x14ac:dyDescent="0.25">
      <c r="A18" s="2">
        <v>35</v>
      </c>
      <c r="B18" s="2">
        <v>45</v>
      </c>
      <c r="C18" s="2">
        <v>642</v>
      </c>
      <c r="D18" s="2">
        <v>648</v>
      </c>
      <c r="E18" s="5">
        <v>2.2279504588702301E-2</v>
      </c>
      <c r="F18" s="5">
        <v>9.4453501582737708E-3</v>
      </c>
      <c r="G18" s="5">
        <v>6.3512880877902899E-3</v>
      </c>
      <c r="H18" s="16">
        <f t="shared" si="3"/>
        <v>0</v>
      </c>
      <c r="I18" s="16">
        <f t="shared" si="4"/>
        <v>1</v>
      </c>
      <c r="J18" s="16">
        <f t="shared" si="5"/>
        <v>4</v>
      </c>
      <c r="K18" s="16">
        <f t="shared" si="6"/>
        <v>17.166666666666668</v>
      </c>
      <c r="L18" s="16">
        <f t="shared" si="7"/>
        <v>69.666666666666671</v>
      </c>
      <c r="M18" s="16">
        <f t="shared" si="8"/>
        <v>189.83333333333334</v>
      </c>
      <c r="N18" s="33"/>
      <c r="P18">
        <v>7.2703926665255297E-2</v>
      </c>
      <c r="Q18">
        <v>0.21382124817687001</v>
      </c>
      <c r="R18">
        <v>0.60450240905165797</v>
      </c>
      <c r="S18">
        <v>2.4180096362066301</v>
      </c>
      <c r="T18">
        <v>9.6720385448265294</v>
      </c>
      <c r="W18">
        <v>8.9118018354809397E-2</v>
      </c>
      <c r="X18">
        <v>0.35647207341923698</v>
      </c>
      <c r="Y18">
        <v>1.4258882936769499</v>
      </c>
      <c r="Z18">
        <v>5.7035531747077997</v>
      </c>
      <c r="AA18">
        <v>22.814212698831199</v>
      </c>
      <c r="AC18" s="1">
        <f t="shared" si="9"/>
        <v>0</v>
      </c>
      <c r="AD18" s="1">
        <f t="shared" si="10"/>
        <v>44.884301444794666</v>
      </c>
      <c r="AE18" s="1">
        <f t="shared" si="11"/>
        <v>179.53720577917866</v>
      </c>
      <c r="AF18" s="1">
        <f t="shared" si="12"/>
        <v>770.5138414689751</v>
      </c>
      <c r="AG18" s="1">
        <f t="shared" si="13"/>
        <v>3126.9396673206952</v>
      </c>
      <c r="AH18" s="1">
        <f t="shared" si="14"/>
        <v>8520.5365576035201</v>
      </c>
      <c r="AJ18" s="13">
        <f t="shared" si="15"/>
        <v>0</v>
      </c>
      <c r="AK18" s="13">
        <f t="shared" si="2"/>
        <v>2.2279504588702301E-2</v>
      </c>
      <c r="AL18" s="13">
        <f t="shared" si="2"/>
        <v>8.9118018354809203E-2</v>
      </c>
      <c r="AM18" s="13">
        <f t="shared" si="2"/>
        <v>0.38246482877272286</v>
      </c>
      <c r="AN18" s="13">
        <f t="shared" si="2"/>
        <v>1.5521388196795938</v>
      </c>
      <c r="AO18" s="13">
        <f t="shared" si="2"/>
        <v>4.2293926210886532</v>
      </c>
      <c r="BA18" s="1">
        <v>0</v>
      </c>
      <c r="BB18" s="1">
        <v>6</v>
      </c>
      <c r="BC18" s="1">
        <v>24</v>
      </c>
      <c r="BD18" s="1">
        <v>103</v>
      </c>
      <c r="BE18" s="1">
        <v>418</v>
      </c>
      <c r="BF18" s="1">
        <v>1139</v>
      </c>
    </row>
    <row r="19" spans="1:58" x14ac:dyDescent="0.25">
      <c r="A19" s="2">
        <v>69</v>
      </c>
      <c r="B19" s="2">
        <v>32</v>
      </c>
      <c r="C19" s="2">
        <v>685</v>
      </c>
      <c r="D19" s="2">
        <v>689</v>
      </c>
      <c r="E19" s="5">
        <v>1.0897008883362201E-2</v>
      </c>
      <c r="F19" s="5">
        <v>7.27047978157239E-3</v>
      </c>
      <c r="G19" s="5">
        <v>6.8585843273274603E-3</v>
      </c>
      <c r="H19" s="16">
        <f t="shared" si="3"/>
        <v>0</v>
      </c>
      <c r="I19" s="16">
        <f t="shared" si="4"/>
        <v>0.25</v>
      </c>
      <c r="J19" s="16">
        <f t="shared" si="5"/>
        <v>3</v>
      </c>
      <c r="K19" s="16">
        <f t="shared" si="6"/>
        <v>14.25</v>
      </c>
      <c r="L19" s="16">
        <f t="shared" si="7"/>
        <v>68.75</v>
      </c>
      <c r="M19" s="16">
        <f t="shared" si="8"/>
        <v>207.5</v>
      </c>
      <c r="N19" s="33"/>
      <c r="P19">
        <v>4.3588035701968897E-2</v>
      </c>
      <c r="Q19">
        <v>0.13106034882425699</v>
      </c>
      <c r="R19">
        <v>0.52424139529702896</v>
      </c>
      <c r="S19">
        <v>1.86124282879616</v>
      </c>
      <c r="T19">
        <v>7.4449713151846701</v>
      </c>
      <c r="W19">
        <v>4.3588035533449102E-2</v>
      </c>
      <c r="X19">
        <v>0.17435214213379599</v>
      </c>
      <c r="Y19">
        <v>0.69740856853518496</v>
      </c>
      <c r="Z19">
        <v>2.7896342741407398</v>
      </c>
      <c r="AA19">
        <v>11.158537096562901</v>
      </c>
      <c r="AC19" s="1">
        <f t="shared" si="9"/>
        <v>0</v>
      </c>
      <c r="AD19" s="1">
        <f t="shared" si="10"/>
        <v>22.942075451705435</v>
      </c>
      <c r="AE19" s="1">
        <f t="shared" si="11"/>
        <v>275.30490542046522</v>
      </c>
      <c r="AF19" s="1">
        <f t="shared" si="12"/>
        <v>1307.6983007472097</v>
      </c>
      <c r="AG19" s="1">
        <f t="shared" si="13"/>
        <v>6309.0707492189949</v>
      </c>
      <c r="AH19" s="1">
        <f t="shared" si="14"/>
        <v>19041.922624915511</v>
      </c>
      <c r="AJ19" s="13">
        <f t="shared" si="15"/>
        <v>0</v>
      </c>
      <c r="AK19" s="13">
        <f t="shared" ref="AK19:AK38" si="16">I19*$E19</f>
        <v>2.7242522208405502E-3</v>
      </c>
      <c r="AL19" s="13">
        <f t="shared" ref="AL19:AL38" si="17">J19*$E19</f>
        <v>3.2691026650086601E-2</v>
      </c>
      <c r="AM19" s="13">
        <f t="shared" ref="AM19:AM38" si="18">K19*$E19</f>
        <v>0.15528237658791136</v>
      </c>
      <c r="AN19" s="13">
        <f t="shared" ref="AN19:AN38" si="19">L19*$E19</f>
        <v>0.74916936073115126</v>
      </c>
      <c r="AO19" s="13">
        <f t="shared" ref="AO19:AO38" si="20">M19*$E19</f>
        <v>2.2611293432976565</v>
      </c>
      <c r="BA19" s="1">
        <v>0</v>
      </c>
      <c r="BB19" s="1">
        <v>1</v>
      </c>
      <c r="BC19" s="1">
        <v>12</v>
      </c>
      <c r="BD19" s="1">
        <v>57</v>
      </c>
      <c r="BE19" s="1">
        <v>275</v>
      </c>
      <c r="BF19" s="1">
        <v>830</v>
      </c>
    </row>
    <row r="20" spans="1:58" x14ac:dyDescent="0.25">
      <c r="A20" s="2">
        <v>85</v>
      </c>
      <c r="B20" s="2">
        <v>32</v>
      </c>
      <c r="C20" s="2">
        <v>730</v>
      </c>
      <c r="D20" s="2">
        <v>736</v>
      </c>
      <c r="E20" s="5">
        <v>1.13162316396569E-2</v>
      </c>
      <c r="F20" s="5">
        <v>6.77105129691932E-3</v>
      </c>
      <c r="G20" s="5">
        <v>5.0494700428746703E-3</v>
      </c>
      <c r="H20" s="16">
        <f t="shared" si="3"/>
        <v>0</v>
      </c>
      <c r="I20" s="16">
        <f t="shared" si="4"/>
        <v>0.16666666666666666</v>
      </c>
      <c r="J20" s="16">
        <f t="shared" si="5"/>
        <v>2.8333333333333335</v>
      </c>
      <c r="K20" s="16">
        <f t="shared" si="6"/>
        <v>12.666666666666666</v>
      </c>
      <c r="L20" s="16">
        <f t="shared" si="7"/>
        <v>54.666666666666664</v>
      </c>
      <c r="M20" s="16">
        <f t="shared" si="8"/>
        <v>204.66666666666666</v>
      </c>
      <c r="N20" s="33"/>
      <c r="P20">
        <v>4.5264926352280903E-2</v>
      </c>
      <c r="Q20">
        <v>0.12707267062271299</v>
      </c>
      <c r="R20">
        <v>0.43334728234498898</v>
      </c>
      <c r="S20">
        <v>1.7333891293799499</v>
      </c>
      <c r="T20">
        <v>6.9335565175198299</v>
      </c>
      <c r="W20">
        <v>4.5264926558627801E-2</v>
      </c>
      <c r="X20">
        <v>0.18105970623451101</v>
      </c>
      <c r="Y20">
        <v>0.72423882493804503</v>
      </c>
      <c r="Z20">
        <v>2.8969552997521801</v>
      </c>
      <c r="AA20">
        <v>11.587821199008699</v>
      </c>
      <c r="AC20" s="1">
        <f t="shared" si="9"/>
        <v>0</v>
      </c>
      <c r="AD20" s="1">
        <f t="shared" si="10"/>
        <v>14.728106667823553</v>
      </c>
      <c r="AE20" s="1">
        <f t="shared" si="11"/>
        <v>250.37781335300045</v>
      </c>
      <c r="AF20" s="1">
        <f t="shared" si="12"/>
        <v>1119.3361067545902</v>
      </c>
      <c r="AG20" s="1">
        <f t="shared" si="13"/>
        <v>4830.8189870461256</v>
      </c>
      <c r="AH20" s="1">
        <f t="shared" si="14"/>
        <v>18086.114988087324</v>
      </c>
      <c r="AJ20" s="13">
        <f t="shared" si="15"/>
        <v>0</v>
      </c>
      <c r="AK20" s="13">
        <f t="shared" si="16"/>
        <v>1.8860386066094832E-3</v>
      </c>
      <c r="AL20" s="13">
        <f t="shared" si="17"/>
        <v>3.2062656312361215E-2</v>
      </c>
      <c r="AM20" s="13">
        <f t="shared" si="18"/>
        <v>0.14333893410232074</v>
      </c>
      <c r="AN20" s="13">
        <f t="shared" si="19"/>
        <v>0.61862066296791052</v>
      </c>
      <c r="AO20" s="13">
        <f t="shared" si="20"/>
        <v>2.3160554089164456</v>
      </c>
      <c r="BA20" s="1">
        <v>0</v>
      </c>
      <c r="BB20" s="1">
        <v>1</v>
      </c>
      <c r="BC20" s="1">
        <v>17</v>
      </c>
      <c r="BD20" s="1">
        <v>76</v>
      </c>
      <c r="BE20" s="1">
        <v>328</v>
      </c>
      <c r="BF20" s="1">
        <v>1228</v>
      </c>
    </row>
    <row r="21" spans="1:58" x14ac:dyDescent="0.25">
      <c r="A21" s="2">
        <v>61</v>
      </c>
      <c r="B21" s="2">
        <v>32</v>
      </c>
      <c r="C21" s="2">
        <v>782</v>
      </c>
      <c r="D21" s="2">
        <v>788</v>
      </c>
      <c r="E21" s="5">
        <v>2.4554138346802101E-2</v>
      </c>
      <c r="F21" s="5">
        <v>8.2745106205033593E-3</v>
      </c>
      <c r="G21" s="5">
        <v>4.2829956428710502E-3</v>
      </c>
      <c r="H21" s="16">
        <f t="shared" si="3"/>
        <v>0</v>
      </c>
      <c r="I21" s="16">
        <f t="shared" si="4"/>
        <v>1</v>
      </c>
      <c r="J21" s="16">
        <f t="shared" si="5"/>
        <v>4.5</v>
      </c>
      <c r="K21" s="16">
        <f t="shared" si="6"/>
        <v>10.666666666666666</v>
      </c>
      <c r="L21" s="16">
        <f t="shared" si="7"/>
        <v>60.666666666666664</v>
      </c>
      <c r="M21" s="16">
        <f t="shared" si="8"/>
        <v>200.16666666666666</v>
      </c>
      <c r="N21" s="33"/>
      <c r="P21">
        <v>6.4224427234734496E-2</v>
      </c>
      <c r="Q21">
        <v>0.22893530246709601</v>
      </c>
      <c r="R21">
        <v>0.58198300914003198</v>
      </c>
      <c r="S21">
        <v>2.1182747223488398</v>
      </c>
      <c r="T21">
        <v>8.4730988893953594</v>
      </c>
      <c r="W21">
        <v>9.8216553387208499E-2</v>
      </c>
      <c r="X21">
        <v>0.392866213548834</v>
      </c>
      <c r="Y21">
        <v>1.57146485419533</v>
      </c>
      <c r="Z21">
        <v>6.2858594167813404</v>
      </c>
      <c r="AA21">
        <v>25.143437667125301</v>
      </c>
      <c r="AC21" s="1">
        <f t="shared" si="9"/>
        <v>0</v>
      </c>
      <c r="AD21" s="1">
        <f t="shared" si="10"/>
        <v>40.726332395624006</v>
      </c>
      <c r="AE21" s="1">
        <f t="shared" si="11"/>
        <v>183.26849578030803</v>
      </c>
      <c r="AF21" s="1">
        <f t="shared" si="12"/>
        <v>434.41421221998934</v>
      </c>
      <c r="AG21" s="1">
        <f t="shared" si="13"/>
        <v>2470.7308320011894</v>
      </c>
      <c r="AH21" s="1">
        <f t="shared" si="14"/>
        <v>8152.0542011907373</v>
      </c>
      <c r="AJ21" s="13">
        <f t="shared" si="15"/>
        <v>0</v>
      </c>
      <c r="AK21" s="13">
        <f t="shared" si="16"/>
        <v>2.4554138346802101E-2</v>
      </c>
      <c r="AL21" s="13">
        <f t="shared" si="17"/>
        <v>0.11049362256060945</v>
      </c>
      <c r="AM21" s="13">
        <f t="shared" si="18"/>
        <v>0.2619108090325557</v>
      </c>
      <c r="AN21" s="13">
        <f t="shared" si="19"/>
        <v>1.4896177263726607</v>
      </c>
      <c r="AO21" s="13">
        <f t="shared" si="20"/>
        <v>4.9149200257515533</v>
      </c>
      <c r="BA21" s="1">
        <v>0</v>
      </c>
      <c r="BB21" s="1">
        <v>6</v>
      </c>
      <c r="BC21" s="1">
        <v>27</v>
      </c>
      <c r="BD21" s="1">
        <v>64</v>
      </c>
      <c r="BE21" s="1">
        <v>364</v>
      </c>
      <c r="BF21" s="1">
        <v>1201</v>
      </c>
    </row>
    <row r="22" spans="1:58" x14ac:dyDescent="0.25">
      <c r="A22" s="2">
        <v>52</v>
      </c>
      <c r="B22" s="2">
        <v>32</v>
      </c>
      <c r="C22" s="2">
        <v>820</v>
      </c>
      <c r="D22" s="2">
        <v>825</v>
      </c>
      <c r="E22" s="5">
        <v>1.6195175632876601E-2</v>
      </c>
      <c r="F22" s="5">
        <v>8.7837172608482301E-3</v>
      </c>
      <c r="G22" s="5">
        <v>7.5116788153303899E-3</v>
      </c>
      <c r="H22" s="16">
        <f t="shared" si="3"/>
        <v>0</v>
      </c>
      <c r="I22" s="16">
        <f t="shared" si="4"/>
        <v>0.6</v>
      </c>
      <c r="J22" s="16">
        <f t="shared" si="5"/>
        <v>4.2</v>
      </c>
      <c r="K22" s="16">
        <f t="shared" si="6"/>
        <v>14.8</v>
      </c>
      <c r="L22" s="16">
        <f t="shared" si="7"/>
        <v>79</v>
      </c>
      <c r="M22" s="16">
        <f t="shared" si="8"/>
        <v>198</v>
      </c>
      <c r="N22" s="33"/>
      <c r="P22">
        <v>5.66060042990124E-2</v>
      </c>
      <c r="Q22">
        <v>0.173305439270318</v>
      </c>
      <c r="R22">
        <v>0.56215790367475604</v>
      </c>
      <c r="S22">
        <v>2.2486316146990202</v>
      </c>
      <c r="T22">
        <v>8.9945264587960896</v>
      </c>
      <c r="W22">
        <v>6.4780702531506598E-2</v>
      </c>
      <c r="X22">
        <v>0.259122810126026</v>
      </c>
      <c r="Y22">
        <v>1.0364912405041</v>
      </c>
      <c r="Z22">
        <v>4.1459649620164196</v>
      </c>
      <c r="AA22">
        <v>16.5838598480656</v>
      </c>
      <c r="AC22" s="1">
        <f t="shared" si="9"/>
        <v>0</v>
      </c>
      <c r="AD22" s="1">
        <f t="shared" si="10"/>
        <v>37.048069968564306</v>
      </c>
      <c r="AE22" s="1">
        <f t="shared" si="11"/>
        <v>259.33648977995011</v>
      </c>
      <c r="AF22" s="1">
        <f t="shared" si="12"/>
        <v>913.85239255791953</v>
      </c>
      <c r="AG22" s="1">
        <f t="shared" si="13"/>
        <v>4877.9958791943</v>
      </c>
      <c r="AH22" s="1">
        <f t="shared" si="14"/>
        <v>12225.86308962622</v>
      </c>
      <c r="AJ22" s="13">
        <f t="shared" si="15"/>
        <v>0</v>
      </c>
      <c r="AK22" s="13">
        <f t="shared" si="16"/>
        <v>9.7171053797259609E-3</v>
      </c>
      <c r="AL22" s="13">
        <f t="shared" si="17"/>
        <v>6.8019737658081725E-2</v>
      </c>
      <c r="AM22" s="13">
        <f t="shared" si="18"/>
        <v>0.23968859936657372</v>
      </c>
      <c r="AN22" s="13">
        <f t="shared" si="19"/>
        <v>1.2794188749972515</v>
      </c>
      <c r="AO22" s="13">
        <f t="shared" si="20"/>
        <v>3.206644775309567</v>
      </c>
      <c r="BA22" s="1">
        <v>0</v>
      </c>
      <c r="BB22" s="1">
        <v>3</v>
      </c>
      <c r="BC22" s="1">
        <v>21</v>
      </c>
      <c r="BD22" s="1">
        <v>74</v>
      </c>
      <c r="BE22" s="1">
        <v>395</v>
      </c>
      <c r="BF22" s="1">
        <v>990</v>
      </c>
    </row>
    <row r="23" spans="1:58" x14ac:dyDescent="0.25">
      <c r="A23" s="2">
        <v>165</v>
      </c>
      <c r="B23" s="2">
        <v>16</v>
      </c>
      <c r="C23" s="2">
        <v>865</v>
      </c>
      <c r="D23" s="2">
        <v>875</v>
      </c>
      <c r="E23" s="5">
        <v>1.06254875376059E-2</v>
      </c>
      <c r="F23" s="5">
        <v>5.3979442955963304E-3</v>
      </c>
      <c r="G23" s="5">
        <v>5.0606462291010196E-3</v>
      </c>
      <c r="H23" s="16">
        <f t="shared" si="3"/>
        <v>0</v>
      </c>
      <c r="I23" s="16">
        <f t="shared" si="4"/>
        <v>0.1</v>
      </c>
      <c r="J23" s="16">
        <f t="shared" si="5"/>
        <v>1.1000000000000001</v>
      </c>
      <c r="K23" s="16">
        <f t="shared" si="6"/>
        <v>6.2</v>
      </c>
      <c r="L23" s="16">
        <f t="shared" si="7"/>
        <v>60.7</v>
      </c>
      <c r="M23" s="16">
        <f t="shared" si="8"/>
        <v>191.1</v>
      </c>
      <c r="N23" s="33"/>
      <c r="P23">
        <v>4.2501949944915698E-2</v>
      </c>
      <c r="Q23">
        <v>0.116374533955678</v>
      </c>
      <c r="R23">
        <v>0.36853445483851999</v>
      </c>
      <c r="S23">
        <v>1.38187374013061</v>
      </c>
      <c r="T23">
        <v>5.5274949605224499</v>
      </c>
      <c r="W23">
        <v>4.2501950150423698E-2</v>
      </c>
      <c r="X23">
        <v>0.17000780060169399</v>
      </c>
      <c r="Y23">
        <v>0.68003120240677895</v>
      </c>
      <c r="Z23">
        <v>2.72012480962711</v>
      </c>
      <c r="AA23">
        <v>10.880499238508399</v>
      </c>
      <c r="AC23" s="1">
        <f t="shared" si="9"/>
        <v>0</v>
      </c>
      <c r="AD23" s="1">
        <f t="shared" si="10"/>
        <v>9.4113328584762215</v>
      </c>
      <c r="AE23" s="1">
        <f t="shared" si="11"/>
        <v>103.52466144323844</v>
      </c>
      <c r="AF23" s="1">
        <f t="shared" si="12"/>
        <v>583.50263722552575</v>
      </c>
      <c r="AG23" s="1">
        <f t="shared" si="13"/>
        <v>5712.6790450950666</v>
      </c>
      <c r="AH23" s="1">
        <f t="shared" si="14"/>
        <v>17985.057092548057</v>
      </c>
      <c r="AJ23" s="13">
        <f t="shared" si="15"/>
        <v>0</v>
      </c>
      <c r="AK23" s="13">
        <f t="shared" si="16"/>
        <v>1.0625487537605902E-3</v>
      </c>
      <c r="AL23" s="13">
        <f t="shared" si="17"/>
        <v>1.1688036291366491E-2</v>
      </c>
      <c r="AM23" s="13">
        <f t="shared" si="18"/>
        <v>6.5878022733156585E-2</v>
      </c>
      <c r="AN23" s="13">
        <f t="shared" si="19"/>
        <v>0.64496709353267823</v>
      </c>
      <c r="AO23" s="13">
        <f t="shared" si="20"/>
        <v>2.0305306684364877</v>
      </c>
      <c r="BA23" s="1">
        <v>0</v>
      </c>
      <c r="BB23" s="1">
        <v>1</v>
      </c>
      <c r="BC23" s="1">
        <v>11</v>
      </c>
      <c r="BD23" s="1">
        <v>62</v>
      </c>
      <c r="BE23" s="1">
        <v>607</v>
      </c>
      <c r="BF23" s="1">
        <v>1911</v>
      </c>
    </row>
    <row r="24" spans="1:58" x14ac:dyDescent="0.25">
      <c r="A24" s="2">
        <v>166</v>
      </c>
      <c r="B24" s="2">
        <v>16</v>
      </c>
      <c r="C24" s="2">
        <v>920</v>
      </c>
      <c r="D24" s="2">
        <v>930</v>
      </c>
      <c r="E24" s="5">
        <v>5.4104257016193398E-3</v>
      </c>
      <c r="F24" s="5">
        <v>4.2237913969842902E-3</v>
      </c>
      <c r="G24" s="5">
        <v>4.0412722569313003E-3</v>
      </c>
      <c r="H24" s="16">
        <f t="shared" si="3"/>
        <v>0</v>
      </c>
      <c r="I24" s="16">
        <f t="shared" si="4"/>
        <v>0</v>
      </c>
      <c r="J24" s="16">
        <f t="shared" si="5"/>
        <v>0.2</v>
      </c>
      <c r="K24" s="16">
        <f t="shared" si="6"/>
        <v>3.2</v>
      </c>
      <c r="L24" s="16">
        <f t="shared" si="7"/>
        <v>53.6</v>
      </c>
      <c r="M24" s="16">
        <f t="shared" si="8"/>
        <v>202</v>
      </c>
      <c r="N24" s="33"/>
      <c r="Q24">
        <v>7.8663658425102104E-2</v>
      </c>
      <c r="R24">
        <v>0.286033381784213</v>
      </c>
      <c r="S24">
        <v>1.08129059920596</v>
      </c>
      <c r="T24">
        <v>4.3251623968238597</v>
      </c>
      <c r="X24">
        <v>8.56390953438151E-2</v>
      </c>
      <c r="Y24">
        <v>0.34626724490363803</v>
      </c>
      <c r="Z24">
        <v>1.3850689796145501</v>
      </c>
      <c r="AA24">
        <v>5.5402759184582102</v>
      </c>
      <c r="AC24" s="1">
        <f t="shared" si="9"/>
        <v>0</v>
      </c>
      <c r="AD24" s="1">
        <f t="shared" si="10"/>
        <v>0</v>
      </c>
      <c r="AE24" s="1">
        <f t="shared" si="11"/>
        <v>36.965667958463975</v>
      </c>
      <c r="AF24" s="1">
        <f t="shared" si="12"/>
        <v>591.45068733542359</v>
      </c>
      <c r="AG24" s="1">
        <f t="shared" si="13"/>
        <v>9906.799012868345</v>
      </c>
      <c r="AH24" s="1">
        <f t="shared" si="14"/>
        <v>37335.324638048616</v>
      </c>
      <c r="AJ24" s="13">
        <f t="shared" si="15"/>
        <v>0</v>
      </c>
      <c r="AK24" s="13">
        <f t="shared" si="16"/>
        <v>0</v>
      </c>
      <c r="AL24" s="13">
        <f t="shared" si="17"/>
        <v>1.082085140323868E-3</v>
      </c>
      <c r="AM24" s="13">
        <f t="shared" si="18"/>
        <v>1.7313362245181887E-2</v>
      </c>
      <c r="AN24" s="13">
        <f t="shared" si="19"/>
        <v>0.28999881760679663</v>
      </c>
      <c r="AO24" s="13">
        <f t="shared" si="20"/>
        <v>1.0929059917271067</v>
      </c>
      <c r="BA24" s="1">
        <v>0</v>
      </c>
      <c r="BB24" s="1">
        <v>0</v>
      </c>
      <c r="BC24" s="1">
        <v>2</v>
      </c>
      <c r="BD24" s="1">
        <v>32</v>
      </c>
      <c r="BE24" s="1">
        <v>536</v>
      </c>
      <c r="BF24" s="1">
        <v>2020</v>
      </c>
    </row>
    <row r="25" spans="1:58" x14ac:dyDescent="0.25">
      <c r="A25" s="2">
        <v>53</v>
      </c>
      <c r="B25" s="2">
        <v>22.6</v>
      </c>
      <c r="C25" s="2">
        <v>970</v>
      </c>
      <c r="D25" s="2">
        <v>985</v>
      </c>
      <c r="E25" s="5">
        <v>5.4074185586351197E-3</v>
      </c>
      <c r="F25" s="5">
        <v>3.7739188928974099E-3</v>
      </c>
      <c r="G25" s="5">
        <v>3.5257352179030601E-3</v>
      </c>
      <c r="H25" s="16">
        <f t="shared" si="3"/>
        <v>0</v>
      </c>
      <c r="I25" s="16">
        <f t="shared" si="4"/>
        <v>0</v>
      </c>
      <c r="J25" s="16">
        <f t="shared" si="5"/>
        <v>0.13333333333333333</v>
      </c>
      <c r="K25" s="16">
        <f t="shared" si="6"/>
        <v>2</v>
      </c>
      <c r="L25" s="16">
        <f t="shared" si="7"/>
        <v>40.06666666666667</v>
      </c>
      <c r="M25" s="16">
        <f t="shared" si="8"/>
        <v>200.2</v>
      </c>
      <c r="N25" s="33"/>
      <c r="Q25">
        <v>8.5713068849887802E-2</v>
      </c>
      <c r="R25">
        <v>0.28274257889141102</v>
      </c>
      <c r="S25">
        <v>0.96612323561066804</v>
      </c>
      <c r="T25">
        <v>3.8644929424426699</v>
      </c>
      <c r="X25">
        <v>8.5713069200916994E-2</v>
      </c>
      <c r="Y25">
        <v>0.346074787752647</v>
      </c>
      <c r="Z25">
        <v>1.38429915101059</v>
      </c>
      <c r="AA25">
        <v>5.5371966040423599</v>
      </c>
      <c r="AC25" s="1">
        <f t="shared" si="9"/>
        <v>0</v>
      </c>
      <c r="AD25" s="1">
        <f t="shared" si="10"/>
        <v>0</v>
      </c>
      <c r="AE25" s="1">
        <f t="shared" si="11"/>
        <v>24.657483397584048</v>
      </c>
      <c r="AF25" s="1">
        <f t="shared" si="12"/>
        <v>369.86225096376074</v>
      </c>
      <c r="AG25" s="1">
        <f t="shared" si="13"/>
        <v>7409.5737609740072</v>
      </c>
      <c r="AH25" s="1">
        <f t="shared" si="14"/>
        <v>37023.211321472445</v>
      </c>
      <c r="AJ25" s="13">
        <f t="shared" si="15"/>
        <v>0</v>
      </c>
      <c r="AK25" s="13">
        <f t="shared" si="16"/>
        <v>0</v>
      </c>
      <c r="AL25" s="13">
        <f t="shared" si="17"/>
        <v>7.2098914115134929E-4</v>
      </c>
      <c r="AM25" s="13">
        <f t="shared" si="18"/>
        <v>1.0814837117270239E-2</v>
      </c>
      <c r="AN25" s="13">
        <f t="shared" si="19"/>
        <v>0.21665723691598049</v>
      </c>
      <c r="AO25" s="13">
        <f t="shared" si="20"/>
        <v>1.082565195438751</v>
      </c>
      <c r="BA25" s="1">
        <v>0</v>
      </c>
      <c r="BB25" s="1">
        <v>0</v>
      </c>
      <c r="BC25" s="1">
        <v>2</v>
      </c>
      <c r="BD25" s="1">
        <v>30</v>
      </c>
      <c r="BE25" s="1">
        <v>601</v>
      </c>
      <c r="BF25" s="1">
        <v>3003</v>
      </c>
    </row>
    <row r="26" spans="1:58" x14ac:dyDescent="0.25">
      <c r="A26" s="2">
        <v>45</v>
      </c>
      <c r="B26" s="2">
        <v>22.6</v>
      </c>
      <c r="C26" s="2">
        <v>1020</v>
      </c>
      <c r="D26" s="2">
        <v>1030</v>
      </c>
      <c r="E26" s="5">
        <v>6.9634801117522301E-3</v>
      </c>
      <c r="F26" s="5">
        <v>4.7306891897243297E-3</v>
      </c>
      <c r="G26" s="5">
        <v>4.5595536316889104E-3</v>
      </c>
      <c r="H26" s="16">
        <f t="shared" si="3"/>
        <v>0</v>
      </c>
      <c r="I26" s="16">
        <f t="shared" si="4"/>
        <v>0.1</v>
      </c>
      <c r="J26" s="16">
        <f t="shared" si="5"/>
        <v>0.4</v>
      </c>
      <c r="K26" s="16">
        <f t="shared" si="6"/>
        <v>5.0999999999999996</v>
      </c>
      <c r="L26" s="16">
        <f t="shared" si="7"/>
        <v>49.4</v>
      </c>
      <c r="M26" s="16">
        <f t="shared" si="8"/>
        <v>193.1</v>
      </c>
      <c r="N26" s="33"/>
      <c r="P26">
        <v>2.7853920384742901E-2</v>
      </c>
      <c r="Q26">
        <v>0.102227488893629</v>
      </c>
      <c r="R26">
        <v>0.312084224737535</v>
      </c>
      <c r="S26">
        <v>1.21105643309446</v>
      </c>
      <c r="T26">
        <v>4.8442257323778604</v>
      </c>
      <c r="W26">
        <v>2.7853920447008899E-2</v>
      </c>
      <c r="X26">
        <v>0.111415681788035</v>
      </c>
      <c r="Y26">
        <v>0.445662727152142</v>
      </c>
      <c r="Z26">
        <v>1.78265090860857</v>
      </c>
      <c r="AA26">
        <v>7.13060363443428</v>
      </c>
      <c r="AC26" s="1">
        <f t="shared" si="9"/>
        <v>0</v>
      </c>
      <c r="AD26" s="1">
        <f t="shared" si="10"/>
        <v>14.360635543602761</v>
      </c>
      <c r="AE26" s="1">
        <f t="shared" si="11"/>
        <v>57.442542174411045</v>
      </c>
      <c r="AF26" s="1">
        <f t="shared" si="12"/>
        <v>732.39241272374079</v>
      </c>
      <c r="AG26" s="1">
        <f t="shared" si="13"/>
        <v>7094.1539585397641</v>
      </c>
      <c r="AH26" s="1">
        <f t="shared" si="14"/>
        <v>27730.387234696929</v>
      </c>
      <c r="AJ26" s="13">
        <f t="shared" si="15"/>
        <v>0</v>
      </c>
      <c r="AK26" s="13">
        <f t="shared" si="16"/>
        <v>6.9634801117522303E-4</v>
      </c>
      <c r="AL26" s="13">
        <f t="shared" si="17"/>
        <v>2.7853920447008921E-3</v>
      </c>
      <c r="AM26" s="13">
        <f t="shared" si="18"/>
        <v>3.5513748569936374E-2</v>
      </c>
      <c r="AN26" s="13">
        <f t="shared" si="19"/>
        <v>0.34399591752056013</v>
      </c>
      <c r="AO26" s="13">
        <f t="shared" si="20"/>
        <v>1.3446480095793556</v>
      </c>
      <c r="BA26" s="1">
        <v>0</v>
      </c>
      <c r="BB26" s="1">
        <v>1</v>
      </c>
      <c r="BC26" s="1">
        <v>4</v>
      </c>
      <c r="BD26" s="1">
        <v>51</v>
      </c>
      <c r="BE26" s="1">
        <v>494</v>
      </c>
      <c r="BF26" s="1">
        <v>1931</v>
      </c>
    </row>
    <row r="27" spans="1:58" x14ac:dyDescent="0.25">
      <c r="A27" s="3">
        <v>1.1000000000000001</v>
      </c>
      <c r="B27" s="3">
        <v>32</v>
      </c>
      <c r="C27" s="4">
        <v>50</v>
      </c>
      <c r="D27" s="4">
        <v>70</v>
      </c>
      <c r="E27" s="5">
        <v>1.40031756933689E-2</v>
      </c>
      <c r="F27" s="5">
        <v>5.6784984243662398E-3</v>
      </c>
      <c r="G27" s="5">
        <v>4.6667095589632999E-3</v>
      </c>
      <c r="H27" s="16">
        <f t="shared" si="3"/>
        <v>0</v>
      </c>
      <c r="I27" s="16">
        <f t="shared" si="4"/>
        <v>0.05</v>
      </c>
      <c r="J27" s="16">
        <f t="shared" si="5"/>
        <v>0.9</v>
      </c>
      <c r="K27" s="16">
        <f t="shared" si="6"/>
        <v>7.55</v>
      </c>
      <c r="L27" s="16">
        <f t="shared" si="7"/>
        <v>59.8</v>
      </c>
      <c r="M27" s="16">
        <f t="shared" si="8"/>
        <v>180.85</v>
      </c>
      <c r="N27" s="33"/>
      <c r="P27">
        <v>5.6012702773475899E-2</v>
      </c>
      <c r="Q27">
        <v>0.17662425401843199</v>
      </c>
      <c r="R27">
        <v>0.371998081424883</v>
      </c>
      <c r="S27">
        <v>1.4536955966377501</v>
      </c>
      <c r="T27">
        <v>5.8147823865510198</v>
      </c>
      <c r="W27">
        <v>5.6012702773475899E-2</v>
      </c>
      <c r="X27">
        <v>0.22405081109390301</v>
      </c>
      <c r="Y27">
        <v>0.89620324437561405</v>
      </c>
      <c r="Z27">
        <v>3.58481297750245</v>
      </c>
      <c r="AA27">
        <v>14.3392519100098</v>
      </c>
      <c r="AC27" s="1">
        <f t="shared" si="9"/>
        <v>0</v>
      </c>
      <c r="AD27" s="1">
        <f t="shared" si="10"/>
        <v>3.5706186292925777</v>
      </c>
      <c r="AE27" s="1">
        <f t="shared" si="11"/>
        <v>64.271135327266393</v>
      </c>
      <c r="AF27" s="1">
        <f t="shared" si="12"/>
        <v>539.16341302317915</v>
      </c>
      <c r="AG27" s="1">
        <f t="shared" si="13"/>
        <v>4270.4598806339227</v>
      </c>
      <c r="AH27" s="1">
        <f t="shared" si="14"/>
        <v>12914.927582151253</v>
      </c>
      <c r="AJ27" s="13">
        <f t="shared" si="15"/>
        <v>0</v>
      </c>
      <c r="AK27" s="13">
        <f t="shared" si="16"/>
        <v>7.0015878466844501E-4</v>
      </c>
      <c r="AL27" s="13">
        <f t="shared" si="17"/>
        <v>1.260285812403201E-2</v>
      </c>
      <c r="AM27" s="13">
        <f t="shared" si="18"/>
        <v>0.1057239764849352</v>
      </c>
      <c r="AN27" s="13">
        <f t="shared" si="19"/>
        <v>0.83738990646346023</v>
      </c>
      <c r="AO27" s="13">
        <f t="shared" si="20"/>
        <v>2.5324743241457655</v>
      </c>
      <c r="BA27" s="1">
        <v>0</v>
      </c>
      <c r="BB27" s="1">
        <v>1</v>
      </c>
      <c r="BC27" s="1">
        <v>18</v>
      </c>
      <c r="BD27" s="1">
        <v>151</v>
      </c>
      <c r="BE27" s="1">
        <v>1196</v>
      </c>
      <c r="BF27" s="1">
        <v>3617</v>
      </c>
    </row>
    <row r="28" spans="1:58" x14ac:dyDescent="0.25">
      <c r="A28" s="3">
        <v>1.2</v>
      </c>
      <c r="B28" s="3">
        <v>32</v>
      </c>
      <c r="C28" s="4">
        <v>70</v>
      </c>
      <c r="D28" s="4">
        <v>90</v>
      </c>
      <c r="E28" s="5">
        <v>1.0890800850407899E-2</v>
      </c>
      <c r="F28" s="5">
        <v>4.8212415579803897E-3</v>
      </c>
      <c r="G28" s="5">
        <v>4.1135640493545804E-3</v>
      </c>
      <c r="H28" s="16">
        <f t="shared" si="3"/>
        <v>0</v>
      </c>
      <c r="I28" s="16">
        <f t="shared" si="4"/>
        <v>0.05</v>
      </c>
      <c r="J28" s="16">
        <f t="shared" si="5"/>
        <v>0.55000000000000004</v>
      </c>
      <c r="K28" s="16">
        <f t="shared" si="6"/>
        <v>5.15</v>
      </c>
      <c r="L28" s="16">
        <f t="shared" si="7"/>
        <v>48.6</v>
      </c>
      <c r="M28" s="16">
        <f t="shared" si="8"/>
        <v>175.05</v>
      </c>
      <c r="N28" s="33"/>
      <c r="P28">
        <v>4.3563203401631702E-2</v>
      </c>
      <c r="Q28">
        <v>0.14678489544762599</v>
      </c>
      <c r="R28">
        <v>0.32808884276820199</v>
      </c>
      <c r="S28">
        <v>1.23423783884298</v>
      </c>
      <c r="T28">
        <v>4.93695135537192</v>
      </c>
      <c r="W28">
        <v>4.3563203401631702E-2</v>
      </c>
      <c r="X28">
        <v>0.174252813606527</v>
      </c>
      <c r="Y28">
        <v>0.69701125442610801</v>
      </c>
      <c r="Z28">
        <v>2.7880450177044298</v>
      </c>
      <c r="AA28">
        <v>11.1521800708177</v>
      </c>
      <c r="AC28" s="1">
        <f t="shared" si="9"/>
        <v>0</v>
      </c>
      <c r="AD28" s="1">
        <f t="shared" si="10"/>
        <v>4.5910306034222748</v>
      </c>
      <c r="AE28" s="1">
        <f t="shared" si="11"/>
        <v>50.501336637645025</v>
      </c>
      <c r="AF28" s="1">
        <f t="shared" si="12"/>
        <v>472.87615215249434</v>
      </c>
      <c r="AG28" s="1">
        <f t="shared" si="13"/>
        <v>4462.4817465264514</v>
      </c>
      <c r="AH28" s="1">
        <f t="shared" si="14"/>
        <v>16073.198142581385</v>
      </c>
      <c r="AJ28" s="13">
        <f t="shared" si="15"/>
        <v>0</v>
      </c>
      <c r="AK28" s="13">
        <f t="shared" si="16"/>
        <v>5.4454004252039502E-4</v>
      </c>
      <c r="AL28" s="13">
        <f t="shared" si="17"/>
        <v>5.9899404677243454E-3</v>
      </c>
      <c r="AM28" s="13">
        <f t="shared" si="18"/>
        <v>5.6087624379600687E-2</v>
      </c>
      <c r="AN28" s="13">
        <f t="shared" si="19"/>
        <v>0.52929292132982397</v>
      </c>
      <c r="AO28" s="13">
        <f t="shared" si="20"/>
        <v>1.906434688863903</v>
      </c>
      <c r="BA28" s="1">
        <v>0</v>
      </c>
      <c r="BB28" s="1">
        <v>1</v>
      </c>
      <c r="BC28" s="1">
        <v>11</v>
      </c>
      <c r="BD28" s="1">
        <v>103</v>
      </c>
      <c r="BE28" s="1">
        <v>972</v>
      </c>
      <c r="BF28" s="1">
        <v>3501</v>
      </c>
    </row>
    <row r="29" spans="1:58" x14ac:dyDescent="0.25">
      <c r="A29" s="3">
        <v>1.3</v>
      </c>
      <c r="B29" s="3">
        <v>32</v>
      </c>
      <c r="C29" s="4">
        <v>90</v>
      </c>
      <c r="D29" s="4">
        <v>100</v>
      </c>
      <c r="E29" s="5">
        <v>2.3197934886697399E-2</v>
      </c>
      <c r="F29" s="5">
        <v>9.1426900455134907E-3</v>
      </c>
      <c r="G29" s="5">
        <v>6.1375608082080103E-3</v>
      </c>
      <c r="H29" s="16">
        <f t="shared" si="3"/>
        <v>0</v>
      </c>
      <c r="I29" s="16">
        <f t="shared" si="4"/>
        <v>0.4</v>
      </c>
      <c r="J29" s="16">
        <f t="shared" si="5"/>
        <v>3.5</v>
      </c>
      <c r="K29" s="16">
        <f t="shared" si="6"/>
        <v>16.3</v>
      </c>
      <c r="L29" s="16">
        <f t="shared" si="7"/>
        <v>78.8</v>
      </c>
      <c r="M29" s="16">
        <f t="shared" si="8"/>
        <v>174.9</v>
      </c>
      <c r="N29" s="33"/>
      <c r="P29">
        <v>9.2791739546789598E-2</v>
      </c>
      <c r="Q29">
        <v>0.222368887754927</v>
      </c>
      <c r="R29">
        <v>0.58513216291286296</v>
      </c>
      <c r="S29">
        <v>2.3405286516514501</v>
      </c>
      <c r="T29">
        <v>9.3621146066058198</v>
      </c>
      <c r="W29">
        <v>9.2791739546789598E-2</v>
      </c>
      <c r="X29">
        <v>0.371166958187158</v>
      </c>
      <c r="Y29">
        <v>1.48466783274863</v>
      </c>
      <c r="Z29">
        <v>5.9386713309945298</v>
      </c>
      <c r="AA29">
        <v>23.754685323978102</v>
      </c>
      <c r="AC29" s="1">
        <f t="shared" si="9"/>
        <v>0</v>
      </c>
      <c r="AD29" s="1">
        <f t="shared" si="10"/>
        <v>17.242914162560893</v>
      </c>
      <c r="AE29" s="1">
        <f t="shared" si="11"/>
        <v>150.87549892240781</v>
      </c>
      <c r="AF29" s="1">
        <f t="shared" si="12"/>
        <v>702.64875212435641</v>
      </c>
      <c r="AG29" s="1">
        <f t="shared" si="13"/>
        <v>3396.8540900244957</v>
      </c>
      <c r="AH29" s="1">
        <f t="shared" si="14"/>
        <v>7539.4642175797508</v>
      </c>
      <c r="AJ29" s="13">
        <f t="shared" si="15"/>
        <v>0</v>
      </c>
      <c r="AK29" s="13">
        <f t="shared" si="16"/>
        <v>9.2791739546789608E-3</v>
      </c>
      <c r="AL29" s="13">
        <f t="shared" si="17"/>
        <v>8.1192772103440891E-2</v>
      </c>
      <c r="AM29" s="13">
        <f t="shared" si="18"/>
        <v>0.37812633865316764</v>
      </c>
      <c r="AN29" s="13">
        <f t="shared" si="19"/>
        <v>1.827997269071755</v>
      </c>
      <c r="AO29" s="13">
        <f t="shared" si="20"/>
        <v>4.0573188116833752</v>
      </c>
      <c r="BA29" s="1">
        <v>0</v>
      </c>
      <c r="BB29" s="1">
        <v>4</v>
      </c>
      <c r="BC29" s="1">
        <v>35</v>
      </c>
      <c r="BD29" s="1">
        <v>163</v>
      </c>
      <c r="BE29" s="1">
        <v>788</v>
      </c>
      <c r="BF29" s="1">
        <v>1749</v>
      </c>
    </row>
    <row r="30" spans="1:58" x14ac:dyDescent="0.25">
      <c r="A30" s="3">
        <v>2.1</v>
      </c>
      <c r="B30" s="3">
        <v>45</v>
      </c>
      <c r="C30" s="4">
        <v>120</v>
      </c>
      <c r="D30" s="4">
        <v>140</v>
      </c>
      <c r="E30" s="5">
        <v>3.5345925929864103E-2</v>
      </c>
      <c r="F30" s="5">
        <v>7.8507383881498607E-3</v>
      </c>
      <c r="G30" s="5">
        <v>4.0069409325786598E-3</v>
      </c>
      <c r="H30" s="16">
        <f t="shared" si="3"/>
        <v>0</v>
      </c>
      <c r="I30" s="16">
        <f t="shared" si="4"/>
        <v>0.55000000000000004</v>
      </c>
      <c r="J30" s="16">
        <f t="shared" si="5"/>
        <v>2.8</v>
      </c>
      <c r="K30" s="16">
        <f t="shared" si="6"/>
        <v>10.199999999999999</v>
      </c>
      <c r="L30" s="16">
        <f t="shared" si="7"/>
        <v>60.75</v>
      </c>
      <c r="M30" s="16">
        <f t="shared" si="8"/>
        <v>171.2</v>
      </c>
      <c r="N30" s="33"/>
      <c r="P30">
        <v>8.2766257918429495E-2</v>
      </c>
      <c r="Q30">
        <v>0.28137760228112102</v>
      </c>
      <c r="R30">
        <v>0.60837215584300797</v>
      </c>
      <c r="S30">
        <v>2.0097890273663599</v>
      </c>
      <c r="T30">
        <v>8.0391561094654609</v>
      </c>
      <c r="W30">
        <v>0.14138370371945599</v>
      </c>
      <c r="X30">
        <v>0.56553481487782498</v>
      </c>
      <c r="Y30">
        <v>2.2621392595112999</v>
      </c>
      <c r="Z30">
        <v>9.0485570380452103</v>
      </c>
      <c r="AA30">
        <v>36.194228152180798</v>
      </c>
      <c r="AC30" s="1">
        <f t="shared" si="9"/>
        <v>0</v>
      </c>
      <c r="AD30" s="1">
        <f t="shared" si="10"/>
        <v>15.560492066082782</v>
      </c>
      <c r="AE30" s="1">
        <f t="shared" si="11"/>
        <v>79.217050518239603</v>
      </c>
      <c r="AF30" s="1">
        <f t="shared" si="12"/>
        <v>288.57639831644428</v>
      </c>
      <c r="AG30" s="1">
        <f t="shared" si="13"/>
        <v>1718.7270782082344</v>
      </c>
      <c r="AH30" s="1">
        <f t="shared" si="14"/>
        <v>4843.5568031152216</v>
      </c>
      <c r="AJ30" s="13">
        <f t="shared" si="15"/>
        <v>0</v>
      </c>
      <c r="AK30" s="13">
        <f t="shared" si="16"/>
        <v>1.9440259261425258E-2</v>
      </c>
      <c r="AL30" s="13">
        <f t="shared" si="17"/>
        <v>9.8968592603619482E-2</v>
      </c>
      <c r="AM30" s="13">
        <f t="shared" si="18"/>
        <v>0.3605284444846138</v>
      </c>
      <c r="AN30" s="13">
        <f t="shared" si="19"/>
        <v>2.1472650002392442</v>
      </c>
      <c r="AO30" s="13">
        <f t="shared" si="20"/>
        <v>6.0512225191927342</v>
      </c>
      <c r="BA30" s="1">
        <v>0</v>
      </c>
      <c r="BB30" s="1">
        <v>11</v>
      </c>
      <c r="BC30" s="1">
        <v>56</v>
      </c>
      <c r="BD30" s="1">
        <v>204</v>
      </c>
      <c r="BE30" s="1">
        <v>1215</v>
      </c>
      <c r="BF30" s="1">
        <v>3424</v>
      </c>
    </row>
    <row r="31" spans="1:58" x14ac:dyDescent="0.25">
      <c r="A31" s="3">
        <v>2.2000000000000002</v>
      </c>
      <c r="B31" s="3">
        <v>45</v>
      </c>
      <c r="C31" s="4">
        <v>140</v>
      </c>
      <c r="D31" s="4">
        <v>155</v>
      </c>
      <c r="E31" s="5">
        <v>2.4016207968108199E-2</v>
      </c>
      <c r="F31" s="5">
        <v>6.5149661727545603E-3</v>
      </c>
      <c r="G31" s="5">
        <v>4.26435563054003E-3</v>
      </c>
      <c r="H31" s="16">
        <f t="shared" si="3"/>
        <v>6.6666666666666666E-2</v>
      </c>
      <c r="I31" s="16">
        <f t="shared" si="4"/>
        <v>0.33333333333333331</v>
      </c>
      <c r="J31" s="16">
        <f t="shared" si="5"/>
        <v>1.7333333333333334</v>
      </c>
      <c r="K31" s="16">
        <f t="shared" si="6"/>
        <v>7.4666666666666668</v>
      </c>
      <c r="L31" s="16">
        <f t="shared" si="7"/>
        <v>54.06666666666667</v>
      </c>
      <c r="M31" s="16">
        <f t="shared" si="8"/>
        <v>187.2</v>
      </c>
      <c r="N31" s="33"/>
      <c r="O31">
        <v>2.4016207968108199E-2</v>
      </c>
      <c r="P31">
        <v>6.1687066952672398E-2</v>
      </c>
      <c r="Q31">
        <v>0.19687478181427201</v>
      </c>
      <c r="R31">
        <v>0.46344710039377801</v>
      </c>
      <c r="S31">
        <v>1.6678313402251601</v>
      </c>
      <c r="T31">
        <v>6.6713253609006697</v>
      </c>
      <c r="V31">
        <v>2.4016207968108199E-2</v>
      </c>
      <c r="W31">
        <v>9.6064831872432796E-2</v>
      </c>
      <c r="X31">
        <v>0.38425932748973102</v>
      </c>
      <c r="Y31">
        <v>1.5370373099589201</v>
      </c>
      <c r="Z31">
        <v>6.1481492398356998</v>
      </c>
      <c r="AA31">
        <v>24.592596959342799</v>
      </c>
      <c r="AC31" s="1">
        <f t="shared" si="9"/>
        <v>2.7759031215583749</v>
      </c>
      <c r="AD31" s="1">
        <f t="shared" si="10"/>
        <v>13.879515607791873</v>
      </c>
      <c r="AE31" s="1">
        <f t="shared" si="11"/>
        <v>72.173481160517753</v>
      </c>
      <c r="AF31" s="1">
        <f t="shared" si="12"/>
        <v>310.90114961453799</v>
      </c>
      <c r="AG31" s="1">
        <f t="shared" si="13"/>
        <v>2251.2574315838424</v>
      </c>
      <c r="AH31" s="1">
        <f t="shared" si="14"/>
        <v>7794.7359653359163</v>
      </c>
      <c r="AJ31" s="13">
        <f t="shared" si="15"/>
        <v>1.6010805312072132E-3</v>
      </c>
      <c r="AK31" s="13">
        <f t="shared" si="16"/>
        <v>8.0054026560360658E-3</v>
      </c>
      <c r="AL31" s="13">
        <f t="shared" si="17"/>
        <v>4.1628093811387545E-2</v>
      </c>
      <c r="AM31" s="13">
        <f t="shared" si="18"/>
        <v>0.1793210194952079</v>
      </c>
      <c r="AN31" s="13">
        <f t="shared" si="19"/>
        <v>1.29847631080905</v>
      </c>
      <c r="AO31" s="13">
        <f t="shared" si="20"/>
        <v>4.4958341316298549</v>
      </c>
      <c r="BA31" s="1">
        <v>1</v>
      </c>
      <c r="BB31" s="1">
        <v>5</v>
      </c>
      <c r="BC31" s="1">
        <v>26</v>
      </c>
      <c r="BD31" s="1">
        <v>112</v>
      </c>
      <c r="BE31" s="1">
        <v>811</v>
      </c>
      <c r="BF31" s="1">
        <v>2808</v>
      </c>
    </row>
    <row r="32" spans="1:58" x14ac:dyDescent="0.25">
      <c r="A32" s="3">
        <v>2.2999999999999998</v>
      </c>
      <c r="B32" s="3">
        <v>45</v>
      </c>
      <c r="C32" s="4">
        <v>160</v>
      </c>
      <c r="D32" s="4">
        <v>170</v>
      </c>
      <c r="E32" s="5">
        <v>1.9422121419342901E-2</v>
      </c>
      <c r="F32" s="5">
        <v>7.5773751595888898E-3</v>
      </c>
      <c r="G32" s="5">
        <v>5.3544304928017398E-3</v>
      </c>
      <c r="H32" s="16">
        <f t="shared" si="3"/>
        <v>0</v>
      </c>
      <c r="I32" s="16">
        <f t="shared" si="4"/>
        <v>0.3</v>
      </c>
      <c r="J32" s="16">
        <f t="shared" si="5"/>
        <v>2.8</v>
      </c>
      <c r="K32" s="16">
        <f t="shared" si="6"/>
        <v>14.7</v>
      </c>
      <c r="L32" s="16">
        <f t="shared" si="7"/>
        <v>70</v>
      </c>
      <c r="M32" s="16">
        <f t="shared" si="8"/>
        <v>183.8</v>
      </c>
      <c r="N32" s="33"/>
      <c r="P32">
        <v>6.6744949341475304E-2</v>
      </c>
      <c r="Q32">
        <v>0.16107374150092801</v>
      </c>
      <c r="R32">
        <v>0.484952010213689</v>
      </c>
      <c r="S32">
        <v>1.93980804085475</v>
      </c>
      <c r="T32">
        <v>7.7592321634190196</v>
      </c>
      <c r="W32">
        <v>7.7688485677371896E-2</v>
      </c>
      <c r="X32">
        <v>0.31075394270948697</v>
      </c>
      <c r="Y32">
        <v>1.2430157708379499</v>
      </c>
      <c r="Z32">
        <v>4.9720630833517996</v>
      </c>
      <c r="AA32">
        <v>19.888252333407198</v>
      </c>
      <c r="AC32" s="1">
        <f t="shared" si="9"/>
        <v>0</v>
      </c>
      <c r="AD32" s="1">
        <f t="shared" si="10"/>
        <v>15.446304423842374</v>
      </c>
      <c r="AE32" s="1">
        <f t="shared" si="11"/>
        <v>144.16550795586215</v>
      </c>
      <c r="AF32" s="1">
        <f t="shared" si="12"/>
        <v>756.86891676827634</v>
      </c>
      <c r="AG32" s="1">
        <f t="shared" si="13"/>
        <v>3604.137698896554</v>
      </c>
      <c r="AH32" s="1">
        <f t="shared" si="14"/>
        <v>9463.4358436740949</v>
      </c>
      <c r="AJ32" s="13">
        <f t="shared" si="15"/>
        <v>0</v>
      </c>
      <c r="AK32" s="13">
        <f t="shared" si="16"/>
        <v>5.82663642580287E-3</v>
      </c>
      <c r="AL32" s="13">
        <f t="shared" si="17"/>
        <v>5.4381939974160118E-2</v>
      </c>
      <c r="AM32" s="13">
        <f t="shared" si="18"/>
        <v>0.28550518486434062</v>
      </c>
      <c r="AN32" s="13">
        <f t="shared" si="19"/>
        <v>1.359548499354003</v>
      </c>
      <c r="AO32" s="13">
        <f t="shared" si="20"/>
        <v>3.5697859168752255</v>
      </c>
      <c r="BA32" s="1">
        <v>0</v>
      </c>
      <c r="BB32" s="1">
        <v>3</v>
      </c>
      <c r="BC32" s="1">
        <v>28</v>
      </c>
      <c r="BD32" s="1">
        <v>147</v>
      </c>
      <c r="BE32" s="1">
        <v>700</v>
      </c>
      <c r="BF32" s="1">
        <v>1838</v>
      </c>
    </row>
    <row r="33" spans="1:58" x14ac:dyDescent="0.25">
      <c r="A33" s="3">
        <v>3.1</v>
      </c>
      <c r="B33" s="3">
        <v>64</v>
      </c>
      <c r="C33" s="4">
        <v>190</v>
      </c>
      <c r="D33" s="4">
        <v>210</v>
      </c>
      <c r="E33" s="5">
        <v>0.12653412852816501</v>
      </c>
      <c r="F33" s="5">
        <v>1.5222331559222001E-2</v>
      </c>
      <c r="G33" s="5">
        <v>4.5052689799184196E-3</v>
      </c>
      <c r="H33" s="16">
        <f t="shared" si="3"/>
        <v>0.5</v>
      </c>
      <c r="I33" s="16">
        <f t="shared" si="4"/>
        <v>1.9</v>
      </c>
      <c r="J33" s="16">
        <f t="shared" si="5"/>
        <v>5.65</v>
      </c>
      <c r="K33" s="16">
        <f t="shared" si="6"/>
        <v>15.6</v>
      </c>
      <c r="L33" s="16">
        <f t="shared" si="7"/>
        <v>60.6</v>
      </c>
      <c r="M33" s="16">
        <f t="shared" si="8"/>
        <v>165.3</v>
      </c>
      <c r="N33" s="33"/>
      <c r="O33">
        <v>9.5477972807156197E-2</v>
      </c>
      <c r="P33">
        <v>0.192484405703403</v>
      </c>
      <c r="Q33">
        <v>0.54260603351381897</v>
      </c>
      <c r="R33">
        <v>1.4445985101020999</v>
      </c>
      <c r="S33">
        <v>3.8969168791608402</v>
      </c>
      <c r="T33">
        <v>15.5876675166433</v>
      </c>
      <c r="V33">
        <v>0.12653412852816501</v>
      </c>
      <c r="W33">
        <v>0.50613651411266203</v>
      </c>
      <c r="X33">
        <v>2.0245460564506401</v>
      </c>
      <c r="Y33">
        <v>8.0981842258025907</v>
      </c>
      <c r="Z33">
        <v>32.392736903210299</v>
      </c>
      <c r="AA33">
        <v>129.570947612841</v>
      </c>
      <c r="AC33" s="1">
        <f t="shared" si="9"/>
        <v>3.9515030910313329</v>
      </c>
      <c r="AD33" s="1">
        <f t="shared" si="10"/>
        <v>15.015711745919065</v>
      </c>
      <c r="AE33" s="1">
        <f t="shared" si="11"/>
        <v>44.651984928654066</v>
      </c>
      <c r="AF33" s="1">
        <f t="shared" si="12"/>
        <v>123.28689644017759</v>
      </c>
      <c r="AG33" s="1">
        <f t="shared" si="13"/>
        <v>478.92217463299755</v>
      </c>
      <c r="AH33" s="1">
        <f t="shared" si="14"/>
        <v>1306.3669218949588</v>
      </c>
      <c r="AJ33" s="13">
        <f t="shared" si="15"/>
        <v>6.3267064264082504E-2</v>
      </c>
      <c r="AK33" s="13">
        <f t="shared" si="16"/>
        <v>0.2404148442035135</v>
      </c>
      <c r="AL33" s="13">
        <f t="shared" si="17"/>
        <v>0.71491782618413235</v>
      </c>
      <c r="AM33" s="13">
        <f t="shared" si="18"/>
        <v>1.9739324050393741</v>
      </c>
      <c r="AN33" s="13">
        <f t="shared" si="19"/>
        <v>7.6679681888067996</v>
      </c>
      <c r="AO33" s="13">
        <f t="shared" si="20"/>
        <v>20.916091445705678</v>
      </c>
      <c r="BA33" s="1">
        <v>10</v>
      </c>
      <c r="BB33" s="1">
        <v>38</v>
      </c>
      <c r="BC33" s="1">
        <v>113</v>
      </c>
      <c r="BD33" s="1">
        <v>312</v>
      </c>
      <c r="BE33" s="1">
        <v>1212</v>
      </c>
      <c r="BF33" s="1">
        <v>3306</v>
      </c>
    </row>
    <row r="34" spans="1:58" x14ac:dyDescent="0.25">
      <c r="A34" s="3">
        <v>3.2</v>
      </c>
      <c r="B34" s="3">
        <v>64</v>
      </c>
      <c r="C34" s="4">
        <v>215</v>
      </c>
      <c r="D34" s="4">
        <v>230</v>
      </c>
      <c r="E34" s="5">
        <v>5.1502950973667999E-2</v>
      </c>
      <c r="F34" s="5">
        <v>1.37528556522491E-2</v>
      </c>
      <c r="G34" s="5">
        <v>4.5700514622563203E-3</v>
      </c>
      <c r="H34" s="16">
        <f t="shared" si="3"/>
        <v>0.13333333333333333</v>
      </c>
      <c r="I34" s="16">
        <f t="shared" si="4"/>
        <v>2</v>
      </c>
      <c r="J34" s="16">
        <f t="shared" si="5"/>
        <v>7.333333333333333</v>
      </c>
      <c r="K34" s="16">
        <f t="shared" si="6"/>
        <v>18.600000000000001</v>
      </c>
      <c r="L34" s="16">
        <f t="shared" si="7"/>
        <v>68.8</v>
      </c>
      <c r="M34" s="16">
        <f t="shared" si="8"/>
        <v>171.33333333333334</v>
      </c>
      <c r="N34" s="33"/>
      <c r="O34">
        <v>2.8717702047744001E-2</v>
      </c>
      <c r="P34">
        <v>0.11587567427319601</v>
      </c>
      <c r="Q34">
        <v>0.424330918118209</v>
      </c>
      <c r="R34">
        <v>1.0317760232201201</v>
      </c>
      <c r="S34">
        <v>3.52073104697577</v>
      </c>
      <c r="T34">
        <v>14.082924187903</v>
      </c>
      <c r="V34">
        <v>3.4786896818932399E-2</v>
      </c>
      <c r="W34">
        <v>0.206011803894672</v>
      </c>
      <c r="X34">
        <v>0.82404721557868799</v>
      </c>
      <c r="Y34">
        <v>3.2961888623147502</v>
      </c>
      <c r="Z34">
        <v>13.184755449259001</v>
      </c>
      <c r="AA34">
        <v>52.739021797036003</v>
      </c>
      <c r="AC34" s="1">
        <f t="shared" si="9"/>
        <v>2.5888484215497263</v>
      </c>
      <c r="AD34" s="1">
        <f t="shared" si="10"/>
        <v>38.832726323245893</v>
      </c>
      <c r="AE34" s="1">
        <f t="shared" si="11"/>
        <v>142.38666318523494</v>
      </c>
      <c r="AF34" s="1">
        <f t="shared" si="12"/>
        <v>361.14435480618681</v>
      </c>
      <c r="AG34" s="1">
        <f t="shared" si="13"/>
        <v>1335.8457855196586</v>
      </c>
      <c r="AH34" s="1">
        <f t="shared" si="14"/>
        <v>3326.6702216913982</v>
      </c>
      <c r="AJ34" s="13">
        <f t="shared" si="15"/>
        <v>6.8670601298223997E-3</v>
      </c>
      <c r="AK34" s="13">
        <f t="shared" si="16"/>
        <v>0.103005901947336</v>
      </c>
      <c r="AL34" s="13">
        <f t="shared" si="17"/>
        <v>0.37768830714023199</v>
      </c>
      <c r="AM34" s="13">
        <f t="shared" si="18"/>
        <v>0.95795488811022489</v>
      </c>
      <c r="AN34" s="13">
        <f t="shared" si="19"/>
        <v>3.5434030269883583</v>
      </c>
      <c r="AO34" s="13">
        <f t="shared" si="20"/>
        <v>8.824172266821785</v>
      </c>
      <c r="BA34" s="1">
        <v>2</v>
      </c>
      <c r="BB34" s="1">
        <v>30</v>
      </c>
      <c r="BC34" s="1">
        <v>110</v>
      </c>
      <c r="BD34" s="1">
        <v>279</v>
      </c>
      <c r="BE34" s="1">
        <v>1032</v>
      </c>
      <c r="BF34" s="1">
        <v>2570</v>
      </c>
    </row>
    <row r="35" spans="1:58" x14ac:dyDescent="0.25">
      <c r="A35" s="3">
        <v>3.3</v>
      </c>
      <c r="B35" s="3">
        <v>64</v>
      </c>
      <c r="C35" s="4">
        <v>230</v>
      </c>
      <c r="D35" s="4">
        <v>250</v>
      </c>
      <c r="E35" s="5">
        <v>5.04335454776157E-2</v>
      </c>
      <c r="F35" s="5">
        <v>9.8602655911611495E-3</v>
      </c>
      <c r="G35" s="5">
        <v>4.3864038070395503E-3</v>
      </c>
      <c r="H35" s="16">
        <f t="shared" si="3"/>
        <v>0.2</v>
      </c>
      <c r="I35" s="16">
        <f t="shared" si="4"/>
        <v>1</v>
      </c>
      <c r="J35" s="16">
        <f t="shared" si="5"/>
        <v>3.4</v>
      </c>
      <c r="K35" s="16">
        <f t="shared" si="6"/>
        <v>12.25</v>
      </c>
      <c r="L35" s="16">
        <f t="shared" si="7"/>
        <v>57.75</v>
      </c>
      <c r="M35" s="16">
        <f t="shared" si="8"/>
        <v>167.8</v>
      </c>
      <c r="N35" s="33"/>
      <c r="O35">
        <v>4.2099641834455401E-2</v>
      </c>
      <c r="P35">
        <v>0.10745936765490099</v>
      </c>
      <c r="Q35">
        <v>0.342981303210388</v>
      </c>
      <c r="R35">
        <v>0.759859641009906</v>
      </c>
      <c r="S35">
        <v>2.5242279913372498</v>
      </c>
      <c r="T35">
        <v>10.096911965348999</v>
      </c>
      <c r="V35">
        <v>5.04335454776157E-2</v>
      </c>
      <c r="W35">
        <v>0.201734181910463</v>
      </c>
      <c r="X35">
        <v>0.80693672764185198</v>
      </c>
      <c r="Y35">
        <v>3.2277469105674101</v>
      </c>
      <c r="Z35">
        <v>12.9109876422696</v>
      </c>
      <c r="AA35">
        <v>51.643950569078498</v>
      </c>
      <c r="AC35" s="1">
        <f t="shared" si="9"/>
        <v>3.9656145152191913</v>
      </c>
      <c r="AD35" s="1">
        <f t="shared" si="10"/>
        <v>19.828072576095956</v>
      </c>
      <c r="AE35" s="1">
        <f t="shared" si="11"/>
        <v>67.415446758726247</v>
      </c>
      <c r="AF35" s="1">
        <f t="shared" si="12"/>
        <v>242.89388905717544</v>
      </c>
      <c r="AG35" s="1">
        <f t="shared" si="13"/>
        <v>1145.0711912695413</v>
      </c>
      <c r="AH35" s="1">
        <f t="shared" si="14"/>
        <v>3327.1505782689014</v>
      </c>
      <c r="AJ35" s="13">
        <f t="shared" si="15"/>
        <v>1.0086709095523141E-2</v>
      </c>
      <c r="AK35" s="13">
        <f t="shared" si="16"/>
        <v>5.04335454776157E-2</v>
      </c>
      <c r="AL35" s="13">
        <f t="shared" si="17"/>
        <v>0.17147405462389337</v>
      </c>
      <c r="AM35" s="13">
        <f t="shared" si="18"/>
        <v>0.6178109321007923</v>
      </c>
      <c r="AN35" s="13">
        <f t="shared" si="19"/>
        <v>2.9125372513323069</v>
      </c>
      <c r="AO35" s="13">
        <f t="shared" si="20"/>
        <v>8.4627489311439152</v>
      </c>
      <c r="BA35" s="1">
        <v>4</v>
      </c>
      <c r="BB35" s="1">
        <v>20</v>
      </c>
      <c r="BC35" s="1">
        <v>68</v>
      </c>
      <c r="BD35" s="1">
        <v>245</v>
      </c>
      <c r="BE35" s="1">
        <v>1155</v>
      </c>
      <c r="BF35" s="1">
        <v>3356</v>
      </c>
    </row>
    <row r="36" spans="1:58" x14ac:dyDescent="0.25">
      <c r="A36" s="3">
        <v>4.0999999999999996</v>
      </c>
      <c r="B36" s="3">
        <v>90</v>
      </c>
      <c r="C36" s="4">
        <v>270</v>
      </c>
      <c r="D36" s="4">
        <v>285</v>
      </c>
      <c r="E36" s="5">
        <v>9.6840712231762202E-2</v>
      </c>
      <c r="F36" s="5">
        <v>2.94139388502281E-2</v>
      </c>
      <c r="G36" s="5">
        <v>9.5407724532447606E-3</v>
      </c>
      <c r="H36" s="16">
        <f t="shared" si="3"/>
        <v>0.8</v>
      </c>
      <c r="I36" s="16">
        <f t="shared" si="4"/>
        <v>4.0666666666666664</v>
      </c>
      <c r="J36" s="16">
        <f t="shared" si="5"/>
        <v>12.466666666666667</v>
      </c>
      <c r="K36" s="16">
        <f t="shared" si="6"/>
        <v>32.666666666666664</v>
      </c>
      <c r="L36" s="16">
        <f t="shared" si="7"/>
        <v>67.933333333333337</v>
      </c>
      <c r="M36" s="16">
        <f t="shared" si="8"/>
        <v>150.53333333333333</v>
      </c>
      <c r="N36" s="33"/>
      <c r="O36">
        <v>6.9669475601588704E-2</v>
      </c>
      <c r="P36">
        <v>0.21182245741774999</v>
      </c>
      <c r="Q36">
        <v>0.71876689058186105</v>
      </c>
      <c r="R36">
        <v>2.4352261038974299</v>
      </c>
      <c r="S36">
        <v>7.5299683456584097</v>
      </c>
      <c r="T36">
        <v>30.1198733826336</v>
      </c>
      <c r="V36">
        <v>9.6840712231762202E-2</v>
      </c>
      <c r="W36">
        <v>0.38736284892704798</v>
      </c>
      <c r="X36">
        <v>1.5494513957081899</v>
      </c>
      <c r="Y36">
        <v>6.19780558283278</v>
      </c>
      <c r="Z36">
        <v>24.791222331331099</v>
      </c>
      <c r="AA36">
        <v>99.164889325324495</v>
      </c>
      <c r="AC36" s="1">
        <f t="shared" si="9"/>
        <v>8.2609883959281003</v>
      </c>
      <c r="AD36" s="1">
        <f t="shared" si="10"/>
        <v>41.993357679301177</v>
      </c>
      <c r="AE36" s="1">
        <f t="shared" si="11"/>
        <v>128.73373583654623</v>
      </c>
      <c r="AF36" s="1">
        <f t="shared" si="12"/>
        <v>337.32369283373072</v>
      </c>
      <c r="AG36" s="1">
        <f t="shared" si="13"/>
        <v>701.49559795422795</v>
      </c>
      <c r="AH36" s="1">
        <f t="shared" si="14"/>
        <v>1554.4426498338041</v>
      </c>
      <c r="AJ36" s="13">
        <f t="shared" si="15"/>
        <v>7.747256978540977E-2</v>
      </c>
      <c r="AK36" s="13">
        <f t="shared" si="16"/>
        <v>0.39381889640916629</v>
      </c>
      <c r="AL36" s="13">
        <f t="shared" si="17"/>
        <v>1.2072808791559688</v>
      </c>
      <c r="AM36" s="13">
        <f t="shared" si="18"/>
        <v>3.163463266237565</v>
      </c>
      <c r="AN36" s="13">
        <f t="shared" si="19"/>
        <v>6.5787123842777122</v>
      </c>
      <c r="AO36" s="13">
        <f t="shared" si="20"/>
        <v>14.57775521462127</v>
      </c>
      <c r="BA36" s="1">
        <v>12</v>
      </c>
      <c r="BB36" s="1">
        <v>61</v>
      </c>
      <c r="BC36" s="1">
        <v>187</v>
      </c>
      <c r="BD36" s="1">
        <v>490</v>
      </c>
      <c r="BE36" s="1">
        <v>1019</v>
      </c>
      <c r="BF36" s="1">
        <v>2258</v>
      </c>
    </row>
    <row r="37" spans="1:58" x14ac:dyDescent="0.25">
      <c r="A37" s="3">
        <v>4.2</v>
      </c>
      <c r="B37" s="3">
        <v>90</v>
      </c>
      <c r="C37" s="4">
        <v>290</v>
      </c>
      <c r="D37" s="4">
        <v>310</v>
      </c>
      <c r="E37" s="5">
        <v>4.1669974213015902E-2</v>
      </c>
      <c r="F37" s="5">
        <v>9.9725509064199202E-3</v>
      </c>
      <c r="G37" s="5">
        <v>6.2822795747625101E-3</v>
      </c>
      <c r="H37" s="16">
        <f t="shared" si="3"/>
        <v>0</v>
      </c>
      <c r="I37" s="16">
        <f t="shared" si="4"/>
        <v>0.75</v>
      </c>
      <c r="J37" s="16">
        <f t="shared" si="5"/>
        <v>4.0999999999999996</v>
      </c>
      <c r="K37" s="16">
        <f t="shared" si="6"/>
        <v>17.649999999999999</v>
      </c>
      <c r="L37" s="16">
        <f t="shared" si="7"/>
        <v>69.7</v>
      </c>
      <c r="M37" s="16">
        <f t="shared" si="8"/>
        <v>167.75</v>
      </c>
      <c r="N37" s="33"/>
      <c r="P37">
        <v>7.9120500982877304E-2</v>
      </c>
      <c r="Q37">
        <v>0.25286216921415</v>
      </c>
      <c r="R37">
        <v>0.66084681493743003</v>
      </c>
      <c r="S37">
        <v>2.5529730320435</v>
      </c>
      <c r="T37">
        <v>10.211892128174</v>
      </c>
      <c r="W37">
        <v>0.166679896852063</v>
      </c>
      <c r="X37">
        <v>0.66671958740825399</v>
      </c>
      <c r="Y37">
        <v>2.6668783496330102</v>
      </c>
      <c r="Z37">
        <v>10.667513398532</v>
      </c>
      <c r="AA37">
        <v>42.670053594128298</v>
      </c>
      <c r="AC37" s="1">
        <f t="shared" si="9"/>
        <v>0</v>
      </c>
      <c r="AD37" s="1">
        <f t="shared" si="10"/>
        <v>17.998571253392626</v>
      </c>
      <c r="AE37" s="1">
        <f t="shared" si="11"/>
        <v>98.392189518546346</v>
      </c>
      <c r="AF37" s="1">
        <f t="shared" si="12"/>
        <v>423.56637682983973</v>
      </c>
      <c r="AG37" s="1">
        <f t="shared" si="13"/>
        <v>1672.667221815288</v>
      </c>
      <c r="AH37" s="1">
        <f t="shared" si="14"/>
        <v>4025.6804370088171</v>
      </c>
      <c r="AJ37" s="13">
        <f t="shared" si="15"/>
        <v>0</v>
      </c>
      <c r="AK37" s="13">
        <f t="shared" si="16"/>
        <v>3.1252480659761925E-2</v>
      </c>
      <c r="AL37" s="13">
        <f t="shared" si="17"/>
        <v>0.17084689427336519</v>
      </c>
      <c r="AM37" s="13">
        <f t="shared" si="18"/>
        <v>0.73547504485973059</v>
      </c>
      <c r="AN37" s="13">
        <f t="shared" si="19"/>
        <v>2.9043972026472087</v>
      </c>
      <c r="AO37" s="13">
        <f t="shared" si="20"/>
        <v>6.9901381742334179</v>
      </c>
      <c r="BA37" s="1">
        <v>0</v>
      </c>
      <c r="BB37" s="1">
        <v>15</v>
      </c>
      <c r="BC37" s="1">
        <v>82</v>
      </c>
      <c r="BD37" s="1">
        <v>353</v>
      </c>
      <c r="BE37" s="1">
        <v>1394</v>
      </c>
      <c r="BF37" s="1">
        <v>3355</v>
      </c>
    </row>
    <row r="38" spans="1:58" x14ac:dyDescent="0.25">
      <c r="A38" s="3">
        <v>4.3</v>
      </c>
      <c r="B38" s="3">
        <v>90</v>
      </c>
      <c r="C38" s="4">
        <v>310</v>
      </c>
      <c r="D38" s="4">
        <v>330</v>
      </c>
      <c r="E38" s="5">
        <v>6.5041528765672305E-2</v>
      </c>
      <c r="F38" s="5">
        <v>1.5521667521925899E-2</v>
      </c>
      <c r="G38" s="5">
        <v>9.3037999635866304E-3</v>
      </c>
      <c r="H38" s="16">
        <f t="shared" si="3"/>
        <v>0.3</v>
      </c>
      <c r="I38" s="16">
        <f t="shared" si="4"/>
        <v>1.6</v>
      </c>
      <c r="J38" s="16">
        <f t="shared" si="5"/>
        <v>7.1</v>
      </c>
      <c r="K38" s="16">
        <f t="shared" si="6"/>
        <v>20.95</v>
      </c>
      <c r="L38" s="16">
        <f t="shared" si="7"/>
        <v>76.55</v>
      </c>
      <c r="M38" s="16">
        <f t="shared" si="8"/>
        <v>164.3</v>
      </c>
      <c r="N38" s="33"/>
      <c r="O38">
        <v>6.2038722824561902E-2</v>
      </c>
      <c r="P38">
        <v>0.13350547172294899</v>
      </c>
      <c r="Q38">
        <v>0.41039439745539202</v>
      </c>
      <c r="R38">
        <v>1.17781242915115</v>
      </c>
      <c r="S38">
        <v>3.97354688561304</v>
      </c>
      <c r="T38">
        <v>15.8941875424521</v>
      </c>
      <c r="V38">
        <v>6.5041528765672305E-2</v>
      </c>
      <c r="W38">
        <v>0.260166115062689</v>
      </c>
      <c r="X38">
        <v>1.04066446025075</v>
      </c>
      <c r="Y38">
        <v>4.1626578410030204</v>
      </c>
      <c r="Z38">
        <v>16.650631364012099</v>
      </c>
      <c r="AA38">
        <v>66.602525456048397</v>
      </c>
      <c r="AC38" s="1">
        <f t="shared" si="9"/>
        <v>4.6124377100793845</v>
      </c>
      <c r="AD38" s="1">
        <f t="shared" si="10"/>
        <v>24.599667787090052</v>
      </c>
      <c r="AE38" s="1">
        <f t="shared" si="11"/>
        <v>109.16102580521211</v>
      </c>
      <c r="AF38" s="1">
        <f t="shared" si="12"/>
        <v>322.10190008721037</v>
      </c>
      <c r="AG38" s="1">
        <f t="shared" si="13"/>
        <v>1176.9403556885895</v>
      </c>
      <c r="AH38" s="1">
        <f t="shared" si="14"/>
        <v>2526.0783858868099</v>
      </c>
      <c r="AJ38" s="13">
        <f t="shared" si="15"/>
        <v>1.951245862970169E-2</v>
      </c>
      <c r="AK38" s="13">
        <f t="shared" si="16"/>
        <v>0.1040664460250757</v>
      </c>
      <c r="AL38" s="13">
        <f t="shared" si="17"/>
        <v>0.46179485423627337</v>
      </c>
      <c r="AM38" s="13">
        <f t="shared" si="18"/>
        <v>1.3626200276408347</v>
      </c>
      <c r="AN38" s="13">
        <f t="shared" si="19"/>
        <v>4.9789290270122146</v>
      </c>
      <c r="AO38" s="13">
        <f t="shared" si="20"/>
        <v>10.686323176199961</v>
      </c>
      <c r="BA38" s="1">
        <v>6</v>
      </c>
      <c r="BB38" s="1">
        <v>32</v>
      </c>
      <c r="BC38" s="1">
        <v>142</v>
      </c>
      <c r="BD38" s="1">
        <v>419</v>
      </c>
      <c r="BE38" s="1">
        <v>1531</v>
      </c>
      <c r="BF38" s="1">
        <v>3286</v>
      </c>
    </row>
    <row r="39" spans="1:58" x14ac:dyDescent="0.25">
      <c r="F39" s="1"/>
      <c r="H39" s="1"/>
      <c r="I39" s="1"/>
      <c r="J39" s="1"/>
      <c r="K39" s="1"/>
      <c r="L39" s="1"/>
      <c r="M39" s="1"/>
    </row>
    <row r="40" spans="1:58" x14ac:dyDescent="0.25">
      <c r="F40" s="1"/>
    </row>
    <row r="41" spans="1:58" x14ac:dyDescent="0.25">
      <c r="F41" s="1"/>
    </row>
    <row r="42" spans="1:58" x14ac:dyDescent="0.25">
      <c r="F42" s="1"/>
    </row>
    <row r="43" spans="1:58" x14ac:dyDescent="0.25">
      <c r="F43" s="1"/>
    </row>
  </sheetData>
  <mergeCells count="2">
    <mergeCell ref="AC1:AH1"/>
    <mergeCell ref="AJ1:A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74"/>
  <sheetViews>
    <sheetView tabSelected="1" zoomScale="85" zoomScaleNormal="85" workbookViewId="0">
      <selection activeCell="M16" sqref="M16"/>
    </sheetView>
  </sheetViews>
  <sheetFormatPr defaultRowHeight="15" x14ac:dyDescent="0.25"/>
  <cols>
    <col min="1" max="1" width="12.5703125" customWidth="1"/>
    <col min="2" max="2" width="12.7109375" customWidth="1"/>
    <col min="3" max="3" width="13.28515625" customWidth="1"/>
    <col min="4" max="4" width="14.42578125" customWidth="1"/>
    <col min="5" max="5" width="12.7109375" customWidth="1"/>
    <col min="6" max="6" width="13" customWidth="1"/>
    <col min="7" max="7" width="10.5703125" customWidth="1"/>
    <col min="8" max="8" width="10.5703125" bestFit="1" customWidth="1"/>
    <col min="9" max="9" width="13.42578125" customWidth="1"/>
    <col min="10" max="10" width="13.7109375" customWidth="1"/>
    <col min="11" max="11" width="13.42578125" customWidth="1"/>
    <col min="12" max="12" width="12.7109375" customWidth="1"/>
    <col min="13" max="13" width="12.28515625" customWidth="1"/>
    <col min="14" max="14" width="12.140625" customWidth="1"/>
    <col min="15" max="15" width="11.28515625" customWidth="1"/>
    <col min="16" max="16" width="11.7109375" customWidth="1"/>
    <col min="17" max="17" width="11.140625" customWidth="1"/>
    <col min="18" max="18" width="12" customWidth="1"/>
    <col min="19" max="19" width="13.28515625" customWidth="1"/>
    <col min="20" max="20" width="15.28515625" customWidth="1"/>
    <col min="21" max="21" width="11.7109375" customWidth="1"/>
    <col min="22" max="22" width="12.42578125" customWidth="1"/>
    <col min="23" max="23" width="11.5703125" customWidth="1"/>
    <col min="24" max="24" width="11.85546875" customWidth="1"/>
    <col min="25" max="25" width="12.28515625" customWidth="1"/>
    <col min="27" max="27" width="15.7109375" customWidth="1"/>
    <col min="28" max="28" width="14.140625" customWidth="1"/>
    <col min="29" max="29" width="15.5703125" customWidth="1"/>
    <col min="30" max="30" width="15.28515625" customWidth="1"/>
    <col min="31" max="31" width="15" customWidth="1"/>
    <col min="32" max="32" width="14.85546875" customWidth="1"/>
    <col min="35" max="35" width="14" customWidth="1"/>
    <col min="36" max="36" width="15.85546875" customWidth="1"/>
    <col min="37" max="37" width="14.85546875" customWidth="1"/>
    <col min="38" max="38" width="10.140625" customWidth="1"/>
    <col min="41" max="41" width="14.28515625" customWidth="1"/>
    <col min="42" max="42" width="14.140625" customWidth="1"/>
    <col min="43" max="43" width="13.42578125" customWidth="1"/>
  </cols>
  <sheetData>
    <row r="1" spans="1:66" x14ac:dyDescent="0.25">
      <c r="A1" t="s">
        <v>61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97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/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/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P1" s="1" t="s">
        <v>125</v>
      </c>
      <c r="AQ1" s="62" t="s">
        <v>126</v>
      </c>
      <c r="AR1" s="62"/>
      <c r="AS1" s="64" t="s">
        <v>153</v>
      </c>
      <c r="AT1" s="67"/>
      <c r="AU1" s="67"/>
      <c r="AV1" s="67"/>
      <c r="AW1" s="67"/>
      <c r="AX1" s="65"/>
      <c r="AY1" s="64" t="s">
        <v>154</v>
      </c>
      <c r="AZ1" s="67"/>
      <c r="BA1" s="67"/>
      <c r="BB1" s="67"/>
      <c r="BC1" s="67"/>
      <c r="BD1" s="65"/>
      <c r="BE1" s="64" t="s">
        <v>159</v>
      </c>
      <c r="BF1" s="67"/>
      <c r="BG1" s="67"/>
      <c r="BH1" s="67"/>
      <c r="BI1" s="67"/>
      <c r="BJ1" s="65"/>
    </row>
    <row r="2" spans="1:66" x14ac:dyDescent="0.25">
      <c r="A2" s="48" t="s">
        <v>68</v>
      </c>
      <c r="B2" s="51">
        <v>479.999977324263</v>
      </c>
      <c r="C2" s="46">
        <v>0.21698840087687299</v>
      </c>
      <c r="D2" s="46">
        <v>6.9417065E-2</v>
      </c>
      <c r="E2" s="46">
        <v>5.3667272000000002E-2</v>
      </c>
      <c r="F2" s="46">
        <f>AH2/$B2</f>
        <v>0.22083334376574756</v>
      </c>
      <c r="G2" s="46">
        <f t="shared" ref="F2:K17" si="0">AI2/$B2</f>
        <v>8.7479170799280563</v>
      </c>
      <c r="H2" s="46">
        <f t="shared" si="0"/>
        <v>80.606253807929605</v>
      </c>
      <c r="I2" s="46">
        <f t="shared" si="0"/>
        <v>167.91875793266999</v>
      </c>
      <c r="J2" s="46">
        <f t="shared" si="0"/>
        <v>148.08334032895601</v>
      </c>
      <c r="K2" s="46">
        <f t="shared" si="0"/>
        <v>47.883335595395678</v>
      </c>
      <c r="L2" s="1"/>
      <c r="M2" s="46">
        <v>0.120912157052691</v>
      </c>
      <c r="N2" s="46">
        <v>0.33180424301834099</v>
      </c>
      <c r="O2" s="46">
        <v>1.1106730436618699</v>
      </c>
      <c r="P2" s="46">
        <v>4.4426921746474797</v>
      </c>
      <c r="Q2" s="46">
        <v>17.770768698589901</v>
      </c>
      <c r="R2" s="46">
        <v>71.083074794359803</v>
      </c>
      <c r="S2" s="46"/>
      <c r="T2" s="46">
        <v>0.21698840087687299</v>
      </c>
      <c r="U2" s="46">
        <v>0.86795360350749196</v>
      </c>
      <c r="V2" s="46">
        <v>3.47181441402997</v>
      </c>
      <c r="W2" s="46">
        <v>13.8872576561198</v>
      </c>
      <c r="X2" s="46">
        <v>55.549030624479499</v>
      </c>
      <c r="Y2" s="46">
        <v>222.196122497918</v>
      </c>
      <c r="AA2" s="13">
        <v>0.118359313673794</v>
      </c>
      <c r="AB2" s="13">
        <v>0.30693782510638401</v>
      </c>
      <c r="AC2" s="13">
        <v>0.85867635779576901</v>
      </c>
      <c r="AD2" s="13">
        <v>3.4347054311830698</v>
      </c>
      <c r="AE2" s="13">
        <v>13.738821724732301</v>
      </c>
      <c r="AF2" s="13">
        <v>54.955286898929202</v>
      </c>
      <c r="AH2" s="1">
        <v>106</v>
      </c>
      <c r="AI2" s="1">
        <v>4199</v>
      </c>
      <c r="AJ2" s="1">
        <v>38691</v>
      </c>
      <c r="AK2" s="1">
        <v>80601</v>
      </c>
      <c r="AL2" s="1">
        <v>71080</v>
      </c>
      <c r="AM2" s="1">
        <v>22984</v>
      </c>
      <c r="AP2" s="1"/>
      <c r="AQ2" s="58" t="s">
        <v>127</v>
      </c>
      <c r="AR2" s="1" t="s">
        <v>128</v>
      </c>
      <c r="AS2" s="6" t="s">
        <v>119</v>
      </c>
      <c r="AT2" s="68" t="s">
        <v>120</v>
      </c>
      <c r="AU2" s="68" t="s">
        <v>121</v>
      </c>
      <c r="AV2" s="68" t="s">
        <v>122</v>
      </c>
      <c r="AW2" s="68" t="s">
        <v>123</v>
      </c>
      <c r="AX2" s="7" t="s">
        <v>124</v>
      </c>
      <c r="AY2" s="6" t="s">
        <v>119</v>
      </c>
      <c r="AZ2" s="68" t="s">
        <v>120</v>
      </c>
      <c r="BA2" s="68" t="s">
        <v>121</v>
      </c>
      <c r="BB2" s="68" t="s">
        <v>122</v>
      </c>
      <c r="BC2" s="68" t="s">
        <v>123</v>
      </c>
      <c r="BD2" s="7" t="s">
        <v>124</v>
      </c>
      <c r="BE2" s="6" t="s">
        <v>119</v>
      </c>
      <c r="BF2" s="68" t="s">
        <v>120</v>
      </c>
      <c r="BG2" s="68" t="s">
        <v>121</v>
      </c>
      <c r="BH2" s="68" t="s">
        <v>122</v>
      </c>
      <c r="BI2" s="68" t="s">
        <v>123</v>
      </c>
      <c r="BJ2" s="7" t="s">
        <v>124</v>
      </c>
    </row>
    <row r="3" spans="1:66" x14ac:dyDescent="0.25">
      <c r="A3" s="1" t="s">
        <v>69</v>
      </c>
      <c r="B3" s="12">
        <v>49.999977324263</v>
      </c>
      <c r="C3" s="13">
        <v>0.103785400341108</v>
      </c>
      <c r="D3" s="13">
        <v>9.3097685505032102E-3</v>
      </c>
      <c r="E3" s="13">
        <v>2.6623638531804101E-3</v>
      </c>
      <c r="F3" s="13">
        <f t="shared" si="0"/>
        <v>0.1400000634920924</v>
      </c>
      <c r="G3" s="13">
        <f t="shared" si="0"/>
        <v>0.64000029024956528</v>
      </c>
      <c r="H3" s="13">
        <f t="shared" si="0"/>
        <v>2.9600013424042393</v>
      </c>
      <c r="I3" s="13">
        <f t="shared" si="0"/>
        <v>9.5000043083919845</v>
      </c>
      <c r="J3" s="13">
        <f t="shared" si="0"/>
        <v>37.660017079372857</v>
      </c>
      <c r="K3" s="13">
        <f t="shared" si="0"/>
        <v>117.32005320637343</v>
      </c>
      <c r="L3" s="1"/>
      <c r="M3" s="13">
        <v>8.7491372398812203E-2</v>
      </c>
      <c r="N3" s="13">
        <v>0.209281252002183</v>
      </c>
      <c r="O3" s="13">
        <v>0.53107420883976697</v>
      </c>
      <c r="P3" s="13">
        <v>1.1427850401592301</v>
      </c>
      <c r="Q3" s="13">
        <v>2.42627671242104</v>
      </c>
      <c r="R3" s="13">
        <v>9.5332029957152908</v>
      </c>
      <c r="S3" s="13"/>
      <c r="T3" s="13">
        <v>0.103785400341108</v>
      </c>
      <c r="U3" s="13">
        <v>0.41514160136443401</v>
      </c>
      <c r="V3" s="13">
        <v>1.66056640545773</v>
      </c>
      <c r="W3" s="13">
        <v>6.6422656218309504</v>
      </c>
      <c r="X3" s="13">
        <v>26.569062487323801</v>
      </c>
      <c r="Y3" s="13">
        <v>106.27624994929501</v>
      </c>
      <c r="AA3" s="13">
        <v>0.103757048244818</v>
      </c>
      <c r="AB3" s="13">
        <v>0.14698858143442201</v>
      </c>
      <c r="AC3" s="13">
        <v>0.24910673933583599</v>
      </c>
      <c r="AD3" s="13">
        <v>0.37211833067852301</v>
      </c>
      <c r="AE3" s="13">
        <v>0.69718753395348498</v>
      </c>
      <c r="AF3" s="13">
        <v>2.7262605856567399</v>
      </c>
      <c r="AH3" s="1">
        <v>7</v>
      </c>
      <c r="AI3" s="1">
        <v>32</v>
      </c>
      <c r="AJ3" s="1">
        <v>148</v>
      </c>
      <c r="AK3" s="1">
        <v>475</v>
      </c>
      <c r="AL3" s="1">
        <v>1883</v>
      </c>
      <c r="AM3" s="1">
        <v>5866</v>
      </c>
      <c r="AP3" s="1" t="s">
        <v>129</v>
      </c>
      <c r="AQ3" s="38">
        <f>C51</f>
        <v>59.771359364921274</v>
      </c>
      <c r="AR3" s="16">
        <f>I51</f>
        <v>82.741708388046291</v>
      </c>
      <c r="AS3" s="69">
        <f>N51</f>
        <v>116.93261562323761</v>
      </c>
      <c r="AT3" s="70">
        <f>R51</f>
        <v>959.78668019866313</v>
      </c>
      <c r="AU3" s="70">
        <f>X51</f>
        <v>461.55729726895055</v>
      </c>
      <c r="AV3" s="70">
        <f>AC51</f>
        <v>108.37543690012475</v>
      </c>
      <c r="AW3" s="70">
        <f>AJ51</f>
        <v>88.079662396381281</v>
      </c>
      <c r="AX3" s="71">
        <f>AP51</f>
        <v>44.368440193823908</v>
      </c>
      <c r="AY3" s="69">
        <f>N111</f>
        <v>60.357871847966301</v>
      </c>
      <c r="AZ3" s="70">
        <f>S111</f>
        <v>138.16504982056276</v>
      </c>
      <c r="BA3" s="70">
        <f>X111</f>
        <v>646.45025147656156</v>
      </c>
      <c r="BB3" s="70">
        <f>AD111</f>
        <v>1783.224884453562</v>
      </c>
      <c r="BC3" s="70">
        <f>AJ111</f>
        <v>218.81301267115757</v>
      </c>
      <c r="BD3" s="70">
        <f>AP111</f>
        <v>90.381419208010186</v>
      </c>
      <c r="BE3" s="69">
        <f>N172</f>
        <v>58.391203520162868</v>
      </c>
      <c r="BF3" s="70">
        <f>S172</f>
        <v>79.467291704244502</v>
      </c>
      <c r="BG3" s="70">
        <f>X172</f>
        <v>231.04579208813777</v>
      </c>
      <c r="BH3" s="70">
        <f>AD172</f>
        <v>115.7550460257841</v>
      </c>
      <c r="BI3" s="70">
        <f>AJ172</f>
        <v>72.070244738157001</v>
      </c>
      <c r="BJ3" s="70">
        <f>AP172</f>
        <v>71.626833639268611</v>
      </c>
      <c r="BL3" s="33"/>
      <c r="BM3" s="33"/>
    </row>
    <row r="4" spans="1:66" x14ac:dyDescent="0.25">
      <c r="A4" s="1" t="s">
        <v>70</v>
      </c>
      <c r="B4" s="12">
        <v>99.999977324263</v>
      </c>
      <c r="C4" s="13">
        <v>1.7343593585544201E-2</v>
      </c>
      <c r="D4" s="13">
        <v>3.7541223526986601E-3</v>
      </c>
      <c r="E4" s="13">
        <v>3.5652204100954199E-3</v>
      </c>
      <c r="F4" s="13">
        <f t="shared" si="0"/>
        <v>0</v>
      </c>
      <c r="G4" s="13">
        <f t="shared" si="0"/>
        <v>3.0000006802722641E-2</v>
      </c>
      <c r="H4" s="13">
        <f t="shared" si="0"/>
        <v>0.17000003854876164</v>
      </c>
      <c r="I4" s="13">
        <f t="shared" si="0"/>
        <v>2.2100005011339015</v>
      </c>
      <c r="J4" s="13">
        <f t="shared" si="0"/>
        <v>29.650006723357546</v>
      </c>
      <c r="K4" s="13">
        <f t="shared" si="0"/>
        <v>148.97003378005306</v>
      </c>
      <c r="L4" s="1"/>
      <c r="M4" s="1">
        <v>0</v>
      </c>
      <c r="N4" s="13">
        <v>4.8899641067386798E-2</v>
      </c>
      <c r="O4" s="13">
        <v>0.137793372793407</v>
      </c>
      <c r="P4" s="13">
        <v>0.30126664954396598</v>
      </c>
      <c r="Q4" s="13">
        <v>0.96105532229085699</v>
      </c>
      <c r="R4" s="13">
        <v>3.84422128916342</v>
      </c>
      <c r="S4" s="13"/>
      <c r="T4" s="13"/>
      <c r="U4" s="13">
        <v>6.9374374342176998E-2</v>
      </c>
      <c r="V4" s="13">
        <v>0.27749749736870799</v>
      </c>
      <c r="W4" s="13">
        <v>1.10998998947483</v>
      </c>
      <c r="X4" s="13">
        <v>4.4399599578993296</v>
      </c>
      <c r="Y4" s="13">
        <v>17.759839831597301</v>
      </c>
      <c r="AA4" s="13"/>
      <c r="AB4" s="13">
        <v>4.8899641067386798E-2</v>
      </c>
      <c r="AC4" s="13">
        <v>0.11369963117038601</v>
      </c>
      <c r="AD4" s="13">
        <v>0.28479190741614602</v>
      </c>
      <c r="AE4" s="13">
        <v>0.91269642498442904</v>
      </c>
      <c r="AF4" s="13">
        <v>3.65078569993771</v>
      </c>
      <c r="AH4" s="1">
        <v>0</v>
      </c>
      <c r="AI4" s="1">
        <v>3</v>
      </c>
      <c r="AJ4" s="1">
        <v>17</v>
      </c>
      <c r="AK4" s="1">
        <v>221</v>
      </c>
      <c r="AL4" s="1">
        <v>2965</v>
      </c>
      <c r="AM4" s="1">
        <v>14897</v>
      </c>
      <c r="AP4" s="1" t="s">
        <v>44</v>
      </c>
      <c r="AQ4" s="38">
        <f>C52</f>
        <v>50.975827520846039</v>
      </c>
      <c r="AR4" s="16">
        <f>I52</f>
        <v>57.082656341455142</v>
      </c>
      <c r="AS4" s="69">
        <f>N52</f>
        <v>7581.9978725007923</v>
      </c>
      <c r="AT4" s="72">
        <f>R52</f>
        <v>30.408553062363779</v>
      </c>
      <c r="AU4" s="70">
        <f>X52</f>
        <v>260.23823703863144</v>
      </c>
      <c r="AV4" s="70">
        <f>AC52</f>
        <v>69.910590305413976</v>
      </c>
      <c r="AW4" s="70">
        <f>AJ52</f>
        <v>61.528280214030524</v>
      </c>
      <c r="AX4" s="71">
        <f>AP52</f>
        <v>30.874720248046778</v>
      </c>
      <c r="AY4" s="69">
        <f t="shared" ref="AY4:AY5" si="1">N112</f>
        <v>51.699240848331911</v>
      </c>
      <c r="AZ4" s="70">
        <f t="shared" ref="AZ4:AZ5" si="2">S112</f>
        <v>96.111163276173798</v>
      </c>
      <c r="BA4" s="70">
        <f>X112</f>
        <v>173.91017968041791</v>
      </c>
      <c r="BB4" s="70">
        <f>AD112</f>
        <v>310.56647060366123</v>
      </c>
      <c r="BC4" s="70">
        <f>AJ112</f>
        <v>312.51953233360661</v>
      </c>
      <c r="BD4" s="70">
        <f>AP112</f>
        <v>314.25874130979372</v>
      </c>
      <c r="BE4" s="69">
        <f>N173</f>
        <v>49.923898545502375</v>
      </c>
      <c r="BF4" s="70">
        <f>S173</f>
        <v>48.794054820337777</v>
      </c>
      <c r="BG4" s="70">
        <f>X173</f>
        <v>149.40478863896715</v>
      </c>
      <c r="BH4" s="70">
        <f>AD173</f>
        <v>80.20519123008792</v>
      </c>
      <c r="BI4" s="70">
        <f>AJ173</f>
        <v>57.374338688814298</v>
      </c>
      <c r="BJ4" s="70">
        <f>AP173</f>
        <v>59.171738787855084</v>
      </c>
      <c r="BL4" s="33"/>
      <c r="BM4" s="33"/>
    </row>
    <row r="5" spans="1:66" x14ac:dyDescent="0.25">
      <c r="A5" s="1" t="s">
        <v>71</v>
      </c>
      <c r="B5" s="12">
        <v>199.999977324263</v>
      </c>
      <c r="C5" s="13">
        <v>7.6130482621443903E-3</v>
      </c>
      <c r="D5" s="13">
        <v>4.6194348205836396E-3</v>
      </c>
      <c r="E5" s="13">
        <v>4.7748825034219702E-3</v>
      </c>
      <c r="F5" s="13">
        <f t="shared" si="0"/>
        <v>0</v>
      </c>
      <c r="G5" s="13">
        <f t="shared" si="0"/>
        <v>0</v>
      </c>
      <c r="H5" s="13">
        <f t="shared" si="0"/>
        <v>4.0000004535147911E-2</v>
      </c>
      <c r="I5" s="13">
        <f t="shared" si="0"/>
        <v>3.0800003492063892</v>
      </c>
      <c r="J5" s="13">
        <f t="shared" si="0"/>
        <v>51.075005790816995</v>
      </c>
      <c r="K5" s="13">
        <f t="shared" si="0"/>
        <v>148.6900168582786</v>
      </c>
      <c r="L5" s="1"/>
      <c r="M5" s="1">
        <v>0</v>
      </c>
      <c r="N5" s="1">
        <v>0</v>
      </c>
      <c r="O5" s="13">
        <v>8.7334190395029695E-2</v>
      </c>
      <c r="P5" s="13">
        <v>0.33191630848951997</v>
      </c>
      <c r="Q5" s="13">
        <v>1.1911345040895001</v>
      </c>
      <c r="R5" s="13">
        <v>4.7303012562776399</v>
      </c>
      <c r="S5" s="13"/>
      <c r="T5" s="13"/>
      <c r="U5" s="13"/>
      <c r="V5" s="13">
        <v>0.107860658537048</v>
      </c>
      <c r="W5" s="13">
        <v>0.48723508877724098</v>
      </c>
      <c r="X5" s="13">
        <v>1.9489403551089599</v>
      </c>
      <c r="Y5" s="13">
        <v>7.7957614204358503</v>
      </c>
      <c r="AA5" s="13"/>
      <c r="AB5" s="13"/>
      <c r="AC5" s="13">
        <v>8.4555204603017103E-2</v>
      </c>
      <c r="AD5" s="13">
        <v>0.332343247681325</v>
      </c>
      <c r="AE5" s="13">
        <v>1.22806705924614</v>
      </c>
      <c r="AF5" s="13">
        <v>4.8894796835041001</v>
      </c>
      <c r="AH5" s="1">
        <v>0</v>
      </c>
      <c r="AI5" s="1">
        <v>0</v>
      </c>
      <c r="AJ5" s="1">
        <v>8</v>
      </c>
      <c r="AK5" s="1">
        <v>616</v>
      </c>
      <c r="AL5" s="1">
        <v>10215</v>
      </c>
      <c r="AM5" s="1">
        <v>29738</v>
      </c>
      <c r="AP5" s="1" t="s">
        <v>45</v>
      </c>
      <c r="AQ5" s="38">
        <f>C53</f>
        <v>53.85962266604443</v>
      </c>
      <c r="AR5" s="16">
        <f>I53</f>
        <v>57.127047389855939</v>
      </c>
      <c r="AS5" s="73">
        <f>N53</f>
        <v>4783627911326143</v>
      </c>
      <c r="AT5" s="72">
        <f>R53</f>
        <v>38.717226786254329</v>
      </c>
      <c r="AU5" s="70">
        <f>X53</f>
        <v>121.74545904743421</v>
      </c>
      <c r="AV5" s="70">
        <f>AC53</f>
        <v>65.689050473140142</v>
      </c>
      <c r="AW5" s="70">
        <f>AJ53</f>
        <v>66.633604683020266</v>
      </c>
      <c r="AX5" s="71">
        <f>AP53</f>
        <v>35.883958869425982</v>
      </c>
      <c r="AY5" s="69">
        <f t="shared" si="1"/>
        <v>55.198493565385419</v>
      </c>
      <c r="AZ5" s="70">
        <f t="shared" si="2"/>
        <v>71.608065485549758</v>
      </c>
      <c r="BA5" s="70">
        <f>X113</f>
        <v>84.329706386153759</v>
      </c>
      <c r="BB5" s="70">
        <f>AD113</f>
        <v>61.910991060936723</v>
      </c>
      <c r="BC5" s="70">
        <f>AJ113</f>
        <v>0</v>
      </c>
      <c r="BD5" s="70">
        <f>AP113</f>
        <v>0</v>
      </c>
      <c r="BE5" s="69">
        <f>N174</f>
        <v>52.813278316920893</v>
      </c>
      <c r="BF5" s="70">
        <f>S174</f>
        <v>41.961789317042637</v>
      </c>
      <c r="BG5" s="70">
        <f>X174</f>
        <v>54.340622531868959</v>
      </c>
      <c r="BH5" s="70">
        <f>AD174</f>
        <v>61.369524575800654</v>
      </c>
      <c r="BI5" s="70">
        <f>AJ174</f>
        <v>0</v>
      </c>
      <c r="BJ5" s="70">
        <f>AP174</f>
        <v>0</v>
      </c>
      <c r="BL5" s="33"/>
      <c r="BM5" s="33"/>
    </row>
    <row r="6" spans="1:66" x14ac:dyDescent="0.25">
      <c r="A6" s="1" t="s">
        <v>72</v>
      </c>
      <c r="B6" s="12">
        <v>149.999977324263</v>
      </c>
      <c r="C6" s="13">
        <v>9.5590751489404505E-2</v>
      </c>
      <c r="D6" s="13">
        <v>4.1750172724988703E-3</v>
      </c>
      <c r="E6" s="13">
        <v>3.0008966016067001E-3</v>
      </c>
      <c r="F6" s="13">
        <f t="shared" si="0"/>
        <v>2.6666670697909411E-2</v>
      </c>
      <c r="G6" s="13">
        <f t="shared" si="0"/>
        <v>4.6666673721341465E-2</v>
      </c>
      <c r="H6" s="13">
        <f t="shared" si="0"/>
        <v>0.28666671000252614</v>
      </c>
      <c r="I6" s="13">
        <f t="shared" si="0"/>
        <v>2.1666669942051393</v>
      </c>
      <c r="J6" s="13">
        <f t="shared" si="0"/>
        <v>31.580004773999217</v>
      </c>
      <c r="K6" s="13">
        <f t="shared" si="0"/>
        <v>140.93335463845122</v>
      </c>
      <c r="L6" s="1"/>
      <c r="M6" s="13">
        <v>9.5590751489404505E-2</v>
      </c>
      <c r="N6" s="13">
        <v>0.38236300595761802</v>
      </c>
      <c r="O6" s="13">
        <v>0.30150636762101002</v>
      </c>
      <c r="P6" s="13">
        <v>0.40942486346857698</v>
      </c>
      <c r="Q6" s="13">
        <v>1.08441649984316</v>
      </c>
      <c r="R6" s="13">
        <v>4.2752176870388396</v>
      </c>
      <c r="S6" s="13"/>
      <c r="T6" s="13">
        <v>9.5590751489404505E-2</v>
      </c>
      <c r="U6" s="13">
        <v>0.38236300595761802</v>
      </c>
      <c r="V6" s="13">
        <v>1.5294520238304701</v>
      </c>
      <c r="W6" s="13">
        <v>6.1178080953218803</v>
      </c>
      <c r="X6" s="13">
        <v>24.4712323812875</v>
      </c>
      <c r="Y6" s="13">
        <v>97.884929525150199</v>
      </c>
      <c r="AA6" s="13">
        <v>9.5590751489404505E-2</v>
      </c>
      <c r="AB6" s="13">
        <v>0.38236300595761802</v>
      </c>
      <c r="AC6" s="13">
        <v>0.161126362185676</v>
      </c>
      <c r="AD6" s="13">
        <v>0.28514455549158801</v>
      </c>
      <c r="AE6" s="13">
        <v>0.77490970037964602</v>
      </c>
      <c r="AF6" s="13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1"/>
      <c r="AQ6" s="59"/>
      <c r="AR6" s="16"/>
      <c r="AS6" s="16"/>
      <c r="AT6" s="16"/>
      <c r="AU6" s="16"/>
      <c r="AV6" s="16"/>
      <c r="AW6" s="16"/>
      <c r="AX6" s="16"/>
    </row>
    <row r="7" spans="1:66" x14ac:dyDescent="0.25">
      <c r="B7" s="12"/>
      <c r="F7" s="13"/>
      <c r="G7" s="13"/>
      <c r="H7" s="13"/>
      <c r="I7" s="13"/>
      <c r="J7" s="13"/>
      <c r="K7" s="13"/>
      <c r="M7" s="13"/>
      <c r="N7" s="13"/>
      <c r="O7" s="13"/>
      <c r="P7" s="13"/>
      <c r="Q7" s="13"/>
      <c r="R7" s="13"/>
      <c r="S7" s="13"/>
      <c r="AA7" s="13"/>
      <c r="AB7" s="13"/>
      <c r="AC7" s="13"/>
      <c r="AD7" s="13"/>
      <c r="AE7" s="13"/>
      <c r="AF7" s="13"/>
      <c r="AP7" s="1"/>
      <c r="AQ7" s="1"/>
      <c r="AR7" s="1"/>
      <c r="AS7" s="1"/>
      <c r="AT7" s="1"/>
      <c r="AU7" s="1"/>
      <c r="AV7" s="1"/>
      <c r="AW7" s="1"/>
      <c r="AX7" s="1"/>
    </row>
    <row r="8" spans="1:66" x14ac:dyDescent="0.25">
      <c r="A8" s="1" t="s">
        <v>131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97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M8" s="1" t="s">
        <v>31</v>
      </c>
      <c r="N8" s="1" t="s">
        <v>32</v>
      </c>
      <c r="O8" s="1" t="s">
        <v>33</v>
      </c>
      <c r="P8" s="1" t="s">
        <v>34</v>
      </c>
      <c r="Q8" s="1" t="s">
        <v>35</v>
      </c>
      <c r="R8" s="1" t="s">
        <v>36</v>
      </c>
      <c r="T8" t="s">
        <v>88</v>
      </c>
      <c r="U8" t="s">
        <v>89</v>
      </c>
      <c r="V8" t="s">
        <v>90</v>
      </c>
      <c r="W8" t="s">
        <v>91</v>
      </c>
      <c r="X8" t="s">
        <v>92</v>
      </c>
      <c r="Y8" t="s">
        <v>93</v>
      </c>
      <c r="AA8" s="1" t="s">
        <v>62</v>
      </c>
      <c r="AB8" s="1" t="s">
        <v>63</v>
      </c>
      <c r="AC8" s="1" t="s">
        <v>64</v>
      </c>
      <c r="AD8" s="1" t="s">
        <v>65</v>
      </c>
      <c r="AE8" s="1" t="s">
        <v>66</v>
      </c>
      <c r="AF8" s="1" t="s">
        <v>67</v>
      </c>
      <c r="AH8" s="1" t="s">
        <v>25</v>
      </c>
      <c r="AI8" s="1" t="s">
        <v>26</v>
      </c>
      <c r="AJ8" s="1" t="s">
        <v>27</v>
      </c>
      <c r="AK8" s="1" t="s">
        <v>28</v>
      </c>
      <c r="AL8" s="1" t="s">
        <v>29</v>
      </c>
      <c r="AM8" s="1" t="s">
        <v>30</v>
      </c>
      <c r="AR8" s="33"/>
    </row>
    <row r="9" spans="1:66" x14ac:dyDescent="0.25">
      <c r="A9" s="48" t="s">
        <v>132</v>
      </c>
      <c r="B9" s="49">
        <v>60</v>
      </c>
      <c r="C9" s="50">
        <v>1.0016323215471E-4</v>
      </c>
      <c r="D9" s="50">
        <v>9.6719568367751498E-5</v>
      </c>
      <c r="E9" s="50">
        <v>9.6709486732715302E-5</v>
      </c>
      <c r="F9" s="46">
        <f>AH9/$B9</f>
        <v>0</v>
      </c>
      <c r="G9" s="46">
        <f t="shared" si="0"/>
        <v>0</v>
      </c>
      <c r="H9" s="46">
        <f t="shared" si="0"/>
        <v>0</v>
      </c>
      <c r="I9" s="46">
        <f t="shared" si="0"/>
        <v>0</v>
      </c>
      <c r="J9" s="46">
        <f t="shared" si="0"/>
        <v>0</v>
      </c>
      <c r="K9" s="46">
        <f t="shared" si="0"/>
        <v>0</v>
      </c>
      <c r="L9" s="1"/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/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</row>
    <row r="10" spans="1:66" x14ac:dyDescent="0.25">
      <c r="A10" s="36" t="s">
        <v>133</v>
      </c>
      <c r="B10" s="52">
        <v>60</v>
      </c>
      <c r="C10" s="54">
        <v>3.6342641577993003E-2</v>
      </c>
      <c r="D10" s="54">
        <v>3.4811107055907398E-2</v>
      </c>
      <c r="E10" s="54">
        <v>3.48162025725475E-2</v>
      </c>
      <c r="F10" s="37">
        <f>AH10/$B10</f>
        <v>0</v>
      </c>
      <c r="G10" s="37">
        <f t="shared" ref="G10" si="3">AI10/$B10</f>
        <v>0.18333333333333332</v>
      </c>
      <c r="H10" s="37">
        <f>AJ10/$B10</f>
        <v>3.3166666666666669</v>
      </c>
      <c r="I10" s="37">
        <f>AK10/$B10</f>
        <v>276.28333333333336</v>
      </c>
      <c r="J10" s="37">
        <f t="shared" ref="J10" si="4">AL10/$B10</f>
        <v>197.53333333333333</v>
      </c>
      <c r="K10" s="37">
        <f>AM10/$B10</f>
        <v>251.98333333333332</v>
      </c>
      <c r="M10">
        <v>0</v>
      </c>
      <c r="N10">
        <v>8.5195492688122099E-2</v>
      </c>
      <c r="O10">
        <v>0.283546008743847</v>
      </c>
      <c r="P10">
        <v>2.2279108515780699</v>
      </c>
      <c r="Q10">
        <v>8.9116434063122991</v>
      </c>
      <c r="R10">
        <v>35.646573625249196</v>
      </c>
      <c r="T10">
        <v>0</v>
      </c>
      <c r="U10">
        <v>0.108402639333512</v>
      </c>
      <c r="V10">
        <v>0.43361055733404802</v>
      </c>
      <c r="W10">
        <v>2.3259290609915499</v>
      </c>
      <c r="X10">
        <v>9.3037162439662104</v>
      </c>
      <c r="Y10">
        <v>37.214864975864799</v>
      </c>
      <c r="Z10" s="1"/>
      <c r="AA10">
        <v>0</v>
      </c>
      <c r="AB10">
        <v>8.1549751061042799E-2</v>
      </c>
      <c r="AC10">
        <v>0.28905210154241401</v>
      </c>
      <c r="AD10">
        <v>2.22823696464304</v>
      </c>
      <c r="AE10">
        <v>8.9129478585721706</v>
      </c>
      <c r="AF10">
        <v>35.651791434288697</v>
      </c>
      <c r="AG10" s="1"/>
      <c r="AH10" s="1">
        <v>0</v>
      </c>
      <c r="AI10" s="1">
        <v>11</v>
      </c>
      <c r="AJ10" s="1">
        <v>199</v>
      </c>
      <c r="AK10" s="1">
        <v>16577</v>
      </c>
      <c r="AL10" s="1">
        <v>11852</v>
      </c>
      <c r="AM10" s="1">
        <v>15119</v>
      </c>
      <c r="BB10" s="70"/>
      <c r="BC10" s="70"/>
      <c r="BD10" s="70"/>
      <c r="BE10" s="70"/>
      <c r="BF10" s="70"/>
      <c r="BH10" s="70"/>
      <c r="BI10" s="70"/>
      <c r="BJ10" s="70"/>
      <c r="BK10" s="70"/>
      <c r="BL10" s="70"/>
      <c r="BN10" s="70"/>
    </row>
    <row r="11" spans="1:66" x14ac:dyDescent="0.25">
      <c r="A11" s="36" t="s">
        <v>134</v>
      </c>
      <c r="B11" s="52">
        <v>60</v>
      </c>
      <c r="C11" s="54">
        <v>1.03130225848837E-2</v>
      </c>
      <c r="D11" s="54">
        <v>7.7748894996124401E-3</v>
      </c>
      <c r="E11" s="54">
        <v>7.6956360133416798E-3</v>
      </c>
      <c r="F11" s="37">
        <f>AH11/$B11</f>
        <v>0</v>
      </c>
      <c r="G11" s="37">
        <f t="shared" si="0"/>
        <v>0</v>
      </c>
      <c r="H11" s="37">
        <f t="shared" si="0"/>
        <v>0.05</v>
      </c>
      <c r="I11" s="37">
        <f>AK11/$B11</f>
        <v>5.6</v>
      </c>
      <c r="J11" s="37">
        <f t="shared" si="0"/>
        <v>195.73333333333332</v>
      </c>
      <c r="K11" s="37">
        <f>AM11/$B11</f>
        <v>256.38333333333333</v>
      </c>
      <c r="M11" s="1">
        <v>0</v>
      </c>
      <c r="N11" s="1">
        <v>0</v>
      </c>
      <c r="O11" s="1">
        <v>0.15462933529162801</v>
      </c>
      <c r="P11" s="1">
        <v>0.50349909973876406</v>
      </c>
      <c r="Q11" s="1">
        <v>1.99037171190078</v>
      </c>
      <c r="R11" s="1">
        <v>7.9614868476031404</v>
      </c>
      <c r="T11" s="1">
        <v>0</v>
      </c>
      <c r="U11" s="1">
        <v>0</v>
      </c>
      <c r="V11" s="1">
        <v>0.15462933529162801</v>
      </c>
      <c r="W11" s="1">
        <v>0.66003344543256104</v>
      </c>
      <c r="X11" s="1">
        <v>2.6401337817302402</v>
      </c>
      <c r="Y11" s="1">
        <v>10.5605351269209</v>
      </c>
      <c r="Z11" s="1"/>
      <c r="AA11" s="1">
        <v>0</v>
      </c>
      <c r="AB11" s="1">
        <v>0</v>
      </c>
      <c r="AC11" s="1">
        <v>0.15462933529162801</v>
      </c>
      <c r="AD11" s="1">
        <v>0.49734210593101602</v>
      </c>
      <c r="AE11" s="1">
        <v>1.97008281941547</v>
      </c>
      <c r="AF11" s="1">
        <v>7.8803312776618801</v>
      </c>
      <c r="AG11" s="1"/>
      <c r="AH11" s="1">
        <v>0</v>
      </c>
      <c r="AI11" s="1">
        <v>0</v>
      </c>
      <c r="AJ11" s="1">
        <v>3</v>
      </c>
      <c r="AK11" s="1">
        <v>336</v>
      </c>
      <c r="AL11" s="1">
        <v>11744</v>
      </c>
      <c r="AM11" s="1">
        <v>15383</v>
      </c>
      <c r="BB11" s="70"/>
      <c r="BC11" s="70"/>
      <c r="BD11" s="70"/>
      <c r="BE11" s="70"/>
      <c r="BF11" s="70"/>
      <c r="BH11" s="70"/>
      <c r="BI11" s="70"/>
      <c r="BJ11" s="70"/>
      <c r="BK11" s="70"/>
      <c r="BL11" s="70"/>
      <c r="BN11" s="70"/>
    </row>
    <row r="12" spans="1:66" x14ac:dyDescent="0.25">
      <c r="A12" s="36" t="s">
        <v>135</v>
      </c>
      <c r="B12" s="52">
        <v>60</v>
      </c>
      <c r="C12" s="54">
        <v>3.3894640450781402E-2</v>
      </c>
      <c r="D12" s="54">
        <v>2.45471667611072E-2</v>
      </c>
      <c r="E12" s="54">
        <v>2.45122321428459E-2</v>
      </c>
      <c r="F12" s="37">
        <f t="shared" ref="F12:F14" si="5">AH12/$B12</f>
        <v>0</v>
      </c>
      <c r="G12" s="37">
        <f t="shared" si="0"/>
        <v>3.3333333333333333E-2</v>
      </c>
      <c r="H12" s="37">
        <f t="shared" si="0"/>
        <v>1.95</v>
      </c>
      <c r="I12" s="37">
        <f t="shared" si="0"/>
        <v>82.25</v>
      </c>
      <c r="J12" s="37">
        <f t="shared" si="0"/>
        <v>171.48333333333332</v>
      </c>
      <c r="K12" s="37">
        <f>AM12/$B12</f>
        <v>176.46666666666667</v>
      </c>
      <c r="M12">
        <v>0</v>
      </c>
      <c r="N12">
        <v>0.10729609555229699</v>
      </c>
      <c r="O12">
        <v>0.40212515642043301</v>
      </c>
      <c r="P12">
        <v>1.5710186727108599</v>
      </c>
      <c r="Q12">
        <v>6.2840746908434504</v>
      </c>
      <c r="R12">
        <v>25.136298763373802</v>
      </c>
      <c r="T12">
        <v>0</v>
      </c>
      <c r="U12">
        <v>0.114178758147192</v>
      </c>
      <c r="V12">
        <v>0.54231424721250299</v>
      </c>
      <c r="W12">
        <v>2.1692569888500102</v>
      </c>
      <c r="X12">
        <v>8.6770279554000496</v>
      </c>
      <c r="Y12">
        <v>34.708111821600198</v>
      </c>
      <c r="Z12" s="1"/>
      <c r="AA12">
        <v>0</v>
      </c>
      <c r="AB12">
        <v>0.10729609555229699</v>
      </c>
      <c r="AC12">
        <v>0.39659577629574799</v>
      </c>
      <c r="AD12">
        <v>1.5687828571421401</v>
      </c>
      <c r="AE12">
        <v>6.2751314285685602</v>
      </c>
      <c r="AF12">
        <v>25.100525714274202</v>
      </c>
      <c r="AG12" s="1"/>
      <c r="AH12" s="1">
        <v>0</v>
      </c>
      <c r="AI12" s="1">
        <v>2</v>
      </c>
      <c r="AJ12" s="1">
        <v>117</v>
      </c>
      <c r="AK12" s="1">
        <v>4935</v>
      </c>
      <c r="AL12" s="1">
        <v>10289</v>
      </c>
      <c r="AM12" s="1">
        <v>10588</v>
      </c>
      <c r="BB12" s="70"/>
      <c r="BC12" s="70"/>
      <c r="BD12" s="70"/>
      <c r="BE12" s="70"/>
      <c r="BF12" s="70"/>
      <c r="BH12" s="70"/>
      <c r="BI12" s="70"/>
      <c r="BJ12" s="70"/>
      <c r="BK12" s="70"/>
      <c r="BL12" s="70"/>
      <c r="BN12" s="70"/>
    </row>
    <row r="13" spans="1:66" x14ac:dyDescent="0.25">
      <c r="A13" s="36" t="s">
        <v>136</v>
      </c>
      <c r="B13" s="52">
        <v>60</v>
      </c>
      <c r="C13" s="13">
        <v>1.4897205278113701E-2</v>
      </c>
      <c r="D13" s="13">
        <v>8.0441004530797805E-3</v>
      </c>
      <c r="E13" s="13">
        <v>8.0763578503031796E-3</v>
      </c>
      <c r="F13" s="37">
        <f t="shared" si="5"/>
        <v>0</v>
      </c>
      <c r="G13" s="37">
        <f t="shared" si="0"/>
        <v>0</v>
      </c>
      <c r="H13" s="37">
        <f t="shared" si="0"/>
        <v>0.6</v>
      </c>
      <c r="I13" s="37">
        <f t="shared" si="0"/>
        <v>7.6833333333333336</v>
      </c>
      <c r="J13" s="37">
        <f t="shared" si="0"/>
        <v>111.16666666666667</v>
      </c>
      <c r="K13" s="37">
        <f t="shared" ref="K13:K15" si="6">AM13/$B13</f>
        <v>169.16666666666666</v>
      </c>
      <c r="M13">
        <v>0</v>
      </c>
      <c r="N13">
        <v>0</v>
      </c>
      <c r="O13">
        <v>0.17646182124931101</v>
      </c>
      <c r="P13">
        <v>0.51482242899710595</v>
      </c>
      <c r="Q13">
        <v>2.0592897159884198</v>
      </c>
      <c r="R13">
        <v>8.2371588639537006</v>
      </c>
      <c r="T13">
        <v>0</v>
      </c>
      <c r="U13">
        <v>0</v>
      </c>
      <c r="V13">
        <v>0.23835528444981899</v>
      </c>
      <c r="W13">
        <v>0.95342113779927895</v>
      </c>
      <c r="X13">
        <v>3.81368455119711</v>
      </c>
      <c r="Y13">
        <v>15.254738204788399</v>
      </c>
      <c r="Z13" s="1"/>
      <c r="AA13">
        <v>0</v>
      </c>
      <c r="AB13">
        <v>0</v>
      </c>
      <c r="AC13">
        <v>0.17646182124931101</v>
      </c>
      <c r="AD13">
        <v>0.51688690241940405</v>
      </c>
      <c r="AE13">
        <v>2.06754760967761</v>
      </c>
      <c r="AF13">
        <v>8.2701904387104594</v>
      </c>
      <c r="AG13" s="1"/>
      <c r="AH13" s="1">
        <v>0</v>
      </c>
      <c r="AI13" s="1">
        <v>0</v>
      </c>
      <c r="AJ13" s="1">
        <v>36</v>
      </c>
      <c r="AK13" s="1">
        <v>461</v>
      </c>
      <c r="AL13" s="1">
        <v>6670</v>
      </c>
      <c r="AM13" s="1">
        <v>10150</v>
      </c>
    </row>
    <row r="14" spans="1:66" x14ac:dyDescent="0.25">
      <c r="A14" s="36" t="s">
        <v>137</v>
      </c>
      <c r="B14" s="52">
        <v>60</v>
      </c>
      <c r="C14" s="5">
        <v>5.6741231058604902E-2</v>
      </c>
      <c r="D14" s="5">
        <v>3.5270738108725101E-2</v>
      </c>
      <c r="E14" s="5">
        <v>3.4439974703429702E-2</v>
      </c>
      <c r="F14" s="37">
        <f t="shared" si="5"/>
        <v>1.6666666666666666E-2</v>
      </c>
      <c r="G14" s="37">
        <f t="shared" si="0"/>
        <v>0.46666666666666667</v>
      </c>
      <c r="H14" s="37">
        <f t="shared" si="0"/>
        <v>10.766666666666667</v>
      </c>
      <c r="I14" s="37">
        <f t="shared" si="0"/>
        <v>120.21666666666667</v>
      </c>
      <c r="J14" s="37">
        <f t="shared" si="0"/>
        <v>173.03333333333333</v>
      </c>
      <c r="K14" s="37">
        <f t="shared" si="6"/>
        <v>139.68333333333334</v>
      </c>
      <c r="M14">
        <v>4.4300089970899799E-2</v>
      </c>
      <c r="N14">
        <v>0.15225238482678499</v>
      </c>
      <c r="O14">
        <v>0.56433180973960195</v>
      </c>
      <c r="P14">
        <v>2.25732723895841</v>
      </c>
      <c r="Q14">
        <v>9.0293089558336401</v>
      </c>
      <c r="R14">
        <v>36.117235823334497</v>
      </c>
      <c r="T14">
        <v>4.4300089970899799E-2</v>
      </c>
      <c r="U14">
        <v>0.22561108157867499</v>
      </c>
      <c r="V14">
        <v>0.90785969693767898</v>
      </c>
      <c r="W14">
        <v>3.6314387877507102</v>
      </c>
      <c r="X14">
        <v>14.5257551510028</v>
      </c>
      <c r="Y14">
        <v>58.103020604011398</v>
      </c>
      <c r="Z14" s="1"/>
      <c r="AA14">
        <v>4.4300089970899799E-2</v>
      </c>
      <c r="AB14">
        <v>0.14915841719692599</v>
      </c>
      <c r="AC14">
        <v>0.551039595254876</v>
      </c>
      <c r="AD14">
        <v>2.2041583810195</v>
      </c>
      <c r="AE14">
        <v>8.8166335240780196</v>
      </c>
      <c r="AF14">
        <v>35.2665340963121</v>
      </c>
      <c r="AG14" s="1"/>
      <c r="AH14" s="1">
        <v>1</v>
      </c>
      <c r="AI14" s="1">
        <v>28</v>
      </c>
      <c r="AJ14" s="1">
        <v>646</v>
      </c>
      <c r="AK14" s="1">
        <v>7213</v>
      </c>
      <c r="AL14" s="1">
        <v>10382</v>
      </c>
      <c r="AM14" s="1">
        <v>8381</v>
      </c>
    </row>
    <row r="15" spans="1:66" x14ac:dyDescent="0.25">
      <c r="A15" s="36" t="s">
        <v>138</v>
      </c>
      <c r="B15" s="52">
        <v>60</v>
      </c>
      <c r="C15" s="5">
        <v>0.12148791730821901</v>
      </c>
      <c r="D15" s="5">
        <v>6.33040571897725E-2</v>
      </c>
      <c r="E15" s="5">
        <v>5.8734947455230002E-2</v>
      </c>
      <c r="F15" s="37">
        <f>AH15/$B15</f>
        <v>3.3333333333333333E-2</v>
      </c>
      <c r="G15" s="37">
        <f t="shared" si="0"/>
        <v>2.1</v>
      </c>
      <c r="H15" s="37">
        <f t="shared" si="0"/>
        <v>34.25</v>
      </c>
      <c r="I15" s="37">
        <f t="shared" si="0"/>
        <v>161.33333333333334</v>
      </c>
      <c r="J15" s="37">
        <f t="shared" si="0"/>
        <v>152.44999999999999</v>
      </c>
      <c r="K15" s="37">
        <f t="shared" si="6"/>
        <v>154.5</v>
      </c>
      <c r="M15">
        <v>7.8997664635741496E-2</v>
      </c>
      <c r="N15">
        <v>0.26878015500851199</v>
      </c>
      <c r="O15">
        <v>1.01286491503636</v>
      </c>
      <c r="P15">
        <v>4.05145966014544</v>
      </c>
      <c r="Q15">
        <v>16.2058386405817</v>
      </c>
      <c r="R15">
        <v>64.823354562326998</v>
      </c>
      <c r="T15">
        <v>7.8997664635741496E-2</v>
      </c>
      <c r="U15">
        <v>0.48595166923287902</v>
      </c>
      <c r="V15">
        <v>1.9438066769315101</v>
      </c>
      <c r="W15">
        <v>7.7752267077260697</v>
      </c>
      <c r="X15">
        <v>31.100906830904201</v>
      </c>
      <c r="Y15">
        <v>124.403627323617</v>
      </c>
      <c r="Z15" s="1"/>
      <c r="AA15">
        <v>7.8997664635741496E-2</v>
      </c>
      <c r="AB15">
        <v>0.25332701569766197</v>
      </c>
      <c r="AC15">
        <v>0.93975915928368003</v>
      </c>
      <c r="AD15">
        <v>3.7590366371347201</v>
      </c>
      <c r="AE15">
        <v>15.036146548538801</v>
      </c>
      <c r="AF15">
        <v>60.144586194155501</v>
      </c>
      <c r="AG15" s="1"/>
      <c r="AH15" s="1">
        <v>2</v>
      </c>
      <c r="AI15" s="1">
        <v>126</v>
      </c>
      <c r="AJ15" s="1">
        <v>2055</v>
      </c>
      <c r="AK15" s="1">
        <v>9680</v>
      </c>
      <c r="AL15" s="1">
        <v>9147</v>
      </c>
      <c r="AM15" s="1">
        <v>9270</v>
      </c>
    </row>
    <row r="16" spans="1:66" x14ac:dyDescent="0.25">
      <c r="A16" s="1" t="s">
        <v>139</v>
      </c>
      <c r="B16" s="43">
        <v>60</v>
      </c>
      <c r="C16" s="44">
        <v>3.4809429886628E-3</v>
      </c>
      <c r="D16" s="44">
        <v>2.5348843493833199E-3</v>
      </c>
      <c r="E16" s="44">
        <v>2.51419995762145E-3</v>
      </c>
      <c r="F16" s="13">
        <f>AH16/$B16</f>
        <v>0</v>
      </c>
      <c r="G16" s="13">
        <f t="shared" si="0"/>
        <v>0</v>
      </c>
      <c r="H16" s="13">
        <f t="shared" si="0"/>
        <v>0</v>
      </c>
      <c r="I16" s="13">
        <f t="shared" si="0"/>
        <v>0</v>
      </c>
      <c r="J16" s="13">
        <f t="shared" si="0"/>
        <v>0</v>
      </c>
      <c r="K16" s="13">
        <f t="shared" si="0"/>
        <v>0</v>
      </c>
      <c r="M16" s="1"/>
      <c r="N16" s="1"/>
      <c r="O16" s="1"/>
      <c r="P16" s="16"/>
      <c r="Q16" s="16"/>
      <c r="R16" s="16"/>
      <c r="T16" s="1"/>
      <c r="U16" s="1"/>
      <c r="V16" s="1"/>
      <c r="W16" s="13"/>
      <c r="X16" s="13"/>
      <c r="Y16" s="13"/>
      <c r="AA16" s="1"/>
      <c r="AB16" s="1"/>
      <c r="AC16" s="1"/>
      <c r="AE16" s="43"/>
      <c r="AF16" s="43"/>
      <c r="AG16" s="1"/>
      <c r="AH16" s="43"/>
      <c r="AI16" s="43"/>
      <c r="AJ16" s="43"/>
      <c r="AK16" s="43"/>
      <c r="AL16" s="43"/>
      <c r="AM16" s="43"/>
    </row>
    <row r="17" spans="1:83" x14ac:dyDescent="0.25">
      <c r="A17" s="1" t="s">
        <v>140</v>
      </c>
      <c r="B17" s="43">
        <v>60</v>
      </c>
      <c r="C17" s="44">
        <v>4.1522864630391797E-3</v>
      </c>
      <c r="D17" s="5">
        <v>3.27815477715818E-3</v>
      </c>
      <c r="E17" s="5">
        <v>3.2409334377459199E-3</v>
      </c>
      <c r="F17" s="13">
        <f t="shared" si="0"/>
        <v>0</v>
      </c>
      <c r="G17" s="13">
        <f t="shared" si="0"/>
        <v>0</v>
      </c>
      <c r="H17" s="13">
        <f t="shared" si="0"/>
        <v>0</v>
      </c>
      <c r="I17" s="13">
        <f t="shared" si="0"/>
        <v>0</v>
      </c>
      <c r="J17" s="13">
        <f t="shared" si="0"/>
        <v>0</v>
      </c>
      <c r="K17" s="13">
        <f t="shared" si="0"/>
        <v>0</v>
      </c>
      <c r="M17" s="1"/>
      <c r="N17" s="1"/>
      <c r="O17" s="1"/>
      <c r="P17" s="16"/>
      <c r="Q17" s="16"/>
      <c r="R17" s="16"/>
      <c r="T17" s="1"/>
      <c r="U17" s="1"/>
      <c r="V17" s="1"/>
      <c r="W17" s="13"/>
      <c r="X17" s="13"/>
      <c r="Y17" s="13"/>
      <c r="AA17" s="1"/>
      <c r="AC17" s="1"/>
      <c r="AH17" s="1"/>
      <c r="AI17" s="1"/>
      <c r="AJ17" s="1"/>
      <c r="AK17" s="1"/>
      <c r="AL17" s="1"/>
      <c r="AM17" s="1"/>
    </row>
    <row r="18" spans="1:83" x14ac:dyDescent="0.25">
      <c r="A18" s="1" t="s">
        <v>141</v>
      </c>
      <c r="B18" s="43">
        <v>60</v>
      </c>
      <c r="C18" s="44">
        <v>8.1501124632268208E-3</v>
      </c>
      <c r="D18" s="5">
        <v>5.1433422305270397E-3</v>
      </c>
      <c r="E18" s="44">
        <v>4.9482416068898196E-3</v>
      </c>
      <c r="F18" s="13">
        <f t="shared" ref="F18:K19" si="7">AH18/$B18</f>
        <v>0</v>
      </c>
      <c r="G18" s="13">
        <f t="shared" si="7"/>
        <v>0</v>
      </c>
      <c r="H18" s="13">
        <f t="shared" si="7"/>
        <v>0</v>
      </c>
      <c r="I18" s="13">
        <f t="shared" si="7"/>
        <v>0</v>
      </c>
      <c r="J18" s="13">
        <f t="shared" si="7"/>
        <v>0</v>
      </c>
      <c r="K18" s="13">
        <f t="shared" si="7"/>
        <v>0</v>
      </c>
      <c r="M18" s="1"/>
      <c r="N18" s="1"/>
      <c r="O18" s="16"/>
      <c r="P18" s="16"/>
      <c r="Q18" s="16"/>
      <c r="R18" s="16"/>
      <c r="T18" s="1"/>
      <c r="U18" s="1"/>
      <c r="V18" s="13"/>
      <c r="W18" s="13"/>
      <c r="X18" s="13"/>
      <c r="Y18" s="13"/>
      <c r="AA18" s="1"/>
      <c r="AC18" s="1"/>
      <c r="AH18" s="1"/>
      <c r="AI18" s="1"/>
      <c r="AJ18" s="1"/>
      <c r="AK18" s="1"/>
      <c r="AL18" s="1"/>
      <c r="AM18" s="1"/>
    </row>
    <row r="19" spans="1:83" x14ac:dyDescent="0.25">
      <c r="A19" s="1" t="s">
        <v>142</v>
      </c>
      <c r="B19" s="43">
        <v>60</v>
      </c>
      <c r="C19" s="5">
        <v>1.8290475754508401E-2</v>
      </c>
      <c r="D19" s="5">
        <v>5.7655917494690003E-3</v>
      </c>
      <c r="E19" s="5">
        <v>5.3058324795391097E-3</v>
      </c>
      <c r="F19" s="13">
        <f t="shared" si="7"/>
        <v>0</v>
      </c>
      <c r="G19" s="13">
        <f t="shared" si="7"/>
        <v>0</v>
      </c>
      <c r="H19" s="13">
        <f t="shared" si="7"/>
        <v>0</v>
      </c>
      <c r="I19" s="13">
        <f t="shared" si="7"/>
        <v>0</v>
      </c>
      <c r="J19" s="13">
        <f t="shared" si="7"/>
        <v>0</v>
      </c>
      <c r="K19" s="13">
        <f t="shared" si="7"/>
        <v>0</v>
      </c>
      <c r="M19" s="1"/>
      <c r="N19" s="16"/>
      <c r="O19" s="16"/>
      <c r="P19" s="16"/>
      <c r="Q19" s="16"/>
      <c r="R19" s="16"/>
      <c r="T19" s="1"/>
      <c r="U19" s="13"/>
      <c r="V19" s="13"/>
      <c r="W19" s="13"/>
      <c r="X19" s="13"/>
      <c r="Y19" s="13"/>
      <c r="AA19" s="1"/>
      <c r="AH19" s="1"/>
      <c r="AI19" s="1"/>
      <c r="AJ19" s="43"/>
      <c r="AK19" s="43"/>
      <c r="AL19" s="43"/>
      <c r="AM19" s="43"/>
    </row>
    <row r="20" spans="1:83" x14ac:dyDescent="0.25">
      <c r="G20" s="13"/>
      <c r="S20" s="1"/>
      <c r="AA20" s="1"/>
    </row>
    <row r="21" spans="1:83" x14ac:dyDescent="0.25">
      <c r="B21" s="62" t="s">
        <v>87</v>
      </c>
      <c r="C21" s="62"/>
      <c r="D21" s="62"/>
      <c r="E21" s="62"/>
      <c r="G21" s="62" t="s">
        <v>87</v>
      </c>
      <c r="H21" s="62"/>
      <c r="I21" s="62"/>
      <c r="J21" s="62"/>
      <c r="L21" s="62" t="s">
        <v>114</v>
      </c>
      <c r="M21" s="62"/>
      <c r="N21" s="62"/>
      <c r="O21" s="62"/>
      <c r="Q21" s="62" t="s">
        <v>114</v>
      </c>
      <c r="R21" s="62"/>
      <c r="S21" s="62"/>
      <c r="T21" s="62"/>
      <c r="V21" s="63" t="s">
        <v>114</v>
      </c>
      <c r="W21" s="63"/>
      <c r="X21" s="63"/>
      <c r="AA21" s="1"/>
      <c r="AB21" t="s">
        <v>114</v>
      </c>
      <c r="AH21" s="62" t="s">
        <v>114</v>
      </c>
      <c r="AI21" s="62"/>
      <c r="AJ21" s="62"/>
      <c r="AK21" s="62"/>
      <c r="AN21" s="62" t="s">
        <v>114</v>
      </c>
      <c r="AO21" s="62"/>
      <c r="AP21" s="62"/>
      <c r="AQ21" s="62"/>
      <c r="AU21" t="s">
        <v>143</v>
      </c>
      <c r="AY21" t="s">
        <v>147</v>
      </c>
      <c r="BD21" t="s">
        <v>144</v>
      </c>
      <c r="BH21" t="s">
        <v>147</v>
      </c>
      <c r="BN21" t="s">
        <v>146</v>
      </c>
      <c r="BR21" t="s">
        <v>147</v>
      </c>
      <c r="BW21" t="s">
        <v>145</v>
      </c>
      <c r="CA21" t="s">
        <v>147</v>
      </c>
    </row>
    <row r="22" spans="1:83" ht="35.25" customHeight="1" x14ac:dyDescent="0.25">
      <c r="A22" s="14" t="s">
        <v>77</v>
      </c>
      <c r="B22" s="15" t="s">
        <v>78</v>
      </c>
      <c r="C22" s="23" t="s">
        <v>82</v>
      </c>
      <c r="D22" s="23" t="s">
        <v>79</v>
      </c>
      <c r="E22" s="23" t="s">
        <v>81</v>
      </c>
      <c r="G22" s="30"/>
      <c r="H22" s="23" t="s">
        <v>95</v>
      </c>
      <c r="I22" s="23" t="s">
        <v>80</v>
      </c>
      <c r="J22" s="23" t="s">
        <v>94</v>
      </c>
      <c r="K22" s="15"/>
      <c r="L22" s="35" t="s">
        <v>112</v>
      </c>
      <c r="M22" s="23" t="s">
        <v>109</v>
      </c>
      <c r="N22" s="23" t="s">
        <v>110</v>
      </c>
      <c r="O22" s="23" t="s">
        <v>111</v>
      </c>
      <c r="P22" s="15"/>
      <c r="Q22" s="35" t="s">
        <v>113</v>
      </c>
      <c r="R22" s="23" t="s">
        <v>109</v>
      </c>
      <c r="S22" s="23" t="s">
        <v>110</v>
      </c>
      <c r="T22" s="23" t="s">
        <v>111</v>
      </c>
      <c r="U22" s="15"/>
      <c r="V22" s="35" t="s">
        <v>115</v>
      </c>
      <c r="W22" s="23" t="s">
        <v>109</v>
      </c>
      <c r="X22" s="23" t="s">
        <v>110</v>
      </c>
      <c r="Y22" s="23" t="s">
        <v>111</v>
      </c>
      <c r="Z22" s="15"/>
      <c r="AA22" s="1"/>
      <c r="AB22" s="35" t="s">
        <v>116</v>
      </c>
      <c r="AC22" s="23" t="s">
        <v>109</v>
      </c>
      <c r="AD22" s="23" t="s">
        <v>110</v>
      </c>
      <c r="AE22" s="23" t="s">
        <v>111</v>
      </c>
      <c r="AF22" s="15"/>
      <c r="AH22" s="35" t="s">
        <v>117</v>
      </c>
      <c r="AI22" s="23" t="s">
        <v>109</v>
      </c>
      <c r="AJ22" s="23" t="s">
        <v>110</v>
      </c>
      <c r="AK22" s="23" t="s">
        <v>111</v>
      </c>
      <c r="AM22" s="39"/>
      <c r="AN22" s="35" t="s">
        <v>118</v>
      </c>
      <c r="AO22" s="23" t="s">
        <v>109</v>
      </c>
      <c r="AP22" s="23" t="s">
        <v>110</v>
      </c>
      <c r="AQ22" s="23" t="s">
        <v>111</v>
      </c>
      <c r="AR22" s="15"/>
      <c r="AU22" s="39" t="s">
        <v>78</v>
      </c>
      <c r="AV22" s="41" t="s">
        <v>84</v>
      </c>
      <c r="AW22" s="42" t="s">
        <v>119</v>
      </c>
      <c r="AX22" s="42" t="s">
        <v>120</v>
      </c>
      <c r="AY22" s="42" t="s">
        <v>121</v>
      </c>
      <c r="AZ22" s="42" t="s">
        <v>122</v>
      </c>
      <c r="BA22" s="42" t="s">
        <v>123</v>
      </c>
      <c r="BB22" s="42" t="s">
        <v>124</v>
      </c>
      <c r="BD22" s="39" t="s">
        <v>78</v>
      </c>
      <c r="BE22" s="41" t="s">
        <v>84</v>
      </c>
      <c r="BF22" s="42" t="s">
        <v>119</v>
      </c>
      <c r="BG22" s="42" t="s">
        <v>120</v>
      </c>
      <c r="BH22" s="42" t="s">
        <v>121</v>
      </c>
      <c r="BI22" s="42" t="s">
        <v>122</v>
      </c>
      <c r="BJ22" s="42" t="s">
        <v>123</v>
      </c>
      <c r="BK22" s="42" t="s">
        <v>124</v>
      </c>
      <c r="BN22" s="39" t="s">
        <v>78</v>
      </c>
      <c r="BO22" s="41" t="s">
        <v>84</v>
      </c>
      <c r="BP22" s="42" t="s">
        <v>119</v>
      </c>
      <c r="BQ22" s="42" t="s">
        <v>120</v>
      </c>
      <c r="BR22" s="42" t="s">
        <v>121</v>
      </c>
      <c r="BS22" s="42" t="s">
        <v>122</v>
      </c>
      <c r="BT22" s="42" t="s">
        <v>123</v>
      </c>
      <c r="BU22" s="42" t="s">
        <v>124</v>
      </c>
      <c r="BW22" s="39" t="s">
        <v>78</v>
      </c>
      <c r="BX22" s="41" t="s">
        <v>84</v>
      </c>
      <c r="BY22" s="42" t="s">
        <v>119</v>
      </c>
      <c r="BZ22" s="42" t="s">
        <v>120</v>
      </c>
      <c r="CA22" s="42" t="s">
        <v>121</v>
      </c>
      <c r="CB22" s="42" t="s">
        <v>122</v>
      </c>
      <c r="CC22" s="42" t="s">
        <v>123</v>
      </c>
      <c r="CD22" s="42" t="s">
        <v>124</v>
      </c>
    </row>
    <row r="23" spans="1:83" x14ac:dyDescent="0.25">
      <c r="A23" s="1" t="s">
        <v>69</v>
      </c>
      <c r="B23" s="1">
        <v>90</v>
      </c>
      <c r="C23" s="24">
        <f>(C3+0.0087)/0.0009</f>
        <v>124.98377815678667</v>
      </c>
      <c r="D23" s="24">
        <f>C3*637.85+31.496</f>
        <v>97.695517607575738</v>
      </c>
      <c r="E23" s="24">
        <f>339.46*C3^0.5407</f>
        <v>99.727167764153535</v>
      </c>
      <c r="G23" s="31" t="s">
        <v>69</v>
      </c>
      <c r="H23" s="24">
        <f>($D3-0.0009)/0.0002</f>
        <v>42.048842752516052</v>
      </c>
      <c r="I23" s="32">
        <f>3353.9*D3+16.246</f>
        <v>47.470032741532719</v>
      </c>
      <c r="J23" s="32">
        <f>1994.7*(D3^0.8093)</f>
        <v>45.304341949768059</v>
      </c>
      <c r="K23" s="13"/>
      <c r="L23" s="31" t="s">
        <v>69</v>
      </c>
      <c r="M23" s="16">
        <f>(K3-205.04)/-0.4563</f>
        <v>192.24182948416956</v>
      </c>
      <c r="N23" s="16">
        <f>-1.6001*K3 + 344.62</f>
        <v>156.89618286448186</v>
      </c>
      <c r="O23" s="56">
        <f>1000000000000*K3-4.601</f>
        <v>117320053206368.84</v>
      </c>
      <c r="P23" s="16"/>
      <c r="Q23" s="31" t="s">
        <v>69</v>
      </c>
      <c r="R23" s="45">
        <f>(J3-60.122)/0.0841</f>
        <v>-267.08659834277222</v>
      </c>
      <c r="S23" s="16">
        <f>0.5169*J3+27.545</f>
        <v>47.011462828327836</v>
      </c>
      <c r="T23" s="16">
        <f t="shared" ref="T23:T25" si="8">1.1518*J3^0.9191</f>
        <v>32.342147494732167</v>
      </c>
      <c r="U23" s="16"/>
      <c r="V23" s="31" t="s">
        <v>69</v>
      </c>
      <c r="W23" s="16">
        <f>(I3-3.8633)/0.2077</f>
        <v>27.138682274395688</v>
      </c>
      <c r="X23" s="13">
        <f>2.8315*I3 + 14.308</f>
        <v>41.207262199211904</v>
      </c>
      <c r="Y23" s="16">
        <f t="shared" ref="Y23:Y25" si="9">8.9277*I3^0.6763</f>
        <v>40.923634346381888</v>
      </c>
      <c r="Z23" s="13"/>
      <c r="AA23" s="1"/>
      <c r="AB23" s="31" t="s">
        <v>69</v>
      </c>
      <c r="AC23" s="16">
        <f>(H3+0.1561)/0.0915</f>
        <v>34.055752376002616</v>
      </c>
      <c r="AD23" s="16">
        <f t="shared" ref="AD23:AD25" si="10">6.3569*H3+ 26.624</f>
        <v>45.44043253352951</v>
      </c>
      <c r="AE23" s="16">
        <f t="shared" ref="AE23:AE25" si="11" xml:space="preserve"> 32.273*H3^0.3897</f>
        <v>49.260837883196288</v>
      </c>
      <c r="AF23" s="16"/>
      <c r="AH23" s="31" t="s">
        <v>69</v>
      </c>
      <c r="AI23" s="16">
        <f>(G3+0.0678)/0.0239</f>
        <v>29.615074905839549</v>
      </c>
      <c r="AJ23" s="16">
        <f xml:space="preserve"> 15.463*G3 + 39.702</f>
        <v>49.598324488129023</v>
      </c>
      <c r="AK23" s="16">
        <f>34.915*EXP(0.2946*G3)</f>
        <v>42.159524335536283</v>
      </c>
      <c r="AM23" s="1"/>
      <c r="AN23" s="31" t="s">
        <v>69</v>
      </c>
      <c r="AO23" s="16">
        <f>(F3+0.168)/0.0069</f>
        <v>44.637690361172815</v>
      </c>
      <c r="AP23" s="16">
        <f>70.576*F3 + 43.217</f>
        <v>53.097644481017909</v>
      </c>
      <c r="AQ23" s="16">
        <f>38.631*EXP(1.2111*F3)</f>
        <v>45.769097662017188</v>
      </c>
      <c r="AR23" s="16"/>
      <c r="AT23" s="1" t="s">
        <v>69</v>
      </c>
      <c r="AU23" s="1">
        <f>B23</f>
        <v>90</v>
      </c>
      <c r="AV23" s="42" t="s">
        <v>69</v>
      </c>
      <c r="AW23" s="16">
        <f>0.6229*Y3 + 31.496</f>
        <v>97.695476093415863</v>
      </c>
      <c r="AX23" s="16">
        <f t="shared" ref="AX23:AX25" si="12">2.4916*X3 + 31.496</f>
        <v>97.695476093415976</v>
      </c>
      <c r="AY23" s="16">
        <f t="shared" ref="AY23:AY25" si="13">9.9664*W3 + 31.496</f>
        <v>97.695476093415976</v>
      </c>
      <c r="AZ23" s="16">
        <f t="shared" ref="AZ23:AZ25" si="14" xml:space="preserve"> 39.864*V3 + 31.499</f>
        <v>97.695819187166947</v>
      </c>
      <c r="BA23" s="16">
        <f t="shared" ref="BA23:BA25" si="15" xml:space="preserve"> 153.68*U3 + 33.411</f>
        <v>97.20996129768622</v>
      </c>
      <c r="BB23" s="13">
        <f xml:space="preserve"> 341.18*T3 + 59.342</f>
        <v>94.751502888379235</v>
      </c>
      <c r="BD23" s="1">
        <f>AU23</f>
        <v>90</v>
      </c>
      <c r="BE23" s="42" t="s">
        <v>69</v>
      </c>
      <c r="BF23" s="16">
        <f>7.9979*Y3^0.5407</f>
        <v>99.694232599765229</v>
      </c>
      <c r="BG23" s="16">
        <f t="shared" ref="BG23:BG25" si="16" xml:space="preserve"> 16.925*X3^0.5407</f>
        <v>99.698564460136211</v>
      </c>
      <c r="BH23" s="16">
        <f t="shared" ref="BH23:BH25" si="17" xml:space="preserve"> 35.818*W3^0.5407</f>
        <v>99.707475964800153</v>
      </c>
      <c r="BI23" s="16">
        <f t="shared" ref="BI23:BI25" si="18" xml:space="preserve"> 75.792*V3^0.5402</f>
        <v>99.679486561846588</v>
      </c>
      <c r="BJ23" s="16">
        <f t="shared" ref="BJ23:BJ25" si="19">162.76*U3^0.5531</f>
        <v>100.08569989084388</v>
      </c>
      <c r="BK23" s="16">
        <f t="shared" ref="BK23:BK25" si="20">200.69*T3^0.333</f>
        <v>94.384158724984758</v>
      </c>
      <c r="BN23" s="1">
        <f>B23</f>
        <v>90</v>
      </c>
      <c r="BO23" s="42" t="s">
        <v>69</v>
      </c>
      <c r="BP23" s="16">
        <f xml:space="preserve"> 3.2753*Y3 + 16.246</f>
        <v>364.33260145892592</v>
      </c>
      <c r="BQ23" s="16">
        <f t="shared" ref="BQ23:BQ25" si="21" xml:space="preserve"> 13.101*X3 + 16.246</f>
        <v>364.32728764642911</v>
      </c>
      <c r="BR23" s="16">
        <f t="shared" ref="BR23:BR25" si="22" xml:space="preserve"> 45.439*W3 + 18.146</f>
        <v>319.96390759037655</v>
      </c>
      <c r="BS23" s="16">
        <f t="shared" ref="BS23:BS25" si="23" xml:space="preserve"> 129.75*V3 + 19.261</f>
        <v>234.71949110814046</v>
      </c>
      <c r="BT23" s="16">
        <f t="shared" ref="BT23:BT25" si="24">408.35*U3 + 18.101</f>
        <v>187.62407291716664</v>
      </c>
      <c r="BU23" s="16">
        <f t="shared" ref="BU23:BU25" si="25">268.12*T3 + 67.995</f>
        <v>95.821941539457882</v>
      </c>
      <c r="BW23" s="1">
        <f>BD23</f>
        <v>90</v>
      </c>
      <c r="BX23" s="42" t="s">
        <v>69</v>
      </c>
      <c r="BY23" s="16">
        <f xml:space="preserve"> 7.3072*Y3^0.8093</f>
        <v>318.9670548214167</v>
      </c>
      <c r="BZ23" s="16">
        <f t="shared" ref="BZ23:BZ25" si="26">22.438*X3^0.8093</f>
        <v>318.95677155946009</v>
      </c>
      <c r="CA23" s="16">
        <f t="shared" ref="CA23:CA25" si="27" xml:space="preserve"> 63.923*W3^0.7897</f>
        <v>285.12827241806099</v>
      </c>
      <c r="CB23" s="16">
        <f t="shared" ref="CB23:CB25" si="28">144.46*V3^0.7684</f>
        <v>213.30081318545697</v>
      </c>
      <c r="CC23" s="16">
        <f t="shared" ref="CC23:CC25" si="29">377.35*U3^0.8162</f>
        <v>184.12643250004979</v>
      </c>
      <c r="CD23" s="16">
        <f t="shared" ref="CD23:CD25" si="30" xml:space="preserve"> 193.76*T3^0.3028</f>
        <v>97.577612296617161</v>
      </c>
      <c r="CE23" s="1"/>
    </row>
    <row r="24" spans="1:83" x14ac:dyDescent="0.25">
      <c r="A24" s="1" t="s">
        <v>70</v>
      </c>
      <c r="B24" s="1">
        <v>45</v>
      </c>
      <c r="C24" s="24">
        <f>(C4+0.0087)/0.0009</f>
        <v>28.937326206160222</v>
      </c>
      <c r="D24" s="24">
        <f t="shared" ref="D24:D25" si="31">C4*637.85+31.496</f>
        <v>42.558611168539372</v>
      </c>
      <c r="E24" s="24">
        <f t="shared" ref="E24:E25" si="32">339.46*C4^0.5407</f>
        <v>37.904529640463622</v>
      </c>
      <c r="G24" s="31" t="s">
        <v>70</v>
      </c>
      <c r="H24" s="24">
        <f t="shared" ref="H24:H26" si="33">($D4-0.0009)/0.0002</f>
        <v>14.270611763493299</v>
      </c>
      <c r="I24" s="32">
        <f>3353.9*D4+16.246</f>
        <v>28.836950958716034</v>
      </c>
      <c r="J24" s="32">
        <f>1994.7*(D4^0.8093)</f>
        <v>21.723372749373084</v>
      </c>
      <c r="K24" s="13"/>
      <c r="L24" s="31" t="s">
        <v>70</v>
      </c>
      <c r="M24" s="16">
        <f t="shared" ref="M24:M26" si="34">(K4-205.04)/-0.4563</f>
        <v>122.8796103877864</v>
      </c>
      <c r="N24" s="16">
        <f t="shared" ref="N24:N25" si="35">-1.6001*K4 + 344.62</f>
        <v>106.2530489485371</v>
      </c>
      <c r="O24" s="56">
        <f t="shared" ref="O24:O25" si="36">1000000000000*K4-4.601</f>
        <v>148970033780048.47</v>
      </c>
      <c r="P24" s="16"/>
      <c r="Q24" s="31" t="s">
        <v>70</v>
      </c>
      <c r="R24" s="45">
        <f t="shared" ref="R24:R26" si="37">(J4-60.122)/0.0841</f>
        <v>-362.33047891370342</v>
      </c>
      <c r="S24" s="16">
        <f t="shared" ref="S24:S25" si="38">0.5169*J4+27.545</f>
        <v>42.871088475303516</v>
      </c>
      <c r="T24" s="16">
        <f t="shared" si="8"/>
        <v>25.960620247950711</v>
      </c>
      <c r="U24" s="16"/>
      <c r="V24" s="31" t="s">
        <v>70</v>
      </c>
      <c r="W24" s="45">
        <f>(I4-3.8633)/0.2077</f>
        <v>-7.9600361043143897</v>
      </c>
      <c r="X24" s="13">
        <f>2.8315*I4 + 14.308</f>
        <v>20.565616418960641</v>
      </c>
      <c r="Y24" s="16">
        <f t="shared" si="9"/>
        <v>15.263430355503798</v>
      </c>
      <c r="Z24" s="46"/>
      <c r="AA24" s="1"/>
      <c r="AB24" s="31" t="s">
        <v>70</v>
      </c>
      <c r="AC24" s="16">
        <f t="shared" ref="AC24:AC26" si="39">(H4+0.1561)/0.0915</f>
        <v>3.5639348475274497</v>
      </c>
      <c r="AD24" s="16">
        <f t="shared" si="10"/>
        <v>27.704673245050621</v>
      </c>
      <c r="AE24" s="16">
        <f t="shared" si="11"/>
        <v>16.178763293074105</v>
      </c>
      <c r="AF24" s="16"/>
      <c r="AH24" s="31" t="s">
        <v>70</v>
      </c>
      <c r="AI24" s="16">
        <f t="shared" ref="AI24:AI26" si="40">(G4+0.0678)/0.0239</f>
        <v>4.0920504938377666</v>
      </c>
      <c r="AJ24" s="16">
        <f xml:space="preserve"> 15.463*G4 + 39.702</f>
        <v>40.165890105190499</v>
      </c>
      <c r="AK24" s="16">
        <f t="shared" ref="AK24:AK26" si="41">34.915*EXP(0.2946*G4)</f>
        <v>35.224946476263852</v>
      </c>
      <c r="AM24" s="1"/>
      <c r="AN24" s="31" t="s">
        <v>70</v>
      </c>
      <c r="AO24" s="16">
        <f t="shared" ref="AO24:AO25" si="42">(F4+0.168)/0.0069</f>
        <v>24.347826086956523</v>
      </c>
      <c r="AP24" s="16">
        <f t="shared" ref="AP24:AP25" si="43">70.576*F4 + 43.217</f>
        <v>43.216999999999999</v>
      </c>
      <c r="AQ24" s="16">
        <f t="shared" ref="AQ24:AQ26" si="44">38.631*EXP(1.2111*F4)</f>
        <v>38.631</v>
      </c>
      <c r="AR24" s="16"/>
      <c r="AT24" s="1" t="s">
        <v>70</v>
      </c>
      <c r="AU24" s="1">
        <f t="shared" ref="AU24:AU32" si="45">B24</f>
        <v>45</v>
      </c>
      <c r="AV24" s="42" t="s">
        <v>70</v>
      </c>
      <c r="AW24" s="16">
        <f t="shared" ref="AW24:AW25" si="46">0.6229*Y4 + 31.496</f>
        <v>42.55860423110196</v>
      </c>
      <c r="AX24" s="16">
        <f t="shared" si="12"/>
        <v>42.558604231101967</v>
      </c>
      <c r="AY24" s="16">
        <f t="shared" si="13"/>
        <v>42.558604231101945</v>
      </c>
      <c r="AZ24" s="16">
        <f t="shared" si="14"/>
        <v>42.561160235106172</v>
      </c>
      <c r="BA24" s="16">
        <f t="shared" si="15"/>
        <v>44.072453848905766</v>
      </c>
      <c r="BB24" s="13">
        <f t="shared" ref="BB24:BB25" si="47" xml:space="preserve"> 341.18*T4 + 59.342</f>
        <v>59.341999999999999</v>
      </c>
      <c r="BD24" s="1">
        <f t="shared" ref="BD24:BD32" si="48">AU24</f>
        <v>45</v>
      </c>
      <c r="BE24" s="42" t="s">
        <v>70</v>
      </c>
      <c r="BF24" s="16">
        <f t="shared" ref="BF24:BF25" si="49">7.9979*Y4^0.5407</f>
        <v>37.892011567978848</v>
      </c>
      <c r="BG24" s="16">
        <f t="shared" si="16"/>
        <v>37.89365803135999</v>
      </c>
      <c r="BH24" s="16">
        <f t="shared" si="17"/>
        <v>37.897045136401111</v>
      </c>
      <c r="BI24" s="16">
        <f t="shared" si="18"/>
        <v>37.920313348849398</v>
      </c>
      <c r="BJ24" s="16">
        <f t="shared" si="19"/>
        <v>37.206163654402346</v>
      </c>
      <c r="BK24" s="16">
        <f>200.69*T4^0.333</f>
        <v>0</v>
      </c>
      <c r="BN24" s="1">
        <f t="shared" ref="BN24:BN32" si="50">B24</f>
        <v>45</v>
      </c>
      <c r="BO24" s="42" t="s">
        <v>70</v>
      </c>
      <c r="BP24" s="16">
        <f t="shared" ref="BP24:BP25" si="51" xml:space="preserve"> 3.2753*Y4 + 16.246</f>
        <v>74.414803400430642</v>
      </c>
      <c r="BQ24" s="16">
        <f t="shared" si="21"/>
        <v>74.413915408439124</v>
      </c>
      <c r="BR24" s="16">
        <f t="shared" si="22"/>
        <v>68.582835131746805</v>
      </c>
      <c r="BS24" s="16">
        <f t="shared" si="23"/>
        <v>55.266300283589857</v>
      </c>
      <c r="BT24" s="16">
        <f t="shared" si="24"/>
        <v>46.430025762627977</v>
      </c>
      <c r="BU24" s="16">
        <f t="shared" si="25"/>
        <v>67.995000000000005</v>
      </c>
      <c r="BW24" s="1">
        <f t="shared" ref="BW24:BW32" si="52">BD24</f>
        <v>45</v>
      </c>
      <c r="BX24" s="42" t="s">
        <v>70</v>
      </c>
      <c r="BY24" s="16">
        <f t="shared" ref="BY24:BY25" si="53" xml:space="preserve"> 7.3072*Y4^0.8093</f>
        <v>74.975956194233888</v>
      </c>
      <c r="BZ24" s="16">
        <f t="shared" si="26"/>
        <v>74.973539024854261</v>
      </c>
      <c r="CA24" s="16">
        <f t="shared" si="27"/>
        <v>69.413766763516179</v>
      </c>
      <c r="CB24" s="16">
        <f t="shared" si="28"/>
        <v>53.94458799502717</v>
      </c>
      <c r="CC24" s="16">
        <f t="shared" si="29"/>
        <v>42.749500333993886</v>
      </c>
      <c r="CD24" s="16">
        <f t="shared" si="30"/>
        <v>0</v>
      </c>
      <c r="CE24" s="1"/>
    </row>
    <row r="25" spans="1:83" x14ac:dyDescent="0.25">
      <c r="A25" s="1" t="s">
        <v>71</v>
      </c>
      <c r="B25" s="1">
        <v>64</v>
      </c>
      <c r="C25" s="24">
        <f>(C5+0.0087)/0.0009</f>
        <v>18.125609180160435</v>
      </c>
      <c r="D25" s="24">
        <f t="shared" si="31"/>
        <v>36.351982834008801</v>
      </c>
      <c r="E25" s="24">
        <f t="shared" si="32"/>
        <v>24.285515845279502</v>
      </c>
      <c r="G25" s="31" t="s">
        <v>71</v>
      </c>
      <c r="H25" s="24">
        <f t="shared" si="33"/>
        <v>18.597174102918199</v>
      </c>
      <c r="I25" s="32">
        <f>3353.9*D5+16.246</f>
        <v>31.739122444755466</v>
      </c>
      <c r="J25" s="32">
        <f>1994.7*(D5^0.8093)</f>
        <v>25.693859138130588</v>
      </c>
      <c r="K25" s="13"/>
      <c r="L25" s="31" t="s">
        <v>71</v>
      </c>
      <c r="M25" s="16">
        <f t="shared" si="34"/>
        <v>123.49327885540521</v>
      </c>
      <c r="N25" s="16">
        <f t="shared" si="35"/>
        <v>106.70110402506842</v>
      </c>
      <c r="O25" s="56">
        <f t="shared" si="36"/>
        <v>148690016858274</v>
      </c>
      <c r="P25" s="16"/>
      <c r="Q25" s="31" t="s">
        <v>71</v>
      </c>
      <c r="R25" s="45">
        <f t="shared" si="37"/>
        <v>-107.57424743380506</v>
      </c>
      <c r="S25" s="16">
        <f t="shared" si="38"/>
        <v>53.945670493273312</v>
      </c>
      <c r="T25" s="16">
        <f t="shared" si="8"/>
        <v>42.794842976188278</v>
      </c>
      <c r="U25" s="16"/>
      <c r="V25" s="31" t="s">
        <v>71</v>
      </c>
      <c r="W25" s="45">
        <f t="shared" ref="W25:W26" si="54">(I5-3.8633)/0.2077</f>
        <v>-3.7713030851883054</v>
      </c>
      <c r="X25" s="13">
        <f t="shared" ref="X25" si="55">2.8315*I5 + 14.308</f>
        <v>23.029020988777891</v>
      </c>
      <c r="Y25" s="16">
        <f t="shared" si="9"/>
        <v>19.104974879697991</v>
      </c>
      <c r="Z25" s="13"/>
      <c r="AA25" s="1"/>
      <c r="AB25" s="31" t="s">
        <v>71</v>
      </c>
      <c r="AC25" s="16">
        <f t="shared" si="39"/>
        <v>2.1431694484715615</v>
      </c>
      <c r="AD25" s="16">
        <f t="shared" si="10"/>
        <v>26.878276028829479</v>
      </c>
      <c r="AE25" s="16">
        <f t="shared" si="11"/>
        <v>9.2058127259320273</v>
      </c>
      <c r="AF25" s="45"/>
      <c r="AH25" s="31" t="s">
        <v>71</v>
      </c>
      <c r="AI25" s="16">
        <f t="shared" si="40"/>
        <v>2.8368200836820083</v>
      </c>
      <c r="AJ25" s="16">
        <f xml:space="preserve"> 15.463*G5 + 39.702</f>
        <v>39.701999999999998</v>
      </c>
      <c r="AK25" s="16">
        <f t="shared" si="41"/>
        <v>34.914999999999999</v>
      </c>
      <c r="AM25" s="1"/>
      <c r="AN25" s="31" t="s">
        <v>71</v>
      </c>
      <c r="AO25" s="16">
        <f t="shared" si="42"/>
        <v>24.347826086956523</v>
      </c>
      <c r="AP25" s="16">
        <f t="shared" si="43"/>
        <v>43.216999999999999</v>
      </c>
      <c r="AQ25" s="16">
        <f t="shared" si="44"/>
        <v>38.631</v>
      </c>
      <c r="AR25" s="16"/>
      <c r="AT25" s="1" t="s">
        <v>71</v>
      </c>
      <c r="AU25" s="1">
        <f t="shared" si="45"/>
        <v>64</v>
      </c>
      <c r="AV25" s="42" t="s">
        <v>71</v>
      </c>
      <c r="AW25" s="16">
        <f t="shared" si="46"/>
        <v>36.351979788789492</v>
      </c>
      <c r="AX25" s="16">
        <f t="shared" si="12"/>
        <v>36.351979788789485</v>
      </c>
      <c r="AY25" s="16">
        <f t="shared" si="13"/>
        <v>36.351979788789492</v>
      </c>
      <c r="AZ25" s="16">
        <f t="shared" si="14"/>
        <v>35.798757291920879</v>
      </c>
      <c r="BA25" s="16">
        <f t="shared" si="15"/>
        <v>33.411000000000001</v>
      </c>
      <c r="BB25" s="13">
        <f t="shared" si="47"/>
        <v>59.341999999999999</v>
      </c>
      <c r="BD25" s="1">
        <f t="shared" si="48"/>
        <v>64</v>
      </c>
      <c r="BE25" s="42" t="s">
        <v>71</v>
      </c>
      <c r="BF25" s="16">
        <f t="shared" si="49"/>
        <v>24.277495488594788</v>
      </c>
      <c r="BG25" s="16">
        <f t="shared" si="16"/>
        <v>24.278550381318947</v>
      </c>
      <c r="BH25" s="16">
        <f t="shared" si="17"/>
        <v>24.280720506998595</v>
      </c>
      <c r="BI25" s="16">
        <f t="shared" si="18"/>
        <v>22.760195936132316</v>
      </c>
      <c r="BJ25" s="16">
        <f t="shared" si="19"/>
        <v>0</v>
      </c>
      <c r="BK25" s="16">
        <f t="shared" si="20"/>
        <v>0</v>
      </c>
      <c r="BN25" s="1">
        <f t="shared" si="50"/>
        <v>64</v>
      </c>
      <c r="BO25" s="42" t="s">
        <v>71</v>
      </c>
      <c r="BP25" s="16">
        <f t="shared" si="51"/>
        <v>41.779457380353541</v>
      </c>
      <c r="BQ25" s="16">
        <f t="shared" si="21"/>
        <v>41.779067592282487</v>
      </c>
      <c r="BR25" s="16">
        <f t="shared" si="22"/>
        <v>40.285475198949058</v>
      </c>
      <c r="BS25" s="16">
        <f t="shared" si="23"/>
        <v>33.255920445181978</v>
      </c>
      <c r="BT25" s="16">
        <f t="shared" si="24"/>
        <v>18.100999999999999</v>
      </c>
      <c r="BU25" s="16">
        <f t="shared" si="25"/>
        <v>67.995000000000005</v>
      </c>
      <c r="BW25" s="1">
        <f t="shared" si="52"/>
        <v>64</v>
      </c>
      <c r="BX25" s="42" t="s">
        <v>71</v>
      </c>
      <c r="BY25" s="16">
        <f t="shared" si="53"/>
        <v>38.506328399357002</v>
      </c>
      <c r="BZ25" s="16">
        <f t="shared" si="26"/>
        <v>38.5050869838065</v>
      </c>
      <c r="CA25" s="16">
        <f t="shared" si="27"/>
        <v>36.229662410963577</v>
      </c>
      <c r="CB25" s="16">
        <f t="shared" si="28"/>
        <v>26.097541183844328</v>
      </c>
      <c r="CC25" s="16">
        <f t="shared" si="29"/>
        <v>0</v>
      </c>
      <c r="CD25" s="16">
        <f t="shared" si="30"/>
        <v>0</v>
      </c>
      <c r="CE25" s="1"/>
    </row>
    <row r="26" spans="1:83" x14ac:dyDescent="0.25">
      <c r="A26" s="1" t="s">
        <v>72</v>
      </c>
      <c r="B26" s="1">
        <v>90</v>
      </c>
      <c r="C26" s="24">
        <f>(C6+0.0087)/0.0009</f>
        <v>115.87861276600501</v>
      </c>
      <c r="D26" s="24">
        <f>C6*637.85+31.496</f>
        <v>92.468560837516662</v>
      </c>
      <c r="E26" s="24">
        <f>339.46*C6^0.5407</f>
        <v>95.389258082839561</v>
      </c>
      <c r="G26" s="31" t="s">
        <v>72</v>
      </c>
      <c r="H26" s="24">
        <f t="shared" si="33"/>
        <v>16.375086362494351</v>
      </c>
      <c r="I26" s="32">
        <f>3353.9*D6+16.246</f>
        <v>30.248590430233961</v>
      </c>
      <c r="J26" s="32">
        <f>1994.7*(D6^0.8093)</f>
        <v>23.674255529249351</v>
      </c>
      <c r="K26" s="13"/>
      <c r="L26" s="31" t="s">
        <v>72</v>
      </c>
      <c r="M26" s="16">
        <f t="shared" si="34"/>
        <v>140.49231944235979</v>
      </c>
      <c r="N26" s="16">
        <f>-1.6001*K6 + 344.62</f>
        <v>119.1125392430142</v>
      </c>
      <c r="O26" s="56">
        <f>1000000000000*K6-4.601</f>
        <v>140933354638446.63</v>
      </c>
      <c r="P26" s="16"/>
      <c r="Q26" s="31" t="s">
        <v>72</v>
      </c>
      <c r="R26" s="45">
        <f t="shared" si="37"/>
        <v>-339.38163170036603</v>
      </c>
      <c r="S26" s="16">
        <f>0.5169*J6+27.545</f>
        <v>43.868704467680203</v>
      </c>
      <c r="T26" s="16">
        <f>1.1518*J6^0.9191</f>
        <v>27.509761120953833</v>
      </c>
      <c r="U26" s="16"/>
      <c r="V26" s="31" t="s">
        <v>72</v>
      </c>
      <c r="W26" s="45">
        <f t="shared" si="54"/>
        <v>-8.1686711882275436</v>
      </c>
      <c r="X26" s="13">
        <f>2.8315*I6 + 14.308</f>
        <v>20.442917594091853</v>
      </c>
      <c r="Y26" s="16">
        <f>8.9277*I6^0.6763</f>
        <v>15.060376567986314</v>
      </c>
      <c r="Z26" s="46"/>
      <c r="AA26" s="1"/>
      <c r="AB26" s="31" t="s">
        <v>72</v>
      </c>
      <c r="AC26" s="16">
        <f t="shared" si="39"/>
        <v>4.8389804371860778</v>
      </c>
      <c r="AD26" s="16">
        <f>6.3569*H6+ 26.624</f>
        <v>28.446311608815058</v>
      </c>
      <c r="AE26" s="16">
        <f xml:space="preserve"> 32.273*H6^0.3897</f>
        <v>19.832581929011742</v>
      </c>
      <c r="AF26" s="16"/>
      <c r="AH26" s="31" t="s">
        <v>72</v>
      </c>
      <c r="AI26" s="16">
        <f t="shared" si="40"/>
        <v>4.7894005741147057</v>
      </c>
      <c r="AJ26" s="16">
        <f xml:space="preserve"> 15.463*G6 + 39.702</f>
        <v>40.4236067757531</v>
      </c>
      <c r="AK26" s="16">
        <f t="shared" si="41"/>
        <v>35.398326265143709</v>
      </c>
      <c r="AM26" s="1"/>
      <c r="AN26" s="31" t="s">
        <v>72</v>
      </c>
      <c r="AO26" s="16">
        <f>(F6+0.168)/0.0069</f>
        <v>28.212560970711511</v>
      </c>
      <c r="AP26" s="16">
        <f>70.576*F6 + 43.217</f>
        <v>45.099026951175652</v>
      </c>
      <c r="AQ26" s="16">
        <f t="shared" si="44"/>
        <v>39.898992296177823</v>
      </c>
      <c r="AR26" s="16"/>
      <c r="AT26" s="1" t="s">
        <v>72</v>
      </c>
      <c r="AU26" s="1">
        <f t="shared" si="45"/>
        <v>90</v>
      </c>
      <c r="AV26" s="42" t="s">
        <v>72</v>
      </c>
      <c r="AW26" s="16">
        <f>0.6229*Y6 + 31.496</f>
        <v>92.468522601216051</v>
      </c>
      <c r="AX26" s="16">
        <f>2.4916*X6 + 31.496</f>
        <v>92.468522601215938</v>
      </c>
      <c r="AY26" s="16">
        <f>9.9664*W6 + 31.496</f>
        <v>92.468522601215994</v>
      </c>
      <c r="AZ26" s="16">
        <f xml:space="preserve"> 39.864*V6 + 31.499</f>
        <v>92.469075477977853</v>
      </c>
      <c r="BA26" s="16">
        <f xml:space="preserve"> 153.68*U6 + 33.411</f>
        <v>92.172546755566742</v>
      </c>
      <c r="BB26" s="13">
        <f xml:space="preserve"> 341.18*T6 + 59.342</f>
        <v>91.955652593155037</v>
      </c>
      <c r="BD26" s="1">
        <f t="shared" si="48"/>
        <v>90</v>
      </c>
      <c r="BE26" s="42" t="s">
        <v>72</v>
      </c>
      <c r="BF26" s="16">
        <f>7.9979*Y6^0.5407</f>
        <v>95.357755524747361</v>
      </c>
      <c r="BG26" s="16">
        <f xml:space="preserve"> 16.925*X6^0.5407</f>
        <v>95.361898958840129</v>
      </c>
      <c r="BH26" s="16">
        <f xml:space="preserve"> 35.818*W6^0.5407</f>
        <v>95.37042283289928</v>
      </c>
      <c r="BI26" s="16">
        <f xml:space="preserve"> 75.792*V6^0.5402</f>
        <v>95.347571958453543</v>
      </c>
      <c r="BJ26" s="16">
        <f>162.76*U6^0.5531</f>
        <v>95.634608274952342</v>
      </c>
      <c r="BK26" s="16">
        <f>200.69*T6^0.333</f>
        <v>91.834151906724713</v>
      </c>
      <c r="BN26" s="1">
        <f t="shared" si="50"/>
        <v>90</v>
      </c>
      <c r="BO26" s="42" t="s">
        <v>72</v>
      </c>
      <c r="BP26" s="16">
        <f xml:space="preserve"> 3.2753*Y6 + 16.246</f>
        <v>336.84850967372444</v>
      </c>
      <c r="BQ26" s="16">
        <f xml:space="preserve"> 13.101*X6 + 16.246</f>
        <v>336.84361542724753</v>
      </c>
      <c r="BR26" s="16">
        <f xml:space="preserve"> 45.439*W6 + 18.146</f>
        <v>296.13308204333094</v>
      </c>
      <c r="BS26" s="16">
        <f xml:space="preserve"> 129.75*V6 + 19.261</f>
        <v>217.7074000920035</v>
      </c>
      <c r="BT26" s="16">
        <f>408.35*U6 + 18.101</f>
        <v>174.23893348279333</v>
      </c>
      <c r="BU26" s="16">
        <f>268.12*T6 + 67.995</f>
        <v>93.62479228933914</v>
      </c>
      <c r="BW26" s="1">
        <f t="shared" si="52"/>
        <v>90</v>
      </c>
      <c r="BX26" s="42" t="s">
        <v>72</v>
      </c>
      <c r="BY26" s="16">
        <f xml:space="preserve"> 7.3072*Y6^0.8093</f>
        <v>298.42645328901642</v>
      </c>
      <c r="BZ26" s="16">
        <f>22.438*X6^0.8093</f>
        <v>298.41683224086142</v>
      </c>
      <c r="CA26" s="16">
        <f xml:space="preserve"> 63.923*W6^0.7897</f>
        <v>267.19719303270881</v>
      </c>
      <c r="CB26" s="16">
        <f>144.46*V6^0.7684</f>
        <v>200.23729242898125</v>
      </c>
      <c r="CC26" s="16">
        <f>377.35*U6^0.8162</f>
        <v>172.17145795622451</v>
      </c>
      <c r="CD26" s="16">
        <f xml:space="preserve"> 193.76*T6^0.3028</f>
        <v>95.177447376366999</v>
      </c>
      <c r="CE26" s="1"/>
    </row>
    <row r="27" spans="1:83" x14ac:dyDescent="0.25">
      <c r="A27" s="1" t="s">
        <v>133</v>
      </c>
      <c r="B27" s="1">
        <v>128</v>
      </c>
      <c r="C27" s="24">
        <f t="shared" ref="C27:C32" si="56">(C10+0.0087)/0.0009</f>
        <v>50.047379531103338</v>
      </c>
      <c r="D27" s="24">
        <f t="shared" ref="D27:D32" si="57">C10*637.85+31.496</f>
        <v>54.677153930522834</v>
      </c>
      <c r="E27" s="24">
        <f t="shared" ref="E27:E32" si="58">339.46*C10^0.5407</f>
        <v>56.546509704584764</v>
      </c>
      <c r="G27" s="31" t="s">
        <v>133</v>
      </c>
      <c r="H27" s="24">
        <f>($D10-0.0009)/0.0002</f>
        <v>169.555535279537</v>
      </c>
      <c r="I27" s="32">
        <f t="shared" ref="I27:I32" si="59">3353.9*D10+16.246</f>
        <v>132.99897195480781</v>
      </c>
      <c r="J27" s="32">
        <f t="shared" ref="J27:J32" si="60">1994.7*(D10^0.8093)</f>
        <v>131.73155894777705</v>
      </c>
      <c r="K27" s="46"/>
      <c r="L27" s="31" t="s">
        <v>133</v>
      </c>
      <c r="M27" s="45">
        <f>(K10-205.04)/-0.4563</f>
        <v>-102.87822339104389</v>
      </c>
      <c r="N27" s="45">
        <f>-1.6001*AM10 + 344.62</f>
        <v>-23847.291900000004</v>
      </c>
      <c r="O27" s="56">
        <f>1000000000000*AM10-4.601</f>
        <v>1.5118999999999996E+16</v>
      </c>
      <c r="P27" s="16"/>
      <c r="Q27" s="31" t="s">
        <v>133</v>
      </c>
      <c r="R27" s="45">
        <f>(J10-60.122)/0.0841</f>
        <v>1633.9040824415381</v>
      </c>
      <c r="S27" s="16">
        <f>0.5169*J10+27.545</f>
        <v>129.64998</v>
      </c>
      <c r="T27" s="16">
        <f t="shared" ref="T27:T32" si="61">1.1518*J10^0.9191</f>
        <v>148.35430688486392</v>
      </c>
      <c r="U27" s="45"/>
      <c r="V27" s="31" t="s">
        <v>133</v>
      </c>
      <c r="W27" s="66">
        <f>(I10-3.8633)/0.2077</f>
        <v>1311.6034344407001</v>
      </c>
      <c r="X27" s="13">
        <f t="shared" ref="X27:X32" si="62">2.8315*I10 + 14.308</f>
        <v>796.60425833333341</v>
      </c>
      <c r="Y27" s="16">
        <f>8.9277*I10^0.6763</f>
        <v>399.78616697995858</v>
      </c>
      <c r="Z27" s="46"/>
      <c r="AB27" s="31" t="s">
        <v>133</v>
      </c>
      <c r="AC27" s="16">
        <f>(H10+0.1561)/0.0915</f>
        <v>37.953734061930788</v>
      </c>
      <c r="AD27" s="16">
        <f t="shared" ref="AD27:AD32" si="63">6.3569*H10+ 26.624</f>
        <v>47.707718333333332</v>
      </c>
      <c r="AE27" s="16">
        <f t="shared" ref="AE27:AE32" si="64" xml:space="preserve"> 32.273*H10^0.3897</f>
        <v>51.494025006246446</v>
      </c>
      <c r="AF27" s="45"/>
      <c r="AH27" s="31" t="s">
        <v>133</v>
      </c>
      <c r="AI27" s="16">
        <f>(G10+0.0678)/0.0239</f>
        <v>10.507670850767084</v>
      </c>
      <c r="AJ27" s="16">
        <f t="shared" ref="AJ27:AJ32" si="65" xml:space="preserve"> 15.463*G10 + 39.702</f>
        <v>42.536883333333328</v>
      </c>
      <c r="AK27" s="16">
        <f t="shared" ref="AK27:AK32" si="66">34.915*EXP(0.2946*G10)</f>
        <v>36.852613408536079</v>
      </c>
      <c r="AM27" s="1"/>
      <c r="AN27" s="31" t="s">
        <v>133</v>
      </c>
      <c r="AO27" s="16">
        <f>(F10+0.168)/0.0069</f>
        <v>24.347826086956523</v>
      </c>
      <c r="AP27" s="16">
        <f>70.576*F10 + 43.217</f>
        <v>43.216999999999999</v>
      </c>
      <c r="AQ27" s="16">
        <f>38.631*EXP(1.2111*F10)</f>
        <v>38.631</v>
      </c>
      <c r="AR27" s="16"/>
      <c r="AT27" s="1" t="s">
        <v>133</v>
      </c>
      <c r="AU27" s="1">
        <f t="shared" si="45"/>
        <v>128</v>
      </c>
      <c r="AV27" s="47" t="s">
        <v>133</v>
      </c>
      <c r="AW27" s="16">
        <f>0.6229*Y10 + 31.496</f>
        <v>54.677139393466177</v>
      </c>
      <c r="AX27" s="16">
        <f t="shared" ref="AX27:AX32" si="67">2.4916*X10 + 31.496</f>
        <v>54.677139393466206</v>
      </c>
      <c r="AY27" s="16">
        <f t="shared" ref="AY27:AY32" si="68">9.9664*W10 + 31.496</f>
        <v>54.677139393466177</v>
      </c>
      <c r="AZ27" s="16">
        <f t="shared" ref="AZ27:AZ32" si="69" xml:space="preserve"> 39.864*V10 + 31.499</f>
        <v>48.784451257564484</v>
      </c>
      <c r="BA27" s="16">
        <f t="shared" ref="BA27:BA32" si="70" xml:space="preserve"> 153.68*U10 + 33.411</f>
        <v>50.070317612774126</v>
      </c>
      <c r="BB27" s="13">
        <f t="shared" ref="BB27:BB31" si="71" xml:space="preserve"> 341.18*T10 + 59.342</f>
        <v>59.341999999999999</v>
      </c>
      <c r="BD27" s="1">
        <f t="shared" si="48"/>
        <v>128</v>
      </c>
      <c r="BE27" s="47" t="s">
        <v>133</v>
      </c>
      <c r="BF27" s="16">
        <f>7.9979*Y10^0.5407</f>
        <v>56.527835068229642</v>
      </c>
      <c r="BG27" s="16">
        <f t="shared" ref="BG27:BG32" si="72" xml:space="preserve"> 16.925*X10^0.5407</f>
        <v>56.530291285426998</v>
      </c>
      <c r="BH27" s="16">
        <f t="shared" ref="BH27:BH32" si="73" xml:space="preserve"> 35.818*W10^0.5407</f>
        <v>56.535344216300857</v>
      </c>
      <c r="BI27" s="16">
        <f t="shared" ref="BI27:BI32" si="74" xml:space="preserve"> 75.792*V10^0.5402</f>
        <v>48.259709693663041</v>
      </c>
      <c r="BJ27" s="16">
        <f t="shared" ref="BJ27:BJ32" si="75">162.76*U10^0.5531</f>
        <v>47.624258373941231</v>
      </c>
      <c r="BK27" s="16">
        <f t="shared" ref="BK27:BK32" si="76">200.69*T10^0.333</f>
        <v>0</v>
      </c>
      <c r="BN27" s="1">
        <f t="shared" si="50"/>
        <v>128</v>
      </c>
      <c r="BO27" s="47" t="s">
        <v>133</v>
      </c>
      <c r="BP27" s="16">
        <f t="shared" ref="BP27:BP32" si="77" xml:space="preserve"> 3.2753*Y10 + 16.246</f>
        <v>138.13584725544999</v>
      </c>
      <c r="BQ27" s="16">
        <f t="shared" ref="BQ27:BQ32" si="78" xml:space="preserve"> 13.101*X10 + 16.246</f>
        <v>138.13398651220135</v>
      </c>
      <c r="BR27" s="16">
        <f t="shared" ref="BR27:BR32" si="79" xml:space="preserve"> 45.439*W10 + 18.146</f>
        <v>123.83389060239504</v>
      </c>
      <c r="BS27" s="16">
        <f t="shared" ref="BS27:BS32" si="80" xml:space="preserve"> 129.75*V10 + 19.261</f>
        <v>75.521969814092728</v>
      </c>
      <c r="BT27" s="16">
        <f t="shared" ref="BT27:BT32" si="81">408.35*U10 + 18.101</f>
        <v>62.367217771839627</v>
      </c>
      <c r="BU27" s="16">
        <f t="shared" ref="BU27:BU32" si="82">268.12*T10 + 67.995</f>
        <v>67.995000000000005</v>
      </c>
      <c r="BW27" s="1">
        <f t="shared" si="52"/>
        <v>128</v>
      </c>
      <c r="BX27" s="47" t="s">
        <v>133</v>
      </c>
      <c r="BY27" s="16">
        <f t="shared" ref="BY27:BY32" si="83" xml:space="preserve"> 7.3072*Y10^0.8093</f>
        <v>136.43689124312615</v>
      </c>
      <c r="BZ27" s="16">
        <f t="shared" ref="BZ27:BZ32" si="84">22.438*X10^0.8093</f>
        <v>136.43249261865367</v>
      </c>
      <c r="CA27" s="16">
        <f t="shared" ref="CA27:CA32" si="85" xml:space="preserve"> 63.923*W10^0.7897</f>
        <v>124.49685404636813</v>
      </c>
      <c r="CB27" s="16">
        <f t="shared" ref="CB27:CB32" si="86">144.46*V10^0.7684</f>
        <v>76.014270757012255</v>
      </c>
      <c r="CC27" s="16">
        <f t="shared" ref="CC27:CC32" si="87">377.35*U10^0.8162</f>
        <v>61.538071923627697</v>
      </c>
      <c r="CD27" s="16">
        <f t="shared" ref="CD27:CD32" si="88" xml:space="preserve"> 193.76*T10^0.3028</f>
        <v>0</v>
      </c>
      <c r="CE27" s="1"/>
    </row>
    <row r="28" spans="1:83" x14ac:dyDescent="0.25">
      <c r="A28" s="1" t="s">
        <v>134</v>
      </c>
      <c r="B28" s="1">
        <v>128</v>
      </c>
      <c r="C28" s="24">
        <f t="shared" si="56"/>
        <v>21.125580649870781</v>
      </c>
      <c r="D28" s="24">
        <f t="shared" si="57"/>
        <v>38.074161455768063</v>
      </c>
      <c r="E28" s="24">
        <f t="shared" si="58"/>
        <v>28.617151338616932</v>
      </c>
      <c r="G28" s="31" t="s">
        <v>134</v>
      </c>
      <c r="H28" s="24">
        <f t="shared" ref="H28:H32" si="89">($D11-0.0009)/0.0002</f>
        <v>34.374447498062203</v>
      </c>
      <c r="I28" s="32">
        <f t="shared" si="59"/>
        <v>42.322201892750158</v>
      </c>
      <c r="J28" s="32">
        <f t="shared" si="60"/>
        <v>39.157632327795177</v>
      </c>
      <c r="K28" s="46"/>
      <c r="L28" s="31" t="s">
        <v>134</v>
      </c>
      <c r="M28" s="45">
        <f t="shared" ref="M28:M31" si="90">(K11-205.04)/-0.4563</f>
        <v>-112.52100226459201</v>
      </c>
      <c r="N28" s="45">
        <f t="shared" ref="N28:N32" si="91">-1.6001*K11 + 344.62</f>
        <v>-65.618971666666653</v>
      </c>
      <c r="O28" s="56">
        <f t="shared" ref="O28:O32" si="92">1000000000000*K11-4.601</f>
        <v>256383333333328.72</v>
      </c>
      <c r="P28" s="16"/>
      <c r="Q28" s="31" t="s">
        <v>134</v>
      </c>
      <c r="R28" s="45">
        <f>(J11-60.122)/0.0841</f>
        <v>1612.5009908838686</v>
      </c>
      <c r="S28" s="16">
        <f t="shared" ref="S28:S32" si="93">0.5169*J11+27.545</f>
        <v>128.71956</v>
      </c>
      <c r="T28" s="16">
        <f t="shared" si="61"/>
        <v>147.11135128513553</v>
      </c>
      <c r="U28" s="45"/>
      <c r="V28" s="31" t="s">
        <v>134</v>
      </c>
      <c r="W28" s="66">
        <f t="shared" ref="W28:W32" si="94">(I11-3.8633)/0.2077</f>
        <v>8.3615792007703398</v>
      </c>
      <c r="X28" s="13">
        <f t="shared" si="62"/>
        <v>30.164400000000001</v>
      </c>
      <c r="Y28" s="16">
        <f>8.9277*I11^0.6763</f>
        <v>28.624581823342357</v>
      </c>
      <c r="Z28" s="46"/>
      <c r="AB28" s="31" t="s">
        <v>134</v>
      </c>
      <c r="AC28" s="16">
        <f>(H11+0.1561)/0.0915</f>
        <v>2.2524590163934426</v>
      </c>
      <c r="AD28" s="16">
        <f t="shared" si="63"/>
        <v>26.941844999999997</v>
      </c>
      <c r="AE28" s="16">
        <f t="shared" si="64"/>
        <v>10.042178776596568</v>
      </c>
      <c r="AF28" s="45"/>
      <c r="AH28" s="31" t="s">
        <v>134</v>
      </c>
      <c r="AI28" s="16">
        <f>(G11+0.0678)/0.0239</f>
        <v>2.8368200836820083</v>
      </c>
      <c r="AJ28" s="16">
        <f t="shared" si="65"/>
        <v>39.701999999999998</v>
      </c>
      <c r="AK28" s="16">
        <f t="shared" si="66"/>
        <v>34.914999999999999</v>
      </c>
      <c r="AM28" s="1"/>
      <c r="AN28" s="31" t="s">
        <v>134</v>
      </c>
      <c r="AO28" s="16">
        <f t="shared" ref="AO28:AO32" si="95">(F11+0.168)/0.0069</f>
        <v>24.347826086956523</v>
      </c>
      <c r="AP28" s="16">
        <f t="shared" ref="AP28:AP32" si="96">70.576*F11 + 43.217</f>
        <v>43.216999999999999</v>
      </c>
      <c r="AQ28" s="16">
        <f t="shared" ref="AQ28:AQ31" si="97">38.631*EXP(1.2111*F11)</f>
        <v>38.631</v>
      </c>
      <c r="AR28" s="16"/>
      <c r="AT28" s="1" t="s">
        <v>134</v>
      </c>
      <c r="AU28" s="1">
        <f t="shared" si="45"/>
        <v>128</v>
      </c>
      <c r="AV28" s="47" t="s">
        <v>134</v>
      </c>
      <c r="AW28" s="16">
        <f t="shared" ref="AW28:AW31" si="98">0.6229*Y11 + 31.496</f>
        <v>38.074157330559025</v>
      </c>
      <c r="AX28" s="16">
        <f t="shared" si="67"/>
        <v>38.074157330559068</v>
      </c>
      <c r="AY28" s="16">
        <f t="shared" si="68"/>
        <v>38.074157330559075</v>
      </c>
      <c r="AZ28" s="16">
        <f t="shared" si="69"/>
        <v>37.663143822065457</v>
      </c>
      <c r="BA28" s="16">
        <f t="shared" si="70"/>
        <v>33.411000000000001</v>
      </c>
      <c r="BB28" s="13">
        <f t="shared" si="71"/>
        <v>59.341999999999999</v>
      </c>
      <c r="BD28" s="1">
        <f t="shared" si="48"/>
        <v>128</v>
      </c>
      <c r="BE28" s="47" t="s">
        <v>134</v>
      </c>
      <c r="BF28" s="16">
        <f t="shared" ref="BF28:BF31" si="99">7.9979*Y11^0.5407</f>
        <v>28.607700447703241</v>
      </c>
      <c r="BG28" s="16">
        <f t="shared" si="72"/>
        <v>28.608943494172923</v>
      </c>
      <c r="BH28" s="16">
        <f t="shared" si="73"/>
        <v>28.611500689803187</v>
      </c>
      <c r="BI28" s="16">
        <f t="shared" si="74"/>
        <v>27.648962903321891</v>
      </c>
      <c r="BJ28" s="16">
        <f t="shared" si="75"/>
        <v>0</v>
      </c>
      <c r="BK28" s="16">
        <f t="shared" si="76"/>
        <v>0</v>
      </c>
      <c r="BN28" s="1">
        <f t="shared" si="50"/>
        <v>128</v>
      </c>
      <c r="BO28" s="47" t="s">
        <v>134</v>
      </c>
      <c r="BP28" s="16">
        <f t="shared" si="77"/>
        <v>50.834920701204027</v>
      </c>
      <c r="BQ28" s="16">
        <f t="shared" si="78"/>
        <v>50.834392674447884</v>
      </c>
      <c r="BR28" s="16">
        <f t="shared" si="79"/>
        <v>48.137259727010147</v>
      </c>
      <c r="BS28" s="16">
        <f t="shared" si="80"/>
        <v>39.324156254088734</v>
      </c>
      <c r="BT28" s="16">
        <f t="shared" si="81"/>
        <v>18.100999999999999</v>
      </c>
      <c r="BU28" s="16">
        <f t="shared" si="82"/>
        <v>67.995000000000005</v>
      </c>
      <c r="BW28" s="1">
        <f t="shared" si="52"/>
        <v>128</v>
      </c>
      <c r="BX28" s="47" t="s">
        <v>134</v>
      </c>
      <c r="BY28" s="16">
        <f t="shared" si="83"/>
        <v>49.228886624186863</v>
      </c>
      <c r="BZ28" s="16">
        <f t="shared" si="84"/>
        <v>49.227299521289261</v>
      </c>
      <c r="CA28" s="16">
        <f t="shared" si="85"/>
        <v>46.043504745447692</v>
      </c>
      <c r="CB28" s="16">
        <f t="shared" si="86"/>
        <v>34.419099043102484</v>
      </c>
      <c r="CC28" s="16">
        <f t="shared" si="87"/>
        <v>0</v>
      </c>
      <c r="CD28" s="16">
        <f t="shared" si="88"/>
        <v>0</v>
      </c>
      <c r="CE28" s="1"/>
    </row>
    <row r="29" spans="1:83" x14ac:dyDescent="0.25">
      <c r="A29" s="1" t="s">
        <v>135</v>
      </c>
      <c r="B29" s="1">
        <v>64</v>
      </c>
      <c r="C29" s="24">
        <f>(C12+0.0087)/0.0009</f>
        <v>47.327378278646002</v>
      </c>
      <c r="D29" s="24">
        <f t="shared" si="57"/>
        <v>53.115696411530919</v>
      </c>
      <c r="E29" s="24">
        <f t="shared" si="58"/>
        <v>54.454083821996328</v>
      </c>
      <c r="G29" s="31" t="s">
        <v>135</v>
      </c>
      <c r="H29" s="24">
        <f t="shared" si="89"/>
        <v>118.23583380553599</v>
      </c>
      <c r="I29" s="32">
        <f t="shared" si="59"/>
        <v>98.574742600077442</v>
      </c>
      <c r="J29" s="32">
        <f>1994.7*(D12^0.8093)</f>
        <v>99.290043013447303</v>
      </c>
      <c r="K29" s="46"/>
      <c r="L29" s="31" t="s">
        <v>135</v>
      </c>
      <c r="M29" s="16">
        <f>(K12-205.04)/-0.4563</f>
        <v>62.619621593980547</v>
      </c>
      <c r="N29" s="16">
        <f t="shared" si="91"/>
        <v>62.255686666666634</v>
      </c>
      <c r="O29" s="56">
        <f t="shared" si="92"/>
        <v>176466666666662.06</v>
      </c>
      <c r="P29" s="16"/>
      <c r="Q29" s="31" t="s">
        <v>135</v>
      </c>
      <c r="R29" s="45">
        <f t="shared" ref="R29:R32" si="100">(J12-60.122)/0.0841</f>
        <v>1324.1537851763774</v>
      </c>
      <c r="S29" s="16">
        <f t="shared" si="93"/>
        <v>116.184735</v>
      </c>
      <c r="T29" s="16">
        <f t="shared" si="61"/>
        <v>130.27180720268166</v>
      </c>
      <c r="U29" s="45"/>
      <c r="V29" s="31" t="s">
        <v>135</v>
      </c>
      <c r="W29" s="66">
        <f>(I12-3.8633)/0.2077</f>
        <v>377.4034665382764</v>
      </c>
      <c r="X29" s="13">
        <f t="shared" si="62"/>
        <v>247.19887500000002</v>
      </c>
      <c r="Y29" s="16">
        <f t="shared" ref="Y29:Y32" si="101">8.9277*I12^0.6763</f>
        <v>176.17569838163556</v>
      </c>
      <c r="Z29" s="46"/>
      <c r="AB29" s="31" t="s">
        <v>135</v>
      </c>
      <c r="AC29" s="16">
        <f t="shared" ref="AC29:AC31" si="102">(H12+0.1561)/0.0915</f>
        <v>23.017486338797816</v>
      </c>
      <c r="AD29" s="16">
        <f t="shared" si="63"/>
        <v>39.019954999999996</v>
      </c>
      <c r="AE29" s="16">
        <f t="shared" si="64"/>
        <v>41.866420008767221</v>
      </c>
      <c r="AF29" s="45"/>
      <c r="AH29" s="31" t="s">
        <v>135</v>
      </c>
      <c r="AI29" s="16">
        <f t="shared" ref="AI29:AI32" si="103">(G12+0.0678)/0.0239</f>
        <v>4.2315202231520219</v>
      </c>
      <c r="AJ29" s="16">
        <f t="shared" si="65"/>
        <v>40.217433333333332</v>
      </c>
      <c r="AK29" s="16">
        <f t="shared" si="66"/>
        <v>35.259554292731977</v>
      </c>
      <c r="AM29" s="1"/>
      <c r="AN29" s="31" t="s">
        <v>135</v>
      </c>
      <c r="AO29" s="16">
        <f t="shared" si="95"/>
        <v>24.347826086956523</v>
      </c>
      <c r="AP29" s="16">
        <f t="shared" si="96"/>
        <v>43.216999999999999</v>
      </c>
      <c r="AQ29" s="16">
        <f t="shared" si="97"/>
        <v>38.631</v>
      </c>
      <c r="AR29" s="16"/>
      <c r="AT29" s="1" t="s">
        <v>135</v>
      </c>
      <c r="AU29" s="1">
        <f t="shared" si="45"/>
        <v>64</v>
      </c>
      <c r="AV29" s="47" t="s">
        <v>135</v>
      </c>
      <c r="AW29" s="16">
        <f t="shared" si="98"/>
        <v>53.115682853674762</v>
      </c>
      <c r="AX29" s="16">
        <f t="shared" si="67"/>
        <v>53.115682853674762</v>
      </c>
      <c r="AY29" s="16">
        <f t="shared" si="68"/>
        <v>53.115682853674741</v>
      </c>
      <c r="AZ29" s="16">
        <f t="shared" si="69"/>
        <v>53.117815150879217</v>
      </c>
      <c r="BA29" s="16">
        <f t="shared" si="70"/>
        <v>50.95799155206047</v>
      </c>
      <c r="BB29" s="13">
        <f xml:space="preserve"> 341.18*T12 + 59.342</f>
        <v>59.341999999999999</v>
      </c>
      <c r="BD29" s="1">
        <f t="shared" si="48"/>
        <v>64</v>
      </c>
      <c r="BE29" s="47" t="s">
        <v>135</v>
      </c>
      <c r="BF29" s="16">
        <f t="shared" si="99"/>
        <v>54.43610021489598</v>
      </c>
      <c r="BG29" s="16">
        <f t="shared" si="72"/>
        <v>54.438465543151352</v>
      </c>
      <c r="BH29" s="16">
        <f t="shared" si="73"/>
        <v>54.443331497262228</v>
      </c>
      <c r="BI29" s="16">
        <f t="shared" si="74"/>
        <v>54.458511303586427</v>
      </c>
      <c r="BJ29" s="16">
        <f t="shared" si="75"/>
        <v>49.011514068214645</v>
      </c>
      <c r="BK29" s="16">
        <f t="shared" si="76"/>
        <v>0</v>
      </c>
      <c r="BN29" s="1">
        <f t="shared" si="50"/>
        <v>64</v>
      </c>
      <c r="BO29" s="47" t="s">
        <v>135</v>
      </c>
      <c r="BP29" s="16">
        <f t="shared" si="77"/>
        <v>129.92547864928713</v>
      </c>
      <c r="BQ29" s="16">
        <f t="shared" si="78"/>
        <v>129.92374324369607</v>
      </c>
      <c r="BR29" s="16">
        <f t="shared" si="79"/>
        <v>116.71486831635562</v>
      </c>
      <c r="BS29" s="16">
        <f t="shared" si="80"/>
        <v>89.626273575822253</v>
      </c>
      <c r="BT29" s="16">
        <f t="shared" si="81"/>
        <v>64.725895889405848</v>
      </c>
      <c r="BU29" s="16">
        <f t="shared" si="82"/>
        <v>67.995000000000005</v>
      </c>
      <c r="BW29" s="1">
        <f t="shared" si="52"/>
        <v>64</v>
      </c>
      <c r="BX29" s="47" t="s">
        <v>135</v>
      </c>
      <c r="BY29" s="16">
        <f t="shared" si="83"/>
        <v>128.95013253278273</v>
      </c>
      <c r="BZ29" s="16">
        <f t="shared" si="84"/>
        <v>128.94597527587422</v>
      </c>
      <c r="CA29" s="16">
        <f t="shared" si="85"/>
        <v>117.82622122727562</v>
      </c>
      <c r="CB29" s="16">
        <f t="shared" si="86"/>
        <v>90.270550237634694</v>
      </c>
      <c r="CC29" s="16">
        <f t="shared" si="87"/>
        <v>64.201546348510718</v>
      </c>
      <c r="CD29" s="16">
        <f t="shared" si="88"/>
        <v>0</v>
      </c>
      <c r="CE29" s="1"/>
    </row>
    <row r="30" spans="1:83" x14ac:dyDescent="0.25">
      <c r="A30" s="1" t="s">
        <v>136</v>
      </c>
      <c r="B30" s="1">
        <v>128</v>
      </c>
      <c r="C30" s="24">
        <f>(C13+0.0087)/0.0009</f>
        <v>26.219116975681892</v>
      </c>
      <c r="D30" s="24">
        <f t="shared" si="57"/>
        <v>40.998182386644821</v>
      </c>
      <c r="E30" s="24">
        <f t="shared" si="58"/>
        <v>34.912936092268282</v>
      </c>
      <c r="G30" s="31" t="s">
        <v>136</v>
      </c>
      <c r="H30" s="24">
        <f t="shared" si="89"/>
        <v>35.720502265398899</v>
      </c>
      <c r="I30" s="32">
        <f t="shared" si="59"/>
        <v>43.225108509584274</v>
      </c>
      <c r="J30" s="32">
        <f t="shared" si="60"/>
        <v>40.251356089000254</v>
      </c>
      <c r="K30" s="46"/>
      <c r="L30" s="31" t="s">
        <v>136</v>
      </c>
      <c r="M30" s="16">
        <f t="shared" si="90"/>
        <v>78.617868361458108</v>
      </c>
      <c r="N30" s="16">
        <f t="shared" si="91"/>
        <v>73.936416666666673</v>
      </c>
      <c r="O30" s="56">
        <f t="shared" si="92"/>
        <v>169166666666662.06</v>
      </c>
      <c r="P30" s="16"/>
      <c r="Q30" s="31" t="s">
        <v>136</v>
      </c>
      <c r="R30" s="45">
        <f>(J13-60.122)/0.0841</f>
        <v>606.95204122076905</v>
      </c>
      <c r="S30" s="16">
        <f t="shared" si="93"/>
        <v>85.007050000000007</v>
      </c>
      <c r="T30" s="16">
        <f t="shared" si="61"/>
        <v>87.464599916915816</v>
      </c>
      <c r="U30" s="16"/>
      <c r="V30" s="31" t="s">
        <v>136</v>
      </c>
      <c r="W30" s="66">
        <f t="shared" si="94"/>
        <v>18.392071898571658</v>
      </c>
      <c r="X30" s="13">
        <f t="shared" si="62"/>
        <v>36.063358333333333</v>
      </c>
      <c r="Y30" s="16">
        <f t="shared" si="101"/>
        <v>35.451681043177459</v>
      </c>
      <c r="Z30" s="46"/>
      <c r="AB30" s="31" t="s">
        <v>136</v>
      </c>
      <c r="AC30" s="16">
        <f t="shared" si="102"/>
        <v>8.2633879781420774</v>
      </c>
      <c r="AD30" s="16">
        <f t="shared" si="63"/>
        <v>30.438139999999997</v>
      </c>
      <c r="AE30" s="16">
        <f t="shared" si="64"/>
        <v>26.447515495202428</v>
      </c>
      <c r="AF30" s="45"/>
      <c r="AH30" s="31" t="s">
        <v>136</v>
      </c>
      <c r="AI30" s="16">
        <f t="shared" si="103"/>
        <v>2.8368200836820083</v>
      </c>
      <c r="AJ30" s="16">
        <f t="shared" si="65"/>
        <v>39.701999999999998</v>
      </c>
      <c r="AK30" s="16">
        <f t="shared" si="66"/>
        <v>34.914999999999999</v>
      </c>
      <c r="AM30" s="1"/>
      <c r="AN30" s="31" t="s">
        <v>136</v>
      </c>
      <c r="AO30" s="16">
        <f t="shared" si="95"/>
        <v>24.347826086956523</v>
      </c>
      <c r="AP30" s="16">
        <f t="shared" si="96"/>
        <v>43.216999999999999</v>
      </c>
      <c r="AQ30" s="16">
        <f t="shared" si="97"/>
        <v>38.631</v>
      </c>
      <c r="AR30" s="16"/>
      <c r="AT30" s="1" t="s">
        <v>136</v>
      </c>
      <c r="AU30" s="1">
        <f t="shared" si="45"/>
        <v>128</v>
      </c>
      <c r="AV30" s="47" t="s">
        <v>136</v>
      </c>
      <c r="AW30" s="16">
        <f t="shared" si="98"/>
        <v>40.998176427762694</v>
      </c>
      <c r="AX30" s="16">
        <f t="shared" si="67"/>
        <v>40.998176427762715</v>
      </c>
      <c r="AY30" s="16">
        <f t="shared" si="68"/>
        <v>40.998176427762729</v>
      </c>
      <c r="AZ30" s="16">
        <f t="shared" si="69"/>
        <v>41.000795059307585</v>
      </c>
      <c r="BA30" s="16">
        <f t="shared" si="70"/>
        <v>33.411000000000001</v>
      </c>
      <c r="BB30" s="13">
        <f t="shared" si="71"/>
        <v>59.341999999999999</v>
      </c>
      <c r="BD30" s="1">
        <f t="shared" si="48"/>
        <v>128</v>
      </c>
      <c r="BE30" s="47" t="s">
        <v>136</v>
      </c>
      <c r="BF30" s="16">
        <f t="shared" si="99"/>
        <v>34.90140600156915</v>
      </c>
      <c r="BG30" s="16">
        <f t="shared" si="72"/>
        <v>34.902922518759851</v>
      </c>
      <c r="BH30" s="16">
        <f t="shared" si="73"/>
        <v>34.906042298452746</v>
      </c>
      <c r="BI30" s="16">
        <f t="shared" si="74"/>
        <v>34.930129534914791</v>
      </c>
      <c r="BJ30" s="16">
        <f t="shared" si="75"/>
        <v>0</v>
      </c>
      <c r="BK30" s="16">
        <f t="shared" si="76"/>
        <v>0</v>
      </c>
      <c r="BN30" s="1">
        <f t="shared" si="50"/>
        <v>128</v>
      </c>
      <c r="BO30" s="47" t="s">
        <v>136</v>
      </c>
      <c r="BP30" s="16">
        <f t="shared" si="77"/>
        <v>66.209844042143445</v>
      </c>
      <c r="BQ30" s="16">
        <f t="shared" si="78"/>
        <v>66.20908130523334</v>
      </c>
      <c r="BR30" s="16">
        <f t="shared" si="79"/>
        <v>61.468503080461439</v>
      </c>
      <c r="BS30" s="16">
        <f t="shared" si="80"/>
        <v>50.187598157364015</v>
      </c>
      <c r="BT30" s="16">
        <f t="shared" si="81"/>
        <v>18.100999999999999</v>
      </c>
      <c r="BU30" s="16">
        <f t="shared" si="82"/>
        <v>67.995000000000005</v>
      </c>
      <c r="BW30" s="1">
        <f t="shared" si="52"/>
        <v>128</v>
      </c>
      <c r="BX30" s="47" t="s">
        <v>136</v>
      </c>
      <c r="BY30" s="16">
        <f t="shared" si="83"/>
        <v>66.294952780660694</v>
      </c>
      <c r="BZ30" s="16">
        <f t="shared" si="84"/>
        <v>66.292815480411207</v>
      </c>
      <c r="CA30" s="16">
        <f t="shared" si="85"/>
        <v>61.559961087008617</v>
      </c>
      <c r="CB30" s="16">
        <f t="shared" si="86"/>
        <v>47.996231039517724</v>
      </c>
      <c r="CC30" s="16">
        <f t="shared" si="87"/>
        <v>0</v>
      </c>
      <c r="CD30" s="16">
        <f t="shared" si="88"/>
        <v>0</v>
      </c>
      <c r="CE30" s="1"/>
    </row>
    <row r="31" spans="1:83" x14ac:dyDescent="0.25">
      <c r="A31" s="1" t="s">
        <v>137</v>
      </c>
      <c r="B31" s="1">
        <v>128</v>
      </c>
      <c r="C31" s="24">
        <f t="shared" si="56"/>
        <v>72.712478954005448</v>
      </c>
      <c r="D31" s="24">
        <f t="shared" si="57"/>
        <v>67.688394230731134</v>
      </c>
      <c r="E31" s="24">
        <f t="shared" si="58"/>
        <v>71.948486596817986</v>
      </c>
      <c r="G31" s="31" t="s">
        <v>137</v>
      </c>
      <c r="H31" s="24">
        <f t="shared" si="89"/>
        <v>171.8536905436255</v>
      </c>
      <c r="I31" s="32">
        <f t="shared" si="59"/>
        <v>134.54052854285311</v>
      </c>
      <c r="J31" s="32">
        <f t="shared" si="60"/>
        <v>133.13743373735352</v>
      </c>
      <c r="K31" s="13"/>
      <c r="L31" s="31" t="s">
        <v>137</v>
      </c>
      <c r="M31" s="16">
        <f t="shared" si="90"/>
        <v>143.23179194974065</v>
      </c>
      <c r="N31" s="16">
        <f t="shared" si="91"/>
        <v>121.11269833333333</v>
      </c>
      <c r="O31" s="56">
        <f t="shared" si="92"/>
        <v>139683333333328.75</v>
      </c>
      <c r="P31" s="16"/>
      <c r="Q31" s="31" t="s">
        <v>137</v>
      </c>
      <c r="R31" s="45">
        <f t="shared" si="100"/>
        <v>1342.584225128815</v>
      </c>
      <c r="S31" s="16">
        <f t="shared" si="93"/>
        <v>116.98593000000001</v>
      </c>
      <c r="T31" s="16">
        <f t="shared" si="61"/>
        <v>131.35365131305872</v>
      </c>
      <c r="U31" s="16"/>
      <c r="V31" s="31" t="s">
        <v>137</v>
      </c>
      <c r="W31" s="66">
        <f t="shared" si="94"/>
        <v>560.1991654630076</v>
      </c>
      <c r="X31" s="13">
        <f t="shared" si="62"/>
        <v>354.7014916666667</v>
      </c>
      <c r="Y31" s="16">
        <f t="shared" si="101"/>
        <v>227.72971489098444</v>
      </c>
      <c r="Z31" s="13"/>
      <c r="AB31" s="31" t="s">
        <v>137</v>
      </c>
      <c r="AC31" s="16">
        <f t="shared" si="102"/>
        <v>119.37449908925321</v>
      </c>
      <c r="AD31" s="16">
        <f t="shared" si="63"/>
        <v>95.066623333333339</v>
      </c>
      <c r="AE31" s="16">
        <f t="shared" si="64"/>
        <v>81.478196599739903</v>
      </c>
      <c r="AF31" s="16"/>
      <c r="AH31" s="31" t="s">
        <v>137</v>
      </c>
      <c r="AI31" s="16">
        <f t="shared" si="103"/>
        <v>22.362622036262202</v>
      </c>
      <c r="AJ31" s="16">
        <f t="shared" si="65"/>
        <v>46.918066666666661</v>
      </c>
      <c r="AK31" s="16">
        <f t="shared" si="66"/>
        <v>40.060729341415872</v>
      </c>
      <c r="AM31" s="1"/>
      <c r="AN31" s="31" t="s">
        <v>137</v>
      </c>
      <c r="AO31" s="16">
        <f t="shared" si="95"/>
        <v>26.763285024154591</v>
      </c>
      <c r="AP31" s="16">
        <f t="shared" si="96"/>
        <v>44.393266666666662</v>
      </c>
      <c r="AQ31" s="16">
        <f t="shared" si="97"/>
        <v>39.418689749666562</v>
      </c>
      <c r="AR31" s="16"/>
      <c r="AT31" s="1" t="s">
        <v>137</v>
      </c>
      <c r="AU31" s="1">
        <f t="shared" si="45"/>
        <v>128</v>
      </c>
      <c r="AV31" s="47" t="s">
        <v>137</v>
      </c>
      <c r="AW31" s="16">
        <f t="shared" si="98"/>
        <v>67.688371534238698</v>
      </c>
      <c r="AX31" s="16">
        <f t="shared" si="67"/>
        <v>67.68837153423857</v>
      </c>
      <c r="AY31" s="16">
        <f t="shared" si="68"/>
        <v>67.688371534238684</v>
      </c>
      <c r="AZ31" s="16">
        <f t="shared" si="69"/>
        <v>67.689918958723638</v>
      </c>
      <c r="BA31" s="16">
        <f t="shared" si="70"/>
        <v>68.082911017010773</v>
      </c>
      <c r="BB31" s="13">
        <f t="shared" si="71"/>
        <v>74.456304696271587</v>
      </c>
      <c r="BD31" s="1">
        <f t="shared" si="48"/>
        <v>128</v>
      </c>
      <c r="BE31" s="47" t="s">
        <v>137</v>
      </c>
      <c r="BF31" s="16">
        <f t="shared" si="99"/>
        <v>71.924725416322232</v>
      </c>
      <c r="BG31" s="16">
        <f t="shared" si="72"/>
        <v>71.927850650947946</v>
      </c>
      <c r="BH31" s="16">
        <f t="shared" si="73"/>
        <v>71.934279884708971</v>
      </c>
      <c r="BI31" s="16">
        <f t="shared" si="74"/>
        <v>71.93580184996776</v>
      </c>
      <c r="BJ31" s="16">
        <f t="shared" si="75"/>
        <v>71.431757180459684</v>
      </c>
      <c r="BK31" s="16">
        <f t="shared" si="76"/>
        <v>71.085081799274192</v>
      </c>
      <c r="BN31" s="1">
        <f t="shared" si="50"/>
        <v>128</v>
      </c>
      <c r="BO31" s="47" t="s">
        <v>137</v>
      </c>
      <c r="BP31" s="16">
        <f t="shared" si="77"/>
        <v>206.55082338431853</v>
      </c>
      <c r="BQ31" s="16">
        <f t="shared" si="78"/>
        <v>206.5479182332877</v>
      </c>
      <c r="BR31" s="16">
        <f t="shared" si="79"/>
        <v>183.15494707660451</v>
      </c>
      <c r="BS31" s="16">
        <f t="shared" si="80"/>
        <v>137.05579567766384</v>
      </c>
      <c r="BT31" s="16">
        <f t="shared" si="81"/>
        <v>110.22928516265193</v>
      </c>
      <c r="BU31" s="16">
        <f t="shared" si="82"/>
        <v>79.872740122997655</v>
      </c>
      <c r="BW31" s="1">
        <f t="shared" si="52"/>
        <v>128</v>
      </c>
      <c r="BX31" s="47" t="s">
        <v>137</v>
      </c>
      <c r="BY31" s="16">
        <f t="shared" si="83"/>
        <v>195.66674067824201</v>
      </c>
      <c r="BZ31" s="16">
        <f t="shared" si="84"/>
        <v>195.66043252722616</v>
      </c>
      <c r="CA31" s="16">
        <f t="shared" si="85"/>
        <v>176.99105596955152</v>
      </c>
      <c r="CB31" s="16">
        <f t="shared" si="86"/>
        <v>134.11866065202094</v>
      </c>
      <c r="CC31" s="16">
        <f t="shared" si="87"/>
        <v>111.93274007846223</v>
      </c>
      <c r="CD31" s="16">
        <f t="shared" si="88"/>
        <v>75.404183420842529</v>
      </c>
      <c r="CE31" s="1"/>
    </row>
    <row r="32" spans="1:83" x14ac:dyDescent="0.25">
      <c r="A32" s="1" t="s">
        <v>138</v>
      </c>
      <c r="B32" s="1">
        <v>128</v>
      </c>
      <c r="C32" s="24">
        <f t="shared" si="56"/>
        <v>144.65324145357667</v>
      </c>
      <c r="D32" s="24">
        <f t="shared" si="57"/>
        <v>108.98706805504749</v>
      </c>
      <c r="E32" s="24">
        <f t="shared" si="58"/>
        <v>108.59145369385539</v>
      </c>
      <c r="G32" s="31" t="s">
        <v>138</v>
      </c>
      <c r="H32" s="24">
        <f t="shared" si="89"/>
        <v>312.02028594886252</v>
      </c>
      <c r="I32" s="32">
        <f t="shared" si="59"/>
        <v>228.56147740877799</v>
      </c>
      <c r="J32" s="32">
        <f t="shared" si="60"/>
        <v>213.73524192239634</v>
      </c>
      <c r="K32" s="13"/>
      <c r="L32" s="31" t="s">
        <v>138</v>
      </c>
      <c r="M32" s="16">
        <f>(K15-205.04)/-0.4563</f>
        <v>110.76046460661844</v>
      </c>
      <c r="N32" s="16">
        <f t="shared" si="91"/>
        <v>97.40455</v>
      </c>
      <c r="O32" s="56">
        <f t="shared" si="92"/>
        <v>154499999999995.41</v>
      </c>
      <c r="P32" s="16"/>
      <c r="Q32" s="31" t="s">
        <v>138</v>
      </c>
      <c r="R32" s="45">
        <f t="shared" si="100"/>
        <v>1097.8359096313911</v>
      </c>
      <c r="S32" s="16">
        <f t="shared" si="93"/>
        <v>106.346405</v>
      </c>
      <c r="T32" s="16">
        <f t="shared" si="61"/>
        <v>116.92018501445042</v>
      </c>
      <c r="U32" s="16"/>
      <c r="V32" s="31" t="s">
        <v>138</v>
      </c>
      <c r="W32" s="16">
        <f t="shared" si="94"/>
        <v>758.16096934681434</v>
      </c>
      <c r="X32" s="13">
        <f t="shared" si="62"/>
        <v>471.12333333333339</v>
      </c>
      <c r="Y32" s="16">
        <f t="shared" si="101"/>
        <v>277.85831750426343</v>
      </c>
      <c r="Z32" s="13"/>
      <c r="AB32" s="31" t="s">
        <v>138</v>
      </c>
      <c r="AC32" s="16">
        <f>(H15+0.1561)/0.0915</f>
        <v>376.02295081967219</v>
      </c>
      <c r="AD32" s="16">
        <f t="shared" si="63"/>
        <v>244.347825</v>
      </c>
      <c r="AE32" s="16">
        <f t="shared" si="64"/>
        <v>127.90766310578329</v>
      </c>
      <c r="AF32" s="16"/>
      <c r="AH32" s="31" t="s">
        <v>138</v>
      </c>
      <c r="AI32" s="16">
        <f t="shared" si="103"/>
        <v>90.702928870292894</v>
      </c>
      <c r="AJ32" s="16">
        <f t="shared" si="65"/>
        <v>72.174299999999988</v>
      </c>
      <c r="AK32" s="16">
        <f t="shared" si="66"/>
        <v>64.817558833022787</v>
      </c>
      <c r="AM32" s="1"/>
      <c r="AN32" s="31" t="s">
        <v>138</v>
      </c>
      <c r="AO32" s="16">
        <f t="shared" si="95"/>
        <v>29.178743961352659</v>
      </c>
      <c r="AP32" s="16">
        <f t="shared" si="96"/>
        <v>45.569533333333332</v>
      </c>
      <c r="AQ32" s="16">
        <f>38.631*EXP(1.2111*F15)</f>
        <v>40.222440567949768</v>
      </c>
      <c r="AR32" s="16"/>
      <c r="AT32" s="1" t="s">
        <v>138</v>
      </c>
      <c r="AU32" s="1">
        <f t="shared" si="45"/>
        <v>128</v>
      </c>
      <c r="AV32" s="47" t="s">
        <v>138</v>
      </c>
      <c r="AW32" s="16">
        <f>0.6229*Y15 + 31.496</f>
        <v>108.98701945988103</v>
      </c>
      <c r="AX32" s="16">
        <f t="shared" si="67"/>
        <v>108.9870194598809</v>
      </c>
      <c r="AY32" s="16">
        <f t="shared" si="68"/>
        <v>108.9870194598811</v>
      </c>
      <c r="AZ32" s="16">
        <f t="shared" si="69"/>
        <v>108.9869093691977</v>
      </c>
      <c r="BA32" s="16">
        <f t="shared" si="70"/>
        <v>108.09205252770886</v>
      </c>
      <c r="BB32" s="13">
        <f xml:space="preserve"> 341.18*T15 + 59.342</f>
        <v>86.294423220422289</v>
      </c>
      <c r="BD32" s="1">
        <f t="shared" si="48"/>
        <v>128</v>
      </c>
      <c r="BE32" s="47" t="s">
        <v>138</v>
      </c>
      <c r="BF32" s="16">
        <f>7.9979*Y15^0.5407</f>
        <v>108.55559107528565</v>
      </c>
      <c r="BG32" s="16">
        <f t="shared" si="72"/>
        <v>108.56030797465634</v>
      </c>
      <c r="BH32" s="16">
        <f t="shared" si="73"/>
        <v>108.57001158168504</v>
      </c>
      <c r="BI32" s="16">
        <f t="shared" si="74"/>
        <v>108.53098774822755</v>
      </c>
      <c r="BJ32" s="16">
        <f t="shared" si="75"/>
        <v>109.19488940307023</v>
      </c>
      <c r="BK32" s="16">
        <f t="shared" si="76"/>
        <v>86.184919258950003</v>
      </c>
      <c r="BN32" s="1">
        <f t="shared" si="50"/>
        <v>128</v>
      </c>
      <c r="BO32" s="47" t="s">
        <v>138</v>
      </c>
      <c r="BP32" s="16">
        <f t="shared" si="77"/>
        <v>423.70520057304276</v>
      </c>
      <c r="BQ32" s="16">
        <f t="shared" si="78"/>
        <v>423.69898039167595</v>
      </c>
      <c r="BR32" s="16">
        <f t="shared" si="79"/>
        <v>371.44452637236492</v>
      </c>
      <c r="BS32" s="16">
        <f t="shared" si="80"/>
        <v>271.46991633186343</v>
      </c>
      <c r="BT32" s="16">
        <f t="shared" si="81"/>
        <v>216.53936413124617</v>
      </c>
      <c r="BU32" s="16">
        <f t="shared" si="82"/>
        <v>89.175853842135012</v>
      </c>
      <c r="BW32" s="1">
        <f t="shared" si="52"/>
        <v>128</v>
      </c>
      <c r="BX32" s="47" t="s">
        <v>138</v>
      </c>
      <c r="BY32" s="16">
        <f t="shared" si="83"/>
        <v>362.32589731034267</v>
      </c>
      <c r="BZ32" s="16">
        <f t="shared" si="84"/>
        <v>362.31421619136893</v>
      </c>
      <c r="CA32" s="16">
        <f t="shared" si="85"/>
        <v>322.88900229882751</v>
      </c>
      <c r="CB32" s="16">
        <f t="shared" si="86"/>
        <v>240.74020676375775</v>
      </c>
      <c r="CC32" s="16">
        <f t="shared" si="87"/>
        <v>209.38309970162845</v>
      </c>
      <c r="CD32" s="16">
        <f t="shared" si="88"/>
        <v>89.838340603076603</v>
      </c>
      <c r="CE32" s="1"/>
    </row>
    <row r="36" spans="2:75" x14ac:dyDescent="0.25">
      <c r="BB36" t="s">
        <v>130</v>
      </c>
    </row>
    <row r="37" spans="2:75" x14ac:dyDescent="0.25">
      <c r="BB37" s="25" t="s">
        <v>83</v>
      </c>
      <c r="BC37" s="1" t="s">
        <v>44</v>
      </c>
      <c r="BD37" s="1" t="s">
        <v>45</v>
      </c>
      <c r="BU37" s="25" t="s">
        <v>83</v>
      </c>
      <c r="BV37" s="1" t="s">
        <v>44</v>
      </c>
      <c r="BW37" s="1" t="s">
        <v>45</v>
      </c>
    </row>
    <row r="38" spans="2:75" x14ac:dyDescent="0.25">
      <c r="BB38" s="26" t="s">
        <v>119</v>
      </c>
      <c r="BC38" s="19" cm="1">
        <f t="array" ref="BC38">SQRT(SUMSQ($AU23:$AU32-AW23:AW32)/COUNTA($AU23:$AU32-AW23:AW32))</f>
        <v>50.975835530394846</v>
      </c>
      <c r="BD38" s="19" cm="1">
        <f t="array" ref="BD38">SQRT(SUMSQ($BD23:$BD32-BF23:BF32)/COUNTA($BD23:$BD32-BF23:BF32))</f>
        <v>53.86977071247648</v>
      </c>
      <c r="BU38" s="26" t="s">
        <v>119</v>
      </c>
      <c r="BV38" s="19" cm="1">
        <f t="array" ref="BV38">SQRT(SUMSQ($BN23:$BN32-BP23:BP32)/COUNTA($BN23:$BN32-BP23:BP32))</f>
        <v>156.64760470440177</v>
      </c>
      <c r="BW38" s="19" cm="1">
        <f t="array" ref="BW38">SQRT(SUMSQ($BW23:$BW26-BY23:BY26)/COUNTA($BW23:$BW26-BY23:BY26))</f>
        <v>156.05766872031012</v>
      </c>
    </row>
    <row r="39" spans="2:75" x14ac:dyDescent="0.25">
      <c r="BB39" s="27" t="s">
        <v>120</v>
      </c>
      <c r="BC39" s="19" cm="1">
        <f t="array" ref="BC39">SQRT(SUMSQ($AU23:$AU32-AX23:AX32)/COUNTA($AU23:$AU32-AX23:AX32))</f>
        <v>50.975835530394853</v>
      </c>
      <c r="BD39" s="19" cm="1">
        <f t="array" ref="BD39">SQRT(SUMSQ($BD23:$BD32-BG23:BG32)/COUNTA($BD23:$BD32-BG23:BG32))</f>
        <v>53.868435545769721</v>
      </c>
      <c r="BU39" s="27" t="s">
        <v>120</v>
      </c>
      <c r="BV39" s="19" cm="1">
        <f t="array" ref="BV39">SQRT(SUMSQ($BN23:$BN32-BQ23:BQ32)/COUNTA($BN23:$BN32-BQ23:BQ32))</f>
        <v>156.64454287902262</v>
      </c>
      <c r="BW39" s="19" cm="1">
        <f t="array" ref="BW39">SQRT(SUMSQ($BD23:$BD26-BZ23:BZ26)/COUNTA($BD23:$BD26-BZ23:BZ26))</f>
        <v>156.05061905966915</v>
      </c>
    </row>
    <row r="40" spans="2:75" x14ac:dyDescent="0.25">
      <c r="BB40" s="28" t="s">
        <v>121</v>
      </c>
      <c r="BC40" s="19" cm="1">
        <f t="array" ref="BC40">SQRT(SUMSQ($AU23:$AU32-AY23:AY32)/COUNTA($AU23:$AU32-AY23:AY32))</f>
        <v>50.975835530394832</v>
      </c>
      <c r="BD40" s="19" cm="1">
        <f t="array" ref="BD40">SQRT(SUMSQ($BD23:$BD32-BH23:BH32)/COUNTA($BD23:$BD32-BH23:BH32))</f>
        <v>53.865689245618185</v>
      </c>
      <c r="BU40" s="28" t="s">
        <v>121</v>
      </c>
      <c r="BV40" s="19" cm="1">
        <f t="array" ref="BV40">SQRT(SUMSQ($BN23:$BN32-BR23:BR32)/COUNTA($BN23:$BN32-BR23:BR32))</f>
        <v>131.30148205156937</v>
      </c>
      <c r="BW40" s="19" cm="1">
        <f t="array" ref="BW40">SQRT(SUMSQ($BD23:$BD26-CA23:CA26)/COUNTA($BD23:$BD26-CA23:CA26))</f>
        <v>133.07996803888301</v>
      </c>
    </row>
    <row r="41" spans="2:75" x14ac:dyDescent="0.25">
      <c r="BB41" s="29" t="s">
        <v>122</v>
      </c>
      <c r="BC41" s="19" cm="1">
        <f t="array" ref="BC41">SQRT(SUMSQ($AU23:$AU32-AZ23:AZ32)/COUNTA($AU23:$AU32-AZ23:AZ32))</f>
        <v>51.950474339487791</v>
      </c>
      <c r="BD41" s="19" cm="1">
        <f t="array" ref="BD41">SQRT(SUMSQ($BD23:$BD32-BI23:BI32)/COUNTA($BD23:$BD32-BI23:BI32))</f>
        <v>55.296703771537345</v>
      </c>
      <c r="BU41" s="29" t="s">
        <v>122</v>
      </c>
      <c r="BV41" s="19" cm="1">
        <f t="array" ref="BV41">SQRT(SUMSQ($BN23:$BN32-BS23:BS32)/COUNTA($BN23:$BN32-BS23:BS32))</f>
        <v>87.348700915249168</v>
      </c>
      <c r="BW41" s="19" cm="1">
        <f t="array" ref="BW41">SQRT(SUMSQ($BD23:$BD26-CB23:CB26)/COUNTA($BD23:$BD26-CB23:CB26))</f>
        <v>84.958744713211914</v>
      </c>
    </row>
    <row r="42" spans="2:75" x14ac:dyDescent="0.25">
      <c r="BB42" s="25" t="s">
        <v>123</v>
      </c>
      <c r="BC42" s="19" cm="1">
        <f t="array" ref="BC42">SQRT(SUMSQ($AU23:$AU32-BA23:BA32)/COUNTA($AU23:$AU32-BA23:BA32))</f>
        <v>53.960098139520326</v>
      </c>
      <c r="BD42" s="19" cm="1">
        <f t="array" ref="BD42">SQRT(SUMSQ($BD23:$BD32-BJ23:BJ32)/COUNTA($BD23:$BD32-BJ23:BJ32))</f>
        <v>68.772615822289183</v>
      </c>
      <c r="BU42" s="25" t="s">
        <v>123</v>
      </c>
      <c r="BV42" s="19" cm="1">
        <f t="array" ref="BV42">SQRT(SUMSQ($BN23:$BN32-BT23:BT32)/COUNTA($BN23:$BN32-BT23:BT32))</f>
        <v>74.400408223600266</v>
      </c>
      <c r="BW42" s="19" cm="1">
        <f t="array" ref="BW42">SQRT(SUMSQ($BD23:$BD26-CC23:CC26)/COUNTA($BD23:$BD26-CC23:CC26))</f>
        <v>70.201493122626488</v>
      </c>
    </row>
    <row r="43" spans="2:75" x14ac:dyDescent="0.25">
      <c r="BB43" s="25" t="s">
        <v>124</v>
      </c>
      <c r="BC43" s="40" cm="1">
        <f t="array" ref="BC43">SQRT(SUMSQ($AU23:$AU32-BB23:BB32)/COUNTA($AU23:$AU32-BB23:BB32))</f>
        <v>43.615975951546872</v>
      </c>
      <c r="BD43" s="19" cm="1">
        <f t="array" ref="BD43">SQRT(SUMSQ($BD23:$BD32-BK23:BK32)/COUNTA($BD23:$BD32-BK23:BK32))</f>
        <v>80.236770780059842</v>
      </c>
      <c r="BU43" s="25" t="s">
        <v>124</v>
      </c>
      <c r="BV43" s="40" cm="1">
        <f t="array" ref="BV43">SQRT(SUMSQ($BN23:$BN32-BU23:BU32)/COUNTA($BN23:$BN32-BU23:BU32))</f>
        <v>39.029567946091205</v>
      </c>
      <c r="BW43" s="19" cm="1">
        <f t="array" ref="BW43">SQRT(SUMSQ($BD23:$BD26-CD23:CD26)/COUNTA($BD23:$BD26-CD23:CD26))</f>
        <v>39.386628979429346</v>
      </c>
    </row>
    <row r="44" spans="2:75" x14ac:dyDescent="0.25">
      <c r="B44">
        <v>0</v>
      </c>
      <c r="C44">
        <v>0</v>
      </c>
    </row>
    <row r="45" spans="2:75" x14ac:dyDescent="0.25">
      <c r="B45">
        <v>150</v>
      </c>
      <c r="C45">
        <v>150</v>
      </c>
    </row>
    <row r="50" spans="2:81" x14ac:dyDescent="0.25">
      <c r="B50" s="1" t="s">
        <v>83</v>
      </c>
      <c r="C50" s="1" t="s">
        <v>84</v>
      </c>
      <c r="H50" s="25" t="s">
        <v>83</v>
      </c>
      <c r="I50" s="1" t="s">
        <v>96</v>
      </c>
      <c r="M50" s="25" t="s">
        <v>83</v>
      </c>
      <c r="N50" s="1" t="s">
        <v>119</v>
      </c>
      <c r="Q50" s="25" t="s">
        <v>83</v>
      </c>
      <c r="R50" s="1" t="s">
        <v>120</v>
      </c>
      <c r="W50" s="25" t="s">
        <v>83</v>
      </c>
      <c r="X50" s="1" t="s">
        <v>121</v>
      </c>
      <c r="AB50" s="25" t="s">
        <v>83</v>
      </c>
      <c r="AC50" s="1" t="s">
        <v>122</v>
      </c>
      <c r="AI50" s="25" t="s">
        <v>83</v>
      </c>
      <c r="AJ50" s="1" t="s">
        <v>123</v>
      </c>
      <c r="AO50" s="25" t="s">
        <v>83</v>
      </c>
      <c r="AP50" s="1" t="s">
        <v>124</v>
      </c>
    </row>
    <row r="51" spans="2:81" x14ac:dyDescent="0.25">
      <c r="B51" s="18">
        <v>1</v>
      </c>
      <c r="C51" s="19" cm="1">
        <f t="array" ref="C51">SQRT(SUMSQ(B23:B32-C23:C32)/COUNTA(B23:B32-C23:C32))</f>
        <v>59.771359364921274</v>
      </c>
      <c r="H51" s="26">
        <v>1</v>
      </c>
      <c r="I51" s="19" cm="1">
        <f t="array" ref="I51">SQRT(SUMSQ($B23:$B32-H23:H32)/COUNTA($B23:$B32-H23:H32))</f>
        <v>82.741708388046291</v>
      </c>
      <c r="M51" s="26">
        <v>1</v>
      </c>
      <c r="N51" s="19" cm="1">
        <f t="array" ref="N51">SQRT(SUMSQ($B23:$B32-M23:M32)/COUNTA($B23:$B32-M23:M32))</f>
        <v>116.93261562323761</v>
      </c>
      <c r="Q51" s="26">
        <v>1</v>
      </c>
      <c r="R51" s="19" cm="1">
        <f t="array" ref="R51">SQRT(SUMSQ($B23:$B32-R23:R32)/COUNTA($B23:$B32-R23:R32))</f>
        <v>959.78668019866313</v>
      </c>
      <c r="W51" s="26">
        <v>1</v>
      </c>
      <c r="X51" s="19" cm="1">
        <f t="array" ref="X51">SQRT(SUMSQ($B23:$B32-W23:W32)/COUNTA($B23:$B32-W23:W32))</f>
        <v>461.55729726895055</v>
      </c>
      <c r="AB51" s="26">
        <v>1</v>
      </c>
      <c r="AC51" s="19" cm="1">
        <f t="array" ref="AC51">SQRT(SUMSQ($B23:$B32-AC23:AC32)/COUNTA($B23:$B32-AC23:AC32))</f>
        <v>108.37543690012475</v>
      </c>
      <c r="AI51" s="26">
        <v>1</v>
      </c>
      <c r="AJ51" s="19" cm="1">
        <f t="array" ref="AJ51">SQRT(SUMSQ($B23:$B32-AI23:AI32)/COUNTA($B23:$B32-AI23:AI32))</f>
        <v>88.079662396381281</v>
      </c>
      <c r="AO51" s="26">
        <v>1</v>
      </c>
      <c r="AP51" s="19" cm="1">
        <f t="array" ref="AP51">SQRT(SUMSQ($B23:$B26-AO23:AO26)/COUNTA($B23:$B26-AO23:AO26))</f>
        <v>44.368440193823908</v>
      </c>
      <c r="BQ51" s="1"/>
      <c r="BR51" s="1"/>
      <c r="BS51" s="1"/>
      <c r="BT51" s="1"/>
      <c r="BU51" s="1"/>
      <c r="BV51" s="1"/>
      <c r="BW51" s="1"/>
      <c r="CC51" s="1"/>
    </row>
    <row r="52" spans="2:81" x14ac:dyDescent="0.25">
      <c r="B52" s="20">
        <v>2</v>
      </c>
      <c r="C52" s="55" cm="1">
        <f t="array" ref="C52">SQRT(SUMSQ(B23:B32-D23:D32)/COUNTA(B23:B32-D23:D32))</f>
        <v>50.975827520846039</v>
      </c>
      <c r="D52" t="s">
        <v>85</v>
      </c>
      <c r="H52" s="27">
        <v>2</v>
      </c>
      <c r="I52" s="55" cm="1">
        <f t="array" ref="I52">SQRT(SUMSQ($B23:$B32-I23:I32)/COUNTA($B23:$B32-I23:I32))</f>
        <v>57.082656341455142</v>
      </c>
      <c r="J52" t="s">
        <v>85</v>
      </c>
      <c r="M52" s="27">
        <v>2</v>
      </c>
      <c r="N52" s="21" cm="1">
        <f t="array" ref="N52">SQRT(SUMSQ($B23:$B32-N23:N32)/COUNTA($B23:$B32-N23:N32))</f>
        <v>7581.9978725007923</v>
      </c>
      <c r="O52" t="s">
        <v>85</v>
      </c>
      <c r="Q52" s="27">
        <v>2</v>
      </c>
      <c r="R52" s="55" cm="1">
        <f t="array" ref="R52">SQRT(SUMSQ($B23:$B32-S23:S32)/COUNTA($B23:$B32-S23:S32))</f>
        <v>30.408553062363779</v>
      </c>
      <c r="S52" t="s">
        <v>85</v>
      </c>
      <c r="W52" s="27">
        <v>2</v>
      </c>
      <c r="X52" s="21" cm="1">
        <f t="array" ref="X52">SQRT(SUMSQ($B23:$B32-X23:X32)/COUNTA($B23:$B32-X23:X32))</f>
        <v>260.23823703863144</v>
      </c>
      <c r="Y52" t="s">
        <v>85</v>
      </c>
      <c r="AB52" s="27">
        <v>2</v>
      </c>
      <c r="AC52" s="21" cm="1">
        <f t="array" ref="AC52">SQRT(SUMSQ($B23:$B32-AD23:AD32)/COUNTA($B23:$B32-AD23:AD32))</f>
        <v>69.910590305413976</v>
      </c>
      <c r="AD52" t="s">
        <v>85</v>
      </c>
      <c r="AI52" s="27">
        <v>2</v>
      </c>
      <c r="AJ52" s="21" cm="1">
        <f t="array" ref="AJ52">SQRT(SUMSQ($B23:$B32-AJ23:AJ32)/COUNTA($B23:$B32-AJ23:AJ32))</f>
        <v>61.528280214030524</v>
      </c>
      <c r="AK52" t="s">
        <v>85</v>
      </c>
      <c r="AO52" s="27">
        <v>2</v>
      </c>
      <c r="AP52" s="21" cm="1">
        <f t="array" ref="AP52">SQRT(SUMSQ($B23:$B26-AP23:AP26)/COUNTA($B23:$B26-AP23:AP26))</f>
        <v>30.874720248046778</v>
      </c>
      <c r="AQ52" t="s">
        <v>85</v>
      </c>
      <c r="BQ52" s="1"/>
      <c r="BR52" s="53"/>
      <c r="BS52" s="53"/>
      <c r="BT52" s="53"/>
      <c r="BU52" s="53"/>
      <c r="BV52" s="53"/>
      <c r="BW52" s="53"/>
      <c r="CC52" s="16"/>
    </row>
    <row r="53" spans="2:81" x14ac:dyDescent="0.25">
      <c r="B53" s="22">
        <v>3</v>
      </c>
      <c r="C53" s="17" cm="1">
        <f t="array" ref="C53">SQRT(SUMSQ(B23:B32-E23:E32)/COUNTA(B23:B32-E23:E32))</f>
        <v>53.85962266604443</v>
      </c>
      <c r="D53" t="s">
        <v>86</v>
      </c>
      <c r="H53" s="28">
        <v>3</v>
      </c>
      <c r="I53" s="17" cm="1">
        <f t="array" ref="I53">SQRT(SUMSQ($B23:$B32-J23:J32)/COUNTA($B23:$B32-J23:J32))</f>
        <v>57.127047389855939</v>
      </c>
      <c r="J53" t="s">
        <v>86</v>
      </c>
      <c r="M53" s="28">
        <v>3</v>
      </c>
      <c r="N53" s="34" cm="1">
        <f t="array" ref="N53">SQRT(SUMSQ($B23:$B32-O23:O32)/COUNTA($B23:$B32-O23:O32))</f>
        <v>4783627911326143</v>
      </c>
      <c r="O53" t="s">
        <v>86</v>
      </c>
      <c r="Q53" s="28">
        <v>3</v>
      </c>
      <c r="R53" s="17" cm="1">
        <f t="array" ref="R53">SQRT(SUMSQ($B23:$B32-T23:T32)/COUNTA($B23:$B32-T23:T32))</f>
        <v>38.717226786254329</v>
      </c>
      <c r="S53" t="s">
        <v>86</v>
      </c>
      <c r="W53" s="28">
        <v>3</v>
      </c>
      <c r="X53" s="57" cm="1">
        <f t="array" ref="X53">SQRT(SUMSQ($B23:$B32-Y23:Y32)/COUNTA($B23:$B32-Y23:Y32))</f>
        <v>121.74545904743421</v>
      </c>
      <c r="Y53" t="s">
        <v>86</v>
      </c>
      <c r="AB53" s="28">
        <v>3</v>
      </c>
      <c r="AC53" s="17" cm="1">
        <f t="array" ref="AC53">SQRT(SUMSQ($B23:$B32-AE23:AE32)/COUNTA($B23:$B32-AE23:AE32))</f>
        <v>65.689050473140142</v>
      </c>
      <c r="AD53" t="s">
        <v>86</v>
      </c>
      <c r="AI53" s="28">
        <v>3</v>
      </c>
      <c r="AJ53" s="17" cm="1">
        <f t="array" ref="AJ53">SQRT(SUMSQ($B23:$B32-AK23:AK32)/COUNTA($B23:$B32-AK23:AK32))</f>
        <v>66.633604683020266</v>
      </c>
      <c r="AK53" t="s">
        <v>86</v>
      </c>
      <c r="AO53" s="28">
        <v>3</v>
      </c>
      <c r="AP53" s="17" cm="1">
        <f t="array" ref="AP53">SQRT(SUMSQ($B23:$B26-AQ23:AQ26)/COUNTA($B23:$B26-AQ23:AQ26))</f>
        <v>35.883958869425982</v>
      </c>
      <c r="AQ53" t="s">
        <v>86</v>
      </c>
      <c r="BQ53" s="1"/>
      <c r="BR53" s="53"/>
      <c r="BS53" s="53"/>
      <c r="BT53" s="53"/>
      <c r="BU53" s="53"/>
      <c r="BV53" s="53"/>
      <c r="BW53" s="53"/>
      <c r="CC53" s="16"/>
    </row>
    <row r="54" spans="2:81" x14ac:dyDescent="0.25">
      <c r="D54" s="1"/>
      <c r="E54" s="16"/>
      <c r="H54" s="25"/>
      <c r="I54" s="16"/>
      <c r="M54" s="25"/>
      <c r="N54" s="16"/>
      <c r="V54" s="16"/>
      <c r="W54" s="25"/>
      <c r="X54" s="16"/>
      <c r="AG54" s="25"/>
      <c r="AH54" s="16"/>
      <c r="AI54" s="25"/>
      <c r="AJ54" s="16"/>
      <c r="AO54" s="25"/>
      <c r="AP54" s="16"/>
      <c r="BQ54" s="1"/>
      <c r="BR54" s="53"/>
      <c r="BS54" s="53"/>
      <c r="BT54" s="53"/>
      <c r="BU54" s="53"/>
      <c r="BV54" s="53"/>
      <c r="BW54" s="53"/>
      <c r="CC54" s="16"/>
    </row>
    <row r="55" spans="2:81" x14ac:dyDescent="0.25">
      <c r="BQ55" s="1"/>
      <c r="BR55" s="53"/>
      <c r="BS55" s="53"/>
      <c r="BT55" s="53"/>
      <c r="BU55" s="53"/>
      <c r="BV55" s="53"/>
      <c r="BW55" s="53"/>
      <c r="CC55" s="16"/>
    </row>
    <row r="56" spans="2:81" x14ac:dyDescent="0.25">
      <c r="BQ56" s="1"/>
      <c r="BR56" s="53"/>
      <c r="BS56" s="53"/>
      <c r="BT56" s="53"/>
      <c r="BU56" s="53"/>
      <c r="BV56" s="53"/>
      <c r="BW56" s="53"/>
      <c r="CC56" s="16"/>
    </row>
    <row r="57" spans="2:81" x14ac:dyDescent="0.25">
      <c r="CC57" s="16"/>
    </row>
    <row r="67" spans="2:56" x14ac:dyDescent="0.25">
      <c r="AY67" s="69"/>
      <c r="AZ67" s="70"/>
      <c r="BA67" s="70"/>
      <c r="BB67" s="70"/>
      <c r="BC67" s="70"/>
      <c r="BD67" s="70"/>
    </row>
    <row r="68" spans="2:56" x14ac:dyDescent="0.25">
      <c r="AY68" s="69"/>
      <c r="AZ68" s="70"/>
      <c r="BA68" s="70"/>
      <c r="BB68" s="70"/>
      <c r="BC68" s="70"/>
      <c r="BD68" s="70"/>
    </row>
    <row r="69" spans="2:56" x14ac:dyDescent="0.25">
      <c r="AX69" s="69"/>
      <c r="AY69" s="69"/>
      <c r="AZ69" s="70"/>
      <c r="BA69" s="70"/>
      <c r="BB69" s="70"/>
      <c r="BC69" s="70"/>
      <c r="BD69" s="70"/>
    </row>
    <row r="70" spans="2:56" x14ac:dyDescent="0.25">
      <c r="AX70" s="69"/>
      <c r="AY70" s="70"/>
      <c r="AZ70" s="70"/>
      <c r="BA70" s="70"/>
      <c r="BB70" s="70"/>
      <c r="BC70" s="70"/>
    </row>
    <row r="71" spans="2:56" x14ac:dyDescent="0.25">
      <c r="AX71" s="69"/>
      <c r="AY71" s="70"/>
      <c r="AZ71" s="70"/>
      <c r="BA71" s="70"/>
      <c r="BB71" s="70"/>
      <c r="BC71" s="70"/>
    </row>
    <row r="78" spans="2:56" s="30" customFormat="1" x14ac:dyDescent="0.25"/>
    <row r="80" spans="2:56" x14ac:dyDescent="0.25">
      <c r="B80" s="62" t="s">
        <v>148</v>
      </c>
      <c r="C80" s="62"/>
      <c r="D80" s="62"/>
      <c r="E80" s="62"/>
      <c r="F80" s="62"/>
      <c r="G80" s="62"/>
      <c r="L80" s="62" t="s">
        <v>148</v>
      </c>
      <c r="M80" s="62"/>
      <c r="N80" s="62"/>
      <c r="O80" s="62"/>
      <c r="Q80" s="62" t="s">
        <v>148</v>
      </c>
      <c r="R80" s="62"/>
      <c r="S80" s="62"/>
      <c r="T80" s="62"/>
      <c r="V80" s="62" t="s">
        <v>148</v>
      </c>
      <c r="W80" s="62"/>
      <c r="X80" s="62"/>
      <c r="Y80" s="62"/>
      <c r="AB80" s="62" t="s">
        <v>148</v>
      </c>
      <c r="AC80" s="62"/>
      <c r="AD80" s="62"/>
      <c r="AE80" s="62"/>
      <c r="AH80" s="62" t="s">
        <v>148</v>
      </c>
      <c r="AI80" s="62"/>
      <c r="AJ80" s="62"/>
      <c r="AK80" s="62"/>
      <c r="AN80" s="62" t="s">
        <v>148</v>
      </c>
      <c r="AO80" s="62"/>
      <c r="AP80" s="62"/>
      <c r="AQ80" s="62"/>
    </row>
    <row r="81" spans="1:43" ht="45" x14ac:dyDescent="0.25">
      <c r="A81" s="1" t="s">
        <v>152</v>
      </c>
      <c r="B81" s="1" t="s">
        <v>60</v>
      </c>
      <c r="C81" s="1" t="s">
        <v>59</v>
      </c>
      <c r="D81" s="1" t="s">
        <v>58</v>
      </c>
      <c r="E81" s="1" t="s">
        <v>57</v>
      </c>
      <c r="F81" s="1" t="s">
        <v>56</v>
      </c>
      <c r="G81" s="1" t="s">
        <v>55</v>
      </c>
      <c r="K81" s="15" t="s">
        <v>78</v>
      </c>
      <c r="L81" s="35" t="s">
        <v>112</v>
      </c>
      <c r="M81" s="23" t="s">
        <v>149</v>
      </c>
      <c r="N81" s="23" t="s">
        <v>150</v>
      </c>
      <c r="O81" s="23" t="s">
        <v>151</v>
      </c>
      <c r="Q81" s="35" t="s">
        <v>113</v>
      </c>
      <c r="R81" s="23" t="s">
        <v>149</v>
      </c>
      <c r="S81" s="23" t="s">
        <v>150</v>
      </c>
      <c r="T81" s="23" t="s">
        <v>151</v>
      </c>
      <c r="V81" s="35" t="s">
        <v>115</v>
      </c>
      <c r="W81" s="23" t="s">
        <v>149</v>
      </c>
      <c r="X81" s="23" t="s">
        <v>150</v>
      </c>
      <c r="Y81" s="23" t="s">
        <v>151</v>
      </c>
      <c r="AB81" s="35" t="s">
        <v>116</v>
      </c>
      <c r="AC81" s="23" t="s">
        <v>149</v>
      </c>
      <c r="AD81" s="23" t="s">
        <v>150</v>
      </c>
      <c r="AE81" s="23" t="s">
        <v>151</v>
      </c>
      <c r="AH81" s="35" t="s">
        <v>117</v>
      </c>
      <c r="AI81" s="23" t="s">
        <v>149</v>
      </c>
      <c r="AJ81" s="23" t="s">
        <v>150</v>
      </c>
      <c r="AK81" s="23" t="s">
        <v>151</v>
      </c>
      <c r="AN81" s="35" t="s">
        <v>118</v>
      </c>
      <c r="AO81" s="23" t="s">
        <v>149</v>
      </c>
      <c r="AP81" s="23" t="s">
        <v>150</v>
      </c>
      <c r="AQ81" s="23" t="s">
        <v>151</v>
      </c>
    </row>
    <row r="82" spans="1:43" x14ac:dyDescent="0.25">
      <c r="A82" s="1" t="s">
        <v>69</v>
      </c>
      <c r="B82" s="16">
        <f t="shared" ref="B82:G85" si="104">F3/$C3</f>
        <v>1.3489379337744893</v>
      </c>
      <c r="C82" s="16">
        <f t="shared" si="104"/>
        <v>6.1665734115405222</v>
      </c>
      <c r="D82" s="16">
        <f t="shared" si="104"/>
        <v>28.520402028374914</v>
      </c>
      <c r="E82" s="16">
        <f t="shared" si="104"/>
        <v>91.535074077554626</v>
      </c>
      <c r="F82" s="16">
        <f t="shared" si="104"/>
        <v>362.86430418533763</v>
      </c>
      <c r="G82" s="16">
        <f t="shared" si="104"/>
        <v>1130.4099885030221</v>
      </c>
      <c r="K82" s="1">
        <v>90</v>
      </c>
      <c r="L82" s="31" t="s">
        <v>69</v>
      </c>
      <c r="M82" s="16">
        <f>(G82-21263)/-199.81</f>
        <v>100.75867079473988</v>
      </c>
      <c r="N82" s="16">
        <f t="shared" ref="N82:N91" si="105">-0.0025*G82+83.506</f>
        <v>80.679975028742447</v>
      </c>
      <c r="O82" s="60">
        <f t="shared" ref="O82:O91" si="106">3958.4*G82^(-0.501)</f>
        <v>116.90913542084283</v>
      </c>
      <c r="Q82" s="31" t="s">
        <v>69</v>
      </c>
      <c r="R82" s="16">
        <f>(F82-6090.7)/-53.02</f>
        <v>108.03160497575749</v>
      </c>
      <c r="S82" s="16">
        <f>-0.0109*F82+92.242</f>
        <v>88.28677908437983</v>
      </c>
      <c r="T82" s="61">
        <f>3564.9*F82^(-0.554)</f>
        <v>136.12849358890662</v>
      </c>
      <c r="V82" s="31" t="s">
        <v>69</v>
      </c>
      <c r="W82" s="16">
        <f>(E82-738.71)/-3.89</f>
        <v>166.36887555846923</v>
      </c>
      <c r="X82" s="16">
        <f>-0.0593*E82+90.943</f>
        <v>85.514970107201009</v>
      </c>
      <c r="Y82" s="60">
        <f>1085.1*E82^-0.498</f>
        <v>114.44561832326148</v>
      </c>
      <c r="AB82" s="31" t="s">
        <v>69</v>
      </c>
      <c r="AC82" s="16">
        <f>(D82-137.56)/-0.0607</f>
        <v>1796.3689945901992</v>
      </c>
      <c r="AD82" s="16">
        <f>-0.0102*D82+62.652</f>
        <v>62.36109189931058</v>
      </c>
      <c r="AE82" s="16">
        <f>26.015*D82^0.15</f>
        <v>43.002843805323621</v>
      </c>
      <c r="AH82" s="31" t="s">
        <v>69</v>
      </c>
      <c r="AI82" s="16">
        <f>(C82-19.925)/0.1371</f>
        <v>-100.35322092238862</v>
      </c>
      <c r="AJ82" s="16">
        <f>0.2553*C82+54.051</f>
        <v>55.625326191966295</v>
      </c>
      <c r="AK82" s="16"/>
      <c r="AN82" s="31" t="s">
        <v>69</v>
      </c>
      <c r="AO82" s="16">
        <f>(B82+0.8855)/0.0756</f>
        <v>29.556057325059385</v>
      </c>
      <c r="AP82" s="16">
        <f>3.3537*B82+48.722</f>
        <v>53.245933148499503</v>
      </c>
      <c r="AQ82" s="16"/>
    </row>
    <row r="83" spans="1:43" x14ac:dyDescent="0.25">
      <c r="A83" s="1" t="s">
        <v>70</v>
      </c>
      <c r="B83" s="16">
        <f t="shared" si="104"/>
        <v>0</v>
      </c>
      <c r="C83" s="16">
        <f t="shared" si="104"/>
        <v>1.729745721655257</v>
      </c>
      <c r="D83" s="16">
        <f t="shared" si="104"/>
        <v>9.8018924227131237</v>
      </c>
      <c r="E83" s="16">
        <f t="shared" si="104"/>
        <v>127.42460149527062</v>
      </c>
      <c r="F83" s="16">
        <f t="shared" si="104"/>
        <v>1709.5653549026126</v>
      </c>
      <c r="G83" s="16">
        <f t="shared" si="104"/>
        <v>8589.3406718327878</v>
      </c>
      <c r="K83" s="1">
        <v>45</v>
      </c>
      <c r="L83" s="31" t="s">
        <v>70</v>
      </c>
      <c r="M83" s="16">
        <f t="shared" ref="M83:M91" si="107">(G83-21263)/-199.81</f>
        <v>63.428553766914632</v>
      </c>
      <c r="N83" s="16">
        <f t="shared" si="105"/>
        <v>62.032648320418033</v>
      </c>
      <c r="O83" s="60">
        <f t="shared" si="106"/>
        <v>42.325861261741807</v>
      </c>
      <c r="Q83" s="31" t="s">
        <v>70</v>
      </c>
      <c r="R83" s="16">
        <f t="shared" ref="R83:R91" si="108">(F83-6090.7)/-53.02</f>
        <v>82.631736044839428</v>
      </c>
      <c r="S83" s="16">
        <f t="shared" ref="S83:S91" si="109">-0.0109*F83+92.242</f>
        <v>73.60773763156152</v>
      </c>
      <c r="T83" s="61">
        <f t="shared" ref="T83:T91" si="110">3564.9*F83^(-0.554)</f>
        <v>57.680453938178793</v>
      </c>
      <c r="V83" s="31" t="s">
        <v>70</v>
      </c>
      <c r="W83" s="16">
        <f t="shared" ref="W83:W91" si="111">(E83-738.71)/-3.89</f>
        <v>157.14277596522606</v>
      </c>
      <c r="X83" s="16">
        <f t="shared" ref="X83:X91" si="112">-0.0593*E83+90.943</f>
        <v>83.386721131330447</v>
      </c>
      <c r="Y83" s="60">
        <f t="shared" ref="Y83:Y91" si="113">1085.1*E83^-0.498</f>
        <v>97.062981620254732</v>
      </c>
      <c r="AB83" s="31" t="s">
        <v>70</v>
      </c>
      <c r="AC83" s="16">
        <f t="shared" ref="AC83:AC91" si="114">(D83-137.56)/-0.0607</f>
        <v>2104.746418077214</v>
      </c>
      <c r="AD83" s="16">
        <f t="shared" ref="AD83:AD91" si="115">-0.0102*D83+62.652</f>
        <v>62.552020697288327</v>
      </c>
      <c r="AE83" s="16">
        <f t="shared" ref="AE83:AE91" si="116">26.015*D83^0.15</f>
        <v>36.637035051611903</v>
      </c>
      <c r="AH83" s="31" t="s">
        <v>70</v>
      </c>
      <c r="AI83" s="16">
        <f t="shared" ref="AI83:AI91" si="117">(C83-19.925)/0.1371</f>
        <v>-132.71520261374724</v>
      </c>
      <c r="AJ83" s="16">
        <f t="shared" ref="AJ83:AJ91" si="118">0.2553*C83+54.051</f>
        <v>54.492604082738588</v>
      </c>
      <c r="AK83" s="16"/>
      <c r="AN83" s="31" t="s">
        <v>70</v>
      </c>
      <c r="AO83" s="16">
        <f t="shared" ref="AO83:AO91" si="119">(B83+0.8855)/0.0756</f>
        <v>11.712962962962962</v>
      </c>
      <c r="AP83" s="16">
        <f t="shared" ref="AP83:AP91" si="120">3.3537*B83+48.722</f>
        <v>48.722000000000001</v>
      </c>
      <c r="AQ83" s="16"/>
    </row>
    <row r="84" spans="1:43" x14ac:dyDescent="0.25">
      <c r="A84" s="1" t="s">
        <v>71</v>
      </c>
      <c r="B84" s="16">
        <f t="shared" si="104"/>
        <v>0</v>
      </c>
      <c r="C84" s="16">
        <f t="shared" si="104"/>
        <v>0</v>
      </c>
      <c r="D84" s="16">
        <f t="shared" si="104"/>
        <v>5.2541377852609319</v>
      </c>
      <c r="E84" s="16">
        <f t="shared" si="104"/>
        <v>404.56860946509175</v>
      </c>
      <c r="F84" s="16">
        <f t="shared" si="104"/>
        <v>6708.8771845550527</v>
      </c>
      <c r="G84" s="16">
        <f t="shared" si="104"/>
        <v>19530.943682261201</v>
      </c>
      <c r="K84" s="1">
        <v>64</v>
      </c>
      <c r="L84" s="31" t="s">
        <v>71</v>
      </c>
      <c r="M84" s="16">
        <f t="shared" si="107"/>
        <v>8.6685166795395592</v>
      </c>
      <c r="N84" s="16">
        <f t="shared" si="105"/>
        <v>34.678640794346997</v>
      </c>
      <c r="O84" s="60">
        <f t="shared" si="106"/>
        <v>28.045768239683728</v>
      </c>
      <c r="Q84" s="31" t="s">
        <v>71</v>
      </c>
      <c r="R84" s="45">
        <f>(F84-6090.7)/-53.02</f>
        <v>-11.659320719635097</v>
      </c>
      <c r="S84" s="16">
        <f t="shared" si="109"/>
        <v>19.115238688349933</v>
      </c>
      <c r="T84" s="61">
        <f t="shared" si="110"/>
        <v>27.04477294163275</v>
      </c>
      <c r="V84" s="31" t="s">
        <v>71</v>
      </c>
      <c r="W84" s="16">
        <f t="shared" si="111"/>
        <v>85.897529700490551</v>
      </c>
      <c r="X84" s="16">
        <f t="shared" si="112"/>
        <v>66.952081458720059</v>
      </c>
      <c r="Y84" s="60">
        <f t="shared" si="113"/>
        <v>54.599373127268684</v>
      </c>
      <c r="AB84" s="31" t="s">
        <v>71</v>
      </c>
      <c r="AC84" s="16">
        <f t="shared" si="114"/>
        <v>2179.6682407700014</v>
      </c>
      <c r="AD84" s="16">
        <f t="shared" si="115"/>
        <v>62.598407794590337</v>
      </c>
      <c r="AE84" s="16">
        <f t="shared" si="116"/>
        <v>33.365608441320965</v>
      </c>
      <c r="AH84" s="31" t="s">
        <v>71</v>
      </c>
      <c r="AI84" s="16">
        <f t="shared" si="117"/>
        <v>-145.33187454412837</v>
      </c>
      <c r="AJ84" s="16">
        <f t="shared" si="118"/>
        <v>54.051000000000002</v>
      </c>
      <c r="AK84" s="16"/>
      <c r="AN84" s="31" t="s">
        <v>71</v>
      </c>
      <c r="AO84" s="16">
        <f t="shared" si="119"/>
        <v>11.712962962962962</v>
      </c>
      <c r="AP84" s="16">
        <f t="shared" si="120"/>
        <v>48.722000000000001</v>
      </c>
      <c r="AQ84" s="16"/>
    </row>
    <row r="85" spans="1:43" x14ac:dyDescent="0.25">
      <c r="A85" s="1" t="s">
        <v>72</v>
      </c>
      <c r="B85" s="16">
        <f t="shared" si="104"/>
        <v>0.27896705782112408</v>
      </c>
      <c r="C85" s="16">
        <f t="shared" si="104"/>
        <v>0.48819235118696713</v>
      </c>
      <c r="D85" s="16">
        <f t="shared" si="104"/>
        <v>2.9988958715770839</v>
      </c>
      <c r="E85" s="16">
        <f t="shared" si="104"/>
        <v>22.66607344796633</v>
      </c>
      <c r="F85" s="16">
        <f t="shared" si="104"/>
        <v>330.36673822466616</v>
      </c>
      <c r="G85" s="16">
        <f t="shared" si="104"/>
        <v>1474.3409005846406</v>
      </c>
      <c r="K85" s="1">
        <v>90</v>
      </c>
      <c r="L85" s="31" t="s">
        <v>72</v>
      </c>
      <c r="M85" s="16">
        <f t="shared" si="107"/>
        <v>99.037381009035386</v>
      </c>
      <c r="N85" s="16">
        <f t="shared" si="105"/>
        <v>79.820147748538403</v>
      </c>
      <c r="O85" s="60">
        <f t="shared" si="106"/>
        <v>102.3415813265044</v>
      </c>
      <c r="Q85" s="31" t="s">
        <v>72</v>
      </c>
      <c r="R85" s="16">
        <f t="shared" si="108"/>
        <v>108.64453530319376</v>
      </c>
      <c r="S85" s="16">
        <f t="shared" si="109"/>
        <v>88.641002553351143</v>
      </c>
      <c r="T85" s="61">
        <f t="shared" si="110"/>
        <v>143.39149511170848</v>
      </c>
      <c r="V85" s="31" t="s">
        <v>72</v>
      </c>
      <c r="W85" s="16">
        <f t="shared" si="111"/>
        <v>184.07298883085699</v>
      </c>
      <c r="X85" s="16">
        <f t="shared" si="112"/>
        <v>89.59890184453559</v>
      </c>
      <c r="Y85" s="60">
        <f t="shared" si="113"/>
        <v>229.34663378511158</v>
      </c>
      <c r="AB85" s="31" t="s">
        <v>72</v>
      </c>
      <c r="AC85" s="16">
        <f t="shared" si="114"/>
        <v>2216.8221437960942</v>
      </c>
      <c r="AD85" s="16">
        <f t="shared" si="115"/>
        <v>62.621411262109916</v>
      </c>
      <c r="AE85" s="16">
        <f t="shared" si="116"/>
        <v>30.673832251441233</v>
      </c>
      <c r="AH85" s="31" t="s">
        <v>72</v>
      </c>
      <c r="AI85" s="16">
        <f t="shared" si="117"/>
        <v>-141.77102588485073</v>
      </c>
      <c r="AJ85" s="16">
        <f t="shared" si="118"/>
        <v>54.175635507258036</v>
      </c>
      <c r="AK85" s="16"/>
      <c r="AN85" s="31" t="s">
        <v>72</v>
      </c>
      <c r="AO85" s="16">
        <f t="shared" si="119"/>
        <v>15.403003410332328</v>
      </c>
      <c r="AP85" s="16">
        <f t="shared" si="120"/>
        <v>49.657571821814706</v>
      </c>
      <c r="AQ85" s="16"/>
    </row>
    <row r="86" spans="1:43" x14ac:dyDescent="0.25">
      <c r="A86" s="1" t="s">
        <v>133</v>
      </c>
      <c r="B86" s="12">
        <f t="shared" ref="B86:G91" si="121">F10/$C10</f>
        <v>0</v>
      </c>
      <c r="C86" s="12">
        <f t="shared" si="121"/>
        <v>5.0445791877811477</v>
      </c>
      <c r="D86" s="12">
        <f t="shared" si="121"/>
        <v>91.261023488040777</v>
      </c>
      <c r="E86" s="12">
        <f t="shared" si="121"/>
        <v>7602.1808359861916</v>
      </c>
      <c r="F86" s="12">
        <f t="shared" si="121"/>
        <v>5435.3047757801969</v>
      </c>
      <c r="G86" s="12">
        <f t="shared" si="121"/>
        <v>6933.5447945511978</v>
      </c>
      <c r="K86" s="1">
        <v>128</v>
      </c>
      <c r="L86" s="31" t="s">
        <v>133</v>
      </c>
      <c r="M86" s="16">
        <f t="shared" si="107"/>
        <v>71.715405662623496</v>
      </c>
      <c r="N86" s="16">
        <f t="shared" si="105"/>
        <v>66.172138013622003</v>
      </c>
      <c r="O86" s="60">
        <f t="shared" si="106"/>
        <v>47.119541924859419</v>
      </c>
      <c r="Q86" s="31" t="s">
        <v>133</v>
      </c>
      <c r="R86" s="16">
        <f t="shared" si="108"/>
        <v>12.361282991697527</v>
      </c>
      <c r="S86" s="16">
        <f t="shared" si="109"/>
        <v>32.997177943995858</v>
      </c>
      <c r="T86" s="61">
        <f t="shared" si="110"/>
        <v>30.390182661816421</v>
      </c>
      <c r="V86" s="31" t="s">
        <v>133</v>
      </c>
      <c r="W86" s="45">
        <f t="shared" si="111"/>
        <v>-1764.3883897136739</v>
      </c>
      <c r="X86" s="45">
        <f t="shared" si="112"/>
        <v>-359.86632357398116</v>
      </c>
      <c r="Y86" s="60">
        <f t="shared" si="113"/>
        <v>12.669589442397822</v>
      </c>
      <c r="AB86" s="31" t="s">
        <v>133</v>
      </c>
      <c r="AC86" s="16">
        <f t="shared" si="114"/>
        <v>762.75084863194775</v>
      </c>
      <c r="AD86" s="16">
        <f t="shared" si="115"/>
        <v>61.721137560421987</v>
      </c>
      <c r="AE86" s="16">
        <f t="shared" si="116"/>
        <v>51.199607362734156</v>
      </c>
      <c r="AH86" s="31" t="s">
        <v>133</v>
      </c>
      <c r="AI86" s="16">
        <f t="shared" si="117"/>
        <v>-108.53698623062621</v>
      </c>
      <c r="AJ86" s="16">
        <f t="shared" si="118"/>
        <v>55.338881066640532</v>
      </c>
      <c r="AK86" s="16"/>
      <c r="AN86" s="31" t="s">
        <v>133</v>
      </c>
      <c r="AO86" s="16">
        <f t="shared" si="119"/>
        <v>11.712962962962962</v>
      </c>
      <c r="AP86" s="16">
        <f t="shared" si="120"/>
        <v>48.722000000000001</v>
      </c>
      <c r="AQ86" s="16"/>
    </row>
    <row r="87" spans="1:43" x14ac:dyDescent="0.25">
      <c r="A87" s="1" t="s">
        <v>134</v>
      </c>
      <c r="B87" s="12">
        <f t="shared" si="121"/>
        <v>0</v>
      </c>
      <c r="C87" s="12">
        <f t="shared" si="121"/>
        <v>0</v>
      </c>
      <c r="D87" s="12">
        <f t="shared" si="121"/>
        <v>4.8482391644606153</v>
      </c>
      <c r="E87" s="12">
        <f t="shared" si="121"/>
        <v>543.0027864195888</v>
      </c>
      <c r="F87" s="12">
        <f t="shared" si="121"/>
        <v>18979.240249141818</v>
      </c>
      <c r="G87" s="12">
        <f t="shared" si="121"/>
        <v>24860.154355632545</v>
      </c>
      <c r="K87" s="1">
        <v>128</v>
      </c>
      <c r="L87" s="31" t="s">
        <v>134</v>
      </c>
      <c r="M87" s="45">
        <f t="shared" si="107"/>
        <v>-18.002874508946224</v>
      </c>
      <c r="N87" s="16">
        <f t="shared" si="105"/>
        <v>21.355614110918637</v>
      </c>
      <c r="O87" s="60">
        <f t="shared" si="106"/>
        <v>24.852624821980118</v>
      </c>
      <c r="Q87" s="31" t="s">
        <v>134</v>
      </c>
      <c r="R87" s="45">
        <f t="shared" si="108"/>
        <v>-243.08827327691091</v>
      </c>
      <c r="S87" s="45">
        <f t="shared" si="109"/>
        <v>-114.63171871564582</v>
      </c>
      <c r="T87" s="61">
        <f t="shared" si="110"/>
        <v>15.201305381216619</v>
      </c>
      <c r="V87" s="31" t="s">
        <v>134</v>
      </c>
      <c r="W87" s="16">
        <f t="shared" si="111"/>
        <v>50.310337681339647</v>
      </c>
      <c r="X87" s="16">
        <f t="shared" si="112"/>
        <v>58.742934765318381</v>
      </c>
      <c r="Y87" s="60">
        <f t="shared" si="113"/>
        <v>47.156149785372641</v>
      </c>
      <c r="AB87" s="31" t="s">
        <v>134</v>
      </c>
      <c r="AC87" s="16">
        <f t="shared" si="114"/>
        <v>2186.355203221407</v>
      </c>
      <c r="AD87" s="16">
        <f t="shared" si="115"/>
        <v>62.6025479605225</v>
      </c>
      <c r="AE87" s="16">
        <f t="shared" si="116"/>
        <v>32.965634226329747</v>
      </c>
      <c r="AH87" s="31" t="s">
        <v>134</v>
      </c>
      <c r="AI87" s="16">
        <f t="shared" si="117"/>
        <v>-145.33187454412837</v>
      </c>
      <c r="AJ87" s="16">
        <f t="shared" si="118"/>
        <v>54.051000000000002</v>
      </c>
      <c r="AK87" s="16"/>
      <c r="AN87" s="31" t="s">
        <v>134</v>
      </c>
      <c r="AO87" s="16">
        <f t="shared" si="119"/>
        <v>11.712962962962962</v>
      </c>
      <c r="AP87" s="16">
        <f t="shared" si="120"/>
        <v>48.722000000000001</v>
      </c>
      <c r="AQ87" s="16"/>
    </row>
    <row r="88" spans="1:43" x14ac:dyDescent="0.25">
      <c r="A88" s="1" t="s">
        <v>135</v>
      </c>
      <c r="B88" s="12">
        <f t="shared" si="121"/>
        <v>0</v>
      </c>
      <c r="C88" s="12">
        <f t="shared" si="121"/>
        <v>0.98343964975043341</v>
      </c>
      <c r="D88" s="12">
        <f t="shared" si="121"/>
        <v>57.531219510400348</v>
      </c>
      <c r="E88" s="12">
        <f t="shared" si="121"/>
        <v>2426.6373357591942</v>
      </c>
      <c r="F88" s="12">
        <f t="shared" si="121"/>
        <v>5059.3052781411043</v>
      </c>
      <c r="G88" s="12">
        <f t="shared" si="121"/>
        <v>5206.3295057787946</v>
      </c>
      <c r="K88" s="1">
        <v>64</v>
      </c>
      <c r="L88" s="31" t="s">
        <v>135</v>
      </c>
      <c r="M88" s="16">
        <f t="shared" si="107"/>
        <v>80.359694180577577</v>
      </c>
      <c r="N88" s="16">
        <f t="shared" si="105"/>
        <v>70.490176235553008</v>
      </c>
      <c r="O88" s="60">
        <f t="shared" si="106"/>
        <v>54.392287140951076</v>
      </c>
      <c r="Q88" s="31" t="s">
        <v>135</v>
      </c>
      <c r="R88" s="16">
        <f t="shared" si="108"/>
        <v>19.45293703996408</v>
      </c>
      <c r="S88" s="16">
        <f t="shared" si="109"/>
        <v>37.09557246826197</v>
      </c>
      <c r="T88" s="61">
        <f t="shared" si="110"/>
        <v>31.621393256387424</v>
      </c>
      <c r="V88" s="31" t="s">
        <v>135</v>
      </c>
      <c r="W88" s="45">
        <f t="shared" si="111"/>
        <v>-433.91448220030696</v>
      </c>
      <c r="X88" s="45">
        <f t="shared" si="112"/>
        <v>-52.95659401052022</v>
      </c>
      <c r="Y88" s="60">
        <f t="shared" si="113"/>
        <v>22.37367553379746</v>
      </c>
      <c r="AB88" s="31" t="s">
        <v>135</v>
      </c>
      <c r="AC88" s="16">
        <f t="shared" si="114"/>
        <v>1318.4313095485941</v>
      </c>
      <c r="AD88" s="16">
        <f t="shared" si="115"/>
        <v>62.065181560993921</v>
      </c>
      <c r="AE88" s="16">
        <f t="shared" si="116"/>
        <v>47.775953927503508</v>
      </c>
      <c r="AH88" s="31" t="s">
        <v>135</v>
      </c>
      <c r="AI88" s="16">
        <f t="shared" si="117"/>
        <v>-138.15871882020107</v>
      </c>
      <c r="AJ88" s="16">
        <f t="shared" si="118"/>
        <v>54.302072142581288</v>
      </c>
      <c r="AK88" s="16"/>
      <c r="AN88" s="31" t="s">
        <v>135</v>
      </c>
      <c r="AO88" s="16">
        <f t="shared" si="119"/>
        <v>11.712962962962962</v>
      </c>
      <c r="AP88" s="16">
        <f t="shared" si="120"/>
        <v>48.722000000000001</v>
      </c>
      <c r="AQ88" s="16"/>
    </row>
    <row r="89" spans="1:43" x14ac:dyDescent="0.25">
      <c r="A89" s="1" t="s">
        <v>136</v>
      </c>
      <c r="B89" s="12">
        <f t="shared" si="121"/>
        <v>0</v>
      </c>
      <c r="C89" s="12">
        <f t="shared" si="121"/>
        <v>0</v>
      </c>
      <c r="D89" s="12">
        <f t="shared" si="121"/>
        <v>40.276010754949645</v>
      </c>
      <c r="E89" s="12">
        <f t="shared" si="121"/>
        <v>515.75669327866069</v>
      </c>
      <c r="F89" s="12">
        <f t="shared" si="121"/>
        <v>7462.249770430948</v>
      </c>
      <c r="G89" s="12">
        <f t="shared" si="121"/>
        <v>11355.597476742745</v>
      </c>
      <c r="K89" s="1">
        <v>128</v>
      </c>
      <c r="L89" s="31" t="s">
        <v>136</v>
      </c>
      <c r="M89" s="16">
        <f t="shared" si="107"/>
        <v>49.584117527937813</v>
      </c>
      <c r="N89" s="16">
        <f t="shared" si="105"/>
        <v>55.117006308143132</v>
      </c>
      <c r="O89" s="60">
        <f t="shared" si="106"/>
        <v>36.800987556080862</v>
      </c>
      <c r="Q89" s="31" t="s">
        <v>136</v>
      </c>
      <c r="R89" s="45">
        <f t="shared" si="108"/>
        <v>-25.868535843661792</v>
      </c>
      <c r="S89" s="16">
        <f t="shared" si="109"/>
        <v>10.903477502302664</v>
      </c>
      <c r="T89" s="61">
        <f t="shared" si="110"/>
        <v>25.496319515348361</v>
      </c>
      <c r="V89" s="31" t="s">
        <v>136</v>
      </c>
      <c r="W89" s="16">
        <f t="shared" si="111"/>
        <v>57.314474735562811</v>
      </c>
      <c r="X89" s="16">
        <f t="shared" si="112"/>
        <v>60.358628088575415</v>
      </c>
      <c r="Y89" s="60">
        <f t="shared" si="113"/>
        <v>48.380707702541834</v>
      </c>
      <c r="AB89" s="31" t="s">
        <v>136</v>
      </c>
      <c r="AC89" s="16">
        <f t="shared" si="114"/>
        <v>1602.7016350090669</v>
      </c>
      <c r="AD89" s="16">
        <f t="shared" si="115"/>
        <v>62.241184690299512</v>
      </c>
      <c r="AE89" s="16">
        <f t="shared" si="116"/>
        <v>45.287755525646432</v>
      </c>
      <c r="AH89" s="31" t="s">
        <v>136</v>
      </c>
      <c r="AI89" s="16">
        <f t="shared" si="117"/>
        <v>-145.33187454412837</v>
      </c>
      <c r="AJ89" s="16">
        <f t="shared" si="118"/>
        <v>54.051000000000002</v>
      </c>
      <c r="AK89" s="16"/>
      <c r="AN89" s="31" t="s">
        <v>136</v>
      </c>
      <c r="AO89" s="16">
        <f t="shared" si="119"/>
        <v>11.712962962962962</v>
      </c>
      <c r="AP89" s="16">
        <f t="shared" si="120"/>
        <v>48.722000000000001</v>
      </c>
      <c r="AQ89" s="16"/>
    </row>
    <row r="90" spans="1:43" x14ac:dyDescent="0.25">
      <c r="A90" s="1" t="s">
        <v>137</v>
      </c>
      <c r="B90" s="12">
        <f t="shared" si="121"/>
        <v>0.29373114322198229</v>
      </c>
      <c r="C90" s="12">
        <f t="shared" si="121"/>
        <v>8.2244720102155053</v>
      </c>
      <c r="D90" s="12">
        <f t="shared" si="121"/>
        <v>189.75031852140057</v>
      </c>
      <c r="E90" s="12">
        <f t="shared" si="121"/>
        <v>2118.6827360601583</v>
      </c>
      <c r="F90" s="12">
        <f t="shared" si="121"/>
        <v>3049.51672893062</v>
      </c>
      <c r="G90" s="12">
        <f t="shared" si="121"/>
        <v>2461.7607113434337</v>
      </c>
      <c r="K90" s="1">
        <v>128</v>
      </c>
      <c r="L90" s="31" t="s">
        <v>137</v>
      </c>
      <c r="M90" s="16">
        <f t="shared" si="107"/>
        <v>94.095587251171438</v>
      </c>
      <c r="N90" s="16">
        <f t="shared" si="105"/>
        <v>77.35159822164141</v>
      </c>
      <c r="O90" s="60">
        <f t="shared" si="106"/>
        <v>79.159950504487711</v>
      </c>
      <c r="Q90" s="31" t="s">
        <v>137</v>
      </c>
      <c r="R90" s="16">
        <f t="shared" si="108"/>
        <v>57.359171464907199</v>
      </c>
      <c r="S90" s="16">
        <f t="shared" si="109"/>
        <v>59.002267654656244</v>
      </c>
      <c r="T90" s="61">
        <f t="shared" si="110"/>
        <v>41.858471601355966</v>
      </c>
      <c r="V90" s="31" t="s">
        <v>137</v>
      </c>
      <c r="W90" s="45">
        <f t="shared" si="111"/>
        <v>-354.7487753368016</v>
      </c>
      <c r="X90" s="45">
        <f t="shared" si="112"/>
        <v>-34.694886248367382</v>
      </c>
      <c r="Y90" s="60">
        <f t="shared" si="113"/>
        <v>23.938058911633377</v>
      </c>
      <c r="AB90" s="31" t="s">
        <v>137</v>
      </c>
      <c r="AC90" s="45">
        <f t="shared" si="114"/>
        <v>-859.80755389457283</v>
      </c>
      <c r="AD90" s="16">
        <f t="shared" si="115"/>
        <v>60.716546751081715</v>
      </c>
      <c r="AE90" s="16">
        <f t="shared" si="116"/>
        <v>57.141443498990263</v>
      </c>
      <c r="AH90" s="31" t="s">
        <v>137</v>
      </c>
      <c r="AI90" s="16">
        <f t="shared" si="117"/>
        <v>-85.343019619142922</v>
      </c>
      <c r="AJ90" s="16">
        <f t="shared" si="118"/>
        <v>56.150707704208017</v>
      </c>
      <c r="AK90" s="16"/>
      <c r="AN90" s="31" t="s">
        <v>137</v>
      </c>
      <c r="AO90" s="16">
        <f t="shared" si="119"/>
        <v>15.598295545264314</v>
      </c>
      <c r="AP90" s="16">
        <f t="shared" si="120"/>
        <v>49.707086135023566</v>
      </c>
      <c r="AQ90" s="16"/>
    </row>
    <row r="91" spans="1:43" x14ac:dyDescent="0.25">
      <c r="A91" s="1" t="s">
        <v>138</v>
      </c>
      <c r="B91" s="12">
        <f t="shared" si="121"/>
        <v>0.27437570806951544</v>
      </c>
      <c r="C91" s="12">
        <f t="shared" si="121"/>
        <v>17.285669608379475</v>
      </c>
      <c r="D91" s="12">
        <f t="shared" si="121"/>
        <v>281.92104004142715</v>
      </c>
      <c r="E91" s="12">
        <f t="shared" si="121"/>
        <v>1327.9784270564548</v>
      </c>
      <c r="F91" s="12">
        <f t="shared" si="121"/>
        <v>1254.857300855929</v>
      </c>
      <c r="G91" s="12">
        <f t="shared" si="121"/>
        <v>1271.7314069022041</v>
      </c>
      <c r="K91" s="1">
        <v>128</v>
      </c>
      <c r="L91" s="31" t="s">
        <v>138</v>
      </c>
      <c r="M91" s="16">
        <f t="shared" si="107"/>
        <v>100.05139178768728</v>
      </c>
      <c r="N91" s="16">
        <f t="shared" si="105"/>
        <v>80.326671482744487</v>
      </c>
      <c r="O91" s="60">
        <f t="shared" si="106"/>
        <v>110.20913256007236</v>
      </c>
      <c r="Q91" s="31" t="s">
        <v>138</v>
      </c>
      <c r="R91" s="16">
        <f t="shared" si="108"/>
        <v>91.207897003848942</v>
      </c>
      <c r="S91" s="16">
        <f t="shared" si="109"/>
        <v>78.564055420670371</v>
      </c>
      <c r="T91" s="61">
        <f t="shared" si="110"/>
        <v>68.458296254959976</v>
      </c>
      <c r="V91" s="31" t="s">
        <v>138</v>
      </c>
      <c r="W91" s="45">
        <f t="shared" si="111"/>
        <v>-151.48288613276472</v>
      </c>
      <c r="X91" s="16">
        <f t="shared" si="112"/>
        <v>12.193879275552234</v>
      </c>
      <c r="Y91" s="60">
        <f t="shared" si="113"/>
        <v>30.207906996492675</v>
      </c>
      <c r="AB91" s="31" t="s">
        <v>138</v>
      </c>
      <c r="AC91" s="45">
        <f t="shared" si="114"/>
        <v>-2378.2708408801836</v>
      </c>
      <c r="AD91" s="16">
        <f t="shared" si="115"/>
        <v>59.776405391577441</v>
      </c>
      <c r="AE91" s="16">
        <f t="shared" si="116"/>
        <v>60.637732603021483</v>
      </c>
      <c r="AH91" s="31" t="s">
        <v>138</v>
      </c>
      <c r="AI91" s="16">
        <f t="shared" si="117"/>
        <v>-19.25113341809282</v>
      </c>
      <c r="AJ91" s="16">
        <f t="shared" si="118"/>
        <v>58.464031451019281</v>
      </c>
      <c r="AK91" s="16"/>
      <c r="AN91" s="31" t="s">
        <v>138</v>
      </c>
      <c r="AO91" s="16">
        <f t="shared" si="119"/>
        <v>15.342271270760786</v>
      </c>
      <c r="AP91" s="16">
        <f t="shared" si="120"/>
        <v>49.642173812152734</v>
      </c>
      <c r="AQ91" s="16"/>
    </row>
    <row r="94" spans="1:43" x14ac:dyDescent="0.25">
      <c r="B94" s="62" t="s">
        <v>155</v>
      </c>
      <c r="C94" s="62"/>
      <c r="D94" s="62"/>
      <c r="E94" s="62"/>
      <c r="F94" s="62"/>
      <c r="G94" s="62"/>
    </row>
    <row r="95" spans="1:43" x14ac:dyDescent="0.25">
      <c r="A95" s="1" t="s">
        <v>152</v>
      </c>
      <c r="B95" s="1" t="s">
        <v>60</v>
      </c>
      <c r="C95" s="1" t="s">
        <v>59</v>
      </c>
      <c r="D95" s="1" t="s">
        <v>58</v>
      </c>
      <c r="E95" s="1" t="s">
        <v>57</v>
      </c>
      <c r="F95" s="1" t="s">
        <v>56</v>
      </c>
      <c r="G95" s="1" t="s">
        <v>55</v>
      </c>
    </row>
    <row r="96" spans="1:43" x14ac:dyDescent="0.25">
      <c r="A96" s="1" t="s">
        <v>69</v>
      </c>
      <c r="B96" s="16">
        <f>F3*$C3</f>
        <v>1.452996263730735E-2</v>
      </c>
      <c r="C96" s="16">
        <f>G3*$C3</f>
        <v>6.6422686341976456E-2</v>
      </c>
      <c r="D96" s="16">
        <f>H3*$C3</f>
        <v>0.30720492433164109</v>
      </c>
      <c r="E96" s="16">
        <f>I3*$C3</f>
        <v>0.98596175038871292</v>
      </c>
      <c r="F96" s="16">
        <f>J3*$C3</f>
        <v>3.9085599494356771</v>
      </c>
      <c r="G96" s="16">
        <f>K3*$C3</f>
        <v>12.176108690063558</v>
      </c>
    </row>
    <row r="97" spans="1:55" x14ac:dyDescent="0.25">
      <c r="A97" s="1" t="s">
        <v>70</v>
      </c>
      <c r="B97" s="16">
        <f t="shared" ref="B97:B105" si="122">F4*$C4</f>
        <v>0</v>
      </c>
      <c r="C97" s="16">
        <f t="shared" ref="C97:C99" si="123">G4*$C4</f>
        <v>5.2030792554998281E-4</v>
      </c>
      <c r="D97" s="16">
        <f t="shared" ref="D97:D105" si="124">H4*$C4</f>
        <v>2.9484115781165691E-3</v>
      </c>
      <c r="E97" s="16">
        <f t="shared" ref="E97:E100" si="125">I4*$C4</f>
        <v>3.8329350515515399E-2</v>
      </c>
      <c r="F97" s="16">
        <f t="shared" ref="F97:F99" si="126">J4*$C4</f>
        <v>0.51423766641856639</v>
      </c>
      <c r="G97" s="16">
        <f t="shared" ref="G97:G105" si="127">K4*$C4</f>
        <v>2.5836757223060309</v>
      </c>
    </row>
    <row r="98" spans="1:55" x14ac:dyDescent="0.25">
      <c r="A98" s="1" t="s">
        <v>71</v>
      </c>
      <c r="B98" s="16">
        <f t="shared" si="122"/>
        <v>0</v>
      </c>
      <c r="C98" s="16">
        <f t="shared" si="123"/>
        <v>0</v>
      </c>
      <c r="D98" s="16">
        <f t="shared" si="124"/>
        <v>3.0452196501207555E-4</v>
      </c>
      <c r="E98" s="16">
        <f t="shared" si="125"/>
        <v>2.3448191305929816E-2</v>
      </c>
      <c r="F98" s="16">
        <f t="shared" si="126"/>
        <v>0.38883648407479399</v>
      </c>
      <c r="G98" s="16">
        <f t="shared" si="127"/>
        <v>1.1319842744411379</v>
      </c>
    </row>
    <row r="99" spans="1:55" x14ac:dyDescent="0.25">
      <c r="A99" s="1" t="s">
        <v>72</v>
      </c>
      <c r="B99" s="16">
        <f t="shared" si="122"/>
        <v>2.5490870917336435E-3</v>
      </c>
      <c r="C99" s="16">
        <f t="shared" si="123"/>
        <v>4.4609024105338761E-3</v>
      </c>
      <c r="D99" s="16">
        <f t="shared" si="124"/>
        <v>2.7402686236136665E-2</v>
      </c>
      <c r="E99" s="16">
        <f t="shared" si="125"/>
        <v>0.20711332620335851</v>
      </c>
      <c r="F99" s="16">
        <f t="shared" si="126"/>
        <v>3.018756388385567</v>
      </c>
      <c r="G99" s="16">
        <f t="shared" si="127"/>
        <v>13.471925279812304</v>
      </c>
    </row>
    <row r="100" spans="1:55" x14ac:dyDescent="0.25">
      <c r="A100" s="1" t="s">
        <v>133</v>
      </c>
      <c r="B100" s="16">
        <f>F10*$C10</f>
        <v>0</v>
      </c>
      <c r="C100" s="16">
        <f>G10*$C10</f>
        <v>6.6628176226320498E-3</v>
      </c>
      <c r="D100" s="16">
        <f>H10*$C10</f>
        <v>0.12053642790034347</v>
      </c>
      <c r="E100" s="16">
        <f>I10*$C10</f>
        <v>10.040866157306501</v>
      </c>
      <c r="F100" s="16">
        <f>J10*$C10</f>
        <v>7.1788831330395508</v>
      </c>
      <c r="G100" s="16">
        <f>K10*$C10</f>
        <v>9.1577399669612696</v>
      </c>
    </row>
    <row r="101" spans="1:55" x14ac:dyDescent="0.25">
      <c r="A101" s="1" t="s">
        <v>134</v>
      </c>
      <c r="B101" s="16">
        <f t="shared" ref="B101:B105" si="128">F11*$C11</f>
        <v>0</v>
      </c>
      <c r="C101" s="16">
        <f t="shared" ref="C101:C105" si="129">G11*$C11</f>
        <v>0</v>
      </c>
      <c r="D101" s="16">
        <f t="shared" ref="D101:D105" si="130">H11*$C11</f>
        <v>5.1565112924418502E-4</v>
      </c>
      <c r="E101" s="16">
        <f t="shared" ref="E101:E105" si="131">I11*$C11</f>
        <v>5.7752926475348715E-2</v>
      </c>
      <c r="F101" s="16">
        <f t="shared" ref="F101:F105" si="132">J11*$C11</f>
        <v>2.0186022872812361</v>
      </c>
      <c r="G101" s="16">
        <f t="shared" ref="G101:G105" si="133">K11*$C11</f>
        <v>2.6440871070544327</v>
      </c>
    </row>
    <row r="102" spans="1:55" x14ac:dyDescent="0.25">
      <c r="A102" s="1" t="s">
        <v>135</v>
      </c>
      <c r="B102" s="16">
        <f t="shared" si="128"/>
        <v>0</v>
      </c>
      <c r="C102" s="16">
        <f t="shared" si="129"/>
        <v>1.12982134835938E-3</v>
      </c>
      <c r="D102" s="16">
        <f t="shared" si="130"/>
        <v>6.6094548879023732E-2</v>
      </c>
      <c r="E102" s="16">
        <f t="shared" si="131"/>
        <v>2.7878341770767703</v>
      </c>
      <c r="F102" s="16">
        <f t="shared" si="132"/>
        <v>5.81236592663483</v>
      </c>
      <c r="G102" s="16">
        <f t="shared" si="133"/>
        <v>5.9812742182145584</v>
      </c>
    </row>
    <row r="103" spans="1:55" x14ac:dyDescent="0.25">
      <c r="A103" s="1" t="s">
        <v>136</v>
      </c>
      <c r="B103" s="16">
        <f t="shared" si="128"/>
        <v>0</v>
      </c>
      <c r="C103" s="16">
        <f t="shared" si="129"/>
        <v>0</v>
      </c>
      <c r="D103" s="16">
        <f t="shared" si="130"/>
        <v>8.9383231668682204E-3</v>
      </c>
      <c r="E103" s="16">
        <f t="shared" si="131"/>
        <v>0.11446019388684027</v>
      </c>
      <c r="F103" s="16">
        <f t="shared" si="132"/>
        <v>1.6560726534169732</v>
      </c>
      <c r="G103" s="16">
        <f t="shared" si="133"/>
        <v>2.5201105595475677</v>
      </c>
    </row>
    <row r="104" spans="1:55" x14ac:dyDescent="0.25">
      <c r="A104" s="1" t="s">
        <v>137</v>
      </c>
      <c r="B104" s="16">
        <f t="shared" si="128"/>
        <v>9.456871843100817E-4</v>
      </c>
      <c r="C104" s="16">
        <f t="shared" si="129"/>
        <v>2.6479241160682288E-2</v>
      </c>
      <c r="D104" s="16">
        <f t="shared" si="130"/>
        <v>0.61091392106431286</v>
      </c>
      <c r="E104" s="16">
        <f t="shared" si="131"/>
        <v>6.821241660428619</v>
      </c>
      <c r="F104" s="16">
        <f t="shared" si="132"/>
        <v>9.8181243475072684</v>
      </c>
      <c r="G104" s="16">
        <f t="shared" si="133"/>
        <v>7.9258042917027947</v>
      </c>
    </row>
    <row r="105" spans="1:55" x14ac:dyDescent="0.25">
      <c r="A105" s="1" t="s">
        <v>138</v>
      </c>
      <c r="B105" s="16">
        <f t="shared" si="128"/>
        <v>4.0495972436073004E-3</v>
      </c>
      <c r="C105" s="16">
        <f t="shared" si="129"/>
        <v>0.25512462634725991</v>
      </c>
      <c r="D105" s="16">
        <f>H15*$C15</f>
        <v>4.1609611678065006</v>
      </c>
      <c r="E105" s="16">
        <f t="shared" si="131"/>
        <v>19.600050659059335</v>
      </c>
      <c r="F105" s="16">
        <f t="shared" si="132"/>
        <v>18.520832993637985</v>
      </c>
      <c r="G105" s="16">
        <f t="shared" si="133"/>
        <v>18.769883224119837</v>
      </c>
      <c r="AX105" s="62"/>
      <c r="AY105" s="62"/>
      <c r="AZ105" s="62"/>
      <c r="BA105" s="62"/>
      <c r="BB105" s="62"/>
      <c r="BC105" s="62"/>
    </row>
    <row r="106" spans="1:55" x14ac:dyDescent="0.25">
      <c r="AW106" s="1"/>
      <c r="AX106" s="1"/>
      <c r="AY106" s="1"/>
      <c r="AZ106" s="1"/>
      <c r="BA106" s="1"/>
      <c r="BB106" s="1"/>
      <c r="BC106" s="1"/>
    </row>
    <row r="107" spans="1:55" x14ac:dyDescent="0.25">
      <c r="AW107" s="1"/>
      <c r="AX107" s="53"/>
      <c r="AY107" s="53"/>
      <c r="AZ107" s="53"/>
      <c r="BA107" s="53"/>
      <c r="BB107" s="53"/>
      <c r="BC107" s="53"/>
    </row>
    <row r="108" spans="1:55" x14ac:dyDescent="0.25">
      <c r="AW108" s="1"/>
      <c r="AX108" s="53"/>
      <c r="AY108" s="53"/>
      <c r="AZ108" s="53"/>
      <c r="BA108" s="53"/>
      <c r="BB108" s="53"/>
      <c r="BC108" s="53"/>
    </row>
    <row r="109" spans="1:55" x14ac:dyDescent="0.25">
      <c r="AW109" s="1"/>
      <c r="AX109" s="53"/>
      <c r="AY109" s="53"/>
      <c r="AZ109" s="53"/>
      <c r="BA109" s="53"/>
      <c r="BB109" s="53"/>
      <c r="BC109" s="53"/>
    </row>
    <row r="110" spans="1:55" x14ac:dyDescent="0.25">
      <c r="M110" s="25" t="s">
        <v>83</v>
      </c>
      <c r="N110" s="1" t="s">
        <v>119</v>
      </c>
      <c r="R110" s="25" t="s">
        <v>83</v>
      </c>
      <c r="S110" s="1" t="s">
        <v>120</v>
      </c>
      <c r="W110" s="25" t="s">
        <v>83</v>
      </c>
      <c r="X110" s="1" t="s">
        <v>121</v>
      </c>
      <c r="AC110" s="25" t="s">
        <v>83</v>
      </c>
      <c r="AD110" s="1" t="s">
        <v>122</v>
      </c>
      <c r="AI110" s="25" t="s">
        <v>83</v>
      </c>
      <c r="AJ110" s="1" t="s">
        <v>123</v>
      </c>
      <c r="AO110" s="25" t="s">
        <v>83</v>
      </c>
      <c r="AP110" s="1" t="s">
        <v>122</v>
      </c>
      <c r="AW110" s="1"/>
      <c r="AX110" s="53"/>
      <c r="AY110" s="53"/>
      <c r="AZ110" s="53"/>
      <c r="BA110" s="53"/>
      <c r="BB110" s="53"/>
      <c r="BC110" s="53"/>
    </row>
    <row r="111" spans="1:55" x14ac:dyDescent="0.25">
      <c r="M111" s="26">
        <v>1</v>
      </c>
      <c r="N111" s="19" cm="1">
        <f t="array" ref="N111">SQRT(SUMSQ($K82:$K91-M82:M91)/COUNTA($K82:$K91-M82:M91))</f>
        <v>60.357871847966301</v>
      </c>
      <c r="R111" s="26">
        <v>1</v>
      </c>
      <c r="S111" s="19" cm="1">
        <f t="array" ref="S111">SQRT(SUMSQ($K82:$K91-R82:R91)/COUNTA($K82:$K91-R82:R91))</f>
        <v>138.16504982056276</v>
      </c>
      <c r="W111" s="26">
        <v>1</v>
      </c>
      <c r="X111" s="19" cm="1">
        <f t="array" ref="X111">SQRT(SUMSQ($K82:$K91-W82:W91)/COUNTA($K82:$K91-W82:W91))</f>
        <v>646.45025147656156</v>
      </c>
      <c r="AC111" s="26">
        <v>1</v>
      </c>
      <c r="AD111" s="19" cm="1">
        <f t="array" ref="AD111">SQRT(SUMSQ($K82:$K91-AC82:AC91)/COUNTA($K82:$K91-AC82:AC91))</f>
        <v>1783.224884453562</v>
      </c>
      <c r="AI111" s="26">
        <v>1</v>
      </c>
      <c r="AJ111" s="19" cm="1">
        <f t="array" ref="AJ111">SQRT(SUMSQ($K82:$K91-AI82:AI91)/COUNTA($K82:$K91-AI82:AI91))</f>
        <v>218.81301267115757</v>
      </c>
      <c r="AO111" s="26">
        <v>1</v>
      </c>
      <c r="AP111" s="19" cm="1">
        <f t="array" ref="AP111">SQRT(SUMSQ($K82:$K91-AO82:AO91)/COUNTA($K82:$K91-AO82:AO91))</f>
        <v>90.381419208010186</v>
      </c>
      <c r="AW111" s="1"/>
      <c r="AX111" s="53"/>
      <c r="AY111" s="53"/>
      <c r="AZ111" s="53"/>
      <c r="BA111" s="53"/>
      <c r="BB111" s="53"/>
      <c r="BC111" s="53"/>
    </row>
    <row r="112" spans="1:55" x14ac:dyDescent="0.25">
      <c r="M112" s="27">
        <v>2</v>
      </c>
      <c r="N112" s="21" cm="1">
        <f t="array" ref="N112">SQRT(SUMSQ($K82:$K91-N82:N91)/COUNTA($K82:$K91-N82:N91))</f>
        <v>51.699240848331911</v>
      </c>
      <c r="O112" t="s">
        <v>85</v>
      </c>
      <c r="R112" s="27">
        <v>2</v>
      </c>
      <c r="S112" s="21" cm="1">
        <f t="array" ref="S112">SQRT(SUMSQ($K82:$K91-S82:S91)/COUNTA($K82:$K91-S82:S91))</f>
        <v>96.111163276173798</v>
      </c>
      <c r="T112" t="s">
        <v>85</v>
      </c>
      <c r="W112" s="27">
        <v>2</v>
      </c>
      <c r="X112" s="21" cm="1">
        <f t="array" ref="X112">SQRT(SUMSQ($K82:$K91-X82:X91)/COUNTA($K82:$K91-X82:X91))</f>
        <v>173.91017968041791</v>
      </c>
      <c r="Y112" t="s">
        <v>85</v>
      </c>
      <c r="AC112" s="27">
        <v>2</v>
      </c>
      <c r="AD112" s="21" cm="1">
        <f t="array" ref="AD112">SQRT(SUMSQ($K82:$K91-AD82:AD91/COUNTA($K82:$K91-AD82:AD91)))</f>
        <v>310.56647060366123</v>
      </c>
      <c r="AE112" t="s">
        <v>85</v>
      </c>
      <c r="AI112" s="27">
        <v>2</v>
      </c>
      <c r="AJ112" s="21" cm="1">
        <f t="array" ref="AJ112">SQRT(SUMSQ($K82:$K91-AJ82:AJ91/COUNTA($K82:$K91-AJ82:AJ91)))</f>
        <v>312.51953233360661</v>
      </c>
      <c r="AK112" t="s">
        <v>85</v>
      </c>
      <c r="AO112" s="27">
        <v>2</v>
      </c>
      <c r="AP112" s="21" cm="1">
        <f t="array" ref="AP112">SQRT(SUMSQ($K82:$K91-AP82:AP91/COUNTA($K82:$K91-AP82:AP91)))</f>
        <v>314.25874130979372</v>
      </c>
      <c r="AQ112" t="s">
        <v>85</v>
      </c>
    </row>
    <row r="113" spans="13:43" x14ac:dyDescent="0.25">
      <c r="M113" s="28">
        <v>3</v>
      </c>
      <c r="N113" s="17" cm="1">
        <f t="array" ref="N113">SQRT(SUMSQ($K82:$K91-O82:O91)/COUNTA($K82:$K91-O82:O91))</f>
        <v>55.198493565385419</v>
      </c>
      <c r="O113" t="s">
        <v>86</v>
      </c>
      <c r="R113" s="28">
        <v>3</v>
      </c>
      <c r="S113" s="17" cm="1">
        <f t="array" ref="S113">SQRT(SUMSQ($K82:$K91-T82:T91)/COUNTA($K82:$K91-T82:T91))</f>
        <v>71.608065485549758</v>
      </c>
      <c r="T113" t="s">
        <v>86</v>
      </c>
      <c r="W113" s="28">
        <v>3</v>
      </c>
      <c r="X113" s="17" cm="1">
        <f t="array" ref="X113">SQRT(SUMSQ($K82:$K91-Y82:Y91)/COUNTA($K82:$K91-Y82:Y91))</f>
        <v>84.329706386153759</v>
      </c>
      <c r="Y113" t="s">
        <v>86</v>
      </c>
      <c r="AC113" s="28">
        <v>3</v>
      </c>
      <c r="AD113" s="17" cm="1">
        <f t="array" ref="AD113">SQRT(SUMSQ($K82:$K91-AE82:AE91)/COUNTA($K82:$K91-AE82:AE91))</f>
        <v>61.910991060936723</v>
      </c>
      <c r="AE113" t="s">
        <v>86</v>
      </c>
      <c r="AI113" s="28">
        <v>3</v>
      </c>
      <c r="AJ113" s="17"/>
      <c r="AK113" t="s">
        <v>86</v>
      </c>
      <c r="AO113" s="28">
        <v>3</v>
      </c>
      <c r="AP113" s="17"/>
      <c r="AQ113" t="s">
        <v>86</v>
      </c>
    </row>
    <row r="141" spans="11:43" x14ac:dyDescent="0.25">
      <c r="L141" s="62" t="s">
        <v>156</v>
      </c>
      <c r="M141" s="62"/>
      <c r="N141" s="62"/>
      <c r="O141" s="62"/>
      <c r="Q141" s="62" t="s">
        <v>156</v>
      </c>
      <c r="R141" s="62"/>
      <c r="S141" s="62"/>
      <c r="T141" s="62"/>
      <c r="V141" s="62" t="s">
        <v>156</v>
      </c>
      <c r="W141" s="62"/>
      <c r="X141" s="62"/>
      <c r="Y141" s="62"/>
      <c r="AB141" s="62" t="s">
        <v>156</v>
      </c>
      <c r="AC141" s="62"/>
      <c r="AD141" s="62"/>
      <c r="AE141" s="62"/>
      <c r="AH141" s="62" t="s">
        <v>156</v>
      </c>
      <c r="AI141" s="62"/>
      <c r="AJ141" s="62"/>
      <c r="AK141" s="62"/>
      <c r="AN141" s="62" t="s">
        <v>156</v>
      </c>
      <c r="AO141" s="62"/>
      <c r="AP141" s="62"/>
      <c r="AQ141" s="62"/>
    </row>
    <row r="142" spans="11:43" ht="45" x14ac:dyDescent="0.25">
      <c r="K142" s="15" t="s">
        <v>78</v>
      </c>
      <c r="L142" s="35" t="s">
        <v>112</v>
      </c>
      <c r="M142" s="23" t="s">
        <v>149</v>
      </c>
      <c r="N142" s="23" t="s">
        <v>150</v>
      </c>
      <c r="O142" s="23" t="s">
        <v>151</v>
      </c>
      <c r="Q142" s="35" t="s">
        <v>113</v>
      </c>
      <c r="R142" s="23" t="s">
        <v>149</v>
      </c>
      <c r="S142" s="23" t="s">
        <v>150</v>
      </c>
      <c r="T142" s="23" t="s">
        <v>151</v>
      </c>
      <c r="V142" s="35" t="s">
        <v>115</v>
      </c>
      <c r="W142" s="23" t="s">
        <v>149</v>
      </c>
      <c r="X142" s="23" t="s">
        <v>150</v>
      </c>
      <c r="Y142" s="23" t="s">
        <v>151</v>
      </c>
      <c r="AB142" s="35" t="s">
        <v>116</v>
      </c>
      <c r="AC142" s="23" t="s">
        <v>149</v>
      </c>
      <c r="AD142" s="23" t="s">
        <v>150</v>
      </c>
      <c r="AE142" s="23" t="s">
        <v>151</v>
      </c>
      <c r="AH142" s="35" t="s">
        <v>117</v>
      </c>
      <c r="AI142" s="23" t="s">
        <v>149</v>
      </c>
      <c r="AJ142" s="23" t="s">
        <v>150</v>
      </c>
      <c r="AK142" s="23" t="s">
        <v>151</v>
      </c>
      <c r="AN142" s="35" t="s">
        <v>118</v>
      </c>
      <c r="AO142" s="23" t="s">
        <v>149</v>
      </c>
      <c r="AP142" s="23" t="s">
        <v>150</v>
      </c>
      <c r="AQ142" s="23" t="s">
        <v>151</v>
      </c>
    </row>
    <row r="143" spans="11:43" x14ac:dyDescent="0.25">
      <c r="K143" s="1">
        <v>90</v>
      </c>
      <c r="L143" s="31" t="s">
        <v>69</v>
      </c>
      <c r="M143" s="16">
        <f>(G96+0.2797)/0.1308</f>
        <v>95.227895183972151</v>
      </c>
      <c r="N143" s="16">
        <f>3.9718*G96+30.546</f>
        <v>78.907068495194437</v>
      </c>
      <c r="O143" s="60">
        <f>19.313*G96^0.5814</f>
        <v>82.59702247449286</v>
      </c>
      <c r="Q143" s="31" t="s">
        <v>69</v>
      </c>
      <c r="R143" s="16">
        <f>(F96+0.4849)/0.0584</f>
        <v>75.230478586227335</v>
      </c>
      <c r="S143" s="16">
        <f>10.01*F96+30.323</f>
        <v>69.447685093851135</v>
      </c>
      <c r="T143" s="61">
        <f>37.141*F96^0.4897</f>
        <v>72.404274907409402</v>
      </c>
      <c r="V143" s="31" t="s">
        <v>69</v>
      </c>
      <c r="W143" s="16">
        <f>(E96+0.6363)/0.0265</f>
        <v>61.217424542970299</v>
      </c>
      <c r="X143" s="16">
        <f>25.558*E96+36.111</f>
        <v>61.310210416434721</v>
      </c>
      <c r="Y143" s="61">
        <f>69.284*E96^0.3338</f>
        <v>68.957807295619332</v>
      </c>
      <c r="AB143" s="31" t="s">
        <v>69</v>
      </c>
      <c r="AC143" s="16">
        <f>(0.2678+D96)/0.0101</f>
        <v>56.931180626895156</v>
      </c>
      <c r="AD143" s="16">
        <f>66.181*D96+38.036</f>
        <v>58.36712909719234</v>
      </c>
      <c r="AE143" s="16">
        <f>90.603*D96^0.2478</f>
        <v>67.628114502869821</v>
      </c>
      <c r="AH143" s="31" t="s">
        <v>69</v>
      </c>
      <c r="AI143" s="16">
        <f>(C96+0.0586)/0.0026</f>
        <v>48.085648593067866</v>
      </c>
      <c r="AJ143" s="16">
        <f>176.58*C96+43.872</f>
        <v>55.600917954266201</v>
      </c>
      <c r="AK143" s="16"/>
      <c r="AN143" s="31" t="s">
        <v>69</v>
      </c>
      <c r="AO143" s="16">
        <f>(B96+0.0224)/0.0007</f>
        <v>52.757089481867645</v>
      </c>
      <c r="AP143" s="16">
        <f>613.15*B96+47.755</f>
        <v>56.664046591065002</v>
      </c>
      <c r="AQ143" s="16"/>
    </row>
    <row r="144" spans="11:43" x14ac:dyDescent="0.25">
      <c r="K144" s="1">
        <v>45</v>
      </c>
      <c r="L144" s="31" t="s">
        <v>70</v>
      </c>
      <c r="M144" s="16">
        <f t="shared" ref="M144:M152" si="134">(G97+0.2797)/0.1308</f>
        <v>21.891251699587393</v>
      </c>
      <c r="N144" s="16">
        <f t="shared" ref="N144:N152" si="135">3.9718*G97+30.546</f>
        <v>40.807843233855095</v>
      </c>
      <c r="O144" s="60">
        <f t="shared" ref="O144:O152" si="136">19.313*G97^0.5814</f>
        <v>33.537054468443031</v>
      </c>
      <c r="Q144" s="31" t="s">
        <v>70</v>
      </c>
      <c r="R144" s="16">
        <f t="shared" ref="R144:R152" si="137">(F97+0.4849)/0.0584</f>
        <v>17.108521685249425</v>
      </c>
      <c r="S144" s="16">
        <f t="shared" ref="S144:S152" si="138">10.01*F97+30.323</f>
        <v>35.470519040849851</v>
      </c>
      <c r="T144" s="61">
        <f t="shared" ref="T144:T152" si="139">37.141*F97^0.4897</f>
        <v>26.817021909960893</v>
      </c>
      <c r="V144" s="31" t="s">
        <v>70</v>
      </c>
      <c r="W144" s="16">
        <f t="shared" ref="W144:W152" si="140">(E97+0.6363)/0.0265</f>
        <v>25.457711340208132</v>
      </c>
      <c r="X144" s="16">
        <f t="shared" ref="X144:X152" si="141">25.558*E97+36.111</f>
        <v>37.090621540475539</v>
      </c>
      <c r="Y144" s="61">
        <f t="shared" ref="Y144:Y152" si="142">69.284*E97^0.3338</f>
        <v>23.324683235913156</v>
      </c>
      <c r="AB144" s="31" t="s">
        <v>70</v>
      </c>
      <c r="AC144" s="16">
        <f t="shared" ref="AC144:AC152" si="143">(0.2678+D97)/0.0101</f>
        <v>26.806773423575901</v>
      </c>
      <c r="AD144" s="16">
        <f t="shared" ref="AD144:AD152" si="144">66.181*D97+38.036</f>
        <v>38.231128826651336</v>
      </c>
      <c r="AE144" s="16">
        <f t="shared" ref="AE144:AE152" si="145">90.603*D97^0.2478</f>
        <v>21.384864913798921</v>
      </c>
      <c r="AH144" s="31" t="s">
        <v>70</v>
      </c>
      <c r="AI144" s="16">
        <f t="shared" ref="AI144:AI152" si="146">(C97+0.0586)/0.0026</f>
        <v>22.738579971365379</v>
      </c>
      <c r="AJ144" s="16">
        <f t="shared" ref="AJ144:AJ152" si="147">176.58*C97+43.872</f>
        <v>43.963875973493614</v>
      </c>
      <c r="AK144" s="16"/>
      <c r="AN144" s="31" t="s">
        <v>70</v>
      </c>
      <c r="AO144" s="16">
        <f t="shared" ref="AO144:AO152" si="148">(B97+0.0224)/0.0007</f>
        <v>32</v>
      </c>
      <c r="AP144" s="16">
        <f t="shared" ref="AP144:AP152" si="149">613.15*B97+47.755</f>
        <v>47.755000000000003</v>
      </c>
      <c r="AQ144" s="16"/>
    </row>
    <row r="145" spans="11:43" x14ac:dyDescent="0.25">
      <c r="K145" s="1">
        <v>64</v>
      </c>
      <c r="L145" s="31" t="s">
        <v>71</v>
      </c>
      <c r="M145" s="16">
        <f t="shared" si="134"/>
        <v>10.792693229672309</v>
      </c>
      <c r="N145" s="16">
        <f t="shared" si="135"/>
        <v>35.042015141225313</v>
      </c>
      <c r="O145" s="60">
        <f t="shared" si="136"/>
        <v>20.756424561261426</v>
      </c>
      <c r="Q145" s="31" t="s">
        <v>71</v>
      </c>
      <c r="R145" s="16">
        <f t="shared" si="137"/>
        <v>14.96124116566428</v>
      </c>
      <c r="S145" s="16">
        <f t="shared" si="138"/>
        <v>34.215253205588688</v>
      </c>
      <c r="T145" s="61">
        <f t="shared" si="139"/>
        <v>23.386352758414429</v>
      </c>
      <c r="V145" s="31" t="s">
        <v>71</v>
      </c>
      <c r="W145" s="16">
        <f t="shared" si="140"/>
        <v>24.896158162487918</v>
      </c>
      <c r="X145" s="16">
        <f t="shared" si="141"/>
        <v>36.710288873396948</v>
      </c>
      <c r="Y145" s="61">
        <f t="shared" si="142"/>
        <v>19.79590922298398</v>
      </c>
      <c r="AB145" s="31" t="s">
        <v>71</v>
      </c>
      <c r="AC145" s="16">
        <f t="shared" si="143"/>
        <v>26.54500217475367</v>
      </c>
      <c r="AD145" s="16">
        <f t="shared" si="144"/>
        <v>38.056153568166465</v>
      </c>
      <c r="AE145" s="16">
        <f t="shared" si="145"/>
        <v>12.183814353240148</v>
      </c>
      <c r="AH145" s="31" t="s">
        <v>71</v>
      </c>
      <c r="AI145" s="16">
        <f t="shared" si="146"/>
        <v>22.53846153846154</v>
      </c>
      <c r="AJ145" s="16">
        <f t="shared" si="147"/>
        <v>43.872</v>
      </c>
      <c r="AK145" s="16"/>
      <c r="AN145" s="31" t="s">
        <v>71</v>
      </c>
      <c r="AO145" s="16">
        <f t="shared" si="148"/>
        <v>32</v>
      </c>
      <c r="AP145" s="16">
        <f t="shared" si="149"/>
        <v>47.755000000000003</v>
      </c>
      <c r="AQ145" s="16"/>
    </row>
    <row r="146" spans="11:43" x14ac:dyDescent="0.25">
      <c r="K146" s="1">
        <v>90</v>
      </c>
      <c r="L146" s="31" t="s">
        <v>72</v>
      </c>
      <c r="M146" s="16">
        <f t="shared" si="134"/>
        <v>105.13474984565981</v>
      </c>
      <c r="N146" s="16">
        <f t="shared" si="135"/>
        <v>84.053792826358517</v>
      </c>
      <c r="O146" s="60">
        <f t="shared" si="136"/>
        <v>87.599201607786554</v>
      </c>
      <c r="Q146" s="31" t="s">
        <v>72</v>
      </c>
      <c r="R146" s="16">
        <f t="shared" si="137"/>
        <v>59.994116239478892</v>
      </c>
      <c r="S146" s="16">
        <f t="shared" si="138"/>
        <v>60.540751447739524</v>
      </c>
      <c r="T146" s="61">
        <f t="shared" si="139"/>
        <v>63.800693168592431</v>
      </c>
      <c r="V146" s="31" t="s">
        <v>72</v>
      </c>
      <c r="W146" s="16">
        <f t="shared" si="140"/>
        <v>31.826917969938059</v>
      </c>
      <c r="X146" s="16">
        <f t="shared" si="141"/>
        <v>41.404402391105435</v>
      </c>
      <c r="Y146" s="61">
        <f t="shared" si="142"/>
        <v>40.962192851694532</v>
      </c>
      <c r="AB146" s="31" t="s">
        <v>72</v>
      </c>
      <c r="AC146" s="16">
        <f t="shared" si="143"/>
        <v>29.227988736251156</v>
      </c>
      <c r="AD146" s="16">
        <f t="shared" si="144"/>
        <v>39.849537177793763</v>
      </c>
      <c r="AE146" s="16">
        <f t="shared" si="145"/>
        <v>37.155894206812931</v>
      </c>
      <c r="AH146" s="31" t="s">
        <v>72</v>
      </c>
      <c r="AI146" s="16">
        <f t="shared" si="146"/>
        <v>24.254193234820722</v>
      </c>
      <c r="AJ146" s="16">
        <f t="shared" si="147"/>
        <v>44.659706147652074</v>
      </c>
      <c r="AK146" s="16"/>
      <c r="AN146" s="31" t="s">
        <v>72</v>
      </c>
      <c r="AO146" s="16">
        <f t="shared" si="148"/>
        <v>35.641552988190917</v>
      </c>
      <c r="AP146" s="16">
        <f t="shared" si="149"/>
        <v>49.317972750296484</v>
      </c>
      <c r="AQ146" s="16"/>
    </row>
    <row r="147" spans="11:43" x14ac:dyDescent="0.25">
      <c r="K147" s="1">
        <v>128</v>
      </c>
      <c r="L147" s="31" t="s">
        <v>133</v>
      </c>
      <c r="M147" s="16">
        <f t="shared" si="134"/>
        <v>72.151681704596868</v>
      </c>
      <c r="N147" s="16">
        <f t="shared" si="135"/>
        <v>66.91871160077676</v>
      </c>
      <c r="O147" s="60">
        <f t="shared" si="136"/>
        <v>69.989592115514952</v>
      </c>
      <c r="Q147" s="31" t="s">
        <v>133</v>
      </c>
      <c r="R147" s="16">
        <f t="shared" si="137"/>
        <v>131.22916323697859</v>
      </c>
      <c r="S147" s="16">
        <f t="shared" si="138"/>
        <v>102.18362016172591</v>
      </c>
      <c r="T147" s="61">
        <f t="shared" si="139"/>
        <v>97.51347841560964</v>
      </c>
      <c r="V147" s="31" t="s">
        <v>133</v>
      </c>
      <c r="W147" s="16">
        <f t="shared" si="140"/>
        <v>402.91193046439628</v>
      </c>
      <c r="X147" s="16">
        <f t="shared" si="141"/>
        <v>292.73545724843956</v>
      </c>
      <c r="Y147" s="61">
        <f t="shared" si="142"/>
        <v>149.63189369247033</v>
      </c>
      <c r="AB147" s="31" t="s">
        <v>133</v>
      </c>
      <c r="AC147" s="16">
        <f t="shared" si="143"/>
        <v>38.449151277261727</v>
      </c>
      <c r="AD147" s="16">
        <f t="shared" si="144"/>
        <v>46.013221334872632</v>
      </c>
      <c r="AE147" s="16">
        <f t="shared" si="145"/>
        <v>53.634433394312929</v>
      </c>
      <c r="AH147" s="31" t="s">
        <v>133</v>
      </c>
      <c r="AI147" s="16">
        <f t="shared" si="146"/>
        <v>25.101083701012325</v>
      </c>
      <c r="AJ147" s="16">
        <f t="shared" si="147"/>
        <v>45.048520335804369</v>
      </c>
      <c r="AK147" s="16"/>
      <c r="AN147" s="31" t="s">
        <v>133</v>
      </c>
      <c r="AO147" s="16">
        <f t="shared" si="148"/>
        <v>32</v>
      </c>
      <c r="AP147" s="16">
        <f t="shared" si="149"/>
        <v>47.755000000000003</v>
      </c>
      <c r="AQ147" s="16"/>
    </row>
    <row r="148" spans="11:43" x14ac:dyDescent="0.25">
      <c r="K148" s="1">
        <v>128</v>
      </c>
      <c r="L148" s="31" t="s">
        <v>134</v>
      </c>
      <c r="M148" s="16">
        <f t="shared" si="134"/>
        <v>22.353112439254073</v>
      </c>
      <c r="N148" s="16">
        <f t="shared" si="135"/>
        <v>41.047785171798793</v>
      </c>
      <c r="O148" s="60">
        <f t="shared" si="136"/>
        <v>33.990759326009922</v>
      </c>
      <c r="Q148" s="31" t="s">
        <v>134</v>
      </c>
      <c r="R148" s="16">
        <f t="shared" si="137"/>
        <v>42.868189850706102</v>
      </c>
      <c r="S148" s="16">
        <f t="shared" si="138"/>
        <v>50.529208895685173</v>
      </c>
      <c r="T148" s="61">
        <f t="shared" si="139"/>
        <v>52.388619007464662</v>
      </c>
      <c r="V148" s="31" t="s">
        <v>134</v>
      </c>
      <c r="W148" s="16">
        <f t="shared" si="140"/>
        <v>26.190676470767876</v>
      </c>
      <c r="X148" s="16">
        <f t="shared" si="141"/>
        <v>37.587049294856961</v>
      </c>
      <c r="Y148" s="61">
        <f t="shared" si="142"/>
        <v>26.745230973043942</v>
      </c>
      <c r="AB148" s="31" t="s">
        <v>134</v>
      </c>
      <c r="AC148" s="16">
        <f t="shared" si="143"/>
        <v>26.565906052400411</v>
      </c>
      <c r="AD148" s="16">
        <f t="shared" si="144"/>
        <v>38.070126307384513</v>
      </c>
      <c r="AE148" s="16">
        <f t="shared" si="145"/>
        <v>13.882394707391018</v>
      </c>
      <c r="AH148" s="31" t="s">
        <v>134</v>
      </c>
      <c r="AI148" s="16">
        <f t="shared" si="146"/>
        <v>22.53846153846154</v>
      </c>
      <c r="AJ148" s="16">
        <f t="shared" si="147"/>
        <v>43.872</v>
      </c>
      <c r="AK148" s="16"/>
      <c r="AN148" s="31" t="s">
        <v>134</v>
      </c>
      <c r="AO148" s="16">
        <f t="shared" si="148"/>
        <v>32</v>
      </c>
      <c r="AP148" s="16">
        <f t="shared" si="149"/>
        <v>47.755000000000003</v>
      </c>
      <c r="AQ148" s="16"/>
    </row>
    <row r="149" spans="11:43" x14ac:dyDescent="0.25">
      <c r="K149" s="1">
        <v>64</v>
      </c>
      <c r="L149" s="31" t="s">
        <v>135</v>
      </c>
      <c r="M149" s="16">
        <f t="shared" si="134"/>
        <v>47.866775368612835</v>
      </c>
      <c r="N149" s="16">
        <f t="shared" si="135"/>
        <v>54.302424939904583</v>
      </c>
      <c r="O149" s="60">
        <f t="shared" si="136"/>
        <v>54.635837614422663</v>
      </c>
      <c r="Q149" s="31" t="s">
        <v>135</v>
      </c>
      <c r="R149" s="16">
        <f t="shared" si="137"/>
        <v>107.82989600402105</v>
      </c>
      <c r="S149" s="16">
        <f t="shared" si="138"/>
        <v>88.504782925614649</v>
      </c>
      <c r="T149" s="61">
        <f t="shared" si="139"/>
        <v>87.934081462076819</v>
      </c>
      <c r="V149" s="31" t="s">
        <v>135</v>
      </c>
      <c r="W149" s="16">
        <f t="shared" si="140"/>
        <v>129.21261045572717</v>
      </c>
      <c r="X149" s="16">
        <f t="shared" si="141"/>
        <v>107.3624658977281</v>
      </c>
      <c r="Y149" s="61">
        <f t="shared" si="142"/>
        <v>97.558037849240151</v>
      </c>
      <c r="AB149" s="31" t="s">
        <v>135</v>
      </c>
      <c r="AC149" s="16">
        <f t="shared" si="143"/>
        <v>33.058866225645914</v>
      </c>
      <c r="AD149" s="16">
        <f t="shared" si="144"/>
        <v>42.410203339362667</v>
      </c>
      <c r="AE149" s="16">
        <f t="shared" si="145"/>
        <v>46.214645317182772</v>
      </c>
      <c r="AH149" s="31" t="s">
        <v>135</v>
      </c>
      <c r="AI149" s="16">
        <f t="shared" si="146"/>
        <v>22.973008210907455</v>
      </c>
      <c r="AJ149" s="16">
        <f t="shared" si="147"/>
        <v>44.071503853693301</v>
      </c>
      <c r="AK149" s="16"/>
      <c r="AN149" s="31" t="s">
        <v>135</v>
      </c>
      <c r="AO149" s="16">
        <f t="shared" si="148"/>
        <v>32</v>
      </c>
      <c r="AP149" s="16">
        <f t="shared" si="149"/>
        <v>47.755000000000003</v>
      </c>
      <c r="AQ149" s="16"/>
    </row>
    <row r="150" spans="11:43" x14ac:dyDescent="0.25">
      <c r="K150" s="1">
        <v>128</v>
      </c>
      <c r="L150" s="31" t="s">
        <v>136</v>
      </c>
      <c r="M150" s="16">
        <f t="shared" si="134"/>
        <v>21.405279507244401</v>
      </c>
      <c r="N150" s="16">
        <f t="shared" si="135"/>
        <v>40.555375120411028</v>
      </c>
      <c r="O150" s="60">
        <f t="shared" si="136"/>
        <v>33.054842524970155</v>
      </c>
      <c r="Q150" s="31" t="s">
        <v>136</v>
      </c>
      <c r="R150" s="16">
        <f t="shared" si="137"/>
        <v>36.660490640701596</v>
      </c>
      <c r="S150" s="16">
        <f t="shared" si="138"/>
        <v>46.900287260703905</v>
      </c>
      <c r="T150" s="61">
        <f t="shared" si="139"/>
        <v>47.548494195253994</v>
      </c>
      <c r="V150" s="31" t="s">
        <v>136</v>
      </c>
      <c r="W150" s="16">
        <f t="shared" si="140"/>
        <v>28.330573354220387</v>
      </c>
      <c r="X150" s="16">
        <f t="shared" si="141"/>
        <v>39.036373635359858</v>
      </c>
      <c r="Y150" s="61">
        <f t="shared" si="142"/>
        <v>33.60561267118829</v>
      </c>
      <c r="AB150" s="31" t="s">
        <v>136</v>
      </c>
      <c r="AC150" s="16">
        <f t="shared" si="143"/>
        <v>27.399833976917645</v>
      </c>
      <c r="AD150" s="16">
        <f t="shared" si="144"/>
        <v>38.627547165506506</v>
      </c>
      <c r="AE150" s="16">
        <f t="shared" si="145"/>
        <v>28.149055536711732</v>
      </c>
      <c r="AH150" s="31" t="s">
        <v>136</v>
      </c>
      <c r="AI150" s="16">
        <f t="shared" si="146"/>
        <v>22.53846153846154</v>
      </c>
      <c r="AJ150" s="16">
        <f t="shared" si="147"/>
        <v>43.872</v>
      </c>
      <c r="AK150" s="16"/>
      <c r="AN150" s="31" t="s">
        <v>136</v>
      </c>
      <c r="AO150" s="16">
        <f t="shared" si="148"/>
        <v>32</v>
      </c>
      <c r="AP150" s="16">
        <f t="shared" si="149"/>
        <v>47.755000000000003</v>
      </c>
      <c r="AQ150" s="16"/>
    </row>
    <row r="151" spans="11:43" x14ac:dyDescent="0.25">
      <c r="K151" s="1">
        <v>128</v>
      </c>
      <c r="L151" s="31" t="s">
        <v>137</v>
      </c>
      <c r="M151" s="16">
        <f t="shared" si="134"/>
        <v>62.733213239318005</v>
      </c>
      <c r="N151" s="16">
        <f t="shared" si="135"/>
        <v>62.025709485785157</v>
      </c>
      <c r="O151" s="60">
        <f t="shared" si="136"/>
        <v>64.350739323767584</v>
      </c>
      <c r="Q151" s="31" t="s">
        <v>137</v>
      </c>
      <c r="R151" s="16">
        <f t="shared" si="137"/>
        <v>176.42164978608335</v>
      </c>
      <c r="S151" s="16">
        <f t="shared" si="138"/>
        <v>128.60242471854775</v>
      </c>
      <c r="T151" s="61">
        <f t="shared" si="139"/>
        <v>113.67107388878144</v>
      </c>
      <c r="V151" s="31" t="s">
        <v>137</v>
      </c>
      <c r="W151" s="16">
        <f t="shared" si="140"/>
        <v>281.41666643126865</v>
      </c>
      <c r="X151" s="16">
        <f t="shared" si="141"/>
        <v>210.44829435723463</v>
      </c>
      <c r="Y151" s="61">
        <f t="shared" si="142"/>
        <v>131.515387194656</v>
      </c>
      <c r="AB151" s="31" t="s">
        <v>137</v>
      </c>
      <c r="AC151" s="16">
        <f t="shared" si="143"/>
        <v>87.001378323199305</v>
      </c>
      <c r="AD151" s="16">
        <f t="shared" si="144"/>
        <v>78.466894209957289</v>
      </c>
      <c r="AE151" s="16">
        <f t="shared" si="145"/>
        <v>80.187823799861079</v>
      </c>
      <c r="AH151" s="31" t="s">
        <v>137</v>
      </c>
      <c r="AI151" s="16">
        <f t="shared" si="146"/>
        <v>32.722785061800884</v>
      </c>
      <c r="AJ151" s="16">
        <f t="shared" si="147"/>
        <v>48.547704404153279</v>
      </c>
      <c r="AK151" s="16"/>
      <c r="AN151" s="31" t="s">
        <v>137</v>
      </c>
      <c r="AO151" s="16">
        <f t="shared" si="148"/>
        <v>33.350981691871546</v>
      </c>
      <c r="AP151" s="16">
        <f t="shared" si="149"/>
        <v>48.334848097059727</v>
      </c>
      <c r="AQ151" s="16"/>
    </row>
    <row r="152" spans="11:43" x14ac:dyDescent="0.25">
      <c r="K152" s="1">
        <v>128</v>
      </c>
      <c r="L152" s="31" t="s">
        <v>138</v>
      </c>
      <c r="M152" s="16">
        <f t="shared" si="134"/>
        <v>145.6390154749223</v>
      </c>
      <c r="N152" s="16">
        <f t="shared" si="135"/>
        <v>105.09622218955917</v>
      </c>
      <c r="O152" s="60">
        <f t="shared" si="136"/>
        <v>106.2283162144093</v>
      </c>
      <c r="Q152" s="31" t="s">
        <v>138</v>
      </c>
      <c r="R152" s="16">
        <f t="shared" si="137"/>
        <v>325.44063345270519</v>
      </c>
      <c r="S152" s="16">
        <f t="shared" si="138"/>
        <v>215.71653826631623</v>
      </c>
      <c r="T152" s="61">
        <f t="shared" si="139"/>
        <v>155.10541040664523</v>
      </c>
      <c r="V152" s="31" t="s">
        <v>138</v>
      </c>
      <c r="W152" s="16">
        <f t="shared" si="140"/>
        <v>763.63587392676732</v>
      </c>
      <c r="X152" s="16">
        <f>25.558*E105+36.111</f>
        <v>537.04909474423846</v>
      </c>
      <c r="Y152" s="61">
        <f t="shared" si="142"/>
        <v>187.0632193798823</v>
      </c>
      <c r="AB152" s="31" t="s">
        <v>138</v>
      </c>
      <c r="AC152" s="16">
        <f>(0.2678+D105)/0.0101</f>
        <v>438.49120473331692</v>
      </c>
      <c r="AD152" s="16">
        <f t="shared" si="144"/>
        <v>313.41257104660201</v>
      </c>
      <c r="AE152" s="16">
        <f t="shared" si="145"/>
        <v>128.99674971720674</v>
      </c>
      <c r="AH152" s="31" t="s">
        <v>138</v>
      </c>
      <c r="AI152" s="16">
        <f t="shared" si="146"/>
        <v>120.6633178258692</v>
      </c>
      <c r="AJ152" s="16">
        <f t="shared" si="147"/>
        <v>88.921906520399148</v>
      </c>
      <c r="AK152" s="16"/>
      <c r="AN152" s="31" t="s">
        <v>138</v>
      </c>
      <c r="AO152" s="16">
        <f t="shared" si="148"/>
        <v>37.785138919438999</v>
      </c>
      <c r="AP152" s="16">
        <f t="shared" si="149"/>
        <v>50.238010549917817</v>
      </c>
      <c r="AQ152" s="16"/>
    </row>
    <row r="171" spans="13:43" x14ac:dyDescent="0.25">
      <c r="M171" s="25" t="s">
        <v>83</v>
      </c>
      <c r="N171" s="1" t="s">
        <v>119</v>
      </c>
      <c r="R171" s="25" t="s">
        <v>83</v>
      </c>
      <c r="S171" s="1" t="s">
        <v>120</v>
      </c>
      <c r="W171" s="25" t="s">
        <v>83</v>
      </c>
      <c r="X171" s="1" t="s">
        <v>121</v>
      </c>
      <c r="AC171" s="25" t="s">
        <v>83</v>
      </c>
      <c r="AD171" s="1" t="s">
        <v>122</v>
      </c>
      <c r="AI171" s="25" t="s">
        <v>83</v>
      </c>
      <c r="AJ171" s="1" t="s">
        <v>123</v>
      </c>
      <c r="AO171" s="25" t="s">
        <v>83</v>
      </c>
      <c r="AP171" s="1" t="s">
        <v>123</v>
      </c>
    </row>
    <row r="172" spans="13:43" x14ac:dyDescent="0.25">
      <c r="M172" s="26">
        <v>1</v>
      </c>
      <c r="N172" s="19" cm="1">
        <f t="array" ref="N172">SQRT(SUMSQ($K143:$K152-M143:M152)/COUNTA($K143:$K152-M143:M152))</f>
        <v>58.391203520162868</v>
      </c>
      <c r="R172" s="26">
        <v>1</v>
      </c>
      <c r="S172" s="19" cm="1">
        <f t="array" ref="S172">SQRT(SUMSQ($K143:$K152-R143:R152)/COUNTA($K143:$K152-R143:R152))</f>
        <v>79.467291704244502</v>
      </c>
      <c r="W172" s="26">
        <v>1</v>
      </c>
      <c r="X172" s="19" cm="1">
        <f t="array" ref="X172">SQRT(SUMSQ($K143:$K152-W143:W152)/COUNTA($K143:$K152-W143:W152))</f>
        <v>231.04579208813777</v>
      </c>
      <c r="AC172" s="26">
        <v>1</v>
      </c>
      <c r="AD172" s="19" cm="1">
        <f t="array" ref="AD172">SQRT(SUMSQ($K143:$K152-AC143:AC152)/COUNTA($K143:$K152-AC143:AC152))</f>
        <v>115.7550460257841</v>
      </c>
      <c r="AI172" s="26">
        <v>1</v>
      </c>
      <c r="AJ172" s="19" cm="1">
        <f t="array" ref="AJ172">SQRT(SUMSQ($K143:$K152-AI143:AI152)/COUNTA($K143:$K152-AI143:AI152))</f>
        <v>72.070244738157001</v>
      </c>
      <c r="AO172" s="26">
        <v>1</v>
      </c>
      <c r="AP172" s="19" cm="1">
        <f t="array" ref="AP172">SQRT(SUMSQ($K143:$K152-AO143:AO152)/COUNTA($K143:$K152-AO143:AO152))</f>
        <v>71.626833639268611</v>
      </c>
    </row>
    <row r="173" spans="13:43" x14ac:dyDescent="0.25">
      <c r="M173" s="27">
        <v>2</v>
      </c>
      <c r="N173" s="21" cm="1">
        <f t="array" ref="N173">SQRT(SUMSQ($K143:$K152-N143:N152)/COUNTA($K143:$K152-N143:N152))</f>
        <v>49.923898545502375</v>
      </c>
      <c r="O173" t="s">
        <v>85</v>
      </c>
      <c r="R173" s="27">
        <v>2</v>
      </c>
      <c r="S173" s="21" cm="1">
        <f t="array" ref="S173">SQRT(SUMSQ($K143:$K152-S143:S152)/COUNTA($K143:$K152-S143:S152))</f>
        <v>48.794054820337777</v>
      </c>
      <c r="T173" t="s">
        <v>85</v>
      </c>
      <c r="W173" s="27">
        <v>2</v>
      </c>
      <c r="X173" s="21" cm="1">
        <f t="array" ref="X173">SQRT(SUMSQ($K143:$K152-X143:X152)/COUNTA($K143:$K152-X143:X152))</f>
        <v>149.40478863896715</v>
      </c>
      <c r="Y173" t="s">
        <v>85</v>
      </c>
      <c r="AC173" s="27">
        <v>2</v>
      </c>
      <c r="AD173" s="21" cm="1">
        <f t="array" ref="AD173">SQRT(SUMSQ($K143:$K152-AD143:AD152)/COUNTA($K143:$K152-AD143:AD152))</f>
        <v>80.20519123008792</v>
      </c>
      <c r="AE173" t="s">
        <v>85</v>
      </c>
      <c r="AI173" s="27">
        <v>2</v>
      </c>
      <c r="AJ173" s="21" cm="1">
        <f t="array" ref="AJ173">SQRT(SUMSQ($K143:$K152-AJ143:AJ152)/COUNTA($K143:$K152-AJ143:AJ152))</f>
        <v>57.374338688814298</v>
      </c>
      <c r="AK173" t="s">
        <v>85</v>
      </c>
      <c r="AO173" s="27">
        <v>2</v>
      </c>
      <c r="AP173" s="21" cm="1">
        <f t="array" ref="AP173">SQRT(SUMSQ($K143:$K152-AP143:AP152)/COUNTA($K143:$K152-AP143:AP152))</f>
        <v>59.171738787855084</v>
      </c>
      <c r="AQ173" t="s">
        <v>85</v>
      </c>
    </row>
    <row r="174" spans="13:43" x14ac:dyDescent="0.25">
      <c r="M174" s="28">
        <v>3</v>
      </c>
      <c r="N174" s="17" cm="1">
        <f t="array" ref="N174">SQRT(SUMSQ($K143:$K152-O143:O152)/COUNTA($K143:$K152-O143:O152))</f>
        <v>52.813278316920893</v>
      </c>
      <c r="O174" t="s">
        <v>86</v>
      </c>
      <c r="R174" s="28">
        <v>3</v>
      </c>
      <c r="S174" s="17" cm="1">
        <f t="array" ref="S174">SQRT(SUMSQ($K143:$K152-T143:T152)/COUNTA($K143:$K152-T143:T152))</f>
        <v>41.961789317042637</v>
      </c>
      <c r="T174" t="s">
        <v>86</v>
      </c>
      <c r="W174" s="28">
        <v>3</v>
      </c>
      <c r="X174" s="17" cm="1">
        <f t="array" ref="X174">SQRT(SUMSQ($K143:$K152-Y143:Y152)/COUNTA($K143:$K152-Y143:Y152))</f>
        <v>54.340622531868959</v>
      </c>
      <c r="Y174" t="s">
        <v>86</v>
      </c>
      <c r="AC174" s="28">
        <v>3</v>
      </c>
      <c r="AD174" s="17" cm="1">
        <f t="array" ref="AD174">SQRT(SUMSQ($K143:$K152-AE143:AE152)/COUNTA($K143:$K152-AE143:AE152))</f>
        <v>61.369524575800654</v>
      </c>
      <c r="AE174" t="s">
        <v>86</v>
      </c>
      <c r="AI174" s="28">
        <v>3</v>
      </c>
      <c r="AJ174" s="17"/>
      <c r="AK174" t="s">
        <v>86</v>
      </c>
      <c r="AO174" s="28">
        <v>3</v>
      </c>
      <c r="AP174" s="17"/>
      <c r="AQ174" t="s">
        <v>86</v>
      </c>
    </row>
  </sheetData>
  <mergeCells count="26">
    <mergeCell ref="AB141:AE141"/>
    <mergeCell ref="AH141:AK141"/>
    <mergeCell ref="AN141:AQ141"/>
    <mergeCell ref="BE1:BJ1"/>
    <mergeCell ref="B94:G94"/>
    <mergeCell ref="L80:O80"/>
    <mergeCell ref="Q80:T80"/>
    <mergeCell ref="V80:Y80"/>
    <mergeCell ref="L141:O141"/>
    <mergeCell ref="Q141:T141"/>
    <mergeCell ref="V141:Y141"/>
    <mergeCell ref="AB80:AE80"/>
    <mergeCell ref="B21:E21"/>
    <mergeCell ref="V21:X21"/>
    <mergeCell ref="Q21:T21"/>
    <mergeCell ref="L21:O21"/>
    <mergeCell ref="G21:J21"/>
    <mergeCell ref="B80:G80"/>
    <mergeCell ref="AX105:BC105"/>
    <mergeCell ref="AH21:AK21"/>
    <mergeCell ref="AS1:AX1"/>
    <mergeCell ref="AQ1:AR1"/>
    <mergeCell ref="AN21:AQ21"/>
    <mergeCell ref="AH80:AK80"/>
    <mergeCell ref="AY1:BD1"/>
    <mergeCell ref="AN80:AQ8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3-825F-44F8-8B32-58C511E38E44}">
  <dimension ref="A1:K14"/>
  <sheetViews>
    <sheetView workbookViewId="0">
      <selection activeCell="C25" sqref="C25"/>
    </sheetView>
  </sheetViews>
  <sheetFormatPr defaultRowHeight="15" x14ac:dyDescent="0.25"/>
  <cols>
    <col min="2" max="2" width="16.7109375" customWidth="1"/>
    <col min="3" max="3" width="20.5703125" customWidth="1"/>
    <col min="4" max="4" width="16.140625" customWidth="1"/>
    <col min="5" max="5" width="16.28515625" customWidth="1"/>
    <col min="6" max="6" width="15.5703125" customWidth="1"/>
    <col min="7" max="7" width="18.7109375" customWidth="1"/>
    <col min="8" max="8" width="15.28515625" customWidth="1"/>
    <col min="9" max="9" width="15.42578125" customWidth="1"/>
    <col min="10" max="10" width="13" customWidth="1"/>
    <col min="11" max="11" width="14.28515625" customWidth="1"/>
  </cols>
  <sheetData>
    <row r="1" spans="1:11" x14ac:dyDescent="0.25">
      <c r="A1" s="1"/>
      <c r="B1" s="62" t="s">
        <v>37</v>
      </c>
      <c r="C1" s="62"/>
      <c r="D1" s="62"/>
      <c r="E1" s="62"/>
      <c r="F1" s="62"/>
      <c r="G1" s="62"/>
    </row>
    <row r="2" spans="1:11" x14ac:dyDescent="0.25">
      <c r="A2" s="1"/>
      <c r="B2" s="1" t="s">
        <v>38</v>
      </c>
      <c r="C2" s="1" t="s">
        <v>39</v>
      </c>
      <c r="D2" s="3" t="s">
        <v>40</v>
      </c>
      <c r="E2" s="3" t="s">
        <v>41</v>
      </c>
      <c r="F2" s="1" t="s">
        <v>42</v>
      </c>
      <c r="G2" s="1" t="s">
        <v>43</v>
      </c>
    </row>
    <row r="3" spans="1:11" x14ac:dyDescent="0.25">
      <c r="A3" s="1" t="s">
        <v>44</v>
      </c>
      <c r="B3" s="1">
        <v>0.57699999999999996</v>
      </c>
      <c r="C3" s="1">
        <v>0.57599999999999996</v>
      </c>
      <c r="D3" s="3">
        <v>0.68300000000000005</v>
      </c>
      <c r="E3" s="3">
        <v>0.68289999999999995</v>
      </c>
      <c r="F3" s="1">
        <v>0.2034</v>
      </c>
      <c r="G3" s="1">
        <v>0.20330000000000001</v>
      </c>
    </row>
    <row r="4" spans="1:11" x14ac:dyDescent="0.25">
      <c r="A4" s="1" t="s">
        <v>45</v>
      </c>
      <c r="B4" s="1">
        <v>0.55300000000000005</v>
      </c>
      <c r="C4" s="1">
        <v>0.55200000000000005</v>
      </c>
      <c r="D4" s="10">
        <v>0.68540000000000001</v>
      </c>
      <c r="E4" s="11">
        <v>0.68520000000000003</v>
      </c>
      <c r="F4" s="1">
        <v>0.20580000000000001</v>
      </c>
      <c r="G4" s="1">
        <v>0.20569999999999999</v>
      </c>
    </row>
    <row r="5" spans="1:11" x14ac:dyDescent="0.25">
      <c r="A5" s="1" t="s">
        <v>46</v>
      </c>
      <c r="B5" s="1">
        <v>0.56720000000000004</v>
      </c>
      <c r="C5" s="1">
        <v>0.56669999999999998</v>
      </c>
      <c r="D5" s="3">
        <v>0.65639999999999998</v>
      </c>
      <c r="E5" s="3">
        <v>0.65639999999999998</v>
      </c>
      <c r="F5" s="1">
        <v>0.1973</v>
      </c>
      <c r="G5" s="1">
        <v>0.1973</v>
      </c>
    </row>
    <row r="6" spans="1:11" x14ac:dyDescent="0.25">
      <c r="A6" s="1"/>
      <c r="B6" s="1"/>
      <c r="C6" s="1"/>
      <c r="D6" s="1"/>
      <c r="E6" s="1"/>
      <c r="F6" s="1"/>
      <c r="G6" s="1"/>
    </row>
    <row r="7" spans="1:11" x14ac:dyDescent="0.25">
      <c r="B7" s="64" t="s">
        <v>47</v>
      </c>
      <c r="C7" s="62"/>
      <c r="D7" s="62"/>
      <c r="E7" s="65"/>
      <c r="F7" s="64" t="s">
        <v>48</v>
      </c>
      <c r="G7" s="62"/>
      <c r="H7" s="62"/>
      <c r="I7" s="62"/>
      <c r="J7" s="62"/>
      <c r="K7" s="65"/>
    </row>
    <row r="8" spans="1:11" x14ac:dyDescent="0.25">
      <c r="A8" s="1"/>
      <c r="B8" s="6" t="s">
        <v>49</v>
      </c>
      <c r="C8" s="1" t="s">
        <v>50</v>
      </c>
      <c r="D8" s="1" t="s">
        <v>51</v>
      </c>
      <c r="E8" s="7" t="s">
        <v>52</v>
      </c>
      <c r="F8" s="6" t="s">
        <v>49</v>
      </c>
      <c r="G8" s="1" t="s">
        <v>50</v>
      </c>
      <c r="H8" s="1" t="s">
        <v>53</v>
      </c>
      <c r="I8" s="1" t="s">
        <v>54</v>
      </c>
      <c r="J8" s="1" t="s">
        <v>51</v>
      </c>
      <c r="K8" s="7" t="s">
        <v>52</v>
      </c>
    </row>
    <row r="9" spans="1:11" x14ac:dyDescent="0.25">
      <c r="A9" s="1" t="s">
        <v>55</v>
      </c>
      <c r="B9" s="6">
        <v>2.7E-2</v>
      </c>
      <c r="C9" s="1">
        <v>3.3000000000000002E-2</v>
      </c>
      <c r="D9" s="1">
        <v>1.7500000000000002E-2</v>
      </c>
      <c r="E9" s="7">
        <v>2.0400000000000001E-2</v>
      </c>
      <c r="F9" s="6">
        <v>0.68300000000000005</v>
      </c>
      <c r="G9" s="1">
        <v>0.57879999999999998</v>
      </c>
      <c r="H9" s="1">
        <v>0.68540000000000001</v>
      </c>
      <c r="I9" s="1">
        <v>0.58389999999999997</v>
      </c>
      <c r="J9" s="1">
        <v>0.65639999999999998</v>
      </c>
      <c r="K9" s="7">
        <v>0.60699999999999998</v>
      </c>
    </row>
    <row r="10" spans="1:11" x14ac:dyDescent="0.25">
      <c r="A10" s="1" t="s">
        <v>56</v>
      </c>
      <c r="B10" s="6">
        <v>1.21E-2</v>
      </c>
      <c r="C10" s="1">
        <v>5.7000000000000002E-2</v>
      </c>
      <c r="D10" s="1">
        <v>3.0700000000000002E-2</v>
      </c>
      <c r="E10" s="7">
        <v>0.1037</v>
      </c>
      <c r="F10" s="9">
        <v>0.68300000000000005</v>
      </c>
      <c r="G10" s="3">
        <v>0.57869999999999999</v>
      </c>
      <c r="H10" s="3">
        <v>0.68540000000000001</v>
      </c>
      <c r="I10" s="3">
        <v>0.58399999999999996</v>
      </c>
      <c r="J10" s="3">
        <v>0.65639999999999998</v>
      </c>
      <c r="K10" s="8">
        <v>0.60660000000000003</v>
      </c>
    </row>
    <row r="11" spans="1:11" x14ac:dyDescent="0.25">
      <c r="A11" s="3" t="s">
        <v>57</v>
      </c>
      <c r="B11" s="9">
        <v>0.45610000000000001</v>
      </c>
      <c r="C11" s="1">
        <v>0.44900000000000001</v>
      </c>
      <c r="D11" s="3">
        <v>0.51060000000000005</v>
      </c>
      <c r="E11" s="7">
        <v>0.51239999999999997</v>
      </c>
      <c r="F11" s="6">
        <v>0.67349999999999999</v>
      </c>
      <c r="G11" s="1">
        <v>0.53559999999999997</v>
      </c>
      <c r="H11" s="1">
        <v>0.67500000000000004</v>
      </c>
      <c r="I11" s="1">
        <v>0.53790000000000004</v>
      </c>
      <c r="J11" s="1">
        <v>0.65439999999999998</v>
      </c>
      <c r="K11" s="7">
        <v>0.56930000000000003</v>
      </c>
    </row>
    <row r="12" spans="1:11" x14ac:dyDescent="0.25">
      <c r="A12" s="3" t="s">
        <v>58</v>
      </c>
      <c r="B12" s="9">
        <v>0.54339999999999999</v>
      </c>
      <c r="C12" s="3">
        <v>0.50139999999999996</v>
      </c>
      <c r="D12" s="3">
        <v>0.58479999999999999</v>
      </c>
      <c r="E12" s="8">
        <v>0.54890000000000005</v>
      </c>
      <c r="F12" s="6">
        <v>0.56969999999999998</v>
      </c>
      <c r="G12" s="1">
        <v>0.44779999999999998</v>
      </c>
      <c r="H12" s="1">
        <v>0.57520000000000004</v>
      </c>
      <c r="I12" s="1">
        <v>0.46210000000000001</v>
      </c>
      <c r="J12" s="1">
        <v>0.61250000000000004</v>
      </c>
      <c r="K12" s="7">
        <v>0.50790000000000002</v>
      </c>
    </row>
    <row r="13" spans="1:11" x14ac:dyDescent="0.25">
      <c r="A13" s="1" t="s">
        <v>59</v>
      </c>
      <c r="B13" s="6">
        <v>0.36980000000000002</v>
      </c>
      <c r="C13" s="3">
        <v>0.50829999999999997</v>
      </c>
      <c r="D13" s="1">
        <v>0.44440000000000002</v>
      </c>
      <c r="E13" s="8">
        <v>0.53139999999999998</v>
      </c>
      <c r="F13" s="6">
        <v>0.62539999999999996</v>
      </c>
      <c r="G13" s="1">
        <v>0.28749999999999998</v>
      </c>
      <c r="H13" s="1">
        <v>0.62919999999999998</v>
      </c>
      <c r="I13" s="1">
        <v>0.30859999999999999</v>
      </c>
      <c r="J13" s="1">
        <v>0.62819999999999998</v>
      </c>
      <c r="K13" s="7">
        <v>0.34050000000000002</v>
      </c>
    </row>
    <row r="14" spans="1:11" x14ac:dyDescent="0.25">
      <c r="A14" s="1" t="s">
        <v>60</v>
      </c>
      <c r="B14" s="6">
        <v>0.43440000000000001</v>
      </c>
      <c r="C14" s="1">
        <v>0.3034</v>
      </c>
      <c r="D14" s="1">
        <v>0.435</v>
      </c>
      <c r="E14" s="7">
        <v>0.2422</v>
      </c>
      <c r="F14" s="6">
        <v>6.8500000000000005E-2</v>
      </c>
      <c r="G14" s="1">
        <v>0.1012</v>
      </c>
      <c r="H14" s="1">
        <v>7.5700000000000003E-2</v>
      </c>
      <c r="I14" s="1">
        <v>0.1135</v>
      </c>
      <c r="J14" s="1">
        <v>8.9499999999999996E-2</v>
      </c>
      <c r="K14" s="7">
        <v>0.12989999999999999</v>
      </c>
    </row>
  </sheetData>
  <mergeCells count="3">
    <mergeCell ref="B1:G1"/>
    <mergeCell ref="B7:E7"/>
    <mergeCell ref="F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157-6BBB-47F7-AC96-7DF3592F224F}">
  <dimension ref="A1:G14"/>
  <sheetViews>
    <sheetView topLeftCell="A2" workbookViewId="0">
      <selection activeCell="D20" sqref="D20"/>
    </sheetView>
  </sheetViews>
  <sheetFormatPr defaultRowHeight="15" x14ac:dyDescent="0.25"/>
  <cols>
    <col min="2" max="2" width="15.7109375" customWidth="1"/>
    <col min="3" max="3" width="16.7109375" customWidth="1"/>
    <col min="4" max="4" width="15.28515625" customWidth="1"/>
    <col min="5" max="5" width="15.7109375" customWidth="1"/>
    <col min="6" max="6" width="13.28515625" customWidth="1"/>
    <col min="7" max="7" width="12" customWidth="1"/>
  </cols>
  <sheetData>
    <row r="1" spans="1:7" x14ac:dyDescent="0.25">
      <c r="A1" s="1"/>
      <c r="B1" s="62" t="s">
        <v>21</v>
      </c>
      <c r="C1" s="62"/>
      <c r="D1" s="62" t="s">
        <v>20</v>
      </c>
      <c r="E1" s="62"/>
      <c r="F1" s="62" t="s">
        <v>11</v>
      </c>
      <c r="G1" s="62"/>
    </row>
    <row r="2" spans="1:7" x14ac:dyDescent="0.25">
      <c r="A2" s="1" t="s">
        <v>14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12</v>
      </c>
      <c r="G2" s="1" t="s">
        <v>13</v>
      </c>
    </row>
    <row r="3" spans="1:7" x14ac:dyDescent="0.25">
      <c r="A3" s="1" t="s">
        <v>4</v>
      </c>
      <c r="B3" s="1">
        <v>7.0800000000000002E-2</v>
      </c>
      <c r="C3" s="1">
        <v>0.63100000000000001</v>
      </c>
      <c r="D3" s="1">
        <v>0.17879999999999999</v>
      </c>
      <c r="E3" s="1">
        <v>1.6488</v>
      </c>
      <c r="F3" s="1">
        <v>90</v>
      </c>
    </row>
    <row r="4" spans="1:7" x14ac:dyDescent="0.25">
      <c r="A4" s="1" t="s">
        <v>5</v>
      </c>
      <c r="B4" s="1">
        <v>4.87E-2</v>
      </c>
      <c r="C4" s="1">
        <v>0.63100000000000001</v>
      </c>
      <c r="D4" s="1">
        <v>4.87E-2</v>
      </c>
      <c r="E4" s="1">
        <v>2.6674000000000002</v>
      </c>
      <c r="F4" s="1">
        <v>90</v>
      </c>
    </row>
    <row r="5" spans="1:7" x14ac:dyDescent="0.25">
      <c r="A5" s="1" t="s">
        <v>6</v>
      </c>
      <c r="B5" s="1">
        <v>6.7999999999999996E-3</v>
      </c>
      <c r="C5" s="1">
        <v>0.63100000000000001</v>
      </c>
      <c r="D5" s="1">
        <v>7.6E-3</v>
      </c>
      <c r="E5" s="1">
        <v>2.2389999999999999</v>
      </c>
      <c r="F5" s="1">
        <v>45</v>
      </c>
    </row>
    <row r="6" spans="1:7" x14ac:dyDescent="0.25">
      <c r="A6" s="1" t="s">
        <v>7</v>
      </c>
      <c r="B6" s="1">
        <v>1.5E-3</v>
      </c>
      <c r="C6" s="1">
        <v>0.63100000000000001</v>
      </c>
      <c r="D6" s="1">
        <v>1.5E-3</v>
      </c>
      <c r="E6" s="1">
        <v>1.9089</v>
      </c>
      <c r="F6" s="1">
        <v>64</v>
      </c>
    </row>
    <row r="7" spans="1:7" x14ac:dyDescent="0.25">
      <c r="A7" s="1" t="s">
        <v>8</v>
      </c>
      <c r="B7" s="1">
        <v>4.9599999999999998E-2</v>
      </c>
      <c r="C7" s="1">
        <v>0.63100000000000001</v>
      </c>
      <c r="D7" s="1">
        <v>5.0099999999999999E-2</v>
      </c>
      <c r="E7" s="1">
        <v>1.5485</v>
      </c>
      <c r="F7" s="1">
        <v>90</v>
      </c>
    </row>
    <row r="9" spans="1:7" x14ac:dyDescent="0.25">
      <c r="A9" s="1"/>
      <c r="B9" s="62" t="s">
        <v>21</v>
      </c>
      <c r="C9" s="62"/>
      <c r="D9" s="62" t="s">
        <v>20</v>
      </c>
      <c r="E9" s="62"/>
      <c r="F9" s="62" t="s">
        <v>11</v>
      </c>
      <c r="G9" s="62"/>
    </row>
    <row r="10" spans="1:7" x14ac:dyDescent="0.25">
      <c r="A10" s="1" t="s">
        <v>15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12</v>
      </c>
      <c r="G10" s="1" t="s">
        <v>13</v>
      </c>
    </row>
    <row r="11" spans="1:7" x14ac:dyDescent="0.25">
      <c r="A11" s="1" t="s">
        <v>16</v>
      </c>
      <c r="B11" s="1">
        <v>3.1600000000000003E-2</v>
      </c>
      <c r="C11" s="1">
        <v>0.79430000000000001</v>
      </c>
      <c r="D11" s="1">
        <v>4.4400000000000002E-2</v>
      </c>
      <c r="E11" s="1">
        <v>2.4293999999999998</v>
      </c>
      <c r="F11" s="1"/>
      <c r="G11" s="1"/>
    </row>
    <row r="12" spans="1:7" x14ac:dyDescent="0.25">
      <c r="A12" s="1" t="s">
        <v>17</v>
      </c>
      <c r="B12" s="1"/>
      <c r="C12" s="1"/>
      <c r="D12" s="1"/>
      <c r="E12" s="1"/>
      <c r="F12" s="1"/>
      <c r="G12" s="1"/>
    </row>
    <row r="13" spans="1:7" x14ac:dyDescent="0.25">
      <c r="A13" s="1" t="s">
        <v>18</v>
      </c>
      <c r="B13" s="1">
        <v>3.1600000000000003E-2</v>
      </c>
      <c r="C13" s="1">
        <v>0.79430000000000001</v>
      </c>
      <c r="D13" s="1">
        <v>3.61E-2</v>
      </c>
      <c r="E13" s="1">
        <v>2.1450999999999998</v>
      </c>
      <c r="G13" s="1"/>
    </row>
    <row r="14" spans="1:7" x14ac:dyDescent="0.25">
      <c r="A14" s="1" t="s">
        <v>19</v>
      </c>
      <c r="B14" s="1">
        <v>8.0000000000000004E-4</v>
      </c>
      <c r="C14" s="1">
        <v>0.10780000000000001</v>
      </c>
      <c r="D14" s="1">
        <v>8.0000000000000004E-4</v>
      </c>
      <c r="E14" s="1">
        <v>0.1079</v>
      </c>
      <c r="F14" s="1"/>
      <c r="G14" s="1"/>
    </row>
  </sheetData>
  <mergeCells count="6">
    <mergeCell ref="B1:C1"/>
    <mergeCell ref="F1:G1"/>
    <mergeCell ref="B9:C9"/>
    <mergeCell ref="F9:G9"/>
    <mergeCell ref="D1:E1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hilbert envelope</vt:lpstr>
      <vt:lpstr>validation</vt:lpstr>
      <vt:lpstr>r2</vt:lpstr>
      <vt:lpstr>floods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2025-11-18T20:10:12Z</dcterms:modified>
</cp:coreProperties>
</file>