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icol\Documents\shear_stress_paper\hydrophones\Results\calculations\"/>
    </mc:Choice>
  </mc:AlternateContent>
  <xr:revisionPtr revIDLastSave="0" documentId="13_ncr:1_{F142C4A7-7F52-4DEC-A71D-7D38E583BF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rms - seasonal amp func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8" i="2" l="1"/>
  <c r="S137" i="2"/>
  <c r="R138" i="2"/>
  <c r="R137" i="2"/>
  <c r="S128" i="2"/>
  <c r="S127" i="2"/>
  <c r="R128" i="2"/>
  <c r="R127" i="2"/>
  <c r="V8" i="2"/>
  <c r="U22" i="2"/>
  <c r="U3" i="2"/>
  <c r="BH41" i="2" l="1"/>
  <c r="BJ41" i="2"/>
  <c r="BI41" i="2"/>
  <c r="BH37" i="2"/>
  <c r="BH36" i="2"/>
  <c r="BH35" i="2"/>
  <c r="BI36" i="2"/>
  <c r="BI35" i="2"/>
  <c r="BJ36" i="2"/>
  <c r="BJ35" i="2"/>
  <c r="BH31" i="2"/>
  <c r="BH27" i="2"/>
  <c r="BH26" i="2"/>
  <c r="BH25" i="2"/>
  <c r="BE36" i="2"/>
  <c r="BE41" i="2" s="1"/>
  <c r="BE35" i="2"/>
  <c r="BF36" i="2"/>
  <c r="BF37" i="2" s="1"/>
  <c r="BG36" i="2"/>
  <c r="BG41" i="2" s="1"/>
  <c r="BG35" i="2"/>
  <c r="BF35" i="2"/>
  <c r="BJ31" i="2"/>
  <c r="BI31" i="2"/>
  <c r="BI27" i="2"/>
  <c r="BI26" i="2"/>
  <c r="BJ26" i="2"/>
  <c r="BJ25" i="2"/>
  <c r="BI25" i="2"/>
  <c r="BI37" i="2"/>
  <c r="BG31" i="2"/>
  <c r="BF31" i="2"/>
  <c r="BE26" i="2"/>
  <c r="BE31" i="2" s="1"/>
  <c r="BE25" i="2"/>
  <c r="BE27" i="2" s="1"/>
  <c r="BG26" i="2"/>
  <c r="BG25" i="2"/>
  <c r="BF26" i="2"/>
  <c r="BF25" i="2"/>
  <c r="BF41" i="2"/>
  <c r="BF27" i="2"/>
  <c r="BC4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BC74" i="2"/>
  <c r="BC75" i="2"/>
  <c r="BC76" i="2"/>
  <c r="BC77" i="2"/>
  <c r="BC78" i="2"/>
  <c r="BC79" i="2"/>
  <c r="BC80" i="2"/>
  <c r="BC81" i="2"/>
  <c r="BC82" i="2"/>
  <c r="BC83" i="2"/>
  <c r="BC84" i="2"/>
  <c r="BC85" i="2"/>
  <c r="BC86" i="2"/>
  <c r="BC87" i="2"/>
  <c r="BC88" i="2"/>
  <c r="BC89" i="2"/>
  <c r="BC90" i="2"/>
  <c r="BC91" i="2"/>
  <c r="BC92" i="2"/>
  <c r="BC93" i="2"/>
  <c r="BC94" i="2"/>
  <c r="BC95" i="2"/>
  <c r="BC96" i="2"/>
  <c r="BC97" i="2"/>
  <c r="BC98" i="2"/>
  <c r="BC99" i="2"/>
  <c r="BC100" i="2"/>
  <c r="BC101" i="2"/>
  <c r="BC102" i="2"/>
  <c r="BC103" i="2"/>
  <c r="BC104" i="2"/>
  <c r="BC105" i="2"/>
  <c r="BC106" i="2"/>
  <c r="BC107" i="2"/>
  <c r="BC108" i="2"/>
  <c r="BC109" i="2"/>
  <c r="BC110" i="2"/>
  <c r="BC111" i="2"/>
  <c r="BC112" i="2"/>
  <c r="BC113" i="2"/>
  <c r="BC114" i="2"/>
  <c r="BC115" i="2"/>
  <c r="BC116" i="2"/>
  <c r="BC117" i="2"/>
  <c r="BC118" i="2"/>
  <c r="BC119" i="2"/>
  <c r="BC120" i="2"/>
  <c r="BC121" i="2"/>
  <c r="BC122" i="2"/>
  <c r="BC123" i="2"/>
  <c r="BC124" i="2"/>
  <c r="BC125" i="2"/>
  <c r="BC126" i="2"/>
  <c r="BC127" i="2"/>
  <c r="BC128" i="2"/>
  <c r="BC129" i="2"/>
  <c r="BC130" i="2"/>
  <c r="BC131" i="2"/>
  <c r="BC132" i="2"/>
  <c r="BC133" i="2"/>
  <c r="BC134" i="2"/>
  <c r="BC135" i="2"/>
  <c r="BC136" i="2"/>
  <c r="BC137" i="2"/>
  <c r="BC138" i="2"/>
  <c r="BC139" i="2"/>
  <c r="BC140" i="2"/>
  <c r="BC141" i="2"/>
  <c r="BC142" i="2"/>
  <c r="BC143" i="2"/>
  <c r="BC144" i="2"/>
  <c r="BC145" i="2"/>
  <c r="BC146" i="2"/>
  <c r="BC147" i="2"/>
  <c r="BC148" i="2"/>
  <c r="BC149" i="2"/>
  <c r="BC150" i="2"/>
  <c r="BC151" i="2"/>
  <c r="BC152" i="2"/>
  <c r="BC153" i="2"/>
  <c r="BC154" i="2"/>
  <c r="BC155" i="2"/>
  <c r="BC156" i="2"/>
  <c r="BC157" i="2"/>
  <c r="BC158" i="2"/>
  <c r="BC159" i="2"/>
  <c r="BC160" i="2"/>
  <c r="BC161" i="2"/>
  <c r="BC162" i="2"/>
  <c r="BC163" i="2"/>
  <c r="BC164" i="2"/>
  <c r="BC165" i="2"/>
  <c r="BC166" i="2"/>
  <c r="BC167" i="2"/>
  <c r="BC168" i="2"/>
  <c r="BC169" i="2"/>
  <c r="BC170" i="2"/>
  <c r="BC171" i="2"/>
  <c r="BC172" i="2"/>
  <c r="BC173" i="2"/>
  <c r="BC174" i="2"/>
  <c r="BC175" i="2"/>
  <c r="BC176" i="2"/>
  <c r="BC177" i="2"/>
  <c r="BC178" i="2"/>
  <c r="BC179" i="2"/>
  <c r="BC180" i="2"/>
  <c r="BC181" i="2"/>
  <c r="BC182" i="2"/>
  <c r="BC183" i="2"/>
  <c r="BC184" i="2"/>
  <c r="BC185" i="2"/>
  <c r="BC186" i="2"/>
  <c r="BC187" i="2"/>
  <c r="BC188" i="2"/>
  <c r="BC189" i="2"/>
  <c r="BC190" i="2"/>
  <c r="BC191" i="2"/>
  <c r="BC192" i="2"/>
  <c r="BC193" i="2"/>
  <c r="BC194" i="2"/>
  <c r="BC195" i="2"/>
  <c r="BC196" i="2"/>
  <c r="BC197" i="2"/>
  <c r="BC198" i="2"/>
  <c r="BC199" i="2"/>
  <c r="BC200" i="2"/>
  <c r="BC201" i="2"/>
  <c r="BC202" i="2"/>
  <c r="BC203" i="2"/>
  <c r="BC204" i="2"/>
  <c r="BC205" i="2"/>
  <c r="BC206" i="2"/>
  <c r="BC207" i="2"/>
  <c r="BC208" i="2"/>
  <c r="BC209" i="2"/>
  <c r="BC210" i="2"/>
  <c r="BC211" i="2"/>
  <c r="BC212" i="2"/>
  <c r="BC213" i="2"/>
  <c r="BC214" i="2"/>
  <c r="BC215" i="2"/>
  <c r="BC216" i="2"/>
  <c r="BC217" i="2"/>
  <c r="BC218" i="2"/>
  <c r="BC219" i="2"/>
  <c r="BC220" i="2"/>
  <c r="BC221" i="2"/>
  <c r="BC222" i="2"/>
  <c r="BC223" i="2"/>
  <c r="BC224" i="2"/>
  <c r="BC225" i="2"/>
  <c r="BC226" i="2"/>
  <c r="BC227" i="2"/>
  <c r="BC228" i="2"/>
  <c r="BC229" i="2"/>
  <c r="BC230" i="2"/>
  <c r="BC231" i="2"/>
  <c r="BC232" i="2"/>
  <c r="BC233" i="2"/>
  <c r="BC234" i="2"/>
  <c r="BC235" i="2"/>
  <c r="BC236" i="2"/>
  <c r="BC237" i="2"/>
  <c r="BC238" i="2"/>
  <c r="BC239" i="2"/>
  <c r="BC240" i="2"/>
  <c r="BC241" i="2"/>
  <c r="BC242" i="2"/>
  <c r="BC243" i="2"/>
  <c r="BC244" i="2"/>
  <c r="BC245" i="2"/>
  <c r="BC246" i="2"/>
  <c r="BC247" i="2"/>
  <c r="BC248" i="2"/>
  <c r="BC249" i="2"/>
  <c r="BC250" i="2"/>
  <c r="BC251" i="2"/>
  <c r="BC252" i="2"/>
  <c r="BC253" i="2"/>
  <c r="BC254" i="2"/>
  <c r="BC255" i="2"/>
  <c r="BC256" i="2"/>
  <c r="BC257" i="2"/>
  <c r="BC258" i="2"/>
  <c r="BC259" i="2"/>
  <c r="BC260" i="2"/>
  <c r="BC261" i="2"/>
  <c r="BC262" i="2"/>
  <c r="BC263" i="2"/>
  <c r="BC264" i="2"/>
  <c r="BC265" i="2"/>
  <c r="BC266" i="2"/>
  <c r="BC267" i="2"/>
  <c r="BC268" i="2"/>
  <c r="BC269" i="2"/>
  <c r="BC270" i="2"/>
  <c r="BC271" i="2"/>
  <c r="BC272" i="2"/>
  <c r="BC273" i="2"/>
  <c r="BC274" i="2"/>
  <c r="BC275" i="2"/>
  <c r="BC276" i="2"/>
  <c r="BC277" i="2"/>
  <c r="BC278" i="2"/>
  <c r="BC279" i="2"/>
  <c r="BC280" i="2"/>
  <c r="BC281" i="2"/>
  <c r="BC282" i="2"/>
  <c r="BC283" i="2"/>
  <c r="BC284" i="2"/>
  <c r="BC285" i="2"/>
  <c r="BC286" i="2"/>
  <c r="BC287" i="2"/>
  <c r="BC288" i="2"/>
  <c r="BC289" i="2"/>
  <c r="BC290" i="2"/>
  <c r="BC291" i="2"/>
  <c r="BC292" i="2"/>
  <c r="BC293" i="2"/>
  <c r="BC294" i="2"/>
  <c r="BC295" i="2"/>
  <c r="BC296" i="2"/>
  <c r="BC297" i="2"/>
  <c r="BC298" i="2"/>
  <c r="BC299" i="2"/>
  <c r="BC300" i="2"/>
  <c r="BC301" i="2"/>
  <c r="BC302" i="2"/>
  <c r="BC303" i="2"/>
  <c r="BC304" i="2"/>
  <c r="BC305" i="2"/>
  <c r="BC306" i="2"/>
  <c r="BC307" i="2"/>
  <c r="BC308" i="2"/>
  <c r="BC309" i="2"/>
  <c r="BC310" i="2"/>
  <c r="BC311" i="2"/>
  <c r="BC312" i="2"/>
  <c r="BC313" i="2"/>
  <c r="BC314" i="2"/>
  <c r="BC315" i="2"/>
  <c r="BC316" i="2"/>
  <c r="BC317" i="2"/>
  <c r="BC318" i="2"/>
  <c r="BC319" i="2"/>
  <c r="BC320" i="2"/>
  <c r="BC321" i="2"/>
  <c r="BC322" i="2"/>
  <c r="BC323" i="2"/>
  <c r="BC324" i="2"/>
  <c r="BC325" i="2"/>
  <c r="BC326" i="2"/>
  <c r="BC327" i="2"/>
  <c r="BC328" i="2"/>
  <c r="BC329" i="2"/>
  <c r="BC330" i="2"/>
  <c r="BC331" i="2"/>
  <c r="BC332" i="2"/>
  <c r="BC333" i="2"/>
  <c r="BC334" i="2"/>
  <c r="BC335" i="2"/>
  <c r="BC336" i="2"/>
  <c r="BC337" i="2"/>
  <c r="BC338" i="2"/>
  <c r="BC339" i="2"/>
  <c r="BC340" i="2"/>
  <c r="BC341" i="2"/>
  <c r="BC342" i="2"/>
  <c r="BC343" i="2"/>
  <c r="BC344" i="2"/>
  <c r="BC345" i="2"/>
  <c r="BC346" i="2"/>
  <c r="BC347" i="2"/>
  <c r="BC348" i="2"/>
  <c r="BC349" i="2"/>
  <c r="BC350" i="2"/>
  <c r="BC351" i="2"/>
  <c r="BC352" i="2"/>
  <c r="BC353" i="2"/>
  <c r="BC354" i="2"/>
  <c r="BC355" i="2"/>
  <c r="BC356" i="2"/>
  <c r="BC357" i="2"/>
  <c r="BC358" i="2"/>
  <c r="BC359" i="2"/>
  <c r="BC360" i="2"/>
  <c r="BC361" i="2"/>
  <c r="BC362" i="2"/>
  <c r="BC363" i="2"/>
  <c r="BC364" i="2"/>
  <c r="BC365" i="2"/>
  <c r="BC366" i="2"/>
  <c r="BC367" i="2"/>
  <c r="BC368" i="2"/>
  <c r="BC369" i="2"/>
  <c r="BC370" i="2"/>
  <c r="BC371" i="2"/>
  <c r="BC372" i="2"/>
  <c r="BC373" i="2"/>
  <c r="BC374" i="2"/>
  <c r="BC375" i="2"/>
  <c r="BC376" i="2"/>
  <c r="BC377" i="2"/>
  <c r="BC378" i="2"/>
  <c r="BC379" i="2"/>
  <c r="BC380" i="2"/>
  <c r="BC381" i="2"/>
  <c r="BC382" i="2"/>
  <c r="BC383" i="2"/>
  <c r="BC384" i="2"/>
  <c r="BC385" i="2"/>
  <c r="BC386" i="2"/>
  <c r="BC387" i="2"/>
  <c r="BC388" i="2"/>
  <c r="BC389" i="2"/>
  <c r="BC390" i="2"/>
  <c r="BC391" i="2"/>
  <c r="BC392" i="2"/>
  <c r="BC393" i="2"/>
  <c r="BC394" i="2"/>
  <c r="BC395" i="2"/>
  <c r="BC396" i="2"/>
  <c r="BC397" i="2"/>
  <c r="BC398" i="2"/>
  <c r="BC399" i="2"/>
  <c r="BC400" i="2"/>
  <c r="BC401" i="2"/>
  <c r="BC402" i="2"/>
  <c r="BC403" i="2"/>
  <c r="BC404" i="2"/>
  <c r="BC405" i="2"/>
  <c r="BC406" i="2"/>
  <c r="BC407" i="2"/>
  <c r="BC408" i="2"/>
  <c r="BC409" i="2"/>
  <c r="BC410" i="2"/>
  <c r="BC411" i="2"/>
  <c r="BC412" i="2"/>
  <c r="BC413" i="2"/>
  <c r="BC414" i="2"/>
  <c r="BC415" i="2"/>
  <c r="BC416" i="2"/>
  <c r="BC417" i="2"/>
  <c r="BC418" i="2"/>
  <c r="BC419" i="2"/>
  <c r="BC420" i="2"/>
  <c r="BC421" i="2"/>
  <c r="BC422" i="2"/>
  <c r="BC423" i="2"/>
  <c r="BC424" i="2"/>
  <c r="BC425" i="2"/>
  <c r="BC426" i="2"/>
  <c r="BC427" i="2"/>
  <c r="BC428" i="2"/>
  <c r="BC429" i="2"/>
  <c r="BC430" i="2"/>
  <c r="BC431" i="2"/>
  <c r="BC432" i="2"/>
  <c r="BC433" i="2"/>
  <c r="BC434" i="2"/>
  <c r="BC435" i="2"/>
  <c r="BC436" i="2"/>
  <c r="BC437" i="2"/>
  <c r="BC438" i="2"/>
  <c r="BC439" i="2"/>
  <c r="BC440" i="2"/>
  <c r="BC441" i="2"/>
  <c r="BC442" i="2"/>
  <c r="BC443" i="2"/>
  <c r="BC444" i="2"/>
  <c r="BC445" i="2"/>
  <c r="BC446" i="2"/>
  <c r="BC447" i="2"/>
  <c r="BC448" i="2"/>
  <c r="BC449" i="2"/>
  <c r="BC450" i="2"/>
  <c r="BC451" i="2"/>
  <c r="BC452" i="2"/>
  <c r="BC453" i="2"/>
  <c r="BC454" i="2"/>
  <c r="BC455" i="2"/>
  <c r="BC456" i="2"/>
  <c r="BC457" i="2"/>
  <c r="BC458" i="2"/>
  <c r="BC459" i="2"/>
  <c r="BC460" i="2"/>
  <c r="BC461" i="2"/>
  <c r="BC462" i="2"/>
  <c r="BC463" i="2"/>
  <c r="BC464" i="2"/>
  <c r="BC465" i="2"/>
  <c r="BC466" i="2"/>
  <c r="BC467" i="2"/>
  <c r="BC468" i="2"/>
  <c r="BC469" i="2"/>
  <c r="BC470" i="2"/>
  <c r="BC471" i="2"/>
  <c r="BC472" i="2"/>
  <c r="BC473" i="2"/>
  <c r="BC474" i="2"/>
  <c r="BC475" i="2"/>
  <c r="BC476" i="2"/>
  <c r="BC477" i="2"/>
  <c r="BC478" i="2"/>
  <c r="BC479" i="2"/>
  <c r="BC480" i="2"/>
  <c r="BC481" i="2"/>
  <c r="BC482" i="2"/>
  <c r="BC483" i="2"/>
  <c r="BC484" i="2"/>
  <c r="BC485" i="2"/>
  <c r="BC486" i="2"/>
  <c r="BC487" i="2"/>
  <c r="BC488" i="2"/>
  <c r="BC489" i="2"/>
  <c r="BC490" i="2"/>
  <c r="BC491" i="2"/>
  <c r="BC492" i="2"/>
  <c r="BC493" i="2"/>
  <c r="BC494" i="2"/>
  <c r="BC495" i="2"/>
  <c r="BC496" i="2"/>
  <c r="BC497" i="2"/>
  <c r="BC498" i="2"/>
  <c r="BC499" i="2"/>
  <c r="BC500" i="2"/>
  <c r="BC501" i="2"/>
  <c r="BC502" i="2"/>
  <c r="BC503" i="2"/>
  <c r="BC504" i="2"/>
  <c r="BC505" i="2"/>
  <c r="BC506" i="2"/>
  <c r="BC507" i="2"/>
  <c r="BC508" i="2"/>
  <c r="BC509" i="2"/>
  <c r="BC510" i="2"/>
  <c r="BC511" i="2"/>
  <c r="BC512" i="2"/>
  <c r="BC513" i="2"/>
  <c r="BC514" i="2"/>
  <c r="BC515" i="2"/>
  <c r="BC516" i="2"/>
  <c r="BC517" i="2"/>
  <c r="BC518" i="2"/>
  <c r="BC519" i="2"/>
  <c r="BC520" i="2"/>
  <c r="BC521" i="2"/>
  <c r="BC522" i="2"/>
  <c r="BC523" i="2"/>
  <c r="BC524" i="2"/>
  <c r="BC525" i="2"/>
  <c r="BC526" i="2"/>
  <c r="BC527" i="2"/>
  <c r="BC528" i="2"/>
  <c r="BC529" i="2"/>
  <c r="BC530" i="2"/>
  <c r="BC531" i="2"/>
  <c r="BC532" i="2"/>
  <c r="BC533" i="2"/>
  <c r="BC534" i="2"/>
  <c r="BC535" i="2"/>
  <c r="BC536" i="2"/>
  <c r="BC537" i="2"/>
  <c r="BC538" i="2"/>
  <c r="BC539" i="2"/>
  <c r="BC540" i="2"/>
  <c r="BC541" i="2"/>
  <c r="BC542" i="2"/>
  <c r="BC543" i="2"/>
  <c r="BC544" i="2"/>
  <c r="BC545" i="2"/>
  <c r="BC546" i="2"/>
  <c r="BC547" i="2"/>
  <c r="BC548" i="2"/>
  <c r="BC549" i="2"/>
  <c r="BC550" i="2"/>
  <c r="BC551" i="2"/>
  <c r="BC552" i="2"/>
  <c r="BC553" i="2"/>
  <c r="BC554" i="2"/>
  <c r="BC555" i="2"/>
  <c r="BC556" i="2"/>
  <c r="BC557" i="2"/>
  <c r="BC558" i="2"/>
  <c r="BC559" i="2"/>
  <c r="BC560" i="2"/>
  <c r="BC561" i="2"/>
  <c r="BC562" i="2"/>
  <c r="BC563" i="2"/>
  <c r="BC564" i="2"/>
  <c r="BC565" i="2"/>
  <c r="BC566" i="2"/>
  <c r="BC567" i="2"/>
  <c r="BC568" i="2"/>
  <c r="BC569" i="2"/>
  <c r="BC570" i="2"/>
  <c r="BC571" i="2"/>
  <c r="BC572" i="2"/>
  <c r="BC573" i="2"/>
  <c r="BC574" i="2"/>
  <c r="BC575" i="2"/>
  <c r="BC576" i="2"/>
  <c r="BC577" i="2"/>
  <c r="BC578" i="2"/>
  <c r="BC579" i="2"/>
  <c r="BC580" i="2"/>
  <c r="BC581" i="2"/>
  <c r="BC582" i="2"/>
  <c r="BC583" i="2"/>
  <c r="BC584" i="2"/>
  <c r="BC585" i="2"/>
  <c r="BC586" i="2"/>
  <c r="BC587" i="2"/>
  <c r="BC588" i="2"/>
  <c r="BC589" i="2"/>
  <c r="BC590" i="2"/>
  <c r="BC591" i="2"/>
  <c r="BC592" i="2"/>
  <c r="BC593" i="2"/>
  <c r="BC594" i="2"/>
  <c r="BC595" i="2"/>
  <c r="BC596" i="2"/>
  <c r="BC597" i="2"/>
  <c r="BC598" i="2"/>
  <c r="BC599" i="2"/>
  <c r="BC600" i="2"/>
  <c r="BC601" i="2"/>
  <c r="BC602" i="2"/>
  <c r="BC603" i="2"/>
  <c r="BC604" i="2"/>
  <c r="BC605" i="2"/>
  <c r="BC606" i="2"/>
  <c r="BC607" i="2"/>
  <c r="BC608" i="2"/>
  <c r="BC609" i="2"/>
  <c r="BC610" i="2"/>
  <c r="BC611" i="2"/>
  <c r="BC612" i="2"/>
  <c r="BC613" i="2"/>
  <c r="BC614" i="2"/>
  <c r="BC615" i="2"/>
  <c r="BC616" i="2"/>
  <c r="BC617" i="2"/>
  <c r="BC618" i="2"/>
  <c r="BC619" i="2"/>
  <c r="BC620" i="2"/>
  <c r="BC621" i="2"/>
  <c r="BC622" i="2"/>
  <c r="BC623" i="2"/>
  <c r="BC624" i="2"/>
  <c r="BC625" i="2"/>
  <c r="BC626" i="2"/>
  <c r="BC627" i="2"/>
  <c r="BC628" i="2"/>
  <c r="BC629" i="2"/>
  <c r="BC630" i="2"/>
  <c r="BC631" i="2"/>
  <c r="BC632" i="2"/>
  <c r="BC633" i="2"/>
  <c r="BC634" i="2"/>
  <c r="BC635" i="2"/>
  <c r="BC636" i="2"/>
  <c r="BC637" i="2"/>
  <c r="BC638" i="2"/>
  <c r="BC639" i="2"/>
  <c r="BC640" i="2"/>
  <c r="BC641" i="2"/>
  <c r="BC642" i="2"/>
  <c r="BC643" i="2"/>
  <c r="BC644" i="2"/>
  <c r="BC645" i="2"/>
  <c r="BC646" i="2"/>
  <c r="BC647" i="2"/>
  <c r="BC648" i="2"/>
  <c r="BC649" i="2"/>
  <c r="BC650" i="2"/>
  <c r="BC651" i="2"/>
  <c r="BC652" i="2"/>
  <c r="BC653" i="2"/>
  <c r="BC654" i="2"/>
  <c r="BC655" i="2"/>
  <c r="BC656" i="2"/>
  <c r="BC657" i="2"/>
  <c r="BC658" i="2"/>
  <c r="BC659" i="2"/>
  <c r="BC660" i="2"/>
  <c r="BC661" i="2"/>
  <c r="BC662" i="2"/>
  <c r="BC663" i="2"/>
  <c r="BC664" i="2"/>
  <c r="BC665" i="2"/>
  <c r="BC666" i="2"/>
  <c r="BC667" i="2"/>
  <c r="BC668" i="2"/>
  <c r="BC669" i="2"/>
  <c r="BC670" i="2"/>
  <c r="BC671" i="2"/>
  <c r="BC672" i="2"/>
  <c r="BC673" i="2"/>
  <c r="BC674" i="2"/>
  <c r="BC675" i="2"/>
  <c r="BC676" i="2"/>
  <c r="BC677" i="2"/>
  <c r="BC678" i="2"/>
  <c r="BC679" i="2"/>
  <c r="BC680" i="2"/>
  <c r="BC681" i="2"/>
  <c r="BC682" i="2"/>
  <c r="BC683" i="2"/>
  <c r="BC684" i="2"/>
  <c r="BC685" i="2"/>
  <c r="BC686" i="2"/>
  <c r="BC687" i="2"/>
  <c r="BC688" i="2"/>
  <c r="BC689" i="2"/>
  <c r="BC690" i="2"/>
  <c r="BC691" i="2"/>
  <c r="BC692" i="2"/>
  <c r="BC693" i="2"/>
  <c r="BC694" i="2"/>
  <c r="BC695" i="2"/>
  <c r="BC696" i="2"/>
  <c r="BC697" i="2"/>
  <c r="BC698" i="2"/>
  <c r="BC699" i="2"/>
  <c r="BC700" i="2"/>
  <c r="BC701" i="2"/>
  <c r="BC702" i="2"/>
  <c r="BC703" i="2"/>
  <c r="BC704" i="2"/>
  <c r="BC705" i="2"/>
  <c r="BC706" i="2"/>
  <c r="BC707" i="2"/>
  <c r="BC708" i="2"/>
  <c r="BC709" i="2"/>
  <c r="BC710" i="2"/>
  <c r="BC711" i="2"/>
  <c r="BC712" i="2"/>
  <c r="BC713" i="2"/>
  <c r="BC714" i="2"/>
  <c r="BC715" i="2"/>
  <c r="BC716" i="2"/>
  <c r="BC717" i="2"/>
  <c r="BC718" i="2"/>
  <c r="BC719" i="2"/>
  <c r="BC720" i="2"/>
  <c r="BC721" i="2"/>
  <c r="BC722" i="2"/>
  <c r="BC723" i="2"/>
  <c r="BC724" i="2"/>
  <c r="BC725" i="2"/>
  <c r="BC726" i="2"/>
  <c r="BC727" i="2"/>
  <c r="BC728" i="2"/>
  <c r="BC729" i="2"/>
  <c r="BC730" i="2"/>
  <c r="BC731" i="2"/>
  <c r="BC732" i="2"/>
  <c r="BC733" i="2"/>
  <c r="BC734" i="2"/>
  <c r="BC735" i="2"/>
  <c r="BC736" i="2"/>
  <c r="BC737" i="2"/>
  <c r="BC738" i="2"/>
  <c r="BC739" i="2"/>
  <c r="BC740" i="2"/>
  <c r="BC741" i="2"/>
  <c r="BC742" i="2"/>
  <c r="BC743" i="2"/>
  <c r="BC744" i="2"/>
  <c r="BC745" i="2"/>
  <c r="BC746" i="2"/>
  <c r="BC747" i="2"/>
  <c r="BC748" i="2"/>
  <c r="BC749" i="2"/>
  <c r="BC750" i="2"/>
  <c r="BC751" i="2"/>
  <c r="BC752" i="2"/>
  <c r="BC753" i="2"/>
  <c r="BC754" i="2"/>
  <c r="BC755" i="2"/>
  <c r="BC756" i="2"/>
  <c r="BC757" i="2"/>
  <c r="BC758" i="2"/>
  <c r="BC759" i="2"/>
  <c r="BC760" i="2"/>
  <c r="BC761" i="2"/>
  <c r="BC762" i="2"/>
  <c r="BC763" i="2"/>
  <c r="BC764" i="2"/>
  <c r="BC765" i="2"/>
  <c r="BC766" i="2"/>
  <c r="BC767" i="2"/>
  <c r="BC768" i="2"/>
  <c r="BC769" i="2"/>
  <c r="BC770" i="2"/>
  <c r="BC771" i="2"/>
  <c r="BC772" i="2"/>
  <c r="BC773" i="2"/>
  <c r="BC774" i="2"/>
  <c r="BC775" i="2"/>
  <c r="BC776" i="2"/>
  <c r="BC777" i="2"/>
  <c r="BC778" i="2"/>
  <c r="BC779" i="2"/>
  <c r="BC780" i="2"/>
  <c r="BC781" i="2"/>
  <c r="BC782" i="2"/>
  <c r="BC783" i="2"/>
  <c r="BC784" i="2"/>
  <c r="BC785" i="2"/>
  <c r="BC786" i="2"/>
  <c r="BC787" i="2"/>
  <c r="BC788" i="2"/>
  <c r="BC789" i="2"/>
  <c r="BC790" i="2"/>
  <c r="BC791" i="2"/>
  <c r="BC792" i="2"/>
  <c r="BC793" i="2"/>
  <c r="BC794" i="2"/>
  <c r="BC795" i="2"/>
  <c r="BC796" i="2"/>
  <c r="BC797" i="2"/>
  <c r="BC798" i="2"/>
  <c r="BC799" i="2"/>
  <c r="BC800" i="2"/>
  <c r="BC801" i="2"/>
  <c r="BC802" i="2"/>
  <c r="BC803" i="2"/>
  <c r="BC804" i="2"/>
  <c r="BC805" i="2"/>
  <c r="BC806" i="2"/>
  <c r="BC807" i="2"/>
  <c r="BC808" i="2"/>
  <c r="BC809" i="2"/>
  <c r="BC810" i="2"/>
  <c r="BC811" i="2"/>
  <c r="BC812" i="2"/>
  <c r="BC813" i="2"/>
  <c r="BC814" i="2"/>
  <c r="BC815" i="2"/>
  <c r="BC816" i="2"/>
  <c r="BC817" i="2"/>
  <c r="BC818" i="2"/>
  <c r="BC819" i="2"/>
  <c r="BC820" i="2"/>
  <c r="BC821" i="2"/>
  <c r="BC822" i="2"/>
  <c r="BC823" i="2"/>
  <c r="BC824" i="2"/>
  <c r="BC825" i="2"/>
  <c r="BC826" i="2"/>
  <c r="BC827" i="2"/>
  <c r="BC828" i="2"/>
  <c r="BC829" i="2"/>
  <c r="BC830" i="2"/>
  <c r="BC831" i="2"/>
  <c r="BC832" i="2"/>
  <c r="BC833" i="2"/>
  <c r="BC834" i="2"/>
  <c r="BC835" i="2"/>
  <c r="BC836" i="2"/>
  <c r="BC837" i="2"/>
  <c r="BC838" i="2"/>
  <c r="BC839" i="2"/>
  <c r="BC840" i="2"/>
  <c r="BC841" i="2"/>
  <c r="BC842" i="2"/>
  <c r="BC843" i="2"/>
  <c r="BC844" i="2"/>
  <c r="BC845" i="2"/>
  <c r="BC846" i="2"/>
  <c r="BC847" i="2"/>
  <c r="BC848" i="2"/>
  <c r="BC849" i="2"/>
  <c r="BC850" i="2"/>
  <c r="BC851" i="2"/>
  <c r="BC852" i="2"/>
  <c r="BC853" i="2"/>
  <c r="BC854" i="2"/>
  <c r="BC855" i="2"/>
  <c r="BC856" i="2"/>
  <c r="BC857" i="2"/>
  <c r="BC858" i="2"/>
  <c r="BC859" i="2"/>
  <c r="BC860" i="2"/>
  <c r="BC861" i="2"/>
  <c r="BC862" i="2"/>
  <c r="BC863" i="2"/>
  <c r="BC864" i="2"/>
  <c r="BC865" i="2"/>
  <c r="BC866" i="2"/>
  <c r="BC867" i="2"/>
  <c r="BC868" i="2"/>
  <c r="BC869" i="2"/>
  <c r="BC870" i="2"/>
  <c r="BC871" i="2"/>
  <c r="BC872" i="2"/>
  <c r="BC873" i="2"/>
  <c r="BC874" i="2"/>
  <c r="BC875" i="2"/>
  <c r="BC876" i="2"/>
  <c r="BC877" i="2"/>
  <c r="BC878" i="2"/>
  <c r="BC879" i="2"/>
  <c r="BC880" i="2"/>
  <c r="BC881" i="2"/>
  <c r="BC882" i="2"/>
  <c r="BC883" i="2"/>
  <c r="BC884" i="2"/>
  <c r="BC885" i="2"/>
  <c r="BC886" i="2"/>
  <c r="BC887" i="2"/>
  <c r="BC888" i="2"/>
  <c r="BC889" i="2"/>
  <c r="BC890" i="2"/>
  <c r="BC891" i="2"/>
  <c r="BC892" i="2"/>
  <c r="BC893" i="2"/>
  <c r="BC894" i="2"/>
  <c r="BC895" i="2"/>
  <c r="BC896" i="2"/>
  <c r="BC897" i="2"/>
  <c r="BC898" i="2"/>
  <c r="BC899" i="2"/>
  <c r="BC900" i="2"/>
  <c r="BC901" i="2"/>
  <c r="BC902" i="2"/>
  <c r="BC903" i="2"/>
  <c r="BC904" i="2"/>
  <c r="BC905" i="2"/>
  <c r="BC906" i="2"/>
  <c r="BC907" i="2"/>
  <c r="BC908" i="2"/>
  <c r="BC909" i="2"/>
  <c r="BC910" i="2"/>
  <c r="BC911" i="2"/>
  <c r="BC912" i="2"/>
  <c r="BC913" i="2"/>
  <c r="BC914" i="2"/>
  <c r="BC915" i="2"/>
  <c r="BC916" i="2"/>
  <c r="BC917" i="2"/>
  <c r="BC918" i="2"/>
  <c r="BC919" i="2"/>
  <c r="BC920" i="2"/>
  <c r="BC921" i="2"/>
  <c r="BC922" i="2"/>
  <c r="BC923" i="2"/>
  <c r="BC924" i="2"/>
  <c r="BC925" i="2"/>
  <c r="BC926" i="2"/>
  <c r="BC927" i="2"/>
  <c r="BC928" i="2"/>
  <c r="BC929" i="2"/>
  <c r="BC930" i="2"/>
  <c r="BC931" i="2"/>
  <c r="BC932" i="2"/>
  <c r="BC933" i="2"/>
  <c r="BC934" i="2"/>
  <c r="BC935" i="2"/>
  <c r="BC936" i="2"/>
  <c r="BC937" i="2"/>
  <c r="BC938" i="2"/>
  <c r="BC939" i="2"/>
  <c r="BC940" i="2"/>
  <c r="BC941" i="2"/>
  <c r="BC942" i="2"/>
  <c r="BC943" i="2"/>
  <c r="BC944" i="2"/>
  <c r="BC945" i="2"/>
  <c r="BC946" i="2"/>
  <c r="BC947" i="2"/>
  <c r="BC948" i="2"/>
  <c r="BC949" i="2"/>
  <c r="BC950" i="2"/>
  <c r="BC951" i="2"/>
  <c r="BC952" i="2"/>
  <c r="BC953" i="2"/>
  <c r="BC954" i="2"/>
  <c r="BC955" i="2"/>
  <c r="BC956" i="2"/>
  <c r="BC957" i="2"/>
  <c r="BC958" i="2"/>
  <c r="BC959" i="2"/>
  <c r="BC960" i="2"/>
  <c r="BC961" i="2"/>
  <c r="BC962" i="2"/>
  <c r="BC963" i="2"/>
  <c r="BC964" i="2"/>
  <c r="BC965" i="2"/>
  <c r="BC966" i="2"/>
  <c r="BC967" i="2"/>
  <c r="BC968" i="2"/>
  <c r="BC969" i="2"/>
  <c r="BC970" i="2"/>
  <c r="BC971" i="2"/>
  <c r="BC972" i="2"/>
  <c r="BC973" i="2"/>
  <c r="BC974" i="2"/>
  <c r="BC975" i="2"/>
  <c r="BC976" i="2"/>
  <c r="BC977" i="2"/>
  <c r="BC978" i="2"/>
  <c r="BC979" i="2"/>
  <c r="BC980" i="2"/>
  <c r="BC981" i="2"/>
  <c r="BC982" i="2"/>
  <c r="BC983" i="2"/>
  <c r="BC984" i="2"/>
  <c r="BC985" i="2"/>
  <c r="BC986" i="2"/>
  <c r="BC987" i="2"/>
  <c r="BC988" i="2"/>
  <c r="BC989" i="2"/>
  <c r="BC990" i="2"/>
  <c r="BC991" i="2"/>
  <c r="BC992" i="2"/>
  <c r="BC993" i="2"/>
  <c r="BC994" i="2"/>
  <c r="BC995" i="2"/>
  <c r="BC996" i="2"/>
  <c r="BC997" i="2"/>
  <c r="BC998" i="2"/>
  <c r="BC999" i="2"/>
  <c r="BC1000" i="2"/>
  <c r="BC1001" i="2"/>
  <c r="BC1002" i="2"/>
  <c r="BC1003" i="2"/>
  <c r="BC1004" i="2"/>
  <c r="BC1005" i="2"/>
  <c r="BC1006" i="2"/>
  <c r="BC1007" i="2"/>
  <c r="BC1008" i="2"/>
  <c r="BC1009" i="2"/>
  <c r="BC1010" i="2"/>
  <c r="BC1011" i="2"/>
  <c r="BC1012" i="2"/>
  <c r="BC1013" i="2"/>
  <c r="BC1014" i="2"/>
  <c r="BC1015" i="2"/>
  <c r="BC1016" i="2"/>
  <c r="BC1017" i="2"/>
  <c r="BC1018" i="2"/>
  <c r="BC1019" i="2"/>
  <c r="BC1020" i="2"/>
  <c r="BC1021" i="2"/>
  <c r="BC1022" i="2"/>
  <c r="BC1023" i="2"/>
  <c r="BC1024" i="2"/>
  <c r="BC1025" i="2"/>
  <c r="BC1026" i="2"/>
  <c r="BC1027" i="2"/>
  <c r="BC1028" i="2"/>
  <c r="BC1029" i="2"/>
  <c r="BC1030" i="2"/>
  <c r="BC1031" i="2"/>
  <c r="BC1032" i="2"/>
  <c r="BC1033" i="2"/>
  <c r="BC1034" i="2"/>
  <c r="BC1035" i="2"/>
  <c r="BC1036" i="2"/>
  <c r="BC1037" i="2"/>
  <c r="BC1038" i="2"/>
  <c r="BC1039" i="2"/>
  <c r="BC1040" i="2"/>
  <c r="BC1041" i="2"/>
  <c r="BC1042" i="2"/>
  <c r="BC1043" i="2"/>
  <c r="BC1044" i="2"/>
  <c r="BC1045" i="2"/>
  <c r="BC1046" i="2"/>
  <c r="BC1047" i="2"/>
  <c r="BC1048" i="2"/>
  <c r="BC1049" i="2"/>
  <c r="BC1050" i="2"/>
  <c r="BC1051" i="2"/>
  <c r="BC1052" i="2"/>
  <c r="BC1053" i="2"/>
  <c r="BC1054" i="2"/>
  <c r="BC1055" i="2"/>
  <c r="BC1056" i="2"/>
  <c r="BC1057" i="2"/>
  <c r="BC1058" i="2"/>
  <c r="BC1059" i="2"/>
  <c r="BC1060" i="2"/>
  <c r="BC1061" i="2"/>
  <c r="BC1062" i="2"/>
  <c r="BC1063" i="2"/>
  <c r="BC1064" i="2"/>
  <c r="BC1065" i="2"/>
  <c r="BC1066" i="2"/>
  <c r="BC1067" i="2"/>
  <c r="BC1068" i="2"/>
  <c r="BC1069" i="2"/>
  <c r="BC1070" i="2"/>
  <c r="BC1071" i="2"/>
  <c r="BC1072" i="2"/>
  <c r="BC1073" i="2"/>
  <c r="BC1074" i="2"/>
  <c r="BC1075" i="2"/>
  <c r="BC1076" i="2"/>
  <c r="BC1077" i="2"/>
  <c r="BC1078" i="2"/>
  <c r="BC1079" i="2"/>
  <c r="BC1080" i="2"/>
  <c r="BC1081" i="2"/>
  <c r="BC1082" i="2"/>
  <c r="BC1083" i="2"/>
  <c r="BC1084" i="2"/>
  <c r="BC1085" i="2"/>
  <c r="BC1086" i="2"/>
  <c r="BC1087" i="2"/>
  <c r="BC1088" i="2"/>
  <c r="BC1089" i="2"/>
  <c r="BC1090" i="2"/>
  <c r="BC1091" i="2"/>
  <c r="BC1092" i="2"/>
  <c r="BC1093" i="2"/>
  <c r="BC1094" i="2"/>
  <c r="BC1095" i="2"/>
  <c r="BC1096" i="2"/>
  <c r="BC1097" i="2"/>
  <c r="BC1098" i="2"/>
  <c r="BC1099" i="2"/>
  <c r="BC1100" i="2"/>
  <c r="BC1101" i="2"/>
  <c r="BC1102" i="2"/>
  <c r="BC1103" i="2"/>
  <c r="BC1104" i="2"/>
  <c r="BC1105" i="2"/>
  <c r="BC1106" i="2"/>
  <c r="BC1107" i="2"/>
  <c r="BC1108" i="2"/>
  <c r="BC1109" i="2"/>
  <c r="BC1110" i="2"/>
  <c r="BC1111" i="2"/>
  <c r="BC1112" i="2"/>
  <c r="BC1113" i="2"/>
  <c r="BC1114" i="2"/>
  <c r="BC1115" i="2"/>
  <c r="BC1116" i="2"/>
  <c r="BC1117" i="2"/>
  <c r="BC1118" i="2"/>
  <c r="BC1119" i="2"/>
  <c r="BC1120" i="2"/>
  <c r="BC1121" i="2"/>
  <c r="BC1122" i="2"/>
  <c r="BC1123" i="2"/>
  <c r="BC1124" i="2"/>
  <c r="BC1125" i="2"/>
  <c r="BC1126" i="2"/>
  <c r="BC1127" i="2"/>
  <c r="BC1128" i="2"/>
  <c r="BC1129" i="2"/>
  <c r="BC1130" i="2"/>
  <c r="BC1131" i="2"/>
  <c r="BC1132" i="2"/>
  <c r="BC1133" i="2"/>
  <c r="BC1134" i="2"/>
  <c r="BC1135" i="2"/>
  <c r="BC1136" i="2"/>
  <c r="BC1137" i="2"/>
  <c r="BC1138" i="2"/>
  <c r="BC1139" i="2"/>
  <c r="BC1140" i="2"/>
  <c r="BC1141" i="2"/>
  <c r="BC1142" i="2"/>
  <c r="BC1143" i="2"/>
  <c r="BC1144" i="2"/>
  <c r="BC1145" i="2"/>
  <c r="BC1146" i="2"/>
  <c r="BC1147" i="2"/>
  <c r="BC1148" i="2"/>
  <c r="BC1149" i="2"/>
  <c r="BC1150" i="2"/>
  <c r="BC1151" i="2"/>
  <c r="BC1152" i="2"/>
  <c r="BC1153" i="2"/>
  <c r="BC1154" i="2"/>
  <c r="BC1155" i="2"/>
  <c r="BC1156" i="2"/>
  <c r="BC1157" i="2"/>
  <c r="BC1158" i="2"/>
  <c r="BC1159" i="2"/>
  <c r="BC1160" i="2"/>
  <c r="BC1161" i="2"/>
  <c r="BC1162" i="2"/>
  <c r="BC1163" i="2"/>
  <c r="BC1164" i="2"/>
  <c r="BC1165" i="2"/>
  <c r="BC1166" i="2"/>
  <c r="BC1167" i="2"/>
  <c r="BC1168" i="2"/>
  <c r="BC1169" i="2"/>
  <c r="BC1170" i="2"/>
  <c r="BC1171" i="2"/>
  <c r="BC1172" i="2"/>
  <c r="BC1173" i="2"/>
  <c r="BC1174" i="2"/>
  <c r="BC1175" i="2"/>
  <c r="BC1176" i="2"/>
  <c r="BC1177" i="2"/>
  <c r="BC1178" i="2"/>
  <c r="BC1179" i="2"/>
  <c r="BC1180" i="2"/>
  <c r="BC1181" i="2"/>
  <c r="BC1182" i="2"/>
  <c r="BC1183" i="2"/>
  <c r="BC1184" i="2"/>
  <c r="BC1185" i="2"/>
  <c r="BC1186" i="2"/>
  <c r="BC1187" i="2"/>
  <c r="BC1188" i="2"/>
  <c r="BC1189" i="2"/>
  <c r="BC1190" i="2"/>
  <c r="BC1191" i="2"/>
  <c r="BC1192" i="2"/>
  <c r="BC1193" i="2"/>
  <c r="BC1194" i="2"/>
  <c r="BC1195" i="2"/>
  <c r="BC1196" i="2"/>
  <c r="BC1197" i="2"/>
  <c r="BC1198" i="2"/>
  <c r="BC1199" i="2"/>
  <c r="BC1200" i="2"/>
  <c r="BC1201" i="2"/>
  <c r="BC1202" i="2"/>
  <c r="BC1203" i="2"/>
  <c r="BC1204" i="2"/>
  <c r="BC1205" i="2"/>
  <c r="BC1206" i="2"/>
  <c r="BC1207" i="2"/>
  <c r="BC1208" i="2"/>
  <c r="BC1209" i="2"/>
  <c r="BC1210" i="2"/>
  <c r="BC1211" i="2"/>
  <c r="BC1212" i="2"/>
  <c r="BC1213" i="2"/>
  <c r="BC1214" i="2"/>
  <c r="BC1215" i="2"/>
  <c r="BC1216" i="2"/>
  <c r="BC1217" i="2"/>
  <c r="BC1218" i="2"/>
  <c r="BC1219" i="2"/>
  <c r="BC1220" i="2"/>
  <c r="BC1221" i="2"/>
  <c r="BC1222" i="2"/>
  <c r="BC1223" i="2"/>
  <c r="BC1224" i="2"/>
  <c r="BC1225" i="2"/>
  <c r="BC1226" i="2"/>
  <c r="BC1227" i="2"/>
  <c r="BC1228" i="2"/>
  <c r="BC1229" i="2"/>
  <c r="BC1230" i="2"/>
  <c r="BC1231" i="2"/>
  <c r="BC1232" i="2"/>
  <c r="BC1233" i="2"/>
  <c r="BC1234" i="2"/>
  <c r="BC1235" i="2"/>
  <c r="BC1236" i="2"/>
  <c r="BC1237" i="2"/>
  <c r="BC1238" i="2"/>
  <c r="BC1239" i="2"/>
  <c r="BC1240" i="2"/>
  <c r="BC1241" i="2"/>
  <c r="BC1242" i="2"/>
  <c r="BC1243" i="2"/>
  <c r="BC1244" i="2"/>
  <c r="BC1245" i="2"/>
  <c r="BC1246" i="2"/>
  <c r="BC1247" i="2"/>
  <c r="BC1248" i="2"/>
  <c r="BC1249" i="2"/>
  <c r="BC1250" i="2"/>
  <c r="BC1251" i="2"/>
  <c r="BC1252" i="2"/>
  <c r="BC1253" i="2"/>
  <c r="BC1254" i="2"/>
  <c r="BC1255" i="2"/>
  <c r="BC1256" i="2"/>
  <c r="BC1257" i="2"/>
  <c r="BC1258" i="2"/>
  <c r="BC1259" i="2"/>
  <c r="BC1260" i="2"/>
  <c r="BC1261" i="2"/>
  <c r="BC1262" i="2"/>
  <c r="BC1263" i="2"/>
  <c r="BC1264" i="2"/>
  <c r="BC1265" i="2"/>
  <c r="BC1266" i="2"/>
  <c r="BC1267" i="2"/>
  <c r="BC1268" i="2"/>
  <c r="BC1269" i="2"/>
  <c r="BC1270" i="2"/>
  <c r="BC1271" i="2"/>
  <c r="BC1272" i="2"/>
  <c r="BC1273" i="2"/>
  <c r="BC1274" i="2"/>
  <c r="BC1275" i="2"/>
  <c r="BC1276" i="2"/>
  <c r="BC1277" i="2"/>
  <c r="BC1278" i="2"/>
  <c r="BC1279" i="2"/>
  <c r="BC1280" i="2"/>
  <c r="BC1281" i="2"/>
  <c r="BC1282" i="2"/>
  <c r="BC1283" i="2"/>
  <c r="BC1284" i="2"/>
  <c r="BC1285" i="2"/>
  <c r="BC1286" i="2"/>
  <c r="BC1287" i="2"/>
  <c r="BC1288" i="2"/>
  <c r="BC1289" i="2"/>
  <c r="BC1290" i="2"/>
  <c r="BC1291" i="2"/>
  <c r="BC1292" i="2"/>
  <c r="BC1293" i="2"/>
  <c r="BC1294" i="2"/>
  <c r="BC1295" i="2"/>
  <c r="BC1296" i="2"/>
  <c r="BC1297" i="2"/>
  <c r="BC1298" i="2"/>
  <c r="BC1299" i="2"/>
  <c r="BC1300" i="2"/>
  <c r="BC1301" i="2"/>
  <c r="BC1302" i="2"/>
  <c r="BC1303" i="2"/>
  <c r="BC1304" i="2"/>
  <c r="BC1305" i="2"/>
  <c r="BC1306" i="2"/>
  <c r="BC1307" i="2"/>
  <c r="BC1308" i="2"/>
  <c r="BC1309" i="2"/>
  <c r="BC1310" i="2"/>
  <c r="BC1311" i="2"/>
  <c r="BC1312" i="2"/>
  <c r="BC1313" i="2"/>
  <c r="BC1314" i="2"/>
  <c r="BC1315" i="2"/>
  <c r="BC1316" i="2"/>
  <c r="BC1317" i="2"/>
  <c r="BC1318" i="2"/>
  <c r="BC1319" i="2"/>
  <c r="BC1320" i="2"/>
  <c r="BC1321" i="2"/>
  <c r="BC1322" i="2"/>
  <c r="BC1323" i="2"/>
  <c r="BC1324" i="2"/>
  <c r="BC1325" i="2"/>
  <c r="BC1326" i="2"/>
  <c r="BC1327" i="2"/>
  <c r="BC1328" i="2"/>
  <c r="BC1329" i="2"/>
  <c r="BC1330" i="2"/>
  <c r="BC1331" i="2"/>
  <c r="BC1332" i="2"/>
  <c r="BC1333" i="2"/>
  <c r="BC1334" i="2"/>
  <c r="BC1335" i="2"/>
  <c r="BC1336" i="2"/>
  <c r="BC1337" i="2"/>
  <c r="BC1338" i="2"/>
  <c r="BC1339" i="2"/>
  <c r="BC1340" i="2"/>
  <c r="BC1341" i="2"/>
  <c r="BC1342" i="2"/>
  <c r="BC1343" i="2"/>
  <c r="BC1344" i="2"/>
  <c r="BC1345" i="2"/>
  <c r="BC1346" i="2"/>
  <c r="BC1347" i="2"/>
  <c r="BC1348" i="2"/>
  <c r="BC1349" i="2"/>
  <c r="BC1350" i="2"/>
  <c r="BC1351" i="2"/>
  <c r="BC1352" i="2"/>
  <c r="BC1353" i="2"/>
  <c r="BC1354" i="2"/>
  <c r="BC1355" i="2"/>
  <c r="BC1356" i="2"/>
  <c r="BC1357" i="2"/>
  <c r="BC1358" i="2"/>
  <c r="BC1359" i="2"/>
  <c r="BC1360" i="2"/>
  <c r="BC1361" i="2"/>
  <c r="BC1362" i="2"/>
  <c r="BC1363" i="2"/>
  <c r="BC1364" i="2"/>
  <c r="BC1365" i="2"/>
  <c r="BC1366" i="2"/>
  <c r="BC1367" i="2"/>
  <c r="BC1368" i="2"/>
  <c r="BC1369" i="2"/>
  <c r="BC1370" i="2"/>
  <c r="BC1371" i="2"/>
  <c r="BC1372" i="2"/>
  <c r="BC1373" i="2"/>
  <c r="BC1374" i="2"/>
  <c r="BC1375" i="2"/>
  <c r="BC1376" i="2"/>
  <c r="BC1377" i="2"/>
  <c r="BC1378" i="2"/>
  <c r="BC1379" i="2"/>
  <c r="BC1380" i="2"/>
  <c r="BC1381" i="2"/>
  <c r="BC1382" i="2"/>
  <c r="BC1383" i="2"/>
  <c r="BC1384" i="2"/>
  <c r="BC1385" i="2"/>
  <c r="BC1386" i="2"/>
  <c r="BC1387" i="2"/>
  <c r="BC1388" i="2"/>
  <c r="BC1389" i="2"/>
  <c r="BC1390" i="2"/>
  <c r="BC1391" i="2"/>
  <c r="BC1392" i="2"/>
  <c r="BC1393" i="2"/>
  <c r="BC1394" i="2"/>
  <c r="BC1395" i="2"/>
  <c r="BC1396" i="2"/>
  <c r="BC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5" i="2"/>
  <c r="BB96" i="2"/>
  <c r="BB97" i="2"/>
  <c r="BB98" i="2"/>
  <c r="BB99" i="2"/>
  <c r="BB100" i="2"/>
  <c r="BB101" i="2"/>
  <c r="BB102" i="2"/>
  <c r="BB103" i="2"/>
  <c r="BB104" i="2"/>
  <c r="BB105" i="2"/>
  <c r="BB106" i="2"/>
  <c r="BB107" i="2"/>
  <c r="BB108" i="2"/>
  <c r="BB109" i="2"/>
  <c r="BB110" i="2"/>
  <c r="BB111" i="2"/>
  <c r="BB112" i="2"/>
  <c r="BB113" i="2"/>
  <c r="BB114" i="2"/>
  <c r="BB115" i="2"/>
  <c r="BB116" i="2"/>
  <c r="BB117" i="2"/>
  <c r="BB118" i="2"/>
  <c r="BB119" i="2"/>
  <c r="BB120" i="2"/>
  <c r="BB121" i="2"/>
  <c r="BB122" i="2"/>
  <c r="BB123" i="2"/>
  <c r="BB124" i="2"/>
  <c r="BB125" i="2"/>
  <c r="BB126" i="2"/>
  <c r="BB127" i="2"/>
  <c r="BB128" i="2"/>
  <c r="BB129" i="2"/>
  <c r="BB130" i="2"/>
  <c r="BB131" i="2"/>
  <c r="BB132" i="2"/>
  <c r="BB133" i="2"/>
  <c r="BB134" i="2"/>
  <c r="BB135" i="2"/>
  <c r="BB136" i="2"/>
  <c r="BB137" i="2"/>
  <c r="BB138" i="2"/>
  <c r="BB139" i="2"/>
  <c r="BB140" i="2"/>
  <c r="BB141" i="2"/>
  <c r="BB142" i="2"/>
  <c r="BB143" i="2"/>
  <c r="BB144" i="2"/>
  <c r="BB145" i="2"/>
  <c r="BB146" i="2"/>
  <c r="BB147" i="2"/>
  <c r="BB148" i="2"/>
  <c r="BB149" i="2"/>
  <c r="BB150" i="2"/>
  <c r="BB151" i="2"/>
  <c r="BB152" i="2"/>
  <c r="BB153" i="2"/>
  <c r="BB154" i="2"/>
  <c r="BB155" i="2"/>
  <c r="BB156" i="2"/>
  <c r="BB157" i="2"/>
  <c r="BB158" i="2"/>
  <c r="BB159" i="2"/>
  <c r="BB160" i="2"/>
  <c r="BB161" i="2"/>
  <c r="BB162" i="2"/>
  <c r="BB163" i="2"/>
  <c r="BB164" i="2"/>
  <c r="BB165" i="2"/>
  <c r="BB166" i="2"/>
  <c r="BB167" i="2"/>
  <c r="BB168" i="2"/>
  <c r="BB169" i="2"/>
  <c r="BB170" i="2"/>
  <c r="BB171" i="2"/>
  <c r="BB172" i="2"/>
  <c r="BB173" i="2"/>
  <c r="BB174" i="2"/>
  <c r="BB175" i="2"/>
  <c r="BB176" i="2"/>
  <c r="BB177" i="2"/>
  <c r="BB178" i="2"/>
  <c r="BB179" i="2"/>
  <c r="BB180" i="2"/>
  <c r="BB181" i="2"/>
  <c r="BB182" i="2"/>
  <c r="BB183" i="2"/>
  <c r="BB184" i="2"/>
  <c r="BB185" i="2"/>
  <c r="BB186" i="2"/>
  <c r="BB187" i="2"/>
  <c r="BB188" i="2"/>
  <c r="BB189" i="2"/>
  <c r="BB190" i="2"/>
  <c r="BB191" i="2"/>
  <c r="BB192" i="2"/>
  <c r="BB193" i="2"/>
  <c r="BB194" i="2"/>
  <c r="BB195" i="2"/>
  <c r="BB196" i="2"/>
  <c r="BB197" i="2"/>
  <c r="BB198" i="2"/>
  <c r="BB199" i="2"/>
  <c r="BB200" i="2"/>
  <c r="BB201" i="2"/>
  <c r="BB202" i="2"/>
  <c r="BB203" i="2"/>
  <c r="BB204" i="2"/>
  <c r="BB205" i="2"/>
  <c r="BB206" i="2"/>
  <c r="BB207" i="2"/>
  <c r="BB208" i="2"/>
  <c r="BB209" i="2"/>
  <c r="BB210" i="2"/>
  <c r="BB211" i="2"/>
  <c r="BB212" i="2"/>
  <c r="BB213" i="2"/>
  <c r="BB214" i="2"/>
  <c r="BB215" i="2"/>
  <c r="BB216" i="2"/>
  <c r="BB217" i="2"/>
  <c r="BB218" i="2"/>
  <c r="BB219" i="2"/>
  <c r="BB220" i="2"/>
  <c r="BB221" i="2"/>
  <c r="BB222" i="2"/>
  <c r="BB223" i="2"/>
  <c r="BB224" i="2"/>
  <c r="BB225" i="2"/>
  <c r="BB226" i="2"/>
  <c r="BB227" i="2"/>
  <c r="BB228" i="2"/>
  <c r="BB229" i="2"/>
  <c r="BB230" i="2"/>
  <c r="BB231" i="2"/>
  <c r="BB232" i="2"/>
  <c r="BB233" i="2"/>
  <c r="BB234" i="2"/>
  <c r="BB235" i="2"/>
  <c r="BB236" i="2"/>
  <c r="BB237" i="2"/>
  <c r="BB238" i="2"/>
  <c r="BB239" i="2"/>
  <c r="BB240" i="2"/>
  <c r="BB241" i="2"/>
  <c r="BB242" i="2"/>
  <c r="BB243" i="2"/>
  <c r="BB244" i="2"/>
  <c r="BB245" i="2"/>
  <c r="BB246" i="2"/>
  <c r="BB247" i="2"/>
  <c r="BB248" i="2"/>
  <c r="BB249" i="2"/>
  <c r="BB250" i="2"/>
  <c r="BB251" i="2"/>
  <c r="BB252" i="2"/>
  <c r="BB253" i="2"/>
  <c r="BB254" i="2"/>
  <c r="BB255" i="2"/>
  <c r="BB256" i="2"/>
  <c r="BB257" i="2"/>
  <c r="BB258" i="2"/>
  <c r="BB259" i="2"/>
  <c r="BB260" i="2"/>
  <c r="BB261" i="2"/>
  <c r="BB262" i="2"/>
  <c r="BB263" i="2"/>
  <c r="BB264" i="2"/>
  <c r="BB265" i="2"/>
  <c r="BB266" i="2"/>
  <c r="BB267" i="2"/>
  <c r="BB268" i="2"/>
  <c r="BB269" i="2"/>
  <c r="BB270" i="2"/>
  <c r="BB271" i="2"/>
  <c r="BB272" i="2"/>
  <c r="BB273" i="2"/>
  <c r="BB274" i="2"/>
  <c r="BB275" i="2"/>
  <c r="BB276" i="2"/>
  <c r="BB277" i="2"/>
  <c r="BB278" i="2"/>
  <c r="BB279" i="2"/>
  <c r="BB280" i="2"/>
  <c r="BB281" i="2"/>
  <c r="BB282" i="2"/>
  <c r="BB283" i="2"/>
  <c r="BB284" i="2"/>
  <c r="BB285" i="2"/>
  <c r="BB286" i="2"/>
  <c r="BB287" i="2"/>
  <c r="BB288" i="2"/>
  <c r="BB289" i="2"/>
  <c r="BB290" i="2"/>
  <c r="BB291" i="2"/>
  <c r="BB292" i="2"/>
  <c r="BB293" i="2"/>
  <c r="BB294" i="2"/>
  <c r="BB295" i="2"/>
  <c r="BB296" i="2"/>
  <c r="BB297" i="2"/>
  <c r="BB298" i="2"/>
  <c r="BB299" i="2"/>
  <c r="BB300" i="2"/>
  <c r="BB301" i="2"/>
  <c r="BB302" i="2"/>
  <c r="BB303" i="2"/>
  <c r="BB304" i="2"/>
  <c r="BB305" i="2"/>
  <c r="BB306" i="2"/>
  <c r="BB307" i="2"/>
  <c r="BB308" i="2"/>
  <c r="BB309" i="2"/>
  <c r="BB310" i="2"/>
  <c r="BB311" i="2"/>
  <c r="BB312" i="2"/>
  <c r="BB313" i="2"/>
  <c r="BB314" i="2"/>
  <c r="BB315" i="2"/>
  <c r="BB316" i="2"/>
  <c r="BB317" i="2"/>
  <c r="BB318" i="2"/>
  <c r="BB319" i="2"/>
  <c r="BB320" i="2"/>
  <c r="BB321" i="2"/>
  <c r="BB322" i="2"/>
  <c r="BB323" i="2"/>
  <c r="BB324" i="2"/>
  <c r="BB325" i="2"/>
  <c r="BB326" i="2"/>
  <c r="BB327" i="2"/>
  <c r="BB328" i="2"/>
  <c r="BB329" i="2"/>
  <c r="BB330" i="2"/>
  <c r="BB331" i="2"/>
  <c r="BB332" i="2"/>
  <c r="BB333" i="2"/>
  <c r="BB334" i="2"/>
  <c r="BB335" i="2"/>
  <c r="BB336" i="2"/>
  <c r="BB337" i="2"/>
  <c r="BB338" i="2"/>
  <c r="BB339" i="2"/>
  <c r="BB340" i="2"/>
  <c r="BB341" i="2"/>
  <c r="BB342" i="2"/>
  <c r="BB343" i="2"/>
  <c r="BB344" i="2"/>
  <c r="BB345" i="2"/>
  <c r="BB346" i="2"/>
  <c r="BB347" i="2"/>
  <c r="BB348" i="2"/>
  <c r="BB349" i="2"/>
  <c r="BB350" i="2"/>
  <c r="BB351" i="2"/>
  <c r="BB352" i="2"/>
  <c r="BB353" i="2"/>
  <c r="BB354" i="2"/>
  <c r="BB355" i="2"/>
  <c r="BB356" i="2"/>
  <c r="BB357" i="2"/>
  <c r="BB358" i="2"/>
  <c r="BB359" i="2"/>
  <c r="BB360" i="2"/>
  <c r="BB361" i="2"/>
  <c r="BB362" i="2"/>
  <c r="BB363" i="2"/>
  <c r="BB364" i="2"/>
  <c r="BB365" i="2"/>
  <c r="BB366" i="2"/>
  <c r="BB367" i="2"/>
  <c r="BB368" i="2"/>
  <c r="BB369" i="2"/>
  <c r="BB370" i="2"/>
  <c r="BB371" i="2"/>
  <c r="BB372" i="2"/>
  <c r="BB373" i="2"/>
  <c r="BB374" i="2"/>
  <c r="BB375" i="2"/>
  <c r="BB376" i="2"/>
  <c r="BB377" i="2"/>
  <c r="BB378" i="2"/>
  <c r="BB379" i="2"/>
  <c r="BB380" i="2"/>
  <c r="BB381" i="2"/>
  <c r="BB382" i="2"/>
  <c r="BB383" i="2"/>
  <c r="BB384" i="2"/>
  <c r="BB385" i="2"/>
  <c r="BB386" i="2"/>
  <c r="BB387" i="2"/>
  <c r="BB388" i="2"/>
  <c r="BB389" i="2"/>
  <c r="BB390" i="2"/>
  <c r="BB391" i="2"/>
  <c r="BB392" i="2"/>
  <c r="BB393" i="2"/>
  <c r="BB394" i="2"/>
  <c r="BB395" i="2"/>
  <c r="BB396" i="2"/>
  <c r="BB397" i="2"/>
  <c r="BB398" i="2"/>
  <c r="BB399" i="2"/>
  <c r="BB400" i="2"/>
  <c r="BB401" i="2"/>
  <c r="BB402" i="2"/>
  <c r="BB403" i="2"/>
  <c r="BB404" i="2"/>
  <c r="BB405" i="2"/>
  <c r="BB406" i="2"/>
  <c r="BB407" i="2"/>
  <c r="BB408" i="2"/>
  <c r="BB409" i="2"/>
  <c r="BB410" i="2"/>
  <c r="BB411" i="2"/>
  <c r="BB412" i="2"/>
  <c r="BB413" i="2"/>
  <c r="BB414" i="2"/>
  <c r="BB415" i="2"/>
  <c r="BB416" i="2"/>
  <c r="BB417" i="2"/>
  <c r="BB418" i="2"/>
  <c r="BB419" i="2"/>
  <c r="BB420" i="2"/>
  <c r="BB421" i="2"/>
  <c r="BB422" i="2"/>
  <c r="BB423" i="2"/>
  <c r="BB424" i="2"/>
  <c r="BB425" i="2"/>
  <c r="BB426" i="2"/>
  <c r="BB427" i="2"/>
  <c r="BB428" i="2"/>
  <c r="BB429" i="2"/>
  <c r="BB430" i="2"/>
  <c r="BB431" i="2"/>
  <c r="BB432" i="2"/>
  <c r="BB433" i="2"/>
  <c r="BB434" i="2"/>
  <c r="BB435" i="2"/>
  <c r="BB436" i="2"/>
  <c r="BB437" i="2"/>
  <c r="BB438" i="2"/>
  <c r="BB439" i="2"/>
  <c r="BB440" i="2"/>
  <c r="BB441" i="2"/>
  <c r="BB442" i="2"/>
  <c r="BB443" i="2"/>
  <c r="BB444" i="2"/>
  <c r="BB445" i="2"/>
  <c r="BB446" i="2"/>
  <c r="BB447" i="2"/>
  <c r="BB448" i="2"/>
  <c r="BB449" i="2"/>
  <c r="BB450" i="2"/>
  <c r="BB451" i="2"/>
  <c r="BB452" i="2"/>
  <c r="BB453" i="2"/>
  <c r="BB454" i="2"/>
  <c r="BB455" i="2"/>
  <c r="BB456" i="2"/>
  <c r="BB457" i="2"/>
  <c r="BB458" i="2"/>
  <c r="BB459" i="2"/>
  <c r="BB460" i="2"/>
  <c r="BB461" i="2"/>
  <c r="BB462" i="2"/>
  <c r="BB463" i="2"/>
  <c r="BB464" i="2"/>
  <c r="BB465" i="2"/>
  <c r="BB466" i="2"/>
  <c r="BB467" i="2"/>
  <c r="BB468" i="2"/>
  <c r="BB469" i="2"/>
  <c r="BB470" i="2"/>
  <c r="BB471" i="2"/>
  <c r="BB472" i="2"/>
  <c r="BB473" i="2"/>
  <c r="BB474" i="2"/>
  <c r="BB475" i="2"/>
  <c r="BB476" i="2"/>
  <c r="BB477" i="2"/>
  <c r="BB478" i="2"/>
  <c r="BB479" i="2"/>
  <c r="BB480" i="2"/>
  <c r="BB481" i="2"/>
  <c r="BB482" i="2"/>
  <c r="BB483" i="2"/>
  <c r="BB484" i="2"/>
  <c r="BB485" i="2"/>
  <c r="BB486" i="2"/>
  <c r="BB487" i="2"/>
  <c r="BB488" i="2"/>
  <c r="BB489" i="2"/>
  <c r="BB490" i="2"/>
  <c r="BB491" i="2"/>
  <c r="BB492" i="2"/>
  <c r="BB493" i="2"/>
  <c r="BB494" i="2"/>
  <c r="BB495" i="2"/>
  <c r="BB496" i="2"/>
  <c r="BB497" i="2"/>
  <c r="BB498" i="2"/>
  <c r="BB499" i="2"/>
  <c r="BB500" i="2"/>
  <c r="BB501" i="2"/>
  <c r="BB502" i="2"/>
  <c r="BB503" i="2"/>
  <c r="BB504" i="2"/>
  <c r="BB505" i="2"/>
  <c r="BB506" i="2"/>
  <c r="BB507" i="2"/>
  <c r="BB508" i="2"/>
  <c r="BB509" i="2"/>
  <c r="BB510" i="2"/>
  <c r="BB511" i="2"/>
  <c r="BB512" i="2"/>
  <c r="BB513" i="2"/>
  <c r="BB514" i="2"/>
  <c r="BB515" i="2"/>
  <c r="BB516" i="2"/>
  <c r="BB517" i="2"/>
  <c r="BB518" i="2"/>
  <c r="BB519" i="2"/>
  <c r="BB520" i="2"/>
  <c r="BB521" i="2"/>
  <c r="BB522" i="2"/>
  <c r="BB523" i="2"/>
  <c r="BB524" i="2"/>
  <c r="BB525" i="2"/>
  <c r="BB526" i="2"/>
  <c r="BB527" i="2"/>
  <c r="BB528" i="2"/>
  <c r="BB529" i="2"/>
  <c r="BB530" i="2"/>
  <c r="BB531" i="2"/>
  <c r="BB532" i="2"/>
  <c r="BB533" i="2"/>
  <c r="BB534" i="2"/>
  <c r="BB535" i="2"/>
  <c r="BB536" i="2"/>
  <c r="BB537" i="2"/>
  <c r="BB538" i="2"/>
  <c r="BB539" i="2"/>
  <c r="BB540" i="2"/>
  <c r="BB541" i="2"/>
  <c r="BB542" i="2"/>
  <c r="BB543" i="2"/>
  <c r="BB544" i="2"/>
  <c r="BB545" i="2"/>
  <c r="BB546" i="2"/>
  <c r="BB547" i="2"/>
  <c r="BB548" i="2"/>
  <c r="BB549" i="2"/>
  <c r="BB550" i="2"/>
  <c r="BB551" i="2"/>
  <c r="BB552" i="2"/>
  <c r="BB553" i="2"/>
  <c r="BB554" i="2"/>
  <c r="BB555" i="2"/>
  <c r="BB556" i="2"/>
  <c r="BB557" i="2"/>
  <c r="BB558" i="2"/>
  <c r="BB559" i="2"/>
  <c r="BB560" i="2"/>
  <c r="BB561" i="2"/>
  <c r="BB562" i="2"/>
  <c r="BB563" i="2"/>
  <c r="BB564" i="2"/>
  <c r="BB565" i="2"/>
  <c r="BB566" i="2"/>
  <c r="BB567" i="2"/>
  <c r="BB568" i="2"/>
  <c r="BB569" i="2"/>
  <c r="BB570" i="2"/>
  <c r="BB571" i="2"/>
  <c r="BB572" i="2"/>
  <c r="BB573" i="2"/>
  <c r="BB574" i="2"/>
  <c r="BB575" i="2"/>
  <c r="BB576" i="2"/>
  <c r="BB577" i="2"/>
  <c r="BB578" i="2"/>
  <c r="BB579" i="2"/>
  <c r="BB580" i="2"/>
  <c r="BB581" i="2"/>
  <c r="BB582" i="2"/>
  <c r="BB583" i="2"/>
  <c r="BB584" i="2"/>
  <c r="BB585" i="2"/>
  <c r="BB586" i="2"/>
  <c r="BB587" i="2"/>
  <c r="BB588" i="2"/>
  <c r="BB589" i="2"/>
  <c r="BB590" i="2"/>
  <c r="BB591" i="2"/>
  <c r="BB592" i="2"/>
  <c r="BB593" i="2"/>
  <c r="BB594" i="2"/>
  <c r="BB595" i="2"/>
  <c r="BB596" i="2"/>
  <c r="BB597" i="2"/>
  <c r="BB598" i="2"/>
  <c r="BB599" i="2"/>
  <c r="BB600" i="2"/>
  <c r="BB601" i="2"/>
  <c r="BB602" i="2"/>
  <c r="BB603" i="2"/>
  <c r="BB604" i="2"/>
  <c r="BB605" i="2"/>
  <c r="BB606" i="2"/>
  <c r="BB607" i="2"/>
  <c r="BB608" i="2"/>
  <c r="BB609" i="2"/>
  <c r="BB610" i="2"/>
  <c r="BB611" i="2"/>
  <c r="BB612" i="2"/>
  <c r="BB613" i="2"/>
  <c r="BB614" i="2"/>
  <c r="BB615" i="2"/>
  <c r="BB616" i="2"/>
  <c r="BB617" i="2"/>
  <c r="BB618" i="2"/>
  <c r="BB619" i="2"/>
  <c r="BB620" i="2"/>
  <c r="BB621" i="2"/>
  <c r="BB622" i="2"/>
  <c r="BB623" i="2"/>
  <c r="BB624" i="2"/>
  <c r="BB625" i="2"/>
  <c r="BB626" i="2"/>
  <c r="BB627" i="2"/>
  <c r="BB628" i="2"/>
  <c r="BB629" i="2"/>
  <c r="BB630" i="2"/>
  <c r="BB631" i="2"/>
  <c r="BB632" i="2"/>
  <c r="BB633" i="2"/>
  <c r="BB634" i="2"/>
  <c r="BB635" i="2"/>
  <c r="BB636" i="2"/>
  <c r="BB637" i="2"/>
  <c r="BB638" i="2"/>
  <c r="BB639" i="2"/>
  <c r="BB640" i="2"/>
  <c r="BB641" i="2"/>
  <c r="BB642" i="2"/>
  <c r="BB643" i="2"/>
  <c r="BB644" i="2"/>
  <c r="BB645" i="2"/>
  <c r="BB646" i="2"/>
  <c r="BB647" i="2"/>
  <c r="BB648" i="2"/>
  <c r="BB649" i="2"/>
  <c r="BB650" i="2"/>
  <c r="BB651" i="2"/>
  <c r="BB652" i="2"/>
  <c r="BB653" i="2"/>
  <c r="BB654" i="2"/>
  <c r="BB655" i="2"/>
  <c r="BB656" i="2"/>
  <c r="BB657" i="2"/>
  <c r="BB658" i="2"/>
  <c r="BB659" i="2"/>
  <c r="BB660" i="2"/>
  <c r="BB661" i="2"/>
  <c r="BB662" i="2"/>
  <c r="BB663" i="2"/>
  <c r="BB664" i="2"/>
  <c r="BB665" i="2"/>
  <c r="BB666" i="2"/>
  <c r="BB667" i="2"/>
  <c r="BB668" i="2"/>
  <c r="BB669" i="2"/>
  <c r="BB670" i="2"/>
  <c r="BB671" i="2"/>
  <c r="BB672" i="2"/>
  <c r="BB673" i="2"/>
  <c r="BB674" i="2"/>
  <c r="BB675" i="2"/>
  <c r="BB676" i="2"/>
  <c r="BB677" i="2"/>
  <c r="BB678" i="2"/>
  <c r="BB679" i="2"/>
  <c r="BB680" i="2"/>
  <c r="BB681" i="2"/>
  <c r="BB682" i="2"/>
  <c r="BB683" i="2"/>
  <c r="BB684" i="2"/>
  <c r="BB685" i="2"/>
  <c r="BB686" i="2"/>
  <c r="BB687" i="2"/>
  <c r="BB688" i="2"/>
  <c r="BB689" i="2"/>
  <c r="BB690" i="2"/>
  <c r="BB691" i="2"/>
  <c r="BB692" i="2"/>
  <c r="BB693" i="2"/>
  <c r="BB694" i="2"/>
  <c r="BB695" i="2"/>
  <c r="BB696" i="2"/>
  <c r="BB697" i="2"/>
  <c r="BB698" i="2"/>
  <c r="BB699" i="2"/>
  <c r="BB700" i="2"/>
  <c r="BB701" i="2"/>
  <c r="BB702" i="2"/>
  <c r="BB703" i="2"/>
  <c r="BB704" i="2"/>
  <c r="BB705" i="2"/>
  <c r="BB706" i="2"/>
  <c r="BB707" i="2"/>
  <c r="BB708" i="2"/>
  <c r="BB709" i="2"/>
  <c r="BB710" i="2"/>
  <c r="BB711" i="2"/>
  <c r="BB712" i="2"/>
  <c r="BB713" i="2"/>
  <c r="BB714" i="2"/>
  <c r="BB715" i="2"/>
  <c r="BB716" i="2"/>
  <c r="BB717" i="2"/>
  <c r="BB718" i="2"/>
  <c r="BB719" i="2"/>
  <c r="BB720" i="2"/>
  <c r="BB721" i="2"/>
  <c r="BB722" i="2"/>
  <c r="BB723" i="2"/>
  <c r="BB724" i="2"/>
  <c r="BB725" i="2"/>
  <c r="BB726" i="2"/>
  <c r="BB727" i="2"/>
  <c r="BB728" i="2"/>
  <c r="BB729" i="2"/>
  <c r="BB730" i="2"/>
  <c r="BB731" i="2"/>
  <c r="BB732" i="2"/>
  <c r="BB733" i="2"/>
  <c r="BB734" i="2"/>
  <c r="BB735" i="2"/>
  <c r="BB736" i="2"/>
  <c r="BB737" i="2"/>
  <c r="BB738" i="2"/>
  <c r="BB739" i="2"/>
  <c r="BB740" i="2"/>
  <c r="BB741" i="2"/>
  <c r="BB742" i="2"/>
  <c r="BB743" i="2"/>
  <c r="BB744" i="2"/>
  <c r="BB745" i="2"/>
  <c r="BB746" i="2"/>
  <c r="BB747" i="2"/>
  <c r="BB748" i="2"/>
  <c r="BB749" i="2"/>
  <c r="BB750" i="2"/>
  <c r="BB751" i="2"/>
  <c r="BB752" i="2"/>
  <c r="BB753" i="2"/>
  <c r="BB754" i="2"/>
  <c r="BB755" i="2"/>
  <c r="BB756" i="2"/>
  <c r="BB757" i="2"/>
  <c r="BB758" i="2"/>
  <c r="BB759" i="2"/>
  <c r="BB760" i="2"/>
  <c r="BB761" i="2"/>
  <c r="BB762" i="2"/>
  <c r="BB763" i="2"/>
  <c r="BB764" i="2"/>
  <c r="BB765" i="2"/>
  <c r="BB766" i="2"/>
  <c r="BB767" i="2"/>
  <c r="BB768" i="2"/>
  <c r="BB769" i="2"/>
  <c r="BB770" i="2"/>
  <c r="BB771" i="2"/>
  <c r="BB772" i="2"/>
  <c r="BB773" i="2"/>
  <c r="BB774" i="2"/>
  <c r="BB775" i="2"/>
  <c r="BB776" i="2"/>
  <c r="BB777" i="2"/>
  <c r="BB778" i="2"/>
  <c r="BB779" i="2"/>
  <c r="BB780" i="2"/>
  <c r="BB781" i="2"/>
  <c r="BB782" i="2"/>
  <c r="BB783" i="2"/>
  <c r="BB784" i="2"/>
  <c r="BB785" i="2"/>
  <c r="BB786" i="2"/>
  <c r="BB787" i="2"/>
  <c r="BB788" i="2"/>
  <c r="BB789" i="2"/>
  <c r="BB790" i="2"/>
  <c r="BB791" i="2"/>
  <c r="BB792" i="2"/>
  <c r="BB793" i="2"/>
  <c r="BB794" i="2"/>
  <c r="BB795" i="2"/>
  <c r="BB796" i="2"/>
  <c r="BB797" i="2"/>
  <c r="BB798" i="2"/>
  <c r="BB799" i="2"/>
  <c r="BB800" i="2"/>
  <c r="BB801" i="2"/>
  <c r="BB802" i="2"/>
  <c r="BB803" i="2"/>
  <c r="BB804" i="2"/>
  <c r="BB805" i="2"/>
  <c r="BB806" i="2"/>
  <c r="BB807" i="2"/>
  <c r="BB808" i="2"/>
  <c r="BB809" i="2"/>
  <c r="BB810" i="2"/>
  <c r="BB811" i="2"/>
  <c r="BB812" i="2"/>
  <c r="BB813" i="2"/>
  <c r="BB814" i="2"/>
  <c r="BB815" i="2"/>
  <c r="BB816" i="2"/>
  <c r="BB817" i="2"/>
  <c r="BB818" i="2"/>
  <c r="BB819" i="2"/>
  <c r="BB820" i="2"/>
  <c r="BB821" i="2"/>
  <c r="BB822" i="2"/>
  <c r="BB823" i="2"/>
  <c r="BB824" i="2"/>
  <c r="BB825" i="2"/>
  <c r="BB826" i="2"/>
  <c r="BB827" i="2"/>
  <c r="BB828" i="2"/>
  <c r="BB829" i="2"/>
  <c r="BB830" i="2"/>
  <c r="BB831" i="2"/>
  <c r="BB832" i="2"/>
  <c r="BB833" i="2"/>
  <c r="BB834" i="2"/>
  <c r="BB835" i="2"/>
  <c r="BB836" i="2"/>
  <c r="BB837" i="2"/>
  <c r="BB838" i="2"/>
  <c r="BB839" i="2"/>
  <c r="BB840" i="2"/>
  <c r="BB841" i="2"/>
  <c r="BB842" i="2"/>
  <c r="BB843" i="2"/>
  <c r="BB844" i="2"/>
  <c r="BB845" i="2"/>
  <c r="BB846" i="2"/>
  <c r="BB847" i="2"/>
  <c r="BB848" i="2"/>
  <c r="BB849" i="2"/>
  <c r="BB850" i="2"/>
  <c r="BB851" i="2"/>
  <c r="BB852" i="2"/>
  <c r="BB853" i="2"/>
  <c r="BB854" i="2"/>
  <c r="BB855" i="2"/>
  <c r="BB856" i="2"/>
  <c r="BB857" i="2"/>
  <c r="BB858" i="2"/>
  <c r="BB859" i="2"/>
  <c r="BB860" i="2"/>
  <c r="BB861" i="2"/>
  <c r="BB862" i="2"/>
  <c r="BB863" i="2"/>
  <c r="BB864" i="2"/>
  <c r="BB865" i="2"/>
  <c r="BB866" i="2"/>
  <c r="BB867" i="2"/>
  <c r="BB868" i="2"/>
  <c r="BB869" i="2"/>
  <c r="BB870" i="2"/>
  <c r="BB871" i="2"/>
  <c r="BB872" i="2"/>
  <c r="BB873" i="2"/>
  <c r="BB874" i="2"/>
  <c r="BB875" i="2"/>
  <c r="BB876" i="2"/>
  <c r="BB877" i="2"/>
  <c r="BB878" i="2"/>
  <c r="BB879" i="2"/>
  <c r="BB880" i="2"/>
  <c r="BB881" i="2"/>
  <c r="BB882" i="2"/>
  <c r="BB883" i="2"/>
  <c r="BB884" i="2"/>
  <c r="BB885" i="2"/>
  <c r="BB886" i="2"/>
  <c r="BB887" i="2"/>
  <c r="BB888" i="2"/>
  <c r="BB889" i="2"/>
  <c r="BB890" i="2"/>
  <c r="BB891" i="2"/>
  <c r="BB892" i="2"/>
  <c r="BB893" i="2"/>
  <c r="BB894" i="2"/>
  <c r="BB895" i="2"/>
  <c r="BB896" i="2"/>
  <c r="BB897" i="2"/>
  <c r="BB898" i="2"/>
  <c r="BB899" i="2"/>
  <c r="BB900" i="2"/>
  <c r="BB901" i="2"/>
  <c r="BB902" i="2"/>
  <c r="BB903" i="2"/>
  <c r="BB904" i="2"/>
  <c r="BB905" i="2"/>
  <c r="BB906" i="2"/>
  <c r="BB907" i="2"/>
  <c r="BB908" i="2"/>
  <c r="BB909" i="2"/>
  <c r="BB910" i="2"/>
  <c r="BB911" i="2"/>
  <c r="BB912" i="2"/>
  <c r="BB913" i="2"/>
  <c r="BB914" i="2"/>
  <c r="BB915" i="2"/>
  <c r="BB916" i="2"/>
  <c r="BB917" i="2"/>
  <c r="BB918" i="2"/>
  <c r="BB919" i="2"/>
  <c r="BB920" i="2"/>
  <c r="BB921" i="2"/>
  <c r="BB922" i="2"/>
  <c r="BB923" i="2"/>
  <c r="BB924" i="2"/>
  <c r="BB925" i="2"/>
  <c r="BB926" i="2"/>
  <c r="BB927" i="2"/>
  <c r="BB928" i="2"/>
  <c r="BB929" i="2"/>
  <c r="BB930" i="2"/>
  <c r="BB931" i="2"/>
  <c r="BB932" i="2"/>
  <c r="BB933" i="2"/>
  <c r="BB934" i="2"/>
  <c r="BB935" i="2"/>
  <c r="BB936" i="2"/>
  <c r="BB937" i="2"/>
  <c r="BB938" i="2"/>
  <c r="BB939" i="2"/>
  <c r="BB940" i="2"/>
  <c r="BB941" i="2"/>
  <c r="BB942" i="2"/>
  <c r="BB943" i="2"/>
  <c r="BB944" i="2"/>
  <c r="BB945" i="2"/>
  <c r="BB946" i="2"/>
  <c r="BB947" i="2"/>
  <c r="BB948" i="2"/>
  <c r="BB949" i="2"/>
  <c r="BB950" i="2"/>
  <c r="BB951" i="2"/>
  <c r="BB952" i="2"/>
  <c r="BB953" i="2"/>
  <c r="BB954" i="2"/>
  <c r="BB955" i="2"/>
  <c r="BB956" i="2"/>
  <c r="BB957" i="2"/>
  <c r="BB958" i="2"/>
  <c r="BB959" i="2"/>
  <c r="BB960" i="2"/>
  <c r="BB961" i="2"/>
  <c r="BB962" i="2"/>
  <c r="BB963" i="2"/>
  <c r="BB964" i="2"/>
  <c r="BB965" i="2"/>
  <c r="BB966" i="2"/>
  <c r="BB967" i="2"/>
  <c r="BB968" i="2"/>
  <c r="BB969" i="2"/>
  <c r="BB970" i="2"/>
  <c r="BB971" i="2"/>
  <c r="BB972" i="2"/>
  <c r="BB973" i="2"/>
  <c r="BB974" i="2"/>
  <c r="BB975" i="2"/>
  <c r="BB976" i="2"/>
  <c r="BB977" i="2"/>
  <c r="BB978" i="2"/>
  <c r="BB979" i="2"/>
  <c r="BB980" i="2"/>
  <c r="BB981" i="2"/>
  <c r="BB982" i="2"/>
  <c r="BB983" i="2"/>
  <c r="BB984" i="2"/>
  <c r="BB985" i="2"/>
  <c r="BB986" i="2"/>
  <c r="BB987" i="2"/>
  <c r="BB988" i="2"/>
  <c r="BB989" i="2"/>
  <c r="BB990" i="2"/>
  <c r="BB991" i="2"/>
  <c r="BB992" i="2"/>
  <c r="BB993" i="2"/>
  <c r="BB994" i="2"/>
  <c r="BB995" i="2"/>
  <c r="BB996" i="2"/>
  <c r="BB997" i="2"/>
  <c r="BB998" i="2"/>
  <c r="BB999" i="2"/>
  <c r="BB1000" i="2"/>
  <c r="BB1001" i="2"/>
  <c r="BB1002" i="2"/>
  <c r="BB1003" i="2"/>
  <c r="BB1004" i="2"/>
  <c r="BB1005" i="2"/>
  <c r="BB1006" i="2"/>
  <c r="BB1007" i="2"/>
  <c r="BB1008" i="2"/>
  <c r="BB1009" i="2"/>
  <c r="BB1010" i="2"/>
  <c r="BB1011" i="2"/>
  <c r="BB1012" i="2"/>
  <c r="BB1013" i="2"/>
  <c r="BB1014" i="2"/>
  <c r="BB1015" i="2"/>
  <c r="BB1016" i="2"/>
  <c r="BB1017" i="2"/>
  <c r="BB1018" i="2"/>
  <c r="BB1019" i="2"/>
  <c r="BB1020" i="2"/>
  <c r="BB1021" i="2"/>
  <c r="BB1022" i="2"/>
  <c r="BB1023" i="2"/>
  <c r="BB1024" i="2"/>
  <c r="BB1025" i="2"/>
  <c r="BB1026" i="2"/>
  <c r="BB1027" i="2"/>
  <c r="BB1028" i="2"/>
  <c r="BB1029" i="2"/>
  <c r="BB1030" i="2"/>
  <c r="BB1031" i="2"/>
  <c r="BB1032" i="2"/>
  <c r="BB1033" i="2"/>
  <c r="BB1034" i="2"/>
  <c r="BB1035" i="2"/>
  <c r="BB1036" i="2"/>
  <c r="BB1037" i="2"/>
  <c r="BB1038" i="2"/>
  <c r="BB1039" i="2"/>
  <c r="BB1040" i="2"/>
  <c r="BB1041" i="2"/>
  <c r="BB1042" i="2"/>
  <c r="BB1043" i="2"/>
  <c r="BB1044" i="2"/>
  <c r="BB1045" i="2"/>
  <c r="BB1046" i="2"/>
  <c r="BB1047" i="2"/>
  <c r="BB1048" i="2"/>
  <c r="BB1049" i="2"/>
  <c r="BB1050" i="2"/>
  <c r="BB1051" i="2"/>
  <c r="BB1052" i="2"/>
  <c r="BB1053" i="2"/>
  <c r="BB1054" i="2"/>
  <c r="BB1055" i="2"/>
  <c r="BB1056" i="2"/>
  <c r="BB1057" i="2"/>
  <c r="BB1058" i="2"/>
  <c r="BB1059" i="2"/>
  <c r="BB1060" i="2"/>
  <c r="BB1061" i="2"/>
  <c r="BB1062" i="2"/>
  <c r="BB1063" i="2"/>
  <c r="BB1064" i="2"/>
  <c r="BB1065" i="2"/>
  <c r="BB1066" i="2"/>
  <c r="BB1067" i="2"/>
  <c r="BB1068" i="2"/>
  <c r="BB1069" i="2"/>
  <c r="BB1070" i="2"/>
  <c r="BB1071" i="2"/>
  <c r="BB1072" i="2"/>
  <c r="BB1073" i="2"/>
  <c r="BB1074" i="2"/>
  <c r="BB1075" i="2"/>
  <c r="BB1076" i="2"/>
  <c r="BB1077" i="2"/>
  <c r="BB1078" i="2"/>
  <c r="BB1079" i="2"/>
  <c r="BB1080" i="2"/>
  <c r="BB1081" i="2"/>
  <c r="BB1082" i="2"/>
  <c r="BB1083" i="2"/>
  <c r="BB1084" i="2"/>
  <c r="BB1085" i="2"/>
  <c r="BB1086" i="2"/>
  <c r="BB1087" i="2"/>
  <c r="BB1088" i="2"/>
  <c r="BB1089" i="2"/>
  <c r="BB1090" i="2"/>
  <c r="BB1091" i="2"/>
  <c r="BB1092" i="2"/>
  <c r="BB1093" i="2"/>
  <c r="BB1094" i="2"/>
  <c r="BB1095" i="2"/>
  <c r="BB1096" i="2"/>
  <c r="BB1097" i="2"/>
  <c r="BB1098" i="2"/>
  <c r="BB1099" i="2"/>
  <c r="BB1100" i="2"/>
  <c r="BB1101" i="2"/>
  <c r="BB1102" i="2"/>
  <c r="BB1103" i="2"/>
  <c r="BB1104" i="2"/>
  <c r="BB1105" i="2"/>
  <c r="BB1106" i="2"/>
  <c r="BB1107" i="2"/>
  <c r="BB1108" i="2"/>
  <c r="BB1109" i="2"/>
  <c r="BB1110" i="2"/>
  <c r="BB1111" i="2"/>
  <c r="BB1112" i="2"/>
  <c r="BB1113" i="2"/>
  <c r="BB1114" i="2"/>
  <c r="BB1115" i="2"/>
  <c r="BB1116" i="2"/>
  <c r="BB1117" i="2"/>
  <c r="BB1118" i="2"/>
  <c r="BB1119" i="2"/>
  <c r="BB1120" i="2"/>
  <c r="BB1121" i="2"/>
  <c r="BB1122" i="2"/>
  <c r="BB1123" i="2"/>
  <c r="BB1124" i="2"/>
  <c r="BB1125" i="2"/>
  <c r="BB1126" i="2"/>
  <c r="BB1127" i="2"/>
  <c r="BB1128" i="2"/>
  <c r="BB1129" i="2"/>
  <c r="BB1130" i="2"/>
  <c r="BB1131" i="2"/>
  <c r="BB1132" i="2"/>
  <c r="BB1133" i="2"/>
  <c r="BB1134" i="2"/>
  <c r="BB1135" i="2"/>
  <c r="BB1136" i="2"/>
  <c r="BB1137" i="2"/>
  <c r="BB1138" i="2"/>
  <c r="BB1139" i="2"/>
  <c r="BB1140" i="2"/>
  <c r="BB1141" i="2"/>
  <c r="BB1142" i="2"/>
  <c r="BB1143" i="2"/>
  <c r="BB1144" i="2"/>
  <c r="BB1145" i="2"/>
  <c r="BB1146" i="2"/>
  <c r="BB1147" i="2"/>
  <c r="BB1148" i="2"/>
  <c r="BB1149" i="2"/>
  <c r="BB1150" i="2"/>
  <c r="BB1151" i="2"/>
  <c r="BB1152" i="2"/>
  <c r="BB1153" i="2"/>
  <c r="BB1154" i="2"/>
  <c r="BB1155" i="2"/>
  <c r="BB1156" i="2"/>
  <c r="BB1157" i="2"/>
  <c r="BB1158" i="2"/>
  <c r="BB1159" i="2"/>
  <c r="BB1160" i="2"/>
  <c r="BB1161" i="2"/>
  <c r="BB1162" i="2"/>
  <c r="BB1163" i="2"/>
  <c r="BB1164" i="2"/>
  <c r="BB1165" i="2"/>
  <c r="BB1166" i="2"/>
  <c r="BB1167" i="2"/>
  <c r="BB1168" i="2"/>
  <c r="BB1169" i="2"/>
  <c r="BB1170" i="2"/>
  <c r="BB1171" i="2"/>
  <c r="BB1172" i="2"/>
  <c r="BB1173" i="2"/>
  <c r="BB1174" i="2"/>
  <c r="BB1175" i="2"/>
  <c r="BB1176" i="2"/>
  <c r="BB1177" i="2"/>
  <c r="BB1178" i="2"/>
  <c r="BB1179" i="2"/>
  <c r="BB1180" i="2"/>
  <c r="BB1181" i="2"/>
  <c r="BB1182" i="2"/>
  <c r="BB1183" i="2"/>
  <c r="BB1184" i="2"/>
  <c r="BB1185" i="2"/>
  <c r="BB1186" i="2"/>
  <c r="BB1187" i="2"/>
  <c r="BB1188" i="2"/>
  <c r="BB1189" i="2"/>
  <c r="BB1190" i="2"/>
  <c r="BB1191" i="2"/>
  <c r="BB1192" i="2"/>
  <c r="BB1193" i="2"/>
  <c r="BB1194" i="2"/>
  <c r="BB1195" i="2"/>
  <c r="BB1196" i="2"/>
  <c r="BB1197" i="2"/>
  <c r="BB1198" i="2"/>
  <c r="BB1199" i="2"/>
  <c r="BB1200" i="2"/>
  <c r="BB1201" i="2"/>
  <c r="BB1202" i="2"/>
  <c r="BB1203" i="2"/>
  <c r="BB1204" i="2"/>
  <c r="BB1205" i="2"/>
  <c r="BB1206" i="2"/>
  <c r="BB1207" i="2"/>
  <c r="BB1208" i="2"/>
  <c r="BB1209" i="2"/>
  <c r="BB1210" i="2"/>
  <c r="BB1211" i="2"/>
  <c r="BB1212" i="2"/>
  <c r="BB1213" i="2"/>
  <c r="BB1214" i="2"/>
  <c r="BB1215" i="2"/>
  <c r="BB1216" i="2"/>
  <c r="BB1217" i="2"/>
  <c r="BB1218" i="2"/>
  <c r="BB1219" i="2"/>
  <c r="BB1220" i="2"/>
  <c r="BB1221" i="2"/>
  <c r="BB1222" i="2"/>
  <c r="BB1223" i="2"/>
  <c r="BB1224" i="2"/>
  <c r="BB1225" i="2"/>
  <c r="BB1226" i="2"/>
  <c r="BB1227" i="2"/>
  <c r="BB1228" i="2"/>
  <c r="BB1229" i="2"/>
  <c r="BB1230" i="2"/>
  <c r="BB1231" i="2"/>
  <c r="BB1232" i="2"/>
  <c r="BB1233" i="2"/>
  <c r="BB1234" i="2"/>
  <c r="BB1235" i="2"/>
  <c r="BB1236" i="2"/>
  <c r="BB1237" i="2"/>
  <c r="BB1238" i="2"/>
  <c r="BB1239" i="2"/>
  <c r="BB1240" i="2"/>
  <c r="BB1241" i="2"/>
  <c r="BB1242" i="2"/>
  <c r="BB1243" i="2"/>
  <c r="BB1244" i="2"/>
  <c r="BB1245" i="2"/>
  <c r="BB1246" i="2"/>
  <c r="BB1247" i="2"/>
  <c r="BB1248" i="2"/>
  <c r="BB1249" i="2"/>
  <c r="BB1250" i="2"/>
  <c r="BB1251" i="2"/>
  <c r="BB1252" i="2"/>
  <c r="BB1253" i="2"/>
  <c r="BB1254" i="2"/>
  <c r="BB1255" i="2"/>
  <c r="BB1256" i="2"/>
  <c r="BB1257" i="2"/>
  <c r="BB1258" i="2"/>
  <c r="BB1259" i="2"/>
  <c r="BB1260" i="2"/>
  <c r="BB1261" i="2"/>
  <c r="BB1262" i="2"/>
  <c r="BB1263" i="2"/>
  <c r="BB1264" i="2"/>
  <c r="BB1265" i="2"/>
  <c r="BB1266" i="2"/>
  <c r="BB1267" i="2"/>
  <c r="BB1268" i="2"/>
  <c r="BB1269" i="2"/>
  <c r="BB1270" i="2"/>
  <c r="BB1271" i="2"/>
  <c r="BB1272" i="2"/>
  <c r="BB1273" i="2"/>
  <c r="BB1274" i="2"/>
  <c r="BB1275" i="2"/>
  <c r="BB1276" i="2"/>
  <c r="BB1277" i="2"/>
  <c r="BB1278" i="2"/>
  <c r="BB1279" i="2"/>
  <c r="BB1280" i="2"/>
  <c r="BB1281" i="2"/>
  <c r="BB1282" i="2"/>
  <c r="BB1283" i="2"/>
  <c r="BB1284" i="2"/>
  <c r="BB1285" i="2"/>
  <c r="BB1286" i="2"/>
  <c r="BB1287" i="2"/>
  <c r="BB1288" i="2"/>
  <c r="BB1289" i="2"/>
  <c r="BB1290" i="2"/>
  <c r="BB1291" i="2"/>
  <c r="BB1292" i="2"/>
  <c r="BB1293" i="2"/>
  <c r="BB1294" i="2"/>
  <c r="BB1295" i="2"/>
  <c r="BB1296" i="2"/>
  <c r="BB1297" i="2"/>
  <c r="BB1298" i="2"/>
  <c r="BB1299" i="2"/>
  <c r="BB1300" i="2"/>
  <c r="BB1301" i="2"/>
  <c r="BB1302" i="2"/>
  <c r="BB1303" i="2"/>
  <c r="BB1304" i="2"/>
  <c r="BB1305" i="2"/>
  <c r="BB1306" i="2"/>
  <c r="BB1307" i="2"/>
  <c r="BB1308" i="2"/>
  <c r="BB1309" i="2"/>
  <c r="BB1310" i="2"/>
  <c r="BB1311" i="2"/>
  <c r="BB1312" i="2"/>
  <c r="BB1313" i="2"/>
  <c r="BB1314" i="2"/>
  <c r="BB1315" i="2"/>
  <c r="BB1316" i="2"/>
  <c r="BB1317" i="2"/>
  <c r="BB1318" i="2"/>
  <c r="BB1319" i="2"/>
  <c r="BB1320" i="2"/>
  <c r="BB1321" i="2"/>
  <c r="BB1322" i="2"/>
  <c r="BB1323" i="2"/>
  <c r="BB1324" i="2"/>
  <c r="BB1325" i="2"/>
  <c r="BB1326" i="2"/>
  <c r="BB1327" i="2"/>
  <c r="BB1328" i="2"/>
  <c r="BB1329" i="2"/>
  <c r="BB1330" i="2"/>
  <c r="BB1331" i="2"/>
  <c r="BB1332" i="2"/>
  <c r="BB1333" i="2"/>
  <c r="BB1334" i="2"/>
  <c r="BB1335" i="2"/>
  <c r="BB1336" i="2"/>
  <c r="BB1337" i="2"/>
  <c r="BB1338" i="2"/>
  <c r="BB1339" i="2"/>
  <c r="BB1340" i="2"/>
  <c r="BB1341" i="2"/>
  <c r="BB1342" i="2"/>
  <c r="BB1343" i="2"/>
  <c r="BB1344" i="2"/>
  <c r="BB1345" i="2"/>
  <c r="BB1346" i="2"/>
  <c r="BB1347" i="2"/>
  <c r="BB1348" i="2"/>
  <c r="BB1349" i="2"/>
  <c r="BB1350" i="2"/>
  <c r="BB1351" i="2"/>
  <c r="BB1352" i="2"/>
  <c r="BB1353" i="2"/>
  <c r="BB1354" i="2"/>
  <c r="BB1355" i="2"/>
  <c r="BB1356" i="2"/>
  <c r="BB1357" i="2"/>
  <c r="BB1358" i="2"/>
  <c r="BB1359" i="2"/>
  <c r="BB1360" i="2"/>
  <c r="BB1361" i="2"/>
  <c r="BB1362" i="2"/>
  <c r="BB1363" i="2"/>
  <c r="BB1364" i="2"/>
  <c r="BB1365" i="2"/>
  <c r="BB1366" i="2"/>
  <c r="BB1367" i="2"/>
  <c r="BB1368" i="2"/>
  <c r="BB1369" i="2"/>
  <c r="BB1370" i="2"/>
  <c r="BB1371" i="2"/>
  <c r="BB1372" i="2"/>
  <c r="BB1373" i="2"/>
  <c r="BB1374" i="2"/>
  <c r="BB1375" i="2"/>
  <c r="BB1376" i="2"/>
  <c r="BB1377" i="2"/>
  <c r="BB1378" i="2"/>
  <c r="BB1379" i="2"/>
  <c r="BB1380" i="2"/>
  <c r="BB1381" i="2"/>
  <c r="BB1382" i="2"/>
  <c r="BB1383" i="2"/>
  <c r="BB1384" i="2"/>
  <c r="BB1385" i="2"/>
  <c r="BB1386" i="2"/>
  <c r="BB1387" i="2"/>
  <c r="BB1388" i="2"/>
  <c r="BB1389" i="2"/>
  <c r="BB1390" i="2"/>
  <c r="BB1391" i="2"/>
  <c r="BB1392" i="2"/>
  <c r="BB1393" i="2"/>
  <c r="BB1394" i="2"/>
  <c r="BB1395" i="2"/>
  <c r="BB1396" i="2"/>
  <c r="BA4" i="2"/>
  <c r="BA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A103" i="2"/>
  <c r="BA104" i="2"/>
  <c r="BA105" i="2"/>
  <c r="BA106" i="2"/>
  <c r="BA107" i="2"/>
  <c r="BA108" i="2"/>
  <c r="BA109" i="2"/>
  <c r="BA110" i="2"/>
  <c r="BA111" i="2"/>
  <c r="BA112" i="2"/>
  <c r="BA113" i="2"/>
  <c r="BA114" i="2"/>
  <c r="BA115" i="2"/>
  <c r="BA116" i="2"/>
  <c r="BA117" i="2"/>
  <c r="BA118" i="2"/>
  <c r="BA119" i="2"/>
  <c r="BA120" i="2"/>
  <c r="BA121" i="2"/>
  <c r="BA122" i="2"/>
  <c r="BA123" i="2"/>
  <c r="BA124" i="2"/>
  <c r="BA125" i="2"/>
  <c r="BA126" i="2"/>
  <c r="BA127" i="2"/>
  <c r="BA128" i="2"/>
  <c r="BA129" i="2"/>
  <c r="BA130" i="2"/>
  <c r="BA131" i="2"/>
  <c r="BA132" i="2"/>
  <c r="BA133" i="2"/>
  <c r="BA134" i="2"/>
  <c r="BA135" i="2"/>
  <c r="BA136" i="2"/>
  <c r="BA137" i="2"/>
  <c r="BA138" i="2"/>
  <c r="BA139" i="2"/>
  <c r="BA140" i="2"/>
  <c r="BA141" i="2"/>
  <c r="BA142" i="2"/>
  <c r="BA143" i="2"/>
  <c r="BA144" i="2"/>
  <c r="BA145" i="2"/>
  <c r="BA146" i="2"/>
  <c r="BA147" i="2"/>
  <c r="BA148" i="2"/>
  <c r="BA149" i="2"/>
  <c r="BA150" i="2"/>
  <c r="BA151" i="2"/>
  <c r="BA152" i="2"/>
  <c r="BA153" i="2"/>
  <c r="BA154" i="2"/>
  <c r="BA155" i="2"/>
  <c r="BA156" i="2"/>
  <c r="BA157" i="2"/>
  <c r="BA158" i="2"/>
  <c r="BA159" i="2"/>
  <c r="BA160" i="2"/>
  <c r="BA161" i="2"/>
  <c r="BA162" i="2"/>
  <c r="BA163" i="2"/>
  <c r="BA164" i="2"/>
  <c r="BA165" i="2"/>
  <c r="BA166" i="2"/>
  <c r="BA167" i="2"/>
  <c r="BA168" i="2"/>
  <c r="BA169" i="2"/>
  <c r="BA170" i="2"/>
  <c r="BA171" i="2"/>
  <c r="BA172" i="2"/>
  <c r="BA173" i="2"/>
  <c r="BA174" i="2"/>
  <c r="BA175" i="2"/>
  <c r="BA176" i="2"/>
  <c r="BA177" i="2"/>
  <c r="BA178" i="2"/>
  <c r="BA179" i="2"/>
  <c r="BA180" i="2"/>
  <c r="BA181" i="2"/>
  <c r="BA182" i="2"/>
  <c r="BA183" i="2"/>
  <c r="BA184" i="2"/>
  <c r="BA185" i="2"/>
  <c r="BA186" i="2"/>
  <c r="BA187" i="2"/>
  <c r="BA188" i="2"/>
  <c r="BA189" i="2"/>
  <c r="BA190" i="2"/>
  <c r="BA191" i="2"/>
  <c r="BA192" i="2"/>
  <c r="BA193" i="2"/>
  <c r="BA194" i="2"/>
  <c r="BA195" i="2"/>
  <c r="BA196" i="2"/>
  <c r="BA197" i="2"/>
  <c r="BA198" i="2"/>
  <c r="BA199" i="2"/>
  <c r="BA200" i="2"/>
  <c r="BA201" i="2"/>
  <c r="BA202" i="2"/>
  <c r="BA203" i="2"/>
  <c r="BA204" i="2"/>
  <c r="BA205" i="2"/>
  <c r="BA206" i="2"/>
  <c r="BA207" i="2"/>
  <c r="BA208" i="2"/>
  <c r="BA209" i="2"/>
  <c r="BA210" i="2"/>
  <c r="BA211" i="2"/>
  <c r="BA212" i="2"/>
  <c r="BA213" i="2"/>
  <c r="BA214" i="2"/>
  <c r="BA215" i="2"/>
  <c r="BA216" i="2"/>
  <c r="BA217" i="2"/>
  <c r="BA218" i="2"/>
  <c r="BA219" i="2"/>
  <c r="BA220" i="2"/>
  <c r="BA221" i="2"/>
  <c r="BA222" i="2"/>
  <c r="BA223" i="2"/>
  <c r="BA224" i="2"/>
  <c r="BA225" i="2"/>
  <c r="BA226" i="2"/>
  <c r="BA227" i="2"/>
  <c r="BA228" i="2"/>
  <c r="BA229" i="2"/>
  <c r="BA230" i="2"/>
  <c r="BA231" i="2"/>
  <c r="BA232" i="2"/>
  <c r="BA233" i="2"/>
  <c r="BA234" i="2"/>
  <c r="BA235" i="2"/>
  <c r="BA236" i="2"/>
  <c r="BA237" i="2"/>
  <c r="BA238" i="2"/>
  <c r="BA239" i="2"/>
  <c r="BA240" i="2"/>
  <c r="BA241" i="2"/>
  <c r="BA242" i="2"/>
  <c r="BA243" i="2"/>
  <c r="BA244" i="2"/>
  <c r="BA245" i="2"/>
  <c r="BA246" i="2"/>
  <c r="BA247" i="2"/>
  <c r="BA248" i="2"/>
  <c r="BA249" i="2"/>
  <c r="BA250" i="2"/>
  <c r="BA251" i="2"/>
  <c r="BA252" i="2"/>
  <c r="BA253" i="2"/>
  <c r="BA254" i="2"/>
  <c r="BA255" i="2"/>
  <c r="BA256" i="2"/>
  <c r="BA257" i="2"/>
  <c r="BA258" i="2"/>
  <c r="BA259" i="2"/>
  <c r="BA260" i="2"/>
  <c r="BA261" i="2"/>
  <c r="BA262" i="2"/>
  <c r="BA263" i="2"/>
  <c r="BA264" i="2"/>
  <c r="BA265" i="2"/>
  <c r="BA266" i="2"/>
  <c r="BA267" i="2"/>
  <c r="BA268" i="2"/>
  <c r="BA269" i="2"/>
  <c r="BA270" i="2"/>
  <c r="BA271" i="2"/>
  <c r="BA272" i="2"/>
  <c r="BA273" i="2"/>
  <c r="BA274" i="2"/>
  <c r="BA275" i="2"/>
  <c r="BA276" i="2"/>
  <c r="BA277" i="2"/>
  <c r="BA278" i="2"/>
  <c r="BA279" i="2"/>
  <c r="BA280" i="2"/>
  <c r="BA281" i="2"/>
  <c r="BA282" i="2"/>
  <c r="BA283" i="2"/>
  <c r="BA284" i="2"/>
  <c r="BA285" i="2"/>
  <c r="BA286" i="2"/>
  <c r="BA287" i="2"/>
  <c r="BA288" i="2"/>
  <c r="BA289" i="2"/>
  <c r="BA290" i="2"/>
  <c r="BA291" i="2"/>
  <c r="BA292" i="2"/>
  <c r="BA293" i="2"/>
  <c r="BA294" i="2"/>
  <c r="BA295" i="2"/>
  <c r="BA296" i="2"/>
  <c r="BA297" i="2"/>
  <c r="BA298" i="2"/>
  <c r="BA299" i="2"/>
  <c r="BA300" i="2"/>
  <c r="BA301" i="2"/>
  <c r="BA302" i="2"/>
  <c r="BA303" i="2"/>
  <c r="BA304" i="2"/>
  <c r="BA305" i="2"/>
  <c r="BA306" i="2"/>
  <c r="BA307" i="2"/>
  <c r="BA308" i="2"/>
  <c r="BA309" i="2"/>
  <c r="BA310" i="2"/>
  <c r="BA311" i="2"/>
  <c r="BA312" i="2"/>
  <c r="BA313" i="2"/>
  <c r="BA314" i="2"/>
  <c r="BA315" i="2"/>
  <c r="BA316" i="2"/>
  <c r="BA317" i="2"/>
  <c r="BA318" i="2"/>
  <c r="BA319" i="2"/>
  <c r="BA320" i="2"/>
  <c r="BA321" i="2"/>
  <c r="BA322" i="2"/>
  <c r="BA323" i="2"/>
  <c r="BA324" i="2"/>
  <c r="BA325" i="2"/>
  <c r="BA326" i="2"/>
  <c r="BA327" i="2"/>
  <c r="BA328" i="2"/>
  <c r="BA329" i="2"/>
  <c r="BA330" i="2"/>
  <c r="BA331" i="2"/>
  <c r="BA332" i="2"/>
  <c r="BA333" i="2"/>
  <c r="BA334" i="2"/>
  <c r="BA335" i="2"/>
  <c r="BA336" i="2"/>
  <c r="BA337" i="2"/>
  <c r="BA338" i="2"/>
  <c r="BA339" i="2"/>
  <c r="BA340" i="2"/>
  <c r="BA341" i="2"/>
  <c r="BA342" i="2"/>
  <c r="BA343" i="2"/>
  <c r="BA344" i="2"/>
  <c r="BA345" i="2"/>
  <c r="BA346" i="2"/>
  <c r="BA347" i="2"/>
  <c r="BA348" i="2"/>
  <c r="BA349" i="2"/>
  <c r="BA350" i="2"/>
  <c r="BA351" i="2"/>
  <c r="BA352" i="2"/>
  <c r="BA353" i="2"/>
  <c r="BA354" i="2"/>
  <c r="BA355" i="2"/>
  <c r="BA356" i="2"/>
  <c r="BA357" i="2"/>
  <c r="BA358" i="2"/>
  <c r="BA359" i="2"/>
  <c r="BA360" i="2"/>
  <c r="BA361" i="2"/>
  <c r="BA362" i="2"/>
  <c r="BA363" i="2"/>
  <c r="BA364" i="2"/>
  <c r="BA365" i="2"/>
  <c r="BA366" i="2"/>
  <c r="BA367" i="2"/>
  <c r="BA368" i="2"/>
  <c r="BA369" i="2"/>
  <c r="BA370" i="2"/>
  <c r="BA371" i="2"/>
  <c r="BA372" i="2"/>
  <c r="BA373" i="2"/>
  <c r="BA374" i="2"/>
  <c r="BA375" i="2"/>
  <c r="BA376" i="2"/>
  <c r="BA377" i="2"/>
  <c r="BA378" i="2"/>
  <c r="BA379" i="2"/>
  <c r="BA380" i="2"/>
  <c r="BA381" i="2"/>
  <c r="BA382" i="2"/>
  <c r="BA383" i="2"/>
  <c r="BA384" i="2"/>
  <c r="BA385" i="2"/>
  <c r="BA386" i="2"/>
  <c r="BA387" i="2"/>
  <c r="BA388" i="2"/>
  <c r="BA389" i="2"/>
  <c r="BA390" i="2"/>
  <c r="BA391" i="2"/>
  <c r="BA392" i="2"/>
  <c r="BA393" i="2"/>
  <c r="BA394" i="2"/>
  <c r="BA395" i="2"/>
  <c r="BA396" i="2"/>
  <c r="BA397" i="2"/>
  <c r="BA398" i="2"/>
  <c r="BA399" i="2"/>
  <c r="BA400" i="2"/>
  <c r="BA401" i="2"/>
  <c r="BA402" i="2"/>
  <c r="BA403" i="2"/>
  <c r="BA404" i="2"/>
  <c r="BA405" i="2"/>
  <c r="BA406" i="2"/>
  <c r="BA407" i="2"/>
  <c r="BA408" i="2"/>
  <c r="BA409" i="2"/>
  <c r="BA410" i="2"/>
  <c r="BA411" i="2"/>
  <c r="BA412" i="2"/>
  <c r="BA413" i="2"/>
  <c r="BA414" i="2"/>
  <c r="BA415" i="2"/>
  <c r="BA416" i="2"/>
  <c r="BA417" i="2"/>
  <c r="BA418" i="2"/>
  <c r="BA419" i="2"/>
  <c r="BA420" i="2"/>
  <c r="BA421" i="2"/>
  <c r="BA422" i="2"/>
  <c r="BA423" i="2"/>
  <c r="BA424" i="2"/>
  <c r="BA425" i="2"/>
  <c r="BA426" i="2"/>
  <c r="BA427" i="2"/>
  <c r="BA428" i="2"/>
  <c r="BA429" i="2"/>
  <c r="BA430" i="2"/>
  <c r="BA431" i="2"/>
  <c r="BA432" i="2"/>
  <c r="BA433" i="2"/>
  <c r="BA434" i="2"/>
  <c r="BA435" i="2"/>
  <c r="BA436" i="2"/>
  <c r="BA437" i="2"/>
  <c r="BA438" i="2"/>
  <c r="BA439" i="2"/>
  <c r="BA440" i="2"/>
  <c r="BA441" i="2"/>
  <c r="BA442" i="2"/>
  <c r="BA443" i="2"/>
  <c r="BA444" i="2"/>
  <c r="BA445" i="2"/>
  <c r="BA446" i="2"/>
  <c r="BA447" i="2"/>
  <c r="BA448" i="2"/>
  <c r="BA449" i="2"/>
  <c r="BA450" i="2"/>
  <c r="BA451" i="2"/>
  <c r="BA452" i="2"/>
  <c r="BA453" i="2"/>
  <c r="BA454" i="2"/>
  <c r="BA455" i="2"/>
  <c r="BA456" i="2"/>
  <c r="BA457" i="2"/>
  <c r="BA458" i="2"/>
  <c r="BA459" i="2"/>
  <c r="BA460" i="2"/>
  <c r="BA461" i="2"/>
  <c r="BA462" i="2"/>
  <c r="BA463" i="2"/>
  <c r="BA464" i="2"/>
  <c r="BA465" i="2"/>
  <c r="BA466" i="2"/>
  <c r="BA467" i="2"/>
  <c r="BA468" i="2"/>
  <c r="BA469" i="2"/>
  <c r="BA470" i="2"/>
  <c r="BA471" i="2"/>
  <c r="BA472" i="2"/>
  <c r="BA473" i="2"/>
  <c r="BA474" i="2"/>
  <c r="BA475" i="2"/>
  <c r="BA476" i="2"/>
  <c r="BA477" i="2"/>
  <c r="BA478" i="2"/>
  <c r="BA479" i="2"/>
  <c r="BA480" i="2"/>
  <c r="BA481" i="2"/>
  <c r="BA482" i="2"/>
  <c r="BA483" i="2"/>
  <c r="BA484" i="2"/>
  <c r="BA485" i="2"/>
  <c r="BA486" i="2"/>
  <c r="BA487" i="2"/>
  <c r="BA488" i="2"/>
  <c r="BA489" i="2"/>
  <c r="BA490" i="2"/>
  <c r="BA491" i="2"/>
  <c r="BA492" i="2"/>
  <c r="BA493" i="2"/>
  <c r="BA494" i="2"/>
  <c r="BA495" i="2"/>
  <c r="BA496" i="2"/>
  <c r="BA497" i="2"/>
  <c r="BA498" i="2"/>
  <c r="BA499" i="2"/>
  <c r="BA500" i="2"/>
  <c r="BA501" i="2"/>
  <c r="BA502" i="2"/>
  <c r="BA503" i="2"/>
  <c r="BA504" i="2"/>
  <c r="BA505" i="2"/>
  <c r="BA506" i="2"/>
  <c r="BA507" i="2"/>
  <c r="BA508" i="2"/>
  <c r="BA509" i="2"/>
  <c r="BA510" i="2"/>
  <c r="BA511" i="2"/>
  <c r="BA512" i="2"/>
  <c r="BA513" i="2"/>
  <c r="BA514" i="2"/>
  <c r="BA515" i="2"/>
  <c r="BA516" i="2"/>
  <c r="BA517" i="2"/>
  <c r="BA518" i="2"/>
  <c r="BA519" i="2"/>
  <c r="BA520" i="2"/>
  <c r="BA521" i="2"/>
  <c r="BA522" i="2"/>
  <c r="BA523" i="2"/>
  <c r="BA524" i="2"/>
  <c r="BA525" i="2"/>
  <c r="BA526" i="2"/>
  <c r="BA527" i="2"/>
  <c r="BA528" i="2"/>
  <c r="BA529" i="2"/>
  <c r="BA530" i="2"/>
  <c r="BA531" i="2"/>
  <c r="BA532" i="2"/>
  <c r="BA533" i="2"/>
  <c r="BA534" i="2"/>
  <c r="BA535" i="2"/>
  <c r="BA536" i="2"/>
  <c r="BA537" i="2"/>
  <c r="BA538" i="2"/>
  <c r="BA539" i="2"/>
  <c r="BA540" i="2"/>
  <c r="BA541" i="2"/>
  <c r="BA542" i="2"/>
  <c r="BA543" i="2"/>
  <c r="BA544" i="2"/>
  <c r="BA545" i="2"/>
  <c r="BA546" i="2"/>
  <c r="BA547" i="2"/>
  <c r="BA548" i="2"/>
  <c r="BA549" i="2"/>
  <c r="BA550" i="2"/>
  <c r="BA551" i="2"/>
  <c r="BA552" i="2"/>
  <c r="BA553" i="2"/>
  <c r="BA554" i="2"/>
  <c r="BA555" i="2"/>
  <c r="BA556" i="2"/>
  <c r="BA557" i="2"/>
  <c r="BA558" i="2"/>
  <c r="BA559" i="2"/>
  <c r="BA560" i="2"/>
  <c r="BA561" i="2"/>
  <c r="BA562" i="2"/>
  <c r="BA563" i="2"/>
  <c r="BA564" i="2"/>
  <c r="BA565" i="2"/>
  <c r="BA566" i="2"/>
  <c r="BA567" i="2"/>
  <c r="BA568" i="2"/>
  <c r="BA569" i="2"/>
  <c r="BA570" i="2"/>
  <c r="BA571" i="2"/>
  <c r="BA572" i="2"/>
  <c r="BA573" i="2"/>
  <c r="BA574" i="2"/>
  <c r="BA575" i="2"/>
  <c r="BA576" i="2"/>
  <c r="BA577" i="2"/>
  <c r="BA578" i="2"/>
  <c r="BA579" i="2"/>
  <c r="BA580" i="2"/>
  <c r="BA581" i="2"/>
  <c r="BA582" i="2"/>
  <c r="BA583" i="2"/>
  <c r="BA584" i="2"/>
  <c r="BA585" i="2"/>
  <c r="BA586" i="2"/>
  <c r="BA587" i="2"/>
  <c r="BA588" i="2"/>
  <c r="BA589" i="2"/>
  <c r="BA590" i="2"/>
  <c r="BA591" i="2"/>
  <c r="BA592" i="2"/>
  <c r="BA593" i="2"/>
  <c r="BA594" i="2"/>
  <c r="BA595" i="2"/>
  <c r="BA596" i="2"/>
  <c r="BA597" i="2"/>
  <c r="BA598" i="2"/>
  <c r="BA599" i="2"/>
  <c r="BA600" i="2"/>
  <c r="BA601" i="2"/>
  <c r="BA602" i="2"/>
  <c r="BA603" i="2"/>
  <c r="BA604" i="2"/>
  <c r="BA605" i="2"/>
  <c r="BA606" i="2"/>
  <c r="BA607" i="2"/>
  <c r="BA608" i="2"/>
  <c r="BA609" i="2"/>
  <c r="BA610" i="2"/>
  <c r="BA611" i="2"/>
  <c r="BA612" i="2"/>
  <c r="BA613" i="2"/>
  <c r="BA614" i="2"/>
  <c r="BA615" i="2"/>
  <c r="BA616" i="2"/>
  <c r="BA617" i="2"/>
  <c r="BA618" i="2"/>
  <c r="BA619" i="2"/>
  <c r="BA620" i="2"/>
  <c r="BA621" i="2"/>
  <c r="BA622" i="2"/>
  <c r="BA623" i="2"/>
  <c r="BA624" i="2"/>
  <c r="BA625" i="2"/>
  <c r="BA626" i="2"/>
  <c r="BA627" i="2"/>
  <c r="BA628" i="2"/>
  <c r="BA629" i="2"/>
  <c r="BA630" i="2"/>
  <c r="BA631" i="2"/>
  <c r="BA632" i="2"/>
  <c r="BA633" i="2"/>
  <c r="BA634" i="2"/>
  <c r="BA635" i="2"/>
  <c r="BA636" i="2"/>
  <c r="BA637" i="2"/>
  <c r="BA638" i="2"/>
  <c r="BA639" i="2"/>
  <c r="BA640" i="2"/>
  <c r="BA641" i="2"/>
  <c r="BA642" i="2"/>
  <c r="BA643" i="2"/>
  <c r="BA644" i="2"/>
  <c r="BA645" i="2"/>
  <c r="BA646" i="2"/>
  <c r="BA647" i="2"/>
  <c r="BA648" i="2"/>
  <c r="BA649" i="2"/>
  <c r="BA650" i="2"/>
  <c r="BA651" i="2"/>
  <c r="BA652" i="2"/>
  <c r="BA653" i="2"/>
  <c r="BA654" i="2"/>
  <c r="BA655" i="2"/>
  <c r="BA656" i="2"/>
  <c r="BA657" i="2"/>
  <c r="BA658" i="2"/>
  <c r="BA659" i="2"/>
  <c r="BA660" i="2"/>
  <c r="BA661" i="2"/>
  <c r="BA662" i="2"/>
  <c r="BA663" i="2"/>
  <c r="BA664" i="2"/>
  <c r="BA665" i="2"/>
  <c r="BA666" i="2"/>
  <c r="BA667" i="2"/>
  <c r="BA668" i="2"/>
  <c r="BA669" i="2"/>
  <c r="BA670" i="2"/>
  <c r="BA671" i="2"/>
  <c r="BA672" i="2"/>
  <c r="BA673" i="2"/>
  <c r="BA674" i="2"/>
  <c r="BA675" i="2"/>
  <c r="BA676" i="2"/>
  <c r="BA677" i="2"/>
  <c r="BA678" i="2"/>
  <c r="BA679" i="2"/>
  <c r="BA680" i="2"/>
  <c r="BA681" i="2"/>
  <c r="BA682" i="2"/>
  <c r="BA683" i="2"/>
  <c r="BA684" i="2"/>
  <c r="BA685" i="2"/>
  <c r="BA686" i="2"/>
  <c r="BA687" i="2"/>
  <c r="BA688" i="2"/>
  <c r="BA689" i="2"/>
  <c r="BA690" i="2"/>
  <c r="BA691" i="2"/>
  <c r="BA692" i="2"/>
  <c r="BA693" i="2"/>
  <c r="BA694" i="2"/>
  <c r="BA695" i="2"/>
  <c r="BA696" i="2"/>
  <c r="BA697" i="2"/>
  <c r="BA698" i="2"/>
  <c r="BA699" i="2"/>
  <c r="BA700" i="2"/>
  <c r="BA701" i="2"/>
  <c r="BA702" i="2"/>
  <c r="BA703" i="2"/>
  <c r="BA704" i="2"/>
  <c r="BA705" i="2"/>
  <c r="BA706" i="2"/>
  <c r="BA707" i="2"/>
  <c r="BA708" i="2"/>
  <c r="BA709" i="2"/>
  <c r="BA710" i="2"/>
  <c r="BA711" i="2"/>
  <c r="BA712" i="2"/>
  <c r="BA713" i="2"/>
  <c r="BA714" i="2"/>
  <c r="BA715" i="2"/>
  <c r="BA716" i="2"/>
  <c r="BA717" i="2"/>
  <c r="BA718" i="2"/>
  <c r="BA719" i="2"/>
  <c r="BA720" i="2"/>
  <c r="BA721" i="2"/>
  <c r="BA722" i="2"/>
  <c r="BA723" i="2"/>
  <c r="BA724" i="2"/>
  <c r="BA725" i="2"/>
  <c r="BA726" i="2"/>
  <c r="BA727" i="2"/>
  <c r="BA728" i="2"/>
  <c r="BA729" i="2"/>
  <c r="BA730" i="2"/>
  <c r="BA731" i="2"/>
  <c r="BA732" i="2"/>
  <c r="BA733" i="2"/>
  <c r="BA734" i="2"/>
  <c r="BA735" i="2"/>
  <c r="BA736" i="2"/>
  <c r="BA737" i="2"/>
  <c r="BA738" i="2"/>
  <c r="BA739" i="2"/>
  <c r="BA740" i="2"/>
  <c r="BA741" i="2"/>
  <c r="BA742" i="2"/>
  <c r="BA743" i="2"/>
  <c r="BA744" i="2"/>
  <c r="BA745" i="2"/>
  <c r="BA746" i="2"/>
  <c r="BA747" i="2"/>
  <c r="BA748" i="2"/>
  <c r="BA749" i="2"/>
  <c r="BA750" i="2"/>
  <c r="BA751" i="2"/>
  <c r="BA752" i="2"/>
  <c r="BA753" i="2"/>
  <c r="BA754" i="2"/>
  <c r="BA755" i="2"/>
  <c r="BA756" i="2"/>
  <c r="BA757" i="2"/>
  <c r="BA758" i="2"/>
  <c r="BA759" i="2"/>
  <c r="BA760" i="2"/>
  <c r="BA761" i="2"/>
  <c r="BA762" i="2"/>
  <c r="BA763" i="2"/>
  <c r="BA764" i="2"/>
  <c r="BA765" i="2"/>
  <c r="BA766" i="2"/>
  <c r="BA767" i="2"/>
  <c r="BA768" i="2"/>
  <c r="BA769" i="2"/>
  <c r="BA770" i="2"/>
  <c r="BA771" i="2"/>
  <c r="BA772" i="2"/>
  <c r="BA773" i="2"/>
  <c r="BA774" i="2"/>
  <c r="BA775" i="2"/>
  <c r="BA776" i="2"/>
  <c r="BA777" i="2"/>
  <c r="BA778" i="2"/>
  <c r="BA779" i="2"/>
  <c r="BA780" i="2"/>
  <c r="BA781" i="2"/>
  <c r="BA782" i="2"/>
  <c r="BA783" i="2"/>
  <c r="BA784" i="2"/>
  <c r="BA785" i="2"/>
  <c r="BA786" i="2"/>
  <c r="BA787" i="2"/>
  <c r="BA788" i="2"/>
  <c r="BA789" i="2"/>
  <c r="BA790" i="2"/>
  <c r="BA791" i="2"/>
  <c r="BA792" i="2"/>
  <c r="BA793" i="2"/>
  <c r="BA794" i="2"/>
  <c r="BA795" i="2"/>
  <c r="BA796" i="2"/>
  <c r="BA797" i="2"/>
  <c r="BA798" i="2"/>
  <c r="BA799" i="2"/>
  <c r="BA800" i="2"/>
  <c r="BA801" i="2"/>
  <c r="BA802" i="2"/>
  <c r="BA803" i="2"/>
  <c r="BA804" i="2"/>
  <c r="BA805" i="2"/>
  <c r="BA806" i="2"/>
  <c r="BA807" i="2"/>
  <c r="BA808" i="2"/>
  <c r="BA809" i="2"/>
  <c r="BA810" i="2"/>
  <c r="BA811" i="2"/>
  <c r="BA812" i="2"/>
  <c r="BA813" i="2"/>
  <c r="BA814" i="2"/>
  <c r="BA815" i="2"/>
  <c r="BA816" i="2"/>
  <c r="BA817" i="2"/>
  <c r="BA818" i="2"/>
  <c r="BA819" i="2"/>
  <c r="BA820" i="2"/>
  <c r="BA821" i="2"/>
  <c r="BA822" i="2"/>
  <c r="BA823" i="2"/>
  <c r="BA824" i="2"/>
  <c r="BA825" i="2"/>
  <c r="BA826" i="2"/>
  <c r="BA827" i="2"/>
  <c r="BA828" i="2"/>
  <c r="BA829" i="2"/>
  <c r="BA830" i="2"/>
  <c r="BA831" i="2"/>
  <c r="BA832" i="2"/>
  <c r="BA833" i="2"/>
  <c r="BA834" i="2"/>
  <c r="BA835" i="2"/>
  <c r="BA836" i="2"/>
  <c r="BA837" i="2"/>
  <c r="BA838" i="2"/>
  <c r="BA839" i="2"/>
  <c r="BA840" i="2"/>
  <c r="BA841" i="2"/>
  <c r="BA842" i="2"/>
  <c r="BA843" i="2"/>
  <c r="BA844" i="2"/>
  <c r="BA845" i="2"/>
  <c r="BA846" i="2"/>
  <c r="BA847" i="2"/>
  <c r="BA848" i="2"/>
  <c r="BA849" i="2"/>
  <c r="BA850" i="2"/>
  <c r="BA851" i="2"/>
  <c r="BA852" i="2"/>
  <c r="BA853" i="2"/>
  <c r="BA854" i="2"/>
  <c r="BA855" i="2"/>
  <c r="BA856" i="2"/>
  <c r="BA857" i="2"/>
  <c r="BA858" i="2"/>
  <c r="BA859" i="2"/>
  <c r="BA860" i="2"/>
  <c r="BA861" i="2"/>
  <c r="BA862" i="2"/>
  <c r="BA863" i="2"/>
  <c r="BA864" i="2"/>
  <c r="BA865" i="2"/>
  <c r="BA866" i="2"/>
  <c r="BA867" i="2"/>
  <c r="BA868" i="2"/>
  <c r="BA869" i="2"/>
  <c r="BA870" i="2"/>
  <c r="BA871" i="2"/>
  <c r="BA872" i="2"/>
  <c r="BA873" i="2"/>
  <c r="BA874" i="2"/>
  <c r="BA875" i="2"/>
  <c r="BA876" i="2"/>
  <c r="BA877" i="2"/>
  <c r="BA878" i="2"/>
  <c r="BA879" i="2"/>
  <c r="BA880" i="2"/>
  <c r="BA881" i="2"/>
  <c r="BA882" i="2"/>
  <c r="BA883" i="2"/>
  <c r="BA884" i="2"/>
  <c r="BA885" i="2"/>
  <c r="BA886" i="2"/>
  <c r="BA887" i="2"/>
  <c r="BA888" i="2"/>
  <c r="BA889" i="2"/>
  <c r="BA890" i="2"/>
  <c r="BA891" i="2"/>
  <c r="BA892" i="2"/>
  <c r="BA893" i="2"/>
  <c r="BA894" i="2"/>
  <c r="BA895" i="2"/>
  <c r="BA896" i="2"/>
  <c r="BA897" i="2"/>
  <c r="BA898" i="2"/>
  <c r="BA899" i="2"/>
  <c r="BA900" i="2"/>
  <c r="BA901" i="2"/>
  <c r="BA902" i="2"/>
  <c r="BA903" i="2"/>
  <c r="BA904" i="2"/>
  <c r="BA905" i="2"/>
  <c r="BA906" i="2"/>
  <c r="BA907" i="2"/>
  <c r="BA908" i="2"/>
  <c r="BA909" i="2"/>
  <c r="BA910" i="2"/>
  <c r="BA911" i="2"/>
  <c r="BA912" i="2"/>
  <c r="BA913" i="2"/>
  <c r="BA914" i="2"/>
  <c r="BA915" i="2"/>
  <c r="BA916" i="2"/>
  <c r="BA917" i="2"/>
  <c r="BA918" i="2"/>
  <c r="BA919" i="2"/>
  <c r="BA920" i="2"/>
  <c r="BA921" i="2"/>
  <c r="BA922" i="2"/>
  <c r="BA923" i="2"/>
  <c r="BA924" i="2"/>
  <c r="BA925" i="2"/>
  <c r="BA926" i="2"/>
  <c r="BA927" i="2"/>
  <c r="BA928" i="2"/>
  <c r="BA929" i="2"/>
  <c r="BA930" i="2"/>
  <c r="BA931" i="2"/>
  <c r="BA932" i="2"/>
  <c r="BA933" i="2"/>
  <c r="BA934" i="2"/>
  <c r="BA935" i="2"/>
  <c r="BA936" i="2"/>
  <c r="BA937" i="2"/>
  <c r="BA938" i="2"/>
  <c r="BA939" i="2"/>
  <c r="BA940" i="2"/>
  <c r="BA941" i="2"/>
  <c r="BA942" i="2"/>
  <c r="BA943" i="2"/>
  <c r="BA944" i="2"/>
  <c r="BA945" i="2"/>
  <c r="BA946" i="2"/>
  <c r="BA947" i="2"/>
  <c r="BA948" i="2"/>
  <c r="BA949" i="2"/>
  <c r="BA950" i="2"/>
  <c r="BA951" i="2"/>
  <c r="BA952" i="2"/>
  <c r="BA953" i="2"/>
  <c r="BA954" i="2"/>
  <c r="BA955" i="2"/>
  <c r="BA956" i="2"/>
  <c r="BA957" i="2"/>
  <c r="BA958" i="2"/>
  <c r="BA959" i="2"/>
  <c r="BA960" i="2"/>
  <c r="BA961" i="2"/>
  <c r="BA962" i="2"/>
  <c r="BA963" i="2"/>
  <c r="BA964" i="2"/>
  <c r="BA965" i="2"/>
  <c r="BA966" i="2"/>
  <c r="BA967" i="2"/>
  <c r="BA968" i="2"/>
  <c r="BA969" i="2"/>
  <c r="BA970" i="2"/>
  <c r="BA971" i="2"/>
  <c r="BA972" i="2"/>
  <c r="BA973" i="2"/>
  <c r="BA974" i="2"/>
  <c r="BA975" i="2"/>
  <c r="BA976" i="2"/>
  <c r="BA977" i="2"/>
  <c r="BA978" i="2"/>
  <c r="BA979" i="2"/>
  <c r="BA980" i="2"/>
  <c r="BA981" i="2"/>
  <c r="BA982" i="2"/>
  <c r="BA983" i="2"/>
  <c r="BA984" i="2"/>
  <c r="BA985" i="2"/>
  <c r="BA986" i="2"/>
  <c r="BA987" i="2"/>
  <c r="BA988" i="2"/>
  <c r="BA989" i="2"/>
  <c r="BA990" i="2"/>
  <c r="BA991" i="2"/>
  <c r="BA992" i="2"/>
  <c r="BA993" i="2"/>
  <c r="BA994" i="2"/>
  <c r="BA995" i="2"/>
  <c r="BA996" i="2"/>
  <c r="BA997" i="2"/>
  <c r="BA998" i="2"/>
  <c r="BA999" i="2"/>
  <c r="BA1000" i="2"/>
  <c r="BA1001" i="2"/>
  <c r="BA1002" i="2"/>
  <c r="BA1003" i="2"/>
  <c r="BA1004" i="2"/>
  <c r="BA1005" i="2"/>
  <c r="BA1006" i="2"/>
  <c r="BA1007" i="2"/>
  <c r="BA1008" i="2"/>
  <c r="BA1009" i="2"/>
  <c r="BA1010" i="2"/>
  <c r="BA1011" i="2"/>
  <c r="BA1012" i="2"/>
  <c r="BA1013" i="2"/>
  <c r="BA1014" i="2"/>
  <c r="BA1015" i="2"/>
  <c r="BA1016" i="2"/>
  <c r="BA1017" i="2"/>
  <c r="BA1018" i="2"/>
  <c r="BA1019" i="2"/>
  <c r="BA1020" i="2"/>
  <c r="BA1021" i="2"/>
  <c r="BA1022" i="2"/>
  <c r="BA1023" i="2"/>
  <c r="BA1024" i="2"/>
  <c r="BA1025" i="2"/>
  <c r="BA1026" i="2"/>
  <c r="BA1027" i="2"/>
  <c r="BA1028" i="2"/>
  <c r="BA1029" i="2"/>
  <c r="BA1030" i="2"/>
  <c r="BA1031" i="2"/>
  <c r="BA1032" i="2"/>
  <c r="BA1033" i="2"/>
  <c r="BA1034" i="2"/>
  <c r="BA1035" i="2"/>
  <c r="BA1036" i="2"/>
  <c r="BA1037" i="2"/>
  <c r="BA1038" i="2"/>
  <c r="BA1039" i="2"/>
  <c r="BA1040" i="2"/>
  <c r="BA1041" i="2"/>
  <c r="BA1042" i="2"/>
  <c r="BA1043" i="2"/>
  <c r="BA1044" i="2"/>
  <c r="BA1045" i="2"/>
  <c r="BA1046" i="2"/>
  <c r="BA1047" i="2"/>
  <c r="BA1048" i="2"/>
  <c r="BA1049" i="2"/>
  <c r="BA1050" i="2"/>
  <c r="BA1051" i="2"/>
  <c r="BA1052" i="2"/>
  <c r="BA1053" i="2"/>
  <c r="BA1054" i="2"/>
  <c r="BA1055" i="2"/>
  <c r="BA1056" i="2"/>
  <c r="BA1057" i="2"/>
  <c r="BA1058" i="2"/>
  <c r="BA1059" i="2"/>
  <c r="BA1060" i="2"/>
  <c r="BA1061" i="2"/>
  <c r="BA1062" i="2"/>
  <c r="BA1063" i="2"/>
  <c r="BA1064" i="2"/>
  <c r="BA1065" i="2"/>
  <c r="BA1066" i="2"/>
  <c r="BA1067" i="2"/>
  <c r="BA1068" i="2"/>
  <c r="BA1069" i="2"/>
  <c r="BA1070" i="2"/>
  <c r="BA1071" i="2"/>
  <c r="BA1072" i="2"/>
  <c r="BA1073" i="2"/>
  <c r="BA1074" i="2"/>
  <c r="BA1075" i="2"/>
  <c r="BA1076" i="2"/>
  <c r="BA1077" i="2"/>
  <c r="BA1078" i="2"/>
  <c r="BA1079" i="2"/>
  <c r="BA1080" i="2"/>
  <c r="BA1081" i="2"/>
  <c r="BA1082" i="2"/>
  <c r="BA1083" i="2"/>
  <c r="BA1084" i="2"/>
  <c r="BA1085" i="2"/>
  <c r="BA1086" i="2"/>
  <c r="BA1087" i="2"/>
  <c r="BA1088" i="2"/>
  <c r="BA1089" i="2"/>
  <c r="BA1090" i="2"/>
  <c r="BA1091" i="2"/>
  <c r="BA1092" i="2"/>
  <c r="BA1093" i="2"/>
  <c r="BA1094" i="2"/>
  <c r="BA1095" i="2"/>
  <c r="BA1096" i="2"/>
  <c r="BA1097" i="2"/>
  <c r="BA1098" i="2"/>
  <c r="BA1099" i="2"/>
  <c r="BA1100" i="2"/>
  <c r="BA1101" i="2"/>
  <c r="BA1102" i="2"/>
  <c r="BA1103" i="2"/>
  <c r="BA1104" i="2"/>
  <c r="BA1105" i="2"/>
  <c r="BA1106" i="2"/>
  <c r="BA1107" i="2"/>
  <c r="BA1108" i="2"/>
  <c r="BA1109" i="2"/>
  <c r="BA1110" i="2"/>
  <c r="BA1111" i="2"/>
  <c r="BA1112" i="2"/>
  <c r="BA1113" i="2"/>
  <c r="BA1114" i="2"/>
  <c r="BA1115" i="2"/>
  <c r="BA1116" i="2"/>
  <c r="BA1117" i="2"/>
  <c r="BA1118" i="2"/>
  <c r="BA1119" i="2"/>
  <c r="BA1120" i="2"/>
  <c r="BA1121" i="2"/>
  <c r="BA1122" i="2"/>
  <c r="BA1123" i="2"/>
  <c r="BA1124" i="2"/>
  <c r="BA1125" i="2"/>
  <c r="BA1126" i="2"/>
  <c r="BA1127" i="2"/>
  <c r="BA1128" i="2"/>
  <c r="BA1129" i="2"/>
  <c r="BA1130" i="2"/>
  <c r="BA1131" i="2"/>
  <c r="BA1132" i="2"/>
  <c r="BA1133" i="2"/>
  <c r="BA1134" i="2"/>
  <c r="BA1135" i="2"/>
  <c r="BA1136" i="2"/>
  <c r="BA1137" i="2"/>
  <c r="BA1138" i="2"/>
  <c r="BA1139" i="2"/>
  <c r="BA1140" i="2"/>
  <c r="BA1141" i="2"/>
  <c r="BA1142" i="2"/>
  <c r="BA1143" i="2"/>
  <c r="BA1144" i="2"/>
  <c r="BA1145" i="2"/>
  <c r="BA1146" i="2"/>
  <c r="BA1147" i="2"/>
  <c r="BA1148" i="2"/>
  <c r="BA1149" i="2"/>
  <c r="BA1150" i="2"/>
  <c r="BA1151" i="2"/>
  <c r="BA1152" i="2"/>
  <c r="BA1153" i="2"/>
  <c r="BA1154" i="2"/>
  <c r="BA1155" i="2"/>
  <c r="BA1156" i="2"/>
  <c r="BA1157" i="2"/>
  <c r="BA1158" i="2"/>
  <c r="BA1159" i="2"/>
  <c r="BA1160" i="2"/>
  <c r="BA1161" i="2"/>
  <c r="BA1162" i="2"/>
  <c r="BA1163" i="2"/>
  <c r="BA1164" i="2"/>
  <c r="BA1165" i="2"/>
  <c r="BA1166" i="2"/>
  <c r="BA1167" i="2"/>
  <c r="BA1168" i="2"/>
  <c r="BA1169" i="2"/>
  <c r="BA1170" i="2"/>
  <c r="BA1171" i="2"/>
  <c r="BA1172" i="2"/>
  <c r="BA1173" i="2"/>
  <c r="BA1174" i="2"/>
  <c r="BA1175" i="2"/>
  <c r="BA1176" i="2"/>
  <c r="BA1177" i="2"/>
  <c r="BA1178" i="2"/>
  <c r="BA1179" i="2"/>
  <c r="BA1180" i="2"/>
  <c r="BA1181" i="2"/>
  <c r="BA1182" i="2"/>
  <c r="BA1183" i="2"/>
  <c r="BA1184" i="2"/>
  <c r="BA1185" i="2"/>
  <c r="BA1186" i="2"/>
  <c r="BA1187" i="2"/>
  <c r="BA1188" i="2"/>
  <c r="BA1189" i="2"/>
  <c r="BA1190" i="2"/>
  <c r="BA1191" i="2"/>
  <c r="BA1192" i="2"/>
  <c r="BA1193" i="2"/>
  <c r="BA1194" i="2"/>
  <c r="BA1195" i="2"/>
  <c r="BA1196" i="2"/>
  <c r="BA1197" i="2"/>
  <c r="BA1198" i="2"/>
  <c r="BA1199" i="2"/>
  <c r="BA1200" i="2"/>
  <c r="BA1201" i="2"/>
  <c r="BA1202" i="2"/>
  <c r="BA1203" i="2"/>
  <c r="BA1204" i="2"/>
  <c r="BA1205" i="2"/>
  <c r="BA1206" i="2"/>
  <c r="BA1207" i="2"/>
  <c r="BA1208" i="2"/>
  <c r="BA1209" i="2"/>
  <c r="BA1210" i="2"/>
  <c r="BA1211" i="2"/>
  <c r="BA1212" i="2"/>
  <c r="BA1213" i="2"/>
  <c r="BA1214" i="2"/>
  <c r="BA1215" i="2"/>
  <c r="BA1216" i="2"/>
  <c r="BA1217" i="2"/>
  <c r="BA1218" i="2"/>
  <c r="BA1219" i="2"/>
  <c r="BA1220" i="2"/>
  <c r="BA1221" i="2"/>
  <c r="BA1222" i="2"/>
  <c r="BA1223" i="2"/>
  <c r="BA1224" i="2"/>
  <c r="BA1225" i="2"/>
  <c r="BA1226" i="2"/>
  <c r="BA1227" i="2"/>
  <c r="BA1228" i="2"/>
  <c r="BA1229" i="2"/>
  <c r="BA1230" i="2"/>
  <c r="BA1231" i="2"/>
  <c r="BA1232" i="2"/>
  <c r="BA1233" i="2"/>
  <c r="BA1234" i="2"/>
  <c r="BA1235" i="2"/>
  <c r="BA1236" i="2"/>
  <c r="BA1237" i="2"/>
  <c r="BA1238" i="2"/>
  <c r="BA1239" i="2"/>
  <c r="BA1240" i="2"/>
  <c r="BA1241" i="2"/>
  <c r="BA1242" i="2"/>
  <c r="BA1243" i="2"/>
  <c r="BA1244" i="2"/>
  <c r="BA1245" i="2"/>
  <c r="BA1246" i="2"/>
  <c r="BA1247" i="2"/>
  <c r="BA1248" i="2"/>
  <c r="BA1249" i="2"/>
  <c r="BA1250" i="2"/>
  <c r="BA1251" i="2"/>
  <c r="BA1252" i="2"/>
  <c r="BA1253" i="2"/>
  <c r="BA1254" i="2"/>
  <c r="BA1255" i="2"/>
  <c r="BA1256" i="2"/>
  <c r="BA1257" i="2"/>
  <c r="BA1258" i="2"/>
  <c r="BA1259" i="2"/>
  <c r="BA1260" i="2"/>
  <c r="BA1261" i="2"/>
  <c r="BA1262" i="2"/>
  <c r="BA1263" i="2"/>
  <c r="BA1264" i="2"/>
  <c r="BA1265" i="2"/>
  <c r="BA1266" i="2"/>
  <c r="BA1267" i="2"/>
  <c r="BA1268" i="2"/>
  <c r="BA1269" i="2"/>
  <c r="BA1270" i="2"/>
  <c r="BA1271" i="2"/>
  <c r="BA1272" i="2"/>
  <c r="BA1273" i="2"/>
  <c r="BA1274" i="2"/>
  <c r="BA1275" i="2"/>
  <c r="BA1276" i="2"/>
  <c r="BA1277" i="2"/>
  <c r="BA1278" i="2"/>
  <c r="BA1279" i="2"/>
  <c r="BA1280" i="2"/>
  <c r="BA1281" i="2"/>
  <c r="BA1282" i="2"/>
  <c r="BA1283" i="2"/>
  <c r="BA1284" i="2"/>
  <c r="BA1285" i="2"/>
  <c r="BA1286" i="2"/>
  <c r="BA1287" i="2"/>
  <c r="BA1288" i="2"/>
  <c r="BA1289" i="2"/>
  <c r="BA1290" i="2"/>
  <c r="BA1291" i="2"/>
  <c r="BA1292" i="2"/>
  <c r="BA1293" i="2"/>
  <c r="BA1294" i="2"/>
  <c r="BA1295" i="2"/>
  <c r="BA1296" i="2"/>
  <c r="BA1297" i="2"/>
  <c r="BA1298" i="2"/>
  <c r="BA1299" i="2"/>
  <c r="BA1300" i="2"/>
  <c r="BA1301" i="2"/>
  <c r="BA1302" i="2"/>
  <c r="BA1303" i="2"/>
  <c r="BA1304" i="2"/>
  <c r="BA1305" i="2"/>
  <c r="BA1306" i="2"/>
  <c r="BA1307" i="2"/>
  <c r="BA1308" i="2"/>
  <c r="BA1309" i="2"/>
  <c r="BA1310" i="2"/>
  <c r="BA1311" i="2"/>
  <c r="BA1312" i="2"/>
  <c r="BA1313" i="2"/>
  <c r="BA1314" i="2"/>
  <c r="BA1315" i="2"/>
  <c r="BA1316" i="2"/>
  <c r="BA1317" i="2"/>
  <c r="BA1318" i="2"/>
  <c r="BA1319" i="2"/>
  <c r="BA1320" i="2"/>
  <c r="BA1321" i="2"/>
  <c r="BA1322" i="2"/>
  <c r="BA1323" i="2"/>
  <c r="BA1324" i="2"/>
  <c r="BA1325" i="2"/>
  <c r="BA1326" i="2"/>
  <c r="BA1327" i="2"/>
  <c r="BA1328" i="2"/>
  <c r="BA1329" i="2"/>
  <c r="BA1330" i="2"/>
  <c r="BA1331" i="2"/>
  <c r="BA1332" i="2"/>
  <c r="BA1333" i="2"/>
  <c r="BA1334" i="2"/>
  <c r="BA1335" i="2"/>
  <c r="BA1336" i="2"/>
  <c r="BA1337" i="2"/>
  <c r="BA1338" i="2"/>
  <c r="BA1339" i="2"/>
  <c r="BA1340" i="2"/>
  <c r="BA1341" i="2"/>
  <c r="BA1342" i="2"/>
  <c r="BA1343" i="2"/>
  <c r="BA1344" i="2"/>
  <c r="BA1345" i="2"/>
  <c r="BA1346" i="2"/>
  <c r="BA1347" i="2"/>
  <c r="BA1348" i="2"/>
  <c r="BA1349" i="2"/>
  <c r="BA1350" i="2"/>
  <c r="BA1351" i="2"/>
  <c r="BA1352" i="2"/>
  <c r="BA1353" i="2"/>
  <c r="BA1354" i="2"/>
  <c r="BA1355" i="2"/>
  <c r="BA1356" i="2"/>
  <c r="BA1357" i="2"/>
  <c r="BA1358" i="2"/>
  <c r="BA1359" i="2"/>
  <c r="BA1360" i="2"/>
  <c r="BA1361" i="2"/>
  <c r="BA1362" i="2"/>
  <c r="BA1363" i="2"/>
  <c r="BA1364" i="2"/>
  <c r="BA1365" i="2"/>
  <c r="BA1366" i="2"/>
  <c r="BA1367" i="2"/>
  <c r="BA1368" i="2"/>
  <c r="BA1369" i="2"/>
  <c r="BA1370" i="2"/>
  <c r="BA1371" i="2"/>
  <c r="BA1372" i="2"/>
  <c r="BA1373" i="2"/>
  <c r="BA1374" i="2"/>
  <c r="BA1375" i="2"/>
  <c r="BA1376" i="2"/>
  <c r="BA1377" i="2"/>
  <c r="BA1378" i="2"/>
  <c r="BA1379" i="2"/>
  <c r="BA1380" i="2"/>
  <c r="BA1381" i="2"/>
  <c r="BA1382" i="2"/>
  <c r="BA1383" i="2"/>
  <c r="BA1384" i="2"/>
  <c r="BA1385" i="2"/>
  <c r="BA1386" i="2"/>
  <c r="BA1387" i="2"/>
  <c r="BA1388" i="2"/>
  <c r="BA1389" i="2"/>
  <c r="BA1390" i="2"/>
  <c r="BA1391" i="2"/>
  <c r="BA1392" i="2"/>
  <c r="BA1393" i="2"/>
  <c r="BA1394" i="2"/>
  <c r="BA1395" i="2"/>
  <c r="BA1396" i="2"/>
  <c r="BB3" i="2"/>
  <c r="BA3" i="2"/>
  <c r="AO139" i="2"/>
  <c r="AO143" i="2"/>
  <c r="AO138" i="2"/>
  <c r="AO137" i="2"/>
  <c r="AQ143" i="2"/>
  <c r="AP143" i="2"/>
  <c r="AQ138" i="2"/>
  <c r="AQ137" i="2"/>
  <c r="AP138" i="2"/>
  <c r="AP137" i="2"/>
  <c r="AO133" i="2"/>
  <c r="AQ133" i="2"/>
  <c r="AP133" i="2"/>
  <c r="AO129" i="2"/>
  <c r="AO128" i="2"/>
  <c r="AO127" i="2"/>
  <c r="AQ128" i="2"/>
  <c r="AP128" i="2"/>
  <c r="AQ127" i="2"/>
  <c r="AP129" i="2" s="1"/>
  <c r="AP127" i="2"/>
  <c r="AS139" i="2"/>
  <c r="AP139" i="2"/>
  <c r="AS129" i="2"/>
  <c r="AS94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5" i="2"/>
  <c r="AU96" i="2"/>
  <c r="AU97" i="2"/>
  <c r="AU98" i="2"/>
  <c r="AU99" i="2"/>
  <c r="AU3" i="2"/>
  <c r="AH139" i="2"/>
  <c r="AK129" i="2"/>
  <c r="AK139" i="2" s="1"/>
  <c r="AH129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3" i="2"/>
  <c r="BE37" i="2" l="1"/>
  <c r="AC129" i="2" l="1"/>
  <c r="AC139" i="2" s="1"/>
  <c r="R143" i="2"/>
  <c r="Q138" i="2"/>
  <c r="Q143" i="2" s="1"/>
  <c r="Q137" i="2"/>
  <c r="Q128" i="2"/>
  <c r="Q133" i="2" s="1"/>
  <c r="Q127" i="2"/>
  <c r="I137" i="2"/>
  <c r="I142" i="2" s="1"/>
  <c r="I136" i="2"/>
  <c r="I127" i="2"/>
  <c r="I132" i="2" s="1"/>
  <c r="I126" i="2"/>
  <c r="U129" i="2"/>
  <c r="U139" i="2" s="1"/>
  <c r="R133" i="2"/>
  <c r="J1" i="2"/>
  <c r="J137" i="2"/>
  <c r="J142" i="2" s="1"/>
  <c r="J136" i="2"/>
  <c r="J127" i="2"/>
  <c r="J132" i="2" s="1"/>
  <c r="J126" i="2"/>
  <c r="M128" i="2"/>
  <c r="M138" i="2" s="1"/>
  <c r="C136" i="2"/>
  <c r="C131" i="2"/>
  <c r="C130" i="2"/>
  <c r="B126" i="2"/>
  <c r="C120" i="2"/>
  <c r="E3" i="2" l="1"/>
  <c r="F3" i="2" s="1"/>
  <c r="G3" i="2" s="1"/>
  <c r="AS93" i="2" l="1"/>
  <c r="AT93" i="2" s="1"/>
  <c r="C121" i="2"/>
  <c r="C126" i="2" s="1"/>
  <c r="AS4" i="2" l="1"/>
  <c r="AT4" i="2" s="1"/>
  <c r="AS5" i="2"/>
  <c r="AS6" i="2"/>
  <c r="AT6" i="2" s="1"/>
  <c r="AS7" i="2"/>
  <c r="AT7" i="2" s="1"/>
  <c r="AS8" i="2"/>
  <c r="AS9" i="2"/>
  <c r="AT9" i="2" s="1"/>
  <c r="AS10" i="2"/>
  <c r="AT10" i="2" s="1"/>
  <c r="AS11" i="2"/>
  <c r="AS12" i="2"/>
  <c r="AT12" i="2" s="1"/>
  <c r="AS13" i="2"/>
  <c r="AT13" i="2" s="1"/>
  <c r="AS14" i="2"/>
  <c r="AS15" i="2"/>
  <c r="AT15" i="2" s="1"/>
  <c r="AS16" i="2"/>
  <c r="AT16" i="2" s="1"/>
  <c r="AS17" i="2"/>
  <c r="AT17" i="2" s="1"/>
  <c r="AS18" i="2"/>
  <c r="AT18" i="2" s="1"/>
  <c r="AS19" i="2"/>
  <c r="AT19" i="2" s="1"/>
  <c r="AS20" i="2"/>
  <c r="AS21" i="2"/>
  <c r="AT21" i="2" s="1"/>
  <c r="AS22" i="2"/>
  <c r="AT22" i="2" s="1"/>
  <c r="AS23" i="2"/>
  <c r="AS24" i="2"/>
  <c r="AT24" i="2" s="1"/>
  <c r="AS25" i="2"/>
  <c r="AT25" i="2" s="1"/>
  <c r="AS26" i="2"/>
  <c r="AS27" i="2"/>
  <c r="AT27" i="2" s="1"/>
  <c r="AS28" i="2"/>
  <c r="AT28" i="2" s="1"/>
  <c r="AS29" i="2"/>
  <c r="AS30" i="2"/>
  <c r="AT30" i="2" s="1"/>
  <c r="AS31" i="2"/>
  <c r="AT31" i="2" s="1"/>
  <c r="AS32" i="2"/>
  <c r="AS33" i="2"/>
  <c r="AT33" i="2" s="1"/>
  <c r="AS34" i="2"/>
  <c r="AT34" i="2" s="1"/>
  <c r="AS35" i="2"/>
  <c r="AT35" i="2" s="1"/>
  <c r="AS36" i="2"/>
  <c r="AT36" i="2" s="1"/>
  <c r="AS37" i="2"/>
  <c r="AT37" i="2" s="1"/>
  <c r="AS38" i="2"/>
  <c r="AS39" i="2"/>
  <c r="AT39" i="2" s="1"/>
  <c r="AS40" i="2"/>
  <c r="AT40" i="2" s="1"/>
  <c r="AS41" i="2"/>
  <c r="AS42" i="2"/>
  <c r="AT42" i="2" s="1"/>
  <c r="AS43" i="2"/>
  <c r="AT43" i="2" s="1"/>
  <c r="AS44" i="2"/>
  <c r="AS45" i="2"/>
  <c r="AT45" i="2" s="1"/>
  <c r="AS46" i="2"/>
  <c r="AT46" i="2" s="1"/>
  <c r="AS47" i="2"/>
  <c r="AS48" i="2"/>
  <c r="AT48" i="2" s="1"/>
  <c r="AS49" i="2"/>
  <c r="AT49" i="2" s="1"/>
  <c r="AS50" i="2"/>
  <c r="AS51" i="2"/>
  <c r="AT51" i="2" s="1"/>
  <c r="AS52" i="2"/>
  <c r="AT52" i="2" s="1"/>
  <c r="AS53" i="2"/>
  <c r="AT53" i="2" s="1"/>
  <c r="AS54" i="2"/>
  <c r="AT54" i="2" s="1"/>
  <c r="AS55" i="2"/>
  <c r="AT55" i="2" s="1"/>
  <c r="AS56" i="2"/>
  <c r="AS57" i="2"/>
  <c r="AT57" i="2" s="1"/>
  <c r="AS58" i="2"/>
  <c r="AT58" i="2" s="1"/>
  <c r="AS59" i="2"/>
  <c r="AS60" i="2"/>
  <c r="AT60" i="2" s="1"/>
  <c r="AS61" i="2"/>
  <c r="AT61" i="2" s="1"/>
  <c r="AS62" i="2"/>
  <c r="AS63" i="2"/>
  <c r="AT63" i="2" s="1"/>
  <c r="AS64" i="2"/>
  <c r="AT64" i="2" s="1"/>
  <c r="AS65" i="2"/>
  <c r="AS66" i="2"/>
  <c r="AT66" i="2" s="1"/>
  <c r="AS67" i="2"/>
  <c r="AT67" i="2" s="1"/>
  <c r="AS68" i="2"/>
  <c r="AS69" i="2"/>
  <c r="AT69" i="2" s="1"/>
  <c r="AS70" i="2"/>
  <c r="AT70" i="2" s="1"/>
  <c r="AS71" i="2"/>
  <c r="AT71" i="2" s="1"/>
  <c r="AS72" i="2"/>
  <c r="AT72" i="2" s="1"/>
  <c r="AS73" i="2"/>
  <c r="AT73" i="2" s="1"/>
  <c r="AS74" i="2"/>
  <c r="AS75" i="2"/>
  <c r="AT75" i="2" s="1"/>
  <c r="AS76" i="2"/>
  <c r="AT76" i="2" s="1"/>
  <c r="AS77" i="2"/>
  <c r="AS78" i="2"/>
  <c r="AT78" i="2" s="1"/>
  <c r="AS79" i="2"/>
  <c r="AT79" i="2" s="1"/>
  <c r="AS80" i="2"/>
  <c r="AS81" i="2"/>
  <c r="AT81" i="2" s="1"/>
  <c r="AS82" i="2"/>
  <c r="AT82" i="2" s="1"/>
  <c r="AS83" i="2"/>
  <c r="AS84" i="2"/>
  <c r="AT84" i="2" s="1"/>
  <c r="AS85" i="2"/>
  <c r="AT85" i="2" s="1"/>
  <c r="AS86" i="2"/>
  <c r="AS87" i="2"/>
  <c r="AT87" i="2" s="1"/>
  <c r="AS88" i="2"/>
  <c r="AT88" i="2" s="1"/>
  <c r="AS89" i="2"/>
  <c r="AS90" i="2"/>
  <c r="AT90" i="2" s="1"/>
  <c r="AS91" i="2"/>
  <c r="AT91" i="2" s="1"/>
  <c r="AS92" i="2"/>
  <c r="AT94" i="2"/>
  <c r="AU94" i="2" s="1"/>
  <c r="AS95" i="2"/>
  <c r="AS96" i="2"/>
  <c r="AT96" i="2" s="1"/>
  <c r="AS97" i="2"/>
  <c r="AT97" i="2" s="1"/>
  <c r="AS98" i="2"/>
  <c r="AS99" i="2"/>
  <c r="AT99" i="2" s="1"/>
  <c r="AS3" i="2"/>
  <c r="AT3" i="2" s="1"/>
  <c r="AK4" i="2"/>
  <c r="AL4" i="2" s="1"/>
  <c r="AM4" i="2" s="1"/>
  <c r="AK5" i="2"/>
  <c r="AL5" i="2" s="1"/>
  <c r="AM5" i="2" s="1"/>
  <c r="AK6" i="2"/>
  <c r="AK7" i="2"/>
  <c r="AL7" i="2" s="1"/>
  <c r="AM7" i="2" s="1"/>
  <c r="AK8" i="2"/>
  <c r="AL8" i="2" s="1"/>
  <c r="AM8" i="2" s="1"/>
  <c r="AK9" i="2"/>
  <c r="AL9" i="2" s="1"/>
  <c r="AM9" i="2" s="1"/>
  <c r="AK10" i="2"/>
  <c r="AL10" i="2" s="1"/>
  <c r="AM10" i="2" s="1"/>
  <c r="AK11" i="2"/>
  <c r="AL11" i="2" s="1"/>
  <c r="AM11" i="2" s="1"/>
  <c r="AK12" i="2"/>
  <c r="AK13" i="2"/>
  <c r="AL13" i="2" s="1"/>
  <c r="AM13" i="2" s="1"/>
  <c r="AK14" i="2"/>
  <c r="AL14" i="2" s="1"/>
  <c r="AM14" i="2" s="1"/>
  <c r="AK15" i="2"/>
  <c r="AL15" i="2" s="1"/>
  <c r="AM15" i="2" s="1"/>
  <c r="AK16" i="2"/>
  <c r="AK17" i="2"/>
  <c r="AL17" i="2" s="1"/>
  <c r="AM17" i="2" s="1"/>
  <c r="AK18" i="2"/>
  <c r="AK19" i="2"/>
  <c r="AL19" i="2" s="1"/>
  <c r="AM19" i="2" s="1"/>
  <c r="AK20" i="2"/>
  <c r="AK21" i="2"/>
  <c r="AL21" i="2" s="1"/>
  <c r="AM21" i="2" s="1"/>
  <c r="AK22" i="2"/>
  <c r="AL22" i="2" s="1"/>
  <c r="AM22" i="2" s="1"/>
  <c r="AK23" i="2"/>
  <c r="AL23" i="2" s="1"/>
  <c r="AM23" i="2" s="1"/>
  <c r="AK24" i="2"/>
  <c r="AK25" i="2"/>
  <c r="AL25" i="2" s="1"/>
  <c r="AM25" i="2" s="1"/>
  <c r="AK26" i="2"/>
  <c r="AL26" i="2" s="1"/>
  <c r="AM26" i="2" s="1"/>
  <c r="AK27" i="2"/>
  <c r="AL27" i="2" s="1"/>
  <c r="AM27" i="2" s="1"/>
  <c r="AK28" i="2"/>
  <c r="AL28" i="2" s="1"/>
  <c r="AM28" i="2" s="1"/>
  <c r="AK29" i="2"/>
  <c r="AK30" i="2"/>
  <c r="AK31" i="2"/>
  <c r="AL31" i="2" s="1"/>
  <c r="AM31" i="2" s="1"/>
  <c r="AK32" i="2"/>
  <c r="AK33" i="2"/>
  <c r="AL33" i="2" s="1"/>
  <c r="AM33" i="2" s="1"/>
  <c r="AK34" i="2"/>
  <c r="AL34" i="2" s="1"/>
  <c r="AM34" i="2" s="1"/>
  <c r="AK35" i="2"/>
  <c r="AK36" i="2"/>
  <c r="AK37" i="2"/>
  <c r="AL37" i="2" s="1"/>
  <c r="AM37" i="2" s="1"/>
  <c r="AK38" i="2"/>
  <c r="AL38" i="2" s="1"/>
  <c r="AM38" i="2" s="1"/>
  <c r="AK39" i="2"/>
  <c r="AL39" i="2" s="1"/>
  <c r="AM39" i="2" s="1"/>
  <c r="AK40" i="2"/>
  <c r="AL40" i="2" s="1"/>
  <c r="AM40" i="2" s="1"/>
  <c r="AK41" i="2"/>
  <c r="AK42" i="2"/>
  <c r="AK43" i="2"/>
  <c r="AL43" i="2" s="1"/>
  <c r="AM43" i="2" s="1"/>
  <c r="AK44" i="2"/>
  <c r="AL44" i="2" s="1"/>
  <c r="AM44" i="2" s="1"/>
  <c r="AK45" i="2"/>
  <c r="AL45" i="2" s="1"/>
  <c r="AM45" i="2" s="1"/>
  <c r="AK46" i="2"/>
  <c r="AL46" i="2" s="1"/>
  <c r="AM46" i="2" s="1"/>
  <c r="AK47" i="2"/>
  <c r="AK48" i="2"/>
  <c r="AK49" i="2"/>
  <c r="AL49" i="2" s="1"/>
  <c r="AM49" i="2" s="1"/>
  <c r="AK50" i="2"/>
  <c r="AK51" i="2"/>
  <c r="AL51" i="2" s="1"/>
  <c r="AM51" i="2" s="1"/>
  <c r="AK52" i="2"/>
  <c r="AL52" i="2" s="1"/>
  <c r="AM52" i="2" s="1"/>
  <c r="AK53" i="2"/>
  <c r="AK54" i="2"/>
  <c r="AK55" i="2"/>
  <c r="AL55" i="2" s="1"/>
  <c r="AM55" i="2" s="1"/>
  <c r="AK56" i="2"/>
  <c r="AL56" i="2" s="1"/>
  <c r="AM56" i="2" s="1"/>
  <c r="AK57" i="2"/>
  <c r="AL57" i="2" s="1"/>
  <c r="AM57" i="2" s="1"/>
  <c r="AK58" i="2"/>
  <c r="AL58" i="2" s="1"/>
  <c r="AM58" i="2" s="1"/>
  <c r="AK59" i="2"/>
  <c r="AK60" i="2"/>
  <c r="AK61" i="2"/>
  <c r="AL61" i="2" s="1"/>
  <c r="AM61" i="2" s="1"/>
  <c r="AK62" i="2"/>
  <c r="AL62" i="2" s="1"/>
  <c r="AM62" i="2" s="1"/>
  <c r="AK63" i="2"/>
  <c r="AL63" i="2" s="1"/>
  <c r="AM63" i="2" s="1"/>
  <c r="AK64" i="2"/>
  <c r="AL64" i="2" s="1"/>
  <c r="AM64" i="2" s="1"/>
  <c r="AK65" i="2"/>
  <c r="AK66" i="2"/>
  <c r="AK67" i="2"/>
  <c r="AL67" i="2" s="1"/>
  <c r="AM67" i="2" s="1"/>
  <c r="AK68" i="2"/>
  <c r="AK69" i="2"/>
  <c r="AL69" i="2" s="1"/>
  <c r="AM69" i="2" s="1"/>
  <c r="AK70" i="2"/>
  <c r="AL70" i="2" s="1"/>
  <c r="AM70" i="2" s="1"/>
  <c r="AK71" i="2"/>
  <c r="AK72" i="2"/>
  <c r="AK73" i="2"/>
  <c r="AL73" i="2" s="1"/>
  <c r="AM73" i="2" s="1"/>
  <c r="AK74" i="2"/>
  <c r="AL74" i="2" s="1"/>
  <c r="AM74" i="2" s="1"/>
  <c r="AK75" i="2"/>
  <c r="AL75" i="2" s="1"/>
  <c r="AM75" i="2" s="1"/>
  <c r="AK76" i="2"/>
  <c r="AL76" i="2" s="1"/>
  <c r="AM76" i="2" s="1"/>
  <c r="AK77" i="2"/>
  <c r="AK78" i="2"/>
  <c r="AK79" i="2"/>
  <c r="AL79" i="2" s="1"/>
  <c r="AM79" i="2" s="1"/>
  <c r="AK80" i="2"/>
  <c r="AL80" i="2" s="1"/>
  <c r="AM80" i="2" s="1"/>
  <c r="AK81" i="2"/>
  <c r="AL81" i="2" s="1"/>
  <c r="AM81" i="2" s="1"/>
  <c r="AK82" i="2"/>
  <c r="AL82" i="2" s="1"/>
  <c r="AM82" i="2" s="1"/>
  <c r="AK83" i="2"/>
  <c r="AK84" i="2"/>
  <c r="AK85" i="2"/>
  <c r="AL85" i="2" s="1"/>
  <c r="AM85" i="2" s="1"/>
  <c r="AK86" i="2"/>
  <c r="AK87" i="2"/>
  <c r="AL87" i="2" s="1"/>
  <c r="AM87" i="2" s="1"/>
  <c r="AK88" i="2"/>
  <c r="AL88" i="2" s="1"/>
  <c r="AM88" i="2" s="1"/>
  <c r="AK89" i="2"/>
  <c r="AK90" i="2"/>
  <c r="AL90" i="2" s="1"/>
  <c r="AM90" i="2" s="1"/>
  <c r="AK91" i="2"/>
  <c r="AL91" i="2" s="1"/>
  <c r="AM91" i="2" s="1"/>
  <c r="AK92" i="2"/>
  <c r="AL92" i="2" s="1"/>
  <c r="AM92" i="2" s="1"/>
  <c r="AK93" i="2"/>
  <c r="AL93" i="2" s="1"/>
  <c r="AM93" i="2" s="1"/>
  <c r="AK94" i="2"/>
  <c r="AL94" i="2" s="1"/>
  <c r="AM94" i="2" s="1"/>
  <c r="AK95" i="2"/>
  <c r="AK96" i="2"/>
  <c r="AL96" i="2" s="1"/>
  <c r="AM96" i="2" s="1"/>
  <c r="AK97" i="2"/>
  <c r="AL97" i="2" s="1"/>
  <c r="AM97" i="2" s="1"/>
  <c r="AK98" i="2"/>
  <c r="AL98" i="2" s="1"/>
  <c r="AM98" i="2" s="1"/>
  <c r="AK99" i="2"/>
  <c r="AL99" i="2" s="1"/>
  <c r="AM99" i="2" s="1"/>
  <c r="AK3" i="2"/>
  <c r="AL3" i="2" s="1"/>
  <c r="AM3" i="2" s="1"/>
  <c r="AC4" i="2"/>
  <c r="AD4" i="2" s="1"/>
  <c r="AC5" i="2"/>
  <c r="AC6" i="2"/>
  <c r="AD6" i="2" s="1"/>
  <c r="AC7" i="2"/>
  <c r="AD7" i="2" s="1"/>
  <c r="AC8" i="2"/>
  <c r="AD8" i="2" s="1"/>
  <c r="AC9" i="2"/>
  <c r="AC10" i="2"/>
  <c r="AD10" i="2" s="1"/>
  <c r="AC11" i="2"/>
  <c r="AC12" i="2"/>
  <c r="AD12" i="2" s="1"/>
  <c r="AC13" i="2"/>
  <c r="AD13" i="2" s="1"/>
  <c r="AC14" i="2"/>
  <c r="AC15" i="2"/>
  <c r="AC16" i="2"/>
  <c r="AD16" i="2" s="1"/>
  <c r="AC17" i="2"/>
  <c r="AC18" i="2"/>
  <c r="AD18" i="2" s="1"/>
  <c r="AC19" i="2"/>
  <c r="AD19" i="2" s="1"/>
  <c r="AC20" i="2"/>
  <c r="AD20" i="2" s="1"/>
  <c r="AC21" i="2"/>
  <c r="AC22" i="2"/>
  <c r="AD22" i="2" s="1"/>
  <c r="AC23" i="2"/>
  <c r="AC24" i="2"/>
  <c r="AD24" i="2" s="1"/>
  <c r="AC25" i="2"/>
  <c r="AD25" i="2" s="1"/>
  <c r="AC26" i="2"/>
  <c r="AD26" i="2" s="1"/>
  <c r="AC27" i="2"/>
  <c r="AC28" i="2"/>
  <c r="AD28" i="2" s="1"/>
  <c r="AC29" i="2"/>
  <c r="AC30" i="2"/>
  <c r="AD30" i="2" s="1"/>
  <c r="AC31" i="2"/>
  <c r="AD31" i="2" s="1"/>
  <c r="AC32" i="2"/>
  <c r="AC33" i="2"/>
  <c r="AC34" i="2"/>
  <c r="AD34" i="2" s="1"/>
  <c r="AC35" i="2"/>
  <c r="AC36" i="2"/>
  <c r="AD36" i="2" s="1"/>
  <c r="AC37" i="2"/>
  <c r="AC38" i="2"/>
  <c r="AC39" i="2"/>
  <c r="AC40" i="2"/>
  <c r="AD40" i="2" s="1"/>
  <c r="AC41" i="2"/>
  <c r="AC42" i="2"/>
  <c r="AD42" i="2" s="1"/>
  <c r="AC43" i="2"/>
  <c r="AD43" i="2" s="1"/>
  <c r="AC44" i="2"/>
  <c r="AD44" i="2" s="1"/>
  <c r="AC45" i="2"/>
  <c r="AC46" i="2"/>
  <c r="AD46" i="2" s="1"/>
  <c r="AC47" i="2"/>
  <c r="AC48" i="2"/>
  <c r="AD48" i="2" s="1"/>
  <c r="AC49" i="2"/>
  <c r="AD49" i="2" s="1"/>
  <c r="AC50" i="2"/>
  <c r="AD50" i="2" s="1"/>
  <c r="AC51" i="2"/>
  <c r="AC52" i="2"/>
  <c r="AD52" i="2" s="1"/>
  <c r="AC53" i="2"/>
  <c r="AC54" i="2"/>
  <c r="AD54" i="2" s="1"/>
  <c r="AC55" i="2"/>
  <c r="AC56" i="2"/>
  <c r="AC57" i="2"/>
  <c r="AC58" i="2"/>
  <c r="AD58" i="2" s="1"/>
  <c r="AC59" i="2"/>
  <c r="AC60" i="2"/>
  <c r="AD60" i="2" s="1"/>
  <c r="AC61" i="2"/>
  <c r="AC62" i="2"/>
  <c r="AC63" i="2"/>
  <c r="AC64" i="2"/>
  <c r="AD64" i="2" s="1"/>
  <c r="AC65" i="2"/>
  <c r="AC66" i="2"/>
  <c r="AD66" i="2" s="1"/>
  <c r="AC67" i="2"/>
  <c r="AD67" i="2" s="1"/>
  <c r="AC68" i="2"/>
  <c r="AD68" i="2" s="1"/>
  <c r="AC69" i="2"/>
  <c r="AC70" i="2"/>
  <c r="AD70" i="2" s="1"/>
  <c r="AC71" i="2"/>
  <c r="AC72" i="2"/>
  <c r="AD72" i="2" s="1"/>
  <c r="AC73" i="2"/>
  <c r="AC74" i="2"/>
  <c r="AC75" i="2"/>
  <c r="AC76" i="2"/>
  <c r="AC77" i="2"/>
  <c r="AC78" i="2"/>
  <c r="AD78" i="2" s="1"/>
  <c r="AC79" i="2"/>
  <c r="AD79" i="2" s="1"/>
  <c r="AC80" i="2"/>
  <c r="AC81" i="2"/>
  <c r="AC82" i="2"/>
  <c r="AD82" i="2" s="1"/>
  <c r="AC83" i="2"/>
  <c r="AC84" i="2"/>
  <c r="AD84" i="2" s="1"/>
  <c r="AC85" i="2"/>
  <c r="AD85" i="2" s="1"/>
  <c r="AC86" i="2"/>
  <c r="AC87" i="2"/>
  <c r="AC88" i="2"/>
  <c r="AD88" i="2" s="1"/>
  <c r="AC89" i="2"/>
  <c r="AC90" i="2"/>
  <c r="AD90" i="2" s="1"/>
  <c r="AC91" i="2"/>
  <c r="AC92" i="2"/>
  <c r="AC93" i="2"/>
  <c r="AC94" i="2"/>
  <c r="AD94" i="2" s="1"/>
  <c r="AC95" i="2"/>
  <c r="AC96" i="2"/>
  <c r="AD96" i="2" s="1"/>
  <c r="AC97" i="2"/>
  <c r="AD97" i="2" s="1"/>
  <c r="AC98" i="2"/>
  <c r="AC99" i="2"/>
  <c r="AC3" i="2"/>
  <c r="AD3" i="2" s="1"/>
  <c r="U4" i="2"/>
  <c r="V4" i="2" s="1"/>
  <c r="W4" i="2" s="1"/>
  <c r="U5" i="2"/>
  <c r="U6" i="2"/>
  <c r="V6" i="2" s="1"/>
  <c r="W6" i="2" s="1"/>
  <c r="U7" i="2"/>
  <c r="V7" i="2" s="1"/>
  <c r="W7" i="2" s="1"/>
  <c r="U8" i="2"/>
  <c r="W8" i="2" s="1"/>
  <c r="U9" i="2"/>
  <c r="U10" i="2"/>
  <c r="V10" i="2" s="1"/>
  <c r="W10" i="2" s="1"/>
  <c r="U11" i="2"/>
  <c r="U12" i="2"/>
  <c r="V12" i="2" s="1"/>
  <c r="W12" i="2" s="1"/>
  <c r="U13" i="2"/>
  <c r="V13" i="2" s="1"/>
  <c r="W13" i="2" s="1"/>
  <c r="U14" i="2"/>
  <c r="V14" i="2" s="1"/>
  <c r="W14" i="2" s="1"/>
  <c r="U15" i="2"/>
  <c r="U16" i="2"/>
  <c r="V16" i="2" s="1"/>
  <c r="W16" i="2" s="1"/>
  <c r="U17" i="2"/>
  <c r="U18" i="2"/>
  <c r="V18" i="2" s="1"/>
  <c r="W18" i="2" s="1"/>
  <c r="U19" i="2"/>
  <c r="U20" i="2"/>
  <c r="U21" i="2"/>
  <c r="V22" i="2"/>
  <c r="W22" i="2" s="1"/>
  <c r="U23" i="2"/>
  <c r="U24" i="2"/>
  <c r="V24" i="2" s="1"/>
  <c r="W24" i="2" s="1"/>
  <c r="U25" i="2"/>
  <c r="V25" i="2" s="1"/>
  <c r="W25" i="2" s="1"/>
  <c r="U26" i="2"/>
  <c r="V26" i="2" s="1"/>
  <c r="W26" i="2" s="1"/>
  <c r="U27" i="2"/>
  <c r="U28" i="2"/>
  <c r="V28" i="2" s="1"/>
  <c r="W28" i="2" s="1"/>
  <c r="U29" i="2"/>
  <c r="U30" i="2"/>
  <c r="V30" i="2" s="1"/>
  <c r="W30" i="2" s="1"/>
  <c r="U31" i="2"/>
  <c r="V31" i="2" s="1"/>
  <c r="W31" i="2" s="1"/>
  <c r="U32" i="2"/>
  <c r="V32" i="2" s="1"/>
  <c r="W32" i="2" s="1"/>
  <c r="U33" i="2"/>
  <c r="U34" i="2"/>
  <c r="U35" i="2"/>
  <c r="U36" i="2"/>
  <c r="V36" i="2" s="1"/>
  <c r="W36" i="2" s="1"/>
  <c r="U37" i="2"/>
  <c r="V37" i="2" s="1"/>
  <c r="W37" i="2" s="1"/>
  <c r="U38" i="2"/>
  <c r="V38" i="2" s="1"/>
  <c r="W38" i="2" s="1"/>
  <c r="U39" i="2"/>
  <c r="U40" i="2"/>
  <c r="V40" i="2" s="1"/>
  <c r="W40" i="2" s="1"/>
  <c r="U41" i="2"/>
  <c r="U42" i="2"/>
  <c r="V42" i="2" s="1"/>
  <c r="W42" i="2" s="1"/>
  <c r="U43" i="2"/>
  <c r="V43" i="2" s="1"/>
  <c r="W43" i="2" s="1"/>
  <c r="U44" i="2"/>
  <c r="V44" i="2" s="1"/>
  <c r="W44" i="2" s="1"/>
  <c r="U45" i="2"/>
  <c r="U46" i="2"/>
  <c r="V46" i="2" s="1"/>
  <c r="W46" i="2" s="1"/>
  <c r="U47" i="2"/>
  <c r="U48" i="2"/>
  <c r="V48" i="2" s="1"/>
  <c r="W48" i="2" s="1"/>
  <c r="U49" i="2"/>
  <c r="V49" i="2" s="1"/>
  <c r="W49" i="2" s="1"/>
  <c r="U50" i="2"/>
  <c r="V50" i="2" s="1"/>
  <c r="W50" i="2" s="1"/>
  <c r="U51" i="2"/>
  <c r="U52" i="2"/>
  <c r="V52" i="2" s="1"/>
  <c r="W52" i="2" s="1"/>
  <c r="U53" i="2"/>
  <c r="U54" i="2"/>
  <c r="V54" i="2" s="1"/>
  <c r="W54" i="2" s="1"/>
  <c r="U55" i="2"/>
  <c r="U56" i="2"/>
  <c r="U57" i="2"/>
  <c r="U58" i="2"/>
  <c r="V58" i="2" s="1"/>
  <c r="W58" i="2" s="1"/>
  <c r="U59" i="2"/>
  <c r="U60" i="2"/>
  <c r="V60" i="2" s="1"/>
  <c r="W60" i="2" s="1"/>
  <c r="U61" i="2"/>
  <c r="V61" i="2" s="1"/>
  <c r="W61" i="2" s="1"/>
  <c r="U62" i="2"/>
  <c r="V62" i="2" s="1"/>
  <c r="W62" i="2" s="1"/>
  <c r="U63" i="2"/>
  <c r="U64" i="2"/>
  <c r="V64" i="2" s="1"/>
  <c r="W64" i="2" s="1"/>
  <c r="U65" i="2"/>
  <c r="U66" i="2"/>
  <c r="V66" i="2" s="1"/>
  <c r="W66" i="2" s="1"/>
  <c r="U67" i="2"/>
  <c r="V67" i="2" s="1"/>
  <c r="W67" i="2" s="1"/>
  <c r="U68" i="2"/>
  <c r="V68" i="2" s="1"/>
  <c r="W68" i="2" s="1"/>
  <c r="U69" i="2"/>
  <c r="U70" i="2"/>
  <c r="V70" i="2" s="1"/>
  <c r="W70" i="2" s="1"/>
  <c r="U71" i="2"/>
  <c r="U72" i="2"/>
  <c r="V72" i="2" s="1"/>
  <c r="W72" i="2" s="1"/>
  <c r="U73" i="2"/>
  <c r="U74" i="2"/>
  <c r="U75" i="2"/>
  <c r="U76" i="2"/>
  <c r="V76" i="2" s="1"/>
  <c r="W76" i="2" s="1"/>
  <c r="U77" i="2"/>
  <c r="U78" i="2"/>
  <c r="V78" i="2" s="1"/>
  <c r="W78" i="2" s="1"/>
  <c r="U79" i="2"/>
  <c r="V79" i="2" s="1"/>
  <c r="W79" i="2" s="1"/>
  <c r="U80" i="2"/>
  <c r="V80" i="2" s="1"/>
  <c r="W80" i="2" s="1"/>
  <c r="U81" i="2"/>
  <c r="U82" i="2"/>
  <c r="V82" i="2" s="1"/>
  <c r="W82" i="2" s="1"/>
  <c r="U83" i="2"/>
  <c r="U84" i="2"/>
  <c r="V84" i="2" s="1"/>
  <c r="W84" i="2" s="1"/>
  <c r="U85" i="2"/>
  <c r="V85" i="2" s="1"/>
  <c r="W85" i="2" s="1"/>
  <c r="U86" i="2"/>
  <c r="V86" i="2" s="1"/>
  <c r="W86" i="2" s="1"/>
  <c r="U87" i="2"/>
  <c r="U88" i="2"/>
  <c r="V88" i="2" s="1"/>
  <c r="W88" i="2" s="1"/>
  <c r="U89" i="2"/>
  <c r="U90" i="2"/>
  <c r="V90" i="2" s="1"/>
  <c r="W90" i="2" s="1"/>
  <c r="U91" i="2"/>
  <c r="U92" i="2"/>
  <c r="U93" i="2"/>
  <c r="U94" i="2"/>
  <c r="V94" i="2" s="1"/>
  <c r="W94" i="2" s="1"/>
  <c r="U95" i="2"/>
  <c r="U96" i="2"/>
  <c r="V96" i="2" s="1"/>
  <c r="W96" i="2" s="1"/>
  <c r="U97" i="2"/>
  <c r="V97" i="2" s="1"/>
  <c r="W97" i="2" s="1"/>
  <c r="U98" i="2"/>
  <c r="V98" i="2" s="1"/>
  <c r="W98" i="2" s="1"/>
  <c r="U99" i="2"/>
  <c r="U100" i="2"/>
  <c r="V3" i="2"/>
  <c r="W3" i="2" s="1"/>
  <c r="M4" i="2"/>
  <c r="N4" i="2" s="1"/>
  <c r="O4" i="2" s="1"/>
  <c r="M5" i="2"/>
  <c r="N5" i="2" s="1"/>
  <c r="O5" i="2" s="1"/>
  <c r="M6" i="2"/>
  <c r="M7" i="2"/>
  <c r="N7" i="2" s="1"/>
  <c r="O7" i="2" s="1"/>
  <c r="M8" i="2"/>
  <c r="N8" i="2" s="1"/>
  <c r="O8" i="2" s="1"/>
  <c r="M9" i="2"/>
  <c r="M10" i="2"/>
  <c r="N10" i="2" s="1"/>
  <c r="O10" i="2" s="1"/>
  <c r="M11" i="2"/>
  <c r="N11" i="2" s="1"/>
  <c r="O11" i="2" s="1"/>
  <c r="M12" i="2"/>
  <c r="M13" i="2"/>
  <c r="N13" i="2" s="1"/>
  <c r="O13" i="2" s="1"/>
  <c r="M14" i="2"/>
  <c r="N14" i="2" s="1"/>
  <c r="O14" i="2" s="1"/>
  <c r="M15" i="2"/>
  <c r="N15" i="2" s="1"/>
  <c r="O15" i="2" s="1"/>
  <c r="M16" i="2"/>
  <c r="N16" i="2" s="1"/>
  <c r="O16" i="2" s="1"/>
  <c r="M17" i="2"/>
  <c r="N17" i="2" s="1"/>
  <c r="O17" i="2" s="1"/>
  <c r="M18" i="2"/>
  <c r="M19" i="2"/>
  <c r="N19" i="2" s="1"/>
  <c r="O19" i="2" s="1"/>
  <c r="M20" i="2"/>
  <c r="N20" i="2" s="1"/>
  <c r="O20" i="2" s="1"/>
  <c r="M21" i="2"/>
  <c r="N21" i="2" s="1"/>
  <c r="O21" i="2" s="1"/>
  <c r="M22" i="2"/>
  <c r="N22" i="2" s="1"/>
  <c r="O22" i="2" s="1"/>
  <c r="M23" i="2"/>
  <c r="N23" i="2" s="1"/>
  <c r="O23" i="2" s="1"/>
  <c r="M24" i="2"/>
  <c r="M25" i="2"/>
  <c r="N25" i="2" s="1"/>
  <c r="O25" i="2" s="1"/>
  <c r="M26" i="2"/>
  <c r="N26" i="2" s="1"/>
  <c r="O26" i="2" s="1"/>
  <c r="M27" i="2"/>
  <c r="N27" i="2" s="1"/>
  <c r="O27" i="2" s="1"/>
  <c r="M28" i="2"/>
  <c r="N28" i="2" s="1"/>
  <c r="O28" i="2" s="1"/>
  <c r="M29" i="2"/>
  <c r="N29" i="2" s="1"/>
  <c r="O29" i="2" s="1"/>
  <c r="M30" i="2"/>
  <c r="M31" i="2"/>
  <c r="N31" i="2" s="1"/>
  <c r="O31" i="2" s="1"/>
  <c r="M32" i="2"/>
  <c r="N32" i="2" s="1"/>
  <c r="O32" i="2" s="1"/>
  <c r="M33" i="2"/>
  <c r="N33" i="2" s="1"/>
  <c r="O33" i="2" s="1"/>
  <c r="M34" i="2"/>
  <c r="N34" i="2" s="1"/>
  <c r="O34" i="2" s="1"/>
  <c r="M35" i="2"/>
  <c r="N35" i="2" s="1"/>
  <c r="O35" i="2" s="1"/>
  <c r="M36" i="2"/>
  <c r="M37" i="2"/>
  <c r="N37" i="2" s="1"/>
  <c r="O37" i="2" s="1"/>
  <c r="M38" i="2"/>
  <c r="N38" i="2" s="1"/>
  <c r="O38" i="2" s="1"/>
  <c r="M39" i="2"/>
  <c r="N39" i="2" s="1"/>
  <c r="O39" i="2" s="1"/>
  <c r="M40" i="2"/>
  <c r="N40" i="2" s="1"/>
  <c r="O40" i="2" s="1"/>
  <c r="M41" i="2"/>
  <c r="N41" i="2" s="1"/>
  <c r="O41" i="2" s="1"/>
  <c r="M42" i="2"/>
  <c r="M43" i="2"/>
  <c r="N43" i="2" s="1"/>
  <c r="O43" i="2" s="1"/>
  <c r="M44" i="2"/>
  <c r="N44" i="2" s="1"/>
  <c r="O44" i="2" s="1"/>
  <c r="M45" i="2"/>
  <c r="N45" i="2" s="1"/>
  <c r="O45" i="2" s="1"/>
  <c r="M46" i="2"/>
  <c r="N46" i="2" s="1"/>
  <c r="O46" i="2" s="1"/>
  <c r="M47" i="2"/>
  <c r="N47" i="2" s="1"/>
  <c r="O47" i="2" s="1"/>
  <c r="M48" i="2"/>
  <c r="M49" i="2"/>
  <c r="N49" i="2" s="1"/>
  <c r="O49" i="2" s="1"/>
  <c r="M50" i="2"/>
  <c r="N50" i="2" s="1"/>
  <c r="O50" i="2" s="1"/>
  <c r="M51" i="2"/>
  <c r="N51" i="2" s="1"/>
  <c r="O51" i="2" s="1"/>
  <c r="M52" i="2"/>
  <c r="N52" i="2" s="1"/>
  <c r="O52" i="2" s="1"/>
  <c r="M53" i="2"/>
  <c r="N53" i="2" s="1"/>
  <c r="O53" i="2" s="1"/>
  <c r="M54" i="2"/>
  <c r="M55" i="2"/>
  <c r="N55" i="2" s="1"/>
  <c r="O55" i="2" s="1"/>
  <c r="M56" i="2"/>
  <c r="N56" i="2" s="1"/>
  <c r="O56" i="2" s="1"/>
  <c r="M57" i="2"/>
  <c r="N57" i="2" s="1"/>
  <c r="O57" i="2" s="1"/>
  <c r="M58" i="2"/>
  <c r="N58" i="2" s="1"/>
  <c r="O58" i="2" s="1"/>
  <c r="M59" i="2"/>
  <c r="N59" i="2" s="1"/>
  <c r="O59" i="2" s="1"/>
  <c r="M60" i="2"/>
  <c r="M61" i="2"/>
  <c r="N61" i="2" s="1"/>
  <c r="O61" i="2" s="1"/>
  <c r="K127" i="2" s="1"/>
  <c r="K132" i="2" s="1"/>
  <c r="M62" i="2"/>
  <c r="N62" i="2" s="1"/>
  <c r="O62" i="2" s="1"/>
  <c r="M63" i="2"/>
  <c r="N63" i="2" s="1"/>
  <c r="O63" i="2" s="1"/>
  <c r="M64" i="2"/>
  <c r="N64" i="2" s="1"/>
  <c r="O64" i="2" s="1"/>
  <c r="M65" i="2"/>
  <c r="N65" i="2" s="1"/>
  <c r="O65" i="2" s="1"/>
  <c r="M66" i="2"/>
  <c r="M67" i="2"/>
  <c r="N67" i="2" s="1"/>
  <c r="O67" i="2" s="1"/>
  <c r="M68" i="2"/>
  <c r="N68" i="2" s="1"/>
  <c r="O68" i="2" s="1"/>
  <c r="M69" i="2"/>
  <c r="N69" i="2" s="1"/>
  <c r="O69" i="2" s="1"/>
  <c r="M70" i="2"/>
  <c r="M71" i="2"/>
  <c r="N71" i="2" s="1"/>
  <c r="O71" i="2" s="1"/>
  <c r="M72" i="2"/>
  <c r="M73" i="2"/>
  <c r="N73" i="2" s="1"/>
  <c r="O73" i="2" s="1"/>
  <c r="M74" i="2"/>
  <c r="N74" i="2" s="1"/>
  <c r="O74" i="2" s="1"/>
  <c r="M75" i="2"/>
  <c r="N75" i="2" s="1"/>
  <c r="O75" i="2" s="1"/>
  <c r="K136" i="2" s="1"/>
  <c r="M76" i="2"/>
  <c r="N76" i="2" s="1"/>
  <c r="O76" i="2" s="1"/>
  <c r="K137" i="2" s="1"/>
  <c r="K142" i="2" s="1"/>
  <c r="M77" i="2"/>
  <c r="N77" i="2" s="1"/>
  <c r="O77" i="2" s="1"/>
  <c r="M78" i="2"/>
  <c r="M79" i="2"/>
  <c r="N79" i="2" s="1"/>
  <c r="O79" i="2" s="1"/>
  <c r="M80" i="2"/>
  <c r="N80" i="2" s="1"/>
  <c r="O80" i="2" s="1"/>
  <c r="M81" i="2"/>
  <c r="N81" i="2" s="1"/>
  <c r="O81" i="2" s="1"/>
  <c r="M82" i="2"/>
  <c r="N82" i="2" s="1"/>
  <c r="O82" i="2" s="1"/>
  <c r="M83" i="2"/>
  <c r="N83" i="2" s="1"/>
  <c r="O83" i="2" s="1"/>
  <c r="M84" i="2"/>
  <c r="M85" i="2"/>
  <c r="N85" i="2" s="1"/>
  <c r="O85" i="2" s="1"/>
  <c r="M86" i="2"/>
  <c r="N86" i="2" s="1"/>
  <c r="O86" i="2" s="1"/>
  <c r="M87" i="2"/>
  <c r="N87" i="2" s="1"/>
  <c r="O87" i="2" s="1"/>
  <c r="M88" i="2"/>
  <c r="M89" i="2"/>
  <c r="N89" i="2" s="1"/>
  <c r="O89" i="2" s="1"/>
  <c r="M90" i="2"/>
  <c r="M91" i="2"/>
  <c r="N91" i="2" s="1"/>
  <c r="O91" i="2" s="1"/>
  <c r="M92" i="2"/>
  <c r="N92" i="2" s="1"/>
  <c r="O92" i="2" s="1"/>
  <c r="M93" i="2"/>
  <c r="N93" i="2" s="1"/>
  <c r="O93" i="2" s="1"/>
  <c r="M94" i="2"/>
  <c r="N94" i="2" s="1"/>
  <c r="O94" i="2" s="1"/>
  <c r="M95" i="2"/>
  <c r="N95" i="2" s="1"/>
  <c r="O95" i="2" s="1"/>
  <c r="M96" i="2"/>
  <c r="M97" i="2"/>
  <c r="N97" i="2" s="1"/>
  <c r="O97" i="2" s="1"/>
  <c r="M98" i="2"/>
  <c r="N98" i="2" s="1"/>
  <c r="O98" i="2" s="1"/>
  <c r="M99" i="2"/>
  <c r="M3" i="2"/>
  <c r="N3" i="2" s="1"/>
  <c r="O3" i="2" s="1"/>
  <c r="J138" i="2" l="1"/>
  <c r="I138" i="2"/>
  <c r="S133" i="2"/>
  <c r="S143" i="2"/>
  <c r="AL41" i="2"/>
  <c r="AM41" i="2" s="1"/>
  <c r="AD62" i="2"/>
  <c r="AD38" i="2"/>
  <c r="AL16" i="2"/>
  <c r="AM16" i="2" s="1"/>
  <c r="AL95" i="2"/>
  <c r="AM95" i="2" s="1"/>
  <c r="AD61" i="2"/>
  <c r="AD32" i="2"/>
  <c r="AD14" i="2"/>
  <c r="AL89" i="2"/>
  <c r="AM89" i="2" s="1"/>
  <c r="AL71" i="2"/>
  <c r="AM71" i="2" s="1"/>
  <c r="AL53" i="2"/>
  <c r="AM53" i="2" s="1"/>
  <c r="AL35" i="2"/>
  <c r="AM35" i="2" s="1"/>
  <c r="AL59" i="2"/>
  <c r="AM59" i="2" s="1"/>
  <c r="AD56" i="2"/>
  <c r="AL86" i="2"/>
  <c r="AM86" i="2" s="1"/>
  <c r="AL68" i="2"/>
  <c r="AM68" i="2" s="1"/>
  <c r="AL50" i="2"/>
  <c r="AM50" i="2" s="1"/>
  <c r="AL32" i="2"/>
  <c r="AM32" i="2" s="1"/>
  <c r="AT89" i="2"/>
  <c r="AL77" i="2"/>
  <c r="AM77" i="2" s="1"/>
  <c r="AL83" i="2"/>
  <c r="AM83" i="2" s="1"/>
  <c r="AL65" i="2"/>
  <c r="AM65" i="2" s="1"/>
  <c r="AL47" i="2"/>
  <c r="AM47" i="2" s="1"/>
  <c r="AL29" i="2"/>
  <c r="AM29" i="2" s="1"/>
  <c r="AD91" i="2"/>
  <c r="AD73" i="2"/>
  <c r="AD55" i="2"/>
  <c r="AD37" i="2"/>
  <c r="AD95" i="2"/>
  <c r="AD83" i="2"/>
  <c r="AD77" i="2"/>
  <c r="AD71" i="2"/>
  <c r="AD65" i="2"/>
  <c r="AD59" i="2"/>
  <c r="AD53" i="2"/>
  <c r="AD47" i="2"/>
  <c r="AD41" i="2"/>
  <c r="AD35" i="2"/>
  <c r="AD29" i="2"/>
  <c r="AD23" i="2"/>
  <c r="AD17" i="2"/>
  <c r="AD11" i="2"/>
  <c r="AD5" i="2"/>
  <c r="AD86" i="2"/>
  <c r="AL84" i="2"/>
  <c r="AM84" i="2" s="1"/>
  <c r="AL78" i="2"/>
  <c r="AM78" i="2" s="1"/>
  <c r="AL72" i="2"/>
  <c r="AM72" i="2" s="1"/>
  <c r="AL66" i="2"/>
  <c r="AM66" i="2" s="1"/>
  <c r="AL60" i="2"/>
  <c r="AM60" i="2" s="1"/>
  <c r="AL54" i="2"/>
  <c r="AM54" i="2" s="1"/>
  <c r="AL48" i="2"/>
  <c r="AM48" i="2" s="1"/>
  <c r="AL42" i="2"/>
  <c r="AM42" i="2" s="1"/>
  <c r="AL36" i="2"/>
  <c r="AM36" i="2" s="1"/>
  <c r="AL30" i="2"/>
  <c r="AM30" i="2" s="1"/>
  <c r="AL24" i="2"/>
  <c r="AM24" i="2" s="1"/>
  <c r="AL18" i="2"/>
  <c r="AM18" i="2" s="1"/>
  <c r="AL12" i="2"/>
  <c r="AM12" i="2" s="1"/>
  <c r="AL6" i="2"/>
  <c r="AD92" i="2"/>
  <c r="AD74" i="2"/>
  <c r="AD89" i="2"/>
  <c r="AD76" i="2"/>
  <c r="AT98" i="2"/>
  <c r="AT92" i="2"/>
  <c r="AT86" i="2"/>
  <c r="AT80" i="2"/>
  <c r="AT74" i="2"/>
  <c r="AT68" i="2"/>
  <c r="AT62" i="2"/>
  <c r="AT56" i="2"/>
  <c r="AT50" i="2"/>
  <c r="AT44" i="2"/>
  <c r="AT38" i="2"/>
  <c r="AT32" i="2"/>
  <c r="AT26" i="2"/>
  <c r="AT20" i="2"/>
  <c r="AT14" i="2"/>
  <c r="AT8" i="2"/>
  <c r="AD99" i="2"/>
  <c r="AD93" i="2"/>
  <c r="AD87" i="2"/>
  <c r="AD81" i="2"/>
  <c r="AD75" i="2"/>
  <c r="AD69" i="2"/>
  <c r="AD63" i="2"/>
  <c r="AD57" i="2"/>
  <c r="AD51" i="2"/>
  <c r="AD45" i="2"/>
  <c r="AD39" i="2"/>
  <c r="AD33" i="2"/>
  <c r="AD27" i="2"/>
  <c r="AD21" i="2"/>
  <c r="AD15" i="2"/>
  <c r="AD9" i="2"/>
  <c r="AD98" i="2"/>
  <c r="AD80" i="2"/>
  <c r="AL20" i="2"/>
  <c r="AM20" i="2" s="1"/>
  <c r="AT95" i="2"/>
  <c r="AT77" i="2"/>
  <c r="AT59" i="2"/>
  <c r="AT41" i="2"/>
  <c r="AT23" i="2"/>
  <c r="AT5" i="2"/>
  <c r="AP1" i="2" s="1"/>
  <c r="AT83" i="2"/>
  <c r="AT65" i="2"/>
  <c r="AT47" i="2"/>
  <c r="AT29" i="2"/>
  <c r="AT11" i="2"/>
  <c r="N96" i="2"/>
  <c r="O96" i="2" s="1"/>
  <c r="N78" i="2"/>
  <c r="O78" i="2" s="1"/>
  <c r="N66" i="2"/>
  <c r="O66" i="2" s="1"/>
  <c r="N48" i="2"/>
  <c r="O48" i="2" s="1"/>
  <c r="N12" i="2"/>
  <c r="O12" i="2" s="1"/>
  <c r="V100" i="2"/>
  <c r="W100" i="2" s="1"/>
  <c r="N90" i="2"/>
  <c r="O90" i="2" s="1"/>
  <c r="N72" i="2"/>
  <c r="O72" i="2" s="1"/>
  <c r="N60" i="2"/>
  <c r="O60" i="2" s="1"/>
  <c r="K126" i="2" s="1"/>
  <c r="N54" i="2"/>
  <c r="O54" i="2" s="1"/>
  <c r="N42" i="2"/>
  <c r="O42" i="2" s="1"/>
  <c r="N30" i="2"/>
  <c r="O30" i="2" s="1"/>
  <c r="N24" i="2"/>
  <c r="O24" i="2" s="1"/>
  <c r="N18" i="2"/>
  <c r="O18" i="2" s="1"/>
  <c r="N6" i="2"/>
  <c r="O6" i="2" s="1"/>
  <c r="N88" i="2"/>
  <c r="O88" i="2" s="1"/>
  <c r="N70" i="2"/>
  <c r="O70" i="2" s="1"/>
  <c r="N84" i="2"/>
  <c r="O84" i="2" s="1"/>
  <c r="N99" i="2"/>
  <c r="O99" i="2" s="1"/>
  <c r="N9" i="2"/>
  <c r="O9" i="2" s="1"/>
  <c r="N36" i="2"/>
  <c r="O36" i="2" s="1"/>
  <c r="V91" i="2"/>
  <c r="W91" i="2" s="1"/>
  <c r="V73" i="2"/>
  <c r="W73" i="2" s="1"/>
  <c r="V55" i="2"/>
  <c r="W55" i="2" s="1"/>
  <c r="V19" i="2"/>
  <c r="W19" i="2" s="1"/>
  <c r="V34" i="2"/>
  <c r="W34" i="2" s="1"/>
  <c r="V95" i="2"/>
  <c r="W95" i="2" s="1"/>
  <c r="V89" i="2"/>
  <c r="W89" i="2" s="1"/>
  <c r="V83" i="2"/>
  <c r="W83" i="2" s="1"/>
  <c r="V77" i="2"/>
  <c r="W77" i="2" s="1"/>
  <c r="V71" i="2"/>
  <c r="W71" i="2" s="1"/>
  <c r="V65" i="2"/>
  <c r="W65" i="2" s="1"/>
  <c r="V59" i="2"/>
  <c r="W59" i="2" s="1"/>
  <c r="V53" i="2"/>
  <c r="W53" i="2" s="1"/>
  <c r="V47" i="2"/>
  <c r="W47" i="2" s="1"/>
  <c r="V41" i="2"/>
  <c r="W41" i="2" s="1"/>
  <c r="V35" i="2"/>
  <c r="W35" i="2" s="1"/>
  <c r="V29" i="2"/>
  <c r="W29" i="2" s="1"/>
  <c r="V23" i="2"/>
  <c r="W23" i="2" s="1"/>
  <c r="V17" i="2"/>
  <c r="W17" i="2" s="1"/>
  <c r="V11" i="2"/>
  <c r="W11" i="2" s="1"/>
  <c r="V5" i="2"/>
  <c r="W5" i="2" s="1"/>
  <c r="V99" i="2"/>
  <c r="W99" i="2" s="1"/>
  <c r="V93" i="2"/>
  <c r="W93" i="2" s="1"/>
  <c r="V87" i="2"/>
  <c r="W87" i="2" s="1"/>
  <c r="V81" i="2"/>
  <c r="W81" i="2" s="1"/>
  <c r="V75" i="2"/>
  <c r="W75" i="2" s="1"/>
  <c r="V69" i="2"/>
  <c r="W69" i="2" s="1"/>
  <c r="V63" i="2"/>
  <c r="W63" i="2" s="1"/>
  <c r="V57" i="2"/>
  <c r="W57" i="2" s="1"/>
  <c r="V51" i="2"/>
  <c r="W51" i="2" s="1"/>
  <c r="V45" i="2"/>
  <c r="W45" i="2" s="1"/>
  <c r="V39" i="2"/>
  <c r="W39" i="2" s="1"/>
  <c r="V33" i="2"/>
  <c r="W33" i="2" s="1"/>
  <c r="V27" i="2"/>
  <c r="W27" i="2" s="1"/>
  <c r="V21" i="2"/>
  <c r="W21" i="2" s="1"/>
  <c r="V15" i="2"/>
  <c r="W15" i="2" s="1"/>
  <c r="V9" i="2"/>
  <c r="W9" i="2" s="1"/>
  <c r="V92" i="2"/>
  <c r="W92" i="2" s="1"/>
  <c r="V74" i="2"/>
  <c r="W74" i="2" s="1"/>
  <c r="V56" i="2"/>
  <c r="W56" i="2" s="1"/>
  <c r="V20" i="2"/>
  <c r="W20" i="2" s="1"/>
  <c r="AH1" i="2" l="1"/>
  <c r="AM6" i="2"/>
  <c r="Z139" i="2"/>
  <c r="R129" i="2"/>
  <c r="Q129" i="2"/>
  <c r="I128" i="2"/>
  <c r="J128" i="2"/>
  <c r="R139" i="2"/>
  <c r="Q139" i="2"/>
  <c r="Z1" i="2"/>
  <c r="R1" i="2"/>
  <c r="Z129" i="2" l="1"/>
  <c r="B1" i="2"/>
  <c r="E4" i="2"/>
  <c r="F4" i="2" s="1"/>
  <c r="G4" i="2" s="1"/>
  <c r="E5" i="2"/>
  <c r="F5" i="2" s="1"/>
  <c r="G5" i="2" s="1"/>
  <c r="E6" i="2"/>
  <c r="F6" i="2" s="1"/>
  <c r="G6" i="2" s="1"/>
  <c r="E7" i="2"/>
  <c r="F7" i="2" s="1"/>
  <c r="G7" i="2" s="1"/>
  <c r="E8" i="2"/>
  <c r="F8" i="2" s="1"/>
  <c r="G8" i="2" s="1"/>
  <c r="E9" i="2"/>
  <c r="F9" i="2" s="1"/>
  <c r="G9" i="2" s="1"/>
  <c r="E10" i="2"/>
  <c r="F10" i="2" s="1"/>
  <c r="G10" i="2" s="1"/>
  <c r="E11" i="2"/>
  <c r="F11" i="2" s="1"/>
  <c r="G11" i="2" s="1"/>
  <c r="E12" i="2"/>
  <c r="F12" i="2" s="1"/>
  <c r="G12" i="2" s="1"/>
  <c r="E13" i="2"/>
  <c r="F13" i="2" s="1"/>
  <c r="G13" i="2" s="1"/>
  <c r="E14" i="2"/>
  <c r="F14" i="2" s="1"/>
  <c r="G14" i="2" s="1"/>
  <c r="E15" i="2"/>
  <c r="F15" i="2" s="1"/>
  <c r="G15" i="2" s="1"/>
  <c r="E16" i="2"/>
  <c r="F16" i="2" s="1"/>
  <c r="G16" i="2" s="1"/>
  <c r="E17" i="2"/>
  <c r="F17" i="2" s="1"/>
  <c r="G17" i="2" s="1"/>
  <c r="E18" i="2"/>
  <c r="F18" i="2" s="1"/>
  <c r="G18" i="2" s="1"/>
  <c r="E19" i="2"/>
  <c r="F19" i="2" s="1"/>
  <c r="G19" i="2" s="1"/>
  <c r="E20" i="2"/>
  <c r="F20" i="2" s="1"/>
  <c r="G20" i="2" s="1"/>
  <c r="E21" i="2"/>
  <c r="E22" i="2"/>
  <c r="F22" i="2" s="1"/>
  <c r="G22" i="2" s="1"/>
  <c r="E23" i="2"/>
  <c r="F23" i="2" s="1"/>
  <c r="G23" i="2" s="1"/>
  <c r="E24" i="2"/>
  <c r="F24" i="2" s="1"/>
  <c r="G24" i="2" s="1"/>
  <c r="E25" i="2"/>
  <c r="F25" i="2" s="1"/>
  <c r="G25" i="2" s="1"/>
  <c r="E26" i="2"/>
  <c r="F26" i="2" s="1"/>
  <c r="G26" i="2" s="1"/>
  <c r="E27" i="2"/>
  <c r="E28" i="2"/>
  <c r="F28" i="2" s="1"/>
  <c r="G28" i="2" s="1"/>
  <c r="E29" i="2"/>
  <c r="F29" i="2" s="1"/>
  <c r="G29" i="2" s="1"/>
  <c r="E30" i="2"/>
  <c r="F30" i="2" s="1"/>
  <c r="G30" i="2" s="1"/>
  <c r="E31" i="2"/>
  <c r="F31" i="2" s="1"/>
  <c r="G31" i="2" s="1"/>
  <c r="E32" i="2"/>
  <c r="F32" i="2" s="1"/>
  <c r="G32" i="2" s="1"/>
  <c r="E33" i="2"/>
  <c r="E34" i="2"/>
  <c r="F34" i="2" s="1"/>
  <c r="G34" i="2" s="1"/>
  <c r="E35" i="2"/>
  <c r="F35" i="2" s="1"/>
  <c r="G35" i="2" s="1"/>
  <c r="E36" i="2"/>
  <c r="F36" i="2" s="1"/>
  <c r="G36" i="2" s="1"/>
  <c r="E37" i="2"/>
  <c r="F37" i="2" s="1"/>
  <c r="G37" i="2" s="1"/>
  <c r="E38" i="2"/>
  <c r="F38" i="2" s="1"/>
  <c r="G38" i="2" s="1"/>
  <c r="E39" i="2"/>
  <c r="E40" i="2"/>
  <c r="F40" i="2" s="1"/>
  <c r="G40" i="2" s="1"/>
  <c r="E41" i="2"/>
  <c r="F41" i="2" s="1"/>
  <c r="G41" i="2" s="1"/>
  <c r="E42" i="2"/>
  <c r="F42" i="2" s="1"/>
  <c r="G42" i="2" s="1"/>
  <c r="E43" i="2"/>
  <c r="F43" i="2" s="1"/>
  <c r="G43" i="2" s="1"/>
  <c r="E44" i="2"/>
  <c r="F44" i="2" s="1"/>
  <c r="G44" i="2" s="1"/>
  <c r="E45" i="2"/>
  <c r="E46" i="2"/>
  <c r="F46" i="2" s="1"/>
  <c r="G46" i="2" s="1"/>
  <c r="E47" i="2"/>
  <c r="F47" i="2" s="1"/>
  <c r="G47" i="2" s="1"/>
  <c r="E48" i="2"/>
  <c r="F48" i="2" s="1"/>
  <c r="G48" i="2" s="1"/>
  <c r="E49" i="2"/>
  <c r="F49" i="2" s="1"/>
  <c r="G49" i="2" s="1"/>
  <c r="E50" i="2"/>
  <c r="F50" i="2" s="1"/>
  <c r="G50" i="2" s="1"/>
  <c r="E51" i="2"/>
  <c r="E52" i="2"/>
  <c r="F52" i="2" s="1"/>
  <c r="G52" i="2" s="1"/>
  <c r="E53" i="2"/>
  <c r="F53" i="2" s="1"/>
  <c r="G53" i="2" s="1"/>
  <c r="E54" i="2"/>
  <c r="F54" i="2" s="1"/>
  <c r="G54" i="2" s="1"/>
  <c r="E55" i="2"/>
  <c r="F55" i="2" s="1"/>
  <c r="G55" i="2" s="1"/>
  <c r="E56" i="2"/>
  <c r="F56" i="2" s="1"/>
  <c r="G56" i="2" s="1"/>
  <c r="E57" i="2"/>
  <c r="E58" i="2"/>
  <c r="F58" i="2" s="1"/>
  <c r="G58" i="2" s="1"/>
  <c r="E59" i="2"/>
  <c r="F59" i="2" s="1"/>
  <c r="G59" i="2" s="1"/>
  <c r="E60" i="2"/>
  <c r="F60" i="2" s="1"/>
  <c r="G60" i="2" s="1"/>
  <c r="E61" i="2"/>
  <c r="F61" i="2" s="1"/>
  <c r="G61" i="2" s="1"/>
  <c r="E62" i="2"/>
  <c r="F62" i="2" s="1"/>
  <c r="G62" i="2" s="1"/>
  <c r="E63" i="2"/>
  <c r="E64" i="2"/>
  <c r="F64" i="2" s="1"/>
  <c r="G64" i="2" s="1"/>
  <c r="E65" i="2"/>
  <c r="F65" i="2" s="1"/>
  <c r="G65" i="2" s="1"/>
  <c r="E66" i="2"/>
  <c r="F66" i="2" s="1"/>
  <c r="G66" i="2" s="1"/>
  <c r="E67" i="2"/>
  <c r="F67" i="2" s="1"/>
  <c r="G67" i="2" s="1"/>
  <c r="E68" i="2"/>
  <c r="F68" i="2" s="1"/>
  <c r="G68" i="2" s="1"/>
  <c r="E69" i="2"/>
  <c r="E70" i="2"/>
  <c r="F70" i="2" s="1"/>
  <c r="G70" i="2" s="1"/>
  <c r="E71" i="2"/>
  <c r="F71" i="2" s="1"/>
  <c r="G71" i="2" s="1"/>
  <c r="E72" i="2"/>
  <c r="F72" i="2" s="1"/>
  <c r="G72" i="2" s="1"/>
  <c r="E73" i="2"/>
  <c r="F73" i="2" s="1"/>
  <c r="G73" i="2" s="1"/>
  <c r="E74" i="2"/>
  <c r="F74" i="2" s="1"/>
  <c r="G74" i="2" s="1"/>
  <c r="E75" i="2"/>
  <c r="E76" i="2"/>
  <c r="F76" i="2" s="1"/>
  <c r="G76" i="2" s="1"/>
  <c r="E77" i="2"/>
  <c r="F77" i="2" s="1"/>
  <c r="G77" i="2" s="1"/>
  <c r="E78" i="2"/>
  <c r="F78" i="2" s="1"/>
  <c r="G78" i="2" s="1"/>
  <c r="E79" i="2"/>
  <c r="F79" i="2" s="1"/>
  <c r="G79" i="2" s="1"/>
  <c r="E80" i="2"/>
  <c r="F80" i="2" s="1"/>
  <c r="G80" i="2" s="1"/>
  <c r="E81" i="2"/>
  <c r="E82" i="2"/>
  <c r="F82" i="2" s="1"/>
  <c r="G82" i="2" s="1"/>
  <c r="E83" i="2"/>
  <c r="F83" i="2" s="1"/>
  <c r="G83" i="2" s="1"/>
  <c r="E84" i="2"/>
  <c r="F84" i="2" s="1"/>
  <c r="G84" i="2" s="1"/>
  <c r="E85" i="2"/>
  <c r="F85" i="2" s="1"/>
  <c r="G85" i="2" s="1"/>
  <c r="E86" i="2"/>
  <c r="F86" i="2" s="1"/>
  <c r="G86" i="2" s="1"/>
  <c r="E87" i="2"/>
  <c r="E88" i="2"/>
  <c r="F88" i="2" s="1"/>
  <c r="G88" i="2" s="1"/>
  <c r="E89" i="2"/>
  <c r="F89" i="2" s="1"/>
  <c r="G89" i="2" s="1"/>
  <c r="E90" i="2"/>
  <c r="F90" i="2" s="1"/>
  <c r="G90" i="2" s="1"/>
  <c r="E91" i="2"/>
  <c r="F91" i="2" s="1"/>
  <c r="G91" i="2" s="1"/>
  <c r="E92" i="2"/>
  <c r="F92" i="2" s="1"/>
  <c r="G92" i="2" s="1"/>
  <c r="E93" i="2"/>
  <c r="E94" i="2"/>
  <c r="F94" i="2" s="1"/>
  <c r="G94" i="2" s="1"/>
  <c r="D136" i="2" l="1"/>
  <c r="D131" i="2"/>
  <c r="F93" i="2"/>
  <c r="G93" i="2" s="1"/>
  <c r="F87" i="2"/>
  <c r="G87" i="2" s="1"/>
  <c r="F81" i="2"/>
  <c r="G81" i="2" s="1"/>
  <c r="F69" i="2"/>
  <c r="G69" i="2" s="1"/>
  <c r="F63" i="2"/>
  <c r="G63" i="2" s="1"/>
  <c r="D130" i="2" s="1"/>
  <c r="F57" i="2"/>
  <c r="G57" i="2" s="1"/>
  <c r="F51" i="2"/>
  <c r="G51" i="2" s="1"/>
  <c r="F45" i="2"/>
  <c r="G45" i="2" s="1"/>
  <c r="F39" i="2"/>
  <c r="G39" i="2" s="1"/>
  <c r="F33" i="2"/>
  <c r="G33" i="2" s="1"/>
  <c r="F27" i="2"/>
  <c r="G27" i="2" s="1"/>
  <c r="F21" i="2"/>
  <c r="G21" i="2" s="1"/>
  <c r="F75" i="2"/>
  <c r="G75" i="2" s="1"/>
  <c r="C132" i="2" l="1"/>
  <c r="D120" i="2"/>
  <c r="D121" i="2" l="1"/>
  <c r="D126" i="2" s="1"/>
  <c r="B132" i="2"/>
  <c r="C122" i="2" l="1"/>
  <c r="B122" i="2"/>
  <c r="F122" i="2"/>
  <c r="F132" i="2" s="1"/>
</calcChain>
</file>

<file path=xl/sharedStrings.xml><?xml version="1.0" encoding="utf-8"?>
<sst xmlns="http://schemas.openxmlformats.org/spreadsheetml/2006/main" count="314" uniqueCount="35">
  <si>
    <t>Time</t>
  </si>
  <si>
    <t>Max Amp</t>
  </si>
  <si>
    <t>Storm 2</t>
  </si>
  <si>
    <t>Impulses/s</t>
  </si>
  <si>
    <t>Tau (Pa)</t>
  </si>
  <si>
    <t>Dmax (mm)</t>
  </si>
  <si>
    <t>Storm 3</t>
  </si>
  <si>
    <t>Storm 4</t>
  </si>
  <si>
    <t>Storm 5</t>
  </si>
  <si>
    <t>Storm 6</t>
  </si>
  <si>
    <t>Storm 7</t>
  </si>
  <si>
    <t xml:space="preserve">Imp/s * MaxAmp </t>
  </si>
  <si>
    <t>Imp/s</t>
  </si>
  <si>
    <t>Imp/s * MaxAmp</t>
  </si>
  <si>
    <t>Ch1 Impulses</t>
  </si>
  <si>
    <t>1)</t>
  </si>
  <si>
    <t xml:space="preserve">2) </t>
  </si>
  <si>
    <t xml:space="preserve">3) </t>
  </si>
  <si>
    <t xml:space="preserve">Interpolated Rising D50 </t>
  </si>
  <si>
    <t xml:space="preserve">Interpolated Rising D84 </t>
  </si>
  <si>
    <t xml:space="preserve">Exceedance of D50 </t>
  </si>
  <si>
    <t xml:space="preserve">4) </t>
  </si>
  <si>
    <t>Exceedance of D84</t>
  </si>
  <si>
    <t xml:space="preserve">5) </t>
  </si>
  <si>
    <t xml:space="preserve">Interpolated Falling  D50 </t>
  </si>
  <si>
    <t xml:space="preserve">6) </t>
  </si>
  <si>
    <t>Interpolated Falling  D84</t>
  </si>
  <si>
    <t xml:space="preserve">7) </t>
  </si>
  <si>
    <t>Shortfall of D50</t>
  </si>
  <si>
    <t>Shortfall of D84</t>
  </si>
  <si>
    <t>D84 not exceeded this storm</t>
  </si>
  <si>
    <t>D50 not exceeded this storm</t>
  </si>
  <si>
    <t>Spring</t>
  </si>
  <si>
    <t>impact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</si>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</sst>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.000000"/>
    <numFmt numFmtId="166" formatCode="0.00000"/>
    <numFmt numFmtId="167" formatCode="0.0000"/>
    <numFmt numFmtId="168" formatCode="0.000"/>
    <numFmt numFmtId="169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22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167" fontId="1" fillId="0" borderId="0" xfId="0" applyNumberFormat="1" applyFont="1" applyAlignment="1">
      <alignment horizontal="center"/>
    </xf>
    <xf numFmtId="0" fontId="1" fillId="4" borderId="0" xfId="0" applyFont="1" applyFill="1"/>
    <xf numFmtId="2" fontId="1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168" fontId="0" fillId="3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22" fontId="0" fillId="6" borderId="0" xfId="0" applyNumberFormat="1" applyFill="1" applyAlignment="1">
      <alignment horizontal="center"/>
    </xf>
    <xf numFmtId="167" fontId="0" fillId="6" borderId="0" xfId="0" applyNumberFormat="1" applyFill="1" applyAlignment="1">
      <alignment horizontal="center"/>
    </xf>
    <xf numFmtId="166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168" fontId="1" fillId="0" borderId="0" xfId="0" applyNumberFormat="1" applyFont="1" applyAlignment="1">
      <alignment horizontal="center"/>
    </xf>
    <xf numFmtId="22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1" fillId="9" borderId="0" xfId="0" applyFont="1" applyFill="1" applyAlignment="1">
      <alignment horizontal="center"/>
    </xf>
    <xf numFmtId="22" fontId="0" fillId="2" borderId="0" xfId="0" applyNumberFormat="1" applyFill="1" applyAlignment="1">
      <alignment horizontal="center"/>
    </xf>
    <xf numFmtId="169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22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2" fontId="0" fillId="11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1" fillId="12" borderId="0" xfId="0" applyFont="1" applyFill="1" applyAlignment="1">
      <alignment horizontal="center"/>
    </xf>
    <xf numFmtId="22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0" fontId="0" fillId="13" borderId="0" xfId="0" applyFill="1"/>
    <xf numFmtId="167" fontId="0" fillId="13" borderId="0" xfId="0" applyNumberFormat="1" applyFill="1" applyAlignment="1">
      <alignment horizontal="center"/>
    </xf>
    <xf numFmtId="167" fontId="0" fillId="8" borderId="0" xfId="0" applyNumberFormat="1" applyFill="1" applyAlignment="1">
      <alignment horizontal="center"/>
    </xf>
    <xf numFmtId="166" fontId="0" fillId="8" borderId="0" xfId="0" applyNumberFormat="1" applyFill="1" applyAlignment="1">
      <alignment horizontal="center"/>
    </xf>
    <xf numFmtId="166" fontId="0" fillId="11" borderId="0" xfId="0" applyNumberFormat="1" applyFill="1" applyAlignment="1">
      <alignment horizontal="center"/>
    </xf>
    <xf numFmtId="167" fontId="0" fillId="11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0" fontId="1" fillId="8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22" fontId="1" fillId="0" borderId="0" xfId="0" applyNumberFormat="1" applyFont="1" applyAlignment="1">
      <alignment horizontal="center"/>
    </xf>
    <xf numFmtId="0" fontId="1" fillId="0" borderId="0" xfId="0" applyFont="1"/>
    <xf numFmtId="0" fontId="1" fillId="4" borderId="2" xfId="0" applyFon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1" fillId="11" borderId="2" xfId="0" applyNumberFormat="1" applyFont="1" applyFill="1" applyBorder="1" applyAlignment="1">
      <alignment horizontal="center"/>
    </xf>
    <xf numFmtId="2" fontId="1" fillId="8" borderId="2" xfId="0" applyNumberFormat="1" applyFont="1" applyFill="1" applyBorder="1" applyAlignment="1">
      <alignment horizontal="center"/>
    </xf>
    <xf numFmtId="22" fontId="1" fillId="3" borderId="0" xfId="0" applyNumberFormat="1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22" fontId="1" fillId="6" borderId="0" xfId="0" applyNumberFormat="1" applyFont="1" applyFill="1" applyAlignment="1">
      <alignment horizontal="center"/>
    </xf>
    <xf numFmtId="2" fontId="0" fillId="13" borderId="0" xfId="0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0" fontId="1" fillId="7" borderId="1" xfId="0" applyFont="1" applyFill="1" applyBorder="1" applyAlignment="1">
      <alignment horizontal="center"/>
    </xf>
    <xf numFmtId="168" fontId="0" fillId="8" borderId="1" xfId="0" applyNumberFormat="1" applyFill="1" applyBorder="1" applyAlignment="1">
      <alignment horizontal="center"/>
    </xf>
    <xf numFmtId="168" fontId="1" fillId="8" borderId="1" xfId="0" applyNumberFormat="1" applyFont="1" applyFill="1" applyBorder="1" applyAlignment="1">
      <alignment horizontal="center"/>
    </xf>
    <xf numFmtId="168" fontId="1" fillId="11" borderId="1" xfId="0" applyNumberFormat="1" applyFont="1" applyFill="1" applyBorder="1" applyAlignment="1">
      <alignment horizontal="center"/>
    </xf>
    <xf numFmtId="168" fontId="0" fillId="11" borderId="1" xfId="0" applyNumberFormat="1" applyFill="1" applyBorder="1" applyAlignment="1">
      <alignment horizontal="center"/>
    </xf>
    <xf numFmtId="22" fontId="1" fillId="8" borderId="0" xfId="0" applyNumberFormat="1" applyFont="1" applyFill="1" applyAlignment="1">
      <alignment horizontal="center"/>
    </xf>
    <xf numFmtId="167" fontId="1" fillId="8" borderId="0" xfId="0" applyNumberFormat="1" applyFont="1" applyFill="1" applyAlignment="1">
      <alignment horizontal="center"/>
    </xf>
    <xf numFmtId="0" fontId="1" fillId="9" borderId="1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167" fontId="0" fillId="13" borderId="1" xfId="0" applyNumberFormat="1" applyFill="1" applyBorder="1" applyAlignment="1">
      <alignment horizontal="center"/>
    </xf>
    <xf numFmtId="22" fontId="1" fillId="11" borderId="0" xfId="0" applyNumberFormat="1" applyFont="1" applyFill="1" applyAlignment="1">
      <alignment horizontal="center"/>
    </xf>
    <xf numFmtId="167" fontId="1" fillId="11" borderId="0" xfId="0" applyNumberFormat="1" applyFont="1" applyFill="1" applyAlignment="1">
      <alignment horizontal="center"/>
    </xf>
    <xf numFmtId="22" fontId="1" fillId="2" borderId="0" xfId="0" applyNumberFormat="1" applyFont="1" applyFill="1" applyAlignment="1">
      <alignment horizontal="center"/>
    </xf>
    <xf numFmtId="167" fontId="1" fillId="11" borderId="1" xfId="0" applyNumberFormat="1" applyFont="1" applyFill="1" applyBorder="1" applyAlignment="1">
      <alignment horizontal="center"/>
    </xf>
    <xf numFmtId="168" fontId="1" fillId="11" borderId="0" xfId="0" applyNumberFormat="1" applyFont="1" applyFill="1" applyAlignment="1">
      <alignment horizontal="center"/>
    </xf>
    <xf numFmtId="167" fontId="1" fillId="8" borderId="1" xfId="0" applyNumberFormat="1" applyFont="1" applyFill="1" applyBorder="1" applyAlignment="1">
      <alignment horizontal="center"/>
    </xf>
    <xf numFmtId="168" fontId="1" fillId="2" borderId="0" xfId="0" applyNumberFormat="1" applyFont="1" applyFill="1" applyAlignment="1">
      <alignment horizontal="center"/>
    </xf>
    <xf numFmtId="168" fontId="1" fillId="8" borderId="0" xfId="0" applyNumberFormat="1" applyFont="1" applyFill="1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1" fontId="0" fillId="11" borderId="0" xfId="0" applyNumberFormat="1" applyFill="1" applyAlignment="1">
      <alignment horizontal="center"/>
    </xf>
    <xf numFmtId="166" fontId="1" fillId="11" borderId="0" xfId="0" applyNumberFormat="1" applyFont="1" applyFill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center"/>
    </xf>
    <xf numFmtId="167" fontId="0" fillId="13" borderId="0" xfId="0" applyNumberFormat="1" applyFill="1" applyAlignment="1">
      <alignment horizontal="left"/>
    </xf>
    <xf numFmtId="166" fontId="1" fillId="8" borderId="0" xfId="0" applyNumberFormat="1" applyFont="1" applyFill="1" applyAlignment="1">
      <alignment horizontal="center"/>
    </xf>
    <xf numFmtId="0" fontId="0" fillId="11" borderId="0" xfId="0" applyFill="1"/>
    <xf numFmtId="0" fontId="0" fillId="8" borderId="0" xfId="0" applyFill="1"/>
    <xf numFmtId="2" fontId="1" fillId="8" borderId="0" xfId="0" applyNumberFormat="1" applyFont="1" applyFill="1" applyAlignment="1">
      <alignment horizontal="center"/>
    </xf>
    <xf numFmtId="168" fontId="0" fillId="0" borderId="0" xfId="0" applyNumberFormat="1" applyAlignment="1">
      <alignment horizontal="center"/>
    </xf>
    <xf numFmtId="166" fontId="0" fillId="0" borderId="0" xfId="0" applyNumberFormat="1"/>
    <xf numFmtId="22" fontId="0" fillId="0" borderId="0" xfId="0" applyNumberFormat="1"/>
    <xf numFmtId="168" fontId="0" fillId="2" borderId="0" xfId="0" applyNumberFormat="1" applyFill="1" applyAlignment="1">
      <alignment horizontal="center"/>
    </xf>
    <xf numFmtId="2" fontId="1" fillId="11" borderId="0" xfId="0" applyNumberFormat="1" applyFont="1" applyFill="1" applyAlignment="1">
      <alignment horizontal="center"/>
    </xf>
    <xf numFmtId="22" fontId="1" fillId="13" borderId="0" xfId="0" applyNumberFormat="1" applyFont="1" applyFill="1" applyAlignment="1">
      <alignment horizontal="center"/>
    </xf>
    <xf numFmtId="167" fontId="0" fillId="8" borderId="0" xfId="0" applyNumberFormat="1" applyFill="1" applyAlignment="1">
      <alignment horizontal="left"/>
    </xf>
    <xf numFmtId="167" fontId="0" fillId="0" borderId="0" xfId="0" applyNumberFormat="1" applyAlignment="1">
      <alignment horizontal="left"/>
    </xf>
    <xf numFmtId="167" fontId="0" fillId="11" borderId="0" xfId="0" applyNumberFormat="1" applyFill="1" applyAlignment="1">
      <alignment horizontal="left"/>
    </xf>
    <xf numFmtId="165" fontId="0" fillId="0" borderId="0" xfId="0" applyNumberFormat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11" borderId="0" xfId="0" applyNumberFormat="1" applyFill="1" applyAlignment="1">
      <alignment horizontal="center"/>
    </xf>
    <xf numFmtId="165" fontId="0" fillId="8" borderId="0" xfId="0" applyNumberForma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168" fontId="0" fillId="3" borderId="1" xfId="0" applyNumberFormat="1" applyFill="1" applyBorder="1" applyAlignment="1">
      <alignment horizontal="center"/>
    </xf>
    <xf numFmtId="168" fontId="0" fillId="11" borderId="0" xfId="0" applyNumberFormat="1" applyFill="1" applyAlignment="1">
      <alignment horizontal="center"/>
    </xf>
    <xf numFmtId="168" fontId="0" fillId="8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2 - Calculated</a:t>
            </a:r>
            <a:r>
              <a:rPr lang="en-US" baseline="0"/>
              <a:t> Grain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funct'!$A$3:$A$94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'storms - seasonal amp funct'!$C$3:$C$94</c:f>
              <c:numCache>
                <c:formatCode>0.00000</c:formatCode>
                <c:ptCount val="92"/>
                <c:pt idx="0">
                  <c:v>0.76957219099999996</c:v>
                </c:pt>
                <c:pt idx="1">
                  <c:v>0.771817164</c:v>
                </c:pt>
                <c:pt idx="2">
                  <c:v>0.78552173950000004</c:v>
                </c:pt>
                <c:pt idx="3">
                  <c:v>0.77333739349999997</c:v>
                </c:pt>
                <c:pt idx="4">
                  <c:v>0.69855224699999996</c:v>
                </c:pt>
                <c:pt idx="5">
                  <c:v>0.71226070049999901</c:v>
                </c:pt>
                <c:pt idx="6">
                  <c:v>0.773592222</c:v>
                </c:pt>
                <c:pt idx="7">
                  <c:v>0.76798645399999999</c:v>
                </c:pt>
                <c:pt idx="8">
                  <c:v>0.7563906655</c:v>
                </c:pt>
                <c:pt idx="9">
                  <c:v>0.72541048299999999</c:v>
                </c:pt>
                <c:pt idx="10">
                  <c:v>0.74867457049999997</c:v>
                </c:pt>
                <c:pt idx="11">
                  <c:v>0.77382161049999998</c:v>
                </c:pt>
                <c:pt idx="12">
                  <c:v>0.75131557849999997</c:v>
                </c:pt>
                <c:pt idx="13">
                  <c:v>0.75904434850000002</c:v>
                </c:pt>
                <c:pt idx="14">
                  <c:v>0.67891565050000002</c:v>
                </c:pt>
                <c:pt idx="15">
                  <c:v>0.70024108200000001</c:v>
                </c:pt>
                <c:pt idx="16">
                  <c:v>0.740701163</c:v>
                </c:pt>
                <c:pt idx="17">
                  <c:v>0.74046465699999997</c:v>
                </c:pt>
                <c:pt idx="18">
                  <c:v>0.74873955049999996</c:v>
                </c:pt>
                <c:pt idx="19">
                  <c:v>0.73845619600000001</c:v>
                </c:pt>
                <c:pt idx="20">
                  <c:v>0.726575334499999</c:v>
                </c:pt>
                <c:pt idx="21">
                  <c:v>0.78202204350000004</c:v>
                </c:pt>
                <c:pt idx="22">
                  <c:v>0.83594533650000002</c:v>
                </c:pt>
                <c:pt idx="23">
                  <c:v>0.78025976949999998</c:v>
                </c:pt>
                <c:pt idx="24">
                  <c:v>0.75657462549999999</c:v>
                </c:pt>
                <c:pt idx="25">
                  <c:v>0.70298291499999999</c:v>
                </c:pt>
                <c:pt idx="26">
                  <c:v>0.68254177999999999</c:v>
                </c:pt>
                <c:pt idx="27">
                  <c:v>0.684465781</c:v>
                </c:pt>
                <c:pt idx="28">
                  <c:v>0.69437548549999994</c:v>
                </c:pt>
                <c:pt idx="29">
                  <c:v>0.7037178785</c:v>
                </c:pt>
                <c:pt idx="30">
                  <c:v>0.672222341</c:v>
                </c:pt>
                <c:pt idx="31">
                  <c:v>0.67980481400000004</c:v>
                </c:pt>
                <c:pt idx="32">
                  <c:v>0.74230587949999904</c:v>
                </c:pt>
                <c:pt idx="33">
                  <c:v>0.76352864149999999</c:v>
                </c:pt>
                <c:pt idx="34">
                  <c:v>0.72191215399999997</c:v>
                </c:pt>
                <c:pt idx="35">
                  <c:v>0.72191215399999997</c:v>
                </c:pt>
                <c:pt idx="36">
                  <c:v>0.77710206100000001</c:v>
                </c:pt>
                <c:pt idx="37">
                  <c:v>0.73831050949999999</c:v>
                </c:pt>
                <c:pt idx="38">
                  <c:v>0.65388842250000001</c:v>
                </c:pt>
                <c:pt idx="39">
                  <c:v>0.66321230600000003</c:v>
                </c:pt>
                <c:pt idx="40">
                  <c:v>0.73972780449999997</c:v>
                </c:pt>
                <c:pt idx="41">
                  <c:v>0.72333429699999996</c:v>
                </c:pt>
                <c:pt idx="42">
                  <c:v>0.71002781749999999</c:v>
                </c:pt>
                <c:pt idx="43">
                  <c:v>0.72868923050000001</c:v>
                </c:pt>
                <c:pt idx="44">
                  <c:v>0.66863318549999995</c:v>
                </c:pt>
                <c:pt idx="45">
                  <c:v>0.65794700399999995</c:v>
                </c:pt>
                <c:pt idx="46">
                  <c:v>0.69552619199999999</c:v>
                </c:pt>
                <c:pt idx="47">
                  <c:v>0.73331566249999902</c:v>
                </c:pt>
                <c:pt idx="48">
                  <c:v>0.74682702999999995</c:v>
                </c:pt>
                <c:pt idx="49">
                  <c:v>0.76967573</c:v>
                </c:pt>
                <c:pt idx="50">
                  <c:v>0.7477791265</c:v>
                </c:pt>
                <c:pt idx="51">
                  <c:v>0.71824162000000003</c:v>
                </c:pt>
                <c:pt idx="52">
                  <c:v>0.72944691949999996</c:v>
                </c:pt>
                <c:pt idx="53">
                  <c:v>0.68032893350000001</c:v>
                </c:pt>
                <c:pt idx="54">
                  <c:v>0.62184915699999999</c:v>
                </c:pt>
                <c:pt idx="55">
                  <c:v>0.63156217000000003</c:v>
                </c:pt>
                <c:pt idx="56">
                  <c:v>0.66496995749999999</c:v>
                </c:pt>
                <c:pt idx="57">
                  <c:v>0.67182250649999997</c:v>
                </c:pt>
                <c:pt idx="58">
                  <c:v>0.69815132099999999</c:v>
                </c:pt>
                <c:pt idx="59">
                  <c:v>1.3141996124999999</c:v>
                </c:pt>
                <c:pt idx="60">
                  <c:v>12.6789259225</c:v>
                </c:pt>
                <c:pt idx="61">
                  <c:v>22.620213794999898</c:v>
                </c:pt>
                <c:pt idx="62">
                  <c:v>19.508647905</c:v>
                </c:pt>
                <c:pt idx="63">
                  <c:v>15.20489341</c:v>
                </c:pt>
                <c:pt idx="64">
                  <c:v>17.173613769999999</c:v>
                </c:pt>
                <c:pt idx="65">
                  <c:v>19.879890565</c:v>
                </c:pt>
                <c:pt idx="66">
                  <c:v>18.271869219999999</c:v>
                </c:pt>
                <c:pt idx="67">
                  <c:v>17.106053899999999</c:v>
                </c:pt>
                <c:pt idx="68">
                  <c:v>15.6821315249999</c:v>
                </c:pt>
                <c:pt idx="69">
                  <c:v>15.17592808</c:v>
                </c:pt>
                <c:pt idx="70">
                  <c:v>14.28611474</c:v>
                </c:pt>
                <c:pt idx="71">
                  <c:v>11.657254006500001</c:v>
                </c:pt>
                <c:pt idx="72">
                  <c:v>9.6026396404999996</c:v>
                </c:pt>
                <c:pt idx="73">
                  <c:v>9.2022879035000003</c:v>
                </c:pt>
                <c:pt idx="74">
                  <c:v>7.7941709709999998</c:v>
                </c:pt>
                <c:pt idx="75">
                  <c:v>5.7733400259999996</c:v>
                </c:pt>
                <c:pt idx="76">
                  <c:v>5.1560535449999998</c:v>
                </c:pt>
                <c:pt idx="77">
                  <c:v>4.4556949205</c:v>
                </c:pt>
                <c:pt idx="78">
                  <c:v>3.5644504299999999</c:v>
                </c:pt>
                <c:pt idx="79">
                  <c:v>3.44414985149999</c:v>
                </c:pt>
                <c:pt idx="80">
                  <c:v>3.4561308749999999</c:v>
                </c:pt>
                <c:pt idx="81">
                  <c:v>3.188326338</c:v>
                </c:pt>
                <c:pt idx="82">
                  <c:v>2.8661624744999998</c:v>
                </c:pt>
                <c:pt idx="83">
                  <c:v>2.6512377974999999</c:v>
                </c:pt>
                <c:pt idx="84">
                  <c:v>2.6445850609999999</c:v>
                </c:pt>
                <c:pt idx="85">
                  <c:v>2.3885584199999998</c:v>
                </c:pt>
                <c:pt idx="86">
                  <c:v>2.4828400044999999</c:v>
                </c:pt>
                <c:pt idx="87">
                  <c:v>2.5050373965000001</c:v>
                </c:pt>
                <c:pt idx="88">
                  <c:v>2.248553292</c:v>
                </c:pt>
                <c:pt idx="89">
                  <c:v>2.1564305309999998</c:v>
                </c:pt>
                <c:pt idx="90">
                  <c:v>2.2236830264999998</c:v>
                </c:pt>
                <c:pt idx="91">
                  <c:v>2.2059633774999998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67-44BC-B740-70A0200B5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1"/>
          <c:tx>
            <c:strRef>
              <c:f>'storms - seasonal amp funct'!$G$2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funct'!$A$3:$A$94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'storms - seasonal amp funct'!$G$3:$G$94</c:f>
              <c:numCache>
                <c:formatCode>0.00</c:formatCode>
                <c:ptCount val="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65.822865624683701</c:v>
                </c:pt>
                <c:pt idx="61">
                  <c:v>40.60539343810273</c:v>
                </c:pt>
                <c:pt idx="62">
                  <c:v>39.070926999978816</c:v>
                </c:pt>
                <c:pt idx="63">
                  <c:v>38.344927933823634</c:v>
                </c:pt>
                <c:pt idx="64">
                  <c:v>35.412622817767684</c:v>
                </c:pt>
                <c:pt idx="65">
                  <c:v>37.439943343871057</c:v>
                </c:pt>
                <c:pt idx="66">
                  <c:v>38.157633950678012</c:v>
                </c:pt>
                <c:pt idx="67">
                  <c:v>36.539232948868779</c:v>
                </c:pt>
                <c:pt idx="68">
                  <c:v>37.37611570849981</c:v>
                </c:pt>
                <c:pt idx="69">
                  <c:v>36.062337992855838</c:v>
                </c:pt>
                <c:pt idx="70">
                  <c:v>34.770135054176386</c:v>
                </c:pt>
                <c:pt idx="71">
                  <c:v>25.160588325545419</c:v>
                </c:pt>
                <c:pt idx="72">
                  <c:v>6.7436181639625463</c:v>
                </c:pt>
                <c:pt idx="73">
                  <c:v>4.3747002857451873</c:v>
                </c:pt>
                <c:pt idx="74">
                  <c:v>1.161167926498651</c:v>
                </c:pt>
                <c:pt idx="75">
                  <c:v>7.705867191598384E-2</c:v>
                </c:pt>
                <c:pt idx="76">
                  <c:v>6.3846202544235883E-2</c:v>
                </c:pt>
                <c:pt idx="77">
                  <c:v>1.2777120724543796E-2</c:v>
                </c:pt>
                <c:pt idx="78">
                  <c:v>0</c:v>
                </c:pt>
                <c:pt idx="79">
                  <c:v>0</c:v>
                </c:pt>
                <c:pt idx="80">
                  <c:v>1.7093023994707046E-3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E67-44BC-B740-70A0200B5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903680"/>
        <c:axId val="1068907520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068907520"/>
        <c:scaling>
          <c:orientation val="minMax"/>
          <c:min val="0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903680"/>
        <c:crosses val="max"/>
        <c:crossBetween val="midCat"/>
      </c:valAx>
      <c:valAx>
        <c:axId val="1068903680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06890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3 - Calculated</a:t>
            </a:r>
            <a:r>
              <a:rPr lang="en-US" baseline="0"/>
              <a:t> Grain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funct'!$I$3:$I$99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'storms - seasonal amp funct'!$K$3:$K$99</c:f>
              <c:numCache>
                <c:formatCode>0.00000</c:formatCode>
                <c:ptCount val="97"/>
                <c:pt idx="0">
                  <c:v>1.4441644075</c:v>
                </c:pt>
                <c:pt idx="1">
                  <c:v>1.5123822984999999</c:v>
                </c:pt>
                <c:pt idx="2">
                  <c:v>1.3533179835</c:v>
                </c:pt>
                <c:pt idx="3">
                  <c:v>1.3056302835</c:v>
                </c:pt>
                <c:pt idx="4">
                  <c:v>1.3930697775000001</c:v>
                </c:pt>
                <c:pt idx="5">
                  <c:v>1.357638297</c:v>
                </c:pt>
                <c:pt idx="6">
                  <c:v>1.362681324</c:v>
                </c:pt>
                <c:pt idx="7">
                  <c:v>1.428025611</c:v>
                </c:pt>
                <c:pt idx="8">
                  <c:v>1.4664620669999999</c:v>
                </c:pt>
                <c:pt idx="9">
                  <c:v>1.3805518125</c:v>
                </c:pt>
                <c:pt idx="10">
                  <c:v>1.321577692</c:v>
                </c:pt>
                <c:pt idx="11">
                  <c:v>1.3305822285</c:v>
                </c:pt>
                <c:pt idx="12">
                  <c:v>1.3305822285</c:v>
                </c:pt>
                <c:pt idx="13">
                  <c:v>1.3962008465</c:v>
                </c:pt>
                <c:pt idx="14">
                  <c:v>1.4174729134999999</c:v>
                </c:pt>
                <c:pt idx="15">
                  <c:v>1.3100260825000001</c:v>
                </c:pt>
                <c:pt idx="16">
                  <c:v>1.2590209525</c:v>
                </c:pt>
                <c:pt idx="17">
                  <c:v>1.3008491654999901</c:v>
                </c:pt>
                <c:pt idx="18">
                  <c:v>1.3675681405</c:v>
                </c:pt>
                <c:pt idx="19">
                  <c:v>1.3727610129999901</c:v>
                </c:pt>
                <c:pt idx="20">
                  <c:v>1.3106306169999999</c:v>
                </c:pt>
                <c:pt idx="21">
                  <c:v>1.3304172409999999</c:v>
                </c:pt>
                <c:pt idx="22">
                  <c:v>1.2636095315</c:v>
                </c:pt>
                <c:pt idx="23">
                  <c:v>1.269803263</c:v>
                </c:pt>
                <c:pt idx="24">
                  <c:v>1.3586243874999999</c:v>
                </c:pt>
                <c:pt idx="25">
                  <c:v>1.3056302835</c:v>
                </c:pt>
                <c:pt idx="26">
                  <c:v>1.2676346135000001</c:v>
                </c:pt>
                <c:pt idx="27">
                  <c:v>1.2868847735</c:v>
                </c:pt>
                <c:pt idx="28">
                  <c:v>1.2461573855000001</c:v>
                </c:pt>
                <c:pt idx="29">
                  <c:v>1.2263406489999999</c:v>
                </c:pt>
                <c:pt idx="30">
                  <c:v>1.2605418435</c:v>
                </c:pt>
                <c:pt idx="31">
                  <c:v>1.2897381324999999</c:v>
                </c:pt>
                <c:pt idx="32">
                  <c:v>1.326867053</c:v>
                </c:pt>
                <c:pt idx="33">
                  <c:v>1.314942037</c:v>
                </c:pt>
                <c:pt idx="34">
                  <c:v>1.3033880545000001</c:v>
                </c:pt>
                <c:pt idx="35">
                  <c:v>1.2281127095</c:v>
                </c:pt>
                <c:pt idx="36">
                  <c:v>1.1599344165000001</c:v>
                </c:pt>
                <c:pt idx="37">
                  <c:v>1.1715929684999999</c:v>
                </c:pt>
                <c:pt idx="38">
                  <c:v>1.142992303</c:v>
                </c:pt>
                <c:pt idx="39">
                  <c:v>1.1391712730000001</c:v>
                </c:pt>
                <c:pt idx="40">
                  <c:v>1.126503907</c:v>
                </c:pt>
                <c:pt idx="41">
                  <c:v>1.1902769595</c:v>
                </c:pt>
                <c:pt idx="42">
                  <c:v>1.228492825</c:v>
                </c:pt>
                <c:pt idx="43">
                  <c:v>1.212618097</c:v>
                </c:pt>
                <c:pt idx="44">
                  <c:v>1.2029581084999901</c:v>
                </c:pt>
                <c:pt idx="45">
                  <c:v>1.1786703704999999</c:v>
                </c:pt>
                <c:pt idx="46">
                  <c:v>1.251653779</c:v>
                </c:pt>
                <c:pt idx="47">
                  <c:v>1.2937263295000001</c:v>
                </c:pt>
                <c:pt idx="48">
                  <c:v>1.1877777380000001</c:v>
                </c:pt>
                <c:pt idx="49">
                  <c:v>1.141804142</c:v>
                </c:pt>
                <c:pt idx="50">
                  <c:v>1.2578480294999901</c:v>
                </c:pt>
                <c:pt idx="51">
                  <c:v>1.3324552590000001</c:v>
                </c:pt>
                <c:pt idx="52">
                  <c:v>1.5909838079999901</c:v>
                </c:pt>
                <c:pt idx="53">
                  <c:v>2.1687506614999998</c:v>
                </c:pt>
                <c:pt idx="54">
                  <c:v>2.3007473825</c:v>
                </c:pt>
                <c:pt idx="55">
                  <c:v>3.2652481369999999</c:v>
                </c:pt>
                <c:pt idx="56">
                  <c:v>7.0573823745000004</c:v>
                </c:pt>
                <c:pt idx="57">
                  <c:v>13.5126390895</c:v>
                </c:pt>
                <c:pt idx="58">
                  <c:v>21.08342828</c:v>
                </c:pt>
                <c:pt idx="59">
                  <c:v>28.119352749999901</c:v>
                </c:pt>
                <c:pt idx="60">
                  <c:v>32.007500319999998</c:v>
                </c:pt>
                <c:pt idx="61">
                  <c:v>31.620971515000001</c:v>
                </c:pt>
                <c:pt idx="62">
                  <c:v>30.826982135000002</c:v>
                </c:pt>
                <c:pt idx="63">
                  <c:v>30.790400730000002</c:v>
                </c:pt>
                <c:pt idx="64">
                  <c:v>28.530895780000002</c:v>
                </c:pt>
                <c:pt idx="65">
                  <c:v>25.756546825000001</c:v>
                </c:pt>
                <c:pt idx="66">
                  <c:v>23.474647859999902</c:v>
                </c:pt>
                <c:pt idx="67">
                  <c:v>20.642438585000001</c:v>
                </c:pt>
                <c:pt idx="68">
                  <c:v>18.24147606</c:v>
                </c:pt>
                <c:pt idx="69">
                  <c:v>17.286459975</c:v>
                </c:pt>
                <c:pt idx="70">
                  <c:v>16.382398909999999</c:v>
                </c:pt>
                <c:pt idx="71">
                  <c:v>14.39848273</c:v>
                </c:pt>
                <c:pt idx="72">
                  <c:v>15.218093735</c:v>
                </c:pt>
                <c:pt idx="73">
                  <c:v>13.768905965</c:v>
                </c:pt>
                <c:pt idx="74">
                  <c:v>10.713533245000001</c:v>
                </c:pt>
                <c:pt idx="75">
                  <c:v>10.73823973</c:v>
                </c:pt>
                <c:pt idx="76">
                  <c:v>9.41508928649999</c:v>
                </c:pt>
                <c:pt idx="77">
                  <c:v>9.5693059164999994</c:v>
                </c:pt>
                <c:pt idx="78">
                  <c:v>10.085595189999999</c:v>
                </c:pt>
                <c:pt idx="79">
                  <c:v>8.104838397</c:v>
                </c:pt>
                <c:pt idx="80">
                  <c:v>7.0321962280000001</c:v>
                </c:pt>
                <c:pt idx="81">
                  <c:v>7.4050236140000001</c:v>
                </c:pt>
                <c:pt idx="82">
                  <c:v>6.3432970429999997</c:v>
                </c:pt>
                <c:pt idx="83">
                  <c:v>4.9490583829999997</c:v>
                </c:pt>
                <c:pt idx="84">
                  <c:v>6.3638281955</c:v>
                </c:pt>
                <c:pt idx="85">
                  <c:v>6.4040720625000001</c:v>
                </c:pt>
                <c:pt idx="86">
                  <c:v>5.2612970189999997</c:v>
                </c:pt>
                <c:pt idx="87">
                  <c:v>5.4874552459999997</c:v>
                </c:pt>
                <c:pt idx="88">
                  <c:v>5.2076250220000002</c:v>
                </c:pt>
                <c:pt idx="89">
                  <c:v>4.6292118670000004</c:v>
                </c:pt>
                <c:pt idx="90">
                  <c:v>3.8438540350000001</c:v>
                </c:pt>
                <c:pt idx="91">
                  <c:v>3.4907628965000002</c:v>
                </c:pt>
                <c:pt idx="92">
                  <c:v>3.5250784804999999</c:v>
                </c:pt>
                <c:pt idx="93">
                  <c:v>3.3236783504999998</c:v>
                </c:pt>
                <c:pt idx="94">
                  <c:v>3.2549971329999998</c:v>
                </c:pt>
                <c:pt idx="95">
                  <c:v>3.3297358964999999</c:v>
                </c:pt>
                <c:pt idx="96">
                  <c:v>3.3683360045000001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CD-4333-BE8F-49B083016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1"/>
          <c:tx>
            <c:strRef>
              <c:f>'storms - seasonal amp funct'!$G$2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funct'!$I$3:$I$99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'storms - seasonal amp funct'!$O$3:$O$99</c:f>
              <c:numCache>
                <c:formatCode>0.00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0.44830556184661885</c:v>
                </c:pt>
                <c:pt idx="57">
                  <c:v>36.423656397931644</c:v>
                </c:pt>
                <c:pt idx="58">
                  <c:v>48.45276073386529</c:v>
                </c:pt>
                <c:pt idx="59">
                  <c:v>51.445390017485174</c:v>
                </c:pt>
                <c:pt idx="60">
                  <c:v>47.158696205275916</c:v>
                </c:pt>
                <c:pt idx="61">
                  <c:v>45.537752329471651</c:v>
                </c:pt>
                <c:pt idx="62">
                  <c:v>48.78587403727213</c:v>
                </c:pt>
                <c:pt idx="63">
                  <c:v>46.15193331130304</c:v>
                </c:pt>
                <c:pt idx="64">
                  <c:v>48.453463533531881</c:v>
                </c:pt>
                <c:pt idx="65">
                  <c:v>48.407944331463234</c:v>
                </c:pt>
                <c:pt idx="66">
                  <c:v>53.368635132427968</c:v>
                </c:pt>
                <c:pt idx="67">
                  <c:v>49.021763847064463</c:v>
                </c:pt>
                <c:pt idx="68">
                  <c:v>47.986743570063886</c:v>
                </c:pt>
                <c:pt idx="69">
                  <c:v>50.535854566874519</c:v>
                </c:pt>
                <c:pt idx="70">
                  <c:v>51.423972607895863</c:v>
                </c:pt>
                <c:pt idx="71">
                  <c:v>44.47048134074862</c:v>
                </c:pt>
                <c:pt idx="72">
                  <c:v>47.773873010011421</c:v>
                </c:pt>
                <c:pt idx="73">
                  <c:v>37.476098593540542</c:v>
                </c:pt>
                <c:pt idx="74">
                  <c:v>12.873906966404443</c:v>
                </c:pt>
                <c:pt idx="75">
                  <c:v>14.269112896832709</c:v>
                </c:pt>
                <c:pt idx="76">
                  <c:v>4.6419363196957191</c:v>
                </c:pt>
                <c:pt idx="77">
                  <c:v>5.2666458729004688</c:v>
                </c:pt>
                <c:pt idx="78">
                  <c:v>8.9148215018083601</c:v>
                </c:pt>
                <c:pt idx="79">
                  <c:v>1.404810665658996</c:v>
                </c:pt>
                <c:pt idx="80">
                  <c:v>0.49470499232312443</c:v>
                </c:pt>
                <c:pt idx="81">
                  <c:v>0.76702701256827055</c:v>
                </c:pt>
                <c:pt idx="82">
                  <c:v>0.25629817117904702</c:v>
                </c:pt>
                <c:pt idx="83">
                  <c:v>3.715586622383623E-2</c:v>
                </c:pt>
                <c:pt idx="84">
                  <c:v>0.26591793293736532</c:v>
                </c:pt>
                <c:pt idx="85">
                  <c:v>0.3066089524745983</c:v>
                </c:pt>
                <c:pt idx="86">
                  <c:v>5.9119282007881614E-2</c:v>
                </c:pt>
                <c:pt idx="87">
                  <c:v>8.7827197436030041E-2</c:v>
                </c:pt>
                <c:pt idx="88">
                  <c:v>7.730247589510135E-2</c:v>
                </c:pt>
                <c:pt idx="89">
                  <c:v>2.5461185768685266E-2</c:v>
                </c:pt>
                <c:pt idx="90">
                  <c:v>2.9469423533921568E-3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1.8903708536389735E-3</c:v>
                </c:pt>
                <c:pt idx="95">
                  <c:v>0</c:v>
                </c:pt>
                <c:pt idx="96">
                  <c:v>1.3831018718351777E-3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CD-4333-BE8F-49B083016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  <c:max val="7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4 -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funct'!$Q$3:$Q$100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'storms - seasonal amp funct'!$S$3:$S$100</c:f>
              <c:numCache>
                <c:formatCode>0.0000</c:formatCode>
                <c:ptCount val="98"/>
                <c:pt idx="0">
                  <c:v>0.85462156099999997</c:v>
                </c:pt>
                <c:pt idx="1">
                  <c:v>0.99067576999999996</c:v>
                </c:pt>
                <c:pt idx="2">
                  <c:v>1.1441742989999999</c:v>
                </c:pt>
                <c:pt idx="3">
                  <c:v>0.73432993800000002</c:v>
                </c:pt>
                <c:pt idx="4">
                  <c:v>1.317101139</c:v>
                </c:pt>
                <c:pt idx="5">
                  <c:v>1.1441742989999999</c:v>
                </c:pt>
                <c:pt idx="6">
                  <c:v>1.257509953</c:v>
                </c:pt>
                <c:pt idx="7">
                  <c:v>0.85462156099999997</c:v>
                </c:pt>
                <c:pt idx="8">
                  <c:v>1.257509953</c:v>
                </c:pt>
                <c:pt idx="9">
                  <c:v>0.85462156099999997</c:v>
                </c:pt>
                <c:pt idx="10">
                  <c:v>0.99067576999999996</c:v>
                </c:pt>
                <c:pt idx="11">
                  <c:v>0.99067576999999996</c:v>
                </c:pt>
                <c:pt idx="12">
                  <c:v>0.99067576999999996</c:v>
                </c:pt>
                <c:pt idx="13">
                  <c:v>1.1441742989999999</c:v>
                </c:pt>
                <c:pt idx="14">
                  <c:v>0.99067576999999996</c:v>
                </c:pt>
                <c:pt idx="15">
                  <c:v>0.66228851600000005</c:v>
                </c:pt>
                <c:pt idx="16">
                  <c:v>0.99067576999999996</c:v>
                </c:pt>
                <c:pt idx="17">
                  <c:v>1.4444654269999999</c:v>
                </c:pt>
                <c:pt idx="18">
                  <c:v>0.99067576999999996</c:v>
                </c:pt>
                <c:pt idx="19">
                  <c:v>0.85462156099999997</c:v>
                </c:pt>
                <c:pt idx="20">
                  <c:v>0.99067576999999996</c:v>
                </c:pt>
                <c:pt idx="21">
                  <c:v>0.99067576999999996</c:v>
                </c:pt>
                <c:pt idx="22">
                  <c:v>0.89783227600000004</c:v>
                </c:pt>
                <c:pt idx="23">
                  <c:v>0.99067576999999996</c:v>
                </c:pt>
                <c:pt idx="24">
                  <c:v>1.1441742989999999</c:v>
                </c:pt>
                <c:pt idx="25">
                  <c:v>0.89783227600000004</c:v>
                </c:pt>
                <c:pt idx="26">
                  <c:v>1.1441742989999999</c:v>
                </c:pt>
                <c:pt idx="27">
                  <c:v>0.73432993800000002</c:v>
                </c:pt>
                <c:pt idx="28">
                  <c:v>0.85462156099999997</c:v>
                </c:pt>
                <c:pt idx="29">
                  <c:v>1.145105356</c:v>
                </c:pt>
                <c:pt idx="30">
                  <c:v>1.257509953</c:v>
                </c:pt>
                <c:pt idx="31">
                  <c:v>1.145105356</c:v>
                </c:pt>
                <c:pt idx="32">
                  <c:v>1.318149035</c:v>
                </c:pt>
                <c:pt idx="33">
                  <c:v>1.318149035</c:v>
                </c:pt>
                <c:pt idx="34">
                  <c:v>1.145105356</c:v>
                </c:pt>
                <c:pt idx="35">
                  <c:v>1.145105356</c:v>
                </c:pt>
                <c:pt idx="36">
                  <c:v>0.99150227300000005</c:v>
                </c:pt>
                <c:pt idx="37">
                  <c:v>0.99150227300000005</c:v>
                </c:pt>
                <c:pt idx="38">
                  <c:v>0.99150227300000005</c:v>
                </c:pt>
                <c:pt idx="39">
                  <c:v>1.145105356</c:v>
                </c:pt>
                <c:pt idx="40">
                  <c:v>0.89859415399999998</c:v>
                </c:pt>
                <c:pt idx="41">
                  <c:v>0.89859415399999998</c:v>
                </c:pt>
                <c:pt idx="42">
                  <c:v>0.85535298199999998</c:v>
                </c:pt>
                <c:pt idx="43">
                  <c:v>0.66228851600000005</c:v>
                </c:pt>
                <c:pt idx="44">
                  <c:v>0.475692385</c:v>
                </c:pt>
                <c:pt idx="45">
                  <c:v>0.77321039300000005</c:v>
                </c:pt>
                <c:pt idx="46">
                  <c:v>0.56216848100000005</c:v>
                </c:pt>
                <c:pt idx="47">
                  <c:v>0.73432993800000002</c:v>
                </c:pt>
                <c:pt idx="48">
                  <c:v>0.85462156099999997</c:v>
                </c:pt>
                <c:pt idx="49">
                  <c:v>0.772537527</c:v>
                </c:pt>
                <c:pt idx="50">
                  <c:v>0.85462156099999997</c:v>
                </c:pt>
                <c:pt idx="51">
                  <c:v>0.89783227600000004</c:v>
                </c:pt>
                <c:pt idx="52">
                  <c:v>0.56216848100000005</c:v>
                </c:pt>
                <c:pt idx="53">
                  <c:v>0.77321039300000005</c:v>
                </c:pt>
                <c:pt idx="54">
                  <c:v>0.89859415399999998</c:v>
                </c:pt>
                <c:pt idx="55">
                  <c:v>1.5125919880000001</c:v>
                </c:pt>
                <c:pt idx="56">
                  <c:v>1.654461261</c:v>
                </c:pt>
                <c:pt idx="57">
                  <c:v>1.5125919880000001</c:v>
                </c:pt>
                <c:pt idx="58">
                  <c:v>1.88950475</c:v>
                </c:pt>
                <c:pt idx="59">
                  <c:v>4.4021109559999996</c:v>
                </c:pt>
                <c:pt idx="60">
                  <c:v>14.6021538</c:v>
                </c:pt>
                <c:pt idx="61">
                  <c:v>13.238676509999999</c:v>
                </c:pt>
                <c:pt idx="62">
                  <c:v>14.6021538</c:v>
                </c:pt>
                <c:pt idx="63">
                  <c:v>20.131538750000001</c:v>
                </c:pt>
                <c:pt idx="64">
                  <c:v>10.529934320000001</c:v>
                </c:pt>
                <c:pt idx="65">
                  <c:v>5.509495866</c:v>
                </c:pt>
                <c:pt idx="66">
                  <c:v>9.2095990650000008</c:v>
                </c:pt>
                <c:pt idx="67">
                  <c:v>6.5397134279999998</c:v>
                </c:pt>
                <c:pt idx="68">
                  <c:v>3.8698277910000001</c:v>
                </c:pt>
                <c:pt idx="69">
                  <c:v>5.509495866</c:v>
                </c:pt>
                <c:pt idx="70">
                  <c:v>2.6539428329999999</c:v>
                </c:pt>
                <c:pt idx="71">
                  <c:v>2.8809824239999999</c:v>
                </c:pt>
                <c:pt idx="72">
                  <c:v>2.6558198119999998</c:v>
                </c:pt>
                <c:pt idx="73">
                  <c:v>2.6558198119999998</c:v>
                </c:pt>
                <c:pt idx="74">
                  <c:v>2.0619739560000001</c:v>
                </c:pt>
                <c:pt idx="75">
                  <c:v>2.3436582540000002</c:v>
                </c:pt>
                <c:pt idx="76">
                  <c:v>2.0619739560000001</c:v>
                </c:pt>
                <c:pt idx="77">
                  <c:v>1.8086265969999999</c:v>
                </c:pt>
                <c:pt idx="78">
                  <c:v>2.3436582540000002</c:v>
                </c:pt>
                <c:pt idx="79">
                  <c:v>1.654461261</c:v>
                </c:pt>
                <c:pt idx="80">
                  <c:v>1.8086265969999999</c:v>
                </c:pt>
                <c:pt idx="81">
                  <c:v>1.8086265969999999</c:v>
                </c:pt>
                <c:pt idx="82">
                  <c:v>2.1522282119999998</c:v>
                </c:pt>
                <c:pt idx="83">
                  <c:v>1.88950475</c:v>
                </c:pt>
                <c:pt idx="84">
                  <c:v>2.1522282119999998</c:v>
                </c:pt>
                <c:pt idx="85">
                  <c:v>2.3419653060000001</c:v>
                </c:pt>
                <c:pt idx="86">
                  <c:v>1.654461261</c:v>
                </c:pt>
                <c:pt idx="87">
                  <c:v>1.5125919880000001</c:v>
                </c:pt>
                <c:pt idx="88">
                  <c:v>1.654461261</c:v>
                </c:pt>
                <c:pt idx="89">
                  <c:v>2.1522282119999998</c:v>
                </c:pt>
                <c:pt idx="90">
                  <c:v>1.511415151</c:v>
                </c:pt>
                <c:pt idx="91">
                  <c:v>1.729502407</c:v>
                </c:pt>
                <c:pt idx="92">
                  <c:v>1.511415151</c:v>
                </c:pt>
                <c:pt idx="93">
                  <c:v>1.654461261</c:v>
                </c:pt>
                <c:pt idx="94">
                  <c:v>1.4444654269999999</c:v>
                </c:pt>
                <c:pt idx="95">
                  <c:v>1.654461261</c:v>
                </c:pt>
                <c:pt idx="96">
                  <c:v>1.729502407</c:v>
                </c:pt>
                <c:pt idx="97">
                  <c:v>1.511415151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E5-4C7F-9F5A-E92424294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1"/>
          <c:tx>
            <c:strRef>
              <c:f>'storms - seasonal amp funct'!$G$2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funct'!$Q$3:$Q$100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'storms - seasonal amp funct'!$W$4:$W$100</c:f>
              <c:numCache>
                <c:formatCode>0.000</c:formatCode>
                <c:ptCount val="97"/>
                <c:pt idx="0">
                  <c:v>2.359030718081438</c:v>
                </c:pt>
                <c:pt idx="1">
                  <c:v>4.2865370804020051</c:v>
                </c:pt>
                <c:pt idx="2">
                  <c:v>0.70388468591328401</c:v>
                </c:pt>
                <c:pt idx="3">
                  <c:v>6.7893935822897395</c:v>
                </c:pt>
                <c:pt idx="4">
                  <c:v>4.6701229031339979</c:v>
                </c:pt>
                <c:pt idx="5">
                  <c:v>6.3738769247792666</c:v>
                </c:pt>
                <c:pt idx="6">
                  <c:v>1.4101764244998809</c:v>
                </c:pt>
                <c:pt idx="7">
                  <c:v>5.391178988480438</c:v>
                </c:pt>
                <c:pt idx="8">
                  <c:v>1.2930944528247377</c:v>
                </c:pt>
                <c:pt idx="9">
                  <c:v>2.1391682564087278</c:v>
                </c:pt>
                <c:pt idx="10">
                  <c:v>2.3167964743757214</c:v>
                </c:pt>
                <c:pt idx="11">
                  <c:v>1.6958891115332448</c:v>
                </c:pt>
                <c:pt idx="12">
                  <c:v>3.5338907519676703</c:v>
                </c:pt>
                <c:pt idx="13">
                  <c:v>2.263939448571008</c:v>
                </c:pt>
                <c:pt idx="14">
                  <c:v>0.33512400938082815</c:v>
                </c:pt>
                <c:pt idx="15">
                  <c:v>2.4157242396665284</c:v>
                </c:pt>
                <c:pt idx="16">
                  <c:v>8.8977386790521962</c:v>
                </c:pt>
                <c:pt idx="17">
                  <c:v>2.2346155125482672</c:v>
                </c:pt>
                <c:pt idx="18">
                  <c:v>1.1730659157923962</c:v>
                </c:pt>
                <c:pt idx="19">
                  <c:v>2.2652234395353692</c:v>
                </c:pt>
                <c:pt idx="20">
                  <c:v>2.8336568564740845</c:v>
                </c:pt>
                <c:pt idx="21">
                  <c:v>1.2719905210047089</c:v>
                </c:pt>
                <c:pt idx="22">
                  <c:v>2.1067968858471526</c:v>
                </c:pt>
                <c:pt idx="23">
                  <c:v>4.554565443834214</c:v>
                </c:pt>
                <c:pt idx="24">
                  <c:v>1.4269988385919459</c:v>
                </c:pt>
                <c:pt idx="25">
                  <c:v>3.0817648261684178</c:v>
                </c:pt>
                <c:pt idx="26">
                  <c:v>0.58699877691633873</c:v>
                </c:pt>
                <c:pt idx="27">
                  <c:v>1.236109054444926</c:v>
                </c:pt>
                <c:pt idx="28">
                  <c:v>5.1255009975823098</c:v>
                </c:pt>
                <c:pt idx="29">
                  <c:v>6.587181151089827</c:v>
                </c:pt>
                <c:pt idx="30">
                  <c:v>4.9292969490502472</c:v>
                </c:pt>
                <c:pt idx="31">
                  <c:v>6.6364393140978422</c:v>
                </c:pt>
                <c:pt idx="32">
                  <c:v>7.5532938045880567</c:v>
                </c:pt>
                <c:pt idx="33">
                  <c:v>5.2433150218928919</c:v>
                </c:pt>
                <c:pt idx="34">
                  <c:v>4.9945710976734947</c:v>
                </c:pt>
                <c:pt idx="35">
                  <c:v>2.8464840025781006</c:v>
                </c:pt>
                <c:pt idx="36">
                  <c:v>3.6071291384705018</c:v>
                </c:pt>
                <c:pt idx="37">
                  <c:v>3.0458200057011595</c:v>
                </c:pt>
                <c:pt idx="38">
                  <c:v>4.6065182364935371</c:v>
                </c:pt>
                <c:pt idx="39">
                  <c:v>2.0018582687797637</c:v>
                </c:pt>
                <c:pt idx="40">
                  <c:v>2.9663419461838969</c:v>
                </c:pt>
                <c:pt idx="41">
                  <c:v>1.9389493555492383</c:v>
                </c:pt>
                <c:pt idx="42">
                  <c:v>0.65933152075506196</c:v>
                </c:pt>
                <c:pt idx="43">
                  <c:v>0.11041782785476276</c:v>
                </c:pt>
                <c:pt idx="44">
                  <c:v>1.1466305619912487</c:v>
                </c:pt>
                <c:pt idx="45">
                  <c:v>0.44110371063026338</c:v>
                </c:pt>
                <c:pt idx="46">
                  <c:v>1.0678574091928217</c:v>
                </c:pt>
                <c:pt idx="47">
                  <c:v>2.0941895392135943</c:v>
                </c:pt>
                <c:pt idx="48">
                  <c:v>1.0490690037136652</c:v>
                </c:pt>
                <c:pt idx="49">
                  <c:v>1.4899396037028059</c:v>
                </c:pt>
                <c:pt idx="50">
                  <c:v>2.8642698022043342</c:v>
                </c:pt>
                <c:pt idx="51">
                  <c:v>0.2803401514751237</c:v>
                </c:pt>
                <c:pt idx="52">
                  <c:v>1.3730699833451059</c:v>
                </c:pt>
                <c:pt idx="53">
                  <c:v>2.8501952160207442</c:v>
                </c:pt>
                <c:pt idx="54">
                  <c:v>11.612755383239113</c:v>
                </c:pt>
                <c:pt idx="55">
                  <c:v>15.773658834394306</c:v>
                </c:pt>
                <c:pt idx="56">
                  <c:v>9.8704283481595692</c:v>
                </c:pt>
                <c:pt idx="57">
                  <c:v>18.163070482666463</c:v>
                </c:pt>
                <c:pt idx="58">
                  <c:v>32.318278988321708</c:v>
                </c:pt>
                <c:pt idx="59">
                  <c:v>29.920076240540972</c:v>
                </c:pt>
                <c:pt idx="60">
                  <c:v>29.120167498168737</c:v>
                </c:pt>
                <c:pt idx="61">
                  <c:v>30.479598592047516</c:v>
                </c:pt>
                <c:pt idx="62">
                  <c:v>54.039141240285389</c:v>
                </c:pt>
                <c:pt idx="63">
                  <c:v>32.053387393662042</c:v>
                </c:pt>
                <c:pt idx="64">
                  <c:v>28.848720069015634</c:v>
                </c:pt>
                <c:pt idx="65">
                  <c:v>28.764993376994834</c:v>
                </c:pt>
                <c:pt idx="66">
                  <c:v>31.222278186116156</c:v>
                </c:pt>
                <c:pt idx="67">
                  <c:v>28.95801965917234</c:v>
                </c:pt>
                <c:pt idx="68">
                  <c:v>37.153228395198774</c:v>
                </c:pt>
                <c:pt idx="69">
                  <c:v>29.331666803969316</c:v>
                </c:pt>
                <c:pt idx="70">
                  <c:v>30.496747105055178</c:v>
                </c:pt>
                <c:pt idx="71">
                  <c:v>26.922781227593862</c:v>
                </c:pt>
                <c:pt idx="72">
                  <c:v>28.697462511801042</c:v>
                </c:pt>
                <c:pt idx="73">
                  <c:v>21.006608475205159</c:v>
                </c:pt>
                <c:pt idx="74">
                  <c:v>25.704479119324528</c:v>
                </c:pt>
                <c:pt idx="75">
                  <c:v>19.912745697440645</c:v>
                </c:pt>
                <c:pt idx="76">
                  <c:v>15.705369858744229</c:v>
                </c:pt>
                <c:pt idx="77">
                  <c:v>23.066540873381918</c:v>
                </c:pt>
                <c:pt idx="78">
                  <c:v>11.050176239947646</c:v>
                </c:pt>
                <c:pt idx="79">
                  <c:v>14.146693145756279</c:v>
                </c:pt>
                <c:pt idx="80">
                  <c:v>14.904364466431232</c:v>
                </c:pt>
                <c:pt idx="81">
                  <c:v>24.602724630377963</c:v>
                </c:pt>
                <c:pt idx="82">
                  <c:v>20.765207062359003</c:v>
                </c:pt>
                <c:pt idx="83">
                  <c:v>20.957203771572139</c:v>
                </c:pt>
                <c:pt idx="84">
                  <c:v>24.116808819029227</c:v>
                </c:pt>
                <c:pt idx="85">
                  <c:v>11.790723473778913</c:v>
                </c:pt>
                <c:pt idx="86">
                  <c:v>9.44877045857592</c:v>
                </c:pt>
                <c:pt idx="87">
                  <c:v>9.6022837454454137</c:v>
                </c:pt>
                <c:pt idx="88">
                  <c:v>18.7433855735595</c:v>
                </c:pt>
                <c:pt idx="89">
                  <c:v>7.4421405322525578</c:v>
                </c:pt>
                <c:pt idx="90">
                  <c:v>11.819660545816404</c:v>
                </c:pt>
                <c:pt idx="91">
                  <c:v>7.3062134671475292</c:v>
                </c:pt>
                <c:pt idx="92">
                  <c:v>9.611129258032614</c:v>
                </c:pt>
                <c:pt idx="93">
                  <c:v>6.3173967155265069</c:v>
                </c:pt>
                <c:pt idx="94">
                  <c:v>8.9233573946819202</c:v>
                </c:pt>
                <c:pt idx="95">
                  <c:v>10.586616945577534</c:v>
                </c:pt>
                <c:pt idx="96">
                  <c:v>6.9396469327170074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E5-4C7F-9F5A-E92424294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  <c:max val="7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5 -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funct'!$Y$3:$Y$99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'storms - seasonal amp funct'!$AA$3:$AA$99</c:f>
              <c:numCache>
                <c:formatCode>0.000000</c:formatCode>
                <c:ptCount val="97"/>
                <c:pt idx="0">
                  <c:v>0.42386643899999998</c:v>
                </c:pt>
                <c:pt idx="1">
                  <c:v>0.81307424100000003</c:v>
                </c:pt>
                <c:pt idx="2">
                  <c:v>0.50323377899999999</c:v>
                </c:pt>
                <c:pt idx="3">
                  <c:v>0.69769667099999999</c:v>
                </c:pt>
                <c:pt idx="4">
                  <c:v>0.69769667099999999</c:v>
                </c:pt>
                <c:pt idx="5">
                  <c:v>0.66168135500000003</c:v>
                </c:pt>
                <c:pt idx="6">
                  <c:v>0.66168135500000003</c:v>
                </c:pt>
                <c:pt idx="7">
                  <c:v>0.59425534599999996</c:v>
                </c:pt>
                <c:pt idx="8">
                  <c:v>0.66168135500000003</c:v>
                </c:pt>
                <c:pt idx="9">
                  <c:v>0.50323377899999999</c:v>
                </c:pt>
                <c:pt idx="10">
                  <c:v>0.69769667099999999</c:v>
                </c:pt>
                <c:pt idx="11">
                  <c:v>0.66228851600000005</c:v>
                </c:pt>
                <c:pt idx="12">
                  <c:v>0.89859415399999998</c:v>
                </c:pt>
                <c:pt idx="13">
                  <c:v>0.66228851600000005</c:v>
                </c:pt>
                <c:pt idx="14">
                  <c:v>0.66228851600000005</c:v>
                </c:pt>
                <c:pt idx="15">
                  <c:v>0.66228851600000005</c:v>
                </c:pt>
                <c:pt idx="16">
                  <c:v>0.66228851600000005</c:v>
                </c:pt>
                <c:pt idx="17">
                  <c:v>0.59425534599999996</c:v>
                </c:pt>
                <c:pt idx="18">
                  <c:v>0.562700329</c:v>
                </c:pt>
                <c:pt idx="19">
                  <c:v>0.59425534599999996</c:v>
                </c:pt>
                <c:pt idx="20">
                  <c:v>0.59425534599999996</c:v>
                </c:pt>
                <c:pt idx="21">
                  <c:v>0.73497519099999997</c:v>
                </c:pt>
                <c:pt idx="22">
                  <c:v>0.50323377899999999</c:v>
                </c:pt>
                <c:pt idx="23">
                  <c:v>0.66228851600000005</c:v>
                </c:pt>
                <c:pt idx="24">
                  <c:v>0.66228851600000005</c:v>
                </c:pt>
                <c:pt idx="25">
                  <c:v>0.66228851600000005</c:v>
                </c:pt>
                <c:pt idx="26">
                  <c:v>0.77321039300000005</c:v>
                </c:pt>
                <c:pt idx="27">
                  <c:v>0.66228851600000005</c:v>
                </c:pt>
                <c:pt idx="28">
                  <c:v>0.59425534599999996</c:v>
                </c:pt>
                <c:pt idx="29">
                  <c:v>0.59425534599999996</c:v>
                </c:pt>
                <c:pt idx="30">
                  <c:v>0.59425534599999996</c:v>
                </c:pt>
                <c:pt idx="31">
                  <c:v>0.42386643899999998</c:v>
                </c:pt>
                <c:pt idx="32">
                  <c:v>0.50323377899999999</c:v>
                </c:pt>
                <c:pt idx="33">
                  <c:v>0.50323377899999999</c:v>
                </c:pt>
                <c:pt idx="34">
                  <c:v>0.59425534599999996</c:v>
                </c:pt>
                <c:pt idx="35">
                  <c:v>0.66168135500000003</c:v>
                </c:pt>
                <c:pt idx="36">
                  <c:v>0.81307424100000003</c:v>
                </c:pt>
                <c:pt idx="37">
                  <c:v>0.50323377899999999</c:v>
                </c:pt>
                <c:pt idx="38">
                  <c:v>0.59425534599999996</c:v>
                </c:pt>
                <c:pt idx="39">
                  <c:v>0.59425534599999996</c:v>
                </c:pt>
                <c:pt idx="40">
                  <c:v>0.69769667099999999</c:v>
                </c:pt>
                <c:pt idx="41">
                  <c:v>0.59425534599999996</c:v>
                </c:pt>
                <c:pt idx="42">
                  <c:v>0.59425534599999996</c:v>
                </c:pt>
                <c:pt idx="43">
                  <c:v>0.66228851600000005</c:v>
                </c:pt>
                <c:pt idx="44">
                  <c:v>0.59425534599999996</c:v>
                </c:pt>
                <c:pt idx="45">
                  <c:v>0.59425534599999996</c:v>
                </c:pt>
                <c:pt idx="46">
                  <c:v>0.42386643899999998</c:v>
                </c:pt>
                <c:pt idx="47">
                  <c:v>0.66228851600000005</c:v>
                </c:pt>
                <c:pt idx="48">
                  <c:v>0.53201108200000002</c:v>
                </c:pt>
                <c:pt idx="49">
                  <c:v>0.53201108200000002</c:v>
                </c:pt>
                <c:pt idx="50">
                  <c:v>0.59425534599999996</c:v>
                </c:pt>
                <c:pt idx="51">
                  <c:v>0.59425534599999996</c:v>
                </c:pt>
                <c:pt idx="52">
                  <c:v>0.66168135500000003</c:v>
                </c:pt>
                <c:pt idx="53">
                  <c:v>0.59425534599999996</c:v>
                </c:pt>
                <c:pt idx="54">
                  <c:v>0.42386643899999998</c:v>
                </c:pt>
                <c:pt idx="55">
                  <c:v>0.42386643899999998</c:v>
                </c:pt>
                <c:pt idx="56">
                  <c:v>0.50323377899999999</c:v>
                </c:pt>
                <c:pt idx="57">
                  <c:v>0.42386643899999998</c:v>
                </c:pt>
                <c:pt idx="58">
                  <c:v>0.59425534599999996</c:v>
                </c:pt>
                <c:pt idx="59">
                  <c:v>0.50323377899999999</c:v>
                </c:pt>
                <c:pt idx="60">
                  <c:v>0.59425534599999996</c:v>
                </c:pt>
                <c:pt idx="61">
                  <c:v>0.69769667099999999</c:v>
                </c:pt>
                <c:pt idx="62">
                  <c:v>0.50323377899999999</c:v>
                </c:pt>
                <c:pt idx="63">
                  <c:v>0.59425534599999996</c:v>
                </c:pt>
                <c:pt idx="64">
                  <c:v>0.59425534599999996</c:v>
                </c:pt>
                <c:pt idx="65">
                  <c:v>0.89783227600000004</c:v>
                </c:pt>
                <c:pt idx="66">
                  <c:v>0.35506608000000001</c:v>
                </c:pt>
                <c:pt idx="67">
                  <c:v>0.59425534599999996</c:v>
                </c:pt>
                <c:pt idx="68">
                  <c:v>0.50323377899999999</c:v>
                </c:pt>
                <c:pt idx="69">
                  <c:v>0.475692385</c:v>
                </c:pt>
                <c:pt idx="70">
                  <c:v>0.562700329</c:v>
                </c:pt>
                <c:pt idx="71">
                  <c:v>0.77321039300000005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0.59425534599999996</c:v>
                </c:pt>
                <c:pt idx="75">
                  <c:v>2.7664001109999998</c:v>
                </c:pt>
                <c:pt idx="76">
                  <c:v>2.6539428329999999</c:v>
                </c:pt>
                <c:pt idx="77">
                  <c:v>1.654461261</c:v>
                </c:pt>
                <c:pt idx="78">
                  <c:v>1.5125919880000001</c:v>
                </c:pt>
                <c:pt idx="79">
                  <c:v>1.318149035</c:v>
                </c:pt>
                <c:pt idx="80">
                  <c:v>1.9748874890000001</c:v>
                </c:pt>
                <c:pt idx="81">
                  <c:v>1.730820966</c:v>
                </c:pt>
                <c:pt idx="82">
                  <c:v>1.9734137430000001</c:v>
                </c:pt>
                <c:pt idx="83">
                  <c:v>2.44355038</c:v>
                </c:pt>
                <c:pt idx="84">
                  <c:v>2.44355038</c:v>
                </c:pt>
                <c:pt idx="85">
                  <c:v>1.9734137430000001</c:v>
                </c:pt>
                <c:pt idx="86">
                  <c:v>1.729502407</c:v>
                </c:pt>
                <c:pt idx="87">
                  <c:v>1.5821856839999999</c:v>
                </c:pt>
                <c:pt idx="88">
                  <c:v>2.0619739560000001</c:v>
                </c:pt>
                <c:pt idx="89">
                  <c:v>1.257509953</c:v>
                </c:pt>
                <c:pt idx="90">
                  <c:v>1.5821856839999999</c:v>
                </c:pt>
                <c:pt idx="91">
                  <c:v>1.257509953</c:v>
                </c:pt>
                <c:pt idx="92">
                  <c:v>1.257509953</c:v>
                </c:pt>
                <c:pt idx="93">
                  <c:v>1.091323134</c:v>
                </c:pt>
                <c:pt idx="94">
                  <c:v>1.200201638</c:v>
                </c:pt>
                <c:pt idx="95">
                  <c:v>1.091323134</c:v>
                </c:pt>
                <c:pt idx="96">
                  <c:v>0.85462156099999997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29-478E-890C-3BA9DC21B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1"/>
          <c:tx>
            <c:strRef>
              <c:f>'storms - seasonal amp funct'!$G$2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funct'!$Y$3:$Y$99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'storms - seasonal amp funct'!$AE$3:$AE$99</c:f>
              <c:numCache>
                <c:formatCode>0.00</c:formatCode>
                <c:ptCount val="97"/>
                <c:pt idx="0">
                  <c:v>0.25194772029349494</c:v>
                </c:pt>
                <c:pt idx="1">
                  <c:v>1.3161440782350389</c:v>
                </c:pt>
                <c:pt idx="2">
                  <c:v>0.44973647085959506</c:v>
                </c:pt>
                <c:pt idx="3">
                  <c:v>1.3298691599903245</c:v>
                </c:pt>
                <c:pt idx="4">
                  <c:v>1.2896825596220103</c:v>
                </c:pt>
                <c:pt idx="5">
                  <c:v>0.75673002538436618</c:v>
                </c:pt>
                <c:pt idx="6">
                  <c:v>0.81478680929990699</c:v>
                </c:pt>
                <c:pt idx="7">
                  <c:v>0.59079699963923471</c:v>
                </c:pt>
                <c:pt idx="8">
                  <c:v>0.9092168389580928</c:v>
                </c:pt>
                <c:pt idx="9">
                  <c:v>0.45427364896637645</c:v>
                </c:pt>
                <c:pt idx="10">
                  <c:v>0.98259741237066645</c:v>
                </c:pt>
                <c:pt idx="11">
                  <c:v>0.90960910000525008</c:v>
                </c:pt>
                <c:pt idx="12">
                  <c:v>1.9977677915175598</c:v>
                </c:pt>
                <c:pt idx="13">
                  <c:v>0.80190737769200304</c:v>
                </c:pt>
                <c:pt idx="14">
                  <c:v>0.77500710402623907</c:v>
                </c:pt>
                <c:pt idx="15">
                  <c:v>1.0644878362459957</c:v>
                </c:pt>
                <c:pt idx="16">
                  <c:v>0.81019462346200921</c:v>
                </c:pt>
                <c:pt idx="17">
                  <c:v>0.51217788799312791</c:v>
                </c:pt>
                <c:pt idx="18">
                  <c:v>0.62038537991674769</c:v>
                </c:pt>
                <c:pt idx="19">
                  <c:v>0.70929119671629692</c:v>
                </c:pt>
                <c:pt idx="20">
                  <c:v>0.59965479082710327</c:v>
                </c:pt>
                <c:pt idx="21">
                  <c:v>1.2338481645715871</c:v>
                </c:pt>
                <c:pt idx="22">
                  <c:v>0.39036636238169747</c:v>
                </c:pt>
                <c:pt idx="23">
                  <c:v>0.87872656454403864</c:v>
                </c:pt>
                <c:pt idx="24">
                  <c:v>1.0582176571748949</c:v>
                </c:pt>
                <c:pt idx="25">
                  <c:v>0.9088193124564562</c:v>
                </c:pt>
                <c:pt idx="26">
                  <c:v>1.4157065096696817</c:v>
                </c:pt>
                <c:pt idx="27">
                  <c:v>0.98787704542965793</c:v>
                </c:pt>
                <c:pt idx="28">
                  <c:v>0.62886547727951891</c:v>
                </c:pt>
                <c:pt idx="29">
                  <c:v>0.99950753119909497</c:v>
                </c:pt>
                <c:pt idx="30">
                  <c:v>0.60855289961282666</c:v>
                </c:pt>
                <c:pt idx="31">
                  <c:v>0.19878895765726115</c:v>
                </c:pt>
                <c:pt idx="32">
                  <c:v>0.39715565412546017</c:v>
                </c:pt>
                <c:pt idx="33">
                  <c:v>0.39489558939954378</c:v>
                </c:pt>
                <c:pt idx="34">
                  <c:v>0.69895079802453186</c:v>
                </c:pt>
                <c:pt idx="35">
                  <c:v>0.83856944067614769</c:v>
                </c:pt>
                <c:pt idx="36">
                  <c:v>1.4118785278664845</c:v>
                </c:pt>
                <c:pt idx="37">
                  <c:v>0.46210568879304548</c:v>
                </c:pt>
                <c:pt idx="38">
                  <c:v>0.60436367360851551</c:v>
                </c:pt>
                <c:pt idx="39">
                  <c:v>0.66319984691824219</c:v>
                </c:pt>
                <c:pt idx="40">
                  <c:v>1.2139998052251619</c:v>
                </c:pt>
                <c:pt idx="41">
                  <c:v>0.78735110766950112</c:v>
                </c:pt>
                <c:pt idx="42">
                  <c:v>0.60276946130815545</c:v>
                </c:pt>
                <c:pt idx="43">
                  <c:v>1.0323424550470841</c:v>
                </c:pt>
                <c:pt idx="44">
                  <c:v>0.6851783288436406</c:v>
                </c:pt>
                <c:pt idx="45">
                  <c:v>0.74138415711240147</c:v>
                </c:pt>
                <c:pt idx="46">
                  <c:v>0.22507406842918112</c:v>
                </c:pt>
                <c:pt idx="47">
                  <c:v>0.93679576802243236</c:v>
                </c:pt>
                <c:pt idx="48">
                  <c:v>0.45788515723692985</c:v>
                </c:pt>
                <c:pt idx="49">
                  <c:v>0.47881404580200054</c:v>
                </c:pt>
                <c:pt idx="50">
                  <c:v>0.74595181473817607</c:v>
                </c:pt>
                <c:pt idx="51">
                  <c:v>0.84304472770801553</c:v>
                </c:pt>
                <c:pt idx="52">
                  <c:v>0.95785760540676057</c:v>
                </c:pt>
                <c:pt idx="53">
                  <c:v>0.80837150651619505</c:v>
                </c:pt>
                <c:pt idx="54">
                  <c:v>0.24384323527881913</c:v>
                </c:pt>
                <c:pt idx="55">
                  <c:v>0.32360679549811411</c:v>
                </c:pt>
                <c:pt idx="56">
                  <c:v>0.52275305675073047</c:v>
                </c:pt>
                <c:pt idx="57">
                  <c:v>0.33351685274999437</c:v>
                </c:pt>
                <c:pt idx="58">
                  <c:v>0.85642045205515571</c:v>
                </c:pt>
                <c:pt idx="59">
                  <c:v>0.43540523389138358</c:v>
                </c:pt>
                <c:pt idx="60">
                  <c:v>0.78335290738010155</c:v>
                </c:pt>
                <c:pt idx="61">
                  <c:v>1.1058469600490166</c:v>
                </c:pt>
                <c:pt idx="62">
                  <c:v>0.44366406743860654</c:v>
                </c:pt>
                <c:pt idx="63">
                  <c:v>0.72931988586035457</c:v>
                </c:pt>
                <c:pt idx="64">
                  <c:v>0.57817767511822959</c:v>
                </c:pt>
                <c:pt idx="65">
                  <c:v>2.148896351990107</c:v>
                </c:pt>
                <c:pt idx="66">
                  <c:v>0.15830813353386894</c:v>
                </c:pt>
                <c:pt idx="67">
                  <c:v>0.64006503806244908</c:v>
                </c:pt>
                <c:pt idx="68">
                  <c:v>0.44039298345832645</c:v>
                </c:pt>
                <c:pt idx="69">
                  <c:v>0.45471578855190092</c:v>
                </c:pt>
                <c:pt idx="70">
                  <c:v>0.66547576522494034</c:v>
                </c:pt>
                <c:pt idx="71">
                  <c:v>1.06980282607536</c:v>
                </c:pt>
                <c:pt idx="72">
                  <c:v>0.6278154359091056</c:v>
                </c:pt>
                <c:pt idx="73">
                  <c:v>0.81321083447927323</c:v>
                </c:pt>
                <c:pt idx="74">
                  <c:v>25.070470937906475</c:v>
                </c:pt>
                <c:pt idx="75">
                  <c:v>21.535317588585158</c:v>
                </c:pt>
                <c:pt idx="76">
                  <c:v>9.6055003481289152</c:v>
                </c:pt>
                <c:pt idx="77">
                  <c:v>6.6437504716628855</c:v>
                </c:pt>
                <c:pt idx="78">
                  <c:v>3.3204166060070714</c:v>
                </c:pt>
                <c:pt idx="79">
                  <c:v>10.571248755830645</c:v>
                </c:pt>
                <c:pt idx="80">
                  <c:v>8.6096391460387842</c:v>
                </c:pt>
                <c:pt idx="81">
                  <c:v>12.376071793224607</c:v>
                </c:pt>
                <c:pt idx="82">
                  <c:v>23.682742902684787</c:v>
                </c:pt>
                <c:pt idx="83">
                  <c:v>22.532196561619589</c:v>
                </c:pt>
                <c:pt idx="84">
                  <c:v>12.693803525240305</c:v>
                </c:pt>
                <c:pt idx="85">
                  <c:v>8.9689167764839492</c:v>
                </c:pt>
                <c:pt idx="86">
                  <c:v>5.9066489577282795</c:v>
                </c:pt>
                <c:pt idx="87">
                  <c:v>11.894554557670787</c:v>
                </c:pt>
                <c:pt idx="88">
                  <c:v>3.5515115330953484</c:v>
                </c:pt>
                <c:pt idx="89">
                  <c:v>2.4963818038450474</c:v>
                </c:pt>
                <c:pt idx="90">
                  <c:v>5.4323735224516723</c:v>
                </c:pt>
                <c:pt idx="91">
                  <c:v>2.4873728926376342</c:v>
                </c:pt>
                <c:pt idx="92">
                  <c:v>2.6271472882694753</c:v>
                </c:pt>
                <c:pt idx="93">
                  <c:v>1.2781334624643619</c:v>
                </c:pt>
                <c:pt idx="94">
                  <c:v>1.855227343048502</c:v>
                </c:pt>
                <c:pt idx="95">
                  <c:v>1.4856499025619916</c:v>
                </c:pt>
                <c:pt idx="96">
                  <c:v>0.71990609765562619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29-478E-890C-3BA9DC21B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  <c:max val="7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6 -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funct'!$AG$3:$AG$99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'storms - seasonal amp funct'!$AI$3:$AI$99</c:f>
              <c:numCache>
                <c:formatCode>0.0000</c:formatCode>
                <c:ptCount val="97"/>
                <c:pt idx="0">
                  <c:v>0.31440712500000001</c:v>
                </c:pt>
                <c:pt idx="1">
                  <c:v>0.50323377899999999</c:v>
                </c:pt>
                <c:pt idx="2">
                  <c:v>0.376777213</c:v>
                </c:pt>
                <c:pt idx="3">
                  <c:v>0.42386643899999998</c:v>
                </c:pt>
                <c:pt idx="4">
                  <c:v>0.42386643899999998</c:v>
                </c:pt>
                <c:pt idx="5">
                  <c:v>0.44894941300000002</c:v>
                </c:pt>
                <c:pt idx="6">
                  <c:v>0.376777213</c:v>
                </c:pt>
                <c:pt idx="7">
                  <c:v>0.44894941300000002</c:v>
                </c:pt>
                <c:pt idx="8">
                  <c:v>0.44894941300000002</c:v>
                </c:pt>
                <c:pt idx="9">
                  <c:v>0.35506608000000001</c:v>
                </c:pt>
                <c:pt idx="10">
                  <c:v>0.35506608000000001</c:v>
                </c:pt>
                <c:pt idx="11">
                  <c:v>0.35506608000000001</c:v>
                </c:pt>
                <c:pt idx="12">
                  <c:v>0.314737561</c:v>
                </c:pt>
                <c:pt idx="13">
                  <c:v>0.314737561</c:v>
                </c:pt>
                <c:pt idx="14">
                  <c:v>0.42386643899999998</c:v>
                </c:pt>
                <c:pt idx="15">
                  <c:v>0.377160934</c:v>
                </c:pt>
                <c:pt idx="16">
                  <c:v>0.26113539299999999</c:v>
                </c:pt>
                <c:pt idx="17">
                  <c:v>0.42386643899999998</c:v>
                </c:pt>
                <c:pt idx="18">
                  <c:v>0.35506608000000001</c:v>
                </c:pt>
                <c:pt idx="19">
                  <c:v>0.376777213</c:v>
                </c:pt>
                <c:pt idx="20">
                  <c:v>0.376777213</c:v>
                </c:pt>
                <c:pt idx="21">
                  <c:v>0.44894941300000002</c:v>
                </c:pt>
                <c:pt idx="22">
                  <c:v>0.44894941300000002</c:v>
                </c:pt>
                <c:pt idx="23">
                  <c:v>0.42386643899999998</c:v>
                </c:pt>
                <c:pt idx="24">
                  <c:v>0.33405227900000001</c:v>
                </c:pt>
                <c:pt idx="25">
                  <c:v>0.31440712500000001</c:v>
                </c:pt>
                <c:pt idx="26">
                  <c:v>0.376777213</c:v>
                </c:pt>
                <c:pt idx="27">
                  <c:v>0.376777213</c:v>
                </c:pt>
                <c:pt idx="28">
                  <c:v>0.31440712500000001</c:v>
                </c:pt>
                <c:pt idx="29">
                  <c:v>0.27800180299999999</c:v>
                </c:pt>
                <c:pt idx="30">
                  <c:v>0.33439968599999997</c:v>
                </c:pt>
                <c:pt idx="31">
                  <c:v>0.44939223900000003</c:v>
                </c:pt>
                <c:pt idx="32">
                  <c:v>0.377160934</c:v>
                </c:pt>
                <c:pt idx="33">
                  <c:v>0.44939223900000003</c:v>
                </c:pt>
                <c:pt idx="34">
                  <c:v>0.33439968599999997</c:v>
                </c:pt>
                <c:pt idx="35">
                  <c:v>0.377160934</c:v>
                </c:pt>
                <c:pt idx="36">
                  <c:v>0.33439968599999997</c:v>
                </c:pt>
                <c:pt idx="37">
                  <c:v>0.44939223900000003</c:v>
                </c:pt>
                <c:pt idx="38">
                  <c:v>0.377160934</c:v>
                </c:pt>
                <c:pt idx="39">
                  <c:v>0.314737561</c:v>
                </c:pt>
                <c:pt idx="40">
                  <c:v>0.377160934</c:v>
                </c:pt>
                <c:pt idx="41">
                  <c:v>0.377160934</c:v>
                </c:pt>
                <c:pt idx="42">
                  <c:v>0.44939223900000003</c:v>
                </c:pt>
                <c:pt idx="43">
                  <c:v>0.44939223900000003</c:v>
                </c:pt>
                <c:pt idx="44">
                  <c:v>0.44939223900000003</c:v>
                </c:pt>
                <c:pt idx="45">
                  <c:v>0.377160934</c:v>
                </c:pt>
                <c:pt idx="46">
                  <c:v>0.377160934</c:v>
                </c:pt>
                <c:pt idx="47">
                  <c:v>0.44939223900000003</c:v>
                </c:pt>
                <c:pt idx="48">
                  <c:v>0.33439968599999997</c:v>
                </c:pt>
                <c:pt idx="49">
                  <c:v>2.247064306</c:v>
                </c:pt>
                <c:pt idx="50">
                  <c:v>2.0619739560000001</c:v>
                </c:pt>
                <c:pt idx="51">
                  <c:v>1.8086265969999999</c:v>
                </c:pt>
                <c:pt idx="52">
                  <c:v>1.8086265969999999</c:v>
                </c:pt>
                <c:pt idx="53">
                  <c:v>1.5821856839999999</c:v>
                </c:pt>
                <c:pt idx="54">
                  <c:v>2.5487565000000001</c:v>
                </c:pt>
                <c:pt idx="55">
                  <c:v>1.729502407</c:v>
                </c:pt>
                <c:pt idx="56">
                  <c:v>1.9734137430000001</c:v>
                </c:pt>
                <c:pt idx="57">
                  <c:v>1.9734137430000001</c:v>
                </c:pt>
                <c:pt idx="58">
                  <c:v>2.1522282119999998</c:v>
                </c:pt>
                <c:pt idx="59">
                  <c:v>1.729502407</c:v>
                </c:pt>
                <c:pt idx="60">
                  <c:v>1.317101139</c:v>
                </c:pt>
                <c:pt idx="61">
                  <c:v>1.200201638</c:v>
                </c:pt>
                <c:pt idx="62">
                  <c:v>1.511415151</c:v>
                </c:pt>
                <c:pt idx="63">
                  <c:v>1.200201638</c:v>
                </c:pt>
                <c:pt idx="64">
                  <c:v>0.89859415399999998</c:v>
                </c:pt>
                <c:pt idx="65">
                  <c:v>0.77321039300000005</c:v>
                </c:pt>
                <c:pt idx="66">
                  <c:v>1.0404225359999999</c:v>
                </c:pt>
                <c:pt idx="67">
                  <c:v>0.89859415399999998</c:v>
                </c:pt>
                <c:pt idx="68">
                  <c:v>0.89859415399999998</c:v>
                </c:pt>
                <c:pt idx="69">
                  <c:v>0.81307424100000003</c:v>
                </c:pt>
                <c:pt idx="70">
                  <c:v>0.66228851600000005</c:v>
                </c:pt>
                <c:pt idx="71">
                  <c:v>0.69769667099999999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0.81307424100000003</c:v>
                </c:pt>
                <c:pt idx="75">
                  <c:v>0.69769667099999999</c:v>
                </c:pt>
                <c:pt idx="76">
                  <c:v>0.69769667099999999</c:v>
                </c:pt>
                <c:pt idx="77">
                  <c:v>0.77321039300000005</c:v>
                </c:pt>
                <c:pt idx="78">
                  <c:v>0.66228851600000005</c:v>
                </c:pt>
                <c:pt idx="79">
                  <c:v>0.50323377899999999</c:v>
                </c:pt>
                <c:pt idx="80">
                  <c:v>0.77321039300000005</c:v>
                </c:pt>
                <c:pt idx="81">
                  <c:v>0.59425534599999996</c:v>
                </c:pt>
                <c:pt idx="82">
                  <c:v>0.59425534599999996</c:v>
                </c:pt>
                <c:pt idx="83">
                  <c:v>0.59425534599999996</c:v>
                </c:pt>
                <c:pt idx="84">
                  <c:v>0.59425534599999996</c:v>
                </c:pt>
                <c:pt idx="85">
                  <c:v>0.53251963199999997</c:v>
                </c:pt>
                <c:pt idx="86">
                  <c:v>0.53251963199999997</c:v>
                </c:pt>
                <c:pt idx="87">
                  <c:v>0.44939223900000003</c:v>
                </c:pt>
                <c:pt idx="88">
                  <c:v>0.475692385</c:v>
                </c:pt>
                <c:pt idx="89">
                  <c:v>0.44894941300000002</c:v>
                </c:pt>
                <c:pt idx="90">
                  <c:v>0.399936554</c:v>
                </c:pt>
                <c:pt idx="91">
                  <c:v>0.562700329</c:v>
                </c:pt>
                <c:pt idx="92">
                  <c:v>0.562700329</c:v>
                </c:pt>
                <c:pt idx="93">
                  <c:v>0.475692385</c:v>
                </c:pt>
                <c:pt idx="94">
                  <c:v>0.475692385</c:v>
                </c:pt>
                <c:pt idx="95">
                  <c:v>0.53201108200000002</c:v>
                </c:pt>
                <c:pt idx="96">
                  <c:v>0.475692385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0E-4508-A782-37D3A9370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1"/>
          <c:tx>
            <c:strRef>
              <c:f>'storms - seasonal amp funct'!$G$2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funct'!$AG$3:$AG$99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'storms - seasonal amp funct'!$AM$4:$AM$99</c:f>
              <c:numCache>
                <c:formatCode>0.000</c:formatCode>
                <c:ptCount val="96"/>
                <c:pt idx="0">
                  <c:v>3.8376229938067214</c:v>
                </c:pt>
                <c:pt idx="1">
                  <c:v>2.1276292710165881</c:v>
                </c:pt>
                <c:pt idx="2">
                  <c:v>3.3020950777935822</c:v>
                </c:pt>
                <c:pt idx="3">
                  <c:v>3.0091194126015397</c:v>
                </c:pt>
                <c:pt idx="4">
                  <c:v>3.4583598495243506</c:v>
                </c:pt>
                <c:pt idx="5">
                  <c:v>2.2148670066584861</c:v>
                </c:pt>
                <c:pt idx="6">
                  <c:v>3.167247225923548</c:v>
                </c:pt>
                <c:pt idx="7">
                  <c:v>3.0094838598135594</c:v>
                </c:pt>
                <c:pt idx="8">
                  <c:v>1.7713773092351857</c:v>
                </c:pt>
                <c:pt idx="9">
                  <c:v>1.7556441863387033</c:v>
                </c:pt>
                <c:pt idx="10">
                  <c:v>1.9355116962362275</c:v>
                </c:pt>
                <c:pt idx="11">
                  <c:v>1.2930071698803598</c:v>
                </c:pt>
                <c:pt idx="12">
                  <c:v>1.5025142903982676</c:v>
                </c:pt>
                <c:pt idx="13">
                  <c:v>2.8490941253431332</c:v>
                </c:pt>
                <c:pt idx="14">
                  <c:v>2.3857700548348042</c:v>
                </c:pt>
                <c:pt idx="15">
                  <c:v>0.98859852751468325</c:v>
                </c:pt>
                <c:pt idx="16">
                  <c:v>2.8272440117229602</c:v>
                </c:pt>
                <c:pt idx="17">
                  <c:v>1.771552155336092</c:v>
                </c:pt>
                <c:pt idx="18">
                  <c:v>2.3629620250699568</c:v>
                </c:pt>
                <c:pt idx="19">
                  <c:v>2.1450147999991538</c:v>
                </c:pt>
                <c:pt idx="20">
                  <c:v>3.4219690053282608</c:v>
                </c:pt>
                <c:pt idx="21">
                  <c:v>3.9129116920784108</c:v>
                </c:pt>
                <c:pt idx="22">
                  <c:v>2.6294163033843021</c:v>
                </c:pt>
                <c:pt idx="23">
                  <c:v>1.8946791049951333</c:v>
                </c:pt>
                <c:pt idx="24">
                  <c:v>1.2589370109516147</c:v>
                </c:pt>
                <c:pt idx="25">
                  <c:v>2.546652595555599</c:v>
                </c:pt>
                <c:pt idx="26">
                  <c:v>2.2432862015533339</c:v>
                </c:pt>
                <c:pt idx="27">
                  <c:v>1.4777591650532773</c:v>
                </c:pt>
                <c:pt idx="28">
                  <c:v>1.1360228776274668</c:v>
                </c:pt>
                <c:pt idx="29">
                  <c:v>2.1363285561547145</c:v>
                </c:pt>
                <c:pt idx="30">
                  <c:v>4.362755573228192</c:v>
                </c:pt>
                <c:pt idx="31">
                  <c:v>2.5491733482580607</c:v>
                </c:pt>
                <c:pt idx="32">
                  <c:v>3.7290934747464437</c:v>
                </c:pt>
                <c:pt idx="33">
                  <c:v>1.5366700939269415</c:v>
                </c:pt>
                <c:pt idx="34">
                  <c:v>2.300758953444475</c:v>
                </c:pt>
                <c:pt idx="35">
                  <c:v>1.5570330030774227</c:v>
                </c:pt>
                <c:pt idx="36">
                  <c:v>3.3328565179617673</c:v>
                </c:pt>
                <c:pt idx="37">
                  <c:v>2.3837807486598255</c:v>
                </c:pt>
                <c:pt idx="38">
                  <c:v>1.1712077411360666</c:v>
                </c:pt>
                <c:pt idx="39">
                  <c:v>2.3124687940121027</c:v>
                </c:pt>
                <c:pt idx="40">
                  <c:v>2.4640213077435669</c:v>
                </c:pt>
                <c:pt idx="41">
                  <c:v>3.0364558592190143</c:v>
                </c:pt>
                <c:pt idx="42">
                  <c:v>3.7286319827266592</c:v>
                </c:pt>
                <c:pt idx="43">
                  <c:v>3.9025937070354502</c:v>
                </c:pt>
                <c:pt idx="44">
                  <c:v>2.0369822343315747</c:v>
                </c:pt>
                <c:pt idx="45">
                  <c:v>2.0271979329393868</c:v>
                </c:pt>
                <c:pt idx="46">
                  <c:v>3.6951928899211595</c:v>
                </c:pt>
                <c:pt idx="47">
                  <c:v>2.102360750878165</c:v>
                </c:pt>
                <c:pt idx="48">
                  <c:v>37.785771425219757</c:v>
                </c:pt>
                <c:pt idx="49">
                  <c:v>32.267586746597601</c:v>
                </c:pt>
                <c:pt idx="50">
                  <c:v>34.300543208193481</c:v>
                </c:pt>
                <c:pt idx="51">
                  <c:v>32.689539641483293</c:v>
                </c:pt>
                <c:pt idx="52">
                  <c:v>28.681902947752558</c:v>
                </c:pt>
                <c:pt idx="53">
                  <c:v>32.073419585584496</c:v>
                </c:pt>
                <c:pt idx="54">
                  <c:v>29.777810483706094</c:v>
                </c:pt>
                <c:pt idx="55">
                  <c:v>29.256198830226975</c:v>
                </c:pt>
                <c:pt idx="56">
                  <c:v>31.235659964683133</c:v>
                </c:pt>
                <c:pt idx="57">
                  <c:v>31.628327306082866</c:v>
                </c:pt>
                <c:pt idx="58">
                  <c:v>27.763068908006083</c:v>
                </c:pt>
                <c:pt idx="59">
                  <c:v>22.661705786168817</c:v>
                </c:pt>
                <c:pt idx="60">
                  <c:v>19.976825833273857</c:v>
                </c:pt>
                <c:pt idx="61">
                  <c:v>25.122057775968361</c:v>
                </c:pt>
                <c:pt idx="62">
                  <c:v>20.359705190960071</c:v>
                </c:pt>
                <c:pt idx="63">
                  <c:v>11.611907210315568</c:v>
                </c:pt>
                <c:pt idx="64">
                  <c:v>9.1295528971789572</c:v>
                </c:pt>
                <c:pt idx="65">
                  <c:v>13.774182632190929</c:v>
                </c:pt>
                <c:pt idx="66">
                  <c:v>11.14442119628985</c:v>
                </c:pt>
                <c:pt idx="67">
                  <c:v>10.262139879788773</c:v>
                </c:pt>
                <c:pt idx="68">
                  <c:v>9.0753858179980167</c:v>
                </c:pt>
                <c:pt idx="69">
                  <c:v>3.8241179081339847</c:v>
                </c:pt>
                <c:pt idx="70">
                  <c:v>4.6871038066852764</c:v>
                </c:pt>
                <c:pt idx="71">
                  <c:v>3.3980594132197766</c:v>
                </c:pt>
                <c:pt idx="72">
                  <c:v>5.2609694414756687</c:v>
                </c:pt>
                <c:pt idx="73">
                  <c:v>7.5222771836514069</c:v>
                </c:pt>
                <c:pt idx="74">
                  <c:v>5.1350101572941842</c:v>
                </c:pt>
                <c:pt idx="75">
                  <c:v>6.0300564253600966</c:v>
                </c:pt>
                <c:pt idx="76">
                  <c:v>8.3201054557339038</c:v>
                </c:pt>
                <c:pt idx="77">
                  <c:v>5.4798556938302321</c:v>
                </c:pt>
                <c:pt idx="78">
                  <c:v>2.5372342216382222</c:v>
                </c:pt>
                <c:pt idx="79">
                  <c:v>8.2923513174252683</c:v>
                </c:pt>
                <c:pt idx="80">
                  <c:v>3.9697357497017856</c:v>
                </c:pt>
                <c:pt idx="81">
                  <c:v>4.346360110239412</c:v>
                </c:pt>
                <c:pt idx="82">
                  <c:v>4.5731163326647994</c:v>
                </c:pt>
                <c:pt idx="83">
                  <c:v>3.9463047631227917</c:v>
                </c:pt>
                <c:pt idx="84">
                  <c:v>3.2669714456354386</c:v>
                </c:pt>
                <c:pt idx="85">
                  <c:v>3.3674926844242834</c:v>
                </c:pt>
                <c:pt idx="86">
                  <c:v>2.3892095934644115</c:v>
                </c:pt>
                <c:pt idx="87">
                  <c:v>3.1526701531166244</c:v>
                </c:pt>
                <c:pt idx="88">
                  <c:v>2.4344640021506132</c:v>
                </c:pt>
                <c:pt idx="89">
                  <c:v>1.7957125930478397</c:v>
                </c:pt>
                <c:pt idx="90">
                  <c:v>3.8623499063546611</c:v>
                </c:pt>
                <c:pt idx="91">
                  <c:v>3.5167405914244938</c:v>
                </c:pt>
                <c:pt idx="92">
                  <c:v>2.2879503360936622</c:v>
                </c:pt>
                <c:pt idx="93">
                  <c:v>2.7019909628025487</c:v>
                </c:pt>
                <c:pt idx="94">
                  <c:v>3.4933385169924476</c:v>
                </c:pt>
                <c:pt idx="95">
                  <c:v>2.3020776656831194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0E-4508-A782-37D3A9370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  <c:max val="7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7 -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funct'!$AO$3:$AO$99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'storms - seasonal amp funct'!$AQ$3:$AQ$99</c:f>
              <c:numCache>
                <c:formatCode>0.0000</c:formatCode>
                <c:ptCount val="97"/>
                <c:pt idx="0">
                  <c:v>0.44939223900000003</c:v>
                </c:pt>
                <c:pt idx="1">
                  <c:v>0.44939223900000003</c:v>
                </c:pt>
                <c:pt idx="2">
                  <c:v>0.44894941300000002</c:v>
                </c:pt>
                <c:pt idx="3">
                  <c:v>0.59425534599999996</c:v>
                </c:pt>
                <c:pt idx="4">
                  <c:v>0.399936554</c:v>
                </c:pt>
                <c:pt idx="5">
                  <c:v>0.50323377899999999</c:v>
                </c:pt>
                <c:pt idx="6">
                  <c:v>0.53251963199999997</c:v>
                </c:pt>
                <c:pt idx="7">
                  <c:v>0.50323377899999999</c:v>
                </c:pt>
                <c:pt idx="8">
                  <c:v>0.50323377899999999</c:v>
                </c:pt>
                <c:pt idx="9">
                  <c:v>0.50323377899999999</c:v>
                </c:pt>
                <c:pt idx="10">
                  <c:v>0.53201108200000002</c:v>
                </c:pt>
                <c:pt idx="11">
                  <c:v>0.50323377899999999</c:v>
                </c:pt>
                <c:pt idx="12">
                  <c:v>0.50323377899999999</c:v>
                </c:pt>
                <c:pt idx="13">
                  <c:v>0.44894941300000002</c:v>
                </c:pt>
                <c:pt idx="14">
                  <c:v>0.59425534599999996</c:v>
                </c:pt>
                <c:pt idx="15">
                  <c:v>0.44894941300000002</c:v>
                </c:pt>
                <c:pt idx="16">
                  <c:v>0.53201108200000002</c:v>
                </c:pt>
                <c:pt idx="17">
                  <c:v>0.53201108200000002</c:v>
                </c:pt>
                <c:pt idx="18">
                  <c:v>0.59425534599999996</c:v>
                </c:pt>
                <c:pt idx="19">
                  <c:v>0.50323377899999999</c:v>
                </c:pt>
                <c:pt idx="20">
                  <c:v>0.59425534599999996</c:v>
                </c:pt>
                <c:pt idx="21">
                  <c:v>0.44894941300000002</c:v>
                </c:pt>
                <c:pt idx="22">
                  <c:v>0.66228851600000005</c:v>
                </c:pt>
                <c:pt idx="23">
                  <c:v>0.44894941300000002</c:v>
                </c:pt>
                <c:pt idx="24">
                  <c:v>0.59425534599999996</c:v>
                </c:pt>
                <c:pt idx="25">
                  <c:v>0.44894941300000002</c:v>
                </c:pt>
                <c:pt idx="26">
                  <c:v>0.44939223900000003</c:v>
                </c:pt>
                <c:pt idx="27">
                  <c:v>0.44939223900000003</c:v>
                </c:pt>
                <c:pt idx="28">
                  <c:v>0.44939223900000003</c:v>
                </c:pt>
                <c:pt idx="29">
                  <c:v>0.44894941300000002</c:v>
                </c:pt>
                <c:pt idx="30">
                  <c:v>0.53201108200000002</c:v>
                </c:pt>
                <c:pt idx="31">
                  <c:v>0.44894941300000002</c:v>
                </c:pt>
                <c:pt idx="32">
                  <c:v>0.39953381599999999</c:v>
                </c:pt>
                <c:pt idx="33">
                  <c:v>0.47522856800000002</c:v>
                </c:pt>
                <c:pt idx="34">
                  <c:v>0.62723254799999995</c:v>
                </c:pt>
                <c:pt idx="35">
                  <c:v>0.39953381599999999</c:v>
                </c:pt>
                <c:pt idx="36">
                  <c:v>0.39953381599999999</c:v>
                </c:pt>
                <c:pt idx="37">
                  <c:v>0.44894941300000002</c:v>
                </c:pt>
                <c:pt idx="38">
                  <c:v>0.29572637699999998</c:v>
                </c:pt>
                <c:pt idx="39">
                  <c:v>0.376777213</c:v>
                </c:pt>
                <c:pt idx="40">
                  <c:v>0.376777213</c:v>
                </c:pt>
                <c:pt idx="41">
                  <c:v>0.33439968599999997</c:v>
                </c:pt>
                <c:pt idx="42">
                  <c:v>0.399936554</c:v>
                </c:pt>
                <c:pt idx="43">
                  <c:v>0.44894941300000002</c:v>
                </c:pt>
                <c:pt idx="44">
                  <c:v>0.376777213</c:v>
                </c:pt>
                <c:pt idx="45">
                  <c:v>0.44894941300000002</c:v>
                </c:pt>
                <c:pt idx="46">
                  <c:v>0.44894941300000002</c:v>
                </c:pt>
                <c:pt idx="47">
                  <c:v>0.44894941300000002</c:v>
                </c:pt>
                <c:pt idx="48">
                  <c:v>0.44894941300000002</c:v>
                </c:pt>
                <c:pt idx="49">
                  <c:v>0.44894941300000002</c:v>
                </c:pt>
                <c:pt idx="50">
                  <c:v>0.376777213</c:v>
                </c:pt>
                <c:pt idx="51">
                  <c:v>0.44894941300000002</c:v>
                </c:pt>
                <c:pt idx="52">
                  <c:v>0.47522856800000002</c:v>
                </c:pt>
                <c:pt idx="53">
                  <c:v>0.47522856800000002</c:v>
                </c:pt>
                <c:pt idx="54">
                  <c:v>0.47522856800000002</c:v>
                </c:pt>
                <c:pt idx="55">
                  <c:v>0.44894941300000002</c:v>
                </c:pt>
                <c:pt idx="56">
                  <c:v>0.44894941300000002</c:v>
                </c:pt>
                <c:pt idx="57">
                  <c:v>0.53201108200000002</c:v>
                </c:pt>
                <c:pt idx="58">
                  <c:v>0.81307424100000003</c:v>
                </c:pt>
                <c:pt idx="59">
                  <c:v>1.200201638</c:v>
                </c:pt>
                <c:pt idx="60">
                  <c:v>1.9748874890000001</c:v>
                </c:pt>
                <c:pt idx="61">
                  <c:v>1.5125919880000001</c:v>
                </c:pt>
                <c:pt idx="62">
                  <c:v>1.0404225359999999</c:v>
                </c:pt>
                <c:pt idx="63">
                  <c:v>1.8086265969999999</c:v>
                </c:pt>
                <c:pt idx="64">
                  <c:v>1.9734137430000001</c:v>
                </c:pt>
                <c:pt idx="65">
                  <c:v>2.8809824239999999</c:v>
                </c:pt>
                <c:pt idx="66">
                  <c:v>2.8809824239999999</c:v>
                </c:pt>
                <c:pt idx="67">
                  <c:v>2.5469425430000001</c:v>
                </c:pt>
                <c:pt idx="68">
                  <c:v>3.3680623299999999</c:v>
                </c:pt>
                <c:pt idx="69">
                  <c:v>2.8809824239999999</c:v>
                </c:pt>
                <c:pt idx="70">
                  <c:v>2.7664001109999998</c:v>
                </c:pt>
                <c:pt idx="71">
                  <c:v>3.8698277910000001</c:v>
                </c:pt>
                <c:pt idx="72">
                  <c:v>6.6940258559999997</c:v>
                </c:pt>
                <c:pt idx="73">
                  <c:v>2.6558198119999998</c:v>
                </c:pt>
                <c:pt idx="74">
                  <c:v>2.247064306</c:v>
                </c:pt>
                <c:pt idx="75">
                  <c:v>2.3436582540000002</c:v>
                </c:pt>
                <c:pt idx="76">
                  <c:v>2.247064306</c:v>
                </c:pt>
                <c:pt idx="77">
                  <c:v>2.247064306</c:v>
                </c:pt>
                <c:pt idx="78">
                  <c:v>2.0619739560000001</c:v>
                </c:pt>
                <c:pt idx="79">
                  <c:v>1.8086265969999999</c:v>
                </c:pt>
                <c:pt idx="80">
                  <c:v>2.0619739560000001</c:v>
                </c:pt>
                <c:pt idx="81">
                  <c:v>1.88950475</c:v>
                </c:pt>
                <c:pt idx="82">
                  <c:v>1.5821856839999999</c:v>
                </c:pt>
                <c:pt idx="83">
                  <c:v>1.5821856839999999</c:v>
                </c:pt>
                <c:pt idx="84">
                  <c:v>1.5821856839999999</c:v>
                </c:pt>
                <c:pt idx="85">
                  <c:v>1.5821856839999999</c:v>
                </c:pt>
                <c:pt idx="86">
                  <c:v>1.5821856839999999</c:v>
                </c:pt>
                <c:pt idx="87">
                  <c:v>1.3790541089999999</c:v>
                </c:pt>
                <c:pt idx="88">
                  <c:v>1.4444654269999999</c:v>
                </c:pt>
                <c:pt idx="89">
                  <c:v>1.3790541089999999</c:v>
                </c:pt>
                <c:pt idx="90">
                  <c:v>1.4444654269999999</c:v>
                </c:pt>
                <c:pt idx="91">
                  <c:v>2.060445487</c:v>
                </c:pt>
                <c:pt idx="92">
                  <c:v>1.3790541089999999</c:v>
                </c:pt>
                <c:pt idx="93">
                  <c:v>1.5809633519999999</c:v>
                </c:pt>
                <c:pt idx="94">
                  <c:v>1.4444654269999999</c:v>
                </c:pt>
                <c:pt idx="95">
                  <c:v>1.091323134</c:v>
                </c:pt>
                <c:pt idx="96">
                  <c:v>1.091323134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E4-4854-903F-A7F302F5C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1"/>
          <c:tx>
            <c:strRef>
              <c:f>'storms - seasonal amp funct'!$G$2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funct'!$AO$3:$AO$99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'storms - seasonal amp funct'!$AU$3:$AU$99</c:f>
              <c:numCache>
                <c:formatCode>0.0000</c:formatCode>
                <c:ptCount val="97"/>
                <c:pt idx="0">
                  <c:v>0.54696704657990403</c:v>
                </c:pt>
                <c:pt idx="1">
                  <c:v>0.89986266709174434</c:v>
                </c:pt>
                <c:pt idx="2">
                  <c:v>0.72585678430334033</c:v>
                </c:pt>
                <c:pt idx="3">
                  <c:v>1.425069884936558</c:v>
                </c:pt>
                <c:pt idx="4">
                  <c:v>0.68978372291402523</c:v>
                </c:pt>
                <c:pt idx="5">
                  <c:v>1.2539836447277948</c:v>
                </c:pt>
                <c:pt idx="6">
                  <c:v>1.2681039812679189</c:v>
                </c:pt>
                <c:pt idx="7">
                  <c:v>1.0059955991092104</c:v>
                </c:pt>
                <c:pt idx="8">
                  <c:v>1.263482940437622</c:v>
                </c:pt>
                <c:pt idx="9">
                  <c:v>1.0812764315374508</c:v>
                </c:pt>
                <c:pt idx="10">
                  <c:v>1.142518020310554</c:v>
                </c:pt>
                <c:pt idx="11">
                  <c:v>1.1332438850137467</c:v>
                </c:pt>
                <c:pt idx="12">
                  <c:v>1.4016427689882338</c:v>
                </c:pt>
                <c:pt idx="13">
                  <c:v>0.84758950899624141</c:v>
                </c:pt>
                <c:pt idx="14">
                  <c:v>1.5899893176740618</c:v>
                </c:pt>
                <c:pt idx="15">
                  <c:v>0.94744825381974007</c:v>
                </c:pt>
                <c:pt idx="16">
                  <c:v>1.2214543084564609</c:v>
                </c:pt>
                <c:pt idx="17">
                  <c:v>1.1636248196713819</c:v>
                </c:pt>
                <c:pt idx="18">
                  <c:v>1.3603726917181893</c:v>
                </c:pt>
                <c:pt idx="19">
                  <c:v>1.0697571191730451</c:v>
                </c:pt>
                <c:pt idx="20">
                  <c:v>1.7808641223167168</c:v>
                </c:pt>
                <c:pt idx="21">
                  <c:v>0.82454343030956467</c:v>
                </c:pt>
                <c:pt idx="22">
                  <c:v>2.1495143184323151</c:v>
                </c:pt>
                <c:pt idx="23">
                  <c:v>0.84010562668638278</c:v>
                </c:pt>
                <c:pt idx="24">
                  <c:v>1.4166875705188093</c:v>
                </c:pt>
                <c:pt idx="25">
                  <c:v>0.91644487971589772</c:v>
                </c:pt>
                <c:pt idx="26">
                  <c:v>0.72312988108781873</c:v>
                </c:pt>
                <c:pt idx="27">
                  <c:v>0.94828662882156833</c:v>
                </c:pt>
                <c:pt idx="28">
                  <c:v>0.77672409002457088</c:v>
                </c:pt>
                <c:pt idx="29">
                  <c:v>0.76896517661200259</c:v>
                </c:pt>
                <c:pt idx="30">
                  <c:v>1.0841555299614476</c:v>
                </c:pt>
                <c:pt idx="31">
                  <c:v>0.83759932984218766</c:v>
                </c:pt>
                <c:pt idx="32">
                  <c:v>0.61983764759846738</c:v>
                </c:pt>
                <c:pt idx="33">
                  <c:v>0.96920707609456835</c:v>
                </c:pt>
                <c:pt idx="34">
                  <c:v>1.9017424871871682</c:v>
                </c:pt>
                <c:pt idx="35">
                  <c:v>0.70839226242854092</c:v>
                </c:pt>
                <c:pt idx="36">
                  <c:v>0.51809457769249168</c:v>
                </c:pt>
                <c:pt idx="37">
                  <c:v>0.79496609175790134</c:v>
                </c:pt>
                <c:pt idx="38">
                  <c:v>0.21181211134126307</c:v>
                </c:pt>
                <c:pt idx="39">
                  <c:v>0.51341116037873902</c:v>
                </c:pt>
                <c:pt idx="40">
                  <c:v>0.53915185300721358</c:v>
                </c:pt>
                <c:pt idx="41">
                  <c:v>0.30502400896899989</c:v>
                </c:pt>
                <c:pt idx="42">
                  <c:v>0.54949438562863151</c:v>
                </c:pt>
                <c:pt idx="43">
                  <c:v>0.65865795594494259</c:v>
                </c:pt>
                <c:pt idx="44">
                  <c:v>0.45378720030175695</c:v>
                </c:pt>
                <c:pt idx="45">
                  <c:v>0.64984757633837031</c:v>
                </c:pt>
                <c:pt idx="46">
                  <c:v>0.7584315581801625</c:v>
                </c:pt>
                <c:pt idx="47">
                  <c:v>0.64330253609399668</c:v>
                </c:pt>
                <c:pt idx="48">
                  <c:v>0.757715457952291</c:v>
                </c:pt>
                <c:pt idx="49">
                  <c:v>0.85654655280708336</c:v>
                </c:pt>
                <c:pt idx="50">
                  <c:v>0.88275729022351757</c:v>
                </c:pt>
                <c:pt idx="51">
                  <c:v>0.72266869212375318</c:v>
                </c:pt>
                <c:pt idx="52">
                  <c:v>0.94383241650282246</c:v>
                </c:pt>
                <c:pt idx="53">
                  <c:v>0.80457452649451688</c:v>
                </c:pt>
                <c:pt idx="54">
                  <c:v>0.94989503983954893</c:v>
                </c:pt>
                <c:pt idx="55">
                  <c:v>0.67567514013205054</c:v>
                </c:pt>
                <c:pt idx="56">
                  <c:v>2.0954341975852189</c:v>
                </c:pt>
                <c:pt idx="57">
                  <c:v>10.95164848396344</c:v>
                </c:pt>
                <c:pt idx="58">
                  <c:v>9.9229994039960783</c:v>
                </c:pt>
                <c:pt idx="59">
                  <c:v>37.949114762475979</c:v>
                </c:pt>
                <c:pt idx="60">
                  <c:v>41.467743036569793</c:v>
                </c:pt>
                <c:pt idx="61">
                  <c:v>36.535115808454094</c:v>
                </c:pt>
                <c:pt idx="62">
                  <c:v>27.535165635828925</c:v>
                </c:pt>
                <c:pt idx="63">
                  <c:v>39.70196437384044</c:v>
                </c:pt>
                <c:pt idx="64">
                  <c:v>38.54143534788755</c:v>
                </c:pt>
                <c:pt idx="65">
                  <c:v>31.924387992345427</c:v>
                </c:pt>
                <c:pt idx="66">
                  <c:v>38.602565112845575</c:v>
                </c:pt>
                <c:pt idx="67">
                  <c:v>33.305709878106491</c:v>
                </c:pt>
                <c:pt idx="68">
                  <c:v>36.101398083422318</c:v>
                </c:pt>
                <c:pt idx="69">
                  <c:v>32.175681511833197</c:v>
                </c:pt>
                <c:pt idx="70">
                  <c:v>33.711763312289754</c:v>
                </c:pt>
                <c:pt idx="71">
                  <c:v>37.340347010762699</c:v>
                </c:pt>
                <c:pt idx="72">
                  <c:v>39.161236612311207</c:v>
                </c:pt>
                <c:pt idx="73">
                  <c:v>32.355944973028748</c:v>
                </c:pt>
                <c:pt idx="74">
                  <c:v>32.65829909777068</c:v>
                </c:pt>
                <c:pt idx="75">
                  <c:v>31.54414171783462</c:v>
                </c:pt>
                <c:pt idx="76">
                  <c:v>31.439027358917482</c:v>
                </c:pt>
                <c:pt idx="77">
                  <c:v>32.703771873909567</c:v>
                </c:pt>
                <c:pt idx="78">
                  <c:v>34.373376690408335</c:v>
                </c:pt>
                <c:pt idx="79">
                  <c:v>38.606796043501852</c:v>
                </c:pt>
                <c:pt idx="80">
                  <c:v>34.671860081955828</c:v>
                </c:pt>
                <c:pt idx="81">
                  <c:v>34.766598608169012</c:v>
                </c:pt>
                <c:pt idx="82">
                  <c:v>35.154335396860525</c:v>
                </c:pt>
                <c:pt idx="83">
                  <c:v>39.318018684260039</c:v>
                </c:pt>
                <c:pt idx="84">
                  <c:v>33.810184532048787</c:v>
                </c:pt>
                <c:pt idx="85">
                  <c:v>39.093908474422086</c:v>
                </c:pt>
                <c:pt idx="86">
                  <c:v>37.933690651702335</c:v>
                </c:pt>
                <c:pt idx="87">
                  <c:v>34.15919561547301</c:v>
                </c:pt>
                <c:pt idx="88">
                  <c:v>35.118154859205958</c:v>
                </c:pt>
                <c:pt idx="89">
                  <c:v>37.206656177141902</c:v>
                </c:pt>
                <c:pt idx="90">
                  <c:v>43.612286420014215</c:v>
                </c:pt>
                <c:pt idx="91">
                  <c:v>43.959021915225279</c:v>
                </c:pt>
                <c:pt idx="92">
                  <c:v>40.32566867120682</c:v>
                </c:pt>
                <c:pt idx="93">
                  <c:v>38.892466042429952</c:v>
                </c:pt>
                <c:pt idx="94">
                  <c:v>41.69355025873363</c:v>
                </c:pt>
                <c:pt idx="95">
                  <c:v>32.181168063489729</c:v>
                </c:pt>
                <c:pt idx="96">
                  <c:v>31.797363004471816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E4-4854-903F-A7F302F5C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  <c:max val="7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Spring</a:t>
            </a:r>
            <a:r>
              <a:rPr lang="en-US" baseline="0"/>
              <a:t> </a:t>
            </a:r>
            <a:r>
              <a:rPr lang="en-US"/>
              <a:t>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funct'!$AY$2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funct'!$AW$3:$AW$1396</c:f>
              <c:numCache>
                <c:formatCode>m/d/yyyy\ h:mm</c:formatCode>
                <c:ptCount val="1394"/>
                <c:pt idx="0">
                  <c:v>45037.166666666664</c:v>
                </c:pt>
                <c:pt idx="1">
                  <c:v>45037.177083333336</c:v>
                </c:pt>
                <c:pt idx="2">
                  <c:v>45037.1875</c:v>
                </c:pt>
                <c:pt idx="3">
                  <c:v>45037.197916666664</c:v>
                </c:pt>
                <c:pt idx="4">
                  <c:v>45037.208333333336</c:v>
                </c:pt>
                <c:pt idx="5">
                  <c:v>45037.21875</c:v>
                </c:pt>
                <c:pt idx="6">
                  <c:v>45037.229166666664</c:v>
                </c:pt>
                <c:pt idx="7">
                  <c:v>45037.239583333336</c:v>
                </c:pt>
                <c:pt idx="8">
                  <c:v>45037.25</c:v>
                </c:pt>
                <c:pt idx="9">
                  <c:v>45037.260416666664</c:v>
                </c:pt>
                <c:pt idx="10">
                  <c:v>45037.270833333336</c:v>
                </c:pt>
                <c:pt idx="11">
                  <c:v>45037.28125</c:v>
                </c:pt>
                <c:pt idx="12">
                  <c:v>45037.291666666664</c:v>
                </c:pt>
                <c:pt idx="13">
                  <c:v>45037.302083333336</c:v>
                </c:pt>
                <c:pt idx="14">
                  <c:v>45037.3125</c:v>
                </c:pt>
                <c:pt idx="15">
                  <c:v>45037.322916666664</c:v>
                </c:pt>
                <c:pt idx="16">
                  <c:v>45037.333333333336</c:v>
                </c:pt>
                <c:pt idx="17">
                  <c:v>45037.34375</c:v>
                </c:pt>
                <c:pt idx="18">
                  <c:v>45037.354166666664</c:v>
                </c:pt>
                <c:pt idx="19">
                  <c:v>45037.364583333336</c:v>
                </c:pt>
                <c:pt idx="20">
                  <c:v>45037.375</c:v>
                </c:pt>
                <c:pt idx="21">
                  <c:v>45037.385416666664</c:v>
                </c:pt>
                <c:pt idx="22">
                  <c:v>45037.395833333336</c:v>
                </c:pt>
                <c:pt idx="23">
                  <c:v>45037.40625</c:v>
                </c:pt>
                <c:pt idx="24">
                  <c:v>45037.416666666664</c:v>
                </c:pt>
                <c:pt idx="25">
                  <c:v>45037.427083333336</c:v>
                </c:pt>
                <c:pt idx="26">
                  <c:v>45037.4375</c:v>
                </c:pt>
                <c:pt idx="27">
                  <c:v>45037.447916666664</c:v>
                </c:pt>
                <c:pt idx="28">
                  <c:v>45037.458333333336</c:v>
                </c:pt>
                <c:pt idx="29">
                  <c:v>45037.46875</c:v>
                </c:pt>
                <c:pt idx="30">
                  <c:v>45037.479166666664</c:v>
                </c:pt>
                <c:pt idx="31">
                  <c:v>45037.489583333336</c:v>
                </c:pt>
                <c:pt idx="32">
                  <c:v>45037.5</c:v>
                </c:pt>
                <c:pt idx="33">
                  <c:v>45037.510416666664</c:v>
                </c:pt>
                <c:pt idx="34">
                  <c:v>45037.520833333336</c:v>
                </c:pt>
                <c:pt idx="35">
                  <c:v>45037.53125</c:v>
                </c:pt>
                <c:pt idx="36">
                  <c:v>45037.541666666664</c:v>
                </c:pt>
                <c:pt idx="37">
                  <c:v>45037.552083333336</c:v>
                </c:pt>
                <c:pt idx="38">
                  <c:v>45037.5625</c:v>
                </c:pt>
                <c:pt idx="39">
                  <c:v>45037.572916666664</c:v>
                </c:pt>
                <c:pt idx="40">
                  <c:v>45037.583333333336</c:v>
                </c:pt>
                <c:pt idx="41">
                  <c:v>45037.59375</c:v>
                </c:pt>
                <c:pt idx="42">
                  <c:v>45037.604166666664</c:v>
                </c:pt>
                <c:pt idx="43">
                  <c:v>45037.614583333336</c:v>
                </c:pt>
                <c:pt idx="44">
                  <c:v>45037.625</c:v>
                </c:pt>
                <c:pt idx="45">
                  <c:v>45037.635416666664</c:v>
                </c:pt>
                <c:pt idx="46">
                  <c:v>45037.645833333336</c:v>
                </c:pt>
                <c:pt idx="47">
                  <c:v>45037.65625</c:v>
                </c:pt>
                <c:pt idx="48">
                  <c:v>45037.666666666664</c:v>
                </c:pt>
                <c:pt idx="49">
                  <c:v>45037.677083333336</c:v>
                </c:pt>
                <c:pt idx="50">
                  <c:v>45037.6875</c:v>
                </c:pt>
                <c:pt idx="51">
                  <c:v>45037.697916666664</c:v>
                </c:pt>
                <c:pt idx="52">
                  <c:v>45037.708333333336</c:v>
                </c:pt>
                <c:pt idx="53">
                  <c:v>45037.71875</c:v>
                </c:pt>
                <c:pt idx="54">
                  <c:v>45037.729166666664</c:v>
                </c:pt>
                <c:pt idx="55">
                  <c:v>45037.739583333336</c:v>
                </c:pt>
                <c:pt idx="56">
                  <c:v>45037.75</c:v>
                </c:pt>
                <c:pt idx="57">
                  <c:v>45037.760416666664</c:v>
                </c:pt>
                <c:pt idx="58">
                  <c:v>45037.770833333336</c:v>
                </c:pt>
                <c:pt idx="59">
                  <c:v>45037.78125</c:v>
                </c:pt>
                <c:pt idx="60">
                  <c:v>45037.791666666664</c:v>
                </c:pt>
                <c:pt idx="61">
                  <c:v>45037.802083333336</c:v>
                </c:pt>
                <c:pt idx="62">
                  <c:v>45037.8125</c:v>
                </c:pt>
                <c:pt idx="63">
                  <c:v>45037.822916666664</c:v>
                </c:pt>
                <c:pt idx="64">
                  <c:v>45037.833333333336</c:v>
                </c:pt>
                <c:pt idx="65">
                  <c:v>45037.84375</c:v>
                </c:pt>
                <c:pt idx="66">
                  <c:v>45037.854166666664</c:v>
                </c:pt>
                <c:pt idx="67">
                  <c:v>45037.864583333336</c:v>
                </c:pt>
                <c:pt idx="68">
                  <c:v>45037.875</c:v>
                </c:pt>
                <c:pt idx="69">
                  <c:v>45037.885416666664</c:v>
                </c:pt>
                <c:pt idx="70">
                  <c:v>45037.895833333336</c:v>
                </c:pt>
                <c:pt idx="71">
                  <c:v>45037.90625</c:v>
                </c:pt>
                <c:pt idx="72">
                  <c:v>45037.916666666664</c:v>
                </c:pt>
                <c:pt idx="73">
                  <c:v>45037.927083333336</c:v>
                </c:pt>
                <c:pt idx="74">
                  <c:v>45037.9375</c:v>
                </c:pt>
                <c:pt idx="75">
                  <c:v>45037.947916666664</c:v>
                </c:pt>
                <c:pt idx="76">
                  <c:v>45037.958333333336</c:v>
                </c:pt>
                <c:pt idx="77">
                  <c:v>45037.96875</c:v>
                </c:pt>
                <c:pt idx="78">
                  <c:v>45037.979166666664</c:v>
                </c:pt>
                <c:pt idx="79">
                  <c:v>45037.989583333336</c:v>
                </c:pt>
                <c:pt idx="80">
                  <c:v>45038</c:v>
                </c:pt>
                <c:pt idx="81">
                  <c:v>45038.010416666664</c:v>
                </c:pt>
                <c:pt idx="82">
                  <c:v>45038.020833333336</c:v>
                </c:pt>
                <c:pt idx="83">
                  <c:v>45038.03125</c:v>
                </c:pt>
                <c:pt idx="84">
                  <c:v>45038.041666666664</c:v>
                </c:pt>
                <c:pt idx="85">
                  <c:v>45038.052083333336</c:v>
                </c:pt>
                <c:pt idx="86">
                  <c:v>45038.0625</c:v>
                </c:pt>
                <c:pt idx="87">
                  <c:v>45038.072916666664</c:v>
                </c:pt>
                <c:pt idx="88">
                  <c:v>45038.083333333336</c:v>
                </c:pt>
                <c:pt idx="89">
                  <c:v>45038.09375</c:v>
                </c:pt>
                <c:pt idx="90">
                  <c:v>45038.104166666664</c:v>
                </c:pt>
                <c:pt idx="91">
                  <c:v>45038.114583333336</c:v>
                </c:pt>
                <c:pt idx="92">
                  <c:v>45038.125</c:v>
                </c:pt>
                <c:pt idx="93">
                  <c:v>45038.135416666664</c:v>
                </c:pt>
                <c:pt idx="94">
                  <c:v>45038.145833333336</c:v>
                </c:pt>
                <c:pt idx="95">
                  <c:v>45038.15625</c:v>
                </c:pt>
                <c:pt idx="96">
                  <c:v>45038.166666666664</c:v>
                </c:pt>
                <c:pt idx="97">
                  <c:v>45038.177083333336</c:v>
                </c:pt>
                <c:pt idx="98">
                  <c:v>45038.1875</c:v>
                </c:pt>
                <c:pt idx="99">
                  <c:v>45038.197916666664</c:v>
                </c:pt>
                <c:pt idx="100">
                  <c:v>45038.208333333336</c:v>
                </c:pt>
                <c:pt idx="101">
                  <c:v>45038.21875</c:v>
                </c:pt>
                <c:pt idx="102">
                  <c:v>45038.229166666664</c:v>
                </c:pt>
                <c:pt idx="103">
                  <c:v>45038.239583333336</c:v>
                </c:pt>
                <c:pt idx="104">
                  <c:v>45038.25</c:v>
                </c:pt>
                <c:pt idx="105">
                  <c:v>45038.260416666664</c:v>
                </c:pt>
                <c:pt idx="106">
                  <c:v>45038.270833333336</c:v>
                </c:pt>
                <c:pt idx="107">
                  <c:v>45038.28125</c:v>
                </c:pt>
                <c:pt idx="108">
                  <c:v>45038.291666666664</c:v>
                </c:pt>
                <c:pt idx="109">
                  <c:v>45038.302083333336</c:v>
                </c:pt>
                <c:pt idx="110">
                  <c:v>45038.3125</c:v>
                </c:pt>
                <c:pt idx="111">
                  <c:v>45038.322916666664</c:v>
                </c:pt>
                <c:pt idx="112">
                  <c:v>45038.333333333336</c:v>
                </c:pt>
                <c:pt idx="113">
                  <c:v>45038.34375</c:v>
                </c:pt>
                <c:pt idx="114">
                  <c:v>45038.354166666664</c:v>
                </c:pt>
                <c:pt idx="115">
                  <c:v>45038.364583333336</c:v>
                </c:pt>
                <c:pt idx="116">
                  <c:v>45038.375</c:v>
                </c:pt>
                <c:pt idx="117">
                  <c:v>45038.385416666664</c:v>
                </c:pt>
                <c:pt idx="118">
                  <c:v>45038.395833333336</c:v>
                </c:pt>
                <c:pt idx="119">
                  <c:v>45038.40625</c:v>
                </c:pt>
                <c:pt idx="120">
                  <c:v>45038.416666666664</c:v>
                </c:pt>
                <c:pt idx="121">
                  <c:v>45038.427083333336</c:v>
                </c:pt>
                <c:pt idx="122">
                  <c:v>45038.4375</c:v>
                </c:pt>
                <c:pt idx="123">
                  <c:v>45038.447916666664</c:v>
                </c:pt>
                <c:pt idx="124">
                  <c:v>45038.458333333336</c:v>
                </c:pt>
                <c:pt idx="125">
                  <c:v>45038.46875</c:v>
                </c:pt>
                <c:pt idx="126">
                  <c:v>45038.479166666664</c:v>
                </c:pt>
                <c:pt idx="127">
                  <c:v>45038.489583333336</c:v>
                </c:pt>
                <c:pt idx="128">
                  <c:v>45038.5</c:v>
                </c:pt>
                <c:pt idx="129">
                  <c:v>45038.510416666664</c:v>
                </c:pt>
                <c:pt idx="130">
                  <c:v>45038.520833333336</c:v>
                </c:pt>
                <c:pt idx="131">
                  <c:v>45038.53125</c:v>
                </c:pt>
                <c:pt idx="132">
                  <c:v>45038.541666666664</c:v>
                </c:pt>
                <c:pt idx="133">
                  <c:v>45038.552083333336</c:v>
                </c:pt>
                <c:pt idx="134">
                  <c:v>45038.5625</c:v>
                </c:pt>
                <c:pt idx="135">
                  <c:v>45038.572916666664</c:v>
                </c:pt>
                <c:pt idx="136">
                  <c:v>45038.583333333336</c:v>
                </c:pt>
                <c:pt idx="137">
                  <c:v>45038.59375</c:v>
                </c:pt>
                <c:pt idx="138">
                  <c:v>45038.604166666664</c:v>
                </c:pt>
                <c:pt idx="139">
                  <c:v>45038.614583333336</c:v>
                </c:pt>
                <c:pt idx="140">
                  <c:v>45038.625</c:v>
                </c:pt>
                <c:pt idx="141">
                  <c:v>45038.635416666664</c:v>
                </c:pt>
                <c:pt idx="142">
                  <c:v>45038.645833333336</c:v>
                </c:pt>
                <c:pt idx="143">
                  <c:v>45038.65625</c:v>
                </c:pt>
                <c:pt idx="144">
                  <c:v>45038.666666666664</c:v>
                </c:pt>
                <c:pt idx="145">
                  <c:v>45038.677083333336</c:v>
                </c:pt>
                <c:pt idx="146">
                  <c:v>45038.6875</c:v>
                </c:pt>
                <c:pt idx="147">
                  <c:v>45038.697916666664</c:v>
                </c:pt>
                <c:pt idx="148">
                  <c:v>45038.708333333336</c:v>
                </c:pt>
                <c:pt idx="149">
                  <c:v>45038.71875</c:v>
                </c:pt>
                <c:pt idx="150">
                  <c:v>45038.729166666664</c:v>
                </c:pt>
                <c:pt idx="151">
                  <c:v>45038.739583333336</c:v>
                </c:pt>
                <c:pt idx="152">
                  <c:v>45038.75</c:v>
                </c:pt>
                <c:pt idx="153">
                  <c:v>45038.760416666664</c:v>
                </c:pt>
                <c:pt idx="154">
                  <c:v>45038.770833333336</c:v>
                </c:pt>
                <c:pt idx="155">
                  <c:v>45038.78125</c:v>
                </c:pt>
                <c:pt idx="156">
                  <c:v>45038.791666666664</c:v>
                </c:pt>
                <c:pt idx="157">
                  <c:v>45038.802083333336</c:v>
                </c:pt>
                <c:pt idx="158">
                  <c:v>45038.8125</c:v>
                </c:pt>
                <c:pt idx="159">
                  <c:v>45038.822916666664</c:v>
                </c:pt>
                <c:pt idx="160">
                  <c:v>45038.833333333336</c:v>
                </c:pt>
                <c:pt idx="161">
                  <c:v>45038.84375</c:v>
                </c:pt>
                <c:pt idx="162">
                  <c:v>45038.854166666664</c:v>
                </c:pt>
                <c:pt idx="163">
                  <c:v>45038.864583333336</c:v>
                </c:pt>
                <c:pt idx="164">
                  <c:v>45038.875</c:v>
                </c:pt>
                <c:pt idx="165">
                  <c:v>45038.885416666664</c:v>
                </c:pt>
                <c:pt idx="166">
                  <c:v>45038.895833333336</c:v>
                </c:pt>
                <c:pt idx="167">
                  <c:v>45038.90625</c:v>
                </c:pt>
                <c:pt idx="168">
                  <c:v>45038.916666666664</c:v>
                </c:pt>
                <c:pt idx="169">
                  <c:v>45038.927083333336</c:v>
                </c:pt>
                <c:pt idx="170">
                  <c:v>45038.9375</c:v>
                </c:pt>
                <c:pt idx="171">
                  <c:v>45038.947916666664</c:v>
                </c:pt>
                <c:pt idx="172">
                  <c:v>45038.958333333336</c:v>
                </c:pt>
                <c:pt idx="173">
                  <c:v>45038.96875</c:v>
                </c:pt>
                <c:pt idx="174">
                  <c:v>45038.979166666664</c:v>
                </c:pt>
                <c:pt idx="175">
                  <c:v>45038.989583333336</c:v>
                </c:pt>
                <c:pt idx="176">
                  <c:v>45039</c:v>
                </c:pt>
                <c:pt idx="177">
                  <c:v>45039.010416666664</c:v>
                </c:pt>
                <c:pt idx="178">
                  <c:v>45039.020833333336</c:v>
                </c:pt>
                <c:pt idx="179">
                  <c:v>45039.03125</c:v>
                </c:pt>
                <c:pt idx="180">
                  <c:v>45039.041666666664</c:v>
                </c:pt>
                <c:pt idx="181">
                  <c:v>45039.052083333336</c:v>
                </c:pt>
                <c:pt idx="182">
                  <c:v>45039.0625</c:v>
                </c:pt>
                <c:pt idx="183">
                  <c:v>45039.072916666664</c:v>
                </c:pt>
                <c:pt idx="184">
                  <c:v>45039.083333333336</c:v>
                </c:pt>
                <c:pt idx="185">
                  <c:v>45039.09375</c:v>
                </c:pt>
                <c:pt idx="186">
                  <c:v>45039.104166666664</c:v>
                </c:pt>
                <c:pt idx="187">
                  <c:v>45039.114583333336</c:v>
                </c:pt>
                <c:pt idx="188">
                  <c:v>45039.125</c:v>
                </c:pt>
                <c:pt idx="189">
                  <c:v>45039.135416666664</c:v>
                </c:pt>
                <c:pt idx="190">
                  <c:v>45039.145833333336</c:v>
                </c:pt>
                <c:pt idx="191">
                  <c:v>45039.15625</c:v>
                </c:pt>
                <c:pt idx="192">
                  <c:v>45039.166666666664</c:v>
                </c:pt>
                <c:pt idx="193">
                  <c:v>45039.177083333336</c:v>
                </c:pt>
                <c:pt idx="194">
                  <c:v>45039.1875</c:v>
                </c:pt>
                <c:pt idx="195">
                  <c:v>45039.197916666664</c:v>
                </c:pt>
                <c:pt idx="196">
                  <c:v>45039.208333333336</c:v>
                </c:pt>
                <c:pt idx="197">
                  <c:v>45039.21875</c:v>
                </c:pt>
                <c:pt idx="198">
                  <c:v>45039.229166666664</c:v>
                </c:pt>
                <c:pt idx="199">
                  <c:v>45039.239583333336</c:v>
                </c:pt>
                <c:pt idx="200">
                  <c:v>45039.25</c:v>
                </c:pt>
                <c:pt idx="201">
                  <c:v>45039.260416666664</c:v>
                </c:pt>
                <c:pt idx="202">
                  <c:v>45039.270833333336</c:v>
                </c:pt>
                <c:pt idx="203">
                  <c:v>45039.28125</c:v>
                </c:pt>
                <c:pt idx="204">
                  <c:v>45039.291666666664</c:v>
                </c:pt>
                <c:pt idx="205">
                  <c:v>45039.302083333336</c:v>
                </c:pt>
                <c:pt idx="206">
                  <c:v>45039.3125</c:v>
                </c:pt>
                <c:pt idx="207">
                  <c:v>45039.322916666664</c:v>
                </c:pt>
                <c:pt idx="208">
                  <c:v>45039.333333333336</c:v>
                </c:pt>
                <c:pt idx="209">
                  <c:v>45039.34375</c:v>
                </c:pt>
                <c:pt idx="210">
                  <c:v>45039.354166666664</c:v>
                </c:pt>
                <c:pt idx="211">
                  <c:v>45039.364583333336</c:v>
                </c:pt>
                <c:pt idx="212">
                  <c:v>45039.375</c:v>
                </c:pt>
                <c:pt idx="213">
                  <c:v>45039.385416666664</c:v>
                </c:pt>
                <c:pt idx="214">
                  <c:v>45039.395833333336</c:v>
                </c:pt>
                <c:pt idx="215">
                  <c:v>45039.40625</c:v>
                </c:pt>
                <c:pt idx="216">
                  <c:v>45039.416666666664</c:v>
                </c:pt>
                <c:pt idx="217">
                  <c:v>45039.427083333336</c:v>
                </c:pt>
                <c:pt idx="218">
                  <c:v>45039.4375</c:v>
                </c:pt>
                <c:pt idx="219">
                  <c:v>45039.447916666664</c:v>
                </c:pt>
                <c:pt idx="220">
                  <c:v>45039.458333333336</c:v>
                </c:pt>
                <c:pt idx="221">
                  <c:v>45039.46875</c:v>
                </c:pt>
                <c:pt idx="222">
                  <c:v>45039.479166666664</c:v>
                </c:pt>
                <c:pt idx="223">
                  <c:v>45039.489583333336</c:v>
                </c:pt>
                <c:pt idx="224">
                  <c:v>45039.5</c:v>
                </c:pt>
                <c:pt idx="225">
                  <c:v>45039.510416666664</c:v>
                </c:pt>
                <c:pt idx="226">
                  <c:v>45039.520833333336</c:v>
                </c:pt>
                <c:pt idx="227">
                  <c:v>45039.53125</c:v>
                </c:pt>
                <c:pt idx="228">
                  <c:v>45039.541666666664</c:v>
                </c:pt>
                <c:pt idx="229">
                  <c:v>45039.552083333336</c:v>
                </c:pt>
                <c:pt idx="230">
                  <c:v>45039.5625</c:v>
                </c:pt>
                <c:pt idx="231">
                  <c:v>45039.572916666664</c:v>
                </c:pt>
                <c:pt idx="232">
                  <c:v>45039.583333333336</c:v>
                </c:pt>
                <c:pt idx="233">
                  <c:v>45039.59375</c:v>
                </c:pt>
                <c:pt idx="234">
                  <c:v>45039.604166666664</c:v>
                </c:pt>
                <c:pt idx="235">
                  <c:v>45039.614583333336</c:v>
                </c:pt>
                <c:pt idx="236">
                  <c:v>45039.625</c:v>
                </c:pt>
                <c:pt idx="237">
                  <c:v>45039.635416666664</c:v>
                </c:pt>
                <c:pt idx="238">
                  <c:v>45039.645833333336</c:v>
                </c:pt>
                <c:pt idx="239">
                  <c:v>45039.65625</c:v>
                </c:pt>
                <c:pt idx="240">
                  <c:v>45039.666666666664</c:v>
                </c:pt>
                <c:pt idx="241">
                  <c:v>45039.677083333336</c:v>
                </c:pt>
                <c:pt idx="242">
                  <c:v>45039.6875</c:v>
                </c:pt>
                <c:pt idx="243">
                  <c:v>45039.697916666664</c:v>
                </c:pt>
                <c:pt idx="244">
                  <c:v>45039.708333333336</c:v>
                </c:pt>
                <c:pt idx="245">
                  <c:v>45039.71875</c:v>
                </c:pt>
                <c:pt idx="246">
                  <c:v>45039.729166666664</c:v>
                </c:pt>
                <c:pt idx="247">
                  <c:v>45039.739583333336</c:v>
                </c:pt>
                <c:pt idx="248">
                  <c:v>45039.75</c:v>
                </c:pt>
                <c:pt idx="249">
                  <c:v>45039.760416666664</c:v>
                </c:pt>
                <c:pt idx="250">
                  <c:v>45039.770833333336</c:v>
                </c:pt>
                <c:pt idx="251">
                  <c:v>45039.78125</c:v>
                </c:pt>
                <c:pt idx="252">
                  <c:v>45039.791666666664</c:v>
                </c:pt>
                <c:pt idx="253">
                  <c:v>45039.802083333336</c:v>
                </c:pt>
                <c:pt idx="254">
                  <c:v>45039.8125</c:v>
                </c:pt>
                <c:pt idx="255">
                  <c:v>45039.822916666664</c:v>
                </c:pt>
                <c:pt idx="256">
                  <c:v>45039.833333333336</c:v>
                </c:pt>
                <c:pt idx="257">
                  <c:v>45039.84375</c:v>
                </c:pt>
                <c:pt idx="258">
                  <c:v>45039.854166666664</c:v>
                </c:pt>
                <c:pt idx="259">
                  <c:v>45039.864583333336</c:v>
                </c:pt>
                <c:pt idx="260">
                  <c:v>45039.875</c:v>
                </c:pt>
                <c:pt idx="261">
                  <c:v>45039.885416666664</c:v>
                </c:pt>
                <c:pt idx="262">
                  <c:v>45039.895833333336</c:v>
                </c:pt>
                <c:pt idx="263">
                  <c:v>45039.90625</c:v>
                </c:pt>
                <c:pt idx="264">
                  <c:v>45039.916666666664</c:v>
                </c:pt>
                <c:pt idx="265">
                  <c:v>45039.927083333336</c:v>
                </c:pt>
                <c:pt idx="266">
                  <c:v>45039.9375</c:v>
                </c:pt>
                <c:pt idx="267">
                  <c:v>45039.947916666664</c:v>
                </c:pt>
                <c:pt idx="268">
                  <c:v>45039.958333333336</c:v>
                </c:pt>
                <c:pt idx="269">
                  <c:v>45039.96875</c:v>
                </c:pt>
                <c:pt idx="270">
                  <c:v>45039.979166666664</c:v>
                </c:pt>
                <c:pt idx="271">
                  <c:v>45039.989583333336</c:v>
                </c:pt>
                <c:pt idx="272">
                  <c:v>45040</c:v>
                </c:pt>
                <c:pt idx="273">
                  <c:v>45040.010416666664</c:v>
                </c:pt>
                <c:pt idx="274">
                  <c:v>45040.020833333336</c:v>
                </c:pt>
                <c:pt idx="275">
                  <c:v>45040.03125</c:v>
                </c:pt>
                <c:pt idx="276">
                  <c:v>45040.041666666664</c:v>
                </c:pt>
                <c:pt idx="277">
                  <c:v>45040.052083333336</c:v>
                </c:pt>
                <c:pt idx="278">
                  <c:v>45040.0625</c:v>
                </c:pt>
                <c:pt idx="279">
                  <c:v>45040.072916666664</c:v>
                </c:pt>
                <c:pt idx="280">
                  <c:v>45040.083333333336</c:v>
                </c:pt>
                <c:pt idx="281">
                  <c:v>45040.09375</c:v>
                </c:pt>
                <c:pt idx="282">
                  <c:v>45040.104166666664</c:v>
                </c:pt>
                <c:pt idx="283">
                  <c:v>45040.114583333336</c:v>
                </c:pt>
                <c:pt idx="284">
                  <c:v>45040.125</c:v>
                </c:pt>
                <c:pt idx="285">
                  <c:v>45040.135416666664</c:v>
                </c:pt>
                <c:pt idx="286">
                  <c:v>45040.145833333336</c:v>
                </c:pt>
                <c:pt idx="287">
                  <c:v>45040.15625</c:v>
                </c:pt>
                <c:pt idx="288">
                  <c:v>45040.166666666664</c:v>
                </c:pt>
                <c:pt idx="289">
                  <c:v>45040.177083333336</c:v>
                </c:pt>
                <c:pt idx="290">
                  <c:v>45040.1875</c:v>
                </c:pt>
                <c:pt idx="291">
                  <c:v>45040.197916666664</c:v>
                </c:pt>
                <c:pt idx="292">
                  <c:v>45040.208333333336</c:v>
                </c:pt>
                <c:pt idx="293">
                  <c:v>45040.21875</c:v>
                </c:pt>
                <c:pt idx="294">
                  <c:v>45040.229166666664</c:v>
                </c:pt>
                <c:pt idx="295">
                  <c:v>45040.239583333336</c:v>
                </c:pt>
                <c:pt idx="296">
                  <c:v>45040.25</c:v>
                </c:pt>
                <c:pt idx="297">
                  <c:v>45040.260416666664</c:v>
                </c:pt>
                <c:pt idx="298">
                  <c:v>45040.270833333336</c:v>
                </c:pt>
                <c:pt idx="299">
                  <c:v>45040.28125</c:v>
                </c:pt>
                <c:pt idx="300">
                  <c:v>45040.291666666664</c:v>
                </c:pt>
                <c:pt idx="301">
                  <c:v>45040.302083333336</c:v>
                </c:pt>
                <c:pt idx="302">
                  <c:v>45040.3125</c:v>
                </c:pt>
                <c:pt idx="303">
                  <c:v>45040.322916666664</c:v>
                </c:pt>
                <c:pt idx="304">
                  <c:v>45040.333333333336</c:v>
                </c:pt>
                <c:pt idx="305">
                  <c:v>45040.34375</c:v>
                </c:pt>
                <c:pt idx="306">
                  <c:v>45040.354166666664</c:v>
                </c:pt>
                <c:pt idx="307">
                  <c:v>45040.364583333336</c:v>
                </c:pt>
                <c:pt idx="308">
                  <c:v>45040.375</c:v>
                </c:pt>
                <c:pt idx="309">
                  <c:v>45040.385416666664</c:v>
                </c:pt>
                <c:pt idx="310">
                  <c:v>45040.395833333336</c:v>
                </c:pt>
                <c:pt idx="311">
                  <c:v>45040.40625</c:v>
                </c:pt>
                <c:pt idx="312">
                  <c:v>45040.416666666664</c:v>
                </c:pt>
                <c:pt idx="313">
                  <c:v>45040.427083333336</c:v>
                </c:pt>
                <c:pt idx="314">
                  <c:v>45040.4375</c:v>
                </c:pt>
                <c:pt idx="315">
                  <c:v>45040.447916666664</c:v>
                </c:pt>
                <c:pt idx="316">
                  <c:v>45040.458333333336</c:v>
                </c:pt>
                <c:pt idx="317">
                  <c:v>45040.46875</c:v>
                </c:pt>
                <c:pt idx="318">
                  <c:v>45040.479166666664</c:v>
                </c:pt>
                <c:pt idx="319">
                  <c:v>45040.489583333336</c:v>
                </c:pt>
                <c:pt idx="320">
                  <c:v>45040.5</c:v>
                </c:pt>
                <c:pt idx="321">
                  <c:v>45040.510416666664</c:v>
                </c:pt>
                <c:pt idx="322">
                  <c:v>45040.520833333336</c:v>
                </c:pt>
                <c:pt idx="323">
                  <c:v>45040.53125</c:v>
                </c:pt>
                <c:pt idx="324">
                  <c:v>45040.541666666664</c:v>
                </c:pt>
                <c:pt idx="325">
                  <c:v>45040.552083333336</c:v>
                </c:pt>
                <c:pt idx="326">
                  <c:v>45040.5625</c:v>
                </c:pt>
                <c:pt idx="327">
                  <c:v>45040.572916666664</c:v>
                </c:pt>
                <c:pt idx="328">
                  <c:v>45040.588888888888</c:v>
                </c:pt>
                <c:pt idx="329">
                  <c:v>45040.604166666664</c:v>
                </c:pt>
                <c:pt idx="330">
                  <c:v>45040.614583333336</c:v>
                </c:pt>
                <c:pt idx="331">
                  <c:v>45040.625</c:v>
                </c:pt>
                <c:pt idx="332">
                  <c:v>45040.635416666664</c:v>
                </c:pt>
                <c:pt idx="333">
                  <c:v>45040.645833333336</c:v>
                </c:pt>
                <c:pt idx="334">
                  <c:v>45040.65625</c:v>
                </c:pt>
                <c:pt idx="335">
                  <c:v>45040.666666666664</c:v>
                </c:pt>
                <c:pt idx="336">
                  <c:v>45040.677083333336</c:v>
                </c:pt>
                <c:pt idx="337">
                  <c:v>45040.6875</c:v>
                </c:pt>
                <c:pt idx="338">
                  <c:v>45040.697916666664</c:v>
                </c:pt>
                <c:pt idx="339">
                  <c:v>45040.708333333336</c:v>
                </c:pt>
                <c:pt idx="340">
                  <c:v>45040.71875</c:v>
                </c:pt>
                <c:pt idx="341">
                  <c:v>45040.729166666664</c:v>
                </c:pt>
                <c:pt idx="342">
                  <c:v>45040.739583333336</c:v>
                </c:pt>
                <c:pt idx="343">
                  <c:v>45040.75</c:v>
                </c:pt>
                <c:pt idx="344">
                  <c:v>45040.760416666664</c:v>
                </c:pt>
                <c:pt idx="345">
                  <c:v>45040.770833333336</c:v>
                </c:pt>
                <c:pt idx="346">
                  <c:v>45040.78125</c:v>
                </c:pt>
                <c:pt idx="347">
                  <c:v>45040.791666666664</c:v>
                </c:pt>
                <c:pt idx="348">
                  <c:v>45040.802083333336</c:v>
                </c:pt>
                <c:pt idx="349">
                  <c:v>45040.8125</c:v>
                </c:pt>
                <c:pt idx="350">
                  <c:v>45040.822916666664</c:v>
                </c:pt>
                <c:pt idx="351">
                  <c:v>45040.833333333336</c:v>
                </c:pt>
                <c:pt idx="352">
                  <c:v>45040.84375</c:v>
                </c:pt>
                <c:pt idx="353">
                  <c:v>45040.854166666664</c:v>
                </c:pt>
                <c:pt idx="354">
                  <c:v>45040.864583333336</c:v>
                </c:pt>
                <c:pt idx="355">
                  <c:v>45040.875</c:v>
                </c:pt>
                <c:pt idx="356">
                  <c:v>45040.885416666664</c:v>
                </c:pt>
                <c:pt idx="357">
                  <c:v>45040.895833333336</c:v>
                </c:pt>
                <c:pt idx="358">
                  <c:v>45040.90625</c:v>
                </c:pt>
                <c:pt idx="359">
                  <c:v>45040.916666666664</c:v>
                </c:pt>
                <c:pt idx="360">
                  <c:v>45040.927083333336</c:v>
                </c:pt>
                <c:pt idx="361">
                  <c:v>45040.9375</c:v>
                </c:pt>
                <c:pt idx="362">
                  <c:v>45040.947916666664</c:v>
                </c:pt>
                <c:pt idx="363">
                  <c:v>45040.958333333336</c:v>
                </c:pt>
                <c:pt idx="364">
                  <c:v>45040.96875</c:v>
                </c:pt>
                <c:pt idx="365">
                  <c:v>45040.979166666664</c:v>
                </c:pt>
                <c:pt idx="366">
                  <c:v>45040.989583333336</c:v>
                </c:pt>
                <c:pt idx="367">
                  <c:v>45041</c:v>
                </c:pt>
                <c:pt idx="368">
                  <c:v>45041.010416666664</c:v>
                </c:pt>
                <c:pt idx="369">
                  <c:v>45041.020833333336</c:v>
                </c:pt>
                <c:pt idx="370">
                  <c:v>45041.03125</c:v>
                </c:pt>
                <c:pt idx="371">
                  <c:v>45041.041666666664</c:v>
                </c:pt>
                <c:pt idx="372">
                  <c:v>45041.052083333336</c:v>
                </c:pt>
                <c:pt idx="373">
                  <c:v>45041.0625</c:v>
                </c:pt>
                <c:pt idx="374">
                  <c:v>45041.072916666664</c:v>
                </c:pt>
                <c:pt idx="375">
                  <c:v>45041.083333333336</c:v>
                </c:pt>
                <c:pt idx="376">
                  <c:v>45041.09375</c:v>
                </c:pt>
                <c:pt idx="377">
                  <c:v>45041.104166666664</c:v>
                </c:pt>
                <c:pt idx="378">
                  <c:v>45041.114583333336</c:v>
                </c:pt>
                <c:pt idx="379">
                  <c:v>45041.125</c:v>
                </c:pt>
                <c:pt idx="380">
                  <c:v>45041.135416666664</c:v>
                </c:pt>
                <c:pt idx="381">
                  <c:v>45041.145833333336</c:v>
                </c:pt>
                <c:pt idx="382">
                  <c:v>45041.15625</c:v>
                </c:pt>
                <c:pt idx="383">
                  <c:v>45041.166666666664</c:v>
                </c:pt>
                <c:pt idx="384">
                  <c:v>45041.177083333336</c:v>
                </c:pt>
                <c:pt idx="385">
                  <c:v>45041.1875</c:v>
                </c:pt>
                <c:pt idx="386">
                  <c:v>45041.197916666664</c:v>
                </c:pt>
                <c:pt idx="387">
                  <c:v>45041.208333333336</c:v>
                </c:pt>
                <c:pt idx="388">
                  <c:v>45041.21875</c:v>
                </c:pt>
                <c:pt idx="389">
                  <c:v>45041.229166666664</c:v>
                </c:pt>
                <c:pt idx="390">
                  <c:v>45041.239583333336</c:v>
                </c:pt>
                <c:pt idx="391">
                  <c:v>45041.25</c:v>
                </c:pt>
                <c:pt idx="392">
                  <c:v>45041.260416666664</c:v>
                </c:pt>
                <c:pt idx="393">
                  <c:v>45041.270833333336</c:v>
                </c:pt>
                <c:pt idx="394">
                  <c:v>45041.28125</c:v>
                </c:pt>
                <c:pt idx="395">
                  <c:v>45041.291666666664</c:v>
                </c:pt>
                <c:pt idx="396">
                  <c:v>45041.302083333336</c:v>
                </c:pt>
                <c:pt idx="397">
                  <c:v>45041.3125</c:v>
                </c:pt>
                <c:pt idx="398">
                  <c:v>45041.322916666664</c:v>
                </c:pt>
                <c:pt idx="399">
                  <c:v>45041.333333333336</c:v>
                </c:pt>
                <c:pt idx="400">
                  <c:v>45041.34375</c:v>
                </c:pt>
                <c:pt idx="401">
                  <c:v>45041.354166666664</c:v>
                </c:pt>
                <c:pt idx="402">
                  <c:v>45041.364583333336</c:v>
                </c:pt>
                <c:pt idx="403">
                  <c:v>45041.375</c:v>
                </c:pt>
                <c:pt idx="404">
                  <c:v>45041.385416666664</c:v>
                </c:pt>
                <c:pt idx="405">
                  <c:v>45041.395833333336</c:v>
                </c:pt>
                <c:pt idx="406">
                  <c:v>45041.40625</c:v>
                </c:pt>
                <c:pt idx="407">
                  <c:v>45041.416666666664</c:v>
                </c:pt>
                <c:pt idx="408">
                  <c:v>45041.427083333336</c:v>
                </c:pt>
                <c:pt idx="409">
                  <c:v>45041.4375</c:v>
                </c:pt>
                <c:pt idx="410">
                  <c:v>45041.447916666664</c:v>
                </c:pt>
                <c:pt idx="411">
                  <c:v>45041.458333333336</c:v>
                </c:pt>
                <c:pt idx="412">
                  <c:v>45041.46875</c:v>
                </c:pt>
                <c:pt idx="413">
                  <c:v>45041.479166666664</c:v>
                </c:pt>
                <c:pt idx="414">
                  <c:v>45041.489583333336</c:v>
                </c:pt>
                <c:pt idx="415">
                  <c:v>45041.5</c:v>
                </c:pt>
                <c:pt idx="416">
                  <c:v>45041.510416666664</c:v>
                </c:pt>
                <c:pt idx="417">
                  <c:v>45041.520833333336</c:v>
                </c:pt>
                <c:pt idx="418">
                  <c:v>45041.53125</c:v>
                </c:pt>
                <c:pt idx="419">
                  <c:v>45041.541666666664</c:v>
                </c:pt>
                <c:pt idx="420">
                  <c:v>45041.552083333336</c:v>
                </c:pt>
                <c:pt idx="421">
                  <c:v>45041.5625</c:v>
                </c:pt>
                <c:pt idx="422">
                  <c:v>45041.572916666664</c:v>
                </c:pt>
                <c:pt idx="423">
                  <c:v>45041.583333333336</c:v>
                </c:pt>
                <c:pt idx="424">
                  <c:v>45041.59375</c:v>
                </c:pt>
                <c:pt idx="425">
                  <c:v>45041.604166666664</c:v>
                </c:pt>
                <c:pt idx="426">
                  <c:v>45041.614583333336</c:v>
                </c:pt>
                <c:pt idx="427">
                  <c:v>45041.625</c:v>
                </c:pt>
                <c:pt idx="428">
                  <c:v>45041.635416666664</c:v>
                </c:pt>
                <c:pt idx="429">
                  <c:v>45041.645833333336</c:v>
                </c:pt>
                <c:pt idx="430">
                  <c:v>45041.65625</c:v>
                </c:pt>
                <c:pt idx="431">
                  <c:v>45041.666666666664</c:v>
                </c:pt>
                <c:pt idx="432">
                  <c:v>45041.677083333336</c:v>
                </c:pt>
                <c:pt idx="433">
                  <c:v>45041.6875</c:v>
                </c:pt>
                <c:pt idx="434">
                  <c:v>45041.697916666664</c:v>
                </c:pt>
                <c:pt idx="435">
                  <c:v>45041.708333333336</c:v>
                </c:pt>
                <c:pt idx="436">
                  <c:v>45041.71875</c:v>
                </c:pt>
                <c:pt idx="437">
                  <c:v>45041.729166666664</c:v>
                </c:pt>
                <c:pt idx="438">
                  <c:v>45041.739583333336</c:v>
                </c:pt>
                <c:pt idx="439">
                  <c:v>45041.75</c:v>
                </c:pt>
                <c:pt idx="440">
                  <c:v>45041.760416666664</c:v>
                </c:pt>
                <c:pt idx="441">
                  <c:v>45041.770833333336</c:v>
                </c:pt>
                <c:pt idx="442">
                  <c:v>45041.78125</c:v>
                </c:pt>
                <c:pt idx="443">
                  <c:v>45041.791666666664</c:v>
                </c:pt>
                <c:pt idx="444">
                  <c:v>45041.802083333336</c:v>
                </c:pt>
                <c:pt idx="445">
                  <c:v>45041.8125</c:v>
                </c:pt>
                <c:pt idx="446">
                  <c:v>45041.822916666664</c:v>
                </c:pt>
                <c:pt idx="447">
                  <c:v>45041.833333333336</c:v>
                </c:pt>
                <c:pt idx="448">
                  <c:v>45041.84375</c:v>
                </c:pt>
                <c:pt idx="449">
                  <c:v>45041.854166666664</c:v>
                </c:pt>
                <c:pt idx="450">
                  <c:v>45041.864583333336</c:v>
                </c:pt>
                <c:pt idx="451">
                  <c:v>45041.875</c:v>
                </c:pt>
                <c:pt idx="452">
                  <c:v>45041.885416666664</c:v>
                </c:pt>
                <c:pt idx="453">
                  <c:v>45041.895833333336</c:v>
                </c:pt>
                <c:pt idx="454">
                  <c:v>45041.90625</c:v>
                </c:pt>
                <c:pt idx="455">
                  <c:v>45041.916666666664</c:v>
                </c:pt>
                <c:pt idx="456">
                  <c:v>45041.927083333336</c:v>
                </c:pt>
                <c:pt idx="457">
                  <c:v>45041.9375</c:v>
                </c:pt>
                <c:pt idx="458">
                  <c:v>45041.947916666664</c:v>
                </c:pt>
                <c:pt idx="459">
                  <c:v>45041.958333333336</c:v>
                </c:pt>
                <c:pt idx="460">
                  <c:v>45041.96875</c:v>
                </c:pt>
                <c:pt idx="461">
                  <c:v>45041.979166666664</c:v>
                </c:pt>
                <c:pt idx="462">
                  <c:v>45041.989583333336</c:v>
                </c:pt>
                <c:pt idx="463">
                  <c:v>45042</c:v>
                </c:pt>
                <c:pt idx="464">
                  <c:v>45042.010416666664</c:v>
                </c:pt>
                <c:pt idx="465">
                  <c:v>45042.020833333336</c:v>
                </c:pt>
                <c:pt idx="466">
                  <c:v>45042.03125</c:v>
                </c:pt>
                <c:pt idx="467">
                  <c:v>45042.041666666664</c:v>
                </c:pt>
                <c:pt idx="468">
                  <c:v>45042.052083333336</c:v>
                </c:pt>
                <c:pt idx="469">
                  <c:v>45042.0625</c:v>
                </c:pt>
                <c:pt idx="470">
                  <c:v>45042.072916666664</c:v>
                </c:pt>
                <c:pt idx="471">
                  <c:v>45042.083333333336</c:v>
                </c:pt>
                <c:pt idx="472">
                  <c:v>45042.09375</c:v>
                </c:pt>
                <c:pt idx="473">
                  <c:v>45042.104166666664</c:v>
                </c:pt>
                <c:pt idx="474">
                  <c:v>45042.114583333336</c:v>
                </c:pt>
                <c:pt idx="475">
                  <c:v>45042.125</c:v>
                </c:pt>
                <c:pt idx="476">
                  <c:v>45042.135416666664</c:v>
                </c:pt>
                <c:pt idx="477">
                  <c:v>45042.145833333336</c:v>
                </c:pt>
                <c:pt idx="478">
                  <c:v>45042.15625</c:v>
                </c:pt>
                <c:pt idx="479">
                  <c:v>45042.166666666664</c:v>
                </c:pt>
                <c:pt idx="480">
                  <c:v>45042.177083333336</c:v>
                </c:pt>
                <c:pt idx="481">
                  <c:v>45042.1875</c:v>
                </c:pt>
                <c:pt idx="482">
                  <c:v>45042.197916666664</c:v>
                </c:pt>
                <c:pt idx="483">
                  <c:v>45042.208333333336</c:v>
                </c:pt>
                <c:pt idx="484">
                  <c:v>45042.21875</c:v>
                </c:pt>
                <c:pt idx="485">
                  <c:v>45042.229166666664</c:v>
                </c:pt>
                <c:pt idx="486">
                  <c:v>45042.239583333336</c:v>
                </c:pt>
                <c:pt idx="487">
                  <c:v>45042.25</c:v>
                </c:pt>
                <c:pt idx="488">
                  <c:v>45042.260416666664</c:v>
                </c:pt>
                <c:pt idx="489">
                  <c:v>45042.270833333336</c:v>
                </c:pt>
                <c:pt idx="490">
                  <c:v>45042.28125</c:v>
                </c:pt>
                <c:pt idx="491">
                  <c:v>45042.291666666664</c:v>
                </c:pt>
                <c:pt idx="492">
                  <c:v>45042.302083333336</c:v>
                </c:pt>
                <c:pt idx="493">
                  <c:v>45042.3125</c:v>
                </c:pt>
                <c:pt idx="494">
                  <c:v>45042.322916666664</c:v>
                </c:pt>
                <c:pt idx="495">
                  <c:v>45042.333333333336</c:v>
                </c:pt>
                <c:pt idx="496">
                  <c:v>45042.34375</c:v>
                </c:pt>
                <c:pt idx="497">
                  <c:v>45042.354166666664</c:v>
                </c:pt>
                <c:pt idx="498">
                  <c:v>45042.364583333336</c:v>
                </c:pt>
                <c:pt idx="499">
                  <c:v>45042.375</c:v>
                </c:pt>
                <c:pt idx="500">
                  <c:v>45042.385416666664</c:v>
                </c:pt>
                <c:pt idx="501">
                  <c:v>45042.395833333336</c:v>
                </c:pt>
                <c:pt idx="502">
                  <c:v>45042.40625</c:v>
                </c:pt>
                <c:pt idx="503">
                  <c:v>45042.416666666664</c:v>
                </c:pt>
                <c:pt idx="504">
                  <c:v>45042.427083333336</c:v>
                </c:pt>
                <c:pt idx="505">
                  <c:v>45042.4375</c:v>
                </c:pt>
                <c:pt idx="506">
                  <c:v>45042.447916666664</c:v>
                </c:pt>
                <c:pt idx="507">
                  <c:v>45042.458333333336</c:v>
                </c:pt>
                <c:pt idx="508">
                  <c:v>45042.46875</c:v>
                </c:pt>
                <c:pt idx="509">
                  <c:v>45042.479166666664</c:v>
                </c:pt>
                <c:pt idx="510">
                  <c:v>45042.489583333336</c:v>
                </c:pt>
                <c:pt idx="511">
                  <c:v>45042.5</c:v>
                </c:pt>
                <c:pt idx="512">
                  <c:v>45042.510416666664</c:v>
                </c:pt>
                <c:pt idx="513">
                  <c:v>45042.520833333336</c:v>
                </c:pt>
                <c:pt idx="514">
                  <c:v>45042.53125</c:v>
                </c:pt>
                <c:pt idx="515">
                  <c:v>45042.541666666664</c:v>
                </c:pt>
                <c:pt idx="516">
                  <c:v>45042.552083333336</c:v>
                </c:pt>
                <c:pt idx="517">
                  <c:v>45042.5625</c:v>
                </c:pt>
                <c:pt idx="518">
                  <c:v>45042.572916666664</c:v>
                </c:pt>
                <c:pt idx="519">
                  <c:v>45042.583333333336</c:v>
                </c:pt>
                <c:pt idx="520">
                  <c:v>45042.59375</c:v>
                </c:pt>
                <c:pt idx="521">
                  <c:v>45042.604166666664</c:v>
                </c:pt>
                <c:pt idx="522">
                  <c:v>45042.614583333336</c:v>
                </c:pt>
                <c:pt idx="523">
                  <c:v>45042.625</c:v>
                </c:pt>
                <c:pt idx="524">
                  <c:v>45042.635416666664</c:v>
                </c:pt>
                <c:pt idx="525">
                  <c:v>45042.645833333336</c:v>
                </c:pt>
                <c:pt idx="526">
                  <c:v>45042.65625</c:v>
                </c:pt>
                <c:pt idx="527">
                  <c:v>45042.666666666664</c:v>
                </c:pt>
                <c:pt idx="528">
                  <c:v>45042.677083333336</c:v>
                </c:pt>
                <c:pt idx="529">
                  <c:v>45042.6875</c:v>
                </c:pt>
                <c:pt idx="530">
                  <c:v>45042.697916666664</c:v>
                </c:pt>
                <c:pt idx="531">
                  <c:v>45042.708333333336</c:v>
                </c:pt>
                <c:pt idx="532">
                  <c:v>45042.71875</c:v>
                </c:pt>
                <c:pt idx="533">
                  <c:v>45042.729166666664</c:v>
                </c:pt>
                <c:pt idx="534">
                  <c:v>45042.739583333336</c:v>
                </c:pt>
                <c:pt idx="535">
                  <c:v>45042.75</c:v>
                </c:pt>
                <c:pt idx="536">
                  <c:v>45042.760416666664</c:v>
                </c:pt>
                <c:pt idx="537">
                  <c:v>45042.770833333336</c:v>
                </c:pt>
                <c:pt idx="538">
                  <c:v>45042.78125</c:v>
                </c:pt>
                <c:pt idx="539">
                  <c:v>45042.791666666664</c:v>
                </c:pt>
                <c:pt idx="540">
                  <c:v>45042.802083333336</c:v>
                </c:pt>
                <c:pt idx="541">
                  <c:v>45042.8125</c:v>
                </c:pt>
                <c:pt idx="542">
                  <c:v>45042.822916666664</c:v>
                </c:pt>
                <c:pt idx="543">
                  <c:v>45042.833333333336</c:v>
                </c:pt>
                <c:pt idx="544">
                  <c:v>45042.84375</c:v>
                </c:pt>
                <c:pt idx="545">
                  <c:v>45042.854166666664</c:v>
                </c:pt>
                <c:pt idx="546">
                  <c:v>45042.864583333336</c:v>
                </c:pt>
                <c:pt idx="547">
                  <c:v>45042.875</c:v>
                </c:pt>
                <c:pt idx="548">
                  <c:v>45042.885416666664</c:v>
                </c:pt>
                <c:pt idx="549">
                  <c:v>45042.895833333336</c:v>
                </c:pt>
                <c:pt idx="550">
                  <c:v>45042.90625</c:v>
                </c:pt>
                <c:pt idx="551">
                  <c:v>45042.916666666664</c:v>
                </c:pt>
                <c:pt idx="552">
                  <c:v>45042.927083333336</c:v>
                </c:pt>
                <c:pt idx="553">
                  <c:v>45042.9375</c:v>
                </c:pt>
                <c:pt idx="554">
                  <c:v>45042.947916666664</c:v>
                </c:pt>
                <c:pt idx="555">
                  <c:v>45042.958333333336</c:v>
                </c:pt>
                <c:pt idx="556">
                  <c:v>45042.96875</c:v>
                </c:pt>
                <c:pt idx="557">
                  <c:v>45042.979166666664</c:v>
                </c:pt>
                <c:pt idx="558">
                  <c:v>45042.989583333336</c:v>
                </c:pt>
                <c:pt idx="559">
                  <c:v>45043</c:v>
                </c:pt>
                <c:pt idx="560">
                  <c:v>45043.010416666664</c:v>
                </c:pt>
                <c:pt idx="561">
                  <c:v>45043.020833333336</c:v>
                </c:pt>
                <c:pt idx="562">
                  <c:v>45043.03125</c:v>
                </c:pt>
                <c:pt idx="563">
                  <c:v>45043.041666666664</c:v>
                </c:pt>
                <c:pt idx="564">
                  <c:v>45043.052083333336</c:v>
                </c:pt>
                <c:pt idx="565">
                  <c:v>45043.0625</c:v>
                </c:pt>
                <c:pt idx="566">
                  <c:v>45043.072916666664</c:v>
                </c:pt>
                <c:pt idx="567">
                  <c:v>45043.083333333336</c:v>
                </c:pt>
                <c:pt idx="568">
                  <c:v>45043.09375</c:v>
                </c:pt>
                <c:pt idx="569">
                  <c:v>45043.104166666664</c:v>
                </c:pt>
                <c:pt idx="570">
                  <c:v>45043.114583333336</c:v>
                </c:pt>
                <c:pt idx="571">
                  <c:v>45043.125</c:v>
                </c:pt>
                <c:pt idx="572">
                  <c:v>45043.135416666664</c:v>
                </c:pt>
                <c:pt idx="573">
                  <c:v>45043.145833333336</c:v>
                </c:pt>
                <c:pt idx="574">
                  <c:v>45043.15625</c:v>
                </c:pt>
                <c:pt idx="575">
                  <c:v>45043.166666666664</c:v>
                </c:pt>
                <c:pt idx="576">
                  <c:v>45043.177083333336</c:v>
                </c:pt>
                <c:pt idx="577">
                  <c:v>45043.1875</c:v>
                </c:pt>
                <c:pt idx="578">
                  <c:v>45043.197916666664</c:v>
                </c:pt>
                <c:pt idx="579">
                  <c:v>45043.208333333336</c:v>
                </c:pt>
                <c:pt idx="580">
                  <c:v>45043.21875</c:v>
                </c:pt>
                <c:pt idx="581">
                  <c:v>45043.229166666664</c:v>
                </c:pt>
                <c:pt idx="582">
                  <c:v>45043.239583333336</c:v>
                </c:pt>
                <c:pt idx="583">
                  <c:v>45043.25</c:v>
                </c:pt>
                <c:pt idx="584">
                  <c:v>45043.260416666664</c:v>
                </c:pt>
                <c:pt idx="585">
                  <c:v>45043.270833333336</c:v>
                </c:pt>
                <c:pt idx="586">
                  <c:v>45043.28125</c:v>
                </c:pt>
                <c:pt idx="587">
                  <c:v>45043.291666666664</c:v>
                </c:pt>
                <c:pt idx="588">
                  <c:v>45043.302083333336</c:v>
                </c:pt>
                <c:pt idx="589">
                  <c:v>45043.3125</c:v>
                </c:pt>
                <c:pt idx="590">
                  <c:v>45043.322916666664</c:v>
                </c:pt>
                <c:pt idx="591">
                  <c:v>45043.333333333336</c:v>
                </c:pt>
                <c:pt idx="592">
                  <c:v>45043.34375</c:v>
                </c:pt>
                <c:pt idx="593">
                  <c:v>45043.354166666664</c:v>
                </c:pt>
                <c:pt idx="594">
                  <c:v>45043.364583333336</c:v>
                </c:pt>
                <c:pt idx="595">
                  <c:v>45043.375</c:v>
                </c:pt>
                <c:pt idx="596">
                  <c:v>45043.385416666664</c:v>
                </c:pt>
                <c:pt idx="597">
                  <c:v>45043.395833333336</c:v>
                </c:pt>
                <c:pt idx="598">
                  <c:v>45043.40625</c:v>
                </c:pt>
                <c:pt idx="599">
                  <c:v>45043.416666666664</c:v>
                </c:pt>
                <c:pt idx="600">
                  <c:v>45043.427083333336</c:v>
                </c:pt>
                <c:pt idx="601">
                  <c:v>45043.4375</c:v>
                </c:pt>
                <c:pt idx="602">
                  <c:v>45043.447916666664</c:v>
                </c:pt>
                <c:pt idx="603">
                  <c:v>45043.458333333336</c:v>
                </c:pt>
                <c:pt idx="604">
                  <c:v>45043.46875</c:v>
                </c:pt>
                <c:pt idx="605">
                  <c:v>45043.479166666664</c:v>
                </c:pt>
                <c:pt idx="606">
                  <c:v>45043.489583333336</c:v>
                </c:pt>
                <c:pt idx="607">
                  <c:v>45043.5</c:v>
                </c:pt>
                <c:pt idx="608">
                  <c:v>45043.510416666664</c:v>
                </c:pt>
                <c:pt idx="609">
                  <c:v>45043.520833333336</c:v>
                </c:pt>
                <c:pt idx="610">
                  <c:v>45043.53125</c:v>
                </c:pt>
                <c:pt idx="611">
                  <c:v>45043.541666666664</c:v>
                </c:pt>
                <c:pt idx="612">
                  <c:v>45043.552083333336</c:v>
                </c:pt>
                <c:pt idx="613">
                  <c:v>45043.5625</c:v>
                </c:pt>
                <c:pt idx="614">
                  <c:v>45043.572916666664</c:v>
                </c:pt>
                <c:pt idx="615">
                  <c:v>45043.583333333336</c:v>
                </c:pt>
                <c:pt idx="616">
                  <c:v>45043.59375</c:v>
                </c:pt>
                <c:pt idx="617">
                  <c:v>45043.604166666664</c:v>
                </c:pt>
                <c:pt idx="618">
                  <c:v>45043.614583333336</c:v>
                </c:pt>
                <c:pt idx="619">
                  <c:v>45043.625</c:v>
                </c:pt>
                <c:pt idx="620">
                  <c:v>45043.635416666664</c:v>
                </c:pt>
                <c:pt idx="621">
                  <c:v>45043.645833333336</c:v>
                </c:pt>
                <c:pt idx="622">
                  <c:v>45043.65625</c:v>
                </c:pt>
                <c:pt idx="623">
                  <c:v>45043.666666666664</c:v>
                </c:pt>
                <c:pt idx="624">
                  <c:v>45043.677083333336</c:v>
                </c:pt>
                <c:pt idx="625">
                  <c:v>45043.6875</c:v>
                </c:pt>
                <c:pt idx="626">
                  <c:v>45043.697916666664</c:v>
                </c:pt>
                <c:pt idx="627">
                  <c:v>45043.708333333336</c:v>
                </c:pt>
                <c:pt idx="628">
                  <c:v>45043.71875</c:v>
                </c:pt>
                <c:pt idx="629">
                  <c:v>45043.729166666664</c:v>
                </c:pt>
                <c:pt idx="630">
                  <c:v>45043.739583333336</c:v>
                </c:pt>
                <c:pt idx="631">
                  <c:v>45043.75</c:v>
                </c:pt>
                <c:pt idx="632">
                  <c:v>45043.760416666664</c:v>
                </c:pt>
                <c:pt idx="633">
                  <c:v>45043.770833333336</c:v>
                </c:pt>
                <c:pt idx="634">
                  <c:v>45043.78125</c:v>
                </c:pt>
                <c:pt idx="635">
                  <c:v>45043.791666666664</c:v>
                </c:pt>
                <c:pt idx="636">
                  <c:v>45043.802083333336</c:v>
                </c:pt>
                <c:pt idx="637">
                  <c:v>45043.8125</c:v>
                </c:pt>
                <c:pt idx="638">
                  <c:v>45043.822916666664</c:v>
                </c:pt>
                <c:pt idx="639">
                  <c:v>45043.833333333336</c:v>
                </c:pt>
                <c:pt idx="640">
                  <c:v>45043.84375</c:v>
                </c:pt>
                <c:pt idx="641">
                  <c:v>45043.854166666664</c:v>
                </c:pt>
                <c:pt idx="642">
                  <c:v>45043.864583333336</c:v>
                </c:pt>
                <c:pt idx="643">
                  <c:v>45043.875</c:v>
                </c:pt>
                <c:pt idx="644">
                  <c:v>45043.885416666664</c:v>
                </c:pt>
                <c:pt idx="645">
                  <c:v>45043.895833333336</c:v>
                </c:pt>
                <c:pt idx="646">
                  <c:v>45043.90625</c:v>
                </c:pt>
                <c:pt idx="647">
                  <c:v>45043.916666666664</c:v>
                </c:pt>
                <c:pt idx="648">
                  <c:v>45043.927083333336</c:v>
                </c:pt>
                <c:pt idx="649">
                  <c:v>45043.9375</c:v>
                </c:pt>
                <c:pt idx="650">
                  <c:v>45043.947916666664</c:v>
                </c:pt>
                <c:pt idx="651">
                  <c:v>45043.958333333336</c:v>
                </c:pt>
                <c:pt idx="652">
                  <c:v>45043.96875</c:v>
                </c:pt>
                <c:pt idx="653">
                  <c:v>45043.979166666664</c:v>
                </c:pt>
                <c:pt idx="654">
                  <c:v>45043.989583333336</c:v>
                </c:pt>
                <c:pt idx="655">
                  <c:v>45044</c:v>
                </c:pt>
                <c:pt idx="656">
                  <c:v>45044.010416666664</c:v>
                </c:pt>
                <c:pt idx="657">
                  <c:v>45044.020833333336</c:v>
                </c:pt>
                <c:pt idx="658">
                  <c:v>45044.03125</c:v>
                </c:pt>
                <c:pt idx="659">
                  <c:v>45044.041666666664</c:v>
                </c:pt>
                <c:pt idx="660">
                  <c:v>45044.052083333336</c:v>
                </c:pt>
                <c:pt idx="661">
                  <c:v>45044.0625</c:v>
                </c:pt>
                <c:pt idx="662">
                  <c:v>45044.072916666664</c:v>
                </c:pt>
                <c:pt idx="663">
                  <c:v>45044.083333333336</c:v>
                </c:pt>
                <c:pt idx="664">
                  <c:v>45044.09375</c:v>
                </c:pt>
                <c:pt idx="665">
                  <c:v>45044.104166666664</c:v>
                </c:pt>
                <c:pt idx="666">
                  <c:v>45044.114583333336</c:v>
                </c:pt>
                <c:pt idx="667">
                  <c:v>45044.125</c:v>
                </c:pt>
                <c:pt idx="668">
                  <c:v>45044.135416666664</c:v>
                </c:pt>
                <c:pt idx="669">
                  <c:v>45044.145833333336</c:v>
                </c:pt>
                <c:pt idx="670">
                  <c:v>45044.15625</c:v>
                </c:pt>
                <c:pt idx="671">
                  <c:v>45044.166666666664</c:v>
                </c:pt>
                <c:pt idx="672">
                  <c:v>45044.177083333336</c:v>
                </c:pt>
                <c:pt idx="673">
                  <c:v>45044.1875</c:v>
                </c:pt>
                <c:pt idx="674">
                  <c:v>45044.197916666664</c:v>
                </c:pt>
                <c:pt idx="675">
                  <c:v>45044.208333333336</c:v>
                </c:pt>
                <c:pt idx="676">
                  <c:v>45044.21875</c:v>
                </c:pt>
                <c:pt idx="677">
                  <c:v>45044.229166666664</c:v>
                </c:pt>
                <c:pt idx="678">
                  <c:v>45044.239583333336</c:v>
                </c:pt>
                <c:pt idx="679">
                  <c:v>45044.25</c:v>
                </c:pt>
                <c:pt idx="680">
                  <c:v>45044.260416666664</c:v>
                </c:pt>
                <c:pt idx="681">
                  <c:v>45044.270833333336</c:v>
                </c:pt>
                <c:pt idx="682">
                  <c:v>45044.28125</c:v>
                </c:pt>
                <c:pt idx="683">
                  <c:v>45044.291666666664</c:v>
                </c:pt>
                <c:pt idx="684">
                  <c:v>45044.302083333336</c:v>
                </c:pt>
                <c:pt idx="685">
                  <c:v>45044.3125</c:v>
                </c:pt>
                <c:pt idx="686">
                  <c:v>45044.322916666664</c:v>
                </c:pt>
                <c:pt idx="687">
                  <c:v>45044.333333333336</c:v>
                </c:pt>
                <c:pt idx="688">
                  <c:v>45044.34375</c:v>
                </c:pt>
                <c:pt idx="689">
                  <c:v>45044.354166666664</c:v>
                </c:pt>
                <c:pt idx="690">
                  <c:v>45044.364583333336</c:v>
                </c:pt>
                <c:pt idx="691">
                  <c:v>45044.375</c:v>
                </c:pt>
                <c:pt idx="692">
                  <c:v>45044.385416666664</c:v>
                </c:pt>
                <c:pt idx="693">
                  <c:v>45044.395833333336</c:v>
                </c:pt>
                <c:pt idx="694">
                  <c:v>45044.40625</c:v>
                </c:pt>
                <c:pt idx="695">
                  <c:v>45044.416666666664</c:v>
                </c:pt>
                <c:pt idx="696">
                  <c:v>45044.427083333336</c:v>
                </c:pt>
                <c:pt idx="697">
                  <c:v>45044.4375</c:v>
                </c:pt>
                <c:pt idx="698">
                  <c:v>45044.447916666664</c:v>
                </c:pt>
                <c:pt idx="699">
                  <c:v>45044.458333333336</c:v>
                </c:pt>
                <c:pt idx="700">
                  <c:v>45044.46875</c:v>
                </c:pt>
                <c:pt idx="701">
                  <c:v>45044.479166666664</c:v>
                </c:pt>
                <c:pt idx="702">
                  <c:v>45044.489583333336</c:v>
                </c:pt>
                <c:pt idx="703">
                  <c:v>45044.5</c:v>
                </c:pt>
                <c:pt idx="704">
                  <c:v>45044.510416666664</c:v>
                </c:pt>
                <c:pt idx="705">
                  <c:v>45044.520833333336</c:v>
                </c:pt>
                <c:pt idx="706">
                  <c:v>45044.53125</c:v>
                </c:pt>
                <c:pt idx="707">
                  <c:v>45044.541666666664</c:v>
                </c:pt>
                <c:pt idx="708">
                  <c:v>45044.552083333336</c:v>
                </c:pt>
                <c:pt idx="709">
                  <c:v>45044.5625</c:v>
                </c:pt>
                <c:pt idx="710">
                  <c:v>45044.572916666664</c:v>
                </c:pt>
                <c:pt idx="711">
                  <c:v>45044.583333333336</c:v>
                </c:pt>
                <c:pt idx="712">
                  <c:v>45044.59375</c:v>
                </c:pt>
                <c:pt idx="713">
                  <c:v>45044.604166666664</c:v>
                </c:pt>
                <c:pt idx="714">
                  <c:v>45044.614583333336</c:v>
                </c:pt>
                <c:pt idx="715">
                  <c:v>45044.625</c:v>
                </c:pt>
                <c:pt idx="716">
                  <c:v>45044.635416666664</c:v>
                </c:pt>
                <c:pt idx="717">
                  <c:v>45044.645833333336</c:v>
                </c:pt>
                <c:pt idx="718">
                  <c:v>45044.65625</c:v>
                </c:pt>
                <c:pt idx="719">
                  <c:v>45044.666666666664</c:v>
                </c:pt>
                <c:pt idx="720">
                  <c:v>45044.677083333336</c:v>
                </c:pt>
                <c:pt idx="721">
                  <c:v>45044.6875</c:v>
                </c:pt>
                <c:pt idx="722">
                  <c:v>45044.697916666664</c:v>
                </c:pt>
                <c:pt idx="723">
                  <c:v>45044.708333333336</c:v>
                </c:pt>
                <c:pt idx="724">
                  <c:v>45044.71875</c:v>
                </c:pt>
                <c:pt idx="725">
                  <c:v>45044.729166666664</c:v>
                </c:pt>
                <c:pt idx="726">
                  <c:v>45044.739583333336</c:v>
                </c:pt>
                <c:pt idx="727">
                  <c:v>45044.75</c:v>
                </c:pt>
                <c:pt idx="728">
                  <c:v>45044.760416666664</c:v>
                </c:pt>
                <c:pt idx="729">
                  <c:v>45044.770833333336</c:v>
                </c:pt>
                <c:pt idx="730">
                  <c:v>45044.78125</c:v>
                </c:pt>
                <c:pt idx="731">
                  <c:v>45044.791666666664</c:v>
                </c:pt>
                <c:pt idx="732">
                  <c:v>45044.802083333336</c:v>
                </c:pt>
                <c:pt idx="733">
                  <c:v>45044.8125</c:v>
                </c:pt>
                <c:pt idx="734">
                  <c:v>45044.822916666664</c:v>
                </c:pt>
                <c:pt idx="735">
                  <c:v>45044.833333333336</c:v>
                </c:pt>
                <c:pt idx="736">
                  <c:v>45044.84375</c:v>
                </c:pt>
                <c:pt idx="737">
                  <c:v>45044.854166666664</c:v>
                </c:pt>
                <c:pt idx="738">
                  <c:v>45044.864583333336</c:v>
                </c:pt>
                <c:pt idx="739">
                  <c:v>45044.875</c:v>
                </c:pt>
                <c:pt idx="740">
                  <c:v>45044.885416666664</c:v>
                </c:pt>
                <c:pt idx="741">
                  <c:v>45044.895833333336</c:v>
                </c:pt>
                <c:pt idx="742">
                  <c:v>45044.90625</c:v>
                </c:pt>
                <c:pt idx="743">
                  <c:v>45044.916666666664</c:v>
                </c:pt>
                <c:pt idx="744">
                  <c:v>45044.927083333336</c:v>
                </c:pt>
                <c:pt idx="745">
                  <c:v>45044.9375</c:v>
                </c:pt>
                <c:pt idx="746">
                  <c:v>45044.947916666664</c:v>
                </c:pt>
                <c:pt idx="747">
                  <c:v>45044.958333333336</c:v>
                </c:pt>
                <c:pt idx="748">
                  <c:v>45044.96875</c:v>
                </c:pt>
                <c:pt idx="749">
                  <c:v>45044.979166666664</c:v>
                </c:pt>
                <c:pt idx="750">
                  <c:v>45044.989583333336</c:v>
                </c:pt>
                <c:pt idx="751">
                  <c:v>45045</c:v>
                </c:pt>
                <c:pt idx="752">
                  <c:v>45045.010416666664</c:v>
                </c:pt>
                <c:pt idx="753">
                  <c:v>45045.020833333336</c:v>
                </c:pt>
                <c:pt idx="754">
                  <c:v>45045.03125</c:v>
                </c:pt>
                <c:pt idx="755">
                  <c:v>45045.041666666664</c:v>
                </c:pt>
                <c:pt idx="756">
                  <c:v>45045.052083333336</c:v>
                </c:pt>
                <c:pt idx="757">
                  <c:v>45045.0625</c:v>
                </c:pt>
                <c:pt idx="758">
                  <c:v>45045.072916666664</c:v>
                </c:pt>
                <c:pt idx="759">
                  <c:v>45045.083333333336</c:v>
                </c:pt>
                <c:pt idx="760">
                  <c:v>45045.09375</c:v>
                </c:pt>
                <c:pt idx="761">
                  <c:v>45045.104166666664</c:v>
                </c:pt>
                <c:pt idx="762">
                  <c:v>45045.114583333336</c:v>
                </c:pt>
                <c:pt idx="763">
                  <c:v>45045.125</c:v>
                </c:pt>
                <c:pt idx="764">
                  <c:v>45045.135416666664</c:v>
                </c:pt>
                <c:pt idx="765">
                  <c:v>45045.145833333336</c:v>
                </c:pt>
                <c:pt idx="766">
                  <c:v>45045.15625</c:v>
                </c:pt>
                <c:pt idx="767">
                  <c:v>45045.166666666664</c:v>
                </c:pt>
                <c:pt idx="768">
                  <c:v>45045.177083333336</c:v>
                </c:pt>
                <c:pt idx="769">
                  <c:v>45045.1875</c:v>
                </c:pt>
                <c:pt idx="770">
                  <c:v>45045.197916666664</c:v>
                </c:pt>
                <c:pt idx="771">
                  <c:v>45045.208333333336</c:v>
                </c:pt>
                <c:pt idx="772">
                  <c:v>45045.21875</c:v>
                </c:pt>
                <c:pt idx="773">
                  <c:v>45045.229166666664</c:v>
                </c:pt>
                <c:pt idx="774">
                  <c:v>45045.239583333336</c:v>
                </c:pt>
                <c:pt idx="775">
                  <c:v>45045.25</c:v>
                </c:pt>
                <c:pt idx="776">
                  <c:v>45045.260416666664</c:v>
                </c:pt>
                <c:pt idx="777">
                  <c:v>45045.270833333336</c:v>
                </c:pt>
                <c:pt idx="778">
                  <c:v>45045.28125</c:v>
                </c:pt>
                <c:pt idx="779">
                  <c:v>45045.291666666664</c:v>
                </c:pt>
                <c:pt idx="780">
                  <c:v>45045.302083333336</c:v>
                </c:pt>
                <c:pt idx="781">
                  <c:v>45045.3125</c:v>
                </c:pt>
                <c:pt idx="782">
                  <c:v>45045.322916666664</c:v>
                </c:pt>
                <c:pt idx="783">
                  <c:v>45045.333333333336</c:v>
                </c:pt>
                <c:pt idx="784">
                  <c:v>45045.34375</c:v>
                </c:pt>
                <c:pt idx="785">
                  <c:v>45045.354166666664</c:v>
                </c:pt>
                <c:pt idx="786">
                  <c:v>45045.364583333336</c:v>
                </c:pt>
                <c:pt idx="787">
                  <c:v>45045.375</c:v>
                </c:pt>
                <c:pt idx="788">
                  <c:v>45045.385416666664</c:v>
                </c:pt>
                <c:pt idx="789">
                  <c:v>45045.395833333336</c:v>
                </c:pt>
                <c:pt idx="790">
                  <c:v>45045.40625</c:v>
                </c:pt>
                <c:pt idx="791">
                  <c:v>45045.416666666664</c:v>
                </c:pt>
                <c:pt idx="792">
                  <c:v>45045.427083333336</c:v>
                </c:pt>
                <c:pt idx="793">
                  <c:v>45045.4375</c:v>
                </c:pt>
                <c:pt idx="794">
                  <c:v>45045.447916666664</c:v>
                </c:pt>
                <c:pt idx="795">
                  <c:v>45045.458333333336</c:v>
                </c:pt>
                <c:pt idx="796">
                  <c:v>45045.46875</c:v>
                </c:pt>
                <c:pt idx="797">
                  <c:v>45045.479166666664</c:v>
                </c:pt>
                <c:pt idx="798">
                  <c:v>45045.489583333336</c:v>
                </c:pt>
                <c:pt idx="799">
                  <c:v>45045.5</c:v>
                </c:pt>
                <c:pt idx="800">
                  <c:v>45045.510416666664</c:v>
                </c:pt>
                <c:pt idx="801">
                  <c:v>45045.520833333336</c:v>
                </c:pt>
                <c:pt idx="802">
                  <c:v>45045.53125</c:v>
                </c:pt>
                <c:pt idx="803">
                  <c:v>45045.541666666664</c:v>
                </c:pt>
                <c:pt idx="804">
                  <c:v>45045.552083333336</c:v>
                </c:pt>
                <c:pt idx="805">
                  <c:v>45045.5625</c:v>
                </c:pt>
                <c:pt idx="806">
                  <c:v>45045.572916666664</c:v>
                </c:pt>
                <c:pt idx="807">
                  <c:v>45045.583333333336</c:v>
                </c:pt>
                <c:pt idx="808">
                  <c:v>45045.59375</c:v>
                </c:pt>
                <c:pt idx="809">
                  <c:v>45045.604166666664</c:v>
                </c:pt>
                <c:pt idx="810">
                  <c:v>45045.614583333336</c:v>
                </c:pt>
                <c:pt idx="811">
                  <c:v>45045.625</c:v>
                </c:pt>
                <c:pt idx="812">
                  <c:v>45045.635416666664</c:v>
                </c:pt>
                <c:pt idx="813">
                  <c:v>45045.645833333336</c:v>
                </c:pt>
                <c:pt idx="814">
                  <c:v>45045.65625</c:v>
                </c:pt>
                <c:pt idx="815">
                  <c:v>45045.666666666664</c:v>
                </c:pt>
                <c:pt idx="816">
                  <c:v>45045.677083333336</c:v>
                </c:pt>
                <c:pt idx="817">
                  <c:v>45045.6875</c:v>
                </c:pt>
                <c:pt idx="818">
                  <c:v>45045.697916666664</c:v>
                </c:pt>
                <c:pt idx="819">
                  <c:v>45045.708333333336</c:v>
                </c:pt>
                <c:pt idx="820">
                  <c:v>45045.71875</c:v>
                </c:pt>
                <c:pt idx="821">
                  <c:v>45045.729166666664</c:v>
                </c:pt>
                <c:pt idx="822">
                  <c:v>45045.739583333336</c:v>
                </c:pt>
                <c:pt idx="823">
                  <c:v>45045.75</c:v>
                </c:pt>
                <c:pt idx="824">
                  <c:v>45045.760416666664</c:v>
                </c:pt>
                <c:pt idx="825">
                  <c:v>45045.770833333336</c:v>
                </c:pt>
                <c:pt idx="826">
                  <c:v>45045.78125</c:v>
                </c:pt>
                <c:pt idx="827">
                  <c:v>45045.791666666664</c:v>
                </c:pt>
                <c:pt idx="828">
                  <c:v>45045.802083333336</c:v>
                </c:pt>
                <c:pt idx="829">
                  <c:v>45045.8125</c:v>
                </c:pt>
                <c:pt idx="830">
                  <c:v>45045.822916666664</c:v>
                </c:pt>
                <c:pt idx="831">
                  <c:v>45045.833333333336</c:v>
                </c:pt>
                <c:pt idx="832">
                  <c:v>45045.84375</c:v>
                </c:pt>
                <c:pt idx="833">
                  <c:v>45045.854166666664</c:v>
                </c:pt>
                <c:pt idx="834">
                  <c:v>45045.864583333336</c:v>
                </c:pt>
                <c:pt idx="835">
                  <c:v>45045.875</c:v>
                </c:pt>
                <c:pt idx="836">
                  <c:v>45045.885416666664</c:v>
                </c:pt>
                <c:pt idx="837">
                  <c:v>45045.895833333336</c:v>
                </c:pt>
                <c:pt idx="838">
                  <c:v>45045.90625</c:v>
                </c:pt>
                <c:pt idx="839">
                  <c:v>45045.916666666664</c:v>
                </c:pt>
                <c:pt idx="840">
                  <c:v>45045.927083333336</c:v>
                </c:pt>
                <c:pt idx="841">
                  <c:v>45045.9375</c:v>
                </c:pt>
                <c:pt idx="842">
                  <c:v>45045.947916666664</c:v>
                </c:pt>
                <c:pt idx="843">
                  <c:v>45045.958333333336</c:v>
                </c:pt>
                <c:pt idx="844">
                  <c:v>45045.96875</c:v>
                </c:pt>
                <c:pt idx="845">
                  <c:v>45045.979166666664</c:v>
                </c:pt>
                <c:pt idx="846">
                  <c:v>45045.989583333336</c:v>
                </c:pt>
                <c:pt idx="847">
                  <c:v>45046</c:v>
                </c:pt>
                <c:pt idx="848">
                  <c:v>45046.010416666664</c:v>
                </c:pt>
                <c:pt idx="849">
                  <c:v>45046.020833333336</c:v>
                </c:pt>
                <c:pt idx="850">
                  <c:v>45046.03125</c:v>
                </c:pt>
                <c:pt idx="851">
                  <c:v>45046.041666666664</c:v>
                </c:pt>
                <c:pt idx="852">
                  <c:v>45046.052083333336</c:v>
                </c:pt>
                <c:pt idx="853">
                  <c:v>45046.0625</c:v>
                </c:pt>
                <c:pt idx="854">
                  <c:v>45046.072916666664</c:v>
                </c:pt>
                <c:pt idx="855">
                  <c:v>45046.083333333336</c:v>
                </c:pt>
                <c:pt idx="856">
                  <c:v>45046.09375</c:v>
                </c:pt>
                <c:pt idx="857">
                  <c:v>45046.104166666664</c:v>
                </c:pt>
                <c:pt idx="858">
                  <c:v>45046.114583333336</c:v>
                </c:pt>
                <c:pt idx="859">
                  <c:v>45046.125</c:v>
                </c:pt>
                <c:pt idx="860">
                  <c:v>45046.135416666664</c:v>
                </c:pt>
                <c:pt idx="861">
                  <c:v>45046.145833333336</c:v>
                </c:pt>
                <c:pt idx="862">
                  <c:v>45046.15625</c:v>
                </c:pt>
                <c:pt idx="863">
                  <c:v>45046.166666666664</c:v>
                </c:pt>
                <c:pt idx="864">
                  <c:v>45046.177083333336</c:v>
                </c:pt>
                <c:pt idx="865">
                  <c:v>45046.1875</c:v>
                </c:pt>
                <c:pt idx="866">
                  <c:v>45046.197916666664</c:v>
                </c:pt>
                <c:pt idx="867">
                  <c:v>45046.208333333336</c:v>
                </c:pt>
                <c:pt idx="868">
                  <c:v>45046.21875</c:v>
                </c:pt>
                <c:pt idx="869">
                  <c:v>45046.229166666664</c:v>
                </c:pt>
                <c:pt idx="870">
                  <c:v>45046.239583333336</c:v>
                </c:pt>
                <c:pt idx="871">
                  <c:v>45046.25</c:v>
                </c:pt>
                <c:pt idx="872">
                  <c:v>45046.260416666664</c:v>
                </c:pt>
                <c:pt idx="873">
                  <c:v>45046.270833333336</c:v>
                </c:pt>
                <c:pt idx="874">
                  <c:v>45046.28125</c:v>
                </c:pt>
                <c:pt idx="875">
                  <c:v>45046.291666666664</c:v>
                </c:pt>
                <c:pt idx="876">
                  <c:v>45046.302083333336</c:v>
                </c:pt>
                <c:pt idx="877">
                  <c:v>45046.3125</c:v>
                </c:pt>
                <c:pt idx="878">
                  <c:v>45046.322916666664</c:v>
                </c:pt>
                <c:pt idx="879">
                  <c:v>45046.333333333336</c:v>
                </c:pt>
                <c:pt idx="880">
                  <c:v>45046.34375</c:v>
                </c:pt>
                <c:pt idx="881">
                  <c:v>45046.354166666664</c:v>
                </c:pt>
                <c:pt idx="882">
                  <c:v>45046.364583333336</c:v>
                </c:pt>
                <c:pt idx="883">
                  <c:v>45046.375</c:v>
                </c:pt>
                <c:pt idx="884">
                  <c:v>45046.385416666664</c:v>
                </c:pt>
                <c:pt idx="885">
                  <c:v>45046.395833333336</c:v>
                </c:pt>
                <c:pt idx="886">
                  <c:v>45046.40625</c:v>
                </c:pt>
                <c:pt idx="887">
                  <c:v>45046.416666666664</c:v>
                </c:pt>
                <c:pt idx="888">
                  <c:v>45046.427083333336</c:v>
                </c:pt>
                <c:pt idx="889">
                  <c:v>45046.4375</c:v>
                </c:pt>
                <c:pt idx="890">
                  <c:v>45046.447916666664</c:v>
                </c:pt>
                <c:pt idx="891">
                  <c:v>45046.458333333336</c:v>
                </c:pt>
                <c:pt idx="892">
                  <c:v>45046.46875</c:v>
                </c:pt>
                <c:pt idx="893">
                  <c:v>45046.479166666664</c:v>
                </c:pt>
                <c:pt idx="894">
                  <c:v>45046.489583333336</c:v>
                </c:pt>
                <c:pt idx="895">
                  <c:v>45046.5</c:v>
                </c:pt>
                <c:pt idx="896">
                  <c:v>45046.510416666664</c:v>
                </c:pt>
                <c:pt idx="897">
                  <c:v>45046.520833333336</c:v>
                </c:pt>
                <c:pt idx="898">
                  <c:v>45046.53125</c:v>
                </c:pt>
                <c:pt idx="899">
                  <c:v>45046.541666666664</c:v>
                </c:pt>
                <c:pt idx="900">
                  <c:v>45046.552083333336</c:v>
                </c:pt>
                <c:pt idx="901">
                  <c:v>45046.5625</c:v>
                </c:pt>
                <c:pt idx="902">
                  <c:v>45046.572916666664</c:v>
                </c:pt>
                <c:pt idx="903">
                  <c:v>45046.583333333336</c:v>
                </c:pt>
                <c:pt idx="904">
                  <c:v>45046.59375</c:v>
                </c:pt>
                <c:pt idx="905">
                  <c:v>45046.604166666664</c:v>
                </c:pt>
                <c:pt idx="906">
                  <c:v>45046.614583333336</c:v>
                </c:pt>
                <c:pt idx="907">
                  <c:v>45046.625</c:v>
                </c:pt>
                <c:pt idx="908">
                  <c:v>45046.635416666664</c:v>
                </c:pt>
                <c:pt idx="909">
                  <c:v>45046.645833333336</c:v>
                </c:pt>
                <c:pt idx="910">
                  <c:v>45046.65625</c:v>
                </c:pt>
                <c:pt idx="911">
                  <c:v>45046.666666666664</c:v>
                </c:pt>
                <c:pt idx="912">
                  <c:v>45046.677083333336</c:v>
                </c:pt>
                <c:pt idx="913">
                  <c:v>45046.6875</c:v>
                </c:pt>
                <c:pt idx="914">
                  <c:v>45046.697916666664</c:v>
                </c:pt>
                <c:pt idx="915">
                  <c:v>45046.708333333336</c:v>
                </c:pt>
                <c:pt idx="916">
                  <c:v>45046.71875</c:v>
                </c:pt>
                <c:pt idx="917">
                  <c:v>45046.729166666664</c:v>
                </c:pt>
                <c:pt idx="918">
                  <c:v>45046.739583333336</c:v>
                </c:pt>
                <c:pt idx="919">
                  <c:v>45046.75</c:v>
                </c:pt>
                <c:pt idx="920">
                  <c:v>45046.760416666664</c:v>
                </c:pt>
                <c:pt idx="921">
                  <c:v>45046.770833333336</c:v>
                </c:pt>
                <c:pt idx="922">
                  <c:v>45046.78125</c:v>
                </c:pt>
                <c:pt idx="923">
                  <c:v>45046.791666666664</c:v>
                </c:pt>
                <c:pt idx="924">
                  <c:v>45046.802083333336</c:v>
                </c:pt>
                <c:pt idx="925">
                  <c:v>45046.8125</c:v>
                </c:pt>
                <c:pt idx="926">
                  <c:v>45046.822916666664</c:v>
                </c:pt>
                <c:pt idx="927">
                  <c:v>45046.833333333336</c:v>
                </c:pt>
                <c:pt idx="928">
                  <c:v>45046.84375</c:v>
                </c:pt>
                <c:pt idx="929">
                  <c:v>45046.854166666664</c:v>
                </c:pt>
                <c:pt idx="930">
                  <c:v>45046.864583333336</c:v>
                </c:pt>
                <c:pt idx="931">
                  <c:v>45046.875</c:v>
                </c:pt>
                <c:pt idx="932">
                  <c:v>45046.885416666664</c:v>
                </c:pt>
                <c:pt idx="933">
                  <c:v>45046.895833333336</c:v>
                </c:pt>
                <c:pt idx="934">
                  <c:v>45046.90625</c:v>
                </c:pt>
                <c:pt idx="935">
                  <c:v>45046.916666666664</c:v>
                </c:pt>
                <c:pt idx="936">
                  <c:v>45046.927083333336</c:v>
                </c:pt>
                <c:pt idx="937">
                  <c:v>45046.9375</c:v>
                </c:pt>
                <c:pt idx="938">
                  <c:v>45046.947916666664</c:v>
                </c:pt>
                <c:pt idx="939">
                  <c:v>45046.958333333336</c:v>
                </c:pt>
                <c:pt idx="940">
                  <c:v>45046.96875</c:v>
                </c:pt>
                <c:pt idx="941">
                  <c:v>45046.979166666664</c:v>
                </c:pt>
                <c:pt idx="942">
                  <c:v>45046.989583333336</c:v>
                </c:pt>
                <c:pt idx="943">
                  <c:v>45047</c:v>
                </c:pt>
                <c:pt idx="944">
                  <c:v>45047.010416666664</c:v>
                </c:pt>
                <c:pt idx="945">
                  <c:v>45047.020833333336</c:v>
                </c:pt>
                <c:pt idx="946">
                  <c:v>45047.03125</c:v>
                </c:pt>
                <c:pt idx="947">
                  <c:v>45047.041666666664</c:v>
                </c:pt>
                <c:pt idx="948">
                  <c:v>45047.052083333336</c:v>
                </c:pt>
                <c:pt idx="949">
                  <c:v>45047.0625</c:v>
                </c:pt>
                <c:pt idx="950">
                  <c:v>45047.072916666664</c:v>
                </c:pt>
                <c:pt idx="951">
                  <c:v>45047.083333333336</c:v>
                </c:pt>
                <c:pt idx="952">
                  <c:v>45047.09375</c:v>
                </c:pt>
                <c:pt idx="953">
                  <c:v>45047.104166666664</c:v>
                </c:pt>
                <c:pt idx="954">
                  <c:v>45047.114583333336</c:v>
                </c:pt>
                <c:pt idx="955">
                  <c:v>45047.125</c:v>
                </c:pt>
                <c:pt idx="956">
                  <c:v>45047.135416666664</c:v>
                </c:pt>
                <c:pt idx="957">
                  <c:v>45047.145833333336</c:v>
                </c:pt>
                <c:pt idx="958">
                  <c:v>45047.15625</c:v>
                </c:pt>
                <c:pt idx="959">
                  <c:v>45047.166666666664</c:v>
                </c:pt>
                <c:pt idx="960">
                  <c:v>45047.177083333336</c:v>
                </c:pt>
                <c:pt idx="961">
                  <c:v>45047.1875</c:v>
                </c:pt>
                <c:pt idx="962">
                  <c:v>45047.197916666664</c:v>
                </c:pt>
                <c:pt idx="963">
                  <c:v>45047.208333333336</c:v>
                </c:pt>
                <c:pt idx="964">
                  <c:v>45047.21875</c:v>
                </c:pt>
                <c:pt idx="965">
                  <c:v>45047.229166666664</c:v>
                </c:pt>
                <c:pt idx="966">
                  <c:v>45047.239583333336</c:v>
                </c:pt>
                <c:pt idx="967">
                  <c:v>45047.25</c:v>
                </c:pt>
                <c:pt idx="968">
                  <c:v>45047.260416666664</c:v>
                </c:pt>
                <c:pt idx="969">
                  <c:v>45047.270833333336</c:v>
                </c:pt>
                <c:pt idx="970">
                  <c:v>45047.28125</c:v>
                </c:pt>
                <c:pt idx="971">
                  <c:v>45047.291666666664</c:v>
                </c:pt>
                <c:pt idx="972">
                  <c:v>45047.302083333336</c:v>
                </c:pt>
                <c:pt idx="973">
                  <c:v>45047.3125</c:v>
                </c:pt>
                <c:pt idx="974">
                  <c:v>45047.322916666664</c:v>
                </c:pt>
                <c:pt idx="975">
                  <c:v>45047.333333333336</c:v>
                </c:pt>
                <c:pt idx="976">
                  <c:v>45047.34375</c:v>
                </c:pt>
                <c:pt idx="977">
                  <c:v>45047.354166666664</c:v>
                </c:pt>
                <c:pt idx="978">
                  <c:v>45047.364583333336</c:v>
                </c:pt>
                <c:pt idx="979">
                  <c:v>45047.375</c:v>
                </c:pt>
                <c:pt idx="980">
                  <c:v>45047.385416666664</c:v>
                </c:pt>
                <c:pt idx="981">
                  <c:v>45047.395833333336</c:v>
                </c:pt>
                <c:pt idx="982">
                  <c:v>45047.40625</c:v>
                </c:pt>
                <c:pt idx="983">
                  <c:v>45047.416666666664</c:v>
                </c:pt>
                <c:pt idx="984">
                  <c:v>45047.427083333336</c:v>
                </c:pt>
                <c:pt idx="985">
                  <c:v>45047.4375</c:v>
                </c:pt>
                <c:pt idx="986">
                  <c:v>45047.447916666664</c:v>
                </c:pt>
                <c:pt idx="987">
                  <c:v>45047.458333333336</c:v>
                </c:pt>
                <c:pt idx="988">
                  <c:v>45047.46875</c:v>
                </c:pt>
                <c:pt idx="989">
                  <c:v>45047.479166666664</c:v>
                </c:pt>
                <c:pt idx="990">
                  <c:v>45047.489583333336</c:v>
                </c:pt>
                <c:pt idx="991">
                  <c:v>45047.5</c:v>
                </c:pt>
                <c:pt idx="992">
                  <c:v>45047.510416666664</c:v>
                </c:pt>
                <c:pt idx="993">
                  <c:v>45047.520833333336</c:v>
                </c:pt>
                <c:pt idx="994">
                  <c:v>45047.53125</c:v>
                </c:pt>
                <c:pt idx="995">
                  <c:v>45047.541666666664</c:v>
                </c:pt>
                <c:pt idx="996">
                  <c:v>45047.552083333336</c:v>
                </c:pt>
                <c:pt idx="997">
                  <c:v>45047.5625</c:v>
                </c:pt>
                <c:pt idx="998">
                  <c:v>45047.572916666664</c:v>
                </c:pt>
                <c:pt idx="999">
                  <c:v>45047.583333333336</c:v>
                </c:pt>
                <c:pt idx="1000">
                  <c:v>45047.59375</c:v>
                </c:pt>
                <c:pt idx="1001">
                  <c:v>45047.604166666664</c:v>
                </c:pt>
                <c:pt idx="1002">
                  <c:v>45047.614583333336</c:v>
                </c:pt>
                <c:pt idx="1003">
                  <c:v>45047.625</c:v>
                </c:pt>
                <c:pt idx="1004">
                  <c:v>45047.635416666664</c:v>
                </c:pt>
                <c:pt idx="1005">
                  <c:v>45047.645833333336</c:v>
                </c:pt>
                <c:pt idx="1006">
                  <c:v>45047.65625</c:v>
                </c:pt>
                <c:pt idx="1007">
                  <c:v>45047.708333333336</c:v>
                </c:pt>
                <c:pt idx="1008">
                  <c:v>45047.71875</c:v>
                </c:pt>
                <c:pt idx="1009">
                  <c:v>45047.729166666664</c:v>
                </c:pt>
                <c:pt idx="1010">
                  <c:v>45047.739583333336</c:v>
                </c:pt>
                <c:pt idx="1011">
                  <c:v>45047.75</c:v>
                </c:pt>
                <c:pt idx="1012">
                  <c:v>45047.760416666664</c:v>
                </c:pt>
                <c:pt idx="1013">
                  <c:v>45047.770833333336</c:v>
                </c:pt>
                <c:pt idx="1014">
                  <c:v>45047.78125</c:v>
                </c:pt>
                <c:pt idx="1015">
                  <c:v>45047.791666666664</c:v>
                </c:pt>
                <c:pt idx="1016">
                  <c:v>45047.802083333336</c:v>
                </c:pt>
                <c:pt idx="1017">
                  <c:v>45047.8125</c:v>
                </c:pt>
                <c:pt idx="1018">
                  <c:v>45047.822916666664</c:v>
                </c:pt>
                <c:pt idx="1019">
                  <c:v>45047.833333333336</c:v>
                </c:pt>
                <c:pt idx="1020">
                  <c:v>45047.84375</c:v>
                </c:pt>
                <c:pt idx="1021">
                  <c:v>45047.854166666664</c:v>
                </c:pt>
                <c:pt idx="1022">
                  <c:v>45047.864583333336</c:v>
                </c:pt>
                <c:pt idx="1023">
                  <c:v>45047.875</c:v>
                </c:pt>
                <c:pt idx="1024">
                  <c:v>45047.885416666664</c:v>
                </c:pt>
                <c:pt idx="1025">
                  <c:v>45047.895833333336</c:v>
                </c:pt>
                <c:pt idx="1026">
                  <c:v>45047.90625</c:v>
                </c:pt>
                <c:pt idx="1027">
                  <c:v>45047.916666666664</c:v>
                </c:pt>
                <c:pt idx="1028">
                  <c:v>45047.927083333336</c:v>
                </c:pt>
                <c:pt idx="1029">
                  <c:v>45047.9375</c:v>
                </c:pt>
                <c:pt idx="1030">
                  <c:v>45047.947916666664</c:v>
                </c:pt>
                <c:pt idx="1031">
                  <c:v>45047.958333333336</c:v>
                </c:pt>
                <c:pt idx="1032">
                  <c:v>45047.96875</c:v>
                </c:pt>
                <c:pt idx="1033">
                  <c:v>45047.979166666664</c:v>
                </c:pt>
                <c:pt idx="1034">
                  <c:v>45047.989583333336</c:v>
                </c:pt>
                <c:pt idx="1035">
                  <c:v>45048</c:v>
                </c:pt>
                <c:pt idx="1036">
                  <c:v>45048.010416666664</c:v>
                </c:pt>
                <c:pt idx="1037">
                  <c:v>45048.020833333336</c:v>
                </c:pt>
                <c:pt idx="1038">
                  <c:v>45048.03125</c:v>
                </c:pt>
                <c:pt idx="1039">
                  <c:v>45048.041666666664</c:v>
                </c:pt>
                <c:pt idx="1040">
                  <c:v>45048.052083333336</c:v>
                </c:pt>
                <c:pt idx="1041">
                  <c:v>45048.0625</c:v>
                </c:pt>
                <c:pt idx="1042">
                  <c:v>45048.072916666664</c:v>
                </c:pt>
                <c:pt idx="1043">
                  <c:v>45048.083333333336</c:v>
                </c:pt>
                <c:pt idx="1044">
                  <c:v>45048.09375</c:v>
                </c:pt>
                <c:pt idx="1045">
                  <c:v>45048.104166666664</c:v>
                </c:pt>
                <c:pt idx="1046">
                  <c:v>45048.114583333336</c:v>
                </c:pt>
                <c:pt idx="1047">
                  <c:v>45048.125</c:v>
                </c:pt>
                <c:pt idx="1048">
                  <c:v>45048.135416666664</c:v>
                </c:pt>
                <c:pt idx="1049">
                  <c:v>45048.145833333336</c:v>
                </c:pt>
                <c:pt idx="1050">
                  <c:v>45048.15625</c:v>
                </c:pt>
                <c:pt idx="1051">
                  <c:v>45048.166666666664</c:v>
                </c:pt>
                <c:pt idx="1052">
                  <c:v>45048.177083333336</c:v>
                </c:pt>
                <c:pt idx="1053">
                  <c:v>45048.1875</c:v>
                </c:pt>
                <c:pt idx="1054">
                  <c:v>45048.197916666664</c:v>
                </c:pt>
                <c:pt idx="1055">
                  <c:v>45048.208333333336</c:v>
                </c:pt>
                <c:pt idx="1056">
                  <c:v>45048.21875</c:v>
                </c:pt>
                <c:pt idx="1057">
                  <c:v>45048.229166666664</c:v>
                </c:pt>
                <c:pt idx="1058">
                  <c:v>45048.239583333336</c:v>
                </c:pt>
                <c:pt idx="1059">
                  <c:v>45048.25</c:v>
                </c:pt>
                <c:pt idx="1060">
                  <c:v>45048.260416666664</c:v>
                </c:pt>
                <c:pt idx="1061">
                  <c:v>45048.270833333336</c:v>
                </c:pt>
                <c:pt idx="1062">
                  <c:v>45048.28125</c:v>
                </c:pt>
                <c:pt idx="1063">
                  <c:v>45048.291666666664</c:v>
                </c:pt>
                <c:pt idx="1064">
                  <c:v>45048.302083333336</c:v>
                </c:pt>
                <c:pt idx="1065">
                  <c:v>45048.3125</c:v>
                </c:pt>
                <c:pt idx="1066">
                  <c:v>45048.322916666664</c:v>
                </c:pt>
                <c:pt idx="1067">
                  <c:v>45048.333333333336</c:v>
                </c:pt>
                <c:pt idx="1068">
                  <c:v>45048.34375</c:v>
                </c:pt>
                <c:pt idx="1069">
                  <c:v>45048.354166666664</c:v>
                </c:pt>
                <c:pt idx="1070">
                  <c:v>45048.364583333336</c:v>
                </c:pt>
                <c:pt idx="1071">
                  <c:v>45048.375</c:v>
                </c:pt>
                <c:pt idx="1072">
                  <c:v>45048.385416666664</c:v>
                </c:pt>
                <c:pt idx="1073">
                  <c:v>45048.395833333336</c:v>
                </c:pt>
                <c:pt idx="1074">
                  <c:v>45048.40625</c:v>
                </c:pt>
                <c:pt idx="1075">
                  <c:v>45048.416666666664</c:v>
                </c:pt>
                <c:pt idx="1076">
                  <c:v>45048.427083333336</c:v>
                </c:pt>
                <c:pt idx="1077">
                  <c:v>45048.4375</c:v>
                </c:pt>
                <c:pt idx="1078">
                  <c:v>45048.447916666664</c:v>
                </c:pt>
                <c:pt idx="1079">
                  <c:v>45048.458333333336</c:v>
                </c:pt>
                <c:pt idx="1080">
                  <c:v>45048.46875</c:v>
                </c:pt>
                <c:pt idx="1081">
                  <c:v>45048.479166666664</c:v>
                </c:pt>
                <c:pt idx="1082">
                  <c:v>45048.489583333336</c:v>
                </c:pt>
                <c:pt idx="1083">
                  <c:v>45048.5</c:v>
                </c:pt>
                <c:pt idx="1084">
                  <c:v>45048.510416666664</c:v>
                </c:pt>
                <c:pt idx="1085">
                  <c:v>45048.520833333336</c:v>
                </c:pt>
                <c:pt idx="1086">
                  <c:v>45048.53125</c:v>
                </c:pt>
                <c:pt idx="1087">
                  <c:v>45048.541666666664</c:v>
                </c:pt>
                <c:pt idx="1088">
                  <c:v>45048.552083333336</c:v>
                </c:pt>
                <c:pt idx="1089">
                  <c:v>45048.5625</c:v>
                </c:pt>
                <c:pt idx="1090">
                  <c:v>45048.572916666664</c:v>
                </c:pt>
                <c:pt idx="1091">
                  <c:v>45048.583333333336</c:v>
                </c:pt>
                <c:pt idx="1092">
                  <c:v>45048.59375</c:v>
                </c:pt>
                <c:pt idx="1093">
                  <c:v>45048.604166666664</c:v>
                </c:pt>
                <c:pt idx="1094">
                  <c:v>45048.614583333336</c:v>
                </c:pt>
                <c:pt idx="1095">
                  <c:v>45048.625</c:v>
                </c:pt>
                <c:pt idx="1096">
                  <c:v>45048.635416666664</c:v>
                </c:pt>
                <c:pt idx="1097">
                  <c:v>45048.645833333336</c:v>
                </c:pt>
                <c:pt idx="1098">
                  <c:v>45048.65625</c:v>
                </c:pt>
                <c:pt idx="1099">
                  <c:v>45048.666666666664</c:v>
                </c:pt>
                <c:pt idx="1100">
                  <c:v>45048.677083333336</c:v>
                </c:pt>
                <c:pt idx="1101">
                  <c:v>45048.6875</c:v>
                </c:pt>
                <c:pt idx="1102">
                  <c:v>45048.697916666664</c:v>
                </c:pt>
                <c:pt idx="1103">
                  <c:v>45048.708333333336</c:v>
                </c:pt>
                <c:pt idx="1104">
                  <c:v>45048.71875</c:v>
                </c:pt>
                <c:pt idx="1105">
                  <c:v>45048.729166666664</c:v>
                </c:pt>
                <c:pt idx="1106">
                  <c:v>45048.739583333336</c:v>
                </c:pt>
                <c:pt idx="1107">
                  <c:v>45048.75</c:v>
                </c:pt>
                <c:pt idx="1108">
                  <c:v>45048.760416666664</c:v>
                </c:pt>
                <c:pt idx="1109">
                  <c:v>45048.770833333336</c:v>
                </c:pt>
                <c:pt idx="1110">
                  <c:v>45048.78125</c:v>
                </c:pt>
                <c:pt idx="1111">
                  <c:v>45048.791666666664</c:v>
                </c:pt>
                <c:pt idx="1112">
                  <c:v>45048.802083333336</c:v>
                </c:pt>
                <c:pt idx="1113">
                  <c:v>45048.8125</c:v>
                </c:pt>
                <c:pt idx="1114">
                  <c:v>45048.822916666664</c:v>
                </c:pt>
                <c:pt idx="1115">
                  <c:v>45048.833333333336</c:v>
                </c:pt>
                <c:pt idx="1116">
                  <c:v>45048.84375</c:v>
                </c:pt>
                <c:pt idx="1117">
                  <c:v>45048.854166666664</c:v>
                </c:pt>
                <c:pt idx="1118">
                  <c:v>45048.864583333336</c:v>
                </c:pt>
                <c:pt idx="1119">
                  <c:v>45048.875</c:v>
                </c:pt>
                <c:pt idx="1120">
                  <c:v>45048.885416666664</c:v>
                </c:pt>
                <c:pt idx="1121">
                  <c:v>45048.895833333336</c:v>
                </c:pt>
                <c:pt idx="1122">
                  <c:v>45048.90625</c:v>
                </c:pt>
                <c:pt idx="1123">
                  <c:v>45048.916666666664</c:v>
                </c:pt>
                <c:pt idx="1124">
                  <c:v>45048.927083333336</c:v>
                </c:pt>
                <c:pt idx="1125">
                  <c:v>45048.9375</c:v>
                </c:pt>
                <c:pt idx="1126">
                  <c:v>45048.947916666664</c:v>
                </c:pt>
                <c:pt idx="1127">
                  <c:v>45048.958333333336</c:v>
                </c:pt>
                <c:pt idx="1128">
                  <c:v>45048.96875</c:v>
                </c:pt>
                <c:pt idx="1129">
                  <c:v>45048.979166666664</c:v>
                </c:pt>
                <c:pt idx="1130">
                  <c:v>45048.989583333336</c:v>
                </c:pt>
                <c:pt idx="1131">
                  <c:v>45049</c:v>
                </c:pt>
                <c:pt idx="1132">
                  <c:v>45049.010416666664</c:v>
                </c:pt>
                <c:pt idx="1133">
                  <c:v>45049.020833333336</c:v>
                </c:pt>
                <c:pt idx="1134">
                  <c:v>45049.03125</c:v>
                </c:pt>
                <c:pt idx="1135">
                  <c:v>45049.041666666664</c:v>
                </c:pt>
                <c:pt idx="1136">
                  <c:v>45049.052083333336</c:v>
                </c:pt>
                <c:pt idx="1137">
                  <c:v>45049.0625</c:v>
                </c:pt>
                <c:pt idx="1138">
                  <c:v>45049.072916666664</c:v>
                </c:pt>
                <c:pt idx="1139">
                  <c:v>45049.083333333336</c:v>
                </c:pt>
                <c:pt idx="1140">
                  <c:v>45049.09375</c:v>
                </c:pt>
                <c:pt idx="1141">
                  <c:v>45049.104166666664</c:v>
                </c:pt>
                <c:pt idx="1142">
                  <c:v>45049.114583333336</c:v>
                </c:pt>
                <c:pt idx="1143">
                  <c:v>45049.125</c:v>
                </c:pt>
                <c:pt idx="1144">
                  <c:v>45049.135416666664</c:v>
                </c:pt>
                <c:pt idx="1145">
                  <c:v>45049.145833333336</c:v>
                </c:pt>
                <c:pt idx="1146">
                  <c:v>45049.15625</c:v>
                </c:pt>
                <c:pt idx="1147">
                  <c:v>45049.166666666664</c:v>
                </c:pt>
                <c:pt idx="1148">
                  <c:v>45049.177083333336</c:v>
                </c:pt>
                <c:pt idx="1149">
                  <c:v>45049.1875</c:v>
                </c:pt>
                <c:pt idx="1150">
                  <c:v>45049.197916666664</c:v>
                </c:pt>
                <c:pt idx="1151">
                  <c:v>45049.208333333336</c:v>
                </c:pt>
                <c:pt idx="1152">
                  <c:v>45049.21875</c:v>
                </c:pt>
                <c:pt idx="1153">
                  <c:v>45049.229166666664</c:v>
                </c:pt>
                <c:pt idx="1154">
                  <c:v>45049.239583333336</c:v>
                </c:pt>
                <c:pt idx="1155">
                  <c:v>45049.25</c:v>
                </c:pt>
                <c:pt idx="1156">
                  <c:v>45049.260416666664</c:v>
                </c:pt>
                <c:pt idx="1157">
                  <c:v>45049.270833333336</c:v>
                </c:pt>
                <c:pt idx="1158">
                  <c:v>45049.28125</c:v>
                </c:pt>
                <c:pt idx="1159">
                  <c:v>45049.291666666664</c:v>
                </c:pt>
                <c:pt idx="1160">
                  <c:v>45049.302083333336</c:v>
                </c:pt>
                <c:pt idx="1161">
                  <c:v>45049.3125</c:v>
                </c:pt>
                <c:pt idx="1162">
                  <c:v>45049.322916666664</c:v>
                </c:pt>
                <c:pt idx="1163">
                  <c:v>45049.333333333336</c:v>
                </c:pt>
                <c:pt idx="1164">
                  <c:v>45049.34375</c:v>
                </c:pt>
                <c:pt idx="1165">
                  <c:v>45049.354166666664</c:v>
                </c:pt>
                <c:pt idx="1166">
                  <c:v>45049.364583333336</c:v>
                </c:pt>
                <c:pt idx="1167">
                  <c:v>45049.375</c:v>
                </c:pt>
                <c:pt idx="1168">
                  <c:v>45049.385416666664</c:v>
                </c:pt>
                <c:pt idx="1169">
                  <c:v>45049.395833333336</c:v>
                </c:pt>
                <c:pt idx="1170">
                  <c:v>45049.40625</c:v>
                </c:pt>
                <c:pt idx="1171">
                  <c:v>45049.416666666664</c:v>
                </c:pt>
                <c:pt idx="1172">
                  <c:v>45049.427083333336</c:v>
                </c:pt>
                <c:pt idx="1173">
                  <c:v>45049.4375</c:v>
                </c:pt>
                <c:pt idx="1174">
                  <c:v>45049.447916666664</c:v>
                </c:pt>
                <c:pt idx="1175">
                  <c:v>45049.458333333336</c:v>
                </c:pt>
                <c:pt idx="1176">
                  <c:v>45049.46875</c:v>
                </c:pt>
                <c:pt idx="1177">
                  <c:v>45049.479166666664</c:v>
                </c:pt>
                <c:pt idx="1178">
                  <c:v>45049.489583333336</c:v>
                </c:pt>
                <c:pt idx="1179">
                  <c:v>45049.5</c:v>
                </c:pt>
                <c:pt idx="1180">
                  <c:v>45049.510416666664</c:v>
                </c:pt>
                <c:pt idx="1181">
                  <c:v>45049.520833333336</c:v>
                </c:pt>
                <c:pt idx="1182">
                  <c:v>45049.53125</c:v>
                </c:pt>
                <c:pt idx="1183">
                  <c:v>45049.541666666664</c:v>
                </c:pt>
                <c:pt idx="1184">
                  <c:v>45049.552083333336</c:v>
                </c:pt>
                <c:pt idx="1185">
                  <c:v>45049.5625</c:v>
                </c:pt>
                <c:pt idx="1186">
                  <c:v>45049.572916666664</c:v>
                </c:pt>
                <c:pt idx="1187">
                  <c:v>45049.583333333336</c:v>
                </c:pt>
                <c:pt idx="1188">
                  <c:v>45049.59375</c:v>
                </c:pt>
                <c:pt idx="1189">
                  <c:v>45049.604166666664</c:v>
                </c:pt>
                <c:pt idx="1190">
                  <c:v>45049.614583333336</c:v>
                </c:pt>
                <c:pt idx="1191">
                  <c:v>45049.625</c:v>
                </c:pt>
                <c:pt idx="1192">
                  <c:v>45049.635416666664</c:v>
                </c:pt>
                <c:pt idx="1193">
                  <c:v>45049.645833333336</c:v>
                </c:pt>
                <c:pt idx="1194">
                  <c:v>45049.65625</c:v>
                </c:pt>
                <c:pt idx="1195">
                  <c:v>45049.666666666664</c:v>
                </c:pt>
                <c:pt idx="1196">
                  <c:v>45049.677083333336</c:v>
                </c:pt>
                <c:pt idx="1197">
                  <c:v>45049.6875</c:v>
                </c:pt>
                <c:pt idx="1198">
                  <c:v>45049.697916666664</c:v>
                </c:pt>
                <c:pt idx="1199">
                  <c:v>45049.708333333336</c:v>
                </c:pt>
                <c:pt idx="1200">
                  <c:v>45049.71875</c:v>
                </c:pt>
                <c:pt idx="1201">
                  <c:v>45049.729166666664</c:v>
                </c:pt>
                <c:pt idx="1202">
                  <c:v>45049.739583333336</c:v>
                </c:pt>
                <c:pt idx="1203">
                  <c:v>45049.75</c:v>
                </c:pt>
                <c:pt idx="1204">
                  <c:v>45049.760416666664</c:v>
                </c:pt>
                <c:pt idx="1205">
                  <c:v>45049.770833333336</c:v>
                </c:pt>
                <c:pt idx="1206">
                  <c:v>45049.78125</c:v>
                </c:pt>
                <c:pt idx="1207">
                  <c:v>45049.791666666664</c:v>
                </c:pt>
                <c:pt idx="1208">
                  <c:v>45049.802083333336</c:v>
                </c:pt>
                <c:pt idx="1209">
                  <c:v>45049.8125</c:v>
                </c:pt>
                <c:pt idx="1210">
                  <c:v>45049.822916666664</c:v>
                </c:pt>
                <c:pt idx="1211">
                  <c:v>45049.833333333336</c:v>
                </c:pt>
                <c:pt idx="1212">
                  <c:v>45049.84375</c:v>
                </c:pt>
                <c:pt idx="1213">
                  <c:v>45049.854166666664</c:v>
                </c:pt>
                <c:pt idx="1214">
                  <c:v>45049.864583333336</c:v>
                </c:pt>
                <c:pt idx="1215">
                  <c:v>45049.875</c:v>
                </c:pt>
                <c:pt idx="1216">
                  <c:v>45049.885416666664</c:v>
                </c:pt>
                <c:pt idx="1217">
                  <c:v>45049.895833333336</c:v>
                </c:pt>
                <c:pt idx="1218">
                  <c:v>45049.90625</c:v>
                </c:pt>
                <c:pt idx="1219">
                  <c:v>45049.916666666664</c:v>
                </c:pt>
                <c:pt idx="1220">
                  <c:v>45049.927083333336</c:v>
                </c:pt>
                <c:pt idx="1221">
                  <c:v>45049.9375</c:v>
                </c:pt>
                <c:pt idx="1222">
                  <c:v>45049.947916666664</c:v>
                </c:pt>
                <c:pt idx="1223">
                  <c:v>45049.958333333336</c:v>
                </c:pt>
                <c:pt idx="1224">
                  <c:v>45049.96875</c:v>
                </c:pt>
                <c:pt idx="1225">
                  <c:v>45049.979166666664</c:v>
                </c:pt>
                <c:pt idx="1226">
                  <c:v>45049.989583333336</c:v>
                </c:pt>
                <c:pt idx="1227">
                  <c:v>45050</c:v>
                </c:pt>
                <c:pt idx="1228">
                  <c:v>45050.010416666664</c:v>
                </c:pt>
                <c:pt idx="1229">
                  <c:v>45050.020833333336</c:v>
                </c:pt>
                <c:pt idx="1230">
                  <c:v>45050.03125</c:v>
                </c:pt>
                <c:pt idx="1231">
                  <c:v>45050.041666666664</c:v>
                </c:pt>
                <c:pt idx="1232">
                  <c:v>45050.052083333336</c:v>
                </c:pt>
                <c:pt idx="1233">
                  <c:v>45050.0625</c:v>
                </c:pt>
                <c:pt idx="1234">
                  <c:v>45050.072916666664</c:v>
                </c:pt>
                <c:pt idx="1235">
                  <c:v>45050.083333333336</c:v>
                </c:pt>
                <c:pt idx="1236">
                  <c:v>45050.09375</c:v>
                </c:pt>
                <c:pt idx="1237">
                  <c:v>45050.104166666664</c:v>
                </c:pt>
                <c:pt idx="1238">
                  <c:v>45050.114583333336</c:v>
                </c:pt>
                <c:pt idx="1239">
                  <c:v>45050.125</c:v>
                </c:pt>
                <c:pt idx="1240">
                  <c:v>45050.135416666664</c:v>
                </c:pt>
                <c:pt idx="1241">
                  <c:v>45050.145833333336</c:v>
                </c:pt>
                <c:pt idx="1242">
                  <c:v>45050.15625</c:v>
                </c:pt>
                <c:pt idx="1243">
                  <c:v>45050.166666666664</c:v>
                </c:pt>
                <c:pt idx="1244">
                  <c:v>45050.177083333336</c:v>
                </c:pt>
                <c:pt idx="1245">
                  <c:v>45050.1875</c:v>
                </c:pt>
                <c:pt idx="1246">
                  <c:v>45050.197916666664</c:v>
                </c:pt>
                <c:pt idx="1247">
                  <c:v>45050.208333333336</c:v>
                </c:pt>
                <c:pt idx="1248">
                  <c:v>45050.21875</c:v>
                </c:pt>
                <c:pt idx="1249">
                  <c:v>45050.229166666664</c:v>
                </c:pt>
                <c:pt idx="1250">
                  <c:v>45050.239583333336</c:v>
                </c:pt>
                <c:pt idx="1251">
                  <c:v>45050.25</c:v>
                </c:pt>
                <c:pt idx="1252">
                  <c:v>45050.260416666664</c:v>
                </c:pt>
                <c:pt idx="1253">
                  <c:v>45050.270833333336</c:v>
                </c:pt>
                <c:pt idx="1254">
                  <c:v>45050.28125</c:v>
                </c:pt>
                <c:pt idx="1255">
                  <c:v>45050.291666666664</c:v>
                </c:pt>
                <c:pt idx="1256">
                  <c:v>45050.302083333336</c:v>
                </c:pt>
                <c:pt idx="1257">
                  <c:v>45050.3125</c:v>
                </c:pt>
                <c:pt idx="1258">
                  <c:v>45050.322916666664</c:v>
                </c:pt>
                <c:pt idx="1259">
                  <c:v>45050.333333333336</c:v>
                </c:pt>
                <c:pt idx="1260">
                  <c:v>45050.34375</c:v>
                </c:pt>
                <c:pt idx="1261">
                  <c:v>45050.354166666664</c:v>
                </c:pt>
                <c:pt idx="1262">
                  <c:v>45050.364583333336</c:v>
                </c:pt>
                <c:pt idx="1263">
                  <c:v>45050.375</c:v>
                </c:pt>
                <c:pt idx="1264">
                  <c:v>45050.385416666664</c:v>
                </c:pt>
                <c:pt idx="1265">
                  <c:v>45050.395833333336</c:v>
                </c:pt>
                <c:pt idx="1266">
                  <c:v>45050.40625</c:v>
                </c:pt>
                <c:pt idx="1267">
                  <c:v>45050.416666666664</c:v>
                </c:pt>
                <c:pt idx="1268">
                  <c:v>45050.427083333336</c:v>
                </c:pt>
                <c:pt idx="1269">
                  <c:v>45050.4375</c:v>
                </c:pt>
                <c:pt idx="1270">
                  <c:v>45050.447916666664</c:v>
                </c:pt>
                <c:pt idx="1271">
                  <c:v>45050.458333333336</c:v>
                </c:pt>
                <c:pt idx="1272">
                  <c:v>45050.46875</c:v>
                </c:pt>
                <c:pt idx="1273">
                  <c:v>45050.479166666664</c:v>
                </c:pt>
                <c:pt idx="1274">
                  <c:v>45050.489583333336</c:v>
                </c:pt>
                <c:pt idx="1275">
                  <c:v>45050.5</c:v>
                </c:pt>
                <c:pt idx="1276">
                  <c:v>45050.510416666664</c:v>
                </c:pt>
                <c:pt idx="1277">
                  <c:v>45050.520833333336</c:v>
                </c:pt>
                <c:pt idx="1278">
                  <c:v>45050.53125</c:v>
                </c:pt>
                <c:pt idx="1279">
                  <c:v>45050.541666666664</c:v>
                </c:pt>
                <c:pt idx="1280">
                  <c:v>45050.552083333336</c:v>
                </c:pt>
                <c:pt idx="1281">
                  <c:v>45050.5625</c:v>
                </c:pt>
                <c:pt idx="1282">
                  <c:v>45050.572916666664</c:v>
                </c:pt>
                <c:pt idx="1283">
                  <c:v>45050.583333333336</c:v>
                </c:pt>
                <c:pt idx="1284">
                  <c:v>45050.59375</c:v>
                </c:pt>
                <c:pt idx="1285">
                  <c:v>45050.604166666664</c:v>
                </c:pt>
                <c:pt idx="1286">
                  <c:v>45050.614583333336</c:v>
                </c:pt>
                <c:pt idx="1287">
                  <c:v>45050.625</c:v>
                </c:pt>
                <c:pt idx="1288">
                  <c:v>45050.635416666664</c:v>
                </c:pt>
                <c:pt idx="1289">
                  <c:v>45050.645833333336</c:v>
                </c:pt>
                <c:pt idx="1290">
                  <c:v>45050.65625</c:v>
                </c:pt>
                <c:pt idx="1291">
                  <c:v>45050.666666666664</c:v>
                </c:pt>
                <c:pt idx="1292">
                  <c:v>45050.677083333336</c:v>
                </c:pt>
                <c:pt idx="1293">
                  <c:v>45050.6875</c:v>
                </c:pt>
                <c:pt idx="1294">
                  <c:v>45050.697916666664</c:v>
                </c:pt>
                <c:pt idx="1295">
                  <c:v>45050.708333333336</c:v>
                </c:pt>
                <c:pt idx="1296">
                  <c:v>45050.71875</c:v>
                </c:pt>
                <c:pt idx="1297">
                  <c:v>45050.729166666664</c:v>
                </c:pt>
                <c:pt idx="1298">
                  <c:v>45050.739583333336</c:v>
                </c:pt>
                <c:pt idx="1299">
                  <c:v>45050.75</c:v>
                </c:pt>
                <c:pt idx="1300">
                  <c:v>45050.760416666664</c:v>
                </c:pt>
                <c:pt idx="1301">
                  <c:v>45050.770833333336</c:v>
                </c:pt>
                <c:pt idx="1302">
                  <c:v>45050.78125</c:v>
                </c:pt>
                <c:pt idx="1303">
                  <c:v>45050.791666666664</c:v>
                </c:pt>
                <c:pt idx="1304">
                  <c:v>45050.802083333336</c:v>
                </c:pt>
                <c:pt idx="1305">
                  <c:v>45050.8125</c:v>
                </c:pt>
                <c:pt idx="1306">
                  <c:v>45050.822916666664</c:v>
                </c:pt>
                <c:pt idx="1307">
                  <c:v>45050.833333333336</c:v>
                </c:pt>
                <c:pt idx="1308">
                  <c:v>45050.84375</c:v>
                </c:pt>
                <c:pt idx="1309">
                  <c:v>45050.854166666664</c:v>
                </c:pt>
                <c:pt idx="1310">
                  <c:v>45050.864583333336</c:v>
                </c:pt>
                <c:pt idx="1311">
                  <c:v>45050.875</c:v>
                </c:pt>
                <c:pt idx="1312">
                  <c:v>45050.885416666664</c:v>
                </c:pt>
                <c:pt idx="1313">
                  <c:v>45050.895833333336</c:v>
                </c:pt>
                <c:pt idx="1314">
                  <c:v>45050.90625</c:v>
                </c:pt>
                <c:pt idx="1315">
                  <c:v>45050.916666666664</c:v>
                </c:pt>
                <c:pt idx="1316">
                  <c:v>45050.927083333336</c:v>
                </c:pt>
                <c:pt idx="1317">
                  <c:v>45050.9375</c:v>
                </c:pt>
                <c:pt idx="1318">
                  <c:v>45050.947916666664</c:v>
                </c:pt>
                <c:pt idx="1319">
                  <c:v>45050.958333333336</c:v>
                </c:pt>
                <c:pt idx="1320">
                  <c:v>45050.96875</c:v>
                </c:pt>
                <c:pt idx="1321">
                  <c:v>45050.979166666664</c:v>
                </c:pt>
                <c:pt idx="1322">
                  <c:v>45050.989583333336</c:v>
                </c:pt>
                <c:pt idx="1323">
                  <c:v>45051</c:v>
                </c:pt>
                <c:pt idx="1324">
                  <c:v>45051.010416666664</c:v>
                </c:pt>
                <c:pt idx="1325">
                  <c:v>45051.020833333336</c:v>
                </c:pt>
                <c:pt idx="1326">
                  <c:v>45051.03125</c:v>
                </c:pt>
                <c:pt idx="1327">
                  <c:v>45051.041666666664</c:v>
                </c:pt>
                <c:pt idx="1328">
                  <c:v>45051.052083333336</c:v>
                </c:pt>
                <c:pt idx="1329">
                  <c:v>45051.0625</c:v>
                </c:pt>
                <c:pt idx="1330">
                  <c:v>45051.072916666664</c:v>
                </c:pt>
                <c:pt idx="1331">
                  <c:v>45051.083333333336</c:v>
                </c:pt>
                <c:pt idx="1332">
                  <c:v>45051.09375</c:v>
                </c:pt>
                <c:pt idx="1333">
                  <c:v>45051.104166666664</c:v>
                </c:pt>
                <c:pt idx="1334">
                  <c:v>45051.114583333336</c:v>
                </c:pt>
                <c:pt idx="1335">
                  <c:v>45051.125</c:v>
                </c:pt>
                <c:pt idx="1336">
                  <c:v>45051.135416666664</c:v>
                </c:pt>
                <c:pt idx="1337">
                  <c:v>45051.145833333336</c:v>
                </c:pt>
                <c:pt idx="1338">
                  <c:v>45051.15625</c:v>
                </c:pt>
                <c:pt idx="1339">
                  <c:v>45051.166666666664</c:v>
                </c:pt>
                <c:pt idx="1340">
                  <c:v>45051.177083333336</c:v>
                </c:pt>
                <c:pt idx="1341">
                  <c:v>45051.1875</c:v>
                </c:pt>
                <c:pt idx="1342">
                  <c:v>45051.197916666664</c:v>
                </c:pt>
                <c:pt idx="1343">
                  <c:v>45051.208333333336</c:v>
                </c:pt>
                <c:pt idx="1344">
                  <c:v>45051.21875</c:v>
                </c:pt>
                <c:pt idx="1345">
                  <c:v>45051.229166666664</c:v>
                </c:pt>
                <c:pt idx="1346">
                  <c:v>45051.239583333336</c:v>
                </c:pt>
                <c:pt idx="1347">
                  <c:v>45051.25</c:v>
                </c:pt>
                <c:pt idx="1348">
                  <c:v>45051.260416666664</c:v>
                </c:pt>
                <c:pt idx="1349">
                  <c:v>45051.270833333336</c:v>
                </c:pt>
                <c:pt idx="1350">
                  <c:v>45051.28125</c:v>
                </c:pt>
                <c:pt idx="1351">
                  <c:v>45051.291666666664</c:v>
                </c:pt>
                <c:pt idx="1352">
                  <c:v>45051.302083333336</c:v>
                </c:pt>
                <c:pt idx="1353">
                  <c:v>45051.3125</c:v>
                </c:pt>
                <c:pt idx="1354">
                  <c:v>45051.322916666664</c:v>
                </c:pt>
                <c:pt idx="1355">
                  <c:v>45051.333333333336</c:v>
                </c:pt>
                <c:pt idx="1356">
                  <c:v>45051.34375</c:v>
                </c:pt>
                <c:pt idx="1357">
                  <c:v>45051.354166666664</c:v>
                </c:pt>
                <c:pt idx="1358">
                  <c:v>45051.364583333336</c:v>
                </c:pt>
                <c:pt idx="1359">
                  <c:v>45051.375</c:v>
                </c:pt>
                <c:pt idx="1360">
                  <c:v>45051.385416666664</c:v>
                </c:pt>
                <c:pt idx="1361">
                  <c:v>45051.395833333336</c:v>
                </c:pt>
                <c:pt idx="1362">
                  <c:v>45051.40625</c:v>
                </c:pt>
                <c:pt idx="1363">
                  <c:v>45051.416666666664</c:v>
                </c:pt>
                <c:pt idx="1364">
                  <c:v>45051.427083333336</c:v>
                </c:pt>
                <c:pt idx="1365">
                  <c:v>45051.4375</c:v>
                </c:pt>
                <c:pt idx="1366">
                  <c:v>45051.447916666664</c:v>
                </c:pt>
                <c:pt idx="1367">
                  <c:v>45051.458333333336</c:v>
                </c:pt>
                <c:pt idx="1368">
                  <c:v>45051.46875</c:v>
                </c:pt>
                <c:pt idx="1369">
                  <c:v>45051.479166666664</c:v>
                </c:pt>
                <c:pt idx="1370">
                  <c:v>45051.489583333336</c:v>
                </c:pt>
                <c:pt idx="1371">
                  <c:v>45051.5</c:v>
                </c:pt>
                <c:pt idx="1372">
                  <c:v>45051.510416666664</c:v>
                </c:pt>
                <c:pt idx="1373">
                  <c:v>45051.520833333336</c:v>
                </c:pt>
                <c:pt idx="1374">
                  <c:v>45051.53125</c:v>
                </c:pt>
                <c:pt idx="1375">
                  <c:v>45051.541666666664</c:v>
                </c:pt>
                <c:pt idx="1376">
                  <c:v>45051.552083333336</c:v>
                </c:pt>
                <c:pt idx="1377">
                  <c:v>45051.5625</c:v>
                </c:pt>
                <c:pt idx="1378">
                  <c:v>45051.572916666664</c:v>
                </c:pt>
                <c:pt idx="1379">
                  <c:v>45051.583333333336</c:v>
                </c:pt>
                <c:pt idx="1380">
                  <c:v>45051.59375</c:v>
                </c:pt>
                <c:pt idx="1381">
                  <c:v>45051.604166666664</c:v>
                </c:pt>
                <c:pt idx="1382">
                  <c:v>45051.614583333336</c:v>
                </c:pt>
                <c:pt idx="1383">
                  <c:v>45051.625</c:v>
                </c:pt>
                <c:pt idx="1384">
                  <c:v>45051.635416666664</c:v>
                </c:pt>
                <c:pt idx="1385">
                  <c:v>45051.645833333336</c:v>
                </c:pt>
                <c:pt idx="1386">
                  <c:v>45051.65625</c:v>
                </c:pt>
                <c:pt idx="1387">
                  <c:v>45051.666666666664</c:v>
                </c:pt>
                <c:pt idx="1388">
                  <c:v>45051.677083333336</c:v>
                </c:pt>
                <c:pt idx="1389">
                  <c:v>45051.6875</c:v>
                </c:pt>
                <c:pt idx="1390">
                  <c:v>45051.697916666664</c:v>
                </c:pt>
                <c:pt idx="1391">
                  <c:v>45051.708333333336</c:v>
                </c:pt>
                <c:pt idx="1392">
                  <c:v>45051.71875</c:v>
                </c:pt>
                <c:pt idx="1393">
                  <c:v>45051.729166666664</c:v>
                </c:pt>
              </c:numCache>
            </c:numRef>
          </c:xVal>
          <c:yVal>
            <c:numRef>
              <c:f>'storms - seasonal amp funct'!$AY$3:$AY$1396</c:f>
              <c:numCache>
                <c:formatCode>0.000</c:formatCode>
                <c:ptCount val="1394"/>
                <c:pt idx="0">
                  <c:v>77.427442880000001</c:v>
                </c:pt>
                <c:pt idx="1">
                  <c:v>77.427442880000001</c:v>
                </c:pt>
                <c:pt idx="2">
                  <c:v>76.544179459999995</c:v>
                </c:pt>
                <c:pt idx="3">
                  <c:v>81.397704649999994</c:v>
                </c:pt>
                <c:pt idx="4">
                  <c:v>78.755362430000005</c:v>
                </c:pt>
                <c:pt idx="5">
                  <c:v>78.755362430000005</c:v>
                </c:pt>
                <c:pt idx="6">
                  <c:v>78.755362430000005</c:v>
                </c:pt>
                <c:pt idx="7">
                  <c:v>77.875916610000004</c:v>
                </c:pt>
                <c:pt idx="8">
                  <c:v>75.652056590000001</c:v>
                </c:pt>
                <c:pt idx="9">
                  <c:v>71.622551369999996</c:v>
                </c:pt>
                <c:pt idx="10">
                  <c:v>76.544179459999995</c:v>
                </c:pt>
                <c:pt idx="11">
                  <c:v>76.544179459999995</c:v>
                </c:pt>
                <c:pt idx="12">
                  <c:v>76.094169239999999</c:v>
                </c:pt>
                <c:pt idx="13">
                  <c:v>72.077340390000003</c:v>
                </c:pt>
                <c:pt idx="14">
                  <c:v>73.868067069999995</c:v>
                </c:pt>
                <c:pt idx="15">
                  <c:v>73.868067069999995</c:v>
                </c:pt>
                <c:pt idx="16">
                  <c:v>77.435049230000004</c:v>
                </c:pt>
                <c:pt idx="17">
                  <c:v>73.868067069999995</c:v>
                </c:pt>
                <c:pt idx="18">
                  <c:v>73.868067069999995</c:v>
                </c:pt>
                <c:pt idx="19">
                  <c:v>72.523974480000007</c:v>
                </c:pt>
                <c:pt idx="20">
                  <c:v>66.655723199999997</c:v>
                </c:pt>
                <c:pt idx="21">
                  <c:v>71.622551369999996</c:v>
                </c:pt>
                <c:pt idx="22">
                  <c:v>76.101800600000004</c:v>
                </c:pt>
                <c:pt idx="23">
                  <c:v>70.720093730000002</c:v>
                </c:pt>
                <c:pt idx="24">
                  <c:v>70.720093730000002</c:v>
                </c:pt>
                <c:pt idx="25">
                  <c:v>68.466857000000005</c:v>
                </c:pt>
                <c:pt idx="26">
                  <c:v>70.271667750000006</c:v>
                </c:pt>
                <c:pt idx="27">
                  <c:v>70.727821939999998</c:v>
                </c:pt>
                <c:pt idx="28">
                  <c:v>68.008627450000006</c:v>
                </c:pt>
                <c:pt idx="29">
                  <c:v>68.008627450000006</c:v>
                </c:pt>
                <c:pt idx="30">
                  <c:v>71.622551369999996</c:v>
                </c:pt>
                <c:pt idx="31">
                  <c:v>66.647934039999996</c:v>
                </c:pt>
                <c:pt idx="32">
                  <c:v>68.008627450000006</c:v>
                </c:pt>
                <c:pt idx="33">
                  <c:v>67.106545600000004</c:v>
                </c:pt>
                <c:pt idx="34">
                  <c:v>65.743635260000005</c:v>
                </c:pt>
                <c:pt idx="35">
                  <c:v>63.462041390000003</c:v>
                </c:pt>
                <c:pt idx="36">
                  <c:v>67.106545600000004</c:v>
                </c:pt>
                <c:pt idx="37">
                  <c:v>69.822823</c:v>
                </c:pt>
                <c:pt idx="38">
                  <c:v>67.106545600000004</c:v>
                </c:pt>
                <c:pt idx="39">
                  <c:v>70.727821939999998</c:v>
                </c:pt>
                <c:pt idx="40">
                  <c:v>64.83012798</c:v>
                </c:pt>
                <c:pt idx="41">
                  <c:v>67.106545600000004</c:v>
                </c:pt>
                <c:pt idx="42">
                  <c:v>70.727821939999998</c:v>
                </c:pt>
                <c:pt idx="43">
                  <c:v>74.764849499999997</c:v>
                </c:pt>
                <c:pt idx="44">
                  <c:v>74.312865549999998</c:v>
                </c:pt>
                <c:pt idx="45">
                  <c:v>72.970159429999995</c:v>
                </c:pt>
                <c:pt idx="46">
                  <c:v>72.077340390000003</c:v>
                </c:pt>
                <c:pt idx="47">
                  <c:v>74.320531029999998</c:v>
                </c:pt>
                <c:pt idx="48">
                  <c:v>73.423571839999994</c:v>
                </c:pt>
                <c:pt idx="49">
                  <c:v>76.993676070000006</c:v>
                </c:pt>
                <c:pt idx="50">
                  <c:v>72.069636250000002</c:v>
                </c:pt>
                <c:pt idx="51">
                  <c:v>73.415890989999994</c:v>
                </c:pt>
                <c:pt idx="52">
                  <c:v>70.720093730000002</c:v>
                </c:pt>
                <c:pt idx="53">
                  <c:v>73.415890989999994</c:v>
                </c:pt>
                <c:pt idx="54">
                  <c:v>71.17580074</c:v>
                </c:pt>
                <c:pt idx="55">
                  <c:v>74.757192930000002</c:v>
                </c:pt>
                <c:pt idx="56">
                  <c:v>75.652056590000001</c:v>
                </c:pt>
                <c:pt idx="57">
                  <c:v>72.069636250000002</c:v>
                </c:pt>
                <c:pt idx="58">
                  <c:v>70.727821939999998</c:v>
                </c:pt>
                <c:pt idx="59">
                  <c:v>75.652056590000001</c:v>
                </c:pt>
                <c:pt idx="60">
                  <c:v>74.312865549999998</c:v>
                </c:pt>
                <c:pt idx="61">
                  <c:v>72.077340390000003</c:v>
                </c:pt>
                <c:pt idx="62">
                  <c:v>69.822823</c:v>
                </c:pt>
                <c:pt idx="63">
                  <c:v>73.415890989999994</c:v>
                </c:pt>
                <c:pt idx="64">
                  <c:v>71.17580074</c:v>
                </c:pt>
                <c:pt idx="65">
                  <c:v>76.544179459999995</c:v>
                </c:pt>
                <c:pt idx="66">
                  <c:v>67.565551839999998</c:v>
                </c:pt>
                <c:pt idx="67">
                  <c:v>68.466857000000005</c:v>
                </c:pt>
                <c:pt idx="68">
                  <c:v>71.17580074</c:v>
                </c:pt>
                <c:pt idx="69">
                  <c:v>77.875916610000004</c:v>
                </c:pt>
                <c:pt idx="70">
                  <c:v>70.727821939999998</c:v>
                </c:pt>
                <c:pt idx="71">
                  <c:v>68.016396760000006</c:v>
                </c:pt>
                <c:pt idx="72">
                  <c:v>68.466857000000005</c:v>
                </c:pt>
                <c:pt idx="73">
                  <c:v>72.077340390000003</c:v>
                </c:pt>
                <c:pt idx="74">
                  <c:v>75.208694050000005</c:v>
                </c:pt>
                <c:pt idx="75">
                  <c:v>72.970159429999995</c:v>
                </c:pt>
                <c:pt idx="76">
                  <c:v>74.312865549999998</c:v>
                </c:pt>
                <c:pt idx="77">
                  <c:v>67.565551839999998</c:v>
                </c:pt>
                <c:pt idx="78">
                  <c:v>68.466857000000005</c:v>
                </c:pt>
                <c:pt idx="79">
                  <c:v>72.069636250000002</c:v>
                </c:pt>
                <c:pt idx="80">
                  <c:v>71.17580074</c:v>
                </c:pt>
                <c:pt idx="81">
                  <c:v>67.557775419999999</c:v>
                </c:pt>
                <c:pt idx="82">
                  <c:v>66.195962919999999</c:v>
                </c:pt>
                <c:pt idx="83">
                  <c:v>66.195962919999999</c:v>
                </c:pt>
                <c:pt idx="84">
                  <c:v>74.312865549999998</c:v>
                </c:pt>
                <c:pt idx="85">
                  <c:v>68.466857000000005</c:v>
                </c:pt>
                <c:pt idx="86">
                  <c:v>69.822823</c:v>
                </c:pt>
                <c:pt idx="87">
                  <c:v>72.077340390000003</c:v>
                </c:pt>
                <c:pt idx="88">
                  <c:v>72.523974480000007</c:v>
                </c:pt>
                <c:pt idx="89">
                  <c:v>66.203758769999993</c:v>
                </c:pt>
                <c:pt idx="90">
                  <c:v>71.17580074</c:v>
                </c:pt>
                <c:pt idx="91">
                  <c:v>70.720093730000002</c:v>
                </c:pt>
                <c:pt idx="92">
                  <c:v>74.312865549999998</c:v>
                </c:pt>
                <c:pt idx="93">
                  <c:v>66.195962919999999</c:v>
                </c:pt>
                <c:pt idx="94">
                  <c:v>72.069636250000002</c:v>
                </c:pt>
                <c:pt idx="95">
                  <c:v>74.312865549999998</c:v>
                </c:pt>
                <c:pt idx="96">
                  <c:v>73.415890989999994</c:v>
                </c:pt>
                <c:pt idx="97">
                  <c:v>73.415890989999994</c:v>
                </c:pt>
                <c:pt idx="98">
                  <c:v>65.290959470000004</c:v>
                </c:pt>
                <c:pt idx="99">
                  <c:v>72.069636250000002</c:v>
                </c:pt>
                <c:pt idx="100">
                  <c:v>75.652056590000001</c:v>
                </c:pt>
                <c:pt idx="101">
                  <c:v>71.17580074</c:v>
                </c:pt>
                <c:pt idx="102">
                  <c:v>67.565551839999998</c:v>
                </c:pt>
                <c:pt idx="103">
                  <c:v>69.822823</c:v>
                </c:pt>
                <c:pt idx="104">
                  <c:v>70.720093730000002</c:v>
                </c:pt>
                <c:pt idx="105">
                  <c:v>68.466857000000005</c:v>
                </c:pt>
                <c:pt idx="106">
                  <c:v>67.557775419999999</c:v>
                </c:pt>
                <c:pt idx="107">
                  <c:v>68.466857000000005</c:v>
                </c:pt>
                <c:pt idx="108">
                  <c:v>71.17580074</c:v>
                </c:pt>
                <c:pt idx="109">
                  <c:v>65.290959470000004</c:v>
                </c:pt>
                <c:pt idx="110">
                  <c:v>68.924680609999996</c:v>
                </c:pt>
                <c:pt idx="111">
                  <c:v>68.466857000000005</c:v>
                </c:pt>
                <c:pt idx="112">
                  <c:v>72.069636250000002</c:v>
                </c:pt>
                <c:pt idx="113">
                  <c:v>69.822823</c:v>
                </c:pt>
                <c:pt idx="114">
                  <c:v>64.837941950000001</c:v>
                </c:pt>
                <c:pt idx="115">
                  <c:v>69.822823</c:v>
                </c:pt>
                <c:pt idx="116">
                  <c:v>68.466857000000005</c:v>
                </c:pt>
                <c:pt idx="117">
                  <c:v>68.924680609999996</c:v>
                </c:pt>
                <c:pt idx="118">
                  <c:v>63.92387093</c:v>
                </c:pt>
                <c:pt idx="119">
                  <c:v>65.290959470000004</c:v>
                </c:pt>
                <c:pt idx="120">
                  <c:v>66.203758769999993</c:v>
                </c:pt>
                <c:pt idx="121">
                  <c:v>66.203758769999993</c:v>
                </c:pt>
                <c:pt idx="122">
                  <c:v>66.655723199999997</c:v>
                </c:pt>
                <c:pt idx="123">
                  <c:v>74.764849499999997</c:v>
                </c:pt>
                <c:pt idx="124">
                  <c:v>71.17580074</c:v>
                </c:pt>
                <c:pt idx="125">
                  <c:v>66.203758769999993</c:v>
                </c:pt>
                <c:pt idx="126">
                  <c:v>63.92387093</c:v>
                </c:pt>
                <c:pt idx="127">
                  <c:v>66.655723199999997</c:v>
                </c:pt>
                <c:pt idx="128">
                  <c:v>64.377553680000005</c:v>
                </c:pt>
                <c:pt idx="129">
                  <c:v>67.557775419999999</c:v>
                </c:pt>
                <c:pt idx="130">
                  <c:v>65.283151739999994</c:v>
                </c:pt>
                <c:pt idx="131">
                  <c:v>72.523974480000007</c:v>
                </c:pt>
                <c:pt idx="132">
                  <c:v>67.557775419999999</c:v>
                </c:pt>
                <c:pt idx="133">
                  <c:v>68.916923760000003</c:v>
                </c:pt>
                <c:pt idx="134">
                  <c:v>65.290959470000004</c:v>
                </c:pt>
                <c:pt idx="135">
                  <c:v>64.377553680000005</c:v>
                </c:pt>
                <c:pt idx="136">
                  <c:v>71.622551369999996</c:v>
                </c:pt>
                <c:pt idx="137">
                  <c:v>68.916923760000003</c:v>
                </c:pt>
                <c:pt idx="138">
                  <c:v>68.016396760000006</c:v>
                </c:pt>
                <c:pt idx="139">
                  <c:v>69.822823</c:v>
                </c:pt>
                <c:pt idx="140">
                  <c:v>70.271667750000006</c:v>
                </c:pt>
                <c:pt idx="141">
                  <c:v>65.290959470000004</c:v>
                </c:pt>
                <c:pt idx="142">
                  <c:v>66.655723199999997</c:v>
                </c:pt>
                <c:pt idx="143">
                  <c:v>68.008627450000006</c:v>
                </c:pt>
                <c:pt idx="144">
                  <c:v>71.17580074</c:v>
                </c:pt>
                <c:pt idx="145">
                  <c:v>64.377553680000005</c:v>
                </c:pt>
                <c:pt idx="146">
                  <c:v>65.283151739999994</c:v>
                </c:pt>
                <c:pt idx="147">
                  <c:v>63.015482910000003</c:v>
                </c:pt>
                <c:pt idx="148">
                  <c:v>71.17580074</c:v>
                </c:pt>
                <c:pt idx="149">
                  <c:v>70.279402750000003</c:v>
                </c:pt>
                <c:pt idx="150">
                  <c:v>66.647934039999996</c:v>
                </c:pt>
                <c:pt idx="151">
                  <c:v>73.415890989999994</c:v>
                </c:pt>
                <c:pt idx="152">
                  <c:v>71.630262669999993</c:v>
                </c:pt>
                <c:pt idx="153">
                  <c:v>68.016396760000006</c:v>
                </c:pt>
                <c:pt idx="154">
                  <c:v>70.279402750000003</c:v>
                </c:pt>
                <c:pt idx="155">
                  <c:v>69.373566690000004</c:v>
                </c:pt>
                <c:pt idx="156">
                  <c:v>74.757192930000002</c:v>
                </c:pt>
                <c:pt idx="157">
                  <c:v>72.069636250000002</c:v>
                </c:pt>
                <c:pt idx="158">
                  <c:v>74.757192930000002</c:v>
                </c:pt>
                <c:pt idx="159">
                  <c:v>71.17580074</c:v>
                </c:pt>
                <c:pt idx="160">
                  <c:v>68.924680609999996</c:v>
                </c:pt>
                <c:pt idx="161">
                  <c:v>68.924680609999996</c:v>
                </c:pt>
                <c:pt idx="162">
                  <c:v>67.565551839999998</c:v>
                </c:pt>
                <c:pt idx="163">
                  <c:v>68.466857000000005</c:v>
                </c:pt>
                <c:pt idx="164">
                  <c:v>71.17580074</c:v>
                </c:pt>
                <c:pt idx="165">
                  <c:v>72.077340390000003</c:v>
                </c:pt>
                <c:pt idx="166">
                  <c:v>73.415890989999994</c:v>
                </c:pt>
                <c:pt idx="167">
                  <c:v>71.17580074</c:v>
                </c:pt>
                <c:pt idx="168">
                  <c:v>72.523974480000007</c:v>
                </c:pt>
                <c:pt idx="169">
                  <c:v>69.822823</c:v>
                </c:pt>
                <c:pt idx="170">
                  <c:v>69.822823</c:v>
                </c:pt>
                <c:pt idx="171">
                  <c:v>74.764849499999997</c:v>
                </c:pt>
                <c:pt idx="172">
                  <c:v>73.423571839999994</c:v>
                </c:pt>
                <c:pt idx="173">
                  <c:v>70.727821939999998</c:v>
                </c:pt>
                <c:pt idx="174">
                  <c:v>71.17580074</c:v>
                </c:pt>
                <c:pt idx="175">
                  <c:v>72.523974480000007</c:v>
                </c:pt>
                <c:pt idx="176">
                  <c:v>69.822823</c:v>
                </c:pt>
                <c:pt idx="177">
                  <c:v>67.557775419999999</c:v>
                </c:pt>
                <c:pt idx="178">
                  <c:v>72.069636250000002</c:v>
                </c:pt>
                <c:pt idx="179">
                  <c:v>71.17580074</c:v>
                </c:pt>
                <c:pt idx="180">
                  <c:v>68.916923760000003</c:v>
                </c:pt>
                <c:pt idx="181">
                  <c:v>72.523974480000007</c:v>
                </c:pt>
                <c:pt idx="182">
                  <c:v>75.652056590000001</c:v>
                </c:pt>
                <c:pt idx="183">
                  <c:v>69.822823</c:v>
                </c:pt>
                <c:pt idx="184">
                  <c:v>71.17580074</c:v>
                </c:pt>
                <c:pt idx="185">
                  <c:v>71.17580074</c:v>
                </c:pt>
                <c:pt idx="186">
                  <c:v>72.077340390000003</c:v>
                </c:pt>
                <c:pt idx="187">
                  <c:v>68.466857000000005</c:v>
                </c:pt>
                <c:pt idx="188">
                  <c:v>72.077340390000003</c:v>
                </c:pt>
                <c:pt idx="189">
                  <c:v>71.17580074</c:v>
                </c:pt>
                <c:pt idx="190">
                  <c:v>73.423571839999994</c:v>
                </c:pt>
                <c:pt idx="191">
                  <c:v>72.523974480000007</c:v>
                </c:pt>
                <c:pt idx="192">
                  <c:v>66.203758769999993</c:v>
                </c:pt>
                <c:pt idx="193">
                  <c:v>68.924680609999996</c:v>
                </c:pt>
                <c:pt idx="194">
                  <c:v>68.924680609999996</c:v>
                </c:pt>
                <c:pt idx="195">
                  <c:v>65.290959470000004</c:v>
                </c:pt>
                <c:pt idx="196">
                  <c:v>69.822823</c:v>
                </c:pt>
                <c:pt idx="197">
                  <c:v>69.822823</c:v>
                </c:pt>
                <c:pt idx="198">
                  <c:v>67.557775419999999</c:v>
                </c:pt>
                <c:pt idx="199">
                  <c:v>71.17580074</c:v>
                </c:pt>
                <c:pt idx="200">
                  <c:v>71.17580074</c:v>
                </c:pt>
                <c:pt idx="201">
                  <c:v>71.17580074</c:v>
                </c:pt>
                <c:pt idx="202">
                  <c:v>74.764849499999997</c:v>
                </c:pt>
                <c:pt idx="203">
                  <c:v>73.423571839999994</c:v>
                </c:pt>
                <c:pt idx="204">
                  <c:v>70.727821939999998</c:v>
                </c:pt>
                <c:pt idx="205">
                  <c:v>73.423571839999994</c:v>
                </c:pt>
                <c:pt idx="206">
                  <c:v>67.557775419999999</c:v>
                </c:pt>
                <c:pt idx="207">
                  <c:v>68.466857000000005</c:v>
                </c:pt>
                <c:pt idx="208">
                  <c:v>69.822823</c:v>
                </c:pt>
                <c:pt idx="209">
                  <c:v>70.720093730000002</c:v>
                </c:pt>
                <c:pt idx="210">
                  <c:v>65.283151739999994</c:v>
                </c:pt>
                <c:pt idx="211">
                  <c:v>65.283151739999994</c:v>
                </c:pt>
                <c:pt idx="212">
                  <c:v>67.557775419999999</c:v>
                </c:pt>
                <c:pt idx="213">
                  <c:v>67.557775419999999</c:v>
                </c:pt>
                <c:pt idx="214">
                  <c:v>69.822823</c:v>
                </c:pt>
                <c:pt idx="215">
                  <c:v>63.92387093</c:v>
                </c:pt>
                <c:pt idx="216">
                  <c:v>63.92387093</c:v>
                </c:pt>
                <c:pt idx="217">
                  <c:v>63.92387093</c:v>
                </c:pt>
                <c:pt idx="218">
                  <c:v>59.685691249999998</c:v>
                </c:pt>
                <c:pt idx="219">
                  <c:v>63.92387093</c:v>
                </c:pt>
                <c:pt idx="220">
                  <c:v>63.015482910000003</c:v>
                </c:pt>
                <c:pt idx="221">
                  <c:v>61.92162476</c:v>
                </c:pt>
                <c:pt idx="222">
                  <c:v>63.92387093</c:v>
                </c:pt>
                <c:pt idx="223">
                  <c:v>62.292408569999999</c:v>
                </c:pt>
                <c:pt idx="224">
                  <c:v>61.180993239999999</c:v>
                </c:pt>
                <c:pt idx="225">
                  <c:v>66.195962919999999</c:v>
                </c:pt>
                <c:pt idx="226">
                  <c:v>63.015482910000003</c:v>
                </c:pt>
                <c:pt idx="227">
                  <c:v>66.647934039999996</c:v>
                </c:pt>
                <c:pt idx="228">
                  <c:v>65.290959470000004</c:v>
                </c:pt>
                <c:pt idx="229">
                  <c:v>65.743635260000005</c:v>
                </c:pt>
                <c:pt idx="230">
                  <c:v>67.557775419999999</c:v>
                </c:pt>
                <c:pt idx="231">
                  <c:v>66.647934039999996</c:v>
                </c:pt>
                <c:pt idx="232">
                  <c:v>65.290959470000004</c:v>
                </c:pt>
                <c:pt idx="233">
                  <c:v>70.271667750000006</c:v>
                </c:pt>
                <c:pt idx="234">
                  <c:v>66.655723199999997</c:v>
                </c:pt>
                <c:pt idx="235">
                  <c:v>69.373566690000004</c:v>
                </c:pt>
                <c:pt idx="236">
                  <c:v>74.764849499999997</c:v>
                </c:pt>
                <c:pt idx="237">
                  <c:v>69.822823</c:v>
                </c:pt>
                <c:pt idx="238">
                  <c:v>68.016396760000006</c:v>
                </c:pt>
                <c:pt idx="239">
                  <c:v>72.523974480000007</c:v>
                </c:pt>
                <c:pt idx="240">
                  <c:v>71.630262669999993</c:v>
                </c:pt>
                <c:pt idx="241">
                  <c:v>71.17580074</c:v>
                </c:pt>
                <c:pt idx="242">
                  <c:v>73.868067069999995</c:v>
                </c:pt>
                <c:pt idx="243">
                  <c:v>70.279402750000003</c:v>
                </c:pt>
                <c:pt idx="244">
                  <c:v>66.655723199999997</c:v>
                </c:pt>
                <c:pt idx="245">
                  <c:v>68.924680609999996</c:v>
                </c:pt>
                <c:pt idx="246">
                  <c:v>71.17580074</c:v>
                </c:pt>
                <c:pt idx="247">
                  <c:v>78.323104580000006</c:v>
                </c:pt>
                <c:pt idx="248">
                  <c:v>74.764849499999997</c:v>
                </c:pt>
                <c:pt idx="249">
                  <c:v>77.435049230000004</c:v>
                </c:pt>
                <c:pt idx="250">
                  <c:v>74.764849499999997</c:v>
                </c:pt>
                <c:pt idx="251">
                  <c:v>79.202259850000004</c:v>
                </c:pt>
                <c:pt idx="252">
                  <c:v>74.764849499999997</c:v>
                </c:pt>
                <c:pt idx="253">
                  <c:v>70.279402750000003</c:v>
                </c:pt>
                <c:pt idx="254">
                  <c:v>76.993676070000006</c:v>
                </c:pt>
                <c:pt idx="255">
                  <c:v>76.993676070000006</c:v>
                </c:pt>
                <c:pt idx="256">
                  <c:v>77.435049230000004</c:v>
                </c:pt>
                <c:pt idx="257">
                  <c:v>74.764849499999997</c:v>
                </c:pt>
                <c:pt idx="258">
                  <c:v>77.875916610000004</c:v>
                </c:pt>
                <c:pt idx="259">
                  <c:v>76.101800600000004</c:v>
                </c:pt>
                <c:pt idx="260">
                  <c:v>76.101800600000004</c:v>
                </c:pt>
                <c:pt idx="261">
                  <c:v>73.415890989999994</c:v>
                </c:pt>
                <c:pt idx="262">
                  <c:v>74.312865549999998</c:v>
                </c:pt>
                <c:pt idx="263">
                  <c:v>79.641055789999996</c:v>
                </c:pt>
                <c:pt idx="264">
                  <c:v>77.875916610000004</c:v>
                </c:pt>
                <c:pt idx="265">
                  <c:v>77.875916610000004</c:v>
                </c:pt>
                <c:pt idx="266">
                  <c:v>72.077340390000003</c:v>
                </c:pt>
                <c:pt idx="267">
                  <c:v>74.764849499999997</c:v>
                </c:pt>
                <c:pt idx="268">
                  <c:v>69.822823</c:v>
                </c:pt>
                <c:pt idx="269">
                  <c:v>74.764849499999997</c:v>
                </c:pt>
                <c:pt idx="270">
                  <c:v>74.764849499999997</c:v>
                </c:pt>
                <c:pt idx="271">
                  <c:v>69.822823</c:v>
                </c:pt>
                <c:pt idx="272">
                  <c:v>75.659696060000002</c:v>
                </c:pt>
                <c:pt idx="273">
                  <c:v>75.659696060000002</c:v>
                </c:pt>
                <c:pt idx="274">
                  <c:v>76.993676070000006</c:v>
                </c:pt>
                <c:pt idx="275">
                  <c:v>72.077340390000003</c:v>
                </c:pt>
                <c:pt idx="276">
                  <c:v>72.523974480000007</c:v>
                </c:pt>
                <c:pt idx="277">
                  <c:v>78.323104580000006</c:v>
                </c:pt>
                <c:pt idx="278">
                  <c:v>73.868067069999995</c:v>
                </c:pt>
                <c:pt idx="279">
                  <c:v>76.101800600000004</c:v>
                </c:pt>
                <c:pt idx="280">
                  <c:v>74.764849499999997</c:v>
                </c:pt>
                <c:pt idx="281">
                  <c:v>79.202259850000004</c:v>
                </c:pt>
                <c:pt idx="282">
                  <c:v>73.415890989999994</c:v>
                </c:pt>
                <c:pt idx="283">
                  <c:v>73.868067069999995</c:v>
                </c:pt>
                <c:pt idx="284">
                  <c:v>68.008627450000006</c:v>
                </c:pt>
                <c:pt idx="285">
                  <c:v>71.17580074</c:v>
                </c:pt>
                <c:pt idx="286">
                  <c:v>76.993676070000006</c:v>
                </c:pt>
                <c:pt idx="287">
                  <c:v>74.764849499999997</c:v>
                </c:pt>
                <c:pt idx="288">
                  <c:v>68.916923760000003</c:v>
                </c:pt>
                <c:pt idx="289">
                  <c:v>74.764849499999997</c:v>
                </c:pt>
                <c:pt idx="290">
                  <c:v>69.822823</c:v>
                </c:pt>
                <c:pt idx="291">
                  <c:v>67.557775419999999</c:v>
                </c:pt>
                <c:pt idx="292">
                  <c:v>72.523974480000007</c:v>
                </c:pt>
                <c:pt idx="293">
                  <c:v>73.868067069999995</c:v>
                </c:pt>
                <c:pt idx="294">
                  <c:v>72.523974480000007</c:v>
                </c:pt>
                <c:pt idx="295">
                  <c:v>68.916923760000003</c:v>
                </c:pt>
                <c:pt idx="296">
                  <c:v>71.17580074</c:v>
                </c:pt>
                <c:pt idx="297">
                  <c:v>71.17580074</c:v>
                </c:pt>
                <c:pt idx="298">
                  <c:v>68.916923760000003</c:v>
                </c:pt>
                <c:pt idx="299">
                  <c:v>68.008627450000006</c:v>
                </c:pt>
                <c:pt idx="300">
                  <c:v>71.17580074</c:v>
                </c:pt>
                <c:pt idx="301">
                  <c:v>68.916923760000003</c:v>
                </c:pt>
                <c:pt idx="302">
                  <c:v>67.557775419999999</c:v>
                </c:pt>
                <c:pt idx="303">
                  <c:v>68.008627450000006</c:v>
                </c:pt>
                <c:pt idx="304">
                  <c:v>61.92162476</c:v>
                </c:pt>
                <c:pt idx="305">
                  <c:v>66.647934039999996</c:v>
                </c:pt>
                <c:pt idx="306">
                  <c:v>66.655723199999997</c:v>
                </c:pt>
                <c:pt idx="307">
                  <c:v>69.822823</c:v>
                </c:pt>
                <c:pt idx="308">
                  <c:v>63.015482910000003</c:v>
                </c:pt>
                <c:pt idx="309">
                  <c:v>71.17580074</c:v>
                </c:pt>
                <c:pt idx="310">
                  <c:v>68.016396760000006</c:v>
                </c:pt>
                <c:pt idx="311">
                  <c:v>68.016396760000006</c:v>
                </c:pt>
                <c:pt idx="312">
                  <c:v>66.655723199999997</c:v>
                </c:pt>
                <c:pt idx="313">
                  <c:v>63.92387093</c:v>
                </c:pt>
                <c:pt idx="314">
                  <c:v>69.373566690000004</c:v>
                </c:pt>
                <c:pt idx="315">
                  <c:v>66.655723199999997</c:v>
                </c:pt>
                <c:pt idx="316">
                  <c:v>65.290959470000004</c:v>
                </c:pt>
                <c:pt idx="317">
                  <c:v>63.92387093</c:v>
                </c:pt>
                <c:pt idx="318">
                  <c:v>66.655723199999997</c:v>
                </c:pt>
                <c:pt idx="319">
                  <c:v>71.17580074</c:v>
                </c:pt>
                <c:pt idx="320">
                  <c:v>65.290959470000004</c:v>
                </c:pt>
                <c:pt idx="321">
                  <c:v>71.17580074</c:v>
                </c:pt>
                <c:pt idx="322">
                  <c:v>70.279402750000003</c:v>
                </c:pt>
                <c:pt idx="323">
                  <c:v>71.630262669999993</c:v>
                </c:pt>
                <c:pt idx="324">
                  <c:v>77.435049230000004</c:v>
                </c:pt>
                <c:pt idx="325">
                  <c:v>64.377553680000005</c:v>
                </c:pt>
                <c:pt idx="326">
                  <c:v>72.970159429999995</c:v>
                </c:pt>
                <c:pt idx="327">
                  <c:v>75.208694050000005</c:v>
                </c:pt>
                <c:pt idx="328">
                  <c:v>71.620816880000007</c:v>
                </c:pt>
                <c:pt idx="329">
                  <c:v>77.435049230000004</c:v>
                </c:pt>
                <c:pt idx="330">
                  <c:v>80.961047410000006</c:v>
                </c:pt>
                <c:pt idx="331">
                  <c:v>83.153095449999995</c:v>
                </c:pt>
                <c:pt idx="332">
                  <c:v>84.460540300000005</c:v>
                </c:pt>
                <c:pt idx="333">
                  <c:v>80.961047410000006</c:v>
                </c:pt>
                <c:pt idx="334">
                  <c:v>85.331044809999995</c:v>
                </c:pt>
                <c:pt idx="335">
                  <c:v>76.101800600000004</c:v>
                </c:pt>
                <c:pt idx="336">
                  <c:v>79.648616399999995</c:v>
                </c:pt>
                <c:pt idx="337">
                  <c:v>80.086877509999994</c:v>
                </c:pt>
                <c:pt idx="338">
                  <c:v>89.209976960000006</c:v>
                </c:pt>
                <c:pt idx="339">
                  <c:v>83.153095449999995</c:v>
                </c:pt>
                <c:pt idx="340">
                  <c:v>85.323607859999996</c:v>
                </c:pt>
                <c:pt idx="341">
                  <c:v>80.968580889999998</c:v>
                </c:pt>
                <c:pt idx="342">
                  <c:v>83.153095449999995</c:v>
                </c:pt>
                <c:pt idx="343">
                  <c:v>85.331044809999995</c:v>
                </c:pt>
                <c:pt idx="344">
                  <c:v>89.635700749999998</c:v>
                </c:pt>
                <c:pt idx="345">
                  <c:v>83.153095449999995</c:v>
                </c:pt>
                <c:pt idx="346">
                  <c:v>78.323104580000006</c:v>
                </c:pt>
                <c:pt idx="347">
                  <c:v>86.192545629999998</c:v>
                </c:pt>
                <c:pt idx="348">
                  <c:v>79.641055789999996</c:v>
                </c:pt>
                <c:pt idx="349">
                  <c:v>78.762941850000004</c:v>
                </c:pt>
                <c:pt idx="350">
                  <c:v>84.020316870000002</c:v>
                </c:pt>
                <c:pt idx="351">
                  <c:v>80.961047410000006</c:v>
                </c:pt>
                <c:pt idx="352">
                  <c:v>80.523852189999999</c:v>
                </c:pt>
                <c:pt idx="353">
                  <c:v>78.762941850000004</c:v>
                </c:pt>
                <c:pt idx="354">
                  <c:v>78.323104580000006</c:v>
                </c:pt>
                <c:pt idx="355">
                  <c:v>80.523852189999999</c:v>
                </c:pt>
                <c:pt idx="356">
                  <c:v>79.641055789999996</c:v>
                </c:pt>
                <c:pt idx="357">
                  <c:v>82.718647970000006</c:v>
                </c:pt>
                <c:pt idx="358">
                  <c:v>79.202259850000004</c:v>
                </c:pt>
                <c:pt idx="359">
                  <c:v>83.153095449999995</c:v>
                </c:pt>
                <c:pt idx="360">
                  <c:v>86.622428940000006</c:v>
                </c:pt>
                <c:pt idx="361">
                  <c:v>78.315517589999999</c:v>
                </c:pt>
                <c:pt idx="362">
                  <c:v>76.986061320000005</c:v>
                </c:pt>
                <c:pt idx="363">
                  <c:v>76.101800600000004</c:v>
                </c:pt>
                <c:pt idx="364">
                  <c:v>72.523974480000007</c:v>
                </c:pt>
                <c:pt idx="365">
                  <c:v>73.423571839999994</c:v>
                </c:pt>
                <c:pt idx="366">
                  <c:v>81.841333250000005</c:v>
                </c:pt>
                <c:pt idx="367">
                  <c:v>77.435049230000004</c:v>
                </c:pt>
                <c:pt idx="368">
                  <c:v>71.17580074</c:v>
                </c:pt>
                <c:pt idx="369">
                  <c:v>73.423571839999994</c:v>
                </c:pt>
                <c:pt idx="370">
                  <c:v>80.523852189999999</c:v>
                </c:pt>
                <c:pt idx="371">
                  <c:v>76.094169239999999</c:v>
                </c:pt>
                <c:pt idx="372">
                  <c:v>73.868067069999995</c:v>
                </c:pt>
                <c:pt idx="373">
                  <c:v>80.961047410000006</c:v>
                </c:pt>
                <c:pt idx="374">
                  <c:v>81.841333250000005</c:v>
                </c:pt>
                <c:pt idx="375">
                  <c:v>77.427442880000001</c:v>
                </c:pt>
                <c:pt idx="376">
                  <c:v>78.315517589999999</c:v>
                </c:pt>
                <c:pt idx="377">
                  <c:v>77.435049230000004</c:v>
                </c:pt>
                <c:pt idx="378">
                  <c:v>76.544179459999995</c:v>
                </c:pt>
                <c:pt idx="379">
                  <c:v>73.868067069999995</c:v>
                </c:pt>
                <c:pt idx="380">
                  <c:v>78.762941850000004</c:v>
                </c:pt>
                <c:pt idx="381">
                  <c:v>72.523974480000007</c:v>
                </c:pt>
                <c:pt idx="382">
                  <c:v>75.208694050000005</c:v>
                </c:pt>
                <c:pt idx="383">
                  <c:v>77.435049230000004</c:v>
                </c:pt>
                <c:pt idx="384">
                  <c:v>79.641055789999996</c:v>
                </c:pt>
                <c:pt idx="385">
                  <c:v>72.970159429999995</c:v>
                </c:pt>
                <c:pt idx="386">
                  <c:v>76.101800600000004</c:v>
                </c:pt>
                <c:pt idx="387">
                  <c:v>79.641055789999996</c:v>
                </c:pt>
                <c:pt idx="388">
                  <c:v>76.544179459999995</c:v>
                </c:pt>
                <c:pt idx="389">
                  <c:v>75.208694050000005</c:v>
                </c:pt>
                <c:pt idx="390">
                  <c:v>76.101800600000004</c:v>
                </c:pt>
                <c:pt idx="391">
                  <c:v>77.435049230000004</c:v>
                </c:pt>
                <c:pt idx="392">
                  <c:v>70.271667750000006</c:v>
                </c:pt>
                <c:pt idx="393">
                  <c:v>74.764849499999997</c:v>
                </c:pt>
                <c:pt idx="394">
                  <c:v>74.764849499999997</c:v>
                </c:pt>
                <c:pt idx="395">
                  <c:v>76.544179459999995</c:v>
                </c:pt>
                <c:pt idx="396">
                  <c:v>77.435049230000004</c:v>
                </c:pt>
                <c:pt idx="397">
                  <c:v>71.622551369999996</c:v>
                </c:pt>
                <c:pt idx="398">
                  <c:v>73.868067069999995</c:v>
                </c:pt>
                <c:pt idx="399">
                  <c:v>68.916923760000003</c:v>
                </c:pt>
                <c:pt idx="400">
                  <c:v>74.757192930000002</c:v>
                </c:pt>
                <c:pt idx="401">
                  <c:v>68.916923760000003</c:v>
                </c:pt>
                <c:pt idx="402">
                  <c:v>66.655723199999997</c:v>
                </c:pt>
                <c:pt idx="403">
                  <c:v>65.283151739999994</c:v>
                </c:pt>
                <c:pt idx="404">
                  <c:v>70.271667750000006</c:v>
                </c:pt>
                <c:pt idx="405">
                  <c:v>70.271667750000006</c:v>
                </c:pt>
                <c:pt idx="406">
                  <c:v>69.373566690000004</c:v>
                </c:pt>
                <c:pt idx="407">
                  <c:v>68.016396760000006</c:v>
                </c:pt>
                <c:pt idx="408">
                  <c:v>67.106545600000004</c:v>
                </c:pt>
                <c:pt idx="409">
                  <c:v>68.016396760000006</c:v>
                </c:pt>
                <c:pt idx="410">
                  <c:v>65.743635260000005</c:v>
                </c:pt>
                <c:pt idx="411">
                  <c:v>65.290959470000004</c:v>
                </c:pt>
                <c:pt idx="412">
                  <c:v>69.373566690000004</c:v>
                </c:pt>
                <c:pt idx="413">
                  <c:v>70.279402750000003</c:v>
                </c:pt>
                <c:pt idx="414">
                  <c:v>68.924680609999996</c:v>
                </c:pt>
                <c:pt idx="415">
                  <c:v>68.466857000000005</c:v>
                </c:pt>
                <c:pt idx="416">
                  <c:v>71.622551369999996</c:v>
                </c:pt>
                <c:pt idx="417">
                  <c:v>63.015482910000003</c:v>
                </c:pt>
                <c:pt idx="418">
                  <c:v>64.377553680000005</c:v>
                </c:pt>
                <c:pt idx="419">
                  <c:v>65.743635260000005</c:v>
                </c:pt>
                <c:pt idx="420">
                  <c:v>70.727821939999998</c:v>
                </c:pt>
                <c:pt idx="421">
                  <c:v>67.106545600000004</c:v>
                </c:pt>
                <c:pt idx="422">
                  <c:v>69.36581735</c:v>
                </c:pt>
                <c:pt idx="423">
                  <c:v>67.106545600000004</c:v>
                </c:pt>
                <c:pt idx="424">
                  <c:v>68.016396760000006</c:v>
                </c:pt>
                <c:pt idx="425">
                  <c:v>71.630262669999993</c:v>
                </c:pt>
                <c:pt idx="426">
                  <c:v>72.523974480000007</c:v>
                </c:pt>
                <c:pt idx="427">
                  <c:v>68.008627450000006</c:v>
                </c:pt>
                <c:pt idx="428">
                  <c:v>70.727821939999998</c:v>
                </c:pt>
                <c:pt idx="429">
                  <c:v>68.008627450000006</c:v>
                </c:pt>
                <c:pt idx="430">
                  <c:v>69.822823</c:v>
                </c:pt>
                <c:pt idx="431">
                  <c:v>69.373566690000004</c:v>
                </c:pt>
                <c:pt idx="432">
                  <c:v>70.727821939999998</c:v>
                </c:pt>
                <c:pt idx="433">
                  <c:v>62.648273320000001</c:v>
                </c:pt>
                <c:pt idx="434">
                  <c:v>69.822823</c:v>
                </c:pt>
                <c:pt idx="435">
                  <c:v>72.523974480000007</c:v>
                </c:pt>
                <c:pt idx="436">
                  <c:v>69.36581735</c:v>
                </c:pt>
                <c:pt idx="437">
                  <c:v>70.271667750000006</c:v>
                </c:pt>
                <c:pt idx="438">
                  <c:v>69.373566690000004</c:v>
                </c:pt>
                <c:pt idx="439">
                  <c:v>69.373566690000004</c:v>
                </c:pt>
                <c:pt idx="440">
                  <c:v>70.271667750000006</c:v>
                </c:pt>
                <c:pt idx="441">
                  <c:v>72.523974480000007</c:v>
                </c:pt>
                <c:pt idx="442">
                  <c:v>70.727821939999998</c:v>
                </c:pt>
                <c:pt idx="443">
                  <c:v>68.008627450000006</c:v>
                </c:pt>
                <c:pt idx="444">
                  <c:v>68.466857000000005</c:v>
                </c:pt>
                <c:pt idx="445">
                  <c:v>68.008627450000006</c:v>
                </c:pt>
                <c:pt idx="446">
                  <c:v>69.36581735</c:v>
                </c:pt>
                <c:pt idx="447">
                  <c:v>64.377553680000005</c:v>
                </c:pt>
                <c:pt idx="448">
                  <c:v>68.016396760000006</c:v>
                </c:pt>
                <c:pt idx="449">
                  <c:v>69.373566690000004</c:v>
                </c:pt>
                <c:pt idx="450">
                  <c:v>68.016396760000006</c:v>
                </c:pt>
                <c:pt idx="451">
                  <c:v>66.655723199999997</c:v>
                </c:pt>
                <c:pt idx="452">
                  <c:v>69.36581735</c:v>
                </c:pt>
                <c:pt idx="453">
                  <c:v>70.271667750000006</c:v>
                </c:pt>
                <c:pt idx="454">
                  <c:v>70.271667750000006</c:v>
                </c:pt>
                <c:pt idx="455">
                  <c:v>66.647934039999996</c:v>
                </c:pt>
                <c:pt idx="456">
                  <c:v>65.743635260000005</c:v>
                </c:pt>
                <c:pt idx="457">
                  <c:v>68.916923760000003</c:v>
                </c:pt>
                <c:pt idx="458">
                  <c:v>62.292408569999999</c:v>
                </c:pt>
                <c:pt idx="459">
                  <c:v>61.92162476</c:v>
                </c:pt>
                <c:pt idx="460">
                  <c:v>68.916923760000003</c:v>
                </c:pt>
                <c:pt idx="461">
                  <c:v>69.36581735</c:v>
                </c:pt>
                <c:pt idx="462">
                  <c:v>66.647934039999996</c:v>
                </c:pt>
                <c:pt idx="463">
                  <c:v>70.271667750000006</c:v>
                </c:pt>
                <c:pt idx="464">
                  <c:v>71.17580074</c:v>
                </c:pt>
                <c:pt idx="465">
                  <c:v>65.743635260000005</c:v>
                </c:pt>
                <c:pt idx="466">
                  <c:v>66.655723199999997</c:v>
                </c:pt>
                <c:pt idx="467">
                  <c:v>68.916923760000003</c:v>
                </c:pt>
                <c:pt idx="468">
                  <c:v>70.271667750000006</c:v>
                </c:pt>
                <c:pt idx="469">
                  <c:v>67.106545600000004</c:v>
                </c:pt>
                <c:pt idx="470">
                  <c:v>67.106545600000004</c:v>
                </c:pt>
                <c:pt idx="471">
                  <c:v>70.279402750000003</c:v>
                </c:pt>
                <c:pt idx="472">
                  <c:v>70.279402750000003</c:v>
                </c:pt>
                <c:pt idx="473">
                  <c:v>64.837941950000001</c:v>
                </c:pt>
                <c:pt idx="474">
                  <c:v>67.106545600000004</c:v>
                </c:pt>
                <c:pt idx="475">
                  <c:v>66.655723199999997</c:v>
                </c:pt>
                <c:pt idx="476">
                  <c:v>67.106545600000004</c:v>
                </c:pt>
                <c:pt idx="477">
                  <c:v>65.743635260000005</c:v>
                </c:pt>
                <c:pt idx="478">
                  <c:v>64.377553680000005</c:v>
                </c:pt>
                <c:pt idx="479">
                  <c:v>64.377553680000005</c:v>
                </c:pt>
                <c:pt idx="480">
                  <c:v>65.743635260000005</c:v>
                </c:pt>
                <c:pt idx="481">
                  <c:v>66.655723199999997</c:v>
                </c:pt>
                <c:pt idx="482">
                  <c:v>63.015482910000003</c:v>
                </c:pt>
                <c:pt idx="483">
                  <c:v>65.290959470000004</c:v>
                </c:pt>
                <c:pt idx="484">
                  <c:v>66.655723199999997</c:v>
                </c:pt>
                <c:pt idx="485">
                  <c:v>65.290959470000004</c:v>
                </c:pt>
                <c:pt idx="486">
                  <c:v>66.655723199999997</c:v>
                </c:pt>
                <c:pt idx="487">
                  <c:v>68.008627450000006</c:v>
                </c:pt>
                <c:pt idx="488">
                  <c:v>68.016396760000006</c:v>
                </c:pt>
                <c:pt idx="489">
                  <c:v>68.008627450000006</c:v>
                </c:pt>
                <c:pt idx="490">
                  <c:v>70.271667750000006</c:v>
                </c:pt>
                <c:pt idx="491">
                  <c:v>63.015482910000003</c:v>
                </c:pt>
                <c:pt idx="492">
                  <c:v>63.015482910000003</c:v>
                </c:pt>
                <c:pt idx="493">
                  <c:v>65.290959470000004</c:v>
                </c:pt>
                <c:pt idx="494">
                  <c:v>66.655723199999997</c:v>
                </c:pt>
                <c:pt idx="495">
                  <c:v>63.015482910000003</c:v>
                </c:pt>
                <c:pt idx="496">
                  <c:v>60.060669519999998</c:v>
                </c:pt>
                <c:pt idx="497">
                  <c:v>65.283151739999994</c:v>
                </c:pt>
                <c:pt idx="498">
                  <c:v>64.377553680000005</c:v>
                </c:pt>
                <c:pt idx="499">
                  <c:v>60.060669519999998</c:v>
                </c:pt>
                <c:pt idx="500">
                  <c:v>62.648273320000001</c:v>
                </c:pt>
                <c:pt idx="501">
                  <c:v>60.811216330000001</c:v>
                </c:pt>
                <c:pt idx="502">
                  <c:v>65.290959470000004</c:v>
                </c:pt>
                <c:pt idx="503">
                  <c:v>64.377553680000005</c:v>
                </c:pt>
                <c:pt idx="504">
                  <c:v>59.302493679999998</c:v>
                </c:pt>
                <c:pt idx="505">
                  <c:v>56.227261830000003</c:v>
                </c:pt>
                <c:pt idx="506">
                  <c:v>63.015482910000003</c:v>
                </c:pt>
                <c:pt idx="507">
                  <c:v>61.92162476</c:v>
                </c:pt>
                <c:pt idx="508">
                  <c:v>59.685691249999998</c:v>
                </c:pt>
                <c:pt idx="509">
                  <c:v>61.92162476</c:v>
                </c:pt>
                <c:pt idx="510">
                  <c:v>62.654512349999997</c:v>
                </c:pt>
                <c:pt idx="511">
                  <c:v>63.92387093</c:v>
                </c:pt>
                <c:pt idx="512">
                  <c:v>61.92162476</c:v>
                </c:pt>
                <c:pt idx="513">
                  <c:v>61.92162476</c:v>
                </c:pt>
                <c:pt idx="514">
                  <c:v>60.811216330000001</c:v>
                </c:pt>
                <c:pt idx="515">
                  <c:v>60.060669519999998</c:v>
                </c:pt>
                <c:pt idx="516">
                  <c:v>60.060669519999998</c:v>
                </c:pt>
                <c:pt idx="517">
                  <c:v>57.774288900000002</c:v>
                </c:pt>
                <c:pt idx="518">
                  <c:v>59.685691249999998</c:v>
                </c:pt>
                <c:pt idx="519">
                  <c:v>58.924071830000003</c:v>
                </c:pt>
                <c:pt idx="520">
                  <c:v>59.685691249999998</c:v>
                </c:pt>
                <c:pt idx="521">
                  <c:v>59.685691249999998</c:v>
                </c:pt>
                <c:pt idx="522">
                  <c:v>60.811216330000001</c:v>
                </c:pt>
                <c:pt idx="523">
                  <c:v>58.924071830000003</c:v>
                </c:pt>
                <c:pt idx="524">
                  <c:v>58.924071830000003</c:v>
                </c:pt>
                <c:pt idx="525">
                  <c:v>60.811216330000001</c:v>
                </c:pt>
                <c:pt idx="526">
                  <c:v>60.060669519999998</c:v>
                </c:pt>
                <c:pt idx="527">
                  <c:v>61.92162476</c:v>
                </c:pt>
                <c:pt idx="528">
                  <c:v>60.060669519999998</c:v>
                </c:pt>
                <c:pt idx="529">
                  <c:v>57.774288900000002</c:v>
                </c:pt>
                <c:pt idx="530">
                  <c:v>61.92162476</c:v>
                </c:pt>
                <c:pt idx="531">
                  <c:v>57.774288900000002</c:v>
                </c:pt>
                <c:pt idx="532">
                  <c:v>60.811216330000001</c:v>
                </c:pt>
                <c:pt idx="533">
                  <c:v>58.924071830000003</c:v>
                </c:pt>
                <c:pt idx="534">
                  <c:v>57.774288900000002</c:v>
                </c:pt>
                <c:pt idx="535">
                  <c:v>56.614200629999999</c:v>
                </c:pt>
                <c:pt idx="536">
                  <c:v>56.614200629999999</c:v>
                </c:pt>
                <c:pt idx="537">
                  <c:v>58.924071830000003</c:v>
                </c:pt>
                <c:pt idx="538">
                  <c:v>60.811216330000001</c:v>
                </c:pt>
                <c:pt idx="539">
                  <c:v>63.92387093</c:v>
                </c:pt>
                <c:pt idx="540">
                  <c:v>58.930610829999999</c:v>
                </c:pt>
                <c:pt idx="541">
                  <c:v>59.685691249999998</c:v>
                </c:pt>
                <c:pt idx="542">
                  <c:v>61.92162476</c:v>
                </c:pt>
                <c:pt idx="543">
                  <c:v>63.92387093</c:v>
                </c:pt>
                <c:pt idx="544">
                  <c:v>62.654512349999997</c:v>
                </c:pt>
                <c:pt idx="545">
                  <c:v>60.811216330000001</c:v>
                </c:pt>
                <c:pt idx="546">
                  <c:v>61.555361079999997</c:v>
                </c:pt>
                <c:pt idx="547">
                  <c:v>63.469872090000003</c:v>
                </c:pt>
                <c:pt idx="548">
                  <c:v>61.555361079999997</c:v>
                </c:pt>
                <c:pt idx="549">
                  <c:v>60.440350530000003</c:v>
                </c:pt>
                <c:pt idx="550">
                  <c:v>62.654512349999997</c:v>
                </c:pt>
                <c:pt idx="551">
                  <c:v>60.811216330000001</c:v>
                </c:pt>
                <c:pt idx="552">
                  <c:v>59.685691249999998</c:v>
                </c:pt>
                <c:pt idx="553">
                  <c:v>59.309003199999999</c:v>
                </c:pt>
                <c:pt idx="554">
                  <c:v>61.555361079999997</c:v>
                </c:pt>
                <c:pt idx="555">
                  <c:v>61.555361079999997</c:v>
                </c:pt>
                <c:pt idx="556">
                  <c:v>60.811216330000001</c:v>
                </c:pt>
                <c:pt idx="557">
                  <c:v>63.469872090000003</c:v>
                </c:pt>
                <c:pt idx="558">
                  <c:v>61.555361079999997</c:v>
                </c:pt>
                <c:pt idx="559">
                  <c:v>61.555361079999997</c:v>
                </c:pt>
                <c:pt idx="560">
                  <c:v>60.440350530000003</c:v>
                </c:pt>
                <c:pt idx="561">
                  <c:v>59.685691249999998</c:v>
                </c:pt>
                <c:pt idx="562">
                  <c:v>63.469872090000003</c:v>
                </c:pt>
                <c:pt idx="563">
                  <c:v>63.469872090000003</c:v>
                </c:pt>
                <c:pt idx="564">
                  <c:v>65.743635260000005</c:v>
                </c:pt>
                <c:pt idx="565">
                  <c:v>59.685691249999998</c:v>
                </c:pt>
                <c:pt idx="566">
                  <c:v>61.92162476</c:v>
                </c:pt>
                <c:pt idx="567">
                  <c:v>60.433929669999998</c:v>
                </c:pt>
                <c:pt idx="568">
                  <c:v>63.916046000000001</c:v>
                </c:pt>
                <c:pt idx="569">
                  <c:v>63.916046000000001</c:v>
                </c:pt>
                <c:pt idx="570">
                  <c:v>61.92162476</c:v>
                </c:pt>
                <c:pt idx="571">
                  <c:v>64.83012798</c:v>
                </c:pt>
                <c:pt idx="572">
                  <c:v>61.555361079999997</c:v>
                </c:pt>
                <c:pt idx="573">
                  <c:v>63.92387093</c:v>
                </c:pt>
                <c:pt idx="574">
                  <c:v>61.555361079999997</c:v>
                </c:pt>
                <c:pt idx="575">
                  <c:v>59.685691249999998</c:v>
                </c:pt>
                <c:pt idx="576">
                  <c:v>61.555361079999997</c:v>
                </c:pt>
                <c:pt idx="577">
                  <c:v>60.811216330000001</c:v>
                </c:pt>
                <c:pt idx="578">
                  <c:v>61.92162476</c:v>
                </c:pt>
                <c:pt idx="579">
                  <c:v>63.469872090000003</c:v>
                </c:pt>
                <c:pt idx="580">
                  <c:v>61.92162476</c:v>
                </c:pt>
                <c:pt idx="581">
                  <c:v>60.811216330000001</c:v>
                </c:pt>
                <c:pt idx="582">
                  <c:v>63.92387093</c:v>
                </c:pt>
                <c:pt idx="583">
                  <c:v>62.654512349999997</c:v>
                </c:pt>
                <c:pt idx="584">
                  <c:v>59.685691249999998</c:v>
                </c:pt>
                <c:pt idx="585">
                  <c:v>63.015482910000003</c:v>
                </c:pt>
                <c:pt idx="586">
                  <c:v>61.92162476</c:v>
                </c:pt>
                <c:pt idx="587">
                  <c:v>59.685691249999998</c:v>
                </c:pt>
                <c:pt idx="588">
                  <c:v>59.685691249999998</c:v>
                </c:pt>
                <c:pt idx="589">
                  <c:v>55.839219309999997</c:v>
                </c:pt>
                <c:pt idx="590">
                  <c:v>54.662424110000003</c:v>
                </c:pt>
                <c:pt idx="591">
                  <c:v>57.390707069999998</c:v>
                </c:pt>
                <c:pt idx="592">
                  <c:v>55.44335564</c:v>
                </c:pt>
                <c:pt idx="593">
                  <c:v>58.544650400000002</c:v>
                </c:pt>
                <c:pt idx="594">
                  <c:v>60.060669519999998</c:v>
                </c:pt>
                <c:pt idx="595">
                  <c:v>58.924071830000003</c:v>
                </c:pt>
                <c:pt idx="596">
                  <c:v>58.924071830000003</c:v>
                </c:pt>
                <c:pt idx="597">
                  <c:v>54.655667649999998</c:v>
                </c:pt>
                <c:pt idx="598">
                  <c:v>60.811216330000001</c:v>
                </c:pt>
                <c:pt idx="599">
                  <c:v>57.774288900000002</c:v>
                </c:pt>
                <c:pt idx="600">
                  <c:v>55.839219309999997</c:v>
                </c:pt>
                <c:pt idx="601">
                  <c:v>57.780893030000001</c:v>
                </c:pt>
                <c:pt idx="602">
                  <c:v>57.780893030000001</c:v>
                </c:pt>
                <c:pt idx="603">
                  <c:v>53.869685959999998</c:v>
                </c:pt>
                <c:pt idx="604">
                  <c:v>55.832518540000002</c:v>
                </c:pt>
                <c:pt idx="605">
                  <c:v>56.614200629999999</c:v>
                </c:pt>
                <c:pt idx="606">
                  <c:v>59.685691249999998</c:v>
                </c:pt>
                <c:pt idx="607">
                  <c:v>57.774288900000002</c:v>
                </c:pt>
                <c:pt idx="608">
                  <c:v>60.811216330000001</c:v>
                </c:pt>
                <c:pt idx="609">
                  <c:v>57.774288900000002</c:v>
                </c:pt>
                <c:pt idx="610">
                  <c:v>61.92162476</c:v>
                </c:pt>
                <c:pt idx="611">
                  <c:v>57.780893030000001</c:v>
                </c:pt>
                <c:pt idx="612">
                  <c:v>58.930610829999999</c:v>
                </c:pt>
                <c:pt idx="613">
                  <c:v>54.263216800000002</c:v>
                </c:pt>
                <c:pt idx="614">
                  <c:v>60.811216330000001</c:v>
                </c:pt>
                <c:pt idx="615">
                  <c:v>59.309003199999999</c:v>
                </c:pt>
                <c:pt idx="616">
                  <c:v>59.309003199999999</c:v>
                </c:pt>
                <c:pt idx="617">
                  <c:v>58.163333729999998</c:v>
                </c:pt>
                <c:pt idx="618">
                  <c:v>58.156749089999998</c:v>
                </c:pt>
                <c:pt idx="619">
                  <c:v>60.811216330000001</c:v>
                </c:pt>
                <c:pt idx="620">
                  <c:v>60.060669519999998</c:v>
                </c:pt>
                <c:pt idx="621">
                  <c:v>60.060669519999998</c:v>
                </c:pt>
                <c:pt idx="622">
                  <c:v>60.440350530000003</c:v>
                </c:pt>
                <c:pt idx="623">
                  <c:v>61.187353479999999</c:v>
                </c:pt>
                <c:pt idx="624">
                  <c:v>59.309003199999999</c:v>
                </c:pt>
                <c:pt idx="625">
                  <c:v>61.187353479999999</c:v>
                </c:pt>
                <c:pt idx="626">
                  <c:v>63.469872090000003</c:v>
                </c:pt>
                <c:pt idx="627">
                  <c:v>63.916046000000001</c:v>
                </c:pt>
                <c:pt idx="628">
                  <c:v>61.187353479999999</c:v>
                </c:pt>
                <c:pt idx="629">
                  <c:v>62.292408569999999</c:v>
                </c:pt>
                <c:pt idx="630">
                  <c:v>62.292408569999999</c:v>
                </c:pt>
                <c:pt idx="631">
                  <c:v>60.440350530000003</c:v>
                </c:pt>
                <c:pt idx="632">
                  <c:v>63.469872090000003</c:v>
                </c:pt>
                <c:pt idx="633">
                  <c:v>63.015482910000003</c:v>
                </c:pt>
                <c:pt idx="634">
                  <c:v>64.377553680000005</c:v>
                </c:pt>
                <c:pt idx="635">
                  <c:v>64.377553680000005</c:v>
                </c:pt>
                <c:pt idx="636">
                  <c:v>63.015482910000003</c:v>
                </c:pt>
                <c:pt idx="637">
                  <c:v>66.647934039999996</c:v>
                </c:pt>
                <c:pt idx="638">
                  <c:v>64.377553680000005</c:v>
                </c:pt>
                <c:pt idx="639">
                  <c:v>68.016396760000006</c:v>
                </c:pt>
                <c:pt idx="640">
                  <c:v>70.271667750000006</c:v>
                </c:pt>
                <c:pt idx="641">
                  <c:v>67.565551839999998</c:v>
                </c:pt>
                <c:pt idx="642">
                  <c:v>67.565551839999998</c:v>
                </c:pt>
                <c:pt idx="643">
                  <c:v>70.279402750000003</c:v>
                </c:pt>
                <c:pt idx="644">
                  <c:v>70.279402750000003</c:v>
                </c:pt>
                <c:pt idx="645">
                  <c:v>67.565551839999998</c:v>
                </c:pt>
                <c:pt idx="646">
                  <c:v>68.016396760000006</c:v>
                </c:pt>
                <c:pt idx="647">
                  <c:v>66.655723199999997</c:v>
                </c:pt>
                <c:pt idx="648">
                  <c:v>65.290959470000004</c:v>
                </c:pt>
                <c:pt idx="649">
                  <c:v>65.283151739999994</c:v>
                </c:pt>
                <c:pt idx="650">
                  <c:v>66.655723199999997</c:v>
                </c:pt>
                <c:pt idx="651">
                  <c:v>65.283151739999994</c:v>
                </c:pt>
                <c:pt idx="652">
                  <c:v>70.271667750000006</c:v>
                </c:pt>
                <c:pt idx="653">
                  <c:v>67.557775419999999</c:v>
                </c:pt>
                <c:pt idx="654">
                  <c:v>68.008627450000006</c:v>
                </c:pt>
                <c:pt idx="655">
                  <c:v>66.647934039999996</c:v>
                </c:pt>
                <c:pt idx="656">
                  <c:v>69.36581735</c:v>
                </c:pt>
                <c:pt idx="657">
                  <c:v>66.655723199999997</c:v>
                </c:pt>
                <c:pt idx="658">
                  <c:v>65.743635260000005</c:v>
                </c:pt>
                <c:pt idx="659">
                  <c:v>66.647934039999996</c:v>
                </c:pt>
                <c:pt idx="660">
                  <c:v>67.565551839999998</c:v>
                </c:pt>
                <c:pt idx="661">
                  <c:v>68.924680609999996</c:v>
                </c:pt>
                <c:pt idx="662">
                  <c:v>65.743635260000005</c:v>
                </c:pt>
                <c:pt idx="663">
                  <c:v>68.016396760000006</c:v>
                </c:pt>
                <c:pt idx="664">
                  <c:v>68.016396760000006</c:v>
                </c:pt>
                <c:pt idx="665">
                  <c:v>66.655723199999997</c:v>
                </c:pt>
                <c:pt idx="666">
                  <c:v>67.565551839999998</c:v>
                </c:pt>
                <c:pt idx="667">
                  <c:v>66.655723199999997</c:v>
                </c:pt>
                <c:pt idx="668">
                  <c:v>68.016396760000006</c:v>
                </c:pt>
                <c:pt idx="669">
                  <c:v>66.655723199999997</c:v>
                </c:pt>
                <c:pt idx="670">
                  <c:v>66.655723199999997</c:v>
                </c:pt>
                <c:pt idx="671">
                  <c:v>65.290959470000004</c:v>
                </c:pt>
                <c:pt idx="672">
                  <c:v>67.565551839999998</c:v>
                </c:pt>
                <c:pt idx="673">
                  <c:v>67.565551839999998</c:v>
                </c:pt>
                <c:pt idx="674">
                  <c:v>67.565551839999998</c:v>
                </c:pt>
                <c:pt idx="675">
                  <c:v>66.655723199999997</c:v>
                </c:pt>
                <c:pt idx="676">
                  <c:v>66.655723199999997</c:v>
                </c:pt>
                <c:pt idx="677">
                  <c:v>68.016396760000006</c:v>
                </c:pt>
                <c:pt idx="678">
                  <c:v>66.655723199999997</c:v>
                </c:pt>
                <c:pt idx="679">
                  <c:v>66.655723199999997</c:v>
                </c:pt>
                <c:pt idx="680">
                  <c:v>70.271667750000006</c:v>
                </c:pt>
                <c:pt idx="681">
                  <c:v>67.557775419999999</c:v>
                </c:pt>
                <c:pt idx="682">
                  <c:v>68.916923760000003</c:v>
                </c:pt>
                <c:pt idx="683">
                  <c:v>71.17580074</c:v>
                </c:pt>
                <c:pt idx="684">
                  <c:v>68.924680609999996</c:v>
                </c:pt>
                <c:pt idx="685">
                  <c:v>67.565551839999998</c:v>
                </c:pt>
                <c:pt idx="686">
                  <c:v>63.916046000000001</c:v>
                </c:pt>
                <c:pt idx="687">
                  <c:v>65.283151739999994</c:v>
                </c:pt>
                <c:pt idx="688">
                  <c:v>65.290959470000004</c:v>
                </c:pt>
                <c:pt idx="689">
                  <c:v>64.837941950000001</c:v>
                </c:pt>
                <c:pt idx="690">
                  <c:v>68.466857000000005</c:v>
                </c:pt>
                <c:pt idx="691">
                  <c:v>68.466857000000005</c:v>
                </c:pt>
                <c:pt idx="692">
                  <c:v>67.106545600000004</c:v>
                </c:pt>
                <c:pt idx="693">
                  <c:v>64.837941950000001</c:v>
                </c:pt>
                <c:pt idx="694">
                  <c:v>63.92387093</c:v>
                </c:pt>
                <c:pt idx="695">
                  <c:v>66.195962919999999</c:v>
                </c:pt>
                <c:pt idx="696">
                  <c:v>67.557775419999999</c:v>
                </c:pt>
                <c:pt idx="697">
                  <c:v>60.433929669999998</c:v>
                </c:pt>
                <c:pt idx="698">
                  <c:v>62.654512349999997</c:v>
                </c:pt>
                <c:pt idx="699">
                  <c:v>64.837941950000001</c:v>
                </c:pt>
                <c:pt idx="700">
                  <c:v>61.555361079999997</c:v>
                </c:pt>
                <c:pt idx="701">
                  <c:v>63.92387093</c:v>
                </c:pt>
                <c:pt idx="702">
                  <c:v>64.837941950000001</c:v>
                </c:pt>
                <c:pt idx="703">
                  <c:v>62.654512349999997</c:v>
                </c:pt>
                <c:pt idx="704">
                  <c:v>62.654512349999997</c:v>
                </c:pt>
                <c:pt idx="705">
                  <c:v>62.654512349999997</c:v>
                </c:pt>
                <c:pt idx="706">
                  <c:v>64.837941950000001</c:v>
                </c:pt>
                <c:pt idx="707">
                  <c:v>64.837941950000001</c:v>
                </c:pt>
                <c:pt idx="708">
                  <c:v>63.92387093</c:v>
                </c:pt>
                <c:pt idx="709">
                  <c:v>64.83012798</c:v>
                </c:pt>
                <c:pt idx="710">
                  <c:v>63.92387093</c:v>
                </c:pt>
                <c:pt idx="711">
                  <c:v>66.203758769999993</c:v>
                </c:pt>
                <c:pt idx="712">
                  <c:v>64.837941950000001</c:v>
                </c:pt>
                <c:pt idx="713">
                  <c:v>62.654512349999997</c:v>
                </c:pt>
                <c:pt idx="714">
                  <c:v>63.469872090000003</c:v>
                </c:pt>
                <c:pt idx="715">
                  <c:v>67.106545600000004</c:v>
                </c:pt>
                <c:pt idx="716">
                  <c:v>64.837941950000001</c:v>
                </c:pt>
                <c:pt idx="717">
                  <c:v>64.837941950000001</c:v>
                </c:pt>
                <c:pt idx="718">
                  <c:v>66.203758769999993</c:v>
                </c:pt>
                <c:pt idx="719">
                  <c:v>63.469872090000003</c:v>
                </c:pt>
                <c:pt idx="720">
                  <c:v>60.440350530000003</c:v>
                </c:pt>
                <c:pt idx="721">
                  <c:v>66.203758769999993</c:v>
                </c:pt>
                <c:pt idx="722">
                  <c:v>63.469872090000003</c:v>
                </c:pt>
                <c:pt idx="723">
                  <c:v>64.837941950000001</c:v>
                </c:pt>
                <c:pt idx="724">
                  <c:v>64.837941950000001</c:v>
                </c:pt>
                <c:pt idx="725">
                  <c:v>63.462041390000003</c:v>
                </c:pt>
                <c:pt idx="726">
                  <c:v>66.195962919999999</c:v>
                </c:pt>
                <c:pt idx="727">
                  <c:v>66.195962919999999</c:v>
                </c:pt>
                <c:pt idx="728">
                  <c:v>65.743635260000005</c:v>
                </c:pt>
                <c:pt idx="729">
                  <c:v>65.743635260000005</c:v>
                </c:pt>
                <c:pt idx="730">
                  <c:v>64.377553680000005</c:v>
                </c:pt>
                <c:pt idx="731">
                  <c:v>64.377553680000005</c:v>
                </c:pt>
                <c:pt idx="732">
                  <c:v>64.377553680000005</c:v>
                </c:pt>
                <c:pt idx="733">
                  <c:v>65.743635260000005</c:v>
                </c:pt>
                <c:pt idx="734">
                  <c:v>63.462041390000003</c:v>
                </c:pt>
                <c:pt idx="735">
                  <c:v>67.106545600000004</c:v>
                </c:pt>
                <c:pt idx="736">
                  <c:v>65.743635260000005</c:v>
                </c:pt>
                <c:pt idx="737">
                  <c:v>68.008627450000006</c:v>
                </c:pt>
                <c:pt idx="738">
                  <c:v>66.647934039999996</c:v>
                </c:pt>
                <c:pt idx="739">
                  <c:v>65.743635260000005</c:v>
                </c:pt>
                <c:pt idx="740">
                  <c:v>65.743635260000005</c:v>
                </c:pt>
                <c:pt idx="741">
                  <c:v>66.655723199999997</c:v>
                </c:pt>
                <c:pt idx="742">
                  <c:v>68.916923760000003</c:v>
                </c:pt>
                <c:pt idx="743">
                  <c:v>68.016396760000006</c:v>
                </c:pt>
                <c:pt idx="744">
                  <c:v>66.655723199999997</c:v>
                </c:pt>
                <c:pt idx="745">
                  <c:v>65.743635260000005</c:v>
                </c:pt>
                <c:pt idx="746">
                  <c:v>68.016396760000006</c:v>
                </c:pt>
                <c:pt idx="747">
                  <c:v>68.016396760000006</c:v>
                </c:pt>
                <c:pt idx="748">
                  <c:v>64.377553680000005</c:v>
                </c:pt>
                <c:pt idx="749">
                  <c:v>68.016396760000006</c:v>
                </c:pt>
                <c:pt idx="750">
                  <c:v>68.916923760000003</c:v>
                </c:pt>
                <c:pt idx="751">
                  <c:v>66.655723199999997</c:v>
                </c:pt>
                <c:pt idx="752">
                  <c:v>65.290959470000004</c:v>
                </c:pt>
                <c:pt idx="753">
                  <c:v>64.377553680000005</c:v>
                </c:pt>
                <c:pt idx="754">
                  <c:v>64.377553680000005</c:v>
                </c:pt>
                <c:pt idx="755">
                  <c:v>66.647934039999996</c:v>
                </c:pt>
                <c:pt idx="756">
                  <c:v>66.655723199999997</c:v>
                </c:pt>
                <c:pt idx="757">
                  <c:v>63.462041390000003</c:v>
                </c:pt>
                <c:pt idx="758">
                  <c:v>68.008627450000006</c:v>
                </c:pt>
                <c:pt idx="759">
                  <c:v>66.647934039999996</c:v>
                </c:pt>
                <c:pt idx="760">
                  <c:v>66.647934039999996</c:v>
                </c:pt>
                <c:pt idx="761">
                  <c:v>65.283151739999994</c:v>
                </c:pt>
                <c:pt idx="762">
                  <c:v>66.647934039999996</c:v>
                </c:pt>
                <c:pt idx="763">
                  <c:v>65.743635260000005</c:v>
                </c:pt>
                <c:pt idx="764">
                  <c:v>68.008627450000006</c:v>
                </c:pt>
                <c:pt idx="765">
                  <c:v>67.106545600000004</c:v>
                </c:pt>
                <c:pt idx="766">
                  <c:v>65.743635260000005</c:v>
                </c:pt>
                <c:pt idx="767">
                  <c:v>64.377553680000005</c:v>
                </c:pt>
                <c:pt idx="768">
                  <c:v>65.290959470000004</c:v>
                </c:pt>
                <c:pt idx="769">
                  <c:v>65.743635260000005</c:v>
                </c:pt>
                <c:pt idx="770">
                  <c:v>67.106545600000004</c:v>
                </c:pt>
                <c:pt idx="771">
                  <c:v>65.743635260000005</c:v>
                </c:pt>
                <c:pt idx="772">
                  <c:v>65.743635260000005</c:v>
                </c:pt>
                <c:pt idx="773">
                  <c:v>65.743635260000005</c:v>
                </c:pt>
                <c:pt idx="774">
                  <c:v>65.743635260000005</c:v>
                </c:pt>
                <c:pt idx="775">
                  <c:v>65.283151739999994</c:v>
                </c:pt>
                <c:pt idx="776">
                  <c:v>64.377553680000005</c:v>
                </c:pt>
                <c:pt idx="777">
                  <c:v>65.743635260000005</c:v>
                </c:pt>
                <c:pt idx="778">
                  <c:v>63.015482910000003</c:v>
                </c:pt>
                <c:pt idx="779">
                  <c:v>64.377553680000005</c:v>
                </c:pt>
                <c:pt idx="780">
                  <c:v>61.180993239999999</c:v>
                </c:pt>
                <c:pt idx="781">
                  <c:v>63.92387093</c:v>
                </c:pt>
                <c:pt idx="782">
                  <c:v>63.015482910000003</c:v>
                </c:pt>
                <c:pt idx="783">
                  <c:v>63.015482910000003</c:v>
                </c:pt>
                <c:pt idx="784">
                  <c:v>61.92162476</c:v>
                </c:pt>
                <c:pt idx="785">
                  <c:v>63.015482910000003</c:v>
                </c:pt>
                <c:pt idx="786">
                  <c:v>63.916046000000001</c:v>
                </c:pt>
                <c:pt idx="787">
                  <c:v>61.187353479999999</c:v>
                </c:pt>
                <c:pt idx="788">
                  <c:v>65.290959470000004</c:v>
                </c:pt>
                <c:pt idx="789">
                  <c:v>60.811216330000001</c:v>
                </c:pt>
                <c:pt idx="790">
                  <c:v>60.060669519999998</c:v>
                </c:pt>
                <c:pt idx="791">
                  <c:v>60.811216330000001</c:v>
                </c:pt>
                <c:pt idx="792">
                  <c:v>61.92162476</c:v>
                </c:pt>
                <c:pt idx="793">
                  <c:v>60.440350530000003</c:v>
                </c:pt>
                <c:pt idx="794">
                  <c:v>61.92162476</c:v>
                </c:pt>
                <c:pt idx="795">
                  <c:v>63.015482910000003</c:v>
                </c:pt>
                <c:pt idx="796">
                  <c:v>58.930610829999999</c:v>
                </c:pt>
                <c:pt idx="797">
                  <c:v>63.015482910000003</c:v>
                </c:pt>
                <c:pt idx="798">
                  <c:v>60.067120299999999</c:v>
                </c:pt>
                <c:pt idx="799">
                  <c:v>63.916046000000001</c:v>
                </c:pt>
                <c:pt idx="800">
                  <c:v>61.180993239999999</c:v>
                </c:pt>
                <c:pt idx="801">
                  <c:v>61.180993239999999</c:v>
                </c:pt>
                <c:pt idx="802">
                  <c:v>61.180993239999999</c:v>
                </c:pt>
                <c:pt idx="803">
                  <c:v>65.290959470000004</c:v>
                </c:pt>
                <c:pt idx="804">
                  <c:v>62.286138950000002</c:v>
                </c:pt>
                <c:pt idx="805">
                  <c:v>65.290959470000004</c:v>
                </c:pt>
                <c:pt idx="806">
                  <c:v>64.377553680000005</c:v>
                </c:pt>
                <c:pt idx="807">
                  <c:v>64.377553680000005</c:v>
                </c:pt>
                <c:pt idx="808">
                  <c:v>64.377553680000005</c:v>
                </c:pt>
                <c:pt idx="809">
                  <c:v>68.016396760000006</c:v>
                </c:pt>
                <c:pt idx="810">
                  <c:v>65.743635260000005</c:v>
                </c:pt>
                <c:pt idx="811">
                  <c:v>69.373566690000004</c:v>
                </c:pt>
                <c:pt idx="812">
                  <c:v>70.727821939999998</c:v>
                </c:pt>
                <c:pt idx="813">
                  <c:v>71.630262669999993</c:v>
                </c:pt>
                <c:pt idx="814">
                  <c:v>68.466857000000005</c:v>
                </c:pt>
                <c:pt idx="815">
                  <c:v>68.466857000000005</c:v>
                </c:pt>
                <c:pt idx="816">
                  <c:v>71.622551369999996</c:v>
                </c:pt>
                <c:pt idx="817">
                  <c:v>70.720093730000002</c:v>
                </c:pt>
                <c:pt idx="818">
                  <c:v>70.720093730000002</c:v>
                </c:pt>
                <c:pt idx="819">
                  <c:v>71.622551369999996</c:v>
                </c:pt>
                <c:pt idx="820">
                  <c:v>73.868067069999995</c:v>
                </c:pt>
                <c:pt idx="821">
                  <c:v>76.544179459999995</c:v>
                </c:pt>
                <c:pt idx="822">
                  <c:v>74.764849499999997</c:v>
                </c:pt>
                <c:pt idx="823">
                  <c:v>78.755362430000005</c:v>
                </c:pt>
                <c:pt idx="824">
                  <c:v>77.435049230000004</c:v>
                </c:pt>
                <c:pt idx="825">
                  <c:v>75.208694050000005</c:v>
                </c:pt>
                <c:pt idx="826">
                  <c:v>78.762941850000004</c:v>
                </c:pt>
                <c:pt idx="827">
                  <c:v>76.101800600000004</c:v>
                </c:pt>
                <c:pt idx="828">
                  <c:v>77.435049230000004</c:v>
                </c:pt>
                <c:pt idx="829">
                  <c:v>78.315517589999999</c:v>
                </c:pt>
                <c:pt idx="830">
                  <c:v>76.101800600000004</c:v>
                </c:pt>
                <c:pt idx="831">
                  <c:v>79.641055789999996</c:v>
                </c:pt>
                <c:pt idx="832">
                  <c:v>79.641055789999996</c:v>
                </c:pt>
                <c:pt idx="833">
                  <c:v>76.094169239999999</c:v>
                </c:pt>
                <c:pt idx="834">
                  <c:v>79.641055789999996</c:v>
                </c:pt>
                <c:pt idx="835">
                  <c:v>76.094169239999999</c:v>
                </c:pt>
                <c:pt idx="836">
                  <c:v>72.977848870000003</c:v>
                </c:pt>
                <c:pt idx="837">
                  <c:v>75.208694050000005</c:v>
                </c:pt>
                <c:pt idx="838">
                  <c:v>75.208694050000005</c:v>
                </c:pt>
                <c:pt idx="839">
                  <c:v>77.435049230000004</c:v>
                </c:pt>
                <c:pt idx="840">
                  <c:v>75.208694050000005</c:v>
                </c:pt>
                <c:pt idx="841">
                  <c:v>76.544179459999995</c:v>
                </c:pt>
                <c:pt idx="842">
                  <c:v>75.208694050000005</c:v>
                </c:pt>
                <c:pt idx="843">
                  <c:v>72.523974480000007</c:v>
                </c:pt>
                <c:pt idx="844">
                  <c:v>76.094169239999999</c:v>
                </c:pt>
                <c:pt idx="845">
                  <c:v>76.101800600000004</c:v>
                </c:pt>
                <c:pt idx="846">
                  <c:v>76.986061320000005</c:v>
                </c:pt>
                <c:pt idx="847">
                  <c:v>73.868067069999995</c:v>
                </c:pt>
                <c:pt idx="848">
                  <c:v>74.764849499999997</c:v>
                </c:pt>
                <c:pt idx="849">
                  <c:v>76.544179459999995</c:v>
                </c:pt>
                <c:pt idx="850">
                  <c:v>77.435049230000004</c:v>
                </c:pt>
                <c:pt idx="851">
                  <c:v>78.323104580000006</c:v>
                </c:pt>
                <c:pt idx="852">
                  <c:v>77.435049230000004</c:v>
                </c:pt>
                <c:pt idx="853">
                  <c:v>77.435049230000004</c:v>
                </c:pt>
                <c:pt idx="854">
                  <c:v>78.755362430000005</c:v>
                </c:pt>
                <c:pt idx="855">
                  <c:v>76.094169239999999</c:v>
                </c:pt>
                <c:pt idx="856">
                  <c:v>77.427442880000001</c:v>
                </c:pt>
                <c:pt idx="857">
                  <c:v>74.312865549999998</c:v>
                </c:pt>
                <c:pt idx="858">
                  <c:v>73.868067069999995</c:v>
                </c:pt>
                <c:pt idx="859">
                  <c:v>72.970159429999995</c:v>
                </c:pt>
                <c:pt idx="860">
                  <c:v>71.622551369999996</c:v>
                </c:pt>
                <c:pt idx="861">
                  <c:v>70.720093730000002</c:v>
                </c:pt>
                <c:pt idx="862">
                  <c:v>72.069636250000002</c:v>
                </c:pt>
                <c:pt idx="863">
                  <c:v>73.868067069999995</c:v>
                </c:pt>
                <c:pt idx="864">
                  <c:v>72.069636250000002</c:v>
                </c:pt>
                <c:pt idx="865">
                  <c:v>72.069636250000002</c:v>
                </c:pt>
                <c:pt idx="866">
                  <c:v>71.622551369999996</c:v>
                </c:pt>
                <c:pt idx="867">
                  <c:v>72.970159429999995</c:v>
                </c:pt>
                <c:pt idx="868">
                  <c:v>71.622551369999996</c:v>
                </c:pt>
                <c:pt idx="869">
                  <c:v>72.970159429999995</c:v>
                </c:pt>
                <c:pt idx="870">
                  <c:v>70.727821939999998</c:v>
                </c:pt>
                <c:pt idx="871">
                  <c:v>72.970159429999995</c:v>
                </c:pt>
                <c:pt idx="872">
                  <c:v>72.970159429999995</c:v>
                </c:pt>
                <c:pt idx="873">
                  <c:v>70.271667750000006</c:v>
                </c:pt>
                <c:pt idx="874">
                  <c:v>72.970159429999995</c:v>
                </c:pt>
                <c:pt idx="875">
                  <c:v>70.720093730000002</c:v>
                </c:pt>
                <c:pt idx="876">
                  <c:v>69.822823</c:v>
                </c:pt>
                <c:pt idx="877">
                  <c:v>69.36581735</c:v>
                </c:pt>
                <c:pt idx="878">
                  <c:v>69.36581735</c:v>
                </c:pt>
                <c:pt idx="879">
                  <c:v>66.647934039999996</c:v>
                </c:pt>
                <c:pt idx="880">
                  <c:v>70.271667750000006</c:v>
                </c:pt>
                <c:pt idx="881">
                  <c:v>68.466857000000005</c:v>
                </c:pt>
                <c:pt idx="882">
                  <c:v>69.36581735</c:v>
                </c:pt>
                <c:pt idx="883">
                  <c:v>69.36581735</c:v>
                </c:pt>
                <c:pt idx="884">
                  <c:v>67.106545600000004</c:v>
                </c:pt>
                <c:pt idx="885">
                  <c:v>68.466857000000005</c:v>
                </c:pt>
                <c:pt idx="886">
                  <c:v>68.466857000000005</c:v>
                </c:pt>
                <c:pt idx="887">
                  <c:v>67.106545600000004</c:v>
                </c:pt>
                <c:pt idx="888">
                  <c:v>68.008627450000006</c:v>
                </c:pt>
                <c:pt idx="889">
                  <c:v>68.466857000000005</c:v>
                </c:pt>
                <c:pt idx="890">
                  <c:v>69.822823</c:v>
                </c:pt>
                <c:pt idx="891">
                  <c:v>68.466857000000005</c:v>
                </c:pt>
                <c:pt idx="892">
                  <c:v>68.466857000000005</c:v>
                </c:pt>
                <c:pt idx="893">
                  <c:v>68.008627450000006</c:v>
                </c:pt>
                <c:pt idx="894">
                  <c:v>69.822823</c:v>
                </c:pt>
                <c:pt idx="895">
                  <c:v>64.837941950000001</c:v>
                </c:pt>
                <c:pt idx="896">
                  <c:v>69.36581735</c:v>
                </c:pt>
                <c:pt idx="897">
                  <c:v>70.720093730000002</c:v>
                </c:pt>
                <c:pt idx="898">
                  <c:v>70.720093730000002</c:v>
                </c:pt>
                <c:pt idx="899">
                  <c:v>72.069636250000002</c:v>
                </c:pt>
                <c:pt idx="900">
                  <c:v>75.208694050000005</c:v>
                </c:pt>
                <c:pt idx="901">
                  <c:v>72.069636250000002</c:v>
                </c:pt>
                <c:pt idx="902">
                  <c:v>76.544179459999995</c:v>
                </c:pt>
                <c:pt idx="903">
                  <c:v>78.762941850000004</c:v>
                </c:pt>
                <c:pt idx="904">
                  <c:v>76.544179459999995</c:v>
                </c:pt>
                <c:pt idx="905">
                  <c:v>80.523852189999999</c:v>
                </c:pt>
                <c:pt idx="906">
                  <c:v>79.202259850000004</c:v>
                </c:pt>
                <c:pt idx="907">
                  <c:v>83.594462070000006</c:v>
                </c:pt>
                <c:pt idx="908">
                  <c:v>83.594462070000006</c:v>
                </c:pt>
                <c:pt idx="909">
                  <c:v>84.027783200000002</c:v>
                </c:pt>
                <c:pt idx="910">
                  <c:v>82.718647970000006</c:v>
                </c:pt>
                <c:pt idx="911">
                  <c:v>81.405228940000001</c:v>
                </c:pt>
                <c:pt idx="912">
                  <c:v>80.079324720000002</c:v>
                </c:pt>
                <c:pt idx="913">
                  <c:v>84.891986889999998</c:v>
                </c:pt>
                <c:pt idx="914">
                  <c:v>82.276892649999994</c:v>
                </c:pt>
                <c:pt idx="915">
                  <c:v>82.276892649999994</c:v>
                </c:pt>
                <c:pt idx="916">
                  <c:v>79.202259850000004</c:v>
                </c:pt>
                <c:pt idx="917">
                  <c:v>80.523852189999999</c:v>
                </c:pt>
                <c:pt idx="918">
                  <c:v>80.523852189999999</c:v>
                </c:pt>
                <c:pt idx="919">
                  <c:v>81.397704649999994</c:v>
                </c:pt>
                <c:pt idx="920">
                  <c:v>82.276892649999994</c:v>
                </c:pt>
                <c:pt idx="921">
                  <c:v>85.762083380000007</c:v>
                </c:pt>
                <c:pt idx="922">
                  <c:v>85.762083380000007</c:v>
                </c:pt>
                <c:pt idx="923">
                  <c:v>84.891986889999998</c:v>
                </c:pt>
                <c:pt idx="924">
                  <c:v>83.586986100000004</c:v>
                </c:pt>
                <c:pt idx="925">
                  <c:v>85.762083380000007</c:v>
                </c:pt>
                <c:pt idx="926">
                  <c:v>84.891986889999998</c:v>
                </c:pt>
                <c:pt idx="927">
                  <c:v>83.586986100000004</c:v>
                </c:pt>
                <c:pt idx="928">
                  <c:v>85.762083380000007</c:v>
                </c:pt>
                <c:pt idx="929">
                  <c:v>86.192545629999998</c:v>
                </c:pt>
                <c:pt idx="930">
                  <c:v>84.891986889999998</c:v>
                </c:pt>
                <c:pt idx="931">
                  <c:v>87.058386479999996</c:v>
                </c:pt>
                <c:pt idx="932">
                  <c:v>82.276892649999994</c:v>
                </c:pt>
                <c:pt idx="933">
                  <c:v>84.891986889999998</c:v>
                </c:pt>
                <c:pt idx="934">
                  <c:v>82.276892649999994</c:v>
                </c:pt>
                <c:pt idx="935">
                  <c:v>82.711152870000006</c:v>
                </c:pt>
                <c:pt idx="936">
                  <c:v>81.397704649999994</c:v>
                </c:pt>
                <c:pt idx="937">
                  <c:v>85.762083380000007</c:v>
                </c:pt>
                <c:pt idx="938">
                  <c:v>82.276892649999994</c:v>
                </c:pt>
                <c:pt idx="939">
                  <c:v>81.405228940000001</c:v>
                </c:pt>
                <c:pt idx="940">
                  <c:v>77.875916610000004</c:v>
                </c:pt>
                <c:pt idx="941">
                  <c:v>77.875916610000004</c:v>
                </c:pt>
                <c:pt idx="942">
                  <c:v>80.961047410000006</c:v>
                </c:pt>
                <c:pt idx="943">
                  <c:v>82.276892649999994</c:v>
                </c:pt>
                <c:pt idx="944">
                  <c:v>82.276892649999994</c:v>
                </c:pt>
                <c:pt idx="945">
                  <c:v>81.405228940000001</c:v>
                </c:pt>
                <c:pt idx="946">
                  <c:v>82.276892649999994</c:v>
                </c:pt>
                <c:pt idx="947">
                  <c:v>80.961047410000006</c:v>
                </c:pt>
                <c:pt idx="948">
                  <c:v>83.586986100000004</c:v>
                </c:pt>
                <c:pt idx="949">
                  <c:v>83.153095449999995</c:v>
                </c:pt>
                <c:pt idx="950">
                  <c:v>82.276892649999994</c:v>
                </c:pt>
                <c:pt idx="951">
                  <c:v>82.276892649999994</c:v>
                </c:pt>
                <c:pt idx="952">
                  <c:v>82.284398269999997</c:v>
                </c:pt>
                <c:pt idx="953">
                  <c:v>82.284398269999997</c:v>
                </c:pt>
                <c:pt idx="954">
                  <c:v>81.405228940000001</c:v>
                </c:pt>
                <c:pt idx="955">
                  <c:v>81.405228940000001</c:v>
                </c:pt>
                <c:pt idx="956">
                  <c:v>82.276892649999994</c:v>
                </c:pt>
                <c:pt idx="957">
                  <c:v>82.284398269999997</c:v>
                </c:pt>
                <c:pt idx="958">
                  <c:v>82.284398269999997</c:v>
                </c:pt>
                <c:pt idx="959">
                  <c:v>80.086877509999994</c:v>
                </c:pt>
                <c:pt idx="960">
                  <c:v>83.594462070000006</c:v>
                </c:pt>
                <c:pt idx="961">
                  <c:v>82.276892649999994</c:v>
                </c:pt>
                <c:pt idx="962">
                  <c:v>82.718647970000006</c:v>
                </c:pt>
                <c:pt idx="963">
                  <c:v>81.405228940000001</c:v>
                </c:pt>
                <c:pt idx="964">
                  <c:v>78.755362430000005</c:v>
                </c:pt>
                <c:pt idx="965">
                  <c:v>80.079324720000002</c:v>
                </c:pt>
                <c:pt idx="966">
                  <c:v>81.397704649999994</c:v>
                </c:pt>
                <c:pt idx="967">
                  <c:v>80.961047410000006</c:v>
                </c:pt>
                <c:pt idx="968">
                  <c:v>82.276892649999994</c:v>
                </c:pt>
                <c:pt idx="969">
                  <c:v>82.718647970000006</c:v>
                </c:pt>
                <c:pt idx="970">
                  <c:v>84.460540300000005</c:v>
                </c:pt>
                <c:pt idx="971">
                  <c:v>82.284398269999997</c:v>
                </c:pt>
                <c:pt idx="972">
                  <c:v>82.284398269999997</c:v>
                </c:pt>
                <c:pt idx="973">
                  <c:v>81.405228940000001</c:v>
                </c:pt>
                <c:pt idx="974">
                  <c:v>82.284398269999997</c:v>
                </c:pt>
                <c:pt idx="975">
                  <c:v>78.762941850000004</c:v>
                </c:pt>
                <c:pt idx="976">
                  <c:v>80.968580889999998</c:v>
                </c:pt>
                <c:pt idx="977">
                  <c:v>78.762941850000004</c:v>
                </c:pt>
                <c:pt idx="978">
                  <c:v>78.762941850000004</c:v>
                </c:pt>
                <c:pt idx="979">
                  <c:v>80.086877509999994</c:v>
                </c:pt>
                <c:pt idx="980">
                  <c:v>75.208694050000005</c:v>
                </c:pt>
                <c:pt idx="981">
                  <c:v>76.544179459999995</c:v>
                </c:pt>
                <c:pt idx="982">
                  <c:v>76.986061320000005</c:v>
                </c:pt>
                <c:pt idx="983">
                  <c:v>77.875916610000004</c:v>
                </c:pt>
                <c:pt idx="984">
                  <c:v>75.652056590000001</c:v>
                </c:pt>
                <c:pt idx="985">
                  <c:v>76.986061320000005</c:v>
                </c:pt>
                <c:pt idx="986">
                  <c:v>80.523852189999999</c:v>
                </c:pt>
                <c:pt idx="987">
                  <c:v>75.652056590000001</c:v>
                </c:pt>
                <c:pt idx="988">
                  <c:v>76.986061320000005</c:v>
                </c:pt>
                <c:pt idx="989">
                  <c:v>76.986061320000005</c:v>
                </c:pt>
                <c:pt idx="990">
                  <c:v>72.970159429999995</c:v>
                </c:pt>
                <c:pt idx="991">
                  <c:v>77.875916610000004</c:v>
                </c:pt>
                <c:pt idx="992">
                  <c:v>79.202259850000004</c:v>
                </c:pt>
                <c:pt idx="993">
                  <c:v>76.544179459999995</c:v>
                </c:pt>
                <c:pt idx="994">
                  <c:v>78.323104580000006</c:v>
                </c:pt>
                <c:pt idx="995">
                  <c:v>77.875916610000004</c:v>
                </c:pt>
                <c:pt idx="996">
                  <c:v>75.659696060000002</c:v>
                </c:pt>
                <c:pt idx="997">
                  <c:v>78.323104580000006</c:v>
                </c:pt>
                <c:pt idx="998">
                  <c:v>76.101800600000004</c:v>
                </c:pt>
                <c:pt idx="999">
                  <c:v>79.202259850000004</c:v>
                </c:pt>
                <c:pt idx="1000">
                  <c:v>80.523852189999999</c:v>
                </c:pt>
                <c:pt idx="1001">
                  <c:v>80.523852189999999</c:v>
                </c:pt>
                <c:pt idx="1002">
                  <c:v>82.718647970000006</c:v>
                </c:pt>
                <c:pt idx="1003">
                  <c:v>81.405228940000001</c:v>
                </c:pt>
                <c:pt idx="1004">
                  <c:v>84.027783200000002</c:v>
                </c:pt>
                <c:pt idx="1005">
                  <c:v>82.718647970000006</c:v>
                </c:pt>
                <c:pt idx="1006">
                  <c:v>87.494480339999996</c:v>
                </c:pt>
                <c:pt idx="1007">
                  <c:v>85.323607859999996</c:v>
                </c:pt>
                <c:pt idx="1008">
                  <c:v>84.020316870000002</c:v>
                </c:pt>
                <c:pt idx="1009">
                  <c:v>85.323607859999996</c:v>
                </c:pt>
                <c:pt idx="1010">
                  <c:v>85.323607859999996</c:v>
                </c:pt>
                <c:pt idx="1011">
                  <c:v>86.192545629999998</c:v>
                </c:pt>
                <c:pt idx="1012">
                  <c:v>82.711152870000006</c:v>
                </c:pt>
                <c:pt idx="1013">
                  <c:v>90.484855949999996</c:v>
                </c:pt>
                <c:pt idx="1014">
                  <c:v>87.058386479999996</c:v>
                </c:pt>
                <c:pt idx="1015">
                  <c:v>86.192545629999998</c:v>
                </c:pt>
                <c:pt idx="1016">
                  <c:v>87.487093729999998</c:v>
                </c:pt>
                <c:pt idx="1017">
                  <c:v>89.635700749999998</c:v>
                </c:pt>
                <c:pt idx="1018">
                  <c:v>84.891986889999998</c:v>
                </c:pt>
                <c:pt idx="1019">
                  <c:v>87.494480339999996</c:v>
                </c:pt>
                <c:pt idx="1020">
                  <c:v>84.891986889999998</c:v>
                </c:pt>
                <c:pt idx="1021">
                  <c:v>84.027783200000002</c:v>
                </c:pt>
                <c:pt idx="1022">
                  <c:v>84.027783200000002</c:v>
                </c:pt>
                <c:pt idx="1023">
                  <c:v>84.899432570000002</c:v>
                </c:pt>
                <c:pt idx="1024">
                  <c:v>82.718647970000006</c:v>
                </c:pt>
                <c:pt idx="1025">
                  <c:v>86.199962600000006</c:v>
                </c:pt>
                <c:pt idx="1026">
                  <c:v>86.199962600000006</c:v>
                </c:pt>
                <c:pt idx="1027">
                  <c:v>87.494480339999996</c:v>
                </c:pt>
                <c:pt idx="1028">
                  <c:v>86.199962600000006</c:v>
                </c:pt>
                <c:pt idx="1029">
                  <c:v>82.718647970000006</c:v>
                </c:pt>
                <c:pt idx="1030">
                  <c:v>88.350109630000006</c:v>
                </c:pt>
                <c:pt idx="1031">
                  <c:v>89.209976960000006</c:v>
                </c:pt>
                <c:pt idx="1032">
                  <c:v>82.718647970000006</c:v>
                </c:pt>
                <c:pt idx="1033">
                  <c:v>84.891986889999998</c:v>
                </c:pt>
                <c:pt idx="1034">
                  <c:v>88.350109630000006</c:v>
                </c:pt>
                <c:pt idx="1035">
                  <c:v>89.635700749999998</c:v>
                </c:pt>
                <c:pt idx="1036">
                  <c:v>89.635700749999998</c:v>
                </c:pt>
                <c:pt idx="1037">
                  <c:v>88.350109630000006</c:v>
                </c:pt>
                <c:pt idx="1038">
                  <c:v>87.058386479999996</c:v>
                </c:pt>
                <c:pt idx="1039">
                  <c:v>89.635700749999998</c:v>
                </c:pt>
                <c:pt idx="1040">
                  <c:v>93.038532979999999</c:v>
                </c:pt>
                <c:pt idx="1041">
                  <c:v>87.058386479999996</c:v>
                </c:pt>
                <c:pt idx="1042">
                  <c:v>89.635700749999998</c:v>
                </c:pt>
                <c:pt idx="1043">
                  <c:v>84.891986889999998</c:v>
                </c:pt>
                <c:pt idx="1044">
                  <c:v>86.192545629999998</c:v>
                </c:pt>
                <c:pt idx="1045">
                  <c:v>89.635700749999998</c:v>
                </c:pt>
                <c:pt idx="1046">
                  <c:v>93.038532979999999</c:v>
                </c:pt>
                <c:pt idx="1047">
                  <c:v>89.635700749999998</c:v>
                </c:pt>
                <c:pt idx="1048">
                  <c:v>85.762083380000007</c:v>
                </c:pt>
                <c:pt idx="1049">
                  <c:v>87.058386479999996</c:v>
                </c:pt>
                <c:pt idx="1050">
                  <c:v>87.922589900000006</c:v>
                </c:pt>
                <c:pt idx="1051">
                  <c:v>84.899432570000002</c:v>
                </c:pt>
                <c:pt idx="1052">
                  <c:v>92.610732819999996</c:v>
                </c:pt>
                <c:pt idx="1053">
                  <c:v>84.891986889999998</c:v>
                </c:pt>
                <c:pt idx="1054">
                  <c:v>84.891986889999998</c:v>
                </c:pt>
                <c:pt idx="1055">
                  <c:v>85.762083380000007</c:v>
                </c:pt>
                <c:pt idx="1056">
                  <c:v>87.915213519999995</c:v>
                </c:pt>
                <c:pt idx="1057">
                  <c:v>87.058386479999996</c:v>
                </c:pt>
                <c:pt idx="1058">
                  <c:v>86.199962600000006</c:v>
                </c:pt>
                <c:pt idx="1059">
                  <c:v>87.915213519999995</c:v>
                </c:pt>
                <c:pt idx="1060">
                  <c:v>84.460540300000005</c:v>
                </c:pt>
                <c:pt idx="1061">
                  <c:v>88.350109630000006</c:v>
                </c:pt>
                <c:pt idx="1062">
                  <c:v>84.891986889999998</c:v>
                </c:pt>
                <c:pt idx="1063">
                  <c:v>84.891986889999998</c:v>
                </c:pt>
                <c:pt idx="1064">
                  <c:v>83.586986100000004</c:v>
                </c:pt>
                <c:pt idx="1065">
                  <c:v>84.891986889999998</c:v>
                </c:pt>
                <c:pt idx="1066">
                  <c:v>84.460540300000005</c:v>
                </c:pt>
                <c:pt idx="1067">
                  <c:v>82.711152870000006</c:v>
                </c:pt>
                <c:pt idx="1068">
                  <c:v>89.635700749999998</c:v>
                </c:pt>
                <c:pt idx="1069">
                  <c:v>85.762083380000007</c:v>
                </c:pt>
                <c:pt idx="1070">
                  <c:v>85.762083380000007</c:v>
                </c:pt>
                <c:pt idx="1071">
                  <c:v>84.891986889999998</c:v>
                </c:pt>
                <c:pt idx="1072">
                  <c:v>85.762083380000007</c:v>
                </c:pt>
                <c:pt idx="1073">
                  <c:v>80.079324720000002</c:v>
                </c:pt>
                <c:pt idx="1074">
                  <c:v>85.762083380000007</c:v>
                </c:pt>
                <c:pt idx="1075">
                  <c:v>84.899432570000002</c:v>
                </c:pt>
                <c:pt idx="1076">
                  <c:v>83.594462070000006</c:v>
                </c:pt>
                <c:pt idx="1077">
                  <c:v>80.086877509999994</c:v>
                </c:pt>
                <c:pt idx="1078">
                  <c:v>85.762083380000007</c:v>
                </c:pt>
                <c:pt idx="1079">
                  <c:v>80.086877509999994</c:v>
                </c:pt>
                <c:pt idx="1080">
                  <c:v>81.405228940000001</c:v>
                </c:pt>
                <c:pt idx="1081">
                  <c:v>79.202259850000004</c:v>
                </c:pt>
                <c:pt idx="1082">
                  <c:v>81.405228940000001</c:v>
                </c:pt>
                <c:pt idx="1083">
                  <c:v>83.594462070000006</c:v>
                </c:pt>
                <c:pt idx="1084">
                  <c:v>83.586986100000004</c:v>
                </c:pt>
                <c:pt idx="1085">
                  <c:v>84.020316870000002</c:v>
                </c:pt>
                <c:pt idx="1086">
                  <c:v>80.079324720000002</c:v>
                </c:pt>
                <c:pt idx="1087">
                  <c:v>81.397704649999994</c:v>
                </c:pt>
                <c:pt idx="1088">
                  <c:v>85.762083380000007</c:v>
                </c:pt>
                <c:pt idx="1089">
                  <c:v>81.405228940000001</c:v>
                </c:pt>
                <c:pt idx="1090">
                  <c:v>81.405228940000001</c:v>
                </c:pt>
                <c:pt idx="1091">
                  <c:v>86.192545629999998</c:v>
                </c:pt>
                <c:pt idx="1092">
                  <c:v>83.586986100000004</c:v>
                </c:pt>
                <c:pt idx="1093">
                  <c:v>84.891986889999998</c:v>
                </c:pt>
                <c:pt idx="1094">
                  <c:v>80.523852189999999</c:v>
                </c:pt>
                <c:pt idx="1095">
                  <c:v>84.027783200000002</c:v>
                </c:pt>
                <c:pt idx="1096">
                  <c:v>93.884261949999996</c:v>
                </c:pt>
                <c:pt idx="1097">
                  <c:v>89.635700749999998</c:v>
                </c:pt>
                <c:pt idx="1098">
                  <c:v>86.199962600000006</c:v>
                </c:pt>
                <c:pt idx="1099">
                  <c:v>90.915794009999999</c:v>
                </c:pt>
                <c:pt idx="1100">
                  <c:v>88.350109630000006</c:v>
                </c:pt>
                <c:pt idx="1101">
                  <c:v>91.767774239999994</c:v>
                </c:pt>
                <c:pt idx="1102">
                  <c:v>96.393321510000007</c:v>
                </c:pt>
                <c:pt idx="1103">
                  <c:v>102.9873886</c:v>
                </c:pt>
                <c:pt idx="1104">
                  <c:v>99.297599469999994</c:v>
                </c:pt>
                <c:pt idx="1105">
                  <c:v>110.9974619</c:v>
                </c:pt>
                <c:pt idx="1106">
                  <c:v>122.1341827</c:v>
                </c:pt>
                <c:pt idx="1107">
                  <c:v>113.3544048</c:v>
                </c:pt>
                <c:pt idx="1108">
                  <c:v>118.36070239999999</c:v>
                </c:pt>
                <c:pt idx="1109">
                  <c:v>114.9053189</c:v>
                </c:pt>
                <c:pt idx="1110">
                  <c:v>119.12362779999999</c:v>
                </c:pt>
                <c:pt idx="1111">
                  <c:v>116.4455014</c:v>
                </c:pt>
                <c:pt idx="1112">
                  <c:v>112.18199679999999</c:v>
                </c:pt>
                <c:pt idx="1113">
                  <c:v>129.48707379999999</c:v>
                </c:pt>
                <c:pt idx="1114">
                  <c:v>125.108964</c:v>
                </c:pt>
                <c:pt idx="1115">
                  <c:v>117.9749527</c:v>
                </c:pt>
                <c:pt idx="1116">
                  <c:v>104.61473460000001</c:v>
                </c:pt>
                <c:pt idx="1117">
                  <c:v>100.12409340000001</c:v>
                </c:pt>
                <c:pt idx="1118">
                  <c:v>103.80204430000001</c:v>
                </c:pt>
                <c:pt idx="1119">
                  <c:v>102.5822131</c:v>
                </c:pt>
                <c:pt idx="1120">
                  <c:v>101.36348099999999</c:v>
                </c:pt>
                <c:pt idx="1121">
                  <c:v>101.36348099999999</c:v>
                </c:pt>
                <c:pt idx="1122">
                  <c:v>96.815355729999993</c:v>
                </c:pt>
                <c:pt idx="1123">
                  <c:v>94.720978599999995</c:v>
                </c:pt>
                <c:pt idx="1124">
                  <c:v>100.9486689</c:v>
                </c:pt>
                <c:pt idx="1125">
                  <c:v>97.229596529999995</c:v>
                </c:pt>
                <c:pt idx="1126">
                  <c:v>102.9943694</c:v>
                </c:pt>
                <c:pt idx="1127">
                  <c:v>95.561650760000006</c:v>
                </c:pt>
                <c:pt idx="1128">
                  <c:v>93.877037450000003</c:v>
                </c:pt>
                <c:pt idx="1129">
                  <c:v>93.877037450000003</c:v>
                </c:pt>
                <c:pt idx="1130">
                  <c:v>92.610732819999996</c:v>
                </c:pt>
                <c:pt idx="1131">
                  <c:v>93.457733590000004</c:v>
                </c:pt>
                <c:pt idx="1132">
                  <c:v>92.610732819999996</c:v>
                </c:pt>
                <c:pt idx="1133">
                  <c:v>98.886564129999996</c:v>
                </c:pt>
                <c:pt idx="1134">
                  <c:v>102.17638460000001</c:v>
                </c:pt>
                <c:pt idx="1135">
                  <c:v>97.229596529999995</c:v>
                </c:pt>
                <c:pt idx="1136">
                  <c:v>95.561650760000006</c:v>
                </c:pt>
                <c:pt idx="1137">
                  <c:v>98.886564129999996</c:v>
                </c:pt>
                <c:pt idx="1138">
                  <c:v>95.977802339999997</c:v>
                </c:pt>
                <c:pt idx="1139">
                  <c:v>95.561650760000006</c:v>
                </c:pt>
                <c:pt idx="1140">
                  <c:v>93.457733590000004</c:v>
                </c:pt>
                <c:pt idx="1141">
                  <c:v>96.815355729999993</c:v>
                </c:pt>
                <c:pt idx="1142">
                  <c:v>100.1311515</c:v>
                </c:pt>
                <c:pt idx="1143">
                  <c:v>103.3988808</c:v>
                </c:pt>
                <c:pt idx="1144">
                  <c:v>102.17638460000001</c:v>
                </c:pt>
                <c:pt idx="1145">
                  <c:v>96.808208239999999</c:v>
                </c:pt>
                <c:pt idx="1146">
                  <c:v>100.12409340000001</c:v>
                </c:pt>
                <c:pt idx="1147">
                  <c:v>98.055454810000001</c:v>
                </c:pt>
                <c:pt idx="1148">
                  <c:v>103.3988808</c:v>
                </c:pt>
                <c:pt idx="1149">
                  <c:v>98.055454810000001</c:v>
                </c:pt>
                <c:pt idx="1150">
                  <c:v>93.457733590000004</c:v>
                </c:pt>
                <c:pt idx="1151">
                  <c:v>95.977802339999997</c:v>
                </c:pt>
                <c:pt idx="1152">
                  <c:v>98.886564129999996</c:v>
                </c:pt>
                <c:pt idx="1153">
                  <c:v>94.720978599999995</c:v>
                </c:pt>
                <c:pt idx="1154">
                  <c:v>100.12409340000001</c:v>
                </c:pt>
                <c:pt idx="1155">
                  <c:v>98.886564129999996</c:v>
                </c:pt>
                <c:pt idx="1156">
                  <c:v>94.720978599999995</c:v>
                </c:pt>
                <c:pt idx="1157">
                  <c:v>100.9486689</c:v>
                </c:pt>
                <c:pt idx="1158">
                  <c:v>103.3988808</c:v>
                </c:pt>
                <c:pt idx="1159">
                  <c:v>108.62303609999999</c:v>
                </c:pt>
                <c:pt idx="1160">
                  <c:v>93.457733590000004</c:v>
                </c:pt>
                <c:pt idx="1161">
                  <c:v>98.893656829999998</c:v>
                </c:pt>
                <c:pt idx="1162">
                  <c:v>91.345373739999999</c:v>
                </c:pt>
                <c:pt idx="1163">
                  <c:v>94.720978599999995</c:v>
                </c:pt>
                <c:pt idx="1164">
                  <c:v>97.229596529999995</c:v>
                </c:pt>
                <c:pt idx="1165">
                  <c:v>91.338086169999997</c:v>
                </c:pt>
                <c:pt idx="1166">
                  <c:v>90.492164919999993</c:v>
                </c:pt>
                <c:pt idx="1167">
                  <c:v>92.610732819999996</c:v>
                </c:pt>
                <c:pt idx="1168">
                  <c:v>87.058386479999996</c:v>
                </c:pt>
                <c:pt idx="1169">
                  <c:v>90.492164919999993</c:v>
                </c:pt>
                <c:pt idx="1170">
                  <c:v>90.492164919999993</c:v>
                </c:pt>
                <c:pt idx="1171">
                  <c:v>90.060609240000005</c:v>
                </c:pt>
                <c:pt idx="1172">
                  <c:v>91.338086169999997</c:v>
                </c:pt>
                <c:pt idx="1173">
                  <c:v>87.058386479999996</c:v>
                </c:pt>
                <c:pt idx="1174">
                  <c:v>93.877037450000003</c:v>
                </c:pt>
                <c:pt idx="1175">
                  <c:v>89.209976960000006</c:v>
                </c:pt>
                <c:pt idx="1176">
                  <c:v>91.338086169999997</c:v>
                </c:pt>
                <c:pt idx="1177">
                  <c:v>84.891986889999998</c:v>
                </c:pt>
                <c:pt idx="1178">
                  <c:v>87.058386479999996</c:v>
                </c:pt>
                <c:pt idx="1179">
                  <c:v>87.922589900000006</c:v>
                </c:pt>
                <c:pt idx="1180">
                  <c:v>95.977802339999997</c:v>
                </c:pt>
                <c:pt idx="1181">
                  <c:v>92.617989059999999</c:v>
                </c:pt>
                <c:pt idx="1182">
                  <c:v>91.767774239999994</c:v>
                </c:pt>
                <c:pt idx="1183">
                  <c:v>97.229596529999995</c:v>
                </c:pt>
                <c:pt idx="1184">
                  <c:v>93.877037450000003</c:v>
                </c:pt>
                <c:pt idx="1185">
                  <c:v>95.138397370000007</c:v>
                </c:pt>
                <c:pt idx="1186">
                  <c:v>93.877037450000003</c:v>
                </c:pt>
                <c:pt idx="1187">
                  <c:v>95.977802339999997</c:v>
                </c:pt>
                <c:pt idx="1188">
                  <c:v>97.229596529999995</c:v>
                </c:pt>
                <c:pt idx="1189">
                  <c:v>101.36348099999999</c:v>
                </c:pt>
                <c:pt idx="1190">
                  <c:v>99.714355679999997</c:v>
                </c:pt>
                <c:pt idx="1191">
                  <c:v>103.8090014</c:v>
                </c:pt>
                <c:pt idx="1192">
                  <c:v>103.8090014</c:v>
                </c:pt>
                <c:pt idx="1193">
                  <c:v>103.80204430000001</c:v>
                </c:pt>
                <c:pt idx="1194">
                  <c:v>102.9873886</c:v>
                </c:pt>
                <c:pt idx="1195">
                  <c:v>104.61473460000001</c:v>
                </c:pt>
                <c:pt idx="1196">
                  <c:v>106.2245245</c:v>
                </c:pt>
                <c:pt idx="1197">
                  <c:v>101.7699069</c:v>
                </c:pt>
                <c:pt idx="1198">
                  <c:v>106.2245245</c:v>
                </c:pt>
                <c:pt idx="1199">
                  <c:v>109.0251016</c:v>
                </c:pt>
                <c:pt idx="1200">
                  <c:v>112.18199679999999</c:v>
                </c:pt>
                <c:pt idx="1201">
                  <c:v>105.0166174</c:v>
                </c:pt>
                <c:pt idx="1202">
                  <c:v>105.0166174</c:v>
                </c:pt>
                <c:pt idx="1203">
                  <c:v>109.0251016</c:v>
                </c:pt>
                <c:pt idx="1204">
                  <c:v>123.998997</c:v>
                </c:pt>
                <c:pt idx="1205">
                  <c:v>126.9470365</c:v>
                </c:pt>
                <c:pt idx="1206">
                  <c:v>130.92322350000001</c:v>
                </c:pt>
                <c:pt idx="1207">
                  <c:v>129.12778700000001</c:v>
                </c:pt>
                <c:pt idx="1208">
                  <c:v>133.7707528</c:v>
                </c:pt>
                <c:pt idx="1209">
                  <c:v>131.64072830000001</c:v>
                </c:pt>
                <c:pt idx="1210">
                  <c:v>126.9470365</c:v>
                </c:pt>
                <c:pt idx="1211">
                  <c:v>126.9470365</c:v>
                </c:pt>
                <c:pt idx="1212">
                  <c:v>119.87671349999999</c:v>
                </c:pt>
                <c:pt idx="1213">
                  <c:v>132.70838019999999</c:v>
                </c:pt>
                <c:pt idx="1214">
                  <c:v>133.7707528</c:v>
                </c:pt>
                <c:pt idx="1215">
                  <c:v>135.52973059999999</c:v>
                </c:pt>
                <c:pt idx="1216">
                  <c:v>129.12778700000001</c:v>
                </c:pt>
                <c:pt idx="1217">
                  <c:v>119.87671349999999</c:v>
                </c:pt>
                <c:pt idx="1218">
                  <c:v>130.567172</c:v>
                </c:pt>
                <c:pt idx="1219">
                  <c:v>122.1341827</c:v>
                </c:pt>
                <c:pt idx="1220">
                  <c:v>136.5531871</c:v>
                </c:pt>
                <c:pt idx="1221">
                  <c:v>131.9954343</c:v>
                </c:pt>
                <c:pt idx="1222">
                  <c:v>124.3675379</c:v>
                </c:pt>
                <c:pt idx="1223">
                  <c:v>124.3675379</c:v>
                </c:pt>
                <c:pt idx="1224">
                  <c:v>129.12158679999999</c:v>
                </c:pt>
                <c:pt idx="1225">
                  <c:v>124.3675379</c:v>
                </c:pt>
                <c:pt idx="1226">
                  <c:v>124.3675379</c:v>
                </c:pt>
                <c:pt idx="1227">
                  <c:v>118.36070239999999</c:v>
                </c:pt>
                <c:pt idx="1228">
                  <c:v>120.2525852</c:v>
                </c:pt>
                <c:pt idx="1229">
                  <c:v>119.11711819999999</c:v>
                </c:pt>
                <c:pt idx="1230">
                  <c:v>117.21518</c:v>
                </c:pt>
                <c:pt idx="1231">
                  <c:v>114.1275401</c:v>
                </c:pt>
                <c:pt idx="1232">
                  <c:v>126.9470365</c:v>
                </c:pt>
                <c:pt idx="1233">
                  <c:v>109.0251016</c:v>
                </c:pt>
                <c:pt idx="1234">
                  <c:v>121.00878899999999</c:v>
                </c:pt>
                <c:pt idx="1235">
                  <c:v>121.00878899999999</c:v>
                </c:pt>
                <c:pt idx="1236">
                  <c:v>115.2898797</c:v>
                </c:pt>
                <c:pt idx="1237">
                  <c:v>116.4455014</c:v>
                </c:pt>
                <c:pt idx="1238">
                  <c:v>121.00878899999999</c:v>
                </c:pt>
                <c:pt idx="1239">
                  <c:v>107.0292163</c:v>
                </c:pt>
                <c:pt idx="1240">
                  <c:v>126.9407683</c:v>
                </c:pt>
                <c:pt idx="1241">
                  <c:v>110.21295859999999</c:v>
                </c:pt>
                <c:pt idx="1242">
                  <c:v>112.1752807</c:v>
                </c:pt>
                <c:pt idx="1243">
                  <c:v>112.1752807</c:v>
                </c:pt>
                <c:pt idx="1244">
                  <c:v>110.9974619</c:v>
                </c:pt>
                <c:pt idx="1245">
                  <c:v>119.87671349999999</c:v>
                </c:pt>
                <c:pt idx="1246">
                  <c:v>114.8986831</c:v>
                </c:pt>
                <c:pt idx="1247">
                  <c:v>110.9974619</c:v>
                </c:pt>
                <c:pt idx="1248">
                  <c:v>109.01829240000001</c:v>
                </c:pt>
                <c:pt idx="1249">
                  <c:v>107.8236938</c:v>
                </c:pt>
                <c:pt idx="1250">
                  <c:v>113.3477233</c:v>
                </c:pt>
                <c:pt idx="1251">
                  <c:v>116.4455014</c:v>
                </c:pt>
                <c:pt idx="1252">
                  <c:v>111.7853645</c:v>
                </c:pt>
                <c:pt idx="1253">
                  <c:v>109.0251016</c:v>
                </c:pt>
                <c:pt idx="1254">
                  <c:v>103.3988808</c:v>
                </c:pt>
                <c:pt idx="1255">
                  <c:v>107.0292163</c:v>
                </c:pt>
                <c:pt idx="1256">
                  <c:v>110.60554279999999</c:v>
                </c:pt>
                <c:pt idx="1257">
                  <c:v>104.61473460000001</c:v>
                </c:pt>
                <c:pt idx="1258">
                  <c:v>107.8305381</c:v>
                </c:pt>
                <c:pt idx="1259">
                  <c:v>99.304680700000006</c:v>
                </c:pt>
                <c:pt idx="1260">
                  <c:v>104.61473460000001</c:v>
                </c:pt>
                <c:pt idx="1261">
                  <c:v>104.61473460000001</c:v>
                </c:pt>
                <c:pt idx="1262">
                  <c:v>102.5822131</c:v>
                </c:pt>
                <c:pt idx="1263">
                  <c:v>110.9974619</c:v>
                </c:pt>
                <c:pt idx="1264">
                  <c:v>105.0166174</c:v>
                </c:pt>
                <c:pt idx="1265">
                  <c:v>98.474887140000007</c:v>
                </c:pt>
                <c:pt idx="1266">
                  <c:v>102.5822131</c:v>
                </c:pt>
                <c:pt idx="1267">
                  <c:v>98.062569339999996</c:v>
                </c:pt>
                <c:pt idx="1268">
                  <c:v>98.474887140000007</c:v>
                </c:pt>
                <c:pt idx="1269">
                  <c:v>98.474887140000007</c:v>
                </c:pt>
                <c:pt idx="1270">
                  <c:v>93.038532979999999</c:v>
                </c:pt>
                <c:pt idx="1271">
                  <c:v>91.767774239999994</c:v>
                </c:pt>
                <c:pt idx="1272">
                  <c:v>96.393321510000007</c:v>
                </c:pt>
                <c:pt idx="1273">
                  <c:v>105.0166174</c:v>
                </c:pt>
                <c:pt idx="1274">
                  <c:v>108.2271172</c:v>
                </c:pt>
                <c:pt idx="1275">
                  <c:v>97.229596529999995</c:v>
                </c:pt>
                <c:pt idx="1276">
                  <c:v>100.5402337</c:v>
                </c:pt>
                <c:pt idx="1277">
                  <c:v>96.393321510000007</c:v>
                </c:pt>
                <c:pt idx="1278">
                  <c:v>96.400480259999995</c:v>
                </c:pt>
                <c:pt idx="1279">
                  <c:v>100.9486689</c:v>
                </c:pt>
                <c:pt idx="1280">
                  <c:v>97.649612750000003</c:v>
                </c:pt>
                <c:pt idx="1281">
                  <c:v>96.400480259999995</c:v>
                </c:pt>
                <c:pt idx="1282">
                  <c:v>97.229596529999995</c:v>
                </c:pt>
                <c:pt idx="1283">
                  <c:v>105.42475589999999</c:v>
                </c:pt>
                <c:pt idx="1284">
                  <c:v>99.714355679999997</c:v>
                </c:pt>
                <c:pt idx="1285">
                  <c:v>97.642487979999999</c:v>
                </c:pt>
                <c:pt idx="1286">
                  <c:v>102.9873886</c:v>
                </c:pt>
                <c:pt idx="1287">
                  <c:v>103.80204430000001</c:v>
                </c:pt>
                <c:pt idx="1288">
                  <c:v>102.9873886</c:v>
                </c:pt>
                <c:pt idx="1289">
                  <c:v>104.2121959</c:v>
                </c:pt>
                <c:pt idx="1290">
                  <c:v>106.2245245</c:v>
                </c:pt>
                <c:pt idx="1291">
                  <c:v>109.4196846</c:v>
                </c:pt>
                <c:pt idx="1292">
                  <c:v>102.17638460000001</c:v>
                </c:pt>
                <c:pt idx="1293">
                  <c:v>105.0235411</c:v>
                </c:pt>
                <c:pt idx="1294">
                  <c:v>109.0251016</c:v>
                </c:pt>
                <c:pt idx="1295">
                  <c:v>110.21295859999999</c:v>
                </c:pt>
                <c:pt idx="1296">
                  <c:v>118.36070239999999</c:v>
                </c:pt>
                <c:pt idx="1297">
                  <c:v>114.1275401</c:v>
                </c:pt>
                <c:pt idx="1298">
                  <c:v>108.2271172</c:v>
                </c:pt>
                <c:pt idx="1299">
                  <c:v>122.51245830000001</c:v>
                </c:pt>
                <c:pt idx="1300">
                  <c:v>123.6297958</c:v>
                </c:pt>
                <c:pt idx="1301">
                  <c:v>130.92322350000001</c:v>
                </c:pt>
                <c:pt idx="1302">
                  <c:v>126.21229889999999</c:v>
                </c:pt>
                <c:pt idx="1303">
                  <c:v>129.12778700000001</c:v>
                </c:pt>
                <c:pt idx="1304">
                  <c:v>115.673114</c:v>
                </c:pt>
                <c:pt idx="1305">
                  <c:v>129.12778700000001</c:v>
                </c:pt>
                <c:pt idx="1306">
                  <c:v>124.3675379</c:v>
                </c:pt>
                <c:pt idx="1307">
                  <c:v>114.5134446</c:v>
                </c:pt>
                <c:pt idx="1308">
                  <c:v>124.3675379</c:v>
                </c:pt>
                <c:pt idx="1309">
                  <c:v>113.3477233</c:v>
                </c:pt>
                <c:pt idx="1310">
                  <c:v>114.1275401</c:v>
                </c:pt>
                <c:pt idx="1311">
                  <c:v>120.2525852</c:v>
                </c:pt>
                <c:pt idx="1312">
                  <c:v>114.8986831</c:v>
                </c:pt>
                <c:pt idx="1313">
                  <c:v>114.1275401</c:v>
                </c:pt>
                <c:pt idx="1314">
                  <c:v>112.9598134</c:v>
                </c:pt>
                <c:pt idx="1315">
                  <c:v>114.1275401</c:v>
                </c:pt>
                <c:pt idx="1316">
                  <c:v>113.74097140000001</c:v>
                </c:pt>
                <c:pt idx="1317">
                  <c:v>114.1275401</c:v>
                </c:pt>
                <c:pt idx="1318">
                  <c:v>107.0292163</c:v>
                </c:pt>
                <c:pt idx="1319">
                  <c:v>112.9598134</c:v>
                </c:pt>
                <c:pt idx="1320">
                  <c:v>110.9974619</c:v>
                </c:pt>
                <c:pt idx="1321">
                  <c:v>107.8305381</c:v>
                </c:pt>
                <c:pt idx="1322">
                  <c:v>109.0251016</c:v>
                </c:pt>
                <c:pt idx="1323">
                  <c:v>115.2898797</c:v>
                </c:pt>
                <c:pt idx="1324">
                  <c:v>104.61473460000001</c:v>
                </c:pt>
                <c:pt idx="1325">
                  <c:v>110.9974619</c:v>
                </c:pt>
                <c:pt idx="1326">
                  <c:v>103.80204430000001</c:v>
                </c:pt>
                <c:pt idx="1327">
                  <c:v>109.0251016</c:v>
                </c:pt>
                <c:pt idx="1328">
                  <c:v>109.8129265</c:v>
                </c:pt>
                <c:pt idx="1329">
                  <c:v>111.0042136</c:v>
                </c:pt>
                <c:pt idx="1330">
                  <c:v>112.9598134</c:v>
                </c:pt>
                <c:pt idx="1331">
                  <c:v>109.0251016</c:v>
                </c:pt>
                <c:pt idx="1332">
                  <c:v>107.8305381</c:v>
                </c:pt>
                <c:pt idx="1333">
                  <c:v>122.1341827</c:v>
                </c:pt>
                <c:pt idx="1334">
                  <c:v>105.42475589999999</c:v>
                </c:pt>
                <c:pt idx="1335">
                  <c:v>109.8197124</c:v>
                </c:pt>
                <c:pt idx="1336">
                  <c:v>99.304680700000006</c:v>
                </c:pt>
                <c:pt idx="1337">
                  <c:v>98.474887140000007</c:v>
                </c:pt>
                <c:pt idx="1338">
                  <c:v>109.0251016</c:v>
                </c:pt>
                <c:pt idx="1339">
                  <c:v>107.0292163</c:v>
                </c:pt>
                <c:pt idx="1340">
                  <c:v>101.7699069</c:v>
                </c:pt>
                <c:pt idx="1341">
                  <c:v>104.61473460000001</c:v>
                </c:pt>
                <c:pt idx="1342">
                  <c:v>107.0292163</c:v>
                </c:pt>
                <c:pt idx="1343">
                  <c:v>98.055454810000001</c:v>
                </c:pt>
                <c:pt idx="1344">
                  <c:v>100.5402337</c:v>
                </c:pt>
                <c:pt idx="1345">
                  <c:v>101.7699069</c:v>
                </c:pt>
                <c:pt idx="1346">
                  <c:v>96.808208239999999</c:v>
                </c:pt>
                <c:pt idx="1347">
                  <c:v>103.3988808</c:v>
                </c:pt>
                <c:pt idx="1348">
                  <c:v>103.3988808</c:v>
                </c:pt>
                <c:pt idx="1349">
                  <c:v>105.0235411</c:v>
                </c:pt>
                <c:pt idx="1350">
                  <c:v>104.61473460000001</c:v>
                </c:pt>
                <c:pt idx="1351">
                  <c:v>94.720978599999995</c:v>
                </c:pt>
                <c:pt idx="1352">
                  <c:v>95.138397370000007</c:v>
                </c:pt>
                <c:pt idx="1353">
                  <c:v>99.304680700000006</c:v>
                </c:pt>
                <c:pt idx="1354">
                  <c:v>95.138397370000007</c:v>
                </c:pt>
                <c:pt idx="1355">
                  <c:v>100.5402337</c:v>
                </c:pt>
                <c:pt idx="1356">
                  <c:v>107.0292163</c:v>
                </c:pt>
                <c:pt idx="1357">
                  <c:v>87.058386479999996</c:v>
                </c:pt>
                <c:pt idx="1358">
                  <c:v>97.229596529999995</c:v>
                </c:pt>
                <c:pt idx="1359">
                  <c:v>85.762083380000007</c:v>
                </c:pt>
                <c:pt idx="1360">
                  <c:v>91.338086169999997</c:v>
                </c:pt>
                <c:pt idx="1361">
                  <c:v>90.484855949999996</c:v>
                </c:pt>
                <c:pt idx="1362">
                  <c:v>89.635700749999998</c:v>
                </c:pt>
                <c:pt idx="1363">
                  <c:v>98.474887140000007</c:v>
                </c:pt>
                <c:pt idx="1364">
                  <c:v>93.877037450000003</c:v>
                </c:pt>
                <c:pt idx="1365">
                  <c:v>95.977802339999997</c:v>
                </c:pt>
                <c:pt idx="1366">
                  <c:v>95.138397370000007</c:v>
                </c:pt>
                <c:pt idx="1367">
                  <c:v>97.229596529999995</c:v>
                </c:pt>
                <c:pt idx="1368">
                  <c:v>95.138397370000007</c:v>
                </c:pt>
                <c:pt idx="1369">
                  <c:v>98.474887140000007</c:v>
                </c:pt>
                <c:pt idx="1370">
                  <c:v>90.915794009999999</c:v>
                </c:pt>
                <c:pt idx="1371">
                  <c:v>101.3564556</c:v>
                </c:pt>
                <c:pt idx="1372">
                  <c:v>95.977802339999997</c:v>
                </c:pt>
                <c:pt idx="1373">
                  <c:v>101.3564556</c:v>
                </c:pt>
                <c:pt idx="1374">
                  <c:v>89.635700749999998</c:v>
                </c:pt>
                <c:pt idx="1375">
                  <c:v>99.714355679999997</c:v>
                </c:pt>
                <c:pt idx="1376">
                  <c:v>86.192545629999998</c:v>
                </c:pt>
                <c:pt idx="1377">
                  <c:v>100.5402337</c:v>
                </c:pt>
                <c:pt idx="1378">
                  <c:v>93.877037450000003</c:v>
                </c:pt>
                <c:pt idx="1379">
                  <c:v>95.145588619999998</c:v>
                </c:pt>
                <c:pt idx="1380">
                  <c:v>100.9486689</c:v>
                </c:pt>
                <c:pt idx="1381">
                  <c:v>94.302932269999999</c:v>
                </c:pt>
                <c:pt idx="1382">
                  <c:v>100.5402337</c:v>
                </c:pt>
                <c:pt idx="1383">
                  <c:v>98.474887140000007</c:v>
                </c:pt>
                <c:pt idx="1384">
                  <c:v>102.5822131</c:v>
                </c:pt>
                <c:pt idx="1385">
                  <c:v>101.7628931</c:v>
                </c:pt>
                <c:pt idx="1386">
                  <c:v>93.031286489999999</c:v>
                </c:pt>
                <c:pt idx="1387">
                  <c:v>99.297599469999994</c:v>
                </c:pt>
                <c:pt idx="1388">
                  <c:v>106.2245245</c:v>
                </c:pt>
                <c:pt idx="1389">
                  <c:v>100.9486689</c:v>
                </c:pt>
                <c:pt idx="1390">
                  <c:v>105.0166174</c:v>
                </c:pt>
                <c:pt idx="1391">
                  <c:v>106.2245245</c:v>
                </c:pt>
                <c:pt idx="1392">
                  <c:v>102.9873886</c:v>
                </c:pt>
                <c:pt idx="1393">
                  <c:v>98.474887140000007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90-4CB4-91E8-C6CD51C49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1"/>
          <c:tx>
            <c:strRef>
              <c:f>'storms - seasonal amp funct'!$G$2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funct'!$AW$3:$AW$1396</c:f>
              <c:numCache>
                <c:formatCode>m/d/yyyy\ h:mm</c:formatCode>
                <c:ptCount val="1394"/>
                <c:pt idx="0">
                  <c:v>45037.166666666664</c:v>
                </c:pt>
                <c:pt idx="1">
                  <c:v>45037.177083333336</c:v>
                </c:pt>
                <c:pt idx="2">
                  <c:v>45037.1875</c:v>
                </c:pt>
                <c:pt idx="3">
                  <c:v>45037.197916666664</c:v>
                </c:pt>
                <c:pt idx="4">
                  <c:v>45037.208333333336</c:v>
                </c:pt>
                <c:pt idx="5">
                  <c:v>45037.21875</c:v>
                </c:pt>
                <c:pt idx="6">
                  <c:v>45037.229166666664</c:v>
                </c:pt>
                <c:pt idx="7">
                  <c:v>45037.239583333336</c:v>
                </c:pt>
                <c:pt idx="8">
                  <c:v>45037.25</c:v>
                </c:pt>
                <c:pt idx="9">
                  <c:v>45037.260416666664</c:v>
                </c:pt>
                <c:pt idx="10">
                  <c:v>45037.270833333336</c:v>
                </c:pt>
                <c:pt idx="11">
                  <c:v>45037.28125</c:v>
                </c:pt>
                <c:pt idx="12">
                  <c:v>45037.291666666664</c:v>
                </c:pt>
                <c:pt idx="13">
                  <c:v>45037.302083333336</c:v>
                </c:pt>
                <c:pt idx="14">
                  <c:v>45037.3125</c:v>
                </c:pt>
                <c:pt idx="15">
                  <c:v>45037.322916666664</c:v>
                </c:pt>
                <c:pt idx="16">
                  <c:v>45037.333333333336</c:v>
                </c:pt>
                <c:pt idx="17">
                  <c:v>45037.34375</c:v>
                </c:pt>
                <c:pt idx="18">
                  <c:v>45037.354166666664</c:v>
                </c:pt>
                <c:pt idx="19">
                  <c:v>45037.364583333336</c:v>
                </c:pt>
                <c:pt idx="20">
                  <c:v>45037.375</c:v>
                </c:pt>
                <c:pt idx="21">
                  <c:v>45037.385416666664</c:v>
                </c:pt>
                <c:pt idx="22">
                  <c:v>45037.395833333336</c:v>
                </c:pt>
                <c:pt idx="23">
                  <c:v>45037.40625</c:v>
                </c:pt>
                <c:pt idx="24">
                  <c:v>45037.416666666664</c:v>
                </c:pt>
                <c:pt idx="25">
                  <c:v>45037.427083333336</c:v>
                </c:pt>
                <c:pt idx="26">
                  <c:v>45037.4375</c:v>
                </c:pt>
                <c:pt idx="27">
                  <c:v>45037.447916666664</c:v>
                </c:pt>
                <c:pt idx="28">
                  <c:v>45037.458333333336</c:v>
                </c:pt>
                <c:pt idx="29">
                  <c:v>45037.46875</c:v>
                </c:pt>
                <c:pt idx="30">
                  <c:v>45037.479166666664</c:v>
                </c:pt>
                <c:pt idx="31">
                  <c:v>45037.489583333336</c:v>
                </c:pt>
                <c:pt idx="32">
                  <c:v>45037.5</c:v>
                </c:pt>
                <c:pt idx="33">
                  <c:v>45037.510416666664</c:v>
                </c:pt>
                <c:pt idx="34">
                  <c:v>45037.520833333336</c:v>
                </c:pt>
                <c:pt idx="35">
                  <c:v>45037.53125</c:v>
                </c:pt>
                <c:pt idx="36">
                  <c:v>45037.541666666664</c:v>
                </c:pt>
                <c:pt idx="37">
                  <c:v>45037.552083333336</c:v>
                </c:pt>
                <c:pt idx="38">
                  <c:v>45037.5625</c:v>
                </c:pt>
                <c:pt idx="39">
                  <c:v>45037.572916666664</c:v>
                </c:pt>
                <c:pt idx="40">
                  <c:v>45037.583333333336</c:v>
                </c:pt>
                <c:pt idx="41">
                  <c:v>45037.59375</c:v>
                </c:pt>
                <c:pt idx="42">
                  <c:v>45037.604166666664</c:v>
                </c:pt>
                <c:pt idx="43">
                  <c:v>45037.614583333336</c:v>
                </c:pt>
                <c:pt idx="44">
                  <c:v>45037.625</c:v>
                </c:pt>
                <c:pt idx="45">
                  <c:v>45037.635416666664</c:v>
                </c:pt>
                <c:pt idx="46">
                  <c:v>45037.645833333336</c:v>
                </c:pt>
                <c:pt idx="47">
                  <c:v>45037.65625</c:v>
                </c:pt>
                <c:pt idx="48">
                  <c:v>45037.666666666664</c:v>
                </c:pt>
                <c:pt idx="49">
                  <c:v>45037.677083333336</c:v>
                </c:pt>
                <c:pt idx="50">
                  <c:v>45037.6875</c:v>
                </c:pt>
                <c:pt idx="51">
                  <c:v>45037.697916666664</c:v>
                </c:pt>
                <c:pt idx="52">
                  <c:v>45037.708333333336</c:v>
                </c:pt>
                <c:pt idx="53">
                  <c:v>45037.71875</c:v>
                </c:pt>
                <c:pt idx="54">
                  <c:v>45037.729166666664</c:v>
                </c:pt>
                <c:pt idx="55">
                  <c:v>45037.739583333336</c:v>
                </c:pt>
                <c:pt idx="56">
                  <c:v>45037.75</c:v>
                </c:pt>
                <c:pt idx="57">
                  <c:v>45037.760416666664</c:v>
                </c:pt>
                <c:pt idx="58">
                  <c:v>45037.770833333336</c:v>
                </c:pt>
                <c:pt idx="59">
                  <c:v>45037.78125</c:v>
                </c:pt>
                <c:pt idx="60">
                  <c:v>45037.791666666664</c:v>
                </c:pt>
                <c:pt idx="61">
                  <c:v>45037.802083333336</c:v>
                </c:pt>
                <c:pt idx="62">
                  <c:v>45037.8125</c:v>
                </c:pt>
                <c:pt idx="63">
                  <c:v>45037.822916666664</c:v>
                </c:pt>
                <c:pt idx="64">
                  <c:v>45037.833333333336</c:v>
                </c:pt>
                <c:pt idx="65">
                  <c:v>45037.84375</c:v>
                </c:pt>
                <c:pt idx="66">
                  <c:v>45037.854166666664</c:v>
                </c:pt>
                <c:pt idx="67">
                  <c:v>45037.864583333336</c:v>
                </c:pt>
                <c:pt idx="68">
                  <c:v>45037.875</c:v>
                </c:pt>
                <c:pt idx="69">
                  <c:v>45037.885416666664</c:v>
                </c:pt>
                <c:pt idx="70">
                  <c:v>45037.895833333336</c:v>
                </c:pt>
                <c:pt idx="71">
                  <c:v>45037.90625</c:v>
                </c:pt>
                <c:pt idx="72">
                  <c:v>45037.916666666664</c:v>
                </c:pt>
                <c:pt idx="73">
                  <c:v>45037.927083333336</c:v>
                </c:pt>
                <c:pt idx="74">
                  <c:v>45037.9375</c:v>
                </c:pt>
                <c:pt idx="75">
                  <c:v>45037.947916666664</c:v>
                </c:pt>
                <c:pt idx="76">
                  <c:v>45037.958333333336</c:v>
                </c:pt>
                <c:pt idx="77">
                  <c:v>45037.96875</c:v>
                </c:pt>
                <c:pt idx="78">
                  <c:v>45037.979166666664</c:v>
                </c:pt>
                <c:pt idx="79">
                  <c:v>45037.989583333336</c:v>
                </c:pt>
                <c:pt idx="80">
                  <c:v>45038</c:v>
                </c:pt>
                <c:pt idx="81">
                  <c:v>45038.010416666664</c:v>
                </c:pt>
                <c:pt idx="82">
                  <c:v>45038.020833333336</c:v>
                </c:pt>
                <c:pt idx="83">
                  <c:v>45038.03125</c:v>
                </c:pt>
                <c:pt idx="84">
                  <c:v>45038.041666666664</c:v>
                </c:pt>
                <c:pt idx="85">
                  <c:v>45038.052083333336</c:v>
                </c:pt>
                <c:pt idx="86">
                  <c:v>45038.0625</c:v>
                </c:pt>
                <c:pt idx="87">
                  <c:v>45038.072916666664</c:v>
                </c:pt>
                <c:pt idx="88">
                  <c:v>45038.083333333336</c:v>
                </c:pt>
                <c:pt idx="89">
                  <c:v>45038.09375</c:v>
                </c:pt>
                <c:pt idx="90">
                  <c:v>45038.104166666664</c:v>
                </c:pt>
                <c:pt idx="91">
                  <c:v>45038.114583333336</c:v>
                </c:pt>
                <c:pt idx="92">
                  <c:v>45038.125</c:v>
                </c:pt>
                <c:pt idx="93">
                  <c:v>45038.135416666664</c:v>
                </c:pt>
                <c:pt idx="94">
                  <c:v>45038.145833333336</c:v>
                </c:pt>
                <c:pt idx="95">
                  <c:v>45038.15625</c:v>
                </c:pt>
                <c:pt idx="96">
                  <c:v>45038.166666666664</c:v>
                </c:pt>
                <c:pt idx="97">
                  <c:v>45038.177083333336</c:v>
                </c:pt>
                <c:pt idx="98">
                  <c:v>45038.1875</c:v>
                </c:pt>
                <c:pt idx="99">
                  <c:v>45038.197916666664</c:v>
                </c:pt>
                <c:pt idx="100">
                  <c:v>45038.208333333336</c:v>
                </c:pt>
                <c:pt idx="101">
                  <c:v>45038.21875</c:v>
                </c:pt>
                <c:pt idx="102">
                  <c:v>45038.229166666664</c:v>
                </c:pt>
                <c:pt idx="103">
                  <c:v>45038.239583333336</c:v>
                </c:pt>
                <c:pt idx="104">
                  <c:v>45038.25</c:v>
                </c:pt>
                <c:pt idx="105">
                  <c:v>45038.260416666664</c:v>
                </c:pt>
                <c:pt idx="106">
                  <c:v>45038.270833333336</c:v>
                </c:pt>
                <c:pt idx="107">
                  <c:v>45038.28125</c:v>
                </c:pt>
                <c:pt idx="108">
                  <c:v>45038.291666666664</c:v>
                </c:pt>
                <c:pt idx="109">
                  <c:v>45038.302083333336</c:v>
                </c:pt>
                <c:pt idx="110">
                  <c:v>45038.3125</c:v>
                </c:pt>
                <c:pt idx="111">
                  <c:v>45038.322916666664</c:v>
                </c:pt>
                <c:pt idx="112">
                  <c:v>45038.333333333336</c:v>
                </c:pt>
                <c:pt idx="113">
                  <c:v>45038.34375</c:v>
                </c:pt>
                <c:pt idx="114">
                  <c:v>45038.354166666664</c:v>
                </c:pt>
                <c:pt idx="115">
                  <c:v>45038.364583333336</c:v>
                </c:pt>
                <c:pt idx="116">
                  <c:v>45038.375</c:v>
                </c:pt>
                <c:pt idx="117">
                  <c:v>45038.385416666664</c:v>
                </c:pt>
                <c:pt idx="118">
                  <c:v>45038.395833333336</c:v>
                </c:pt>
                <c:pt idx="119">
                  <c:v>45038.40625</c:v>
                </c:pt>
                <c:pt idx="120">
                  <c:v>45038.416666666664</c:v>
                </c:pt>
                <c:pt idx="121">
                  <c:v>45038.427083333336</c:v>
                </c:pt>
                <c:pt idx="122">
                  <c:v>45038.4375</c:v>
                </c:pt>
                <c:pt idx="123">
                  <c:v>45038.447916666664</c:v>
                </c:pt>
                <c:pt idx="124">
                  <c:v>45038.458333333336</c:v>
                </c:pt>
                <c:pt idx="125">
                  <c:v>45038.46875</c:v>
                </c:pt>
                <c:pt idx="126">
                  <c:v>45038.479166666664</c:v>
                </c:pt>
                <c:pt idx="127">
                  <c:v>45038.489583333336</c:v>
                </c:pt>
                <c:pt idx="128">
                  <c:v>45038.5</c:v>
                </c:pt>
                <c:pt idx="129">
                  <c:v>45038.510416666664</c:v>
                </c:pt>
                <c:pt idx="130">
                  <c:v>45038.520833333336</c:v>
                </c:pt>
                <c:pt idx="131">
                  <c:v>45038.53125</c:v>
                </c:pt>
                <c:pt idx="132">
                  <c:v>45038.541666666664</c:v>
                </c:pt>
                <c:pt idx="133">
                  <c:v>45038.552083333336</c:v>
                </c:pt>
                <c:pt idx="134">
                  <c:v>45038.5625</c:v>
                </c:pt>
                <c:pt idx="135">
                  <c:v>45038.572916666664</c:v>
                </c:pt>
                <c:pt idx="136">
                  <c:v>45038.583333333336</c:v>
                </c:pt>
                <c:pt idx="137">
                  <c:v>45038.59375</c:v>
                </c:pt>
                <c:pt idx="138">
                  <c:v>45038.604166666664</c:v>
                </c:pt>
                <c:pt idx="139">
                  <c:v>45038.614583333336</c:v>
                </c:pt>
                <c:pt idx="140">
                  <c:v>45038.625</c:v>
                </c:pt>
                <c:pt idx="141">
                  <c:v>45038.635416666664</c:v>
                </c:pt>
                <c:pt idx="142">
                  <c:v>45038.645833333336</c:v>
                </c:pt>
                <c:pt idx="143">
                  <c:v>45038.65625</c:v>
                </c:pt>
                <c:pt idx="144">
                  <c:v>45038.666666666664</c:v>
                </c:pt>
                <c:pt idx="145">
                  <c:v>45038.677083333336</c:v>
                </c:pt>
                <c:pt idx="146">
                  <c:v>45038.6875</c:v>
                </c:pt>
                <c:pt idx="147">
                  <c:v>45038.697916666664</c:v>
                </c:pt>
                <c:pt idx="148">
                  <c:v>45038.708333333336</c:v>
                </c:pt>
                <c:pt idx="149">
                  <c:v>45038.71875</c:v>
                </c:pt>
                <c:pt idx="150">
                  <c:v>45038.729166666664</c:v>
                </c:pt>
                <c:pt idx="151">
                  <c:v>45038.739583333336</c:v>
                </c:pt>
                <c:pt idx="152">
                  <c:v>45038.75</c:v>
                </c:pt>
                <c:pt idx="153">
                  <c:v>45038.760416666664</c:v>
                </c:pt>
                <c:pt idx="154">
                  <c:v>45038.770833333336</c:v>
                </c:pt>
                <c:pt idx="155">
                  <c:v>45038.78125</c:v>
                </c:pt>
                <c:pt idx="156">
                  <c:v>45038.791666666664</c:v>
                </c:pt>
                <c:pt idx="157">
                  <c:v>45038.802083333336</c:v>
                </c:pt>
                <c:pt idx="158">
                  <c:v>45038.8125</c:v>
                </c:pt>
                <c:pt idx="159">
                  <c:v>45038.822916666664</c:v>
                </c:pt>
                <c:pt idx="160">
                  <c:v>45038.833333333336</c:v>
                </c:pt>
                <c:pt idx="161">
                  <c:v>45038.84375</c:v>
                </c:pt>
                <c:pt idx="162">
                  <c:v>45038.854166666664</c:v>
                </c:pt>
                <c:pt idx="163">
                  <c:v>45038.864583333336</c:v>
                </c:pt>
                <c:pt idx="164">
                  <c:v>45038.875</c:v>
                </c:pt>
                <c:pt idx="165">
                  <c:v>45038.885416666664</c:v>
                </c:pt>
                <c:pt idx="166">
                  <c:v>45038.895833333336</c:v>
                </c:pt>
                <c:pt idx="167">
                  <c:v>45038.90625</c:v>
                </c:pt>
                <c:pt idx="168">
                  <c:v>45038.916666666664</c:v>
                </c:pt>
                <c:pt idx="169">
                  <c:v>45038.927083333336</c:v>
                </c:pt>
                <c:pt idx="170">
                  <c:v>45038.9375</c:v>
                </c:pt>
                <c:pt idx="171">
                  <c:v>45038.947916666664</c:v>
                </c:pt>
                <c:pt idx="172">
                  <c:v>45038.958333333336</c:v>
                </c:pt>
                <c:pt idx="173">
                  <c:v>45038.96875</c:v>
                </c:pt>
                <c:pt idx="174">
                  <c:v>45038.979166666664</c:v>
                </c:pt>
                <c:pt idx="175">
                  <c:v>45038.989583333336</c:v>
                </c:pt>
                <c:pt idx="176">
                  <c:v>45039</c:v>
                </c:pt>
                <c:pt idx="177">
                  <c:v>45039.010416666664</c:v>
                </c:pt>
                <c:pt idx="178">
                  <c:v>45039.020833333336</c:v>
                </c:pt>
                <c:pt idx="179">
                  <c:v>45039.03125</c:v>
                </c:pt>
                <c:pt idx="180">
                  <c:v>45039.041666666664</c:v>
                </c:pt>
                <c:pt idx="181">
                  <c:v>45039.052083333336</c:v>
                </c:pt>
                <c:pt idx="182">
                  <c:v>45039.0625</c:v>
                </c:pt>
                <c:pt idx="183">
                  <c:v>45039.072916666664</c:v>
                </c:pt>
                <c:pt idx="184">
                  <c:v>45039.083333333336</c:v>
                </c:pt>
                <c:pt idx="185">
                  <c:v>45039.09375</c:v>
                </c:pt>
                <c:pt idx="186">
                  <c:v>45039.104166666664</c:v>
                </c:pt>
                <c:pt idx="187">
                  <c:v>45039.114583333336</c:v>
                </c:pt>
                <c:pt idx="188">
                  <c:v>45039.125</c:v>
                </c:pt>
                <c:pt idx="189">
                  <c:v>45039.135416666664</c:v>
                </c:pt>
                <c:pt idx="190">
                  <c:v>45039.145833333336</c:v>
                </c:pt>
                <c:pt idx="191">
                  <c:v>45039.15625</c:v>
                </c:pt>
                <c:pt idx="192">
                  <c:v>45039.166666666664</c:v>
                </c:pt>
                <c:pt idx="193">
                  <c:v>45039.177083333336</c:v>
                </c:pt>
                <c:pt idx="194">
                  <c:v>45039.1875</c:v>
                </c:pt>
                <c:pt idx="195">
                  <c:v>45039.197916666664</c:v>
                </c:pt>
                <c:pt idx="196">
                  <c:v>45039.208333333336</c:v>
                </c:pt>
                <c:pt idx="197">
                  <c:v>45039.21875</c:v>
                </c:pt>
                <c:pt idx="198">
                  <c:v>45039.229166666664</c:v>
                </c:pt>
                <c:pt idx="199">
                  <c:v>45039.239583333336</c:v>
                </c:pt>
                <c:pt idx="200">
                  <c:v>45039.25</c:v>
                </c:pt>
                <c:pt idx="201">
                  <c:v>45039.260416666664</c:v>
                </c:pt>
                <c:pt idx="202">
                  <c:v>45039.270833333336</c:v>
                </c:pt>
                <c:pt idx="203">
                  <c:v>45039.28125</c:v>
                </c:pt>
                <c:pt idx="204">
                  <c:v>45039.291666666664</c:v>
                </c:pt>
                <c:pt idx="205">
                  <c:v>45039.302083333336</c:v>
                </c:pt>
                <c:pt idx="206">
                  <c:v>45039.3125</c:v>
                </c:pt>
                <c:pt idx="207">
                  <c:v>45039.322916666664</c:v>
                </c:pt>
                <c:pt idx="208">
                  <c:v>45039.333333333336</c:v>
                </c:pt>
                <c:pt idx="209">
                  <c:v>45039.34375</c:v>
                </c:pt>
                <c:pt idx="210">
                  <c:v>45039.354166666664</c:v>
                </c:pt>
                <c:pt idx="211">
                  <c:v>45039.364583333336</c:v>
                </c:pt>
                <c:pt idx="212">
                  <c:v>45039.375</c:v>
                </c:pt>
                <c:pt idx="213">
                  <c:v>45039.385416666664</c:v>
                </c:pt>
                <c:pt idx="214">
                  <c:v>45039.395833333336</c:v>
                </c:pt>
                <c:pt idx="215">
                  <c:v>45039.40625</c:v>
                </c:pt>
                <c:pt idx="216">
                  <c:v>45039.416666666664</c:v>
                </c:pt>
                <c:pt idx="217">
                  <c:v>45039.427083333336</c:v>
                </c:pt>
                <c:pt idx="218">
                  <c:v>45039.4375</c:v>
                </c:pt>
                <c:pt idx="219">
                  <c:v>45039.447916666664</c:v>
                </c:pt>
                <c:pt idx="220">
                  <c:v>45039.458333333336</c:v>
                </c:pt>
                <c:pt idx="221">
                  <c:v>45039.46875</c:v>
                </c:pt>
                <c:pt idx="222">
                  <c:v>45039.479166666664</c:v>
                </c:pt>
                <c:pt idx="223">
                  <c:v>45039.489583333336</c:v>
                </c:pt>
                <c:pt idx="224">
                  <c:v>45039.5</c:v>
                </c:pt>
                <c:pt idx="225">
                  <c:v>45039.510416666664</c:v>
                </c:pt>
                <c:pt idx="226">
                  <c:v>45039.520833333336</c:v>
                </c:pt>
                <c:pt idx="227">
                  <c:v>45039.53125</c:v>
                </c:pt>
                <c:pt idx="228">
                  <c:v>45039.541666666664</c:v>
                </c:pt>
                <c:pt idx="229">
                  <c:v>45039.552083333336</c:v>
                </c:pt>
                <c:pt idx="230">
                  <c:v>45039.5625</c:v>
                </c:pt>
                <c:pt idx="231">
                  <c:v>45039.572916666664</c:v>
                </c:pt>
                <c:pt idx="232">
                  <c:v>45039.583333333336</c:v>
                </c:pt>
                <c:pt idx="233">
                  <c:v>45039.59375</c:v>
                </c:pt>
                <c:pt idx="234">
                  <c:v>45039.604166666664</c:v>
                </c:pt>
                <c:pt idx="235">
                  <c:v>45039.614583333336</c:v>
                </c:pt>
                <c:pt idx="236">
                  <c:v>45039.625</c:v>
                </c:pt>
                <c:pt idx="237">
                  <c:v>45039.635416666664</c:v>
                </c:pt>
                <c:pt idx="238">
                  <c:v>45039.645833333336</c:v>
                </c:pt>
                <c:pt idx="239">
                  <c:v>45039.65625</c:v>
                </c:pt>
                <c:pt idx="240">
                  <c:v>45039.666666666664</c:v>
                </c:pt>
                <c:pt idx="241">
                  <c:v>45039.677083333336</c:v>
                </c:pt>
                <c:pt idx="242">
                  <c:v>45039.6875</c:v>
                </c:pt>
                <c:pt idx="243">
                  <c:v>45039.697916666664</c:v>
                </c:pt>
                <c:pt idx="244">
                  <c:v>45039.708333333336</c:v>
                </c:pt>
                <c:pt idx="245">
                  <c:v>45039.71875</c:v>
                </c:pt>
                <c:pt idx="246">
                  <c:v>45039.729166666664</c:v>
                </c:pt>
                <c:pt idx="247">
                  <c:v>45039.739583333336</c:v>
                </c:pt>
                <c:pt idx="248">
                  <c:v>45039.75</c:v>
                </c:pt>
                <c:pt idx="249">
                  <c:v>45039.760416666664</c:v>
                </c:pt>
                <c:pt idx="250">
                  <c:v>45039.770833333336</c:v>
                </c:pt>
                <c:pt idx="251">
                  <c:v>45039.78125</c:v>
                </c:pt>
                <c:pt idx="252">
                  <c:v>45039.791666666664</c:v>
                </c:pt>
                <c:pt idx="253">
                  <c:v>45039.802083333336</c:v>
                </c:pt>
                <c:pt idx="254">
                  <c:v>45039.8125</c:v>
                </c:pt>
                <c:pt idx="255">
                  <c:v>45039.822916666664</c:v>
                </c:pt>
                <c:pt idx="256">
                  <c:v>45039.833333333336</c:v>
                </c:pt>
                <c:pt idx="257">
                  <c:v>45039.84375</c:v>
                </c:pt>
                <c:pt idx="258">
                  <c:v>45039.854166666664</c:v>
                </c:pt>
                <c:pt idx="259">
                  <c:v>45039.864583333336</c:v>
                </c:pt>
                <c:pt idx="260">
                  <c:v>45039.875</c:v>
                </c:pt>
                <c:pt idx="261">
                  <c:v>45039.885416666664</c:v>
                </c:pt>
                <c:pt idx="262">
                  <c:v>45039.895833333336</c:v>
                </c:pt>
                <c:pt idx="263">
                  <c:v>45039.90625</c:v>
                </c:pt>
                <c:pt idx="264">
                  <c:v>45039.916666666664</c:v>
                </c:pt>
                <c:pt idx="265">
                  <c:v>45039.927083333336</c:v>
                </c:pt>
                <c:pt idx="266">
                  <c:v>45039.9375</c:v>
                </c:pt>
                <c:pt idx="267">
                  <c:v>45039.947916666664</c:v>
                </c:pt>
                <c:pt idx="268">
                  <c:v>45039.958333333336</c:v>
                </c:pt>
                <c:pt idx="269">
                  <c:v>45039.96875</c:v>
                </c:pt>
                <c:pt idx="270">
                  <c:v>45039.979166666664</c:v>
                </c:pt>
                <c:pt idx="271">
                  <c:v>45039.989583333336</c:v>
                </c:pt>
                <c:pt idx="272">
                  <c:v>45040</c:v>
                </c:pt>
                <c:pt idx="273">
                  <c:v>45040.010416666664</c:v>
                </c:pt>
                <c:pt idx="274">
                  <c:v>45040.020833333336</c:v>
                </c:pt>
                <c:pt idx="275">
                  <c:v>45040.03125</c:v>
                </c:pt>
                <c:pt idx="276">
                  <c:v>45040.041666666664</c:v>
                </c:pt>
                <c:pt idx="277">
                  <c:v>45040.052083333336</c:v>
                </c:pt>
                <c:pt idx="278">
                  <c:v>45040.0625</c:v>
                </c:pt>
                <c:pt idx="279">
                  <c:v>45040.072916666664</c:v>
                </c:pt>
                <c:pt idx="280">
                  <c:v>45040.083333333336</c:v>
                </c:pt>
                <c:pt idx="281">
                  <c:v>45040.09375</c:v>
                </c:pt>
                <c:pt idx="282">
                  <c:v>45040.104166666664</c:v>
                </c:pt>
                <c:pt idx="283">
                  <c:v>45040.114583333336</c:v>
                </c:pt>
                <c:pt idx="284">
                  <c:v>45040.125</c:v>
                </c:pt>
                <c:pt idx="285">
                  <c:v>45040.135416666664</c:v>
                </c:pt>
                <c:pt idx="286">
                  <c:v>45040.145833333336</c:v>
                </c:pt>
                <c:pt idx="287">
                  <c:v>45040.15625</c:v>
                </c:pt>
                <c:pt idx="288">
                  <c:v>45040.166666666664</c:v>
                </c:pt>
                <c:pt idx="289">
                  <c:v>45040.177083333336</c:v>
                </c:pt>
                <c:pt idx="290">
                  <c:v>45040.1875</c:v>
                </c:pt>
                <c:pt idx="291">
                  <c:v>45040.197916666664</c:v>
                </c:pt>
                <c:pt idx="292">
                  <c:v>45040.208333333336</c:v>
                </c:pt>
                <c:pt idx="293">
                  <c:v>45040.21875</c:v>
                </c:pt>
                <c:pt idx="294">
                  <c:v>45040.229166666664</c:v>
                </c:pt>
                <c:pt idx="295">
                  <c:v>45040.239583333336</c:v>
                </c:pt>
                <c:pt idx="296">
                  <c:v>45040.25</c:v>
                </c:pt>
                <c:pt idx="297">
                  <c:v>45040.260416666664</c:v>
                </c:pt>
                <c:pt idx="298">
                  <c:v>45040.270833333336</c:v>
                </c:pt>
                <c:pt idx="299">
                  <c:v>45040.28125</c:v>
                </c:pt>
                <c:pt idx="300">
                  <c:v>45040.291666666664</c:v>
                </c:pt>
                <c:pt idx="301">
                  <c:v>45040.302083333336</c:v>
                </c:pt>
                <c:pt idx="302">
                  <c:v>45040.3125</c:v>
                </c:pt>
                <c:pt idx="303">
                  <c:v>45040.322916666664</c:v>
                </c:pt>
                <c:pt idx="304">
                  <c:v>45040.333333333336</c:v>
                </c:pt>
                <c:pt idx="305">
                  <c:v>45040.34375</c:v>
                </c:pt>
                <c:pt idx="306">
                  <c:v>45040.354166666664</c:v>
                </c:pt>
                <c:pt idx="307">
                  <c:v>45040.364583333336</c:v>
                </c:pt>
                <c:pt idx="308">
                  <c:v>45040.375</c:v>
                </c:pt>
                <c:pt idx="309">
                  <c:v>45040.385416666664</c:v>
                </c:pt>
                <c:pt idx="310">
                  <c:v>45040.395833333336</c:v>
                </c:pt>
                <c:pt idx="311">
                  <c:v>45040.40625</c:v>
                </c:pt>
                <c:pt idx="312">
                  <c:v>45040.416666666664</c:v>
                </c:pt>
                <c:pt idx="313">
                  <c:v>45040.427083333336</c:v>
                </c:pt>
                <c:pt idx="314">
                  <c:v>45040.4375</c:v>
                </c:pt>
                <c:pt idx="315">
                  <c:v>45040.447916666664</c:v>
                </c:pt>
                <c:pt idx="316">
                  <c:v>45040.458333333336</c:v>
                </c:pt>
                <c:pt idx="317">
                  <c:v>45040.46875</c:v>
                </c:pt>
                <c:pt idx="318">
                  <c:v>45040.479166666664</c:v>
                </c:pt>
                <c:pt idx="319">
                  <c:v>45040.489583333336</c:v>
                </c:pt>
                <c:pt idx="320">
                  <c:v>45040.5</c:v>
                </c:pt>
                <c:pt idx="321">
                  <c:v>45040.510416666664</c:v>
                </c:pt>
                <c:pt idx="322">
                  <c:v>45040.520833333336</c:v>
                </c:pt>
                <c:pt idx="323">
                  <c:v>45040.53125</c:v>
                </c:pt>
                <c:pt idx="324">
                  <c:v>45040.541666666664</c:v>
                </c:pt>
                <c:pt idx="325">
                  <c:v>45040.552083333336</c:v>
                </c:pt>
                <c:pt idx="326">
                  <c:v>45040.5625</c:v>
                </c:pt>
                <c:pt idx="327">
                  <c:v>45040.572916666664</c:v>
                </c:pt>
                <c:pt idx="328">
                  <c:v>45040.588888888888</c:v>
                </c:pt>
                <c:pt idx="329">
                  <c:v>45040.604166666664</c:v>
                </c:pt>
                <c:pt idx="330">
                  <c:v>45040.614583333336</c:v>
                </c:pt>
                <c:pt idx="331">
                  <c:v>45040.625</c:v>
                </c:pt>
                <c:pt idx="332">
                  <c:v>45040.635416666664</c:v>
                </c:pt>
                <c:pt idx="333">
                  <c:v>45040.645833333336</c:v>
                </c:pt>
                <c:pt idx="334">
                  <c:v>45040.65625</c:v>
                </c:pt>
                <c:pt idx="335">
                  <c:v>45040.666666666664</c:v>
                </c:pt>
                <c:pt idx="336">
                  <c:v>45040.677083333336</c:v>
                </c:pt>
                <c:pt idx="337">
                  <c:v>45040.6875</c:v>
                </c:pt>
                <c:pt idx="338">
                  <c:v>45040.697916666664</c:v>
                </c:pt>
                <c:pt idx="339">
                  <c:v>45040.708333333336</c:v>
                </c:pt>
                <c:pt idx="340">
                  <c:v>45040.71875</c:v>
                </c:pt>
                <c:pt idx="341">
                  <c:v>45040.729166666664</c:v>
                </c:pt>
                <c:pt idx="342">
                  <c:v>45040.739583333336</c:v>
                </c:pt>
                <c:pt idx="343">
                  <c:v>45040.75</c:v>
                </c:pt>
                <c:pt idx="344">
                  <c:v>45040.760416666664</c:v>
                </c:pt>
                <c:pt idx="345">
                  <c:v>45040.770833333336</c:v>
                </c:pt>
                <c:pt idx="346">
                  <c:v>45040.78125</c:v>
                </c:pt>
                <c:pt idx="347">
                  <c:v>45040.791666666664</c:v>
                </c:pt>
                <c:pt idx="348">
                  <c:v>45040.802083333336</c:v>
                </c:pt>
                <c:pt idx="349">
                  <c:v>45040.8125</c:v>
                </c:pt>
                <c:pt idx="350">
                  <c:v>45040.822916666664</c:v>
                </c:pt>
                <c:pt idx="351">
                  <c:v>45040.833333333336</c:v>
                </c:pt>
                <c:pt idx="352">
                  <c:v>45040.84375</c:v>
                </c:pt>
                <c:pt idx="353">
                  <c:v>45040.854166666664</c:v>
                </c:pt>
                <c:pt idx="354">
                  <c:v>45040.864583333336</c:v>
                </c:pt>
                <c:pt idx="355">
                  <c:v>45040.875</c:v>
                </c:pt>
                <c:pt idx="356">
                  <c:v>45040.885416666664</c:v>
                </c:pt>
                <c:pt idx="357">
                  <c:v>45040.895833333336</c:v>
                </c:pt>
                <c:pt idx="358">
                  <c:v>45040.90625</c:v>
                </c:pt>
                <c:pt idx="359">
                  <c:v>45040.916666666664</c:v>
                </c:pt>
                <c:pt idx="360">
                  <c:v>45040.927083333336</c:v>
                </c:pt>
                <c:pt idx="361">
                  <c:v>45040.9375</c:v>
                </c:pt>
                <c:pt idx="362">
                  <c:v>45040.947916666664</c:v>
                </c:pt>
                <c:pt idx="363">
                  <c:v>45040.958333333336</c:v>
                </c:pt>
                <c:pt idx="364">
                  <c:v>45040.96875</c:v>
                </c:pt>
                <c:pt idx="365">
                  <c:v>45040.979166666664</c:v>
                </c:pt>
                <c:pt idx="366">
                  <c:v>45040.989583333336</c:v>
                </c:pt>
                <c:pt idx="367">
                  <c:v>45041</c:v>
                </c:pt>
                <c:pt idx="368">
                  <c:v>45041.010416666664</c:v>
                </c:pt>
                <c:pt idx="369">
                  <c:v>45041.020833333336</c:v>
                </c:pt>
                <c:pt idx="370">
                  <c:v>45041.03125</c:v>
                </c:pt>
                <c:pt idx="371">
                  <c:v>45041.041666666664</c:v>
                </c:pt>
                <c:pt idx="372">
                  <c:v>45041.052083333336</c:v>
                </c:pt>
                <c:pt idx="373">
                  <c:v>45041.0625</c:v>
                </c:pt>
                <c:pt idx="374">
                  <c:v>45041.072916666664</c:v>
                </c:pt>
                <c:pt idx="375">
                  <c:v>45041.083333333336</c:v>
                </c:pt>
                <c:pt idx="376">
                  <c:v>45041.09375</c:v>
                </c:pt>
                <c:pt idx="377">
                  <c:v>45041.104166666664</c:v>
                </c:pt>
                <c:pt idx="378">
                  <c:v>45041.114583333336</c:v>
                </c:pt>
                <c:pt idx="379">
                  <c:v>45041.125</c:v>
                </c:pt>
                <c:pt idx="380">
                  <c:v>45041.135416666664</c:v>
                </c:pt>
                <c:pt idx="381">
                  <c:v>45041.145833333336</c:v>
                </c:pt>
                <c:pt idx="382">
                  <c:v>45041.15625</c:v>
                </c:pt>
                <c:pt idx="383">
                  <c:v>45041.166666666664</c:v>
                </c:pt>
                <c:pt idx="384">
                  <c:v>45041.177083333336</c:v>
                </c:pt>
                <c:pt idx="385">
                  <c:v>45041.1875</c:v>
                </c:pt>
                <c:pt idx="386">
                  <c:v>45041.197916666664</c:v>
                </c:pt>
                <c:pt idx="387">
                  <c:v>45041.208333333336</c:v>
                </c:pt>
                <c:pt idx="388">
                  <c:v>45041.21875</c:v>
                </c:pt>
                <c:pt idx="389">
                  <c:v>45041.229166666664</c:v>
                </c:pt>
                <c:pt idx="390">
                  <c:v>45041.239583333336</c:v>
                </c:pt>
                <c:pt idx="391">
                  <c:v>45041.25</c:v>
                </c:pt>
                <c:pt idx="392">
                  <c:v>45041.260416666664</c:v>
                </c:pt>
                <c:pt idx="393">
                  <c:v>45041.270833333336</c:v>
                </c:pt>
                <c:pt idx="394">
                  <c:v>45041.28125</c:v>
                </c:pt>
                <c:pt idx="395">
                  <c:v>45041.291666666664</c:v>
                </c:pt>
                <c:pt idx="396">
                  <c:v>45041.302083333336</c:v>
                </c:pt>
                <c:pt idx="397">
                  <c:v>45041.3125</c:v>
                </c:pt>
                <c:pt idx="398">
                  <c:v>45041.322916666664</c:v>
                </c:pt>
                <c:pt idx="399">
                  <c:v>45041.333333333336</c:v>
                </c:pt>
                <c:pt idx="400">
                  <c:v>45041.34375</c:v>
                </c:pt>
                <c:pt idx="401">
                  <c:v>45041.354166666664</c:v>
                </c:pt>
                <c:pt idx="402">
                  <c:v>45041.364583333336</c:v>
                </c:pt>
                <c:pt idx="403">
                  <c:v>45041.375</c:v>
                </c:pt>
                <c:pt idx="404">
                  <c:v>45041.385416666664</c:v>
                </c:pt>
                <c:pt idx="405">
                  <c:v>45041.395833333336</c:v>
                </c:pt>
                <c:pt idx="406">
                  <c:v>45041.40625</c:v>
                </c:pt>
                <c:pt idx="407">
                  <c:v>45041.416666666664</c:v>
                </c:pt>
                <c:pt idx="408">
                  <c:v>45041.427083333336</c:v>
                </c:pt>
                <c:pt idx="409">
                  <c:v>45041.4375</c:v>
                </c:pt>
                <c:pt idx="410">
                  <c:v>45041.447916666664</c:v>
                </c:pt>
                <c:pt idx="411">
                  <c:v>45041.458333333336</c:v>
                </c:pt>
                <c:pt idx="412">
                  <c:v>45041.46875</c:v>
                </c:pt>
                <c:pt idx="413">
                  <c:v>45041.479166666664</c:v>
                </c:pt>
                <c:pt idx="414">
                  <c:v>45041.489583333336</c:v>
                </c:pt>
                <c:pt idx="415">
                  <c:v>45041.5</c:v>
                </c:pt>
                <c:pt idx="416">
                  <c:v>45041.510416666664</c:v>
                </c:pt>
                <c:pt idx="417">
                  <c:v>45041.520833333336</c:v>
                </c:pt>
                <c:pt idx="418">
                  <c:v>45041.53125</c:v>
                </c:pt>
                <c:pt idx="419">
                  <c:v>45041.541666666664</c:v>
                </c:pt>
                <c:pt idx="420">
                  <c:v>45041.552083333336</c:v>
                </c:pt>
                <c:pt idx="421">
                  <c:v>45041.5625</c:v>
                </c:pt>
                <c:pt idx="422">
                  <c:v>45041.572916666664</c:v>
                </c:pt>
                <c:pt idx="423">
                  <c:v>45041.583333333336</c:v>
                </c:pt>
                <c:pt idx="424">
                  <c:v>45041.59375</c:v>
                </c:pt>
                <c:pt idx="425">
                  <c:v>45041.604166666664</c:v>
                </c:pt>
                <c:pt idx="426">
                  <c:v>45041.614583333336</c:v>
                </c:pt>
                <c:pt idx="427">
                  <c:v>45041.625</c:v>
                </c:pt>
                <c:pt idx="428">
                  <c:v>45041.635416666664</c:v>
                </c:pt>
                <c:pt idx="429">
                  <c:v>45041.645833333336</c:v>
                </c:pt>
                <c:pt idx="430">
                  <c:v>45041.65625</c:v>
                </c:pt>
                <c:pt idx="431">
                  <c:v>45041.666666666664</c:v>
                </c:pt>
                <c:pt idx="432">
                  <c:v>45041.677083333336</c:v>
                </c:pt>
                <c:pt idx="433">
                  <c:v>45041.6875</c:v>
                </c:pt>
                <c:pt idx="434">
                  <c:v>45041.697916666664</c:v>
                </c:pt>
                <c:pt idx="435">
                  <c:v>45041.708333333336</c:v>
                </c:pt>
                <c:pt idx="436">
                  <c:v>45041.71875</c:v>
                </c:pt>
                <c:pt idx="437">
                  <c:v>45041.729166666664</c:v>
                </c:pt>
                <c:pt idx="438">
                  <c:v>45041.739583333336</c:v>
                </c:pt>
                <c:pt idx="439">
                  <c:v>45041.75</c:v>
                </c:pt>
                <c:pt idx="440">
                  <c:v>45041.760416666664</c:v>
                </c:pt>
                <c:pt idx="441">
                  <c:v>45041.770833333336</c:v>
                </c:pt>
                <c:pt idx="442">
                  <c:v>45041.78125</c:v>
                </c:pt>
                <c:pt idx="443">
                  <c:v>45041.791666666664</c:v>
                </c:pt>
                <c:pt idx="444">
                  <c:v>45041.802083333336</c:v>
                </c:pt>
                <c:pt idx="445">
                  <c:v>45041.8125</c:v>
                </c:pt>
                <c:pt idx="446">
                  <c:v>45041.822916666664</c:v>
                </c:pt>
                <c:pt idx="447">
                  <c:v>45041.833333333336</c:v>
                </c:pt>
                <c:pt idx="448">
                  <c:v>45041.84375</c:v>
                </c:pt>
                <c:pt idx="449">
                  <c:v>45041.854166666664</c:v>
                </c:pt>
                <c:pt idx="450">
                  <c:v>45041.864583333336</c:v>
                </c:pt>
                <c:pt idx="451">
                  <c:v>45041.875</c:v>
                </c:pt>
                <c:pt idx="452">
                  <c:v>45041.885416666664</c:v>
                </c:pt>
                <c:pt idx="453">
                  <c:v>45041.895833333336</c:v>
                </c:pt>
                <c:pt idx="454">
                  <c:v>45041.90625</c:v>
                </c:pt>
                <c:pt idx="455">
                  <c:v>45041.916666666664</c:v>
                </c:pt>
                <c:pt idx="456">
                  <c:v>45041.927083333336</c:v>
                </c:pt>
                <c:pt idx="457">
                  <c:v>45041.9375</c:v>
                </c:pt>
                <c:pt idx="458">
                  <c:v>45041.947916666664</c:v>
                </c:pt>
                <c:pt idx="459">
                  <c:v>45041.958333333336</c:v>
                </c:pt>
                <c:pt idx="460">
                  <c:v>45041.96875</c:v>
                </c:pt>
                <c:pt idx="461">
                  <c:v>45041.979166666664</c:v>
                </c:pt>
                <c:pt idx="462">
                  <c:v>45041.989583333336</c:v>
                </c:pt>
                <c:pt idx="463">
                  <c:v>45042</c:v>
                </c:pt>
                <c:pt idx="464">
                  <c:v>45042.010416666664</c:v>
                </c:pt>
                <c:pt idx="465">
                  <c:v>45042.020833333336</c:v>
                </c:pt>
                <c:pt idx="466">
                  <c:v>45042.03125</c:v>
                </c:pt>
                <c:pt idx="467">
                  <c:v>45042.041666666664</c:v>
                </c:pt>
                <c:pt idx="468">
                  <c:v>45042.052083333336</c:v>
                </c:pt>
                <c:pt idx="469">
                  <c:v>45042.0625</c:v>
                </c:pt>
                <c:pt idx="470">
                  <c:v>45042.072916666664</c:v>
                </c:pt>
                <c:pt idx="471">
                  <c:v>45042.083333333336</c:v>
                </c:pt>
                <c:pt idx="472">
                  <c:v>45042.09375</c:v>
                </c:pt>
                <c:pt idx="473">
                  <c:v>45042.104166666664</c:v>
                </c:pt>
                <c:pt idx="474">
                  <c:v>45042.114583333336</c:v>
                </c:pt>
                <c:pt idx="475">
                  <c:v>45042.125</c:v>
                </c:pt>
                <c:pt idx="476">
                  <c:v>45042.135416666664</c:v>
                </c:pt>
                <c:pt idx="477">
                  <c:v>45042.145833333336</c:v>
                </c:pt>
                <c:pt idx="478">
                  <c:v>45042.15625</c:v>
                </c:pt>
                <c:pt idx="479">
                  <c:v>45042.166666666664</c:v>
                </c:pt>
                <c:pt idx="480">
                  <c:v>45042.177083333336</c:v>
                </c:pt>
                <c:pt idx="481">
                  <c:v>45042.1875</c:v>
                </c:pt>
                <c:pt idx="482">
                  <c:v>45042.197916666664</c:v>
                </c:pt>
                <c:pt idx="483">
                  <c:v>45042.208333333336</c:v>
                </c:pt>
                <c:pt idx="484">
                  <c:v>45042.21875</c:v>
                </c:pt>
                <c:pt idx="485">
                  <c:v>45042.229166666664</c:v>
                </c:pt>
                <c:pt idx="486">
                  <c:v>45042.239583333336</c:v>
                </c:pt>
                <c:pt idx="487">
                  <c:v>45042.25</c:v>
                </c:pt>
                <c:pt idx="488">
                  <c:v>45042.260416666664</c:v>
                </c:pt>
                <c:pt idx="489">
                  <c:v>45042.270833333336</c:v>
                </c:pt>
                <c:pt idx="490">
                  <c:v>45042.28125</c:v>
                </c:pt>
                <c:pt idx="491">
                  <c:v>45042.291666666664</c:v>
                </c:pt>
                <c:pt idx="492">
                  <c:v>45042.302083333336</c:v>
                </c:pt>
                <c:pt idx="493">
                  <c:v>45042.3125</c:v>
                </c:pt>
                <c:pt idx="494">
                  <c:v>45042.322916666664</c:v>
                </c:pt>
                <c:pt idx="495">
                  <c:v>45042.333333333336</c:v>
                </c:pt>
                <c:pt idx="496">
                  <c:v>45042.34375</c:v>
                </c:pt>
                <c:pt idx="497">
                  <c:v>45042.354166666664</c:v>
                </c:pt>
                <c:pt idx="498">
                  <c:v>45042.364583333336</c:v>
                </c:pt>
                <c:pt idx="499">
                  <c:v>45042.375</c:v>
                </c:pt>
                <c:pt idx="500">
                  <c:v>45042.385416666664</c:v>
                </c:pt>
                <c:pt idx="501">
                  <c:v>45042.395833333336</c:v>
                </c:pt>
                <c:pt idx="502">
                  <c:v>45042.40625</c:v>
                </c:pt>
                <c:pt idx="503">
                  <c:v>45042.416666666664</c:v>
                </c:pt>
                <c:pt idx="504">
                  <c:v>45042.427083333336</c:v>
                </c:pt>
                <c:pt idx="505">
                  <c:v>45042.4375</c:v>
                </c:pt>
                <c:pt idx="506">
                  <c:v>45042.447916666664</c:v>
                </c:pt>
                <c:pt idx="507">
                  <c:v>45042.458333333336</c:v>
                </c:pt>
                <c:pt idx="508">
                  <c:v>45042.46875</c:v>
                </c:pt>
                <c:pt idx="509">
                  <c:v>45042.479166666664</c:v>
                </c:pt>
                <c:pt idx="510">
                  <c:v>45042.489583333336</c:v>
                </c:pt>
                <c:pt idx="511">
                  <c:v>45042.5</c:v>
                </c:pt>
                <c:pt idx="512">
                  <c:v>45042.510416666664</c:v>
                </c:pt>
                <c:pt idx="513">
                  <c:v>45042.520833333336</c:v>
                </c:pt>
                <c:pt idx="514">
                  <c:v>45042.53125</c:v>
                </c:pt>
                <c:pt idx="515">
                  <c:v>45042.541666666664</c:v>
                </c:pt>
                <c:pt idx="516">
                  <c:v>45042.552083333336</c:v>
                </c:pt>
                <c:pt idx="517">
                  <c:v>45042.5625</c:v>
                </c:pt>
                <c:pt idx="518">
                  <c:v>45042.572916666664</c:v>
                </c:pt>
                <c:pt idx="519">
                  <c:v>45042.583333333336</c:v>
                </c:pt>
                <c:pt idx="520">
                  <c:v>45042.59375</c:v>
                </c:pt>
                <c:pt idx="521">
                  <c:v>45042.604166666664</c:v>
                </c:pt>
                <c:pt idx="522">
                  <c:v>45042.614583333336</c:v>
                </c:pt>
                <c:pt idx="523">
                  <c:v>45042.625</c:v>
                </c:pt>
                <c:pt idx="524">
                  <c:v>45042.635416666664</c:v>
                </c:pt>
                <c:pt idx="525">
                  <c:v>45042.645833333336</c:v>
                </c:pt>
                <c:pt idx="526">
                  <c:v>45042.65625</c:v>
                </c:pt>
                <c:pt idx="527">
                  <c:v>45042.666666666664</c:v>
                </c:pt>
                <c:pt idx="528">
                  <c:v>45042.677083333336</c:v>
                </c:pt>
                <c:pt idx="529">
                  <c:v>45042.6875</c:v>
                </c:pt>
                <c:pt idx="530">
                  <c:v>45042.697916666664</c:v>
                </c:pt>
                <c:pt idx="531">
                  <c:v>45042.708333333336</c:v>
                </c:pt>
                <c:pt idx="532">
                  <c:v>45042.71875</c:v>
                </c:pt>
                <c:pt idx="533">
                  <c:v>45042.729166666664</c:v>
                </c:pt>
                <c:pt idx="534">
                  <c:v>45042.739583333336</c:v>
                </c:pt>
                <c:pt idx="535">
                  <c:v>45042.75</c:v>
                </c:pt>
                <c:pt idx="536">
                  <c:v>45042.760416666664</c:v>
                </c:pt>
                <c:pt idx="537">
                  <c:v>45042.770833333336</c:v>
                </c:pt>
                <c:pt idx="538">
                  <c:v>45042.78125</c:v>
                </c:pt>
                <c:pt idx="539">
                  <c:v>45042.791666666664</c:v>
                </c:pt>
                <c:pt idx="540">
                  <c:v>45042.802083333336</c:v>
                </c:pt>
                <c:pt idx="541">
                  <c:v>45042.8125</c:v>
                </c:pt>
                <c:pt idx="542">
                  <c:v>45042.822916666664</c:v>
                </c:pt>
                <c:pt idx="543">
                  <c:v>45042.833333333336</c:v>
                </c:pt>
                <c:pt idx="544">
                  <c:v>45042.84375</c:v>
                </c:pt>
                <c:pt idx="545">
                  <c:v>45042.854166666664</c:v>
                </c:pt>
                <c:pt idx="546">
                  <c:v>45042.864583333336</c:v>
                </c:pt>
                <c:pt idx="547">
                  <c:v>45042.875</c:v>
                </c:pt>
                <c:pt idx="548">
                  <c:v>45042.885416666664</c:v>
                </c:pt>
                <c:pt idx="549">
                  <c:v>45042.895833333336</c:v>
                </c:pt>
                <c:pt idx="550">
                  <c:v>45042.90625</c:v>
                </c:pt>
                <c:pt idx="551">
                  <c:v>45042.916666666664</c:v>
                </c:pt>
                <c:pt idx="552">
                  <c:v>45042.927083333336</c:v>
                </c:pt>
                <c:pt idx="553">
                  <c:v>45042.9375</c:v>
                </c:pt>
                <c:pt idx="554">
                  <c:v>45042.947916666664</c:v>
                </c:pt>
                <c:pt idx="555">
                  <c:v>45042.958333333336</c:v>
                </c:pt>
                <c:pt idx="556">
                  <c:v>45042.96875</c:v>
                </c:pt>
                <c:pt idx="557">
                  <c:v>45042.979166666664</c:v>
                </c:pt>
                <c:pt idx="558">
                  <c:v>45042.989583333336</c:v>
                </c:pt>
                <c:pt idx="559">
                  <c:v>45043</c:v>
                </c:pt>
                <c:pt idx="560">
                  <c:v>45043.010416666664</c:v>
                </c:pt>
                <c:pt idx="561">
                  <c:v>45043.020833333336</c:v>
                </c:pt>
                <c:pt idx="562">
                  <c:v>45043.03125</c:v>
                </c:pt>
                <c:pt idx="563">
                  <c:v>45043.041666666664</c:v>
                </c:pt>
                <c:pt idx="564">
                  <c:v>45043.052083333336</c:v>
                </c:pt>
                <c:pt idx="565">
                  <c:v>45043.0625</c:v>
                </c:pt>
                <c:pt idx="566">
                  <c:v>45043.072916666664</c:v>
                </c:pt>
                <c:pt idx="567">
                  <c:v>45043.083333333336</c:v>
                </c:pt>
                <c:pt idx="568">
                  <c:v>45043.09375</c:v>
                </c:pt>
                <c:pt idx="569">
                  <c:v>45043.104166666664</c:v>
                </c:pt>
                <c:pt idx="570">
                  <c:v>45043.114583333336</c:v>
                </c:pt>
                <c:pt idx="571">
                  <c:v>45043.125</c:v>
                </c:pt>
                <c:pt idx="572">
                  <c:v>45043.135416666664</c:v>
                </c:pt>
                <c:pt idx="573">
                  <c:v>45043.145833333336</c:v>
                </c:pt>
                <c:pt idx="574">
                  <c:v>45043.15625</c:v>
                </c:pt>
                <c:pt idx="575">
                  <c:v>45043.166666666664</c:v>
                </c:pt>
                <c:pt idx="576">
                  <c:v>45043.177083333336</c:v>
                </c:pt>
                <c:pt idx="577">
                  <c:v>45043.1875</c:v>
                </c:pt>
                <c:pt idx="578">
                  <c:v>45043.197916666664</c:v>
                </c:pt>
                <c:pt idx="579">
                  <c:v>45043.208333333336</c:v>
                </c:pt>
                <c:pt idx="580">
                  <c:v>45043.21875</c:v>
                </c:pt>
                <c:pt idx="581">
                  <c:v>45043.229166666664</c:v>
                </c:pt>
                <c:pt idx="582">
                  <c:v>45043.239583333336</c:v>
                </c:pt>
                <c:pt idx="583">
                  <c:v>45043.25</c:v>
                </c:pt>
                <c:pt idx="584">
                  <c:v>45043.260416666664</c:v>
                </c:pt>
                <c:pt idx="585">
                  <c:v>45043.270833333336</c:v>
                </c:pt>
                <c:pt idx="586">
                  <c:v>45043.28125</c:v>
                </c:pt>
                <c:pt idx="587">
                  <c:v>45043.291666666664</c:v>
                </c:pt>
                <c:pt idx="588">
                  <c:v>45043.302083333336</c:v>
                </c:pt>
                <c:pt idx="589">
                  <c:v>45043.3125</c:v>
                </c:pt>
                <c:pt idx="590">
                  <c:v>45043.322916666664</c:v>
                </c:pt>
                <c:pt idx="591">
                  <c:v>45043.333333333336</c:v>
                </c:pt>
                <c:pt idx="592">
                  <c:v>45043.34375</c:v>
                </c:pt>
                <c:pt idx="593">
                  <c:v>45043.354166666664</c:v>
                </c:pt>
                <c:pt idx="594">
                  <c:v>45043.364583333336</c:v>
                </c:pt>
                <c:pt idx="595">
                  <c:v>45043.375</c:v>
                </c:pt>
                <c:pt idx="596">
                  <c:v>45043.385416666664</c:v>
                </c:pt>
                <c:pt idx="597">
                  <c:v>45043.395833333336</c:v>
                </c:pt>
                <c:pt idx="598">
                  <c:v>45043.40625</c:v>
                </c:pt>
                <c:pt idx="599">
                  <c:v>45043.416666666664</c:v>
                </c:pt>
                <c:pt idx="600">
                  <c:v>45043.427083333336</c:v>
                </c:pt>
                <c:pt idx="601">
                  <c:v>45043.4375</c:v>
                </c:pt>
                <c:pt idx="602">
                  <c:v>45043.447916666664</c:v>
                </c:pt>
                <c:pt idx="603">
                  <c:v>45043.458333333336</c:v>
                </c:pt>
                <c:pt idx="604">
                  <c:v>45043.46875</c:v>
                </c:pt>
                <c:pt idx="605">
                  <c:v>45043.479166666664</c:v>
                </c:pt>
                <c:pt idx="606">
                  <c:v>45043.489583333336</c:v>
                </c:pt>
                <c:pt idx="607">
                  <c:v>45043.5</c:v>
                </c:pt>
                <c:pt idx="608">
                  <c:v>45043.510416666664</c:v>
                </c:pt>
                <c:pt idx="609">
                  <c:v>45043.520833333336</c:v>
                </c:pt>
                <c:pt idx="610">
                  <c:v>45043.53125</c:v>
                </c:pt>
                <c:pt idx="611">
                  <c:v>45043.541666666664</c:v>
                </c:pt>
                <c:pt idx="612">
                  <c:v>45043.552083333336</c:v>
                </c:pt>
                <c:pt idx="613">
                  <c:v>45043.5625</c:v>
                </c:pt>
                <c:pt idx="614">
                  <c:v>45043.572916666664</c:v>
                </c:pt>
                <c:pt idx="615">
                  <c:v>45043.583333333336</c:v>
                </c:pt>
                <c:pt idx="616">
                  <c:v>45043.59375</c:v>
                </c:pt>
                <c:pt idx="617">
                  <c:v>45043.604166666664</c:v>
                </c:pt>
                <c:pt idx="618">
                  <c:v>45043.614583333336</c:v>
                </c:pt>
                <c:pt idx="619">
                  <c:v>45043.625</c:v>
                </c:pt>
                <c:pt idx="620">
                  <c:v>45043.635416666664</c:v>
                </c:pt>
                <c:pt idx="621">
                  <c:v>45043.645833333336</c:v>
                </c:pt>
                <c:pt idx="622">
                  <c:v>45043.65625</c:v>
                </c:pt>
                <c:pt idx="623">
                  <c:v>45043.666666666664</c:v>
                </c:pt>
                <c:pt idx="624">
                  <c:v>45043.677083333336</c:v>
                </c:pt>
                <c:pt idx="625">
                  <c:v>45043.6875</c:v>
                </c:pt>
                <c:pt idx="626">
                  <c:v>45043.697916666664</c:v>
                </c:pt>
                <c:pt idx="627">
                  <c:v>45043.708333333336</c:v>
                </c:pt>
                <c:pt idx="628">
                  <c:v>45043.71875</c:v>
                </c:pt>
                <c:pt idx="629">
                  <c:v>45043.729166666664</c:v>
                </c:pt>
                <c:pt idx="630">
                  <c:v>45043.739583333336</c:v>
                </c:pt>
                <c:pt idx="631">
                  <c:v>45043.75</c:v>
                </c:pt>
                <c:pt idx="632">
                  <c:v>45043.760416666664</c:v>
                </c:pt>
                <c:pt idx="633">
                  <c:v>45043.770833333336</c:v>
                </c:pt>
                <c:pt idx="634">
                  <c:v>45043.78125</c:v>
                </c:pt>
                <c:pt idx="635">
                  <c:v>45043.791666666664</c:v>
                </c:pt>
                <c:pt idx="636">
                  <c:v>45043.802083333336</c:v>
                </c:pt>
                <c:pt idx="637">
                  <c:v>45043.8125</c:v>
                </c:pt>
                <c:pt idx="638">
                  <c:v>45043.822916666664</c:v>
                </c:pt>
                <c:pt idx="639">
                  <c:v>45043.833333333336</c:v>
                </c:pt>
                <c:pt idx="640">
                  <c:v>45043.84375</c:v>
                </c:pt>
                <c:pt idx="641">
                  <c:v>45043.854166666664</c:v>
                </c:pt>
                <c:pt idx="642">
                  <c:v>45043.864583333336</c:v>
                </c:pt>
                <c:pt idx="643">
                  <c:v>45043.875</c:v>
                </c:pt>
                <c:pt idx="644">
                  <c:v>45043.885416666664</c:v>
                </c:pt>
                <c:pt idx="645">
                  <c:v>45043.895833333336</c:v>
                </c:pt>
                <c:pt idx="646">
                  <c:v>45043.90625</c:v>
                </c:pt>
                <c:pt idx="647">
                  <c:v>45043.916666666664</c:v>
                </c:pt>
                <c:pt idx="648">
                  <c:v>45043.927083333336</c:v>
                </c:pt>
                <c:pt idx="649">
                  <c:v>45043.9375</c:v>
                </c:pt>
                <c:pt idx="650">
                  <c:v>45043.947916666664</c:v>
                </c:pt>
                <c:pt idx="651">
                  <c:v>45043.958333333336</c:v>
                </c:pt>
                <c:pt idx="652">
                  <c:v>45043.96875</c:v>
                </c:pt>
                <c:pt idx="653">
                  <c:v>45043.979166666664</c:v>
                </c:pt>
                <c:pt idx="654">
                  <c:v>45043.989583333336</c:v>
                </c:pt>
                <c:pt idx="655">
                  <c:v>45044</c:v>
                </c:pt>
                <c:pt idx="656">
                  <c:v>45044.010416666664</c:v>
                </c:pt>
                <c:pt idx="657">
                  <c:v>45044.020833333336</c:v>
                </c:pt>
                <c:pt idx="658">
                  <c:v>45044.03125</c:v>
                </c:pt>
                <c:pt idx="659">
                  <c:v>45044.041666666664</c:v>
                </c:pt>
                <c:pt idx="660">
                  <c:v>45044.052083333336</c:v>
                </c:pt>
                <c:pt idx="661">
                  <c:v>45044.0625</c:v>
                </c:pt>
                <c:pt idx="662">
                  <c:v>45044.072916666664</c:v>
                </c:pt>
                <c:pt idx="663">
                  <c:v>45044.083333333336</c:v>
                </c:pt>
                <c:pt idx="664">
                  <c:v>45044.09375</c:v>
                </c:pt>
                <c:pt idx="665">
                  <c:v>45044.104166666664</c:v>
                </c:pt>
                <c:pt idx="666">
                  <c:v>45044.114583333336</c:v>
                </c:pt>
                <c:pt idx="667">
                  <c:v>45044.125</c:v>
                </c:pt>
                <c:pt idx="668">
                  <c:v>45044.135416666664</c:v>
                </c:pt>
                <c:pt idx="669">
                  <c:v>45044.145833333336</c:v>
                </c:pt>
                <c:pt idx="670">
                  <c:v>45044.15625</c:v>
                </c:pt>
                <c:pt idx="671">
                  <c:v>45044.166666666664</c:v>
                </c:pt>
                <c:pt idx="672">
                  <c:v>45044.177083333336</c:v>
                </c:pt>
                <c:pt idx="673">
                  <c:v>45044.1875</c:v>
                </c:pt>
                <c:pt idx="674">
                  <c:v>45044.197916666664</c:v>
                </c:pt>
                <c:pt idx="675">
                  <c:v>45044.208333333336</c:v>
                </c:pt>
                <c:pt idx="676">
                  <c:v>45044.21875</c:v>
                </c:pt>
                <c:pt idx="677">
                  <c:v>45044.229166666664</c:v>
                </c:pt>
                <c:pt idx="678">
                  <c:v>45044.239583333336</c:v>
                </c:pt>
                <c:pt idx="679">
                  <c:v>45044.25</c:v>
                </c:pt>
                <c:pt idx="680">
                  <c:v>45044.260416666664</c:v>
                </c:pt>
                <c:pt idx="681">
                  <c:v>45044.270833333336</c:v>
                </c:pt>
                <c:pt idx="682">
                  <c:v>45044.28125</c:v>
                </c:pt>
                <c:pt idx="683">
                  <c:v>45044.291666666664</c:v>
                </c:pt>
                <c:pt idx="684">
                  <c:v>45044.302083333336</c:v>
                </c:pt>
                <c:pt idx="685">
                  <c:v>45044.3125</c:v>
                </c:pt>
                <c:pt idx="686">
                  <c:v>45044.322916666664</c:v>
                </c:pt>
                <c:pt idx="687">
                  <c:v>45044.333333333336</c:v>
                </c:pt>
                <c:pt idx="688">
                  <c:v>45044.34375</c:v>
                </c:pt>
                <c:pt idx="689">
                  <c:v>45044.354166666664</c:v>
                </c:pt>
                <c:pt idx="690">
                  <c:v>45044.364583333336</c:v>
                </c:pt>
                <c:pt idx="691">
                  <c:v>45044.375</c:v>
                </c:pt>
                <c:pt idx="692">
                  <c:v>45044.385416666664</c:v>
                </c:pt>
                <c:pt idx="693">
                  <c:v>45044.395833333336</c:v>
                </c:pt>
                <c:pt idx="694">
                  <c:v>45044.40625</c:v>
                </c:pt>
                <c:pt idx="695">
                  <c:v>45044.416666666664</c:v>
                </c:pt>
                <c:pt idx="696">
                  <c:v>45044.427083333336</c:v>
                </c:pt>
                <c:pt idx="697">
                  <c:v>45044.4375</c:v>
                </c:pt>
                <c:pt idx="698">
                  <c:v>45044.447916666664</c:v>
                </c:pt>
                <c:pt idx="699">
                  <c:v>45044.458333333336</c:v>
                </c:pt>
                <c:pt idx="700">
                  <c:v>45044.46875</c:v>
                </c:pt>
                <c:pt idx="701">
                  <c:v>45044.479166666664</c:v>
                </c:pt>
                <c:pt idx="702">
                  <c:v>45044.489583333336</c:v>
                </c:pt>
                <c:pt idx="703">
                  <c:v>45044.5</c:v>
                </c:pt>
                <c:pt idx="704">
                  <c:v>45044.510416666664</c:v>
                </c:pt>
                <c:pt idx="705">
                  <c:v>45044.520833333336</c:v>
                </c:pt>
                <c:pt idx="706">
                  <c:v>45044.53125</c:v>
                </c:pt>
                <c:pt idx="707">
                  <c:v>45044.541666666664</c:v>
                </c:pt>
                <c:pt idx="708">
                  <c:v>45044.552083333336</c:v>
                </c:pt>
                <c:pt idx="709">
                  <c:v>45044.5625</c:v>
                </c:pt>
                <c:pt idx="710">
                  <c:v>45044.572916666664</c:v>
                </c:pt>
                <c:pt idx="711">
                  <c:v>45044.583333333336</c:v>
                </c:pt>
                <c:pt idx="712">
                  <c:v>45044.59375</c:v>
                </c:pt>
                <c:pt idx="713">
                  <c:v>45044.604166666664</c:v>
                </c:pt>
                <c:pt idx="714">
                  <c:v>45044.614583333336</c:v>
                </c:pt>
                <c:pt idx="715">
                  <c:v>45044.625</c:v>
                </c:pt>
                <c:pt idx="716">
                  <c:v>45044.635416666664</c:v>
                </c:pt>
                <c:pt idx="717">
                  <c:v>45044.645833333336</c:v>
                </c:pt>
                <c:pt idx="718">
                  <c:v>45044.65625</c:v>
                </c:pt>
                <c:pt idx="719">
                  <c:v>45044.666666666664</c:v>
                </c:pt>
                <c:pt idx="720">
                  <c:v>45044.677083333336</c:v>
                </c:pt>
                <c:pt idx="721">
                  <c:v>45044.6875</c:v>
                </c:pt>
                <c:pt idx="722">
                  <c:v>45044.697916666664</c:v>
                </c:pt>
                <c:pt idx="723">
                  <c:v>45044.708333333336</c:v>
                </c:pt>
                <c:pt idx="724">
                  <c:v>45044.71875</c:v>
                </c:pt>
                <c:pt idx="725">
                  <c:v>45044.729166666664</c:v>
                </c:pt>
                <c:pt idx="726">
                  <c:v>45044.739583333336</c:v>
                </c:pt>
                <c:pt idx="727">
                  <c:v>45044.75</c:v>
                </c:pt>
                <c:pt idx="728">
                  <c:v>45044.760416666664</c:v>
                </c:pt>
                <c:pt idx="729">
                  <c:v>45044.770833333336</c:v>
                </c:pt>
                <c:pt idx="730">
                  <c:v>45044.78125</c:v>
                </c:pt>
                <c:pt idx="731">
                  <c:v>45044.791666666664</c:v>
                </c:pt>
                <c:pt idx="732">
                  <c:v>45044.802083333336</c:v>
                </c:pt>
                <c:pt idx="733">
                  <c:v>45044.8125</c:v>
                </c:pt>
                <c:pt idx="734">
                  <c:v>45044.822916666664</c:v>
                </c:pt>
                <c:pt idx="735">
                  <c:v>45044.833333333336</c:v>
                </c:pt>
                <c:pt idx="736">
                  <c:v>45044.84375</c:v>
                </c:pt>
                <c:pt idx="737">
                  <c:v>45044.854166666664</c:v>
                </c:pt>
                <c:pt idx="738">
                  <c:v>45044.864583333336</c:v>
                </c:pt>
                <c:pt idx="739">
                  <c:v>45044.875</c:v>
                </c:pt>
                <c:pt idx="740">
                  <c:v>45044.885416666664</c:v>
                </c:pt>
                <c:pt idx="741">
                  <c:v>45044.895833333336</c:v>
                </c:pt>
                <c:pt idx="742">
                  <c:v>45044.90625</c:v>
                </c:pt>
                <c:pt idx="743">
                  <c:v>45044.916666666664</c:v>
                </c:pt>
                <c:pt idx="744">
                  <c:v>45044.927083333336</c:v>
                </c:pt>
                <c:pt idx="745">
                  <c:v>45044.9375</c:v>
                </c:pt>
                <c:pt idx="746">
                  <c:v>45044.947916666664</c:v>
                </c:pt>
                <c:pt idx="747">
                  <c:v>45044.958333333336</c:v>
                </c:pt>
                <c:pt idx="748">
                  <c:v>45044.96875</c:v>
                </c:pt>
                <c:pt idx="749">
                  <c:v>45044.979166666664</c:v>
                </c:pt>
                <c:pt idx="750">
                  <c:v>45044.989583333336</c:v>
                </c:pt>
                <c:pt idx="751">
                  <c:v>45045</c:v>
                </c:pt>
                <c:pt idx="752">
                  <c:v>45045.010416666664</c:v>
                </c:pt>
                <c:pt idx="753">
                  <c:v>45045.020833333336</c:v>
                </c:pt>
                <c:pt idx="754">
                  <c:v>45045.03125</c:v>
                </c:pt>
                <c:pt idx="755">
                  <c:v>45045.041666666664</c:v>
                </c:pt>
                <c:pt idx="756">
                  <c:v>45045.052083333336</c:v>
                </c:pt>
                <c:pt idx="757">
                  <c:v>45045.0625</c:v>
                </c:pt>
                <c:pt idx="758">
                  <c:v>45045.072916666664</c:v>
                </c:pt>
                <c:pt idx="759">
                  <c:v>45045.083333333336</c:v>
                </c:pt>
                <c:pt idx="760">
                  <c:v>45045.09375</c:v>
                </c:pt>
                <c:pt idx="761">
                  <c:v>45045.104166666664</c:v>
                </c:pt>
                <c:pt idx="762">
                  <c:v>45045.114583333336</c:v>
                </c:pt>
                <c:pt idx="763">
                  <c:v>45045.125</c:v>
                </c:pt>
                <c:pt idx="764">
                  <c:v>45045.135416666664</c:v>
                </c:pt>
                <c:pt idx="765">
                  <c:v>45045.145833333336</c:v>
                </c:pt>
                <c:pt idx="766">
                  <c:v>45045.15625</c:v>
                </c:pt>
                <c:pt idx="767">
                  <c:v>45045.166666666664</c:v>
                </c:pt>
                <c:pt idx="768">
                  <c:v>45045.177083333336</c:v>
                </c:pt>
                <c:pt idx="769">
                  <c:v>45045.1875</c:v>
                </c:pt>
                <c:pt idx="770">
                  <c:v>45045.197916666664</c:v>
                </c:pt>
                <c:pt idx="771">
                  <c:v>45045.208333333336</c:v>
                </c:pt>
                <c:pt idx="772">
                  <c:v>45045.21875</c:v>
                </c:pt>
                <c:pt idx="773">
                  <c:v>45045.229166666664</c:v>
                </c:pt>
                <c:pt idx="774">
                  <c:v>45045.239583333336</c:v>
                </c:pt>
                <c:pt idx="775">
                  <c:v>45045.25</c:v>
                </c:pt>
                <c:pt idx="776">
                  <c:v>45045.260416666664</c:v>
                </c:pt>
                <c:pt idx="777">
                  <c:v>45045.270833333336</c:v>
                </c:pt>
                <c:pt idx="778">
                  <c:v>45045.28125</c:v>
                </c:pt>
                <c:pt idx="779">
                  <c:v>45045.291666666664</c:v>
                </c:pt>
                <c:pt idx="780">
                  <c:v>45045.302083333336</c:v>
                </c:pt>
                <c:pt idx="781">
                  <c:v>45045.3125</c:v>
                </c:pt>
                <c:pt idx="782">
                  <c:v>45045.322916666664</c:v>
                </c:pt>
                <c:pt idx="783">
                  <c:v>45045.333333333336</c:v>
                </c:pt>
                <c:pt idx="784">
                  <c:v>45045.34375</c:v>
                </c:pt>
                <c:pt idx="785">
                  <c:v>45045.354166666664</c:v>
                </c:pt>
                <c:pt idx="786">
                  <c:v>45045.364583333336</c:v>
                </c:pt>
                <c:pt idx="787">
                  <c:v>45045.375</c:v>
                </c:pt>
                <c:pt idx="788">
                  <c:v>45045.385416666664</c:v>
                </c:pt>
                <c:pt idx="789">
                  <c:v>45045.395833333336</c:v>
                </c:pt>
                <c:pt idx="790">
                  <c:v>45045.40625</c:v>
                </c:pt>
                <c:pt idx="791">
                  <c:v>45045.416666666664</c:v>
                </c:pt>
                <c:pt idx="792">
                  <c:v>45045.427083333336</c:v>
                </c:pt>
                <c:pt idx="793">
                  <c:v>45045.4375</c:v>
                </c:pt>
                <c:pt idx="794">
                  <c:v>45045.447916666664</c:v>
                </c:pt>
                <c:pt idx="795">
                  <c:v>45045.458333333336</c:v>
                </c:pt>
                <c:pt idx="796">
                  <c:v>45045.46875</c:v>
                </c:pt>
                <c:pt idx="797">
                  <c:v>45045.479166666664</c:v>
                </c:pt>
                <c:pt idx="798">
                  <c:v>45045.489583333336</c:v>
                </c:pt>
                <c:pt idx="799">
                  <c:v>45045.5</c:v>
                </c:pt>
                <c:pt idx="800">
                  <c:v>45045.510416666664</c:v>
                </c:pt>
                <c:pt idx="801">
                  <c:v>45045.520833333336</c:v>
                </c:pt>
                <c:pt idx="802">
                  <c:v>45045.53125</c:v>
                </c:pt>
                <c:pt idx="803">
                  <c:v>45045.541666666664</c:v>
                </c:pt>
                <c:pt idx="804">
                  <c:v>45045.552083333336</c:v>
                </c:pt>
                <c:pt idx="805">
                  <c:v>45045.5625</c:v>
                </c:pt>
                <c:pt idx="806">
                  <c:v>45045.572916666664</c:v>
                </c:pt>
                <c:pt idx="807">
                  <c:v>45045.583333333336</c:v>
                </c:pt>
                <c:pt idx="808">
                  <c:v>45045.59375</c:v>
                </c:pt>
                <c:pt idx="809">
                  <c:v>45045.604166666664</c:v>
                </c:pt>
                <c:pt idx="810">
                  <c:v>45045.614583333336</c:v>
                </c:pt>
                <c:pt idx="811">
                  <c:v>45045.625</c:v>
                </c:pt>
                <c:pt idx="812">
                  <c:v>45045.635416666664</c:v>
                </c:pt>
                <c:pt idx="813">
                  <c:v>45045.645833333336</c:v>
                </c:pt>
                <c:pt idx="814">
                  <c:v>45045.65625</c:v>
                </c:pt>
                <c:pt idx="815">
                  <c:v>45045.666666666664</c:v>
                </c:pt>
                <c:pt idx="816">
                  <c:v>45045.677083333336</c:v>
                </c:pt>
                <c:pt idx="817">
                  <c:v>45045.6875</c:v>
                </c:pt>
                <c:pt idx="818">
                  <c:v>45045.697916666664</c:v>
                </c:pt>
                <c:pt idx="819">
                  <c:v>45045.708333333336</c:v>
                </c:pt>
                <c:pt idx="820">
                  <c:v>45045.71875</c:v>
                </c:pt>
                <c:pt idx="821">
                  <c:v>45045.729166666664</c:v>
                </c:pt>
                <c:pt idx="822">
                  <c:v>45045.739583333336</c:v>
                </c:pt>
                <c:pt idx="823">
                  <c:v>45045.75</c:v>
                </c:pt>
                <c:pt idx="824">
                  <c:v>45045.760416666664</c:v>
                </c:pt>
                <c:pt idx="825">
                  <c:v>45045.770833333336</c:v>
                </c:pt>
                <c:pt idx="826">
                  <c:v>45045.78125</c:v>
                </c:pt>
                <c:pt idx="827">
                  <c:v>45045.791666666664</c:v>
                </c:pt>
                <c:pt idx="828">
                  <c:v>45045.802083333336</c:v>
                </c:pt>
                <c:pt idx="829">
                  <c:v>45045.8125</c:v>
                </c:pt>
                <c:pt idx="830">
                  <c:v>45045.822916666664</c:v>
                </c:pt>
                <c:pt idx="831">
                  <c:v>45045.833333333336</c:v>
                </c:pt>
                <c:pt idx="832">
                  <c:v>45045.84375</c:v>
                </c:pt>
                <c:pt idx="833">
                  <c:v>45045.854166666664</c:v>
                </c:pt>
                <c:pt idx="834">
                  <c:v>45045.864583333336</c:v>
                </c:pt>
                <c:pt idx="835">
                  <c:v>45045.875</c:v>
                </c:pt>
                <c:pt idx="836">
                  <c:v>45045.885416666664</c:v>
                </c:pt>
                <c:pt idx="837">
                  <c:v>45045.895833333336</c:v>
                </c:pt>
                <c:pt idx="838">
                  <c:v>45045.90625</c:v>
                </c:pt>
                <c:pt idx="839">
                  <c:v>45045.916666666664</c:v>
                </c:pt>
                <c:pt idx="840">
                  <c:v>45045.927083333336</c:v>
                </c:pt>
                <c:pt idx="841">
                  <c:v>45045.9375</c:v>
                </c:pt>
                <c:pt idx="842">
                  <c:v>45045.947916666664</c:v>
                </c:pt>
                <c:pt idx="843">
                  <c:v>45045.958333333336</c:v>
                </c:pt>
                <c:pt idx="844">
                  <c:v>45045.96875</c:v>
                </c:pt>
                <c:pt idx="845">
                  <c:v>45045.979166666664</c:v>
                </c:pt>
                <c:pt idx="846">
                  <c:v>45045.989583333336</c:v>
                </c:pt>
                <c:pt idx="847">
                  <c:v>45046</c:v>
                </c:pt>
                <c:pt idx="848">
                  <c:v>45046.010416666664</c:v>
                </c:pt>
                <c:pt idx="849">
                  <c:v>45046.020833333336</c:v>
                </c:pt>
                <c:pt idx="850">
                  <c:v>45046.03125</c:v>
                </c:pt>
                <c:pt idx="851">
                  <c:v>45046.041666666664</c:v>
                </c:pt>
                <c:pt idx="852">
                  <c:v>45046.052083333336</c:v>
                </c:pt>
                <c:pt idx="853">
                  <c:v>45046.0625</c:v>
                </c:pt>
                <c:pt idx="854">
                  <c:v>45046.072916666664</c:v>
                </c:pt>
                <c:pt idx="855">
                  <c:v>45046.083333333336</c:v>
                </c:pt>
                <c:pt idx="856">
                  <c:v>45046.09375</c:v>
                </c:pt>
                <c:pt idx="857">
                  <c:v>45046.104166666664</c:v>
                </c:pt>
                <c:pt idx="858">
                  <c:v>45046.114583333336</c:v>
                </c:pt>
                <c:pt idx="859">
                  <c:v>45046.125</c:v>
                </c:pt>
                <c:pt idx="860">
                  <c:v>45046.135416666664</c:v>
                </c:pt>
                <c:pt idx="861">
                  <c:v>45046.145833333336</c:v>
                </c:pt>
                <c:pt idx="862">
                  <c:v>45046.15625</c:v>
                </c:pt>
                <c:pt idx="863">
                  <c:v>45046.166666666664</c:v>
                </c:pt>
                <c:pt idx="864">
                  <c:v>45046.177083333336</c:v>
                </c:pt>
                <c:pt idx="865">
                  <c:v>45046.1875</c:v>
                </c:pt>
                <c:pt idx="866">
                  <c:v>45046.197916666664</c:v>
                </c:pt>
                <c:pt idx="867">
                  <c:v>45046.208333333336</c:v>
                </c:pt>
                <c:pt idx="868">
                  <c:v>45046.21875</c:v>
                </c:pt>
                <c:pt idx="869">
                  <c:v>45046.229166666664</c:v>
                </c:pt>
                <c:pt idx="870">
                  <c:v>45046.239583333336</c:v>
                </c:pt>
                <c:pt idx="871">
                  <c:v>45046.25</c:v>
                </c:pt>
                <c:pt idx="872">
                  <c:v>45046.260416666664</c:v>
                </c:pt>
                <c:pt idx="873">
                  <c:v>45046.270833333336</c:v>
                </c:pt>
                <c:pt idx="874">
                  <c:v>45046.28125</c:v>
                </c:pt>
                <c:pt idx="875">
                  <c:v>45046.291666666664</c:v>
                </c:pt>
                <c:pt idx="876">
                  <c:v>45046.302083333336</c:v>
                </c:pt>
                <c:pt idx="877">
                  <c:v>45046.3125</c:v>
                </c:pt>
                <c:pt idx="878">
                  <c:v>45046.322916666664</c:v>
                </c:pt>
                <c:pt idx="879">
                  <c:v>45046.333333333336</c:v>
                </c:pt>
                <c:pt idx="880">
                  <c:v>45046.34375</c:v>
                </c:pt>
                <c:pt idx="881">
                  <c:v>45046.354166666664</c:v>
                </c:pt>
                <c:pt idx="882">
                  <c:v>45046.364583333336</c:v>
                </c:pt>
                <c:pt idx="883">
                  <c:v>45046.375</c:v>
                </c:pt>
                <c:pt idx="884">
                  <c:v>45046.385416666664</c:v>
                </c:pt>
                <c:pt idx="885">
                  <c:v>45046.395833333336</c:v>
                </c:pt>
                <c:pt idx="886">
                  <c:v>45046.40625</c:v>
                </c:pt>
                <c:pt idx="887">
                  <c:v>45046.416666666664</c:v>
                </c:pt>
                <c:pt idx="888">
                  <c:v>45046.427083333336</c:v>
                </c:pt>
                <c:pt idx="889">
                  <c:v>45046.4375</c:v>
                </c:pt>
                <c:pt idx="890">
                  <c:v>45046.447916666664</c:v>
                </c:pt>
                <c:pt idx="891">
                  <c:v>45046.458333333336</c:v>
                </c:pt>
                <c:pt idx="892">
                  <c:v>45046.46875</c:v>
                </c:pt>
                <c:pt idx="893">
                  <c:v>45046.479166666664</c:v>
                </c:pt>
                <c:pt idx="894">
                  <c:v>45046.489583333336</c:v>
                </c:pt>
                <c:pt idx="895">
                  <c:v>45046.5</c:v>
                </c:pt>
                <c:pt idx="896">
                  <c:v>45046.510416666664</c:v>
                </c:pt>
                <c:pt idx="897">
                  <c:v>45046.520833333336</c:v>
                </c:pt>
                <c:pt idx="898">
                  <c:v>45046.53125</c:v>
                </c:pt>
                <c:pt idx="899">
                  <c:v>45046.541666666664</c:v>
                </c:pt>
                <c:pt idx="900">
                  <c:v>45046.552083333336</c:v>
                </c:pt>
                <c:pt idx="901">
                  <c:v>45046.5625</c:v>
                </c:pt>
                <c:pt idx="902">
                  <c:v>45046.572916666664</c:v>
                </c:pt>
                <c:pt idx="903">
                  <c:v>45046.583333333336</c:v>
                </c:pt>
                <c:pt idx="904">
                  <c:v>45046.59375</c:v>
                </c:pt>
                <c:pt idx="905">
                  <c:v>45046.604166666664</c:v>
                </c:pt>
                <c:pt idx="906">
                  <c:v>45046.614583333336</c:v>
                </c:pt>
                <c:pt idx="907">
                  <c:v>45046.625</c:v>
                </c:pt>
                <c:pt idx="908">
                  <c:v>45046.635416666664</c:v>
                </c:pt>
                <c:pt idx="909">
                  <c:v>45046.645833333336</c:v>
                </c:pt>
                <c:pt idx="910">
                  <c:v>45046.65625</c:v>
                </c:pt>
                <c:pt idx="911">
                  <c:v>45046.666666666664</c:v>
                </c:pt>
                <c:pt idx="912">
                  <c:v>45046.677083333336</c:v>
                </c:pt>
                <c:pt idx="913">
                  <c:v>45046.6875</c:v>
                </c:pt>
                <c:pt idx="914">
                  <c:v>45046.697916666664</c:v>
                </c:pt>
                <c:pt idx="915">
                  <c:v>45046.708333333336</c:v>
                </c:pt>
                <c:pt idx="916">
                  <c:v>45046.71875</c:v>
                </c:pt>
                <c:pt idx="917">
                  <c:v>45046.729166666664</c:v>
                </c:pt>
                <c:pt idx="918">
                  <c:v>45046.739583333336</c:v>
                </c:pt>
                <c:pt idx="919">
                  <c:v>45046.75</c:v>
                </c:pt>
                <c:pt idx="920">
                  <c:v>45046.760416666664</c:v>
                </c:pt>
                <c:pt idx="921">
                  <c:v>45046.770833333336</c:v>
                </c:pt>
                <c:pt idx="922">
                  <c:v>45046.78125</c:v>
                </c:pt>
                <c:pt idx="923">
                  <c:v>45046.791666666664</c:v>
                </c:pt>
                <c:pt idx="924">
                  <c:v>45046.802083333336</c:v>
                </c:pt>
                <c:pt idx="925">
                  <c:v>45046.8125</c:v>
                </c:pt>
                <c:pt idx="926">
                  <c:v>45046.822916666664</c:v>
                </c:pt>
                <c:pt idx="927">
                  <c:v>45046.833333333336</c:v>
                </c:pt>
                <c:pt idx="928">
                  <c:v>45046.84375</c:v>
                </c:pt>
                <c:pt idx="929">
                  <c:v>45046.854166666664</c:v>
                </c:pt>
                <c:pt idx="930">
                  <c:v>45046.864583333336</c:v>
                </c:pt>
                <c:pt idx="931">
                  <c:v>45046.875</c:v>
                </c:pt>
                <c:pt idx="932">
                  <c:v>45046.885416666664</c:v>
                </c:pt>
                <c:pt idx="933">
                  <c:v>45046.895833333336</c:v>
                </c:pt>
                <c:pt idx="934">
                  <c:v>45046.90625</c:v>
                </c:pt>
                <c:pt idx="935">
                  <c:v>45046.916666666664</c:v>
                </c:pt>
                <c:pt idx="936">
                  <c:v>45046.927083333336</c:v>
                </c:pt>
                <c:pt idx="937">
                  <c:v>45046.9375</c:v>
                </c:pt>
                <c:pt idx="938">
                  <c:v>45046.947916666664</c:v>
                </c:pt>
                <c:pt idx="939">
                  <c:v>45046.958333333336</c:v>
                </c:pt>
                <c:pt idx="940">
                  <c:v>45046.96875</c:v>
                </c:pt>
                <c:pt idx="941">
                  <c:v>45046.979166666664</c:v>
                </c:pt>
                <c:pt idx="942">
                  <c:v>45046.989583333336</c:v>
                </c:pt>
                <c:pt idx="943">
                  <c:v>45047</c:v>
                </c:pt>
                <c:pt idx="944">
                  <c:v>45047.010416666664</c:v>
                </c:pt>
                <c:pt idx="945">
                  <c:v>45047.020833333336</c:v>
                </c:pt>
                <c:pt idx="946">
                  <c:v>45047.03125</c:v>
                </c:pt>
                <c:pt idx="947">
                  <c:v>45047.041666666664</c:v>
                </c:pt>
                <c:pt idx="948">
                  <c:v>45047.052083333336</c:v>
                </c:pt>
                <c:pt idx="949">
                  <c:v>45047.0625</c:v>
                </c:pt>
                <c:pt idx="950">
                  <c:v>45047.072916666664</c:v>
                </c:pt>
                <c:pt idx="951">
                  <c:v>45047.083333333336</c:v>
                </c:pt>
                <c:pt idx="952">
                  <c:v>45047.09375</c:v>
                </c:pt>
                <c:pt idx="953">
                  <c:v>45047.104166666664</c:v>
                </c:pt>
                <c:pt idx="954">
                  <c:v>45047.114583333336</c:v>
                </c:pt>
                <c:pt idx="955">
                  <c:v>45047.125</c:v>
                </c:pt>
                <c:pt idx="956">
                  <c:v>45047.135416666664</c:v>
                </c:pt>
                <c:pt idx="957">
                  <c:v>45047.145833333336</c:v>
                </c:pt>
                <c:pt idx="958">
                  <c:v>45047.15625</c:v>
                </c:pt>
                <c:pt idx="959">
                  <c:v>45047.166666666664</c:v>
                </c:pt>
                <c:pt idx="960">
                  <c:v>45047.177083333336</c:v>
                </c:pt>
                <c:pt idx="961">
                  <c:v>45047.1875</c:v>
                </c:pt>
                <c:pt idx="962">
                  <c:v>45047.197916666664</c:v>
                </c:pt>
                <c:pt idx="963">
                  <c:v>45047.208333333336</c:v>
                </c:pt>
                <c:pt idx="964">
                  <c:v>45047.21875</c:v>
                </c:pt>
                <c:pt idx="965">
                  <c:v>45047.229166666664</c:v>
                </c:pt>
                <c:pt idx="966">
                  <c:v>45047.239583333336</c:v>
                </c:pt>
                <c:pt idx="967">
                  <c:v>45047.25</c:v>
                </c:pt>
                <c:pt idx="968">
                  <c:v>45047.260416666664</c:v>
                </c:pt>
                <c:pt idx="969">
                  <c:v>45047.270833333336</c:v>
                </c:pt>
                <c:pt idx="970">
                  <c:v>45047.28125</c:v>
                </c:pt>
                <c:pt idx="971">
                  <c:v>45047.291666666664</c:v>
                </c:pt>
                <c:pt idx="972">
                  <c:v>45047.302083333336</c:v>
                </c:pt>
                <c:pt idx="973">
                  <c:v>45047.3125</c:v>
                </c:pt>
                <c:pt idx="974">
                  <c:v>45047.322916666664</c:v>
                </c:pt>
                <c:pt idx="975">
                  <c:v>45047.333333333336</c:v>
                </c:pt>
                <c:pt idx="976">
                  <c:v>45047.34375</c:v>
                </c:pt>
                <c:pt idx="977">
                  <c:v>45047.354166666664</c:v>
                </c:pt>
                <c:pt idx="978">
                  <c:v>45047.364583333336</c:v>
                </c:pt>
                <c:pt idx="979">
                  <c:v>45047.375</c:v>
                </c:pt>
                <c:pt idx="980">
                  <c:v>45047.385416666664</c:v>
                </c:pt>
                <c:pt idx="981">
                  <c:v>45047.395833333336</c:v>
                </c:pt>
                <c:pt idx="982">
                  <c:v>45047.40625</c:v>
                </c:pt>
                <c:pt idx="983">
                  <c:v>45047.416666666664</c:v>
                </c:pt>
                <c:pt idx="984">
                  <c:v>45047.427083333336</c:v>
                </c:pt>
                <c:pt idx="985">
                  <c:v>45047.4375</c:v>
                </c:pt>
                <c:pt idx="986">
                  <c:v>45047.447916666664</c:v>
                </c:pt>
                <c:pt idx="987">
                  <c:v>45047.458333333336</c:v>
                </c:pt>
                <c:pt idx="988">
                  <c:v>45047.46875</c:v>
                </c:pt>
                <c:pt idx="989">
                  <c:v>45047.479166666664</c:v>
                </c:pt>
                <c:pt idx="990">
                  <c:v>45047.489583333336</c:v>
                </c:pt>
                <c:pt idx="991">
                  <c:v>45047.5</c:v>
                </c:pt>
                <c:pt idx="992">
                  <c:v>45047.510416666664</c:v>
                </c:pt>
                <c:pt idx="993">
                  <c:v>45047.520833333336</c:v>
                </c:pt>
                <c:pt idx="994">
                  <c:v>45047.53125</c:v>
                </c:pt>
                <c:pt idx="995">
                  <c:v>45047.541666666664</c:v>
                </c:pt>
                <c:pt idx="996">
                  <c:v>45047.552083333336</c:v>
                </c:pt>
                <c:pt idx="997">
                  <c:v>45047.5625</c:v>
                </c:pt>
                <c:pt idx="998">
                  <c:v>45047.572916666664</c:v>
                </c:pt>
                <c:pt idx="999">
                  <c:v>45047.583333333336</c:v>
                </c:pt>
                <c:pt idx="1000">
                  <c:v>45047.59375</c:v>
                </c:pt>
                <c:pt idx="1001">
                  <c:v>45047.604166666664</c:v>
                </c:pt>
                <c:pt idx="1002">
                  <c:v>45047.614583333336</c:v>
                </c:pt>
                <c:pt idx="1003">
                  <c:v>45047.625</c:v>
                </c:pt>
                <c:pt idx="1004">
                  <c:v>45047.635416666664</c:v>
                </c:pt>
                <c:pt idx="1005">
                  <c:v>45047.645833333336</c:v>
                </c:pt>
                <c:pt idx="1006">
                  <c:v>45047.65625</c:v>
                </c:pt>
                <c:pt idx="1007">
                  <c:v>45047.708333333336</c:v>
                </c:pt>
                <c:pt idx="1008">
                  <c:v>45047.71875</c:v>
                </c:pt>
                <c:pt idx="1009">
                  <c:v>45047.729166666664</c:v>
                </c:pt>
                <c:pt idx="1010">
                  <c:v>45047.739583333336</c:v>
                </c:pt>
                <c:pt idx="1011">
                  <c:v>45047.75</c:v>
                </c:pt>
                <c:pt idx="1012">
                  <c:v>45047.760416666664</c:v>
                </c:pt>
                <c:pt idx="1013">
                  <c:v>45047.770833333336</c:v>
                </c:pt>
                <c:pt idx="1014">
                  <c:v>45047.78125</c:v>
                </c:pt>
                <c:pt idx="1015">
                  <c:v>45047.791666666664</c:v>
                </c:pt>
                <c:pt idx="1016">
                  <c:v>45047.802083333336</c:v>
                </c:pt>
                <c:pt idx="1017">
                  <c:v>45047.8125</c:v>
                </c:pt>
                <c:pt idx="1018">
                  <c:v>45047.822916666664</c:v>
                </c:pt>
                <c:pt idx="1019">
                  <c:v>45047.833333333336</c:v>
                </c:pt>
                <c:pt idx="1020">
                  <c:v>45047.84375</c:v>
                </c:pt>
                <c:pt idx="1021">
                  <c:v>45047.854166666664</c:v>
                </c:pt>
                <c:pt idx="1022">
                  <c:v>45047.864583333336</c:v>
                </c:pt>
                <c:pt idx="1023">
                  <c:v>45047.875</c:v>
                </c:pt>
                <c:pt idx="1024">
                  <c:v>45047.885416666664</c:v>
                </c:pt>
                <c:pt idx="1025">
                  <c:v>45047.895833333336</c:v>
                </c:pt>
                <c:pt idx="1026">
                  <c:v>45047.90625</c:v>
                </c:pt>
                <c:pt idx="1027">
                  <c:v>45047.916666666664</c:v>
                </c:pt>
                <c:pt idx="1028">
                  <c:v>45047.927083333336</c:v>
                </c:pt>
                <c:pt idx="1029">
                  <c:v>45047.9375</c:v>
                </c:pt>
                <c:pt idx="1030">
                  <c:v>45047.947916666664</c:v>
                </c:pt>
                <c:pt idx="1031">
                  <c:v>45047.958333333336</c:v>
                </c:pt>
                <c:pt idx="1032">
                  <c:v>45047.96875</c:v>
                </c:pt>
                <c:pt idx="1033">
                  <c:v>45047.979166666664</c:v>
                </c:pt>
                <c:pt idx="1034">
                  <c:v>45047.989583333336</c:v>
                </c:pt>
                <c:pt idx="1035">
                  <c:v>45048</c:v>
                </c:pt>
                <c:pt idx="1036">
                  <c:v>45048.010416666664</c:v>
                </c:pt>
                <c:pt idx="1037">
                  <c:v>45048.020833333336</c:v>
                </c:pt>
                <c:pt idx="1038">
                  <c:v>45048.03125</c:v>
                </c:pt>
                <c:pt idx="1039">
                  <c:v>45048.041666666664</c:v>
                </c:pt>
                <c:pt idx="1040">
                  <c:v>45048.052083333336</c:v>
                </c:pt>
                <c:pt idx="1041">
                  <c:v>45048.0625</c:v>
                </c:pt>
                <c:pt idx="1042">
                  <c:v>45048.072916666664</c:v>
                </c:pt>
                <c:pt idx="1043">
                  <c:v>45048.083333333336</c:v>
                </c:pt>
                <c:pt idx="1044">
                  <c:v>45048.09375</c:v>
                </c:pt>
                <c:pt idx="1045">
                  <c:v>45048.104166666664</c:v>
                </c:pt>
                <c:pt idx="1046">
                  <c:v>45048.114583333336</c:v>
                </c:pt>
                <c:pt idx="1047">
                  <c:v>45048.125</c:v>
                </c:pt>
                <c:pt idx="1048">
                  <c:v>45048.135416666664</c:v>
                </c:pt>
                <c:pt idx="1049">
                  <c:v>45048.145833333336</c:v>
                </c:pt>
                <c:pt idx="1050">
                  <c:v>45048.15625</c:v>
                </c:pt>
                <c:pt idx="1051">
                  <c:v>45048.166666666664</c:v>
                </c:pt>
                <c:pt idx="1052">
                  <c:v>45048.177083333336</c:v>
                </c:pt>
                <c:pt idx="1053">
                  <c:v>45048.1875</c:v>
                </c:pt>
                <c:pt idx="1054">
                  <c:v>45048.197916666664</c:v>
                </c:pt>
                <c:pt idx="1055">
                  <c:v>45048.208333333336</c:v>
                </c:pt>
                <c:pt idx="1056">
                  <c:v>45048.21875</c:v>
                </c:pt>
                <c:pt idx="1057">
                  <c:v>45048.229166666664</c:v>
                </c:pt>
                <c:pt idx="1058">
                  <c:v>45048.239583333336</c:v>
                </c:pt>
                <c:pt idx="1059">
                  <c:v>45048.25</c:v>
                </c:pt>
                <c:pt idx="1060">
                  <c:v>45048.260416666664</c:v>
                </c:pt>
                <c:pt idx="1061">
                  <c:v>45048.270833333336</c:v>
                </c:pt>
                <c:pt idx="1062">
                  <c:v>45048.28125</c:v>
                </c:pt>
                <c:pt idx="1063">
                  <c:v>45048.291666666664</c:v>
                </c:pt>
                <c:pt idx="1064">
                  <c:v>45048.302083333336</c:v>
                </c:pt>
                <c:pt idx="1065">
                  <c:v>45048.3125</c:v>
                </c:pt>
                <c:pt idx="1066">
                  <c:v>45048.322916666664</c:v>
                </c:pt>
                <c:pt idx="1067">
                  <c:v>45048.333333333336</c:v>
                </c:pt>
                <c:pt idx="1068">
                  <c:v>45048.34375</c:v>
                </c:pt>
                <c:pt idx="1069">
                  <c:v>45048.354166666664</c:v>
                </c:pt>
                <c:pt idx="1070">
                  <c:v>45048.364583333336</c:v>
                </c:pt>
                <c:pt idx="1071">
                  <c:v>45048.375</c:v>
                </c:pt>
                <c:pt idx="1072">
                  <c:v>45048.385416666664</c:v>
                </c:pt>
                <c:pt idx="1073">
                  <c:v>45048.395833333336</c:v>
                </c:pt>
                <c:pt idx="1074">
                  <c:v>45048.40625</c:v>
                </c:pt>
                <c:pt idx="1075">
                  <c:v>45048.416666666664</c:v>
                </c:pt>
                <c:pt idx="1076">
                  <c:v>45048.427083333336</c:v>
                </c:pt>
                <c:pt idx="1077">
                  <c:v>45048.4375</c:v>
                </c:pt>
                <c:pt idx="1078">
                  <c:v>45048.447916666664</c:v>
                </c:pt>
                <c:pt idx="1079">
                  <c:v>45048.458333333336</c:v>
                </c:pt>
                <c:pt idx="1080">
                  <c:v>45048.46875</c:v>
                </c:pt>
                <c:pt idx="1081">
                  <c:v>45048.479166666664</c:v>
                </c:pt>
                <c:pt idx="1082">
                  <c:v>45048.489583333336</c:v>
                </c:pt>
                <c:pt idx="1083">
                  <c:v>45048.5</c:v>
                </c:pt>
                <c:pt idx="1084">
                  <c:v>45048.510416666664</c:v>
                </c:pt>
                <c:pt idx="1085">
                  <c:v>45048.520833333336</c:v>
                </c:pt>
                <c:pt idx="1086">
                  <c:v>45048.53125</c:v>
                </c:pt>
                <c:pt idx="1087">
                  <c:v>45048.541666666664</c:v>
                </c:pt>
                <c:pt idx="1088">
                  <c:v>45048.552083333336</c:v>
                </c:pt>
                <c:pt idx="1089">
                  <c:v>45048.5625</c:v>
                </c:pt>
                <c:pt idx="1090">
                  <c:v>45048.572916666664</c:v>
                </c:pt>
                <c:pt idx="1091">
                  <c:v>45048.583333333336</c:v>
                </c:pt>
                <c:pt idx="1092">
                  <c:v>45048.59375</c:v>
                </c:pt>
                <c:pt idx="1093">
                  <c:v>45048.604166666664</c:v>
                </c:pt>
                <c:pt idx="1094">
                  <c:v>45048.614583333336</c:v>
                </c:pt>
                <c:pt idx="1095">
                  <c:v>45048.625</c:v>
                </c:pt>
                <c:pt idx="1096">
                  <c:v>45048.635416666664</c:v>
                </c:pt>
                <c:pt idx="1097">
                  <c:v>45048.645833333336</c:v>
                </c:pt>
                <c:pt idx="1098">
                  <c:v>45048.65625</c:v>
                </c:pt>
                <c:pt idx="1099">
                  <c:v>45048.666666666664</c:v>
                </c:pt>
                <c:pt idx="1100">
                  <c:v>45048.677083333336</c:v>
                </c:pt>
                <c:pt idx="1101">
                  <c:v>45048.6875</c:v>
                </c:pt>
                <c:pt idx="1102">
                  <c:v>45048.697916666664</c:v>
                </c:pt>
                <c:pt idx="1103">
                  <c:v>45048.708333333336</c:v>
                </c:pt>
                <c:pt idx="1104">
                  <c:v>45048.71875</c:v>
                </c:pt>
                <c:pt idx="1105">
                  <c:v>45048.729166666664</c:v>
                </c:pt>
                <c:pt idx="1106">
                  <c:v>45048.739583333336</c:v>
                </c:pt>
                <c:pt idx="1107">
                  <c:v>45048.75</c:v>
                </c:pt>
                <c:pt idx="1108">
                  <c:v>45048.760416666664</c:v>
                </c:pt>
                <c:pt idx="1109">
                  <c:v>45048.770833333336</c:v>
                </c:pt>
                <c:pt idx="1110">
                  <c:v>45048.78125</c:v>
                </c:pt>
                <c:pt idx="1111">
                  <c:v>45048.791666666664</c:v>
                </c:pt>
                <c:pt idx="1112">
                  <c:v>45048.802083333336</c:v>
                </c:pt>
                <c:pt idx="1113">
                  <c:v>45048.8125</c:v>
                </c:pt>
                <c:pt idx="1114">
                  <c:v>45048.822916666664</c:v>
                </c:pt>
                <c:pt idx="1115">
                  <c:v>45048.833333333336</c:v>
                </c:pt>
                <c:pt idx="1116">
                  <c:v>45048.84375</c:v>
                </c:pt>
                <c:pt idx="1117">
                  <c:v>45048.854166666664</c:v>
                </c:pt>
                <c:pt idx="1118">
                  <c:v>45048.864583333336</c:v>
                </c:pt>
                <c:pt idx="1119">
                  <c:v>45048.875</c:v>
                </c:pt>
                <c:pt idx="1120">
                  <c:v>45048.885416666664</c:v>
                </c:pt>
                <c:pt idx="1121">
                  <c:v>45048.895833333336</c:v>
                </c:pt>
                <c:pt idx="1122">
                  <c:v>45048.90625</c:v>
                </c:pt>
                <c:pt idx="1123">
                  <c:v>45048.916666666664</c:v>
                </c:pt>
                <c:pt idx="1124">
                  <c:v>45048.927083333336</c:v>
                </c:pt>
                <c:pt idx="1125">
                  <c:v>45048.9375</c:v>
                </c:pt>
                <c:pt idx="1126">
                  <c:v>45048.947916666664</c:v>
                </c:pt>
                <c:pt idx="1127">
                  <c:v>45048.958333333336</c:v>
                </c:pt>
                <c:pt idx="1128">
                  <c:v>45048.96875</c:v>
                </c:pt>
                <c:pt idx="1129">
                  <c:v>45048.979166666664</c:v>
                </c:pt>
                <c:pt idx="1130">
                  <c:v>45048.989583333336</c:v>
                </c:pt>
                <c:pt idx="1131">
                  <c:v>45049</c:v>
                </c:pt>
                <c:pt idx="1132">
                  <c:v>45049.010416666664</c:v>
                </c:pt>
                <c:pt idx="1133">
                  <c:v>45049.020833333336</c:v>
                </c:pt>
                <c:pt idx="1134">
                  <c:v>45049.03125</c:v>
                </c:pt>
                <c:pt idx="1135">
                  <c:v>45049.041666666664</c:v>
                </c:pt>
                <c:pt idx="1136">
                  <c:v>45049.052083333336</c:v>
                </c:pt>
                <c:pt idx="1137">
                  <c:v>45049.0625</c:v>
                </c:pt>
                <c:pt idx="1138">
                  <c:v>45049.072916666664</c:v>
                </c:pt>
                <c:pt idx="1139">
                  <c:v>45049.083333333336</c:v>
                </c:pt>
                <c:pt idx="1140">
                  <c:v>45049.09375</c:v>
                </c:pt>
                <c:pt idx="1141">
                  <c:v>45049.104166666664</c:v>
                </c:pt>
                <c:pt idx="1142">
                  <c:v>45049.114583333336</c:v>
                </c:pt>
                <c:pt idx="1143">
                  <c:v>45049.125</c:v>
                </c:pt>
                <c:pt idx="1144">
                  <c:v>45049.135416666664</c:v>
                </c:pt>
                <c:pt idx="1145">
                  <c:v>45049.145833333336</c:v>
                </c:pt>
                <c:pt idx="1146">
                  <c:v>45049.15625</c:v>
                </c:pt>
                <c:pt idx="1147">
                  <c:v>45049.166666666664</c:v>
                </c:pt>
                <c:pt idx="1148">
                  <c:v>45049.177083333336</c:v>
                </c:pt>
                <c:pt idx="1149">
                  <c:v>45049.1875</c:v>
                </c:pt>
                <c:pt idx="1150">
                  <c:v>45049.197916666664</c:v>
                </c:pt>
                <c:pt idx="1151">
                  <c:v>45049.208333333336</c:v>
                </c:pt>
                <c:pt idx="1152">
                  <c:v>45049.21875</c:v>
                </c:pt>
                <c:pt idx="1153">
                  <c:v>45049.229166666664</c:v>
                </c:pt>
                <c:pt idx="1154">
                  <c:v>45049.239583333336</c:v>
                </c:pt>
                <c:pt idx="1155">
                  <c:v>45049.25</c:v>
                </c:pt>
                <c:pt idx="1156">
                  <c:v>45049.260416666664</c:v>
                </c:pt>
                <c:pt idx="1157">
                  <c:v>45049.270833333336</c:v>
                </c:pt>
                <c:pt idx="1158">
                  <c:v>45049.28125</c:v>
                </c:pt>
                <c:pt idx="1159">
                  <c:v>45049.291666666664</c:v>
                </c:pt>
                <c:pt idx="1160">
                  <c:v>45049.302083333336</c:v>
                </c:pt>
                <c:pt idx="1161">
                  <c:v>45049.3125</c:v>
                </c:pt>
                <c:pt idx="1162">
                  <c:v>45049.322916666664</c:v>
                </c:pt>
                <c:pt idx="1163">
                  <c:v>45049.333333333336</c:v>
                </c:pt>
                <c:pt idx="1164">
                  <c:v>45049.34375</c:v>
                </c:pt>
                <c:pt idx="1165">
                  <c:v>45049.354166666664</c:v>
                </c:pt>
                <c:pt idx="1166">
                  <c:v>45049.364583333336</c:v>
                </c:pt>
                <c:pt idx="1167">
                  <c:v>45049.375</c:v>
                </c:pt>
                <c:pt idx="1168">
                  <c:v>45049.385416666664</c:v>
                </c:pt>
                <c:pt idx="1169">
                  <c:v>45049.395833333336</c:v>
                </c:pt>
                <c:pt idx="1170">
                  <c:v>45049.40625</c:v>
                </c:pt>
                <c:pt idx="1171">
                  <c:v>45049.416666666664</c:v>
                </c:pt>
                <c:pt idx="1172">
                  <c:v>45049.427083333336</c:v>
                </c:pt>
                <c:pt idx="1173">
                  <c:v>45049.4375</c:v>
                </c:pt>
                <c:pt idx="1174">
                  <c:v>45049.447916666664</c:v>
                </c:pt>
                <c:pt idx="1175">
                  <c:v>45049.458333333336</c:v>
                </c:pt>
                <c:pt idx="1176">
                  <c:v>45049.46875</c:v>
                </c:pt>
                <c:pt idx="1177">
                  <c:v>45049.479166666664</c:v>
                </c:pt>
                <c:pt idx="1178">
                  <c:v>45049.489583333336</c:v>
                </c:pt>
                <c:pt idx="1179">
                  <c:v>45049.5</c:v>
                </c:pt>
                <c:pt idx="1180">
                  <c:v>45049.510416666664</c:v>
                </c:pt>
                <c:pt idx="1181">
                  <c:v>45049.520833333336</c:v>
                </c:pt>
                <c:pt idx="1182">
                  <c:v>45049.53125</c:v>
                </c:pt>
                <c:pt idx="1183">
                  <c:v>45049.541666666664</c:v>
                </c:pt>
                <c:pt idx="1184">
                  <c:v>45049.552083333336</c:v>
                </c:pt>
                <c:pt idx="1185">
                  <c:v>45049.5625</c:v>
                </c:pt>
                <c:pt idx="1186">
                  <c:v>45049.572916666664</c:v>
                </c:pt>
                <c:pt idx="1187">
                  <c:v>45049.583333333336</c:v>
                </c:pt>
                <c:pt idx="1188">
                  <c:v>45049.59375</c:v>
                </c:pt>
                <c:pt idx="1189">
                  <c:v>45049.604166666664</c:v>
                </c:pt>
                <c:pt idx="1190">
                  <c:v>45049.614583333336</c:v>
                </c:pt>
                <c:pt idx="1191">
                  <c:v>45049.625</c:v>
                </c:pt>
                <c:pt idx="1192">
                  <c:v>45049.635416666664</c:v>
                </c:pt>
                <c:pt idx="1193">
                  <c:v>45049.645833333336</c:v>
                </c:pt>
                <c:pt idx="1194">
                  <c:v>45049.65625</c:v>
                </c:pt>
                <c:pt idx="1195">
                  <c:v>45049.666666666664</c:v>
                </c:pt>
                <c:pt idx="1196">
                  <c:v>45049.677083333336</c:v>
                </c:pt>
                <c:pt idx="1197">
                  <c:v>45049.6875</c:v>
                </c:pt>
                <c:pt idx="1198">
                  <c:v>45049.697916666664</c:v>
                </c:pt>
                <c:pt idx="1199">
                  <c:v>45049.708333333336</c:v>
                </c:pt>
                <c:pt idx="1200">
                  <c:v>45049.71875</c:v>
                </c:pt>
                <c:pt idx="1201">
                  <c:v>45049.729166666664</c:v>
                </c:pt>
                <c:pt idx="1202">
                  <c:v>45049.739583333336</c:v>
                </c:pt>
                <c:pt idx="1203">
                  <c:v>45049.75</c:v>
                </c:pt>
                <c:pt idx="1204">
                  <c:v>45049.760416666664</c:v>
                </c:pt>
                <c:pt idx="1205">
                  <c:v>45049.770833333336</c:v>
                </c:pt>
                <c:pt idx="1206">
                  <c:v>45049.78125</c:v>
                </c:pt>
                <c:pt idx="1207">
                  <c:v>45049.791666666664</c:v>
                </c:pt>
                <c:pt idx="1208">
                  <c:v>45049.802083333336</c:v>
                </c:pt>
                <c:pt idx="1209">
                  <c:v>45049.8125</c:v>
                </c:pt>
                <c:pt idx="1210">
                  <c:v>45049.822916666664</c:v>
                </c:pt>
                <c:pt idx="1211">
                  <c:v>45049.833333333336</c:v>
                </c:pt>
                <c:pt idx="1212">
                  <c:v>45049.84375</c:v>
                </c:pt>
                <c:pt idx="1213">
                  <c:v>45049.854166666664</c:v>
                </c:pt>
                <c:pt idx="1214">
                  <c:v>45049.864583333336</c:v>
                </c:pt>
                <c:pt idx="1215">
                  <c:v>45049.875</c:v>
                </c:pt>
                <c:pt idx="1216">
                  <c:v>45049.885416666664</c:v>
                </c:pt>
                <c:pt idx="1217">
                  <c:v>45049.895833333336</c:v>
                </c:pt>
                <c:pt idx="1218">
                  <c:v>45049.90625</c:v>
                </c:pt>
                <c:pt idx="1219">
                  <c:v>45049.916666666664</c:v>
                </c:pt>
                <c:pt idx="1220">
                  <c:v>45049.927083333336</c:v>
                </c:pt>
                <c:pt idx="1221">
                  <c:v>45049.9375</c:v>
                </c:pt>
                <c:pt idx="1222">
                  <c:v>45049.947916666664</c:v>
                </c:pt>
                <c:pt idx="1223">
                  <c:v>45049.958333333336</c:v>
                </c:pt>
                <c:pt idx="1224">
                  <c:v>45049.96875</c:v>
                </c:pt>
                <c:pt idx="1225">
                  <c:v>45049.979166666664</c:v>
                </c:pt>
                <c:pt idx="1226">
                  <c:v>45049.989583333336</c:v>
                </c:pt>
                <c:pt idx="1227">
                  <c:v>45050</c:v>
                </c:pt>
                <c:pt idx="1228">
                  <c:v>45050.010416666664</c:v>
                </c:pt>
                <c:pt idx="1229">
                  <c:v>45050.020833333336</c:v>
                </c:pt>
                <c:pt idx="1230">
                  <c:v>45050.03125</c:v>
                </c:pt>
                <c:pt idx="1231">
                  <c:v>45050.041666666664</c:v>
                </c:pt>
                <c:pt idx="1232">
                  <c:v>45050.052083333336</c:v>
                </c:pt>
                <c:pt idx="1233">
                  <c:v>45050.0625</c:v>
                </c:pt>
                <c:pt idx="1234">
                  <c:v>45050.072916666664</c:v>
                </c:pt>
                <c:pt idx="1235">
                  <c:v>45050.083333333336</c:v>
                </c:pt>
                <c:pt idx="1236">
                  <c:v>45050.09375</c:v>
                </c:pt>
                <c:pt idx="1237">
                  <c:v>45050.104166666664</c:v>
                </c:pt>
                <c:pt idx="1238">
                  <c:v>45050.114583333336</c:v>
                </c:pt>
                <c:pt idx="1239">
                  <c:v>45050.125</c:v>
                </c:pt>
                <c:pt idx="1240">
                  <c:v>45050.135416666664</c:v>
                </c:pt>
                <c:pt idx="1241">
                  <c:v>45050.145833333336</c:v>
                </c:pt>
                <c:pt idx="1242">
                  <c:v>45050.15625</c:v>
                </c:pt>
                <c:pt idx="1243">
                  <c:v>45050.166666666664</c:v>
                </c:pt>
                <c:pt idx="1244">
                  <c:v>45050.177083333336</c:v>
                </c:pt>
                <c:pt idx="1245">
                  <c:v>45050.1875</c:v>
                </c:pt>
                <c:pt idx="1246">
                  <c:v>45050.197916666664</c:v>
                </c:pt>
                <c:pt idx="1247">
                  <c:v>45050.208333333336</c:v>
                </c:pt>
                <c:pt idx="1248">
                  <c:v>45050.21875</c:v>
                </c:pt>
                <c:pt idx="1249">
                  <c:v>45050.229166666664</c:v>
                </c:pt>
                <c:pt idx="1250">
                  <c:v>45050.239583333336</c:v>
                </c:pt>
                <c:pt idx="1251">
                  <c:v>45050.25</c:v>
                </c:pt>
                <c:pt idx="1252">
                  <c:v>45050.260416666664</c:v>
                </c:pt>
                <c:pt idx="1253">
                  <c:v>45050.270833333336</c:v>
                </c:pt>
                <c:pt idx="1254">
                  <c:v>45050.28125</c:v>
                </c:pt>
                <c:pt idx="1255">
                  <c:v>45050.291666666664</c:v>
                </c:pt>
                <c:pt idx="1256">
                  <c:v>45050.302083333336</c:v>
                </c:pt>
                <c:pt idx="1257">
                  <c:v>45050.3125</c:v>
                </c:pt>
                <c:pt idx="1258">
                  <c:v>45050.322916666664</c:v>
                </c:pt>
                <c:pt idx="1259">
                  <c:v>45050.333333333336</c:v>
                </c:pt>
                <c:pt idx="1260">
                  <c:v>45050.34375</c:v>
                </c:pt>
                <c:pt idx="1261">
                  <c:v>45050.354166666664</c:v>
                </c:pt>
                <c:pt idx="1262">
                  <c:v>45050.364583333336</c:v>
                </c:pt>
                <c:pt idx="1263">
                  <c:v>45050.375</c:v>
                </c:pt>
                <c:pt idx="1264">
                  <c:v>45050.385416666664</c:v>
                </c:pt>
                <c:pt idx="1265">
                  <c:v>45050.395833333336</c:v>
                </c:pt>
                <c:pt idx="1266">
                  <c:v>45050.40625</c:v>
                </c:pt>
                <c:pt idx="1267">
                  <c:v>45050.416666666664</c:v>
                </c:pt>
                <c:pt idx="1268">
                  <c:v>45050.427083333336</c:v>
                </c:pt>
                <c:pt idx="1269">
                  <c:v>45050.4375</c:v>
                </c:pt>
                <c:pt idx="1270">
                  <c:v>45050.447916666664</c:v>
                </c:pt>
                <c:pt idx="1271">
                  <c:v>45050.458333333336</c:v>
                </c:pt>
                <c:pt idx="1272">
                  <c:v>45050.46875</c:v>
                </c:pt>
                <c:pt idx="1273">
                  <c:v>45050.479166666664</c:v>
                </c:pt>
                <c:pt idx="1274">
                  <c:v>45050.489583333336</c:v>
                </c:pt>
                <c:pt idx="1275">
                  <c:v>45050.5</c:v>
                </c:pt>
                <c:pt idx="1276">
                  <c:v>45050.510416666664</c:v>
                </c:pt>
                <c:pt idx="1277">
                  <c:v>45050.520833333336</c:v>
                </c:pt>
                <c:pt idx="1278">
                  <c:v>45050.53125</c:v>
                </c:pt>
                <c:pt idx="1279">
                  <c:v>45050.541666666664</c:v>
                </c:pt>
                <c:pt idx="1280">
                  <c:v>45050.552083333336</c:v>
                </c:pt>
                <c:pt idx="1281">
                  <c:v>45050.5625</c:v>
                </c:pt>
                <c:pt idx="1282">
                  <c:v>45050.572916666664</c:v>
                </c:pt>
                <c:pt idx="1283">
                  <c:v>45050.583333333336</c:v>
                </c:pt>
                <c:pt idx="1284">
                  <c:v>45050.59375</c:v>
                </c:pt>
                <c:pt idx="1285">
                  <c:v>45050.604166666664</c:v>
                </c:pt>
                <c:pt idx="1286">
                  <c:v>45050.614583333336</c:v>
                </c:pt>
                <c:pt idx="1287">
                  <c:v>45050.625</c:v>
                </c:pt>
                <c:pt idx="1288">
                  <c:v>45050.635416666664</c:v>
                </c:pt>
                <c:pt idx="1289">
                  <c:v>45050.645833333336</c:v>
                </c:pt>
                <c:pt idx="1290">
                  <c:v>45050.65625</c:v>
                </c:pt>
                <c:pt idx="1291">
                  <c:v>45050.666666666664</c:v>
                </c:pt>
                <c:pt idx="1292">
                  <c:v>45050.677083333336</c:v>
                </c:pt>
                <c:pt idx="1293">
                  <c:v>45050.6875</c:v>
                </c:pt>
                <c:pt idx="1294">
                  <c:v>45050.697916666664</c:v>
                </c:pt>
                <c:pt idx="1295">
                  <c:v>45050.708333333336</c:v>
                </c:pt>
                <c:pt idx="1296">
                  <c:v>45050.71875</c:v>
                </c:pt>
                <c:pt idx="1297">
                  <c:v>45050.729166666664</c:v>
                </c:pt>
                <c:pt idx="1298">
                  <c:v>45050.739583333336</c:v>
                </c:pt>
                <c:pt idx="1299">
                  <c:v>45050.75</c:v>
                </c:pt>
                <c:pt idx="1300">
                  <c:v>45050.760416666664</c:v>
                </c:pt>
                <c:pt idx="1301">
                  <c:v>45050.770833333336</c:v>
                </c:pt>
                <c:pt idx="1302">
                  <c:v>45050.78125</c:v>
                </c:pt>
                <c:pt idx="1303">
                  <c:v>45050.791666666664</c:v>
                </c:pt>
                <c:pt idx="1304">
                  <c:v>45050.802083333336</c:v>
                </c:pt>
                <c:pt idx="1305">
                  <c:v>45050.8125</c:v>
                </c:pt>
                <c:pt idx="1306">
                  <c:v>45050.822916666664</c:v>
                </c:pt>
                <c:pt idx="1307">
                  <c:v>45050.833333333336</c:v>
                </c:pt>
                <c:pt idx="1308">
                  <c:v>45050.84375</c:v>
                </c:pt>
                <c:pt idx="1309">
                  <c:v>45050.854166666664</c:v>
                </c:pt>
                <c:pt idx="1310">
                  <c:v>45050.864583333336</c:v>
                </c:pt>
                <c:pt idx="1311">
                  <c:v>45050.875</c:v>
                </c:pt>
                <c:pt idx="1312">
                  <c:v>45050.885416666664</c:v>
                </c:pt>
                <c:pt idx="1313">
                  <c:v>45050.895833333336</c:v>
                </c:pt>
                <c:pt idx="1314">
                  <c:v>45050.90625</c:v>
                </c:pt>
                <c:pt idx="1315">
                  <c:v>45050.916666666664</c:v>
                </c:pt>
                <c:pt idx="1316">
                  <c:v>45050.927083333336</c:v>
                </c:pt>
                <c:pt idx="1317">
                  <c:v>45050.9375</c:v>
                </c:pt>
                <c:pt idx="1318">
                  <c:v>45050.947916666664</c:v>
                </c:pt>
                <c:pt idx="1319">
                  <c:v>45050.958333333336</c:v>
                </c:pt>
                <c:pt idx="1320">
                  <c:v>45050.96875</c:v>
                </c:pt>
                <c:pt idx="1321">
                  <c:v>45050.979166666664</c:v>
                </c:pt>
                <c:pt idx="1322">
                  <c:v>45050.989583333336</c:v>
                </c:pt>
                <c:pt idx="1323">
                  <c:v>45051</c:v>
                </c:pt>
                <c:pt idx="1324">
                  <c:v>45051.010416666664</c:v>
                </c:pt>
                <c:pt idx="1325">
                  <c:v>45051.020833333336</c:v>
                </c:pt>
                <c:pt idx="1326">
                  <c:v>45051.03125</c:v>
                </c:pt>
                <c:pt idx="1327">
                  <c:v>45051.041666666664</c:v>
                </c:pt>
                <c:pt idx="1328">
                  <c:v>45051.052083333336</c:v>
                </c:pt>
                <c:pt idx="1329">
                  <c:v>45051.0625</c:v>
                </c:pt>
                <c:pt idx="1330">
                  <c:v>45051.072916666664</c:v>
                </c:pt>
                <c:pt idx="1331">
                  <c:v>45051.083333333336</c:v>
                </c:pt>
                <c:pt idx="1332">
                  <c:v>45051.09375</c:v>
                </c:pt>
                <c:pt idx="1333">
                  <c:v>45051.104166666664</c:v>
                </c:pt>
                <c:pt idx="1334">
                  <c:v>45051.114583333336</c:v>
                </c:pt>
                <c:pt idx="1335">
                  <c:v>45051.125</c:v>
                </c:pt>
                <c:pt idx="1336">
                  <c:v>45051.135416666664</c:v>
                </c:pt>
                <c:pt idx="1337">
                  <c:v>45051.145833333336</c:v>
                </c:pt>
                <c:pt idx="1338">
                  <c:v>45051.15625</c:v>
                </c:pt>
                <c:pt idx="1339">
                  <c:v>45051.166666666664</c:v>
                </c:pt>
                <c:pt idx="1340">
                  <c:v>45051.177083333336</c:v>
                </c:pt>
                <c:pt idx="1341">
                  <c:v>45051.1875</c:v>
                </c:pt>
                <c:pt idx="1342">
                  <c:v>45051.197916666664</c:v>
                </c:pt>
                <c:pt idx="1343">
                  <c:v>45051.208333333336</c:v>
                </c:pt>
                <c:pt idx="1344">
                  <c:v>45051.21875</c:v>
                </c:pt>
                <c:pt idx="1345">
                  <c:v>45051.229166666664</c:v>
                </c:pt>
                <c:pt idx="1346">
                  <c:v>45051.239583333336</c:v>
                </c:pt>
                <c:pt idx="1347">
                  <c:v>45051.25</c:v>
                </c:pt>
                <c:pt idx="1348">
                  <c:v>45051.260416666664</c:v>
                </c:pt>
                <c:pt idx="1349">
                  <c:v>45051.270833333336</c:v>
                </c:pt>
                <c:pt idx="1350">
                  <c:v>45051.28125</c:v>
                </c:pt>
                <c:pt idx="1351">
                  <c:v>45051.291666666664</c:v>
                </c:pt>
                <c:pt idx="1352">
                  <c:v>45051.302083333336</c:v>
                </c:pt>
                <c:pt idx="1353">
                  <c:v>45051.3125</c:v>
                </c:pt>
                <c:pt idx="1354">
                  <c:v>45051.322916666664</c:v>
                </c:pt>
                <c:pt idx="1355">
                  <c:v>45051.333333333336</c:v>
                </c:pt>
                <c:pt idx="1356">
                  <c:v>45051.34375</c:v>
                </c:pt>
                <c:pt idx="1357">
                  <c:v>45051.354166666664</c:v>
                </c:pt>
                <c:pt idx="1358">
                  <c:v>45051.364583333336</c:v>
                </c:pt>
                <c:pt idx="1359">
                  <c:v>45051.375</c:v>
                </c:pt>
                <c:pt idx="1360">
                  <c:v>45051.385416666664</c:v>
                </c:pt>
                <c:pt idx="1361">
                  <c:v>45051.395833333336</c:v>
                </c:pt>
                <c:pt idx="1362">
                  <c:v>45051.40625</c:v>
                </c:pt>
                <c:pt idx="1363">
                  <c:v>45051.416666666664</c:v>
                </c:pt>
                <c:pt idx="1364">
                  <c:v>45051.427083333336</c:v>
                </c:pt>
                <c:pt idx="1365">
                  <c:v>45051.4375</c:v>
                </c:pt>
                <c:pt idx="1366">
                  <c:v>45051.447916666664</c:v>
                </c:pt>
                <c:pt idx="1367">
                  <c:v>45051.458333333336</c:v>
                </c:pt>
                <c:pt idx="1368">
                  <c:v>45051.46875</c:v>
                </c:pt>
                <c:pt idx="1369">
                  <c:v>45051.479166666664</c:v>
                </c:pt>
                <c:pt idx="1370">
                  <c:v>45051.489583333336</c:v>
                </c:pt>
                <c:pt idx="1371">
                  <c:v>45051.5</c:v>
                </c:pt>
                <c:pt idx="1372">
                  <c:v>45051.510416666664</c:v>
                </c:pt>
                <c:pt idx="1373">
                  <c:v>45051.520833333336</c:v>
                </c:pt>
                <c:pt idx="1374">
                  <c:v>45051.53125</c:v>
                </c:pt>
                <c:pt idx="1375">
                  <c:v>45051.541666666664</c:v>
                </c:pt>
                <c:pt idx="1376">
                  <c:v>45051.552083333336</c:v>
                </c:pt>
                <c:pt idx="1377">
                  <c:v>45051.5625</c:v>
                </c:pt>
                <c:pt idx="1378">
                  <c:v>45051.572916666664</c:v>
                </c:pt>
                <c:pt idx="1379">
                  <c:v>45051.583333333336</c:v>
                </c:pt>
                <c:pt idx="1380">
                  <c:v>45051.59375</c:v>
                </c:pt>
                <c:pt idx="1381">
                  <c:v>45051.604166666664</c:v>
                </c:pt>
                <c:pt idx="1382">
                  <c:v>45051.614583333336</c:v>
                </c:pt>
                <c:pt idx="1383">
                  <c:v>45051.625</c:v>
                </c:pt>
                <c:pt idx="1384">
                  <c:v>45051.635416666664</c:v>
                </c:pt>
                <c:pt idx="1385">
                  <c:v>45051.645833333336</c:v>
                </c:pt>
                <c:pt idx="1386">
                  <c:v>45051.65625</c:v>
                </c:pt>
                <c:pt idx="1387">
                  <c:v>45051.666666666664</c:v>
                </c:pt>
                <c:pt idx="1388">
                  <c:v>45051.677083333336</c:v>
                </c:pt>
                <c:pt idx="1389">
                  <c:v>45051.6875</c:v>
                </c:pt>
                <c:pt idx="1390">
                  <c:v>45051.697916666664</c:v>
                </c:pt>
                <c:pt idx="1391">
                  <c:v>45051.708333333336</c:v>
                </c:pt>
                <c:pt idx="1392">
                  <c:v>45051.71875</c:v>
                </c:pt>
                <c:pt idx="1393">
                  <c:v>45051.729166666664</c:v>
                </c:pt>
              </c:numCache>
            </c:numRef>
          </c:xVal>
          <c:yVal>
            <c:numRef>
              <c:f>'storms - seasonal amp funct'!$BC$3:$BC$1396</c:f>
              <c:numCache>
                <c:formatCode>0.000</c:formatCode>
                <c:ptCount val="1394"/>
                <c:pt idx="0">
                  <c:v>26.362897127647312</c:v>
                </c:pt>
                <c:pt idx="1">
                  <c:v>25.485180708048645</c:v>
                </c:pt>
                <c:pt idx="2">
                  <c:v>26.59750149410462</c:v>
                </c:pt>
                <c:pt idx="3">
                  <c:v>25.441645031987253</c:v>
                </c:pt>
                <c:pt idx="4">
                  <c:v>26.005086507138927</c:v>
                </c:pt>
                <c:pt idx="5">
                  <c:v>27.495024480412258</c:v>
                </c:pt>
                <c:pt idx="6">
                  <c:v>27.096045084423931</c:v>
                </c:pt>
                <c:pt idx="7">
                  <c:v>25.306878459846018</c:v>
                </c:pt>
                <c:pt idx="8">
                  <c:v>26.097146827064886</c:v>
                </c:pt>
                <c:pt idx="9">
                  <c:v>26.112520802758556</c:v>
                </c:pt>
                <c:pt idx="10">
                  <c:v>25.985517672051984</c:v>
                </c:pt>
                <c:pt idx="11">
                  <c:v>25.409647487927131</c:v>
                </c:pt>
                <c:pt idx="12">
                  <c:v>24.995278090709096</c:v>
                </c:pt>
                <c:pt idx="13">
                  <c:v>27.489413029799078</c:v>
                </c:pt>
                <c:pt idx="14">
                  <c:v>24.521223417965572</c:v>
                </c:pt>
                <c:pt idx="15">
                  <c:v>26.756741340888784</c:v>
                </c:pt>
                <c:pt idx="16">
                  <c:v>24.986825585703862</c:v>
                </c:pt>
                <c:pt idx="17">
                  <c:v>25.416754949208045</c:v>
                </c:pt>
                <c:pt idx="18">
                  <c:v>26.275037046543858</c:v>
                </c:pt>
                <c:pt idx="19">
                  <c:v>24.989117007148636</c:v>
                </c:pt>
                <c:pt idx="20">
                  <c:v>25.852935482662108</c:v>
                </c:pt>
                <c:pt idx="21">
                  <c:v>24.920275130930978</c:v>
                </c:pt>
                <c:pt idx="22">
                  <c:v>27.17430324131211</c:v>
                </c:pt>
                <c:pt idx="23">
                  <c:v>27.305816842416373</c:v>
                </c:pt>
                <c:pt idx="24">
                  <c:v>25.899487758685694</c:v>
                </c:pt>
                <c:pt idx="25">
                  <c:v>26.447026021857567</c:v>
                </c:pt>
                <c:pt idx="26">
                  <c:v>27.384905352301494</c:v>
                </c:pt>
                <c:pt idx="27">
                  <c:v>27.517342683372988</c:v>
                </c:pt>
                <c:pt idx="28">
                  <c:v>26.979909081128454</c:v>
                </c:pt>
                <c:pt idx="29">
                  <c:v>26.11255388149554</c:v>
                </c:pt>
                <c:pt idx="30">
                  <c:v>27.430453676125101</c:v>
                </c:pt>
                <c:pt idx="31">
                  <c:v>27.009067129753497</c:v>
                </c:pt>
                <c:pt idx="32">
                  <c:v>26.740432497929238</c:v>
                </c:pt>
                <c:pt idx="33">
                  <c:v>27.119486685478421</c:v>
                </c:pt>
                <c:pt idx="34">
                  <c:v>28.202781904927054</c:v>
                </c:pt>
                <c:pt idx="35">
                  <c:v>26.668124816434773</c:v>
                </c:pt>
                <c:pt idx="36">
                  <c:v>27.22031108530242</c:v>
                </c:pt>
                <c:pt idx="37">
                  <c:v>29.783492218681417</c:v>
                </c:pt>
                <c:pt idx="38">
                  <c:v>28.426615829448615</c:v>
                </c:pt>
                <c:pt idx="39">
                  <c:v>27.359611995958346</c:v>
                </c:pt>
                <c:pt idx="40">
                  <c:v>28.588064627940636</c:v>
                </c:pt>
                <c:pt idx="41">
                  <c:v>29.344850932581853</c:v>
                </c:pt>
                <c:pt idx="42">
                  <c:v>29.488163330741848</c:v>
                </c:pt>
                <c:pt idx="43">
                  <c:v>28.465188599910231</c:v>
                </c:pt>
                <c:pt idx="44">
                  <c:v>28.873711707226278</c:v>
                </c:pt>
                <c:pt idx="45">
                  <c:v>28.951188706305693</c:v>
                </c:pt>
                <c:pt idx="46">
                  <c:v>29.542190525993256</c:v>
                </c:pt>
                <c:pt idx="47">
                  <c:v>30.350989055631551</c:v>
                </c:pt>
                <c:pt idx="48">
                  <c:v>29.859532465021406</c:v>
                </c:pt>
                <c:pt idx="49">
                  <c:v>29.990047544091858</c:v>
                </c:pt>
                <c:pt idx="50">
                  <c:v>28.987418696805001</c:v>
                </c:pt>
                <c:pt idx="51">
                  <c:v>29.347133664148647</c:v>
                </c:pt>
                <c:pt idx="52">
                  <c:v>30.436674657480886</c:v>
                </c:pt>
                <c:pt idx="53">
                  <c:v>30.473556774083196</c:v>
                </c:pt>
                <c:pt idx="54">
                  <c:v>28.439974270297594</c:v>
                </c:pt>
                <c:pt idx="55">
                  <c:v>29.585290012737364</c:v>
                </c:pt>
                <c:pt idx="56">
                  <c:v>28.211866789834787</c:v>
                </c:pt>
                <c:pt idx="57">
                  <c:v>28.603390622901543</c:v>
                </c:pt>
                <c:pt idx="58">
                  <c:v>27.552040966979668</c:v>
                </c:pt>
                <c:pt idx="59">
                  <c:v>27.587544799747103</c:v>
                </c:pt>
                <c:pt idx="60">
                  <c:v>27.948482724565888</c:v>
                </c:pt>
                <c:pt idx="61">
                  <c:v>29.407690929480683</c:v>
                </c:pt>
                <c:pt idx="62">
                  <c:v>28.68988780067523</c:v>
                </c:pt>
                <c:pt idx="63">
                  <c:v>28.23475106316398</c:v>
                </c:pt>
                <c:pt idx="64">
                  <c:v>27.724219579730718</c:v>
                </c:pt>
                <c:pt idx="65">
                  <c:v>27.73225150570714</c:v>
                </c:pt>
                <c:pt idx="66">
                  <c:v>27.828016272126206</c:v>
                </c:pt>
                <c:pt idx="67">
                  <c:v>27.877218682279167</c:v>
                </c:pt>
                <c:pt idx="68">
                  <c:v>27.724915482352841</c:v>
                </c:pt>
                <c:pt idx="69">
                  <c:v>28.032676255347909</c:v>
                </c:pt>
                <c:pt idx="70">
                  <c:v>28.319170484098606</c:v>
                </c:pt>
                <c:pt idx="71">
                  <c:v>28.181411252876501</c:v>
                </c:pt>
                <c:pt idx="72">
                  <c:v>27.618835489499489</c:v>
                </c:pt>
                <c:pt idx="73">
                  <c:v>28.552219675787033</c:v>
                </c:pt>
                <c:pt idx="74">
                  <c:v>28.012129846715055</c:v>
                </c:pt>
                <c:pt idx="75">
                  <c:v>29.873918496338113</c:v>
                </c:pt>
                <c:pt idx="76">
                  <c:v>28.003716561317553</c:v>
                </c:pt>
                <c:pt idx="77">
                  <c:v>27.822186836248076</c:v>
                </c:pt>
                <c:pt idx="78">
                  <c:v>27.593615586648301</c:v>
                </c:pt>
                <c:pt idx="79">
                  <c:v>26.504995628781078</c:v>
                </c:pt>
                <c:pt idx="80">
                  <c:v>27.885793616798793</c:v>
                </c:pt>
                <c:pt idx="81">
                  <c:v>27.148734355944857</c:v>
                </c:pt>
                <c:pt idx="82">
                  <c:v>26.503778189604763</c:v>
                </c:pt>
                <c:pt idx="83">
                  <c:v>27.193438710246916</c:v>
                </c:pt>
                <c:pt idx="84">
                  <c:v>26.92232670285307</c:v>
                </c:pt>
                <c:pt idx="85">
                  <c:v>26.717584303023013</c:v>
                </c:pt>
                <c:pt idx="86">
                  <c:v>26.220597899693214</c:v>
                </c:pt>
                <c:pt idx="87">
                  <c:v>26.847299267661487</c:v>
                </c:pt>
                <c:pt idx="88">
                  <c:v>27.271964751898814</c:v>
                </c:pt>
                <c:pt idx="89">
                  <c:v>27.091412109468084</c:v>
                </c:pt>
                <c:pt idx="90">
                  <c:v>25.937750682099413</c:v>
                </c:pt>
                <c:pt idx="91">
                  <c:v>27.765174975757468</c:v>
                </c:pt>
                <c:pt idx="92">
                  <c:v>26.101626326527963</c:v>
                </c:pt>
                <c:pt idx="93">
                  <c:v>27.191818337178432</c:v>
                </c:pt>
                <c:pt idx="94">
                  <c:v>27.063339377120062</c:v>
                </c:pt>
                <c:pt idx="95">
                  <c:v>28.281662038726914</c:v>
                </c:pt>
                <c:pt idx="96">
                  <c:v>27.410900833302225</c:v>
                </c:pt>
                <c:pt idx="97">
                  <c:v>26.539843747849797</c:v>
                </c:pt>
                <c:pt idx="98">
                  <c:v>27.233793741307668</c:v>
                </c:pt>
                <c:pt idx="99">
                  <c:v>26.92546004605974</c:v>
                </c:pt>
                <c:pt idx="100">
                  <c:v>25.808112517363558</c:v>
                </c:pt>
                <c:pt idx="101">
                  <c:v>25.611295313382943</c:v>
                </c:pt>
                <c:pt idx="102">
                  <c:v>27.778502907501718</c:v>
                </c:pt>
                <c:pt idx="103">
                  <c:v>26.352552394108844</c:v>
                </c:pt>
                <c:pt idx="104">
                  <c:v>26.010727513359281</c:v>
                </c:pt>
                <c:pt idx="105">
                  <c:v>26.081346722422975</c:v>
                </c:pt>
                <c:pt idx="106">
                  <c:v>26.446124857815828</c:v>
                </c:pt>
                <c:pt idx="107">
                  <c:v>27.445567986456325</c:v>
                </c:pt>
                <c:pt idx="108">
                  <c:v>26.11773110980916</c:v>
                </c:pt>
                <c:pt idx="109">
                  <c:v>26.223078655692525</c:v>
                </c:pt>
                <c:pt idx="110">
                  <c:v>25.473464506266506</c:v>
                </c:pt>
                <c:pt idx="111">
                  <c:v>25.724935358221131</c:v>
                </c:pt>
                <c:pt idx="112">
                  <c:v>27.051097119822121</c:v>
                </c:pt>
                <c:pt idx="113">
                  <c:v>27.213806763305616</c:v>
                </c:pt>
                <c:pt idx="114">
                  <c:v>26.005506305663737</c:v>
                </c:pt>
                <c:pt idx="115">
                  <c:v>27.009179881711241</c:v>
                </c:pt>
                <c:pt idx="116">
                  <c:v>25.175974514418613</c:v>
                </c:pt>
                <c:pt idx="117">
                  <c:v>27.992572437607599</c:v>
                </c:pt>
                <c:pt idx="118">
                  <c:v>25.28698983033982</c:v>
                </c:pt>
                <c:pt idx="119">
                  <c:v>26.97007807463396</c:v>
                </c:pt>
                <c:pt idx="120">
                  <c:v>26.418766928372932</c:v>
                </c:pt>
                <c:pt idx="121">
                  <c:v>27.559007890131472</c:v>
                </c:pt>
                <c:pt idx="122">
                  <c:v>25.823558977531796</c:v>
                </c:pt>
                <c:pt idx="123">
                  <c:v>25.769318146815667</c:v>
                </c:pt>
                <c:pt idx="124">
                  <c:v>26.367399313278852</c:v>
                </c:pt>
                <c:pt idx="125">
                  <c:v>27.11462307285915</c:v>
                </c:pt>
                <c:pt idx="126">
                  <c:v>27.014063079482714</c:v>
                </c:pt>
                <c:pt idx="127">
                  <c:v>26.488257682635876</c:v>
                </c:pt>
                <c:pt idx="128">
                  <c:v>24.938465459424581</c:v>
                </c:pt>
                <c:pt idx="129">
                  <c:v>25.963060947733773</c:v>
                </c:pt>
                <c:pt idx="130">
                  <c:v>28.328962626456129</c:v>
                </c:pt>
                <c:pt idx="131">
                  <c:v>27.378905382100914</c:v>
                </c:pt>
                <c:pt idx="132">
                  <c:v>29.454193006219377</c:v>
                </c:pt>
                <c:pt idx="133">
                  <c:v>28.224071845328591</c:v>
                </c:pt>
                <c:pt idx="134">
                  <c:v>27.824526461144156</c:v>
                </c:pt>
                <c:pt idx="135">
                  <c:v>28.181502982959852</c:v>
                </c:pt>
                <c:pt idx="136">
                  <c:v>27.606980966855133</c:v>
                </c:pt>
                <c:pt idx="137">
                  <c:v>28.03273294425156</c:v>
                </c:pt>
                <c:pt idx="138">
                  <c:v>28.44903340809217</c:v>
                </c:pt>
                <c:pt idx="139">
                  <c:v>29.668750690606167</c:v>
                </c:pt>
                <c:pt idx="140">
                  <c:v>29.225742323829387</c:v>
                </c:pt>
                <c:pt idx="141">
                  <c:v>28.852175234939352</c:v>
                </c:pt>
                <c:pt idx="142">
                  <c:v>29.694017799358743</c:v>
                </c:pt>
                <c:pt idx="143">
                  <c:v>30.113185669296268</c:v>
                </c:pt>
                <c:pt idx="144">
                  <c:v>29.29310165534055</c:v>
                </c:pt>
                <c:pt idx="145">
                  <c:v>29.332133920415533</c:v>
                </c:pt>
                <c:pt idx="146">
                  <c:v>31.359944570556952</c:v>
                </c:pt>
                <c:pt idx="147">
                  <c:v>30.870585571070936</c:v>
                </c:pt>
                <c:pt idx="148">
                  <c:v>29.582347942838652</c:v>
                </c:pt>
                <c:pt idx="149">
                  <c:v>29.579666419465575</c:v>
                </c:pt>
                <c:pt idx="150">
                  <c:v>28.07676750626657</c:v>
                </c:pt>
                <c:pt idx="151">
                  <c:v>30.30047169063014</c:v>
                </c:pt>
                <c:pt idx="152">
                  <c:v>28.788805597194564</c:v>
                </c:pt>
                <c:pt idx="153">
                  <c:v>29.616969048775637</c:v>
                </c:pt>
                <c:pt idx="154">
                  <c:v>28.548827528313304</c:v>
                </c:pt>
                <c:pt idx="155">
                  <c:v>27.957649019029503</c:v>
                </c:pt>
                <c:pt idx="156">
                  <c:v>28.281050610388981</c:v>
                </c:pt>
                <c:pt idx="157">
                  <c:v>27.857872800057375</c:v>
                </c:pt>
                <c:pt idx="158">
                  <c:v>28.21003298013088</c:v>
                </c:pt>
                <c:pt idx="159">
                  <c:v>27.368892104879219</c:v>
                </c:pt>
                <c:pt idx="160">
                  <c:v>27.825458003584092</c:v>
                </c:pt>
                <c:pt idx="161">
                  <c:v>27.245272380518582</c:v>
                </c:pt>
                <c:pt idx="162">
                  <c:v>28.438820580576007</c:v>
                </c:pt>
                <c:pt idx="163">
                  <c:v>28.608174419487945</c:v>
                </c:pt>
                <c:pt idx="164">
                  <c:v>27.549387409318616</c:v>
                </c:pt>
                <c:pt idx="165">
                  <c:v>27.3490181815604</c:v>
                </c:pt>
                <c:pt idx="166">
                  <c:v>27.28530419515344</c:v>
                </c:pt>
                <c:pt idx="167">
                  <c:v>27.57778136371682</c:v>
                </c:pt>
                <c:pt idx="168">
                  <c:v>28.194307309649119</c:v>
                </c:pt>
                <c:pt idx="169">
                  <c:v>27.372474575353053</c:v>
                </c:pt>
                <c:pt idx="170">
                  <c:v>26.42431617100711</c:v>
                </c:pt>
                <c:pt idx="171">
                  <c:v>26.848306039120303</c:v>
                </c:pt>
                <c:pt idx="172">
                  <c:v>27.070978999474537</c:v>
                </c:pt>
                <c:pt idx="173">
                  <c:v>26.133823388229938</c:v>
                </c:pt>
                <c:pt idx="174">
                  <c:v>25.989405925717357</c:v>
                </c:pt>
                <c:pt idx="175">
                  <c:v>26.227907244060695</c:v>
                </c:pt>
                <c:pt idx="176">
                  <c:v>26.447661656498315</c:v>
                </c:pt>
                <c:pt idx="177">
                  <c:v>25.582096677860012</c:v>
                </c:pt>
                <c:pt idx="178">
                  <c:v>25.946341977024098</c:v>
                </c:pt>
                <c:pt idx="179">
                  <c:v>26.969453194224304</c:v>
                </c:pt>
                <c:pt idx="180">
                  <c:v>25.536124418398309</c:v>
                </c:pt>
                <c:pt idx="181">
                  <c:v>25.946359149037502</c:v>
                </c:pt>
                <c:pt idx="182">
                  <c:v>26.347806328022006</c:v>
                </c:pt>
                <c:pt idx="183">
                  <c:v>25.897030499295155</c:v>
                </c:pt>
                <c:pt idx="184">
                  <c:v>26.559549574334866</c:v>
                </c:pt>
                <c:pt idx="185">
                  <c:v>26.968720220376117</c:v>
                </c:pt>
                <c:pt idx="186">
                  <c:v>25.605736734984504</c:v>
                </c:pt>
                <c:pt idx="187">
                  <c:v>26.026601523769202</c:v>
                </c:pt>
                <c:pt idx="188">
                  <c:v>25.65804742800794</c:v>
                </c:pt>
                <c:pt idx="189">
                  <c:v>24.368839495880259</c:v>
                </c:pt>
                <c:pt idx="190">
                  <c:v>25.251909600495811</c:v>
                </c:pt>
                <c:pt idx="191">
                  <c:v>25.887065050112533</c:v>
                </c:pt>
                <c:pt idx="192">
                  <c:v>26.158926613803143</c:v>
                </c:pt>
                <c:pt idx="193">
                  <c:v>25.85534338447393</c:v>
                </c:pt>
                <c:pt idx="194">
                  <c:v>25.831696372343462</c:v>
                </c:pt>
                <c:pt idx="195">
                  <c:v>26.65137800604623</c:v>
                </c:pt>
                <c:pt idx="196">
                  <c:v>27.131719008362552</c:v>
                </c:pt>
                <c:pt idx="197">
                  <c:v>25.65664300795769</c:v>
                </c:pt>
                <c:pt idx="198">
                  <c:v>25.719139361215209</c:v>
                </c:pt>
                <c:pt idx="199">
                  <c:v>26.754383513234444</c:v>
                </c:pt>
                <c:pt idx="200">
                  <c:v>24.925132358955867</c:v>
                </c:pt>
                <c:pt idx="201">
                  <c:v>25.621857082410013</c:v>
                </c:pt>
                <c:pt idx="202">
                  <c:v>24.570315883075931</c:v>
                </c:pt>
                <c:pt idx="203">
                  <c:v>23.738611019389154</c:v>
                </c:pt>
                <c:pt idx="204">
                  <c:v>24.753667894845709</c:v>
                </c:pt>
                <c:pt idx="205">
                  <c:v>25.669964899643986</c:v>
                </c:pt>
                <c:pt idx="206">
                  <c:v>23.856521394383076</c:v>
                </c:pt>
                <c:pt idx="207">
                  <c:v>24.01707842672521</c:v>
                </c:pt>
                <c:pt idx="208">
                  <c:v>24.44770128973753</c:v>
                </c:pt>
                <c:pt idx="209">
                  <c:v>24.270363796743087</c:v>
                </c:pt>
                <c:pt idx="210">
                  <c:v>23.718422865619189</c:v>
                </c:pt>
                <c:pt idx="211">
                  <c:v>24.844512686464977</c:v>
                </c:pt>
                <c:pt idx="212">
                  <c:v>23.769813276537711</c:v>
                </c:pt>
                <c:pt idx="213">
                  <c:v>22.765760777092012</c:v>
                </c:pt>
                <c:pt idx="214">
                  <c:v>24.661070781132253</c:v>
                </c:pt>
                <c:pt idx="215">
                  <c:v>26.117781590614289</c:v>
                </c:pt>
                <c:pt idx="216">
                  <c:v>25.052700494597211</c:v>
                </c:pt>
                <c:pt idx="217">
                  <c:v>23.659044423002889</c:v>
                </c:pt>
                <c:pt idx="218">
                  <c:v>24.088190523005405</c:v>
                </c:pt>
                <c:pt idx="219">
                  <c:v>24.518185962507264</c:v>
                </c:pt>
                <c:pt idx="220">
                  <c:v>24.145976005010176</c:v>
                </c:pt>
                <c:pt idx="221">
                  <c:v>24.138939689934901</c:v>
                </c:pt>
                <c:pt idx="222">
                  <c:v>24.44648178966187</c:v>
                </c:pt>
                <c:pt idx="223">
                  <c:v>24.350656291968939</c:v>
                </c:pt>
                <c:pt idx="224">
                  <c:v>24.995591246694563</c:v>
                </c:pt>
                <c:pt idx="225">
                  <c:v>26.39697841588638</c:v>
                </c:pt>
                <c:pt idx="226">
                  <c:v>26.573918698651536</c:v>
                </c:pt>
                <c:pt idx="227">
                  <c:v>28.285359582516421</c:v>
                </c:pt>
                <c:pt idx="228">
                  <c:v>26.947825320372296</c:v>
                </c:pt>
                <c:pt idx="229">
                  <c:v>26.532561462795154</c:v>
                </c:pt>
                <c:pt idx="230">
                  <c:v>26.961906279819214</c:v>
                </c:pt>
                <c:pt idx="231">
                  <c:v>28.499035883500696</c:v>
                </c:pt>
                <c:pt idx="232">
                  <c:v>27.772583499662336</c:v>
                </c:pt>
                <c:pt idx="233">
                  <c:v>26.607064757678977</c:v>
                </c:pt>
                <c:pt idx="234">
                  <c:v>26.578146916814525</c:v>
                </c:pt>
                <c:pt idx="235">
                  <c:v>28.8635838324353</c:v>
                </c:pt>
                <c:pt idx="236">
                  <c:v>28.950377176029026</c:v>
                </c:pt>
                <c:pt idx="237">
                  <c:v>29.447068841252285</c:v>
                </c:pt>
                <c:pt idx="238">
                  <c:v>28.709219158052335</c:v>
                </c:pt>
                <c:pt idx="239">
                  <c:v>26.939606730443149</c:v>
                </c:pt>
                <c:pt idx="240">
                  <c:v>28.792930097192542</c:v>
                </c:pt>
                <c:pt idx="241">
                  <c:v>28.296606247292942</c:v>
                </c:pt>
                <c:pt idx="242">
                  <c:v>29.724883176920315</c:v>
                </c:pt>
                <c:pt idx="243">
                  <c:v>27.506682536402433</c:v>
                </c:pt>
                <c:pt idx="244">
                  <c:v>28.45720716285895</c:v>
                </c:pt>
                <c:pt idx="245">
                  <c:v>29.742816980732723</c:v>
                </c:pt>
                <c:pt idx="246">
                  <c:v>26.385953362631518</c:v>
                </c:pt>
                <c:pt idx="247">
                  <c:v>25.340875327596972</c:v>
                </c:pt>
                <c:pt idx="248">
                  <c:v>25.5934805036438</c:v>
                </c:pt>
                <c:pt idx="249">
                  <c:v>27.411391389566621</c:v>
                </c:pt>
                <c:pt idx="250">
                  <c:v>27.283988776395912</c:v>
                </c:pt>
                <c:pt idx="251">
                  <c:v>28.00157352747993</c:v>
                </c:pt>
                <c:pt idx="252">
                  <c:v>29.212944848171631</c:v>
                </c:pt>
                <c:pt idx="253">
                  <c:v>27.124740794757756</c:v>
                </c:pt>
                <c:pt idx="254">
                  <c:v>25.603077730940839</c:v>
                </c:pt>
                <c:pt idx="255">
                  <c:v>27.025578388254516</c:v>
                </c:pt>
                <c:pt idx="256">
                  <c:v>26.276889615505421</c:v>
                </c:pt>
                <c:pt idx="257">
                  <c:v>26.825390365318075</c:v>
                </c:pt>
                <c:pt idx="258">
                  <c:v>26.744562849039426</c:v>
                </c:pt>
                <c:pt idx="259">
                  <c:v>26.410168538632146</c:v>
                </c:pt>
                <c:pt idx="260">
                  <c:v>27.067554465113982</c:v>
                </c:pt>
                <c:pt idx="261">
                  <c:v>28.031442185649244</c:v>
                </c:pt>
                <c:pt idx="262">
                  <c:v>27.449169141219805</c:v>
                </c:pt>
                <c:pt idx="263">
                  <c:v>25.600286951230931</c:v>
                </c:pt>
                <c:pt idx="264">
                  <c:v>25.366234587152309</c:v>
                </c:pt>
                <c:pt idx="265">
                  <c:v>26.565688853222039</c:v>
                </c:pt>
                <c:pt idx="266">
                  <c:v>26.661022663854133</c:v>
                </c:pt>
                <c:pt idx="267">
                  <c:v>26.618364873968268</c:v>
                </c:pt>
                <c:pt idx="268">
                  <c:v>25.893031909021889</c:v>
                </c:pt>
                <c:pt idx="269">
                  <c:v>26.168499452333176</c:v>
                </c:pt>
                <c:pt idx="270">
                  <c:v>26.175451734636638</c:v>
                </c:pt>
                <c:pt idx="271">
                  <c:v>27.068165851670777</c:v>
                </c:pt>
                <c:pt idx="272">
                  <c:v>25.511449941247147</c:v>
                </c:pt>
                <c:pt idx="273">
                  <c:v>24.529122738520456</c:v>
                </c:pt>
                <c:pt idx="274">
                  <c:v>24.434096348253895</c:v>
                </c:pt>
                <c:pt idx="275">
                  <c:v>24.75234983809165</c:v>
                </c:pt>
                <c:pt idx="276">
                  <c:v>24.751630396430325</c:v>
                </c:pt>
                <c:pt idx="277">
                  <c:v>24.049789283658548</c:v>
                </c:pt>
                <c:pt idx="278">
                  <c:v>23.9573652663363</c:v>
                </c:pt>
                <c:pt idx="279">
                  <c:v>23.879844494302905</c:v>
                </c:pt>
                <c:pt idx="280">
                  <c:v>23.202133518438981</c:v>
                </c:pt>
                <c:pt idx="281">
                  <c:v>22.746635055265351</c:v>
                </c:pt>
                <c:pt idx="282">
                  <c:v>23.594587438005842</c:v>
                </c:pt>
                <c:pt idx="283">
                  <c:v>24.336628491743003</c:v>
                </c:pt>
                <c:pt idx="284">
                  <c:v>23.477501294036383</c:v>
                </c:pt>
                <c:pt idx="285">
                  <c:v>24.967191717811463</c:v>
                </c:pt>
                <c:pt idx="286">
                  <c:v>24.92501700336085</c:v>
                </c:pt>
                <c:pt idx="287">
                  <c:v>24.609765559185973</c:v>
                </c:pt>
                <c:pt idx="288">
                  <c:v>23.585987685694572</c:v>
                </c:pt>
                <c:pt idx="289">
                  <c:v>24.447266343590467</c:v>
                </c:pt>
                <c:pt idx="290">
                  <c:v>24.707372911291898</c:v>
                </c:pt>
                <c:pt idx="291">
                  <c:v>24.250741650219325</c:v>
                </c:pt>
                <c:pt idx="292">
                  <c:v>25.653844125176352</c:v>
                </c:pt>
                <c:pt idx="293">
                  <c:v>24.749337058157209</c:v>
                </c:pt>
                <c:pt idx="294">
                  <c:v>26.767737707689779</c:v>
                </c:pt>
                <c:pt idx="295">
                  <c:v>28.533045972208583</c:v>
                </c:pt>
                <c:pt idx="296">
                  <c:v>24.638781240064397</c:v>
                </c:pt>
                <c:pt idx="297">
                  <c:v>26.12278672293267</c:v>
                </c:pt>
                <c:pt idx="298">
                  <c:v>24.687533921877961</c:v>
                </c:pt>
                <c:pt idx="299">
                  <c:v>25.931060095977195</c:v>
                </c:pt>
                <c:pt idx="300">
                  <c:v>25.641138450495607</c:v>
                </c:pt>
                <c:pt idx="301">
                  <c:v>23.554287544469531</c:v>
                </c:pt>
                <c:pt idx="302">
                  <c:v>24.325165312906755</c:v>
                </c:pt>
                <c:pt idx="303">
                  <c:v>23.106422994722241</c:v>
                </c:pt>
                <c:pt idx="304">
                  <c:v>22.159523590329165</c:v>
                </c:pt>
                <c:pt idx="305">
                  <c:v>24.327440144625594</c:v>
                </c:pt>
                <c:pt idx="306">
                  <c:v>23.824711970357129</c:v>
                </c:pt>
                <c:pt idx="307">
                  <c:v>24.602999529220327</c:v>
                </c:pt>
                <c:pt idx="308">
                  <c:v>23.245392486099483</c:v>
                </c:pt>
                <c:pt idx="309">
                  <c:v>22.414744475430716</c:v>
                </c:pt>
                <c:pt idx="310">
                  <c:v>22.594217184727889</c:v>
                </c:pt>
                <c:pt idx="311">
                  <c:v>25.943543043909266</c:v>
                </c:pt>
                <c:pt idx="312">
                  <c:v>23.57840111782048</c:v>
                </c:pt>
                <c:pt idx="313">
                  <c:v>25.492854191812881</c:v>
                </c:pt>
                <c:pt idx="314">
                  <c:v>24.50789812786487</c:v>
                </c:pt>
                <c:pt idx="315">
                  <c:v>25.789013808227995</c:v>
                </c:pt>
                <c:pt idx="316">
                  <c:v>23.053945223462556</c:v>
                </c:pt>
                <c:pt idx="317">
                  <c:v>22.730637069579419</c:v>
                </c:pt>
                <c:pt idx="318">
                  <c:v>22.356493455677967</c:v>
                </c:pt>
                <c:pt idx="319">
                  <c:v>22.990469711536161</c:v>
                </c:pt>
                <c:pt idx="320">
                  <c:v>23.135428622993185</c:v>
                </c:pt>
                <c:pt idx="321">
                  <c:v>24.273598767455329</c:v>
                </c:pt>
                <c:pt idx="322">
                  <c:v>24.749628191937251</c:v>
                </c:pt>
                <c:pt idx="323">
                  <c:v>25.218011410360702</c:v>
                </c:pt>
                <c:pt idx="324">
                  <c:v>24.572490696982776</c:v>
                </c:pt>
                <c:pt idx="325">
                  <c:v>25.418718871009183</c:v>
                </c:pt>
                <c:pt idx="326">
                  <c:v>26.214154083892517</c:v>
                </c:pt>
                <c:pt idx="327">
                  <c:v>28.492117013628803</c:v>
                </c:pt>
                <c:pt idx="328">
                  <c:v>27.618183463660333</c:v>
                </c:pt>
                <c:pt idx="329">
                  <c:v>28.385141308199039</c:v>
                </c:pt>
                <c:pt idx="330">
                  <c:v>26.952862185697612</c:v>
                </c:pt>
                <c:pt idx="331">
                  <c:v>27.463633109779636</c:v>
                </c:pt>
                <c:pt idx="332">
                  <c:v>27.63322771710374</c:v>
                </c:pt>
                <c:pt idx="333">
                  <c:v>27.835950094068419</c:v>
                </c:pt>
                <c:pt idx="334">
                  <c:v>27.885964344981801</c:v>
                </c:pt>
                <c:pt idx="335">
                  <c:v>28.43552211576857</c:v>
                </c:pt>
                <c:pt idx="336">
                  <c:v>28.334799563886161</c:v>
                </c:pt>
                <c:pt idx="337">
                  <c:v>28.410862880362057</c:v>
                </c:pt>
                <c:pt idx="338">
                  <c:v>29.674044648910492</c:v>
                </c:pt>
                <c:pt idx="339">
                  <c:v>27.281223063196588</c:v>
                </c:pt>
                <c:pt idx="340">
                  <c:v>27.511487797049938</c:v>
                </c:pt>
                <c:pt idx="341">
                  <c:v>27.247794717563437</c:v>
                </c:pt>
                <c:pt idx="342">
                  <c:v>27.642657557042813</c:v>
                </c:pt>
                <c:pt idx="343">
                  <c:v>26.277156049937943</c:v>
                </c:pt>
                <c:pt idx="344">
                  <c:v>27.099328206666549</c:v>
                </c:pt>
                <c:pt idx="345">
                  <c:v>27.652112043774324</c:v>
                </c:pt>
                <c:pt idx="346">
                  <c:v>25.606834130084565</c:v>
                </c:pt>
                <c:pt idx="347">
                  <c:v>25.568081355035517</c:v>
                </c:pt>
                <c:pt idx="348">
                  <c:v>27.086413767211113</c:v>
                </c:pt>
                <c:pt idx="349">
                  <c:v>27.442266897323545</c:v>
                </c:pt>
                <c:pt idx="350">
                  <c:v>27.803604961052557</c:v>
                </c:pt>
                <c:pt idx="351">
                  <c:v>27.489718157336284</c:v>
                </c:pt>
                <c:pt idx="352">
                  <c:v>27.49830065407907</c:v>
                </c:pt>
                <c:pt idx="353">
                  <c:v>26.621694463238001</c:v>
                </c:pt>
                <c:pt idx="354">
                  <c:v>25.378805512397605</c:v>
                </c:pt>
                <c:pt idx="355">
                  <c:v>26.053359944078434</c:v>
                </c:pt>
                <c:pt idx="356">
                  <c:v>27.034530049072632</c:v>
                </c:pt>
                <c:pt idx="357">
                  <c:v>28.126787542519519</c:v>
                </c:pt>
                <c:pt idx="358">
                  <c:v>25.909863282393417</c:v>
                </c:pt>
                <c:pt idx="359">
                  <c:v>26.534703368750204</c:v>
                </c:pt>
                <c:pt idx="360">
                  <c:v>27.767568928033633</c:v>
                </c:pt>
                <c:pt idx="361">
                  <c:v>26.328152184525528</c:v>
                </c:pt>
                <c:pt idx="362">
                  <c:v>26.106111475939972</c:v>
                </c:pt>
                <c:pt idx="363">
                  <c:v>25.374972375759445</c:v>
                </c:pt>
                <c:pt idx="364">
                  <c:v>26.871978096730125</c:v>
                </c:pt>
                <c:pt idx="365">
                  <c:v>25.593967113293033</c:v>
                </c:pt>
                <c:pt idx="366">
                  <c:v>24.583687054392175</c:v>
                </c:pt>
                <c:pt idx="367">
                  <c:v>25.505635288711453</c:v>
                </c:pt>
                <c:pt idx="368">
                  <c:v>25.370963376264275</c:v>
                </c:pt>
                <c:pt idx="369">
                  <c:v>25.013667032286985</c:v>
                </c:pt>
                <c:pt idx="370">
                  <c:v>24.509459294948638</c:v>
                </c:pt>
                <c:pt idx="371">
                  <c:v>25.073934775243455</c:v>
                </c:pt>
                <c:pt idx="372">
                  <c:v>25.079102220729418</c:v>
                </c:pt>
                <c:pt idx="373">
                  <c:v>24.447139947599123</c:v>
                </c:pt>
                <c:pt idx="374">
                  <c:v>24.154721686822377</c:v>
                </c:pt>
                <c:pt idx="375">
                  <c:v>25.536188053137511</c:v>
                </c:pt>
                <c:pt idx="376">
                  <c:v>24.669253366181</c:v>
                </c:pt>
                <c:pt idx="377">
                  <c:v>24.492662958044573</c:v>
                </c:pt>
                <c:pt idx="378">
                  <c:v>24.487995405851823</c:v>
                </c:pt>
                <c:pt idx="379">
                  <c:v>23.566938205421096</c:v>
                </c:pt>
                <c:pt idx="380">
                  <c:v>24.080294667482086</c:v>
                </c:pt>
                <c:pt idx="381">
                  <c:v>24.139321498519628</c:v>
                </c:pt>
                <c:pt idx="382">
                  <c:v>25.17804783766379</c:v>
                </c:pt>
                <c:pt idx="383">
                  <c:v>24.992165366793291</c:v>
                </c:pt>
                <c:pt idx="384">
                  <c:v>25.655959712416234</c:v>
                </c:pt>
                <c:pt idx="385">
                  <c:v>23.605940271723469</c:v>
                </c:pt>
                <c:pt idx="386">
                  <c:v>23.702715526064683</c:v>
                </c:pt>
                <c:pt idx="387">
                  <c:v>23.584116142472244</c:v>
                </c:pt>
                <c:pt idx="388">
                  <c:v>22.970696150125587</c:v>
                </c:pt>
                <c:pt idx="389">
                  <c:v>24.302903590081829</c:v>
                </c:pt>
                <c:pt idx="390">
                  <c:v>22.992158823438132</c:v>
                </c:pt>
                <c:pt idx="391">
                  <c:v>24.409647074449687</c:v>
                </c:pt>
                <c:pt idx="392">
                  <c:v>24.072383067076412</c:v>
                </c:pt>
                <c:pt idx="393">
                  <c:v>24.190177409525536</c:v>
                </c:pt>
                <c:pt idx="394">
                  <c:v>22.765913574590467</c:v>
                </c:pt>
                <c:pt idx="395">
                  <c:v>22.852057802088492</c:v>
                </c:pt>
                <c:pt idx="396">
                  <c:v>23.995537787944357</c:v>
                </c:pt>
                <c:pt idx="397">
                  <c:v>23.921747053598445</c:v>
                </c:pt>
                <c:pt idx="398">
                  <c:v>24.165600179785706</c:v>
                </c:pt>
                <c:pt idx="399">
                  <c:v>23.394923406145391</c:v>
                </c:pt>
                <c:pt idx="400">
                  <c:v>23.871395796790193</c:v>
                </c:pt>
                <c:pt idx="401">
                  <c:v>23.37741115461796</c:v>
                </c:pt>
                <c:pt idx="402">
                  <c:v>23.633974336695761</c:v>
                </c:pt>
                <c:pt idx="403">
                  <c:v>23.68786871492604</c:v>
                </c:pt>
                <c:pt idx="404">
                  <c:v>23.659737953751478</c:v>
                </c:pt>
                <c:pt idx="405">
                  <c:v>24.423575440349424</c:v>
                </c:pt>
                <c:pt idx="406">
                  <c:v>23.015571590670394</c:v>
                </c:pt>
                <c:pt idx="407">
                  <c:v>23.716279645068372</c:v>
                </c:pt>
                <c:pt idx="408">
                  <c:v>24.149645389342165</c:v>
                </c:pt>
                <c:pt idx="409">
                  <c:v>24.050528449097389</c:v>
                </c:pt>
                <c:pt idx="410">
                  <c:v>25.473392457895688</c:v>
                </c:pt>
                <c:pt idx="411">
                  <c:v>24.089191647565155</c:v>
                </c:pt>
                <c:pt idx="412">
                  <c:v>24.745777735033137</c:v>
                </c:pt>
                <c:pt idx="413">
                  <c:v>25.820151533805262</c:v>
                </c:pt>
                <c:pt idx="414">
                  <c:v>24.040860953048998</c:v>
                </c:pt>
                <c:pt idx="415">
                  <c:v>24.237943839712536</c:v>
                </c:pt>
                <c:pt idx="416">
                  <c:v>24.704788151611695</c:v>
                </c:pt>
                <c:pt idx="417">
                  <c:v>25.041070508170186</c:v>
                </c:pt>
                <c:pt idx="418">
                  <c:v>24.186934029110933</c:v>
                </c:pt>
                <c:pt idx="419">
                  <c:v>24.844659279798297</c:v>
                </c:pt>
                <c:pt idx="420">
                  <c:v>25.625408078611336</c:v>
                </c:pt>
                <c:pt idx="421">
                  <c:v>25.001556177150139</c:v>
                </c:pt>
                <c:pt idx="422">
                  <c:v>24.799845339619832</c:v>
                </c:pt>
                <c:pt idx="423">
                  <c:v>27.275585485277468</c:v>
                </c:pt>
                <c:pt idx="424">
                  <c:v>26.341587704802823</c:v>
                </c:pt>
                <c:pt idx="425">
                  <c:v>25.13821803391625</c:v>
                </c:pt>
                <c:pt idx="426">
                  <c:v>24.821000091238584</c:v>
                </c:pt>
                <c:pt idx="427">
                  <c:v>23.813038318041606</c:v>
                </c:pt>
                <c:pt idx="428">
                  <c:v>24.533003749748094</c:v>
                </c:pt>
                <c:pt idx="429">
                  <c:v>25.795496152872524</c:v>
                </c:pt>
                <c:pt idx="430">
                  <c:v>24.483230251127388</c:v>
                </c:pt>
                <c:pt idx="431">
                  <c:v>23.725472519476995</c:v>
                </c:pt>
                <c:pt idx="432">
                  <c:v>24.11100562436852</c:v>
                </c:pt>
                <c:pt idx="433">
                  <c:v>24.75935293185395</c:v>
                </c:pt>
                <c:pt idx="434">
                  <c:v>24.771678141178111</c:v>
                </c:pt>
                <c:pt idx="435">
                  <c:v>24.853944503712825</c:v>
                </c:pt>
                <c:pt idx="436">
                  <c:v>23.247028396950181</c:v>
                </c:pt>
                <c:pt idx="437">
                  <c:v>24.686494113920933</c:v>
                </c:pt>
                <c:pt idx="438">
                  <c:v>26.385563848628852</c:v>
                </c:pt>
                <c:pt idx="439">
                  <c:v>24.726291657473691</c:v>
                </c:pt>
                <c:pt idx="440">
                  <c:v>24.346444431972422</c:v>
                </c:pt>
                <c:pt idx="441">
                  <c:v>24.532560187665915</c:v>
                </c:pt>
                <c:pt idx="442">
                  <c:v>24.470634270577964</c:v>
                </c:pt>
                <c:pt idx="443">
                  <c:v>23.874064758681925</c:v>
                </c:pt>
                <c:pt idx="444">
                  <c:v>23.838019054263839</c:v>
                </c:pt>
                <c:pt idx="445">
                  <c:v>24.484365194723431</c:v>
                </c:pt>
                <c:pt idx="446">
                  <c:v>23.984891254880349</c:v>
                </c:pt>
                <c:pt idx="447">
                  <c:v>25.645323148192528</c:v>
                </c:pt>
                <c:pt idx="448">
                  <c:v>24.248972095948574</c:v>
                </c:pt>
                <c:pt idx="449">
                  <c:v>23.070154164938714</c:v>
                </c:pt>
                <c:pt idx="450">
                  <c:v>23.777282060271464</c:v>
                </c:pt>
                <c:pt idx="451">
                  <c:v>23.438739378298759</c:v>
                </c:pt>
                <c:pt idx="452">
                  <c:v>22.782902224901825</c:v>
                </c:pt>
                <c:pt idx="453">
                  <c:v>23.508197001200482</c:v>
                </c:pt>
                <c:pt idx="454">
                  <c:v>23.354279773210052</c:v>
                </c:pt>
                <c:pt idx="455">
                  <c:v>24.214825477412248</c:v>
                </c:pt>
                <c:pt idx="456">
                  <c:v>23.845160426750038</c:v>
                </c:pt>
                <c:pt idx="457">
                  <c:v>23.773541581271445</c:v>
                </c:pt>
                <c:pt idx="458">
                  <c:v>23.583228625082402</c:v>
                </c:pt>
                <c:pt idx="459">
                  <c:v>22.384725822807638</c:v>
                </c:pt>
                <c:pt idx="460">
                  <c:v>24.279156579684134</c:v>
                </c:pt>
                <c:pt idx="461">
                  <c:v>23.066088573981965</c:v>
                </c:pt>
                <c:pt idx="462">
                  <c:v>24.287580030416688</c:v>
                </c:pt>
                <c:pt idx="463">
                  <c:v>21.889312719115988</c:v>
                </c:pt>
                <c:pt idx="464">
                  <c:v>22.568820978917387</c:v>
                </c:pt>
                <c:pt idx="465">
                  <c:v>21.97286756570173</c:v>
                </c:pt>
                <c:pt idx="466">
                  <c:v>21.494394360953919</c:v>
                </c:pt>
                <c:pt idx="467">
                  <c:v>20.340960974316861</c:v>
                </c:pt>
                <c:pt idx="468">
                  <c:v>21.786254669361945</c:v>
                </c:pt>
                <c:pt idx="469">
                  <c:v>20.896152796928185</c:v>
                </c:pt>
                <c:pt idx="470">
                  <c:v>21.580928341583888</c:v>
                </c:pt>
                <c:pt idx="471">
                  <c:v>21.227929306929774</c:v>
                </c:pt>
                <c:pt idx="472">
                  <c:v>21.42888101402724</c:v>
                </c:pt>
                <c:pt idx="473">
                  <c:v>21.818190000901865</c:v>
                </c:pt>
                <c:pt idx="474">
                  <c:v>23.005854094677581</c:v>
                </c:pt>
                <c:pt idx="475">
                  <c:v>21.719106297500844</c:v>
                </c:pt>
                <c:pt idx="476">
                  <c:v>21.211353776045954</c:v>
                </c:pt>
                <c:pt idx="477">
                  <c:v>21.00652267076515</c:v>
                </c:pt>
                <c:pt idx="478">
                  <c:v>20.811268883415067</c:v>
                </c:pt>
                <c:pt idx="479">
                  <c:v>21.088774827545169</c:v>
                </c:pt>
                <c:pt idx="480">
                  <c:v>20.991260065939052</c:v>
                </c:pt>
                <c:pt idx="481">
                  <c:v>22.727624863314947</c:v>
                </c:pt>
                <c:pt idx="482">
                  <c:v>21.228841582999589</c:v>
                </c:pt>
                <c:pt idx="483">
                  <c:v>21.63765480247109</c:v>
                </c:pt>
                <c:pt idx="484">
                  <c:v>20.920879765891343</c:v>
                </c:pt>
                <c:pt idx="485">
                  <c:v>20.741067202236344</c:v>
                </c:pt>
                <c:pt idx="486">
                  <c:v>21.239851095785983</c:v>
                </c:pt>
                <c:pt idx="487">
                  <c:v>21.430427837727869</c:v>
                </c:pt>
                <c:pt idx="488">
                  <c:v>20.651268476737325</c:v>
                </c:pt>
                <c:pt idx="489">
                  <c:v>21.375906017206113</c:v>
                </c:pt>
                <c:pt idx="490">
                  <c:v>20.293996787926528</c:v>
                </c:pt>
                <c:pt idx="491">
                  <c:v>21.59328580695712</c:v>
                </c:pt>
                <c:pt idx="492">
                  <c:v>21.43859822909435</c:v>
                </c:pt>
                <c:pt idx="493">
                  <c:v>20.465511479559851</c:v>
                </c:pt>
                <c:pt idx="494">
                  <c:v>20.32481428497973</c:v>
                </c:pt>
                <c:pt idx="495">
                  <c:v>21.248505601307713</c:v>
                </c:pt>
                <c:pt idx="496">
                  <c:v>21.476233974188741</c:v>
                </c:pt>
                <c:pt idx="497">
                  <c:v>19.75960897794409</c:v>
                </c:pt>
                <c:pt idx="498">
                  <c:v>20.277725796703841</c:v>
                </c:pt>
                <c:pt idx="499">
                  <c:v>20.745431520405194</c:v>
                </c:pt>
                <c:pt idx="500">
                  <c:v>19.676461463026271</c:v>
                </c:pt>
                <c:pt idx="501">
                  <c:v>19.122248305605694</c:v>
                </c:pt>
                <c:pt idx="502">
                  <c:v>18.516929548274302</c:v>
                </c:pt>
                <c:pt idx="503">
                  <c:v>20.129417589934246</c:v>
                </c:pt>
                <c:pt idx="504">
                  <c:v>20.420759996828338</c:v>
                </c:pt>
                <c:pt idx="505">
                  <c:v>20.774365937121491</c:v>
                </c:pt>
                <c:pt idx="506">
                  <c:v>20.570260038427623</c:v>
                </c:pt>
                <c:pt idx="507">
                  <c:v>19.26318995887064</c:v>
                </c:pt>
                <c:pt idx="508">
                  <c:v>20.5691188393841</c:v>
                </c:pt>
                <c:pt idx="509">
                  <c:v>20.219040921434761</c:v>
                </c:pt>
                <c:pt idx="510">
                  <c:v>21.36725617465104</c:v>
                </c:pt>
                <c:pt idx="511">
                  <c:v>21.486646230435092</c:v>
                </c:pt>
                <c:pt idx="512">
                  <c:v>20.97013071939217</c:v>
                </c:pt>
                <c:pt idx="513">
                  <c:v>20.237756854177587</c:v>
                </c:pt>
                <c:pt idx="514">
                  <c:v>20.271288216319377</c:v>
                </c:pt>
                <c:pt idx="515">
                  <c:v>20.096910661170956</c:v>
                </c:pt>
                <c:pt idx="516">
                  <c:v>19.840384545479441</c:v>
                </c:pt>
                <c:pt idx="517">
                  <c:v>19.441756402982818</c:v>
                </c:pt>
                <c:pt idx="518">
                  <c:v>21.126744271014761</c:v>
                </c:pt>
                <c:pt idx="519">
                  <c:v>21.112570727808581</c:v>
                </c:pt>
                <c:pt idx="520">
                  <c:v>21.865006876784847</c:v>
                </c:pt>
                <c:pt idx="521">
                  <c:v>28.438283911104143</c:v>
                </c:pt>
                <c:pt idx="522">
                  <c:v>29.03110264103077</c:v>
                </c:pt>
                <c:pt idx="523">
                  <c:v>38.681903690856494</c:v>
                </c:pt>
                <c:pt idx="524">
                  <c:v>21.711546522656228</c:v>
                </c:pt>
                <c:pt idx="525">
                  <c:v>25.334371131990451</c:v>
                </c:pt>
                <c:pt idx="526">
                  <c:v>22.124178061633177</c:v>
                </c:pt>
                <c:pt idx="527">
                  <c:v>22.976748706870296</c:v>
                </c:pt>
                <c:pt idx="528">
                  <c:v>34.005717319222072</c:v>
                </c:pt>
                <c:pt idx="529">
                  <c:v>24.704007595664102</c:v>
                </c:pt>
                <c:pt idx="530">
                  <c:v>24.294651738696722</c:v>
                </c:pt>
                <c:pt idx="531">
                  <c:v>23.095184535190345</c:v>
                </c:pt>
                <c:pt idx="532">
                  <c:v>25.371240225437802</c:v>
                </c:pt>
                <c:pt idx="533">
                  <c:v>24.848677582135114</c:v>
                </c:pt>
                <c:pt idx="534">
                  <c:v>22.487309430947985</c:v>
                </c:pt>
                <c:pt idx="535">
                  <c:v>23.110725863820214</c:v>
                </c:pt>
                <c:pt idx="536">
                  <c:v>24.209686638687348</c:v>
                </c:pt>
                <c:pt idx="537">
                  <c:v>23.148833823566992</c:v>
                </c:pt>
                <c:pt idx="538">
                  <c:v>23.202530540311567</c:v>
                </c:pt>
                <c:pt idx="539">
                  <c:v>22.288979933089692</c:v>
                </c:pt>
                <c:pt idx="540">
                  <c:v>23.744378890572992</c:v>
                </c:pt>
                <c:pt idx="541">
                  <c:v>22.601673093362287</c:v>
                </c:pt>
                <c:pt idx="542">
                  <c:v>23.050736641214545</c:v>
                </c:pt>
                <c:pt idx="543">
                  <c:v>24.01317488191297</c:v>
                </c:pt>
                <c:pt idx="544">
                  <c:v>22.820521672544064</c:v>
                </c:pt>
                <c:pt idx="545">
                  <c:v>22.181128422539111</c:v>
                </c:pt>
                <c:pt idx="546">
                  <c:v>22.828259395966551</c:v>
                </c:pt>
                <c:pt idx="547">
                  <c:v>21.831219633254804</c:v>
                </c:pt>
                <c:pt idx="548">
                  <c:v>22.69506228266777</c:v>
                </c:pt>
                <c:pt idx="549">
                  <c:v>22.129565098419313</c:v>
                </c:pt>
                <c:pt idx="550">
                  <c:v>22.31586880544225</c:v>
                </c:pt>
                <c:pt idx="551">
                  <c:v>21.605670916329192</c:v>
                </c:pt>
                <c:pt idx="552">
                  <c:v>22.616815959463537</c:v>
                </c:pt>
                <c:pt idx="553">
                  <c:v>22.213697075856356</c:v>
                </c:pt>
                <c:pt idx="554">
                  <c:v>21.465109475756854</c:v>
                </c:pt>
                <c:pt idx="555">
                  <c:v>21.629100066225654</c:v>
                </c:pt>
                <c:pt idx="556">
                  <c:v>20.788113673956349</c:v>
                </c:pt>
                <c:pt idx="557">
                  <c:v>21.133437657210145</c:v>
                </c:pt>
                <c:pt idx="558">
                  <c:v>20.960393791691189</c:v>
                </c:pt>
                <c:pt idx="559">
                  <c:v>20.188997722996799</c:v>
                </c:pt>
                <c:pt idx="560">
                  <c:v>20.899660214067477</c:v>
                </c:pt>
                <c:pt idx="561">
                  <c:v>21.602671298964502</c:v>
                </c:pt>
                <c:pt idx="562">
                  <c:v>22.32160424315358</c:v>
                </c:pt>
                <c:pt idx="563">
                  <c:v>21.914287208143875</c:v>
                </c:pt>
                <c:pt idx="564">
                  <c:v>21.130697769851032</c:v>
                </c:pt>
                <c:pt idx="565">
                  <c:v>20.653570751920075</c:v>
                </c:pt>
                <c:pt idx="566">
                  <c:v>20.581379150762995</c:v>
                </c:pt>
                <c:pt idx="567">
                  <c:v>20.980229496672798</c:v>
                </c:pt>
                <c:pt idx="568">
                  <c:v>22.529383862953907</c:v>
                </c:pt>
                <c:pt idx="569">
                  <c:v>19.719753723047027</c:v>
                </c:pt>
                <c:pt idx="570">
                  <c:v>20.525031712365386</c:v>
                </c:pt>
                <c:pt idx="571">
                  <c:v>20.717057302560402</c:v>
                </c:pt>
                <c:pt idx="572">
                  <c:v>19.999859239756859</c:v>
                </c:pt>
                <c:pt idx="573">
                  <c:v>19.919912691612037</c:v>
                </c:pt>
                <c:pt idx="574">
                  <c:v>22.35642796143366</c:v>
                </c:pt>
                <c:pt idx="575">
                  <c:v>19.774052168880331</c:v>
                </c:pt>
                <c:pt idx="576">
                  <c:v>19.001683291423003</c:v>
                </c:pt>
                <c:pt idx="577">
                  <c:v>19.392120776829184</c:v>
                </c:pt>
                <c:pt idx="578">
                  <c:v>18.851758358267865</c:v>
                </c:pt>
                <c:pt idx="579">
                  <c:v>19.879210141637735</c:v>
                </c:pt>
                <c:pt idx="580">
                  <c:v>20.62299058549905</c:v>
                </c:pt>
                <c:pt idx="581">
                  <c:v>19.56905147040845</c:v>
                </c:pt>
                <c:pt idx="582">
                  <c:v>19.286310982546468</c:v>
                </c:pt>
                <c:pt idx="583">
                  <c:v>18.569493920774423</c:v>
                </c:pt>
                <c:pt idx="584">
                  <c:v>19.218925501051721</c:v>
                </c:pt>
                <c:pt idx="585">
                  <c:v>19.242148197129062</c:v>
                </c:pt>
                <c:pt idx="586">
                  <c:v>19.553182896807137</c:v>
                </c:pt>
                <c:pt idx="587">
                  <c:v>19.513806198789183</c:v>
                </c:pt>
                <c:pt idx="588">
                  <c:v>19.320428693427683</c:v>
                </c:pt>
                <c:pt idx="589">
                  <c:v>19.43437533488968</c:v>
                </c:pt>
                <c:pt idx="590">
                  <c:v>18.018042260564425</c:v>
                </c:pt>
                <c:pt idx="591">
                  <c:v>18.882636984737395</c:v>
                </c:pt>
                <c:pt idx="592">
                  <c:v>20.493003857928642</c:v>
                </c:pt>
                <c:pt idx="593">
                  <c:v>20.891170738483243</c:v>
                </c:pt>
                <c:pt idx="594">
                  <c:v>19.713696461378209</c:v>
                </c:pt>
                <c:pt idx="595">
                  <c:v>18.499249576149751</c:v>
                </c:pt>
                <c:pt idx="596">
                  <c:v>17.991796118092715</c:v>
                </c:pt>
                <c:pt idx="597">
                  <c:v>17.91430558242001</c:v>
                </c:pt>
                <c:pt idx="598">
                  <c:v>19.995237479876575</c:v>
                </c:pt>
                <c:pt idx="599">
                  <c:v>19.245433864655475</c:v>
                </c:pt>
                <c:pt idx="600">
                  <c:v>19.396313122056618</c:v>
                </c:pt>
                <c:pt idx="601">
                  <c:v>20.653815991498721</c:v>
                </c:pt>
                <c:pt idx="602">
                  <c:v>19.57130900910143</c:v>
                </c:pt>
                <c:pt idx="603">
                  <c:v>20.145810954972088</c:v>
                </c:pt>
                <c:pt idx="604">
                  <c:v>19.634289478936996</c:v>
                </c:pt>
                <c:pt idx="605">
                  <c:v>19.872937755107746</c:v>
                </c:pt>
                <c:pt idx="606">
                  <c:v>19.564917438961576</c:v>
                </c:pt>
                <c:pt idx="607">
                  <c:v>19.860879628617365</c:v>
                </c:pt>
                <c:pt idx="608">
                  <c:v>20.118227237278809</c:v>
                </c:pt>
                <c:pt idx="609">
                  <c:v>20.35964956322205</c:v>
                </c:pt>
                <c:pt idx="610">
                  <c:v>20.055688778989357</c:v>
                </c:pt>
                <c:pt idx="611">
                  <c:v>21.366232850873118</c:v>
                </c:pt>
                <c:pt idx="612">
                  <c:v>22.241166690597794</c:v>
                </c:pt>
                <c:pt idx="613">
                  <c:v>21.892576894328709</c:v>
                </c:pt>
                <c:pt idx="614">
                  <c:v>23.749706713119078</c:v>
                </c:pt>
                <c:pt idx="615">
                  <c:v>23.2922249666718</c:v>
                </c:pt>
                <c:pt idx="616">
                  <c:v>24.637822802428293</c:v>
                </c:pt>
                <c:pt idx="617">
                  <c:v>24.437335932317918</c:v>
                </c:pt>
                <c:pt idx="618">
                  <c:v>24.562090369982794</c:v>
                </c:pt>
                <c:pt idx="619">
                  <c:v>26.567498458555324</c:v>
                </c:pt>
                <c:pt idx="620">
                  <c:v>26.128873130762518</c:v>
                </c:pt>
                <c:pt idx="621">
                  <c:v>36.769724290718429</c:v>
                </c:pt>
                <c:pt idx="622">
                  <c:v>37.003193015396974</c:v>
                </c:pt>
                <c:pt idx="623">
                  <c:v>36.492520720198669</c:v>
                </c:pt>
                <c:pt idx="624">
                  <c:v>36.179972175187366</c:v>
                </c:pt>
                <c:pt idx="625">
                  <c:v>35.31275124089332</c:v>
                </c:pt>
                <c:pt idx="626">
                  <c:v>38.527680156916951</c:v>
                </c:pt>
                <c:pt idx="627">
                  <c:v>36.047347131014853</c:v>
                </c:pt>
                <c:pt idx="628">
                  <c:v>36.963751654674709</c:v>
                </c:pt>
                <c:pt idx="629">
                  <c:v>36.744106982830786</c:v>
                </c:pt>
                <c:pt idx="630">
                  <c:v>35.401259247538057</c:v>
                </c:pt>
                <c:pt idx="631">
                  <c:v>37.128875653262945</c:v>
                </c:pt>
                <c:pt idx="632">
                  <c:v>38.838014387129881</c:v>
                </c:pt>
                <c:pt idx="633">
                  <c:v>38.023067735686233</c:v>
                </c:pt>
                <c:pt idx="634">
                  <c:v>37.005783249468088</c:v>
                </c:pt>
                <c:pt idx="635">
                  <c:v>37.659463105992835</c:v>
                </c:pt>
                <c:pt idx="636">
                  <c:v>38.033577477301122</c:v>
                </c:pt>
                <c:pt idx="637">
                  <c:v>36.350391239613096</c:v>
                </c:pt>
                <c:pt idx="638">
                  <c:v>36.917808540425064</c:v>
                </c:pt>
                <c:pt idx="639">
                  <c:v>38.999670233684256</c:v>
                </c:pt>
                <c:pt idx="640">
                  <c:v>36.470765162171794</c:v>
                </c:pt>
                <c:pt idx="641">
                  <c:v>38.065331580312353</c:v>
                </c:pt>
                <c:pt idx="642">
                  <c:v>36.275400526624665</c:v>
                </c:pt>
                <c:pt idx="643">
                  <c:v>36.599866178041729</c:v>
                </c:pt>
                <c:pt idx="644">
                  <c:v>37.791979050114548</c:v>
                </c:pt>
                <c:pt idx="645">
                  <c:v>36.736411142019371</c:v>
                </c:pt>
                <c:pt idx="646">
                  <c:v>37.711903317314722</c:v>
                </c:pt>
                <c:pt idx="647">
                  <c:v>37.567094952824156</c:v>
                </c:pt>
                <c:pt idx="648">
                  <c:v>38.061741299817989</c:v>
                </c:pt>
                <c:pt idx="649">
                  <c:v>38.510996456307268</c:v>
                </c:pt>
                <c:pt idx="650">
                  <c:v>37.093709146675053</c:v>
                </c:pt>
                <c:pt idx="651">
                  <c:v>37.250251480004607</c:v>
                </c:pt>
                <c:pt idx="652">
                  <c:v>36.402750878560681</c:v>
                </c:pt>
                <c:pt idx="653">
                  <c:v>36.334437670322302</c:v>
                </c:pt>
                <c:pt idx="654">
                  <c:v>36.484105980327953</c:v>
                </c:pt>
                <c:pt idx="655">
                  <c:v>36.763978879535223</c:v>
                </c:pt>
                <c:pt idx="656">
                  <c:v>36.92749390787219</c:v>
                </c:pt>
                <c:pt idx="657">
                  <c:v>37.819947965932251</c:v>
                </c:pt>
                <c:pt idx="658">
                  <c:v>36.196203285265632</c:v>
                </c:pt>
                <c:pt idx="659">
                  <c:v>37.52282656876622</c:v>
                </c:pt>
                <c:pt idx="660">
                  <c:v>36.098629829748987</c:v>
                </c:pt>
                <c:pt idx="661">
                  <c:v>36.432167270247142</c:v>
                </c:pt>
                <c:pt idx="662">
                  <c:v>36.227685878864882</c:v>
                </c:pt>
                <c:pt idx="663">
                  <c:v>35.004069813021331</c:v>
                </c:pt>
                <c:pt idx="664">
                  <c:v>35.491453524763322</c:v>
                </c:pt>
                <c:pt idx="665">
                  <c:v>36.5605377554607</c:v>
                </c:pt>
                <c:pt idx="666">
                  <c:v>37.543433305238331</c:v>
                </c:pt>
                <c:pt idx="667">
                  <c:v>86.50229872740951</c:v>
                </c:pt>
                <c:pt idx="668">
                  <c:v>38.085444892253754</c:v>
                </c:pt>
                <c:pt idx="669">
                  <c:v>35.430592492471241</c:v>
                </c:pt>
                <c:pt idx="670">
                  <c:v>36.586848474429964</c:v>
                </c:pt>
                <c:pt idx="671">
                  <c:v>37.609713178052637</c:v>
                </c:pt>
                <c:pt idx="672">
                  <c:v>36.624562494894136</c:v>
                </c:pt>
                <c:pt idx="673">
                  <c:v>36.349500575952348</c:v>
                </c:pt>
                <c:pt idx="674">
                  <c:v>37.518536152004067</c:v>
                </c:pt>
                <c:pt idx="675">
                  <c:v>36.700317087710275</c:v>
                </c:pt>
                <c:pt idx="676">
                  <c:v>35.641796416593387</c:v>
                </c:pt>
                <c:pt idx="677">
                  <c:v>35.597096178472881</c:v>
                </c:pt>
                <c:pt idx="678">
                  <c:v>35.695197719036599</c:v>
                </c:pt>
                <c:pt idx="679">
                  <c:v>36.974450314843544</c:v>
                </c:pt>
                <c:pt idx="680">
                  <c:v>35.53086239117431</c:v>
                </c:pt>
                <c:pt idx="681">
                  <c:v>38.013402652558597</c:v>
                </c:pt>
                <c:pt idx="682">
                  <c:v>36.146907465076382</c:v>
                </c:pt>
                <c:pt idx="683">
                  <c:v>37.915280478467608</c:v>
                </c:pt>
                <c:pt idx="684">
                  <c:v>37.291160133952467</c:v>
                </c:pt>
                <c:pt idx="685">
                  <c:v>37.871857621360554</c:v>
                </c:pt>
                <c:pt idx="686">
                  <c:v>37.358330019678156</c:v>
                </c:pt>
                <c:pt idx="687">
                  <c:v>36.07449266637277</c:v>
                </c:pt>
                <c:pt idx="688">
                  <c:v>36.664202378498288</c:v>
                </c:pt>
                <c:pt idx="689">
                  <c:v>35.626019281424774</c:v>
                </c:pt>
                <c:pt idx="690">
                  <c:v>35.119115422315296</c:v>
                </c:pt>
                <c:pt idx="691">
                  <c:v>35.300394553348013</c:v>
                </c:pt>
                <c:pt idx="692">
                  <c:v>35.559463671595104</c:v>
                </c:pt>
                <c:pt idx="693">
                  <c:v>34.713225807264259</c:v>
                </c:pt>
                <c:pt idx="694">
                  <c:v>36.29852985809832</c:v>
                </c:pt>
                <c:pt idx="695">
                  <c:v>36.534263430618481</c:v>
                </c:pt>
                <c:pt idx="696">
                  <c:v>37.487554005585139</c:v>
                </c:pt>
                <c:pt idx="697">
                  <c:v>36.621422700118458</c:v>
                </c:pt>
                <c:pt idx="698">
                  <c:v>36.535135759329457</c:v>
                </c:pt>
                <c:pt idx="699">
                  <c:v>36.23962319458871</c:v>
                </c:pt>
                <c:pt idx="700">
                  <c:v>35.752281378507654</c:v>
                </c:pt>
                <c:pt idx="701">
                  <c:v>37.186671446898551</c:v>
                </c:pt>
                <c:pt idx="702">
                  <c:v>35.870015332977196</c:v>
                </c:pt>
                <c:pt idx="703">
                  <c:v>37.91371699100776</c:v>
                </c:pt>
                <c:pt idx="704">
                  <c:v>38.622402381431591</c:v>
                </c:pt>
                <c:pt idx="705">
                  <c:v>35.76086383796541</c:v>
                </c:pt>
                <c:pt idx="706">
                  <c:v>36.867151431778609</c:v>
                </c:pt>
                <c:pt idx="707">
                  <c:v>37.117974997572063</c:v>
                </c:pt>
                <c:pt idx="708">
                  <c:v>36.174940378264282</c:v>
                </c:pt>
                <c:pt idx="709">
                  <c:v>35.71244190439257</c:v>
                </c:pt>
                <c:pt idx="710">
                  <c:v>36.5722859243321</c:v>
                </c:pt>
                <c:pt idx="711">
                  <c:v>36.315759162398564</c:v>
                </c:pt>
                <c:pt idx="712">
                  <c:v>36.27509842155149</c:v>
                </c:pt>
                <c:pt idx="713">
                  <c:v>35.563927008148625</c:v>
                </c:pt>
                <c:pt idx="714">
                  <c:v>35.604266753103722</c:v>
                </c:pt>
                <c:pt idx="715">
                  <c:v>35.330060899398944</c:v>
                </c:pt>
                <c:pt idx="716">
                  <c:v>36.507751519873267</c:v>
                </c:pt>
                <c:pt idx="717">
                  <c:v>35.767760024912128</c:v>
                </c:pt>
                <c:pt idx="718">
                  <c:v>36.355368524161058</c:v>
                </c:pt>
                <c:pt idx="719">
                  <c:v>37.13310321051614</c:v>
                </c:pt>
                <c:pt idx="720">
                  <c:v>36.234937578909133</c:v>
                </c:pt>
                <c:pt idx="721">
                  <c:v>35.856694187942672</c:v>
                </c:pt>
                <c:pt idx="722">
                  <c:v>34.872931180145954</c:v>
                </c:pt>
                <c:pt idx="723">
                  <c:v>37.123935004679758</c:v>
                </c:pt>
                <c:pt idx="724">
                  <c:v>35.464017189858737</c:v>
                </c:pt>
                <c:pt idx="725">
                  <c:v>35.194116745137315</c:v>
                </c:pt>
                <c:pt idx="726">
                  <c:v>36.279604035421762</c:v>
                </c:pt>
                <c:pt idx="727">
                  <c:v>35.389607968635552</c:v>
                </c:pt>
                <c:pt idx="728">
                  <c:v>36.40428650511263</c:v>
                </c:pt>
                <c:pt idx="729">
                  <c:v>34.646589468253637</c:v>
                </c:pt>
                <c:pt idx="730">
                  <c:v>35.447869003731093</c:v>
                </c:pt>
                <c:pt idx="731">
                  <c:v>35.074139386884795</c:v>
                </c:pt>
                <c:pt idx="732">
                  <c:v>35.23566861961865</c:v>
                </c:pt>
                <c:pt idx="733">
                  <c:v>35.683271044501417</c:v>
                </c:pt>
                <c:pt idx="734">
                  <c:v>37.062407332793086</c:v>
                </c:pt>
                <c:pt idx="735">
                  <c:v>37.07099886862548</c:v>
                </c:pt>
                <c:pt idx="736">
                  <c:v>36.886336877521067</c:v>
                </c:pt>
                <c:pt idx="737">
                  <c:v>36.09356229763717</c:v>
                </c:pt>
                <c:pt idx="738">
                  <c:v>35.581345015759666</c:v>
                </c:pt>
                <c:pt idx="739">
                  <c:v>35.519015618381204</c:v>
                </c:pt>
                <c:pt idx="740">
                  <c:v>35.705535840898605</c:v>
                </c:pt>
                <c:pt idx="741">
                  <c:v>35.744779775617886</c:v>
                </c:pt>
                <c:pt idx="742">
                  <c:v>35.152135081888368</c:v>
                </c:pt>
                <c:pt idx="743">
                  <c:v>35.425340778260264</c:v>
                </c:pt>
                <c:pt idx="744">
                  <c:v>36.131404251615209</c:v>
                </c:pt>
                <c:pt idx="745">
                  <c:v>37.70582198173058</c:v>
                </c:pt>
                <c:pt idx="746">
                  <c:v>35.984639756155481</c:v>
                </c:pt>
                <c:pt idx="747">
                  <c:v>35.246109952994772</c:v>
                </c:pt>
                <c:pt idx="748">
                  <c:v>36.176999762189084</c:v>
                </c:pt>
                <c:pt idx="749">
                  <c:v>37.211122317115965</c:v>
                </c:pt>
                <c:pt idx="750">
                  <c:v>35.090181081083088</c:v>
                </c:pt>
                <c:pt idx="751">
                  <c:v>33.803418344245706</c:v>
                </c:pt>
                <c:pt idx="752">
                  <c:v>35.219036982378405</c:v>
                </c:pt>
                <c:pt idx="753">
                  <c:v>34.661850981721194</c:v>
                </c:pt>
                <c:pt idx="754">
                  <c:v>35.103045259399103</c:v>
                </c:pt>
                <c:pt idx="755">
                  <c:v>36.64253743963539</c:v>
                </c:pt>
                <c:pt idx="756">
                  <c:v>34.426431599894663</c:v>
                </c:pt>
                <c:pt idx="757">
                  <c:v>36.877242928564009</c:v>
                </c:pt>
                <c:pt idx="758">
                  <c:v>34.520210481887617</c:v>
                </c:pt>
                <c:pt idx="759">
                  <c:v>35.034588090108649</c:v>
                </c:pt>
                <c:pt idx="760">
                  <c:v>35.19544305836655</c:v>
                </c:pt>
                <c:pt idx="761">
                  <c:v>35.872563250910581</c:v>
                </c:pt>
                <c:pt idx="762">
                  <c:v>35.075928712440145</c:v>
                </c:pt>
                <c:pt idx="763">
                  <c:v>35.339047319263123</c:v>
                </c:pt>
                <c:pt idx="764">
                  <c:v>33.899910885890193</c:v>
                </c:pt>
                <c:pt idx="765">
                  <c:v>35.395964256802465</c:v>
                </c:pt>
                <c:pt idx="766">
                  <c:v>34.67202405313909</c:v>
                </c:pt>
                <c:pt idx="767">
                  <c:v>35.521808339172232</c:v>
                </c:pt>
                <c:pt idx="768">
                  <c:v>35.026815820733745</c:v>
                </c:pt>
                <c:pt idx="769">
                  <c:v>35.343968978154457</c:v>
                </c:pt>
                <c:pt idx="770">
                  <c:v>36.05979108680436</c:v>
                </c:pt>
                <c:pt idx="771">
                  <c:v>33.961656985821008</c:v>
                </c:pt>
                <c:pt idx="772">
                  <c:v>34.648851031284053</c:v>
                </c:pt>
                <c:pt idx="773">
                  <c:v>34.113623735161404</c:v>
                </c:pt>
                <c:pt idx="774">
                  <c:v>36.149754551147609</c:v>
                </c:pt>
                <c:pt idx="775">
                  <c:v>35.697706610178301</c:v>
                </c:pt>
                <c:pt idx="776">
                  <c:v>35.351823010977313</c:v>
                </c:pt>
                <c:pt idx="777">
                  <c:v>35.677781550761814</c:v>
                </c:pt>
                <c:pt idx="778">
                  <c:v>34.939056984770531</c:v>
                </c:pt>
                <c:pt idx="779">
                  <c:v>34.383802822715843</c:v>
                </c:pt>
                <c:pt idx="780">
                  <c:v>34.348972256887464</c:v>
                </c:pt>
                <c:pt idx="781">
                  <c:v>34.947068582848971</c:v>
                </c:pt>
                <c:pt idx="782">
                  <c:v>35.063883200471516</c:v>
                </c:pt>
                <c:pt idx="783">
                  <c:v>35.647064875913884</c:v>
                </c:pt>
                <c:pt idx="784">
                  <c:v>36.003409978191648</c:v>
                </c:pt>
                <c:pt idx="785">
                  <c:v>34.641971565976945</c:v>
                </c:pt>
                <c:pt idx="786">
                  <c:v>33.543659976422632</c:v>
                </c:pt>
                <c:pt idx="787">
                  <c:v>35.448973919959442</c:v>
                </c:pt>
                <c:pt idx="788">
                  <c:v>34.203360791475042</c:v>
                </c:pt>
                <c:pt idx="789">
                  <c:v>36.27425021073163</c:v>
                </c:pt>
                <c:pt idx="790">
                  <c:v>35.10393095307105</c:v>
                </c:pt>
                <c:pt idx="791">
                  <c:v>35.752834604499142</c:v>
                </c:pt>
                <c:pt idx="792">
                  <c:v>35.264513799390919</c:v>
                </c:pt>
                <c:pt idx="793">
                  <c:v>35.158405072718146</c:v>
                </c:pt>
                <c:pt idx="794">
                  <c:v>35.693211146339422</c:v>
                </c:pt>
                <c:pt idx="795">
                  <c:v>34.332788147787319</c:v>
                </c:pt>
                <c:pt idx="796">
                  <c:v>34.425773666620444</c:v>
                </c:pt>
                <c:pt idx="797">
                  <c:v>36.027805487270093</c:v>
                </c:pt>
                <c:pt idx="798">
                  <c:v>33.758238023978699</c:v>
                </c:pt>
                <c:pt idx="799">
                  <c:v>36.937379725811695</c:v>
                </c:pt>
                <c:pt idx="800">
                  <c:v>36.671026840472223</c:v>
                </c:pt>
                <c:pt idx="801">
                  <c:v>36.169169963774245</c:v>
                </c:pt>
                <c:pt idx="802">
                  <c:v>35.926946026001282</c:v>
                </c:pt>
                <c:pt idx="803">
                  <c:v>36.107371736309496</c:v>
                </c:pt>
                <c:pt idx="804">
                  <c:v>36.056828694084814</c:v>
                </c:pt>
                <c:pt idx="805">
                  <c:v>37.022237909150469</c:v>
                </c:pt>
                <c:pt idx="806">
                  <c:v>35.049586246560004</c:v>
                </c:pt>
                <c:pt idx="807">
                  <c:v>37.927660104909066</c:v>
                </c:pt>
                <c:pt idx="808">
                  <c:v>36.848481751212312</c:v>
                </c:pt>
                <c:pt idx="809">
                  <c:v>37.570668556274263</c:v>
                </c:pt>
                <c:pt idx="810">
                  <c:v>36.424382763408055</c:v>
                </c:pt>
                <c:pt idx="811">
                  <c:v>35.641503671740786</c:v>
                </c:pt>
                <c:pt idx="812">
                  <c:v>36.551286391359653</c:v>
                </c:pt>
                <c:pt idx="813">
                  <c:v>37.300247689985795</c:v>
                </c:pt>
                <c:pt idx="814">
                  <c:v>36.093433683705953</c:v>
                </c:pt>
                <c:pt idx="815">
                  <c:v>38.993992115285785</c:v>
                </c:pt>
                <c:pt idx="816">
                  <c:v>35.974710148069526</c:v>
                </c:pt>
                <c:pt idx="817">
                  <c:v>36.299569374445277</c:v>
                </c:pt>
                <c:pt idx="818">
                  <c:v>36.200326895568686</c:v>
                </c:pt>
                <c:pt idx="819">
                  <c:v>37.165247780202463</c:v>
                </c:pt>
                <c:pt idx="820">
                  <c:v>37.93853111248567</c:v>
                </c:pt>
                <c:pt idx="821">
                  <c:v>36.133841268558406</c:v>
                </c:pt>
                <c:pt idx="822">
                  <c:v>37.543675644063022</c:v>
                </c:pt>
                <c:pt idx="823">
                  <c:v>37.41823507647679</c:v>
                </c:pt>
                <c:pt idx="824">
                  <c:v>36.51464386658737</c:v>
                </c:pt>
                <c:pt idx="825">
                  <c:v>38.560467241166002</c:v>
                </c:pt>
                <c:pt idx="826">
                  <c:v>36.938051936306103</c:v>
                </c:pt>
                <c:pt idx="827">
                  <c:v>37.935878458842566</c:v>
                </c:pt>
                <c:pt idx="828">
                  <c:v>36.743592093333895</c:v>
                </c:pt>
                <c:pt idx="829">
                  <c:v>36.807338611073185</c:v>
                </c:pt>
                <c:pt idx="830">
                  <c:v>37.131193627999465</c:v>
                </c:pt>
                <c:pt idx="831">
                  <c:v>37.49126437757787</c:v>
                </c:pt>
                <c:pt idx="832">
                  <c:v>36.616698113976057</c:v>
                </c:pt>
                <c:pt idx="833">
                  <c:v>36.269057337115918</c:v>
                </c:pt>
                <c:pt idx="834">
                  <c:v>35.242937289496233</c:v>
                </c:pt>
                <c:pt idx="835">
                  <c:v>35.906455924586524</c:v>
                </c:pt>
                <c:pt idx="836">
                  <c:v>35.910568776205587</c:v>
                </c:pt>
                <c:pt idx="837">
                  <c:v>35.484792690474656</c:v>
                </c:pt>
                <c:pt idx="838">
                  <c:v>35.45253635724842</c:v>
                </c:pt>
                <c:pt idx="839">
                  <c:v>35.645561756299827</c:v>
                </c:pt>
                <c:pt idx="840">
                  <c:v>34.940396210182953</c:v>
                </c:pt>
                <c:pt idx="841">
                  <c:v>35.80805867726982</c:v>
                </c:pt>
                <c:pt idx="842">
                  <c:v>35.618554688613528</c:v>
                </c:pt>
                <c:pt idx="843">
                  <c:v>37.723477403477332</c:v>
                </c:pt>
                <c:pt idx="844">
                  <c:v>36.696486309745765</c:v>
                </c:pt>
                <c:pt idx="845">
                  <c:v>35.441342153408854</c:v>
                </c:pt>
                <c:pt idx="846">
                  <c:v>35.633811126969036</c:v>
                </c:pt>
                <c:pt idx="847">
                  <c:v>35.793478703207192</c:v>
                </c:pt>
                <c:pt idx="848">
                  <c:v>36.39456083192082</c:v>
                </c:pt>
                <c:pt idx="849">
                  <c:v>36.295902696366142</c:v>
                </c:pt>
                <c:pt idx="850">
                  <c:v>36.399541143944774</c:v>
                </c:pt>
                <c:pt idx="851">
                  <c:v>35.50805578785468</c:v>
                </c:pt>
                <c:pt idx="852">
                  <c:v>36.658187649209054</c:v>
                </c:pt>
                <c:pt idx="853">
                  <c:v>35.442231429268674</c:v>
                </c:pt>
                <c:pt idx="854">
                  <c:v>35.439104462306332</c:v>
                </c:pt>
                <c:pt idx="855">
                  <c:v>35.595740669076967</c:v>
                </c:pt>
                <c:pt idx="856">
                  <c:v>36.384872251923774</c:v>
                </c:pt>
                <c:pt idx="857">
                  <c:v>34.789624215290829</c:v>
                </c:pt>
                <c:pt idx="858">
                  <c:v>35.374972425337965</c:v>
                </c:pt>
                <c:pt idx="859">
                  <c:v>36.168628573946236</c:v>
                </c:pt>
                <c:pt idx="860">
                  <c:v>34.406399983500414</c:v>
                </c:pt>
                <c:pt idx="861">
                  <c:v>35.80456245771515</c:v>
                </c:pt>
                <c:pt idx="862">
                  <c:v>35.642413613388044</c:v>
                </c:pt>
                <c:pt idx="863">
                  <c:v>37.473385408939095</c:v>
                </c:pt>
                <c:pt idx="864">
                  <c:v>34.72798246452485</c:v>
                </c:pt>
                <c:pt idx="865">
                  <c:v>36.742221045920246</c:v>
                </c:pt>
                <c:pt idx="866">
                  <c:v>35.741460592859347</c:v>
                </c:pt>
                <c:pt idx="867">
                  <c:v>36.824063516259095</c:v>
                </c:pt>
                <c:pt idx="868">
                  <c:v>34.879368358011156</c:v>
                </c:pt>
                <c:pt idx="869">
                  <c:v>37.267532503451726</c:v>
                </c:pt>
                <c:pt idx="870">
                  <c:v>36.184552458784438</c:v>
                </c:pt>
                <c:pt idx="871">
                  <c:v>35.534210952483562</c:v>
                </c:pt>
                <c:pt idx="872">
                  <c:v>36.563697406259173</c:v>
                </c:pt>
                <c:pt idx="873">
                  <c:v>37.008353534779765</c:v>
                </c:pt>
                <c:pt idx="874">
                  <c:v>36.373420534677088</c:v>
                </c:pt>
                <c:pt idx="875">
                  <c:v>35.379732258542795</c:v>
                </c:pt>
                <c:pt idx="876">
                  <c:v>36.263473311129225</c:v>
                </c:pt>
                <c:pt idx="877">
                  <c:v>35.718070018192471</c:v>
                </c:pt>
                <c:pt idx="878">
                  <c:v>36.251110910574297</c:v>
                </c:pt>
                <c:pt idx="879">
                  <c:v>35.206623033894445</c:v>
                </c:pt>
                <c:pt idx="880">
                  <c:v>36.845894604390601</c:v>
                </c:pt>
                <c:pt idx="881">
                  <c:v>35.232185697455797</c:v>
                </c:pt>
                <c:pt idx="882">
                  <c:v>36.077813980251527</c:v>
                </c:pt>
                <c:pt idx="883">
                  <c:v>35.819749512511279</c:v>
                </c:pt>
                <c:pt idx="884">
                  <c:v>37.302717199885649</c:v>
                </c:pt>
                <c:pt idx="885">
                  <c:v>36.076123455914619</c:v>
                </c:pt>
                <c:pt idx="886">
                  <c:v>36.679690237657923</c:v>
                </c:pt>
                <c:pt idx="887">
                  <c:v>35.953811384958421</c:v>
                </c:pt>
                <c:pt idx="888">
                  <c:v>37.684393459027021</c:v>
                </c:pt>
                <c:pt idx="889">
                  <c:v>37.614394947160932</c:v>
                </c:pt>
                <c:pt idx="890">
                  <c:v>36.498973386068577</c:v>
                </c:pt>
                <c:pt idx="891">
                  <c:v>36.351472570062391</c:v>
                </c:pt>
                <c:pt idx="892">
                  <c:v>37.915700101328859</c:v>
                </c:pt>
                <c:pt idx="893">
                  <c:v>35.822691074412262</c:v>
                </c:pt>
                <c:pt idx="894">
                  <c:v>36.470365606195642</c:v>
                </c:pt>
                <c:pt idx="895">
                  <c:v>36.875792590205151</c:v>
                </c:pt>
                <c:pt idx="896">
                  <c:v>37.219309392796688</c:v>
                </c:pt>
                <c:pt idx="897">
                  <c:v>36.936561317771549</c:v>
                </c:pt>
                <c:pt idx="898">
                  <c:v>38.344352395705833</c:v>
                </c:pt>
                <c:pt idx="899">
                  <c:v>37.570155209958045</c:v>
                </c:pt>
                <c:pt idx="900">
                  <c:v>38.317960564129734</c:v>
                </c:pt>
                <c:pt idx="901">
                  <c:v>38.630938957952075</c:v>
                </c:pt>
                <c:pt idx="902">
                  <c:v>37.960573416208611</c:v>
                </c:pt>
                <c:pt idx="903">
                  <c:v>37.883273178183778</c:v>
                </c:pt>
                <c:pt idx="904">
                  <c:v>37.785495099262704</c:v>
                </c:pt>
                <c:pt idx="905">
                  <c:v>37.659288837020455</c:v>
                </c:pt>
                <c:pt idx="906">
                  <c:v>38.499410196578609</c:v>
                </c:pt>
                <c:pt idx="907">
                  <c:v>35.705851585327586</c:v>
                </c:pt>
                <c:pt idx="908">
                  <c:v>35.706879492331311</c:v>
                </c:pt>
                <c:pt idx="909">
                  <c:v>35.951956421001412</c:v>
                </c:pt>
                <c:pt idx="910">
                  <c:v>36.910407967663858</c:v>
                </c:pt>
                <c:pt idx="911">
                  <c:v>36.505199915939002</c:v>
                </c:pt>
                <c:pt idx="912">
                  <c:v>38.132670961430264</c:v>
                </c:pt>
                <c:pt idx="913">
                  <c:v>36.330485762829369</c:v>
                </c:pt>
                <c:pt idx="914">
                  <c:v>37.685898833865281</c:v>
                </c:pt>
                <c:pt idx="915">
                  <c:v>37.505746586801294</c:v>
                </c:pt>
                <c:pt idx="916">
                  <c:v>35.716764485596414</c:v>
                </c:pt>
                <c:pt idx="917">
                  <c:v>38.317523953765892</c:v>
                </c:pt>
                <c:pt idx="918">
                  <c:v>39.298693213007759</c:v>
                </c:pt>
                <c:pt idx="919">
                  <c:v>35.579739403338699</c:v>
                </c:pt>
                <c:pt idx="920">
                  <c:v>35.850005432567265</c:v>
                </c:pt>
                <c:pt idx="921">
                  <c:v>37.088010777535253</c:v>
                </c:pt>
                <c:pt idx="922">
                  <c:v>41.320411190488763</c:v>
                </c:pt>
                <c:pt idx="923">
                  <c:v>36.380785709641529</c:v>
                </c:pt>
                <c:pt idx="924">
                  <c:v>38.28985660286061</c:v>
                </c:pt>
                <c:pt idx="925">
                  <c:v>40.485314478293759</c:v>
                </c:pt>
                <c:pt idx="926">
                  <c:v>40.389864431276337</c:v>
                </c:pt>
                <c:pt idx="927">
                  <c:v>38.185404783661404</c:v>
                </c:pt>
                <c:pt idx="928">
                  <c:v>39.063245040039789</c:v>
                </c:pt>
                <c:pt idx="929">
                  <c:v>38.770931005344885</c:v>
                </c:pt>
                <c:pt idx="930">
                  <c:v>38.41219318720254</c:v>
                </c:pt>
                <c:pt idx="931">
                  <c:v>40.129622749186737</c:v>
                </c:pt>
                <c:pt idx="932">
                  <c:v>38.849397330663116</c:v>
                </c:pt>
                <c:pt idx="933">
                  <c:v>38.783929451204337</c:v>
                </c:pt>
                <c:pt idx="934">
                  <c:v>39.58047812051673</c:v>
                </c:pt>
                <c:pt idx="935">
                  <c:v>38.426450385687374</c:v>
                </c:pt>
                <c:pt idx="936">
                  <c:v>39.318957252137054</c:v>
                </c:pt>
                <c:pt idx="937">
                  <c:v>37.939052769796966</c:v>
                </c:pt>
                <c:pt idx="938">
                  <c:v>37.448586748716046</c:v>
                </c:pt>
                <c:pt idx="939">
                  <c:v>37.471084448542292</c:v>
                </c:pt>
                <c:pt idx="940">
                  <c:v>37.920575524224695</c:v>
                </c:pt>
                <c:pt idx="941">
                  <c:v>38.293311063379328</c:v>
                </c:pt>
                <c:pt idx="942">
                  <c:v>38.708491528772377</c:v>
                </c:pt>
                <c:pt idx="943">
                  <c:v>37.728933142109035</c:v>
                </c:pt>
                <c:pt idx="944">
                  <c:v>38.126104528964589</c:v>
                </c:pt>
                <c:pt idx="945">
                  <c:v>37.460731250260999</c:v>
                </c:pt>
                <c:pt idx="946">
                  <c:v>36.236952557875725</c:v>
                </c:pt>
                <c:pt idx="947">
                  <c:v>36.535901997244586</c:v>
                </c:pt>
                <c:pt idx="948">
                  <c:v>36.825657266679279</c:v>
                </c:pt>
                <c:pt idx="949">
                  <c:v>36.08329137341665</c:v>
                </c:pt>
                <c:pt idx="950">
                  <c:v>36.516892750333177</c:v>
                </c:pt>
                <c:pt idx="951">
                  <c:v>35.985742572064936</c:v>
                </c:pt>
                <c:pt idx="952">
                  <c:v>37.321444516139003</c:v>
                </c:pt>
                <c:pt idx="953">
                  <c:v>35.854357529682169</c:v>
                </c:pt>
                <c:pt idx="954">
                  <c:v>36.172443969532182</c:v>
                </c:pt>
                <c:pt idx="955">
                  <c:v>35.570343740315387</c:v>
                </c:pt>
                <c:pt idx="956">
                  <c:v>36.718085969029673</c:v>
                </c:pt>
                <c:pt idx="957">
                  <c:v>35.547659357930463</c:v>
                </c:pt>
                <c:pt idx="958">
                  <c:v>35.5496207469373</c:v>
                </c:pt>
                <c:pt idx="959">
                  <c:v>37.262765650202262</c:v>
                </c:pt>
                <c:pt idx="960">
                  <c:v>37.052954211152333</c:v>
                </c:pt>
                <c:pt idx="961">
                  <c:v>35.310905162444357</c:v>
                </c:pt>
                <c:pt idx="962">
                  <c:v>36.304135842591343</c:v>
                </c:pt>
                <c:pt idx="963">
                  <c:v>36.669272604746126</c:v>
                </c:pt>
                <c:pt idx="964">
                  <c:v>35.09527445664056</c:v>
                </c:pt>
                <c:pt idx="965">
                  <c:v>32.918078376525017</c:v>
                </c:pt>
                <c:pt idx="966">
                  <c:v>33.672170669403158</c:v>
                </c:pt>
                <c:pt idx="967">
                  <c:v>33.0579832580462</c:v>
                </c:pt>
                <c:pt idx="968">
                  <c:v>33.531560943668666</c:v>
                </c:pt>
                <c:pt idx="969">
                  <c:v>32.934309377554989</c:v>
                </c:pt>
                <c:pt idx="970">
                  <c:v>33.168040632981459</c:v>
                </c:pt>
                <c:pt idx="971">
                  <c:v>33.954744416738194</c:v>
                </c:pt>
                <c:pt idx="972">
                  <c:v>33.704589952767037</c:v>
                </c:pt>
                <c:pt idx="973">
                  <c:v>31.973244691376525</c:v>
                </c:pt>
                <c:pt idx="974">
                  <c:v>33.276143300361554</c:v>
                </c:pt>
                <c:pt idx="975">
                  <c:v>32.460446788819858</c:v>
                </c:pt>
                <c:pt idx="976">
                  <c:v>35.220550082850487</c:v>
                </c:pt>
                <c:pt idx="977">
                  <c:v>32.10774242157121</c:v>
                </c:pt>
                <c:pt idx="978">
                  <c:v>32.918584547911259</c:v>
                </c:pt>
                <c:pt idx="979">
                  <c:v>34.222199757546342</c:v>
                </c:pt>
                <c:pt idx="980">
                  <c:v>33.896254821714543</c:v>
                </c:pt>
                <c:pt idx="981">
                  <c:v>32.97585805661938</c:v>
                </c:pt>
                <c:pt idx="982">
                  <c:v>33.591922438791627</c:v>
                </c:pt>
                <c:pt idx="983">
                  <c:v>33.121723036099162</c:v>
                </c:pt>
                <c:pt idx="984">
                  <c:v>32.394302673464807</c:v>
                </c:pt>
                <c:pt idx="985">
                  <c:v>33.333083288015324</c:v>
                </c:pt>
                <c:pt idx="986">
                  <c:v>31.866641196499497</c:v>
                </c:pt>
                <c:pt idx="987">
                  <c:v>33.026340421300006</c:v>
                </c:pt>
                <c:pt idx="988">
                  <c:v>33.224496027535757</c:v>
                </c:pt>
                <c:pt idx="989">
                  <c:v>32.448155415141308</c:v>
                </c:pt>
                <c:pt idx="990">
                  <c:v>32.772904264067861</c:v>
                </c:pt>
                <c:pt idx="991">
                  <c:v>33.122798229063982</c:v>
                </c:pt>
                <c:pt idx="992">
                  <c:v>32.497938241261615</c:v>
                </c:pt>
                <c:pt idx="993">
                  <c:v>33.506870054491557</c:v>
                </c:pt>
                <c:pt idx="994">
                  <c:v>33.008838699389244</c:v>
                </c:pt>
                <c:pt idx="995">
                  <c:v>33.298199205213727</c:v>
                </c:pt>
                <c:pt idx="996">
                  <c:v>35.132509151128772</c:v>
                </c:pt>
                <c:pt idx="997">
                  <c:v>33.716815918710012</c:v>
                </c:pt>
                <c:pt idx="998">
                  <c:v>33.65309715834659</c:v>
                </c:pt>
                <c:pt idx="999">
                  <c:v>34.969066230929251</c:v>
                </c:pt>
                <c:pt idx="1000">
                  <c:v>35.23174352015819</c:v>
                </c:pt>
                <c:pt idx="1001">
                  <c:v>35.718006317116682</c:v>
                </c:pt>
                <c:pt idx="1002">
                  <c:v>35.640324496340291</c:v>
                </c:pt>
                <c:pt idx="1003">
                  <c:v>34.13535241333598</c:v>
                </c:pt>
                <c:pt idx="1004">
                  <c:v>35.355278699424517</c:v>
                </c:pt>
                <c:pt idx="1005">
                  <c:v>36.168090696982901</c:v>
                </c:pt>
                <c:pt idx="1006">
                  <c:v>35.535146990717749</c:v>
                </c:pt>
                <c:pt idx="1007">
                  <c:v>34.849533749897759</c:v>
                </c:pt>
                <c:pt idx="1008">
                  <c:v>35.532472381991155</c:v>
                </c:pt>
                <c:pt idx="1009">
                  <c:v>34.580176027552511</c:v>
                </c:pt>
                <c:pt idx="1010">
                  <c:v>34.950755285382037</c:v>
                </c:pt>
                <c:pt idx="1011">
                  <c:v>35.1972921959619</c:v>
                </c:pt>
                <c:pt idx="1012">
                  <c:v>34.683496828649112</c:v>
                </c:pt>
                <c:pt idx="1013">
                  <c:v>34.230786641564748</c:v>
                </c:pt>
                <c:pt idx="1014">
                  <c:v>34.835498239773202</c:v>
                </c:pt>
                <c:pt idx="1015">
                  <c:v>36.275935963888806</c:v>
                </c:pt>
                <c:pt idx="1016">
                  <c:v>35.803948236699576</c:v>
                </c:pt>
                <c:pt idx="1017">
                  <c:v>35.637682231822325</c:v>
                </c:pt>
                <c:pt idx="1018">
                  <c:v>34.974565582519432</c:v>
                </c:pt>
                <c:pt idx="1019">
                  <c:v>35.331484640261245</c:v>
                </c:pt>
                <c:pt idx="1020">
                  <c:v>34.573821679133644</c:v>
                </c:pt>
                <c:pt idx="1021">
                  <c:v>34.95583336550952</c:v>
                </c:pt>
                <c:pt idx="1022">
                  <c:v>35.405480313387599</c:v>
                </c:pt>
                <c:pt idx="1023">
                  <c:v>35.078665660117593</c:v>
                </c:pt>
                <c:pt idx="1024">
                  <c:v>35.152880327150307</c:v>
                </c:pt>
                <c:pt idx="1025">
                  <c:v>35.170956371252458</c:v>
                </c:pt>
                <c:pt idx="1026">
                  <c:v>34.329125413151083</c:v>
                </c:pt>
                <c:pt idx="1027">
                  <c:v>36.846224145777072</c:v>
                </c:pt>
                <c:pt idx="1028">
                  <c:v>35.807559480807242</c:v>
                </c:pt>
                <c:pt idx="1029">
                  <c:v>36.90249016428573</c:v>
                </c:pt>
                <c:pt idx="1030">
                  <c:v>36.445714763385915</c:v>
                </c:pt>
                <c:pt idx="1031">
                  <c:v>35.186937429996448</c:v>
                </c:pt>
                <c:pt idx="1032">
                  <c:v>35.930197461826538</c:v>
                </c:pt>
                <c:pt idx="1033">
                  <c:v>36.921171550635663</c:v>
                </c:pt>
                <c:pt idx="1034">
                  <c:v>35.882011516947259</c:v>
                </c:pt>
                <c:pt idx="1035">
                  <c:v>36.823990636862199</c:v>
                </c:pt>
                <c:pt idx="1036">
                  <c:v>36.440958153324132</c:v>
                </c:pt>
                <c:pt idx="1037">
                  <c:v>36.282915474736576</c:v>
                </c:pt>
                <c:pt idx="1038">
                  <c:v>35.982357751409381</c:v>
                </c:pt>
                <c:pt idx="1039">
                  <c:v>34.872810446684248</c:v>
                </c:pt>
                <c:pt idx="1040">
                  <c:v>35.481832355012713</c:v>
                </c:pt>
                <c:pt idx="1041">
                  <c:v>34.955239717980305</c:v>
                </c:pt>
                <c:pt idx="1042">
                  <c:v>35.732763698120067</c:v>
                </c:pt>
                <c:pt idx="1043">
                  <c:v>34.920055671749139</c:v>
                </c:pt>
                <c:pt idx="1044">
                  <c:v>35.713340619792731</c:v>
                </c:pt>
                <c:pt idx="1045">
                  <c:v>35.541172233587368</c:v>
                </c:pt>
                <c:pt idx="1046">
                  <c:v>36.034410496004412</c:v>
                </c:pt>
                <c:pt idx="1047">
                  <c:v>35.335217526082594</c:v>
                </c:pt>
                <c:pt idx="1048">
                  <c:v>35.593431916673737</c:v>
                </c:pt>
                <c:pt idx="1049">
                  <c:v>35.231300331322572</c:v>
                </c:pt>
                <c:pt idx="1050">
                  <c:v>36.076921121830679</c:v>
                </c:pt>
                <c:pt idx="1051">
                  <c:v>35.965663595463631</c:v>
                </c:pt>
                <c:pt idx="1052">
                  <c:v>35.360834842644309</c:v>
                </c:pt>
                <c:pt idx="1053">
                  <c:v>36.576938445767865</c:v>
                </c:pt>
                <c:pt idx="1054">
                  <c:v>35.636793280881029</c:v>
                </c:pt>
                <c:pt idx="1055">
                  <c:v>35.312548096398736</c:v>
                </c:pt>
                <c:pt idx="1056">
                  <c:v>35.08525139453247</c:v>
                </c:pt>
                <c:pt idx="1057">
                  <c:v>34.442309294187929</c:v>
                </c:pt>
                <c:pt idx="1058">
                  <c:v>35.663261540703992</c:v>
                </c:pt>
                <c:pt idx="1059">
                  <c:v>35.257774820668367</c:v>
                </c:pt>
                <c:pt idx="1060">
                  <c:v>36.043335874228745</c:v>
                </c:pt>
                <c:pt idx="1061">
                  <c:v>34.776833248621685</c:v>
                </c:pt>
                <c:pt idx="1062">
                  <c:v>34.663543241679804</c:v>
                </c:pt>
                <c:pt idx="1063">
                  <c:v>35.302415898931415</c:v>
                </c:pt>
                <c:pt idx="1064">
                  <c:v>33.547372818207165</c:v>
                </c:pt>
                <c:pt idx="1065">
                  <c:v>34.711266742908897</c:v>
                </c:pt>
                <c:pt idx="1066">
                  <c:v>35.406809600887875</c:v>
                </c:pt>
                <c:pt idx="1067">
                  <c:v>35.633551241409172</c:v>
                </c:pt>
                <c:pt idx="1068">
                  <c:v>34.600174320861491</c:v>
                </c:pt>
                <c:pt idx="1069">
                  <c:v>36.136416890654729</c:v>
                </c:pt>
                <c:pt idx="1070">
                  <c:v>34.889385880764273</c:v>
                </c:pt>
                <c:pt idx="1071">
                  <c:v>35.051711448784239</c:v>
                </c:pt>
                <c:pt idx="1072">
                  <c:v>35.614398945429102</c:v>
                </c:pt>
                <c:pt idx="1073">
                  <c:v>35.494523884995743</c:v>
                </c:pt>
                <c:pt idx="1074">
                  <c:v>34.646310930479771</c:v>
                </c:pt>
                <c:pt idx="1075">
                  <c:v>35.002335443247297</c:v>
                </c:pt>
                <c:pt idx="1076">
                  <c:v>35.063235647582154</c:v>
                </c:pt>
                <c:pt idx="1077">
                  <c:v>34.728230607823122</c:v>
                </c:pt>
                <c:pt idx="1078">
                  <c:v>36.141814340845116</c:v>
                </c:pt>
                <c:pt idx="1079">
                  <c:v>36.423216142773306</c:v>
                </c:pt>
                <c:pt idx="1080">
                  <c:v>34.00181012062631</c:v>
                </c:pt>
                <c:pt idx="1081">
                  <c:v>34.772129819830276</c:v>
                </c:pt>
                <c:pt idx="1082">
                  <c:v>35.509919773009855</c:v>
                </c:pt>
                <c:pt idx="1083">
                  <c:v>34.566943921820894</c:v>
                </c:pt>
                <c:pt idx="1084">
                  <c:v>34.283721079191352</c:v>
                </c:pt>
                <c:pt idx="1085">
                  <c:v>35.303130762023741</c:v>
                </c:pt>
                <c:pt idx="1086">
                  <c:v>36.130117115638697</c:v>
                </c:pt>
                <c:pt idx="1087">
                  <c:v>36.381413798638611</c:v>
                </c:pt>
                <c:pt idx="1088">
                  <c:v>35.909629573820041</c:v>
                </c:pt>
                <c:pt idx="1089">
                  <c:v>35.444260667152435</c:v>
                </c:pt>
                <c:pt idx="1090">
                  <c:v>35.200987630551765</c:v>
                </c:pt>
                <c:pt idx="1091">
                  <c:v>34.545007376961564</c:v>
                </c:pt>
                <c:pt idx="1092">
                  <c:v>35.013445474800868</c:v>
                </c:pt>
                <c:pt idx="1093">
                  <c:v>34.307092775286051</c:v>
                </c:pt>
                <c:pt idx="1094">
                  <c:v>35.097735416313853</c:v>
                </c:pt>
                <c:pt idx="1095">
                  <c:v>34.664455538794861</c:v>
                </c:pt>
                <c:pt idx="1096">
                  <c:v>36.24128087245613</c:v>
                </c:pt>
                <c:pt idx="1097">
                  <c:v>34.815187190657262</c:v>
                </c:pt>
                <c:pt idx="1098">
                  <c:v>36.598221130026872</c:v>
                </c:pt>
                <c:pt idx="1099">
                  <c:v>35.979486158244242</c:v>
                </c:pt>
                <c:pt idx="1100">
                  <c:v>34.844090889755343</c:v>
                </c:pt>
                <c:pt idx="1101">
                  <c:v>34.833534544841037</c:v>
                </c:pt>
                <c:pt idx="1102">
                  <c:v>35.51755666622465</c:v>
                </c:pt>
                <c:pt idx="1103">
                  <c:v>35.563556091104822</c:v>
                </c:pt>
                <c:pt idx="1104">
                  <c:v>36.194135760650525</c:v>
                </c:pt>
                <c:pt idx="1105">
                  <c:v>34.922376529855043</c:v>
                </c:pt>
                <c:pt idx="1106">
                  <c:v>35.055558593080903</c:v>
                </c:pt>
                <c:pt idx="1107">
                  <c:v>35.319340742075418</c:v>
                </c:pt>
                <c:pt idx="1108">
                  <c:v>37.207877503428314</c:v>
                </c:pt>
                <c:pt idx="1109">
                  <c:v>35.340325139162417</c:v>
                </c:pt>
                <c:pt idx="1110">
                  <c:v>36.556378566519456</c:v>
                </c:pt>
                <c:pt idx="1111">
                  <c:v>35.020971365568421</c:v>
                </c:pt>
                <c:pt idx="1112">
                  <c:v>34.782193630458629</c:v>
                </c:pt>
                <c:pt idx="1113">
                  <c:v>35.696925137630963</c:v>
                </c:pt>
                <c:pt idx="1114">
                  <c:v>35.961582902208391</c:v>
                </c:pt>
                <c:pt idx="1115">
                  <c:v>35.323248849389635</c:v>
                </c:pt>
                <c:pt idx="1116">
                  <c:v>35.141062682864977</c:v>
                </c:pt>
                <c:pt idx="1117">
                  <c:v>34.817766110287714</c:v>
                </c:pt>
                <c:pt idx="1118">
                  <c:v>34.76536404026384</c:v>
                </c:pt>
                <c:pt idx="1119">
                  <c:v>35.183492072292452</c:v>
                </c:pt>
                <c:pt idx="1120">
                  <c:v>35.404759810426633</c:v>
                </c:pt>
                <c:pt idx="1121">
                  <c:v>34.845507611500949</c:v>
                </c:pt>
                <c:pt idx="1122">
                  <c:v>36.856251203634287</c:v>
                </c:pt>
                <c:pt idx="1123">
                  <c:v>36.667437817592678</c:v>
                </c:pt>
                <c:pt idx="1124">
                  <c:v>35.527439362199082</c:v>
                </c:pt>
                <c:pt idx="1125">
                  <c:v>35.586550785633023</c:v>
                </c:pt>
                <c:pt idx="1126">
                  <c:v>34.907237743104062</c:v>
                </c:pt>
                <c:pt idx="1127">
                  <c:v>36.514807592617693</c:v>
                </c:pt>
                <c:pt idx="1128">
                  <c:v>34.765302642930671</c:v>
                </c:pt>
                <c:pt idx="1129">
                  <c:v>35.076296197322584</c:v>
                </c:pt>
                <c:pt idx="1130">
                  <c:v>35.68122871809301</c:v>
                </c:pt>
                <c:pt idx="1131">
                  <c:v>36.34605229265474</c:v>
                </c:pt>
                <c:pt idx="1132">
                  <c:v>34.900325320820428</c:v>
                </c:pt>
                <c:pt idx="1133">
                  <c:v>35.888968106770101</c:v>
                </c:pt>
                <c:pt idx="1134">
                  <c:v>35.501284352798457</c:v>
                </c:pt>
                <c:pt idx="1135">
                  <c:v>42.416980308597417</c:v>
                </c:pt>
                <c:pt idx="1136">
                  <c:v>37.265999079269584</c:v>
                </c:pt>
                <c:pt idx="1137">
                  <c:v>38.565625683842669</c:v>
                </c:pt>
                <c:pt idx="1138">
                  <c:v>28.243022331421191</c:v>
                </c:pt>
                <c:pt idx="1139">
                  <c:v>27.620829887006671</c:v>
                </c:pt>
                <c:pt idx="1140">
                  <c:v>27.42799578906493</c:v>
                </c:pt>
                <c:pt idx="1141">
                  <c:v>29.733668323281144</c:v>
                </c:pt>
                <c:pt idx="1142">
                  <c:v>27.280784988784664</c:v>
                </c:pt>
                <c:pt idx="1143">
                  <c:v>27.256231374879665</c:v>
                </c:pt>
                <c:pt idx="1144">
                  <c:v>27.619576868950418</c:v>
                </c:pt>
                <c:pt idx="1145">
                  <c:v>28.06513245474541</c:v>
                </c:pt>
                <c:pt idx="1146">
                  <c:v>27.113054160591663</c:v>
                </c:pt>
                <c:pt idx="1147">
                  <c:v>27.560225898562251</c:v>
                </c:pt>
                <c:pt idx="1148">
                  <c:v>27.717618613280294</c:v>
                </c:pt>
                <c:pt idx="1149">
                  <c:v>28.43334698286851</c:v>
                </c:pt>
                <c:pt idx="1150">
                  <c:v>27.269239820117832</c:v>
                </c:pt>
                <c:pt idx="1151">
                  <c:v>26.836512348103209</c:v>
                </c:pt>
                <c:pt idx="1152">
                  <c:v>26.344382156335755</c:v>
                </c:pt>
                <c:pt idx="1153">
                  <c:v>26.812291663159595</c:v>
                </c:pt>
                <c:pt idx="1154">
                  <c:v>26.267570284377491</c:v>
                </c:pt>
                <c:pt idx="1155">
                  <c:v>25.31438621423694</c:v>
                </c:pt>
                <c:pt idx="1156">
                  <c:v>26.68598015842025</c:v>
                </c:pt>
                <c:pt idx="1157">
                  <c:v>25.571964188692466</c:v>
                </c:pt>
                <c:pt idx="1158">
                  <c:v>25.604291761775059</c:v>
                </c:pt>
                <c:pt idx="1159">
                  <c:v>25.509372599414846</c:v>
                </c:pt>
                <c:pt idx="1160">
                  <c:v>25.461692326288951</c:v>
                </c:pt>
                <c:pt idx="1161">
                  <c:v>25.621556253173704</c:v>
                </c:pt>
                <c:pt idx="1162">
                  <c:v>25.426278314405188</c:v>
                </c:pt>
                <c:pt idx="1163">
                  <c:v>25.492743348345158</c:v>
                </c:pt>
                <c:pt idx="1164">
                  <c:v>24.613568510368552</c:v>
                </c:pt>
                <c:pt idx="1165">
                  <c:v>24.58822980927151</c:v>
                </c:pt>
                <c:pt idx="1166">
                  <c:v>24.587301625578206</c:v>
                </c:pt>
                <c:pt idx="1167">
                  <c:v>25.290688497760947</c:v>
                </c:pt>
                <c:pt idx="1168">
                  <c:v>24.524775639443639</c:v>
                </c:pt>
                <c:pt idx="1169">
                  <c:v>25.857535635950164</c:v>
                </c:pt>
                <c:pt idx="1170">
                  <c:v>24.755512118059048</c:v>
                </c:pt>
                <c:pt idx="1171">
                  <c:v>25.809992473491327</c:v>
                </c:pt>
                <c:pt idx="1172">
                  <c:v>25.297341935965857</c:v>
                </c:pt>
                <c:pt idx="1173">
                  <c:v>24.17848650800315</c:v>
                </c:pt>
                <c:pt idx="1174">
                  <c:v>25.489125505732186</c:v>
                </c:pt>
                <c:pt idx="1175">
                  <c:v>24.873599811349266</c:v>
                </c:pt>
                <c:pt idx="1176">
                  <c:v>24.256116899732135</c:v>
                </c:pt>
                <c:pt idx="1177">
                  <c:v>23.117698562866384</c:v>
                </c:pt>
                <c:pt idx="1178">
                  <c:v>24.815629828071376</c:v>
                </c:pt>
                <c:pt idx="1179">
                  <c:v>25.53128111990792</c:v>
                </c:pt>
                <c:pt idx="1180">
                  <c:v>24.288287884507341</c:v>
                </c:pt>
                <c:pt idx="1181">
                  <c:v>25.115028569764878</c:v>
                </c:pt>
                <c:pt idx="1182">
                  <c:v>24.519746061425863</c:v>
                </c:pt>
                <c:pt idx="1183">
                  <c:v>25.874180541832057</c:v>
                </c:pt>
                <c:pt idx="1184">
                  <c:v>26.206994989512246</c:v>
                </c:pt>
                <c:pt idx="1185">
                  <c:v>25.877837924192931</c:v>
                </c:pt>
                <c:pt idx="1186">
                  <c:v>26.645909972480851</c:v>
                </c:pt>
                <c:pt idx="1187">
                  <c:v>27.75345073558999</c:v>
                </c:pt>
                <c:pt idx="1188">
                  <c:v>28.443473409151359</c:v>
                </c:pt>
                <c:pt idx="1189">
                  <c:v>29.485905484467747</c:v>
                </c:pt>
                <c:pt idx="1190">
                  <c:v>30.726646788199862</c:v>
                </c:pt>
                <c:pt idx="1191">
                  <c:v>29.765651637324492</c:v>
                </c:pt>
                <c:pt idx="1192">
                  <c:v>30.657840369490078</c:v>
                </c:pt>
                <c:pt idx="1193">
                  <c:v>33.083675405985502</c:v>
                </c:pt>
                <c:pt idx="1194">
                  <c:v>32.078857661610883</c:v>
                </c:pt>
                <c:pt idx="1195">
                  <c:v>34.106001572558384</c:v>
                </c:pt>
                <c:pt idx="1196">
                  <c:v>29.820466346691216</c:v>
                </c:pt>
                <c:pt idx="1197">
                  <c:v>45.561690323991435</c:v>
                </c:pt>
                <c:pt idx="1198">
                  <c:v>40.84813785329694</c:v>
                </c:pt>
                <c:pt idx="1199">
                  <c:v>40.970478742057722</c:v>
                </c:pt>
                <c:pt idx="1200">
                  <c:v>42.576583178501885</c:v>
                </c:pt>
                <c:pt idx="1201">
                  <c:v>41.110259845772539</c:v>
                </c:pt>
                <c:pt idx="1202">
                  <c:v>40.614792524430101</c:v>
                </c:pt>
                <c:pt idx="1203">
                  <c:v>41.533522187614118</c:v>
                </c:pt>
                <c:pt idx="1204">
                  <c:v>39.329381232390197</c:v>
                </c:pt>
                <c:pt idx="1205">
                  <c:v>40.89291243659212</c:v>
                </c:pt>
                <c:pt idx="1206">
                  <c:v>39.707547481786783</c:v>
                </c:pt>
                <c:pt idx="1207">
                  <c:v>40.692422055918428</c:v>
                </c:pt>
                <c:pt idx="1208">
                  <c:v>43.205475745887519</c:v>
                </c:pt>
                <c:pt idx="1209">
                  <c:v>39.936464822921764</c:v>
                </c:pt>
                <c:pt idx="1210">
                  <c:v>40.647873613018646</c:v>
                </c:pt>
                <c:pt idx="1211">
                  <c:v>39.975188057631705</c:v>
                </c:pt>
                <c:pt idx="1212">
                  <c:v>42.043986957700355</c:v>
                </c:pt>
                <c:pt idx="1213">
                  <c:v>39.827073771417695</c:v>
                </c:pt>
                <c:pt idx="1214">
                  <c:v>38.841611746135847</c:v>
                </c:pt>
                <c:pt idx="1215">
                  <c:v>44.987607462243886</c:v>
                </c:pt>
                <c:pt idx="1216">
                  <c:v>41.553098061969855</c:v>
                </c:pt>
                <c:pt idx="1217">
                  <c:v>39.924779435871599</c:v>
                </c:pt>
                <c:pt idx="1218">
                  <c:v>44.702138655337535</c:v>
                </c:pt>
                <c:pt idx="1219">
                  <c:v>41.865944654348468</c:v>
                </c:pt>
                <c:pt idx="1220">
                  <c:v>40.378207419776572</c:v>
                </c:pt>
                <c:pt idx="1221">
                  <c:v>42.225127754767549</c:v>
                </c:pt>
                <c:pt idx="1222">
                  <c:v>42.350456245940173</c:v>
                </c:pt>
                <c:pt idx="1223">
                  <c:v>42.991970723781535</c:v>
                </c:pt>
                <c:pt idx="1224">
                  <c:v>40.702907511186197</c:v>
                </c:pt>
                <c:pt idx="1225">
                  <c:v>45.177709661051814</c:v>
                </c:pt>
                <c:pt idx="1226">
                  <c:v>43.299754080421877</c:v>
                </c:pt>
                <c:pt idx="1227">
                  <c:v>41.197080701510579</c:v>
                </c:pt>
                <c:pt idx="1228">
                  <c:v>41.262686844629826</c:v>
                </c:pt>
                <c:pt idx="1229">
                  <c:v>40.783048729702074</c:v>
                </c:pt>
                <c:pt idx="1230">
                  <c:v>44.164980816431992</c:v>
                </c:pt>
                <c:pt idx="1231">
                  <c:v>40.423992548193489</c:v>
                </c:pt>
                <c:pt idx="1232">
                  <c:v>39.746440868598533</c:v>
                </c:pt>
                <c:pt idx="1233">
                  <c:v>43.742224594790216</c:v>
                </c:pt>
                <c:pt idx="1234">
                  <c:v>45.602710605775329</c:v>
                </c:pt>
                <c:pt idx="1235">
                  <c:v>44.522173137945373</c:v>
                </c:pt>
                <c:pt idx="1236">
                  <c:v>43.6649376778796</c:v>
                </c:pt>
                <c:pt idx="1237">
                  <c:v>41.252489296480597</c:v>
                </c:pt>
                <c:pt idx="1238">
                  <c:v>43.706482085905812</c:v>
                </c:pt>
                <c:pt idx="1239">
                  <c:v>43.394967869221155</c:v>
                </c:pt>
                <c:pt idx="1240">
                  <c:v>40.765050167840435</c:v>
                </c:pt>
                <c:pt idx="1241">
                  <c:v>42.960509155435197</c:v>
                </c:pt>
                <c:pt idx="1242">
                  <c:v>42.314732092284508</c:v>
                </c:pt>
                <c:pt idx="1243">
                  <c:v>42.277689236530911</c:v>
                </c:pt>
                <c:pt idx="1244">
                  <c:v>40.842281115881342</c:v>
                </c:pt>
                <c:pt idx="1245">
                  <c:v>47.985034140222865</c:v>
                </c:pt>
                <c:pt idx="1246">
                  <c:v>45.384851766376613</c:v>
                </c:pt>
                <c:pt idx="1247">
                  <c:v>48.486816514969796</c:v>
                </c:pt>
                <c:pt idx="1248">
                  <c:v>41.660437977861754</c:v>
                </c:pt>
                <c:pt idx="1249">
                  <c:v>41.573678114697351</c:v>
                </c:pt>
                <c:pt idx="1250">
                  <c:v>44.789506911196206</c:v>
                </c:pt>
                <c:pt idx="1251">
                  <c:v>40.46522428806891</c:v>
                </c:pt>
                <c:pt idx="1252">
                  <c:v>46.551595659003425</c:v>
                </c:pt>
                <c:pt idx="1253">
                  <c:v>41.938173758650287</c:v>
                </c:pt>
                <c:pt idx="1254">
                  <c:v>46.673455286850782</c:v>
                </c:pt>
                <c:pt idx="1255">
                  <c:v>46.29593821448367</c:v>
                </c:pt>
                <c:pt idx="1256">
                  <c:v>40.684684709375802</c:v>
                </c:pt>
                <c:pt idx="1257">
                  <c:v>43.780464340323384</c:v>
                </c:pt>
                <c:pt idx="1258">
                  <c:v>45.109730343240685</c:v>
                </c:pt>
                <c:pt idx="1259">
                  <c:v>41.956740332941976</c:v>
                </c:pt>
                <c:pt idx="1260">
                  <c:v>48.231444552570608</c:v>
                </c:pt>
                <c:pt idx="1261">
                  <c:v>44.245089970792819</c:v>
                </c:pt>
                <c:pt idx="1262">
                  <c:v>42.244374454584069</c:v>
                </c:pt>
                <c:pt idx="1263">
                  <c:v>45.758271231382587</c:v>
                </c:pt>
                <c:pt idx="1264">
                  <c:v>46.427891522694445</c:v>
                </c:pt>
                <c:pt idx="1265">
                  <c:v>49.084918707850044</c:v>
                </c:pt>
                <c:pt idx="1266">
                  <c:v>46.993221527368526</c:v>
                </c:pt>
                <c:pt idx="1267">
                  <c:v>52.151706720702016</c:v>
                </c:pt>
                <c:pt idx="1268">
                  <c:v>46.707155747396023</c:v>
                </c:pt>
                <c:pt idx="1269">
                  <c:v>45.592344633570306</c:v>
                </c:pt>
                <c:pt idx="1270">
                  <c:v>48.070284252778897</c:v>
                </c:pt>
                <c:pt idx="1271">
                  <c:v>46.550688967845971</c:v>
                </c:pt>
                <c:pt idx="1272">
                  <c:v>49.458415102836767</c:v>
                </c:pt>
                <c:pt idx="1273">
                  <c:v>45.635389831944899</c:v>
                </c:pt>
                <c:pt idx="1274">
                  <c:v>46.015242226918232</c:v>
                </c:pt>
                <c:pt idx="1275">
                  <c:v>50.596693570970722</c:v>
                </c:pt>
                <c:pt idx="1276">
                  <c:v>42.568195069164986</c:v>
                </c:pt>
                <c:pt idx="1277">
                  <c:v>49.648156117143067</c:v>
                </c:pt>
                <c:pt idx="1278">
                  <c:v>41.402833971280828</c:v>
                </c:pt>
                <c:pt idx="1279">
                  <c:v>46.894841630414959</c:v>
                </c:pt>
                <c:pt idx="1280">
                  <c:v>45.919274524674336</c:v>
                </c:pt>
                <c:pt idx="1281">
                  <c:v>40.162341385919284</c:v>
                </c:pt>
                <c:pt idx="1282">
                  <c:v>46.790347449161786</c:v>
                </c:pt>
                <c:pt idx="1283">
                  <c:v>45.857936691944687</c:v>
                </c:pt>
                <c:pt idx="1284">
                  <c:v>42.903245232632678</c:v>
                </c:pt>
                <c:pt idx="1285">
                  <c:v>46.216964337983065</c:v>
                </c:pt>
                <c:pt idx="1286">
                  <c:v>41.210426815887573</c:v>
                </c:pt>
                <c:pt idx="1287">
                  <c:v>42.919339117588052</c:v>
                </c:pt>
                <c:pt idx="1288">
                  <c:v>43.697325782121659</c:v>
                </c:pt>
                <c:pt idx="1289">
                  <c:v>42.515876126774053</c:v>
                </c:pt>
                <c:pt idx="1290">
                  <c:v>41.313488822640402</c:v>
                </c:pt>
                <c:pt idx="1291">
                  <c:v>43.60311184749721</c:v>
                </c:pt>
                <c:pt idx="1292">
                  <c:v>41.695972174270928</c:v>
                </c:pt>
                <c:pt idx="1293">
                  <c:v>42.480551340996463</c:v>
                </c:pt>
                <c:pt idx="1294">
                  <c:v>41.834936774821081</c:v>
                </c:pt>
                <c:pt idx="1295">
                  <c:v>45.4218576209161</c:v>
                </c:pt>
                <c:pt idx="1296">
                  <c:v>43.885959060290041</c:v>
                </c:pt>
                <c:pt idx="1297">
                  <c:v>41.056270503371877</c:v>
                </c:pt>
                <c:pt idx="1298">
                  <c:v>42.427794875856065</c:v>
                </c:pt>
                <c:pt idx="1299">
                  <c:v>42.419764553675726</c:v>
                </c:pt>
                <c:pt idx="1300">
                  <c:v>43.145753952956802</c:v>
                </c:pt>
                <c:pt idx="1301">
                  <c:v>41.83599268474201</c:v>
                </c:pt>
                <c:pt idx="1302">
                  <c:v>42.007451629184438</c:v>
                </c:pt>
                <c:pt idx="1303">
                  <c:v>39.671896614838396</c:v>
                </c:pt>
                <c:pt idx="1304">
                  <c:v>40.553607341251194</c:v>
                </c:pt>
                <c:pt idx="1305">
                  <c:v>40.847315243031147</c:v>
                </c:pt>
                <c:pt idx="1306">
                  <c:v>41.347882347012714</c:v>
                </c:pt>
                <c:pt idx="1307">
                  <c:v>41.983858689954907</c:v>
                </c:pt>
                <c:pt idx="1308">
                  <c:v>39.692653644959499</c:v>
                </c:pt>
                <c:pt idx="1309">
                  <c:v>40.607506778124751</c:v>
                </c:pt>
                <c:pt idx="1310">
                  <c:v>40.787154487894455</c:v>
                </c:pt>
                <c:pt idx="1311">
                  <c:v>41.190654416273631</c:v>
                </c:pt>
                <c:pt idx="1312">
                  <c:v>41.352082784502294</c:v>
                </c:pt>
                <c:pt idx="1313">
                  <c:v>40.244250827721672</c:v>
                </c:pt>
                <c:pt idx="1314">
                  <c:v>41.292956009664231</c:v>
                </c:pt>
                <c:pt idx="1315">
                  <c:v>39.813848375923826</c:v>
                </c:pt>
                <c:pt idx="1316">
                  <c:v>41.137408178733857</c:v>
                </c:pt>
                <c:pt idx="1317">
                  <c:v>42.511920138763649</c:v>
                </c:pt>
                <c:pt idx="1318">
                  <c:v>40.566900304884712</c:v>
                </c:pt>
                <c:pt idx="1319">
                  <c:v>39.782199108406843</c:v>
                </c:pt>
                <c:pt idx="1320">
                  <c:v>40.969080006737094</c:v>
                </c:pt>
                <c:pt idx="1321">
                  <c:v>39.6767909531534</c:v>
                </c:pt>
                <c:pt idx="1322">
                  <c:v>42.053254532264674</c:v>
                </c:pt>
                <c:pt idx="1323">
                  <c:v>40.730916068511839</c:v>
                </c:pt>
                <c:pt idx="1324">
                  <c:v>41.963374560474136</c:v>
                </c:pt>
                <c:pt idx="1325">
                  <c:v>39.316389285924629</c:v>
                </c:pt>
                <c:pt idx="1326">
                  <c:v>41.020546954564523</c:v>
                </c:pt>
                <c:pt idx="1327">
                  <c:v>44.879029501517429</c:v>
                </c:pt>
                <c:pt idx="1328">
                  <c:v>39.29204908949238</c:v>
                </c:pt>
                <c:pt idx="1329">
                  <c:v>41.219959561505874</c:v>
                </c:pt>
                <c:pt idx="1330">
                  <c:v>43.561621684012067</c:v>
                </c:pt>
                <c:pt idx="1331">
                  <c:v>42.718015333559229</c:v>
                </c:pt>
                <c:pt idx="1332">
                  <c:v>41.890978285189156</c:v>
                </c:pt>
                <c:pt idx="1333">
                  <c:v>45.021596694272645</c:v>
                </c:pt>
                <c:pt idx="1334">
                  <c:v>40.728204779865671</c:v>
                </c:pt>
                <c:pt idx="1335">
                  <c:v>41.338126304814324</c:v>
                </c:pt>
                <c:pt idx="1336">
                  <c:v>43.332111324204284</c:v>
                </c:pt>
                <c:pt idx="1337">
                  <c:v>41.653243489755148</c:v>
                </c:pt>
                <c:pt idx="1338">
                  <c:v>41.963254765287068</c:v>
                </c:pt>
                <c:pt idx="1339">
                  <c:v>41.273932771617325</c:v>
                </c:pt>
                <c:pt idx="1340">
                  <c:v>42.01685043882609</c:v>
                </c:pt>
                <c:pt idx="1341">
                  <c:v>42.187518385336816</c:v>
                </c:pt>
                <c:pt idx="1342">
                  <c:v>41.992866117667837</c:v>
                </c:pt>
                <c:pt idx="1343">
                  <c:v>44.146233112078399</c:v>
                </c:pt>
                <c:pt idx="1344">
                  <c:v>41.191546854019258</c:v>
                </c:pt>
                <c:pt idx="1345">
                  <c:v>42.405833383051686</c:v>
                </c:pt>
                <c:pt idx="1346">
                  <c:v>40.384159876762894</c:v>
                </c:pt>
                <c:pt idx="1347">
                  <c:v>43.006043939882566</c:v>
                </c:pt>
                <c:pt idx="1348">
                  <c:v>42.670184293483658</c:v>
                </c:pt>
                <c:pt idx="1349">
                  <c:v>44.498947781110012</c:v>
                </c:pt>
                <c:pt idx="1350">
                  <c:v>44.569412852186609</c:v>
                </c:pt>
                <c:pt idx="1351">
                  <c:v>41.502387111259544</c:v>
                </c:pt>
                <c:pt idx="1352">
                  <c:v>42.38423840610502</c:v>
                </c:pt>
                <c:pt idx="1353">
                  <c:v>43.393154457249587</c:v>
                </c:pt>
                <c:pt idx="1354">
                  <c:v>45.495656248353647</c:v>
                </c:pt>
                <c:pt idx="1355">
                  <c:v>48.026942406213173</c:v>
                </c:pt>
                <c:pt idx="1356">
                  <c:v>48.009805296068961</c:v>
                </c:pt>
                <c:pt idx="1357">
                  <c:v>44.514591697060226</c:v>
                </c:pt>
                <c:pt idx="1358">
                  <c:v>44.255876021012376</c:v>
                </c:pt>
                <c:pt idx="1359">
                  <c:v>46.043241395311675</c:v>
                </c:pt>
                <c:pt idx="1360">
                  <c:v>47.066550649140751</c:v>
                </c:pt>
                <c:pt idx="1361">
                  <c:v>47.356196541274151</c:v>
                </c:pt>
                <c:pt idx="1362">
                  <c:v>43.845535323340854</c:v>
                </c:pt>
                <c:pt idx="1363">
                  <c:v>43.262565105300368</c:v>
                </c:pt>
                <c:pt idx="1364">
                  <c:v>47.409675375880397</c:v>
                </c:pt>
                <c:pt idx="1365">
                  <c:v>44.733232939387882</c:v>
                </c:pt>
                <c:pt idx="1366">
                  <c:v>47.99783973762662</c:v>
                </c:pt>
                <c:pt idx="1367">
                  <c:v>44.237737825687041</c:v>
                </c:pt>
                <c:pt idx="1368">
                  <c:v>44.085595429624391</c:v>
                </c:pt>
                <c:pt idx="1369">
                  <c:v>47.014373908412807</c:v>
                </c:pt>
                <c:pt idx="1370">
                  <c:v>44.676398514843378</c:v>
                </c:pt>
                <c:pt idx="1371">
                  <c:v>46.063028798448393</c:v>
                </c:pt>
                <c:pt idx="1372">
                  <c:v>50.560300066059767</c:v>
                </c:pt>
                <c:pt idx="1373">
                  <c:v>47.349931040474637</c:v>
                </c:pt>
                <c:pt idx="1374">
                  <c:v>45.960539527660067</c:v>
                </c:pt>
                <c:pt idx="1375">
                  <c:v>45.238410505629297</c:v>
                </c:pt>
                <c:pt idx="1376">
                  <c:v>44.374626633237675</c:v>
                </c:pt>
                <c:pt idx="1377">
                  <c:v>44.495665604693571</c:v>
                </c:pt>
                <c:pt idx="1378">
                  <c:v>42.623258822512689</c:v>
                </c:pt>
                <c:pt idx="1379">
                  <c:v>43.806713182347508</c:v>
                </c:pt>
                <c:pt idx="1380">
                  <c:v>44.102405257878502</c:v>
                </c:pt>
                <c:pt idx="1381">
                  <c:v>43.183049098938241</c:v>
                </c:pt>
                <c:pt idx="1382">
                  <c:v>42.456048111967398</c:v>
                </c:pt>
                <c:pt idx="1383">
                  <c:v>46.614468152273005</c:v>
                </c:pt>
                <c:pt idx="1384">
                  <c:v>45.804874702743646</c:v>
                </c:pt>
                <c:pt idx="1385">
                  <c:v>43.365422725302956</c:v>
                </c:pt>
                <c:pt idx="1386">
                  <c:v>41.351118400637155</c:v>
                </c:pt>
                <c:pt idx="1387">
                  <c:v>43.613494905711732</c:v>
                </c:pt>
                <c:pt idx="1388">
                  <c:v>42.534925035323525</c:v>
                </c:pt>
                <c:pt idx="1389">
                  <c:v>41.913021788359536</c:v>
                </c:pt>
                <c:pt idx="1390">
                  <c:v>41.187687066088003</c:v>
                </c:pt>
                <c:pt idx="1391">
                  <c:v>39.790145283752324</c:v>
                </c:pt>
                <c:pt idx="1392">
                  <c:v>43.031123304594871</c:v>
                </c:pt>
                <c:pt idx="1393">
                  <c:v>43.409886542842813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90-4CB4-91E8-C6CD51C49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55762</xdr:colOff>
      <xdr:row>96</xdr:row>
      <xdr:rowOff>76952</xdr:rowOff>
    </xdr:from>
    <xdr:to>
      <xdr:col>6</xdr:col>
      <xdr:colOff>1086786</xdr:colOff>
      <xdr:row>114</xdr:row>
      <xdr:rowOff>159554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1B6AD8-C40F-46E9-A393-AB7FB675E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526968</xdr:colOff>
      <xdr:row>101</xdr:row>
      <xdr:rowOff>40821</xdr:rowOff>
    </xdr:from>
    <xdr:to>
      <xdr:col>15</xdr:col>
      <xdr:colOff>56320</xdr:colOff>
      <xdr:row>122</xdr:row>
      <xdr:rowOff>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D604F9-27EF-45F7-9D66-A99F60FAF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555419</xdr:colOff>
      <xdr:row>101</xdr:row>
      <xdr:rowOff>108857</xdr:rowOff>
    </xdr:from>
    <xdr:to>
      <xdr:col>23</xdr:col>
      <xdr:colOff>34635</xdr:colOff>
      <xdr:row>122</xdr:row>
      <xdr:rowOff>19916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300C00-C0B6-4E9A-9818-119E5CA99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353184</xdr:colOff>
      <xdr:row>101</xdr:row>
      <xdr:rowOff>68036</xdr:rowOff>
    </xdr:from>
    <xdr:to>
      <xdr:col>31</xdr:col>
      <xdr:colOff>304160</xdr:colOff>
      <xdr:row>122</xdr:row>
      <xdr:rowOff>15208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08B9EE-B402-42C0-8AC0-3DDB4E78B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666023</xdr:colOff>
      <xdr:row>101</xdr:row>
      <xdr:rowOff>65925</xdr:rowOff>
    </xdr:from>
    <xdr:to>
      <xdr:col>38</xdr:col>
      <xdr:colOff>938893</xdr:colOff>
      <xdr:row>121</xdr:row>
      <xdr:rowOff>176892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8ABBAE-A576-44A4-98CF-3758E71AB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39</xdr:col>
      <xdr:colOff>574701</xdr:colOff>
      <xdr:row>103</xdr:row>
      <xdr:rowOff>13606</xdr:rowOff>
    </xdr:from>
    <xdr:to>
      <xdr:col>47</xdr:col>
      <xdr:colOff>149678</xdr:colOff>
      <xdr:row>122</xdr:row>
      <xdr:rowOff>81643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1D75F-C5D1-43F5-9C7B-701EA2A4C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55</xdr:col>
      <xdr:colOff>554182</xdr:colOff>
      <xdr:row>2</xdr:row>
      <xdr:rowOff>0</xdr:rowOff>
    </xdr:from>
    <xdr:to>
      <xdr:col>63</xdr:col>
      <xdr:colOff>804569</xdr:colOff>
      <xdr:row>21</xdr:row>
      <xdr:rowOff>68037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67F38F7-BDBF-4D0C-8BC6-D53D838CF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6FF8-4929-445B-87C0-954C7636D31D}">
  <dimension ref="A1:CA1396"/>
  <sheetViews>
    <sheetView tabSelected="1" topLeftCell="A111" zoomScale="85" zoomScaleNormal="85" workbookViewId="0">
      <selection activeCell="I142" sqref="I142"/>
    </sheetView>
  </sheetViews>
  <sheetFormatPr defaultRowHeight="14.4" x14ac:dyDescent="0.3"/>
  <cols>
    <col min="1" max="1" width="16.88671875" style="2" customWidth="1"/>
    <col min="2" max="2" width="20.88671875" customWidth="1"/>
    <col min="3" max="3" width="15.109375" customWidth="1"/>
    <col min="4" max="4" width="14.44140625" customWidth="1"/>
    <col min="5" max="5" width="19.6640625" style="2" customWidth="1"/>
    <col min="6" max="6" width="22.6640625" customWidth="1"/>
    <col min="7" max="7" width="16" customWidth="1"/>
    <col min="9" max="9" width="19.5546875" style="2" customWidth="1"/>
    <col min="10" max="10" width="11.33203125" style="2" customWidth="1"/>
    <col min="11" max="11" width="16.5546875" customWidth="1"/>
    <col min="12" max="12" width="19.109375" customWidth="1"/>
    <col min="13" max="13" width="15.88671875" customWidth="1"/>
    <col min="14" max="14" width="22.6640625" customWidth="1"/>
    <col min="15" max="15" width="14" customWidth="1"/>
    <col min="17" max="17" width="22.44140625" customWidth="1"/>
    <col min="18" max="18" width="14.88671875" customWidth="1"/>
    <col min="19" max="19" width="15.6640625" customWidth="1"/>
    <col min="20" max="20" width="15" customWidth="1"/>
    <col min="21" max="21" width="13.5546875" customWidth="1"/>
    <col min="22" max="22" width="18.44140625" customWidth="1"/>
    <col min="23" max="23" width="16.33203125" customWidth="1"/>
    <col min="25" max="25" width="17.5546875" customWidth="1"/>
    <col min="26" max="26" width="11.44140625" customWidth="1"/>
    <col min="27" max="27" width="17.109375" customWidth="1"/>
    <col min="28" max="28" width="16.109375" customWidth="1"/>
    <col min="29" max="29" width="15.6640625" customWidth="1"/>
    <col min="30" max="30" width="17.33203125" customWidth="1"/>
    <col min="31" max="31" width="12.88671875" customWidth="1"/>
    <col min="32" max="32" width="10" customWidth="1"/>
    <col min="33" max="33" width="21.6640625" customWidth="1"/>
    <col min="34" max="34" width="15.109375" customWidth="1"/>
    <col min="35" max="35" width="20.6640625" customWidth="1"/>
    <col min="37" max="37" width="19.33203125" customWidth="1"/>
    <col min="38" max="38" width="15" customWidth="1"/>
    <col min="39" max="39" width="14.33203125" customWidth="1"/>
    <col min="40" max="40" width="9.44140625" customWidth="1"/>
    <col min="41" max="41" width="21.44140625" customWidth="1"/>
    <col min="42" max="42" width="19.109375" customWidth="1"/>
    <col min="43" max="43" width="19.88671875" customWidth="1"/>
    <col min="45" max="45" width="22" customWidth="1"/>
    <col min="46" max="46" width="17.88671875" customWidth="1"/>
    <col min="47" max="47" width="21" customWidth="1"/>
    <col min="48" max="48" width="14.44140625" customWidth="1"/>
    <col min="49" max="49" width="22.44140625" customWidth="1"/>
    <col min="50" max="50" width="14.44140625" customWidth="1"/>
    <col min="51" max="51" width="17.109375" customWidth="1"/>
    <col min="52" max="52" width="15.109375" customWidth="1"/>
    <col min="53" max="53" width="17.33203125" customWidth="1"/>
    <col min="54" max="54" width="18.33203125" customWidth="1"/>
    <col min="55" max="55" width="16.44140625" customWidth="1"/>
    <col min="56" max="56" width="15.6640625" customWidth="1"/>
    <col min="57" max="57" width="19" customWidth="1"/>
    <col min="58" max="58" width="15.6640625" customWidth="1"/>
    <col min="59" max="59" width="14.44140625" customWidth="1"/>
    <col min="60" max="60" width="19.44140625" customWidth="1"/>
    <col min="61" max="61" width="24.44140625" customWidth="1"/>
    <col min="62" max="62" width="15.88671875" customWidth="1"/>
    <col min="63" max="63" width="15.33203125" customWidth="1"/>
    <col min="64" max="64" width="18.109375" customWidth="1"/>
    <col min="65" max="65" width="13.5546875" customWidth="1"/>
    <col min="66" max="66" width="18.109375" customWidth="1"/>
    <col min="67" max="67" width="15.44140625" customWidth="1"/>
    <col min="68" max="68" width="9.109375"/>
    <col min="69" max="69" width="17.33203125" customWidth="1"/>
    <col min="70" max="70" width="15.6640625" customWidth="1"/>
    <col min="71" max="71" width="17.33203125" customWidth="1"/>
    <col min="72" max="72" width="17.6640625" customWidth="1"/>
    <col min="73" max="73" width="23.44140625" customWidth="1"/>
    <col min="74" max="74" width="20.6640625" customWidth="1"/>
    <col min="75" max="75" width="14.88671875" customWidth="1"/>
    <col min="76" max="76" width="9.109375"/>
    <col min="77" max="77" width="23.44140625" customWidth="1"/>
    <col min="78" max="78" width="14.33203125" customWidth="1"/>
    <col min="79" max="79" width="17.109375" customWidth="1"/>
    <col min="80" max="80" width="16.33203125" customWidth="1"/>
    <col min="81" max="81" width="22" customWidth="1"/>
    <col min="82" max="82" width="18.5546875" customWidth="1"/>
    <col min="83" max="83" width="16.6640625" customWidth="1"/>
  </cols>
  <sheetData>
    <row r="1" spans="1:79" x14ac:dyDescent="0.3">
      <c r="A1" s="11" t="s">
        <v>2</v>
      </c>
      <c r="B1" s="12">
        <f>MAX(B3:B94)</f>
        <v>2.2757340169528399E-2</v>
      </c>
      <c r="C1" s="52"/>
      <c r="D1" s="53"/>
      <c r="F1" s="54"/>
      <c r="G1" s="14"/>
      <c r="I1" s="22" t="s">
        <v>6</v>
      </c>
      <c r="J1" s="4">
        <f>MAX(J3:J99)</f>
        <v>3.9279704565803299E-2</v>
      </c>
      <c r="K1" s="52"/>
      <c r="L1" s="53"/>
      <c r="M1" s="2"/>
      <c r="N1" s="54"/>
      <c r="O1" s="14"/>
      <c r="Q1" s="2" t="s">
        <v>7</v>
      </c>
      <c r="R1" s="26">
        <f>MAX(R3:R100)</f>
        <v>0.18100710621739499</v>
      </c>
      <c r="S1" s="52"/>
      <c r="T1" s="53"/>
      <c r="U1" s="2"/>
      <c r="V1" s="54"/>
      <c r="W1" s="14"/>
      <c r="Y1" s="3" t="s">
        <v>8</v>
      </c>
      <c r="Z1" s="26">
        <f>MAX(Z3:Z100)</f>
        <v>5.1704168537004798E-3</v>
      </c>
      <c r="AA1" s="52"/>
      <c r="AB1" s="53"/>
      <c r="AC1" s="2"/>
      <c r="AD1" s="54"/>
      <c r="AE1" s="14"/>
      <c r="AG1" s="39" t="s">
        <v>9</v>
      </c>
      <c r="AH1" s="51">
        <f>MAX(AH3:AH99)</f>
        <v>2.1282733338222001E-2</v>
      </c>
      <c r="AI1" s="52"/>
      <c r="AJ1" s="53"/>
      <c r="AK1" s="2"/>
      <c r="AL1" s="54"/>
      <c r="AM1" s="26"/>
      <c r="AO1" s="44" t="s">
        <v>10</v>
      </c>
      <c r="AP1">
        <f>MAX(AP3:AP99)</f>
        <v>2.7576669957168901E-2</v>
      </c>
      <c r="AQ1" s="52"/>
      <c r="AR1" s="53"/>
      <c r="AS1" s="2"/>
      <c r="AT1" s="54"/>
      <c r="AU1" s="14"/>
      <c r="AW1" s="2" t="s">
        <v>32</v>
      </c>
      <c r="AX1" s="4"/>
      <c r="BC1" s="102"/>
      <c r="BE1" s="2"/>
      <c r="BF1" s="51"/>
      <c r="BK1" s="102"/>
      <c r="BM1" s="2"/>
      <c r="BN1" s="4"/>
      <c r="BS1" s="5"/>
      <c r="BU1" s="2"/>
      <c r="BV1" s="103"/>
      <c r="CA1" s="102"/>
    </row>
    <row r="2" spans="1:79" x14ac:dyDescent="0.3">
      <c r="A2" s="10" t="s">
        <v>0</v>
      </c>
      <c r="B2" s="13" t="s">
        <v>1</v>
      </c>
      <c r="C2" s="10" t="s">
        <v>4</v>
      </c>
      <c r="D2" s="10" t="s">
        <v>14</v>
      </c>
      <c r="E2" s="10" t="s">
        <v>12</v>
      </c>
      <c r="F2" s="10" t="s">
        <v>11</v>
      </c>
      <c r="G2" s="59" t="s">
        <v>5</v>
      </c>
      <c r="I2" s="17" t="s">
        <v>0</v>
      </c>
      <c r="J2" s="18" t="s">
        <v>1</v>
      </c>
      <c r="K2" s="17" t="s">
        <v>4</v>
      </c>
      <c r="L2" s="17" t="s">
        <v>14</v>
      </c>
      <c r="M2" s="17" t="s">
        <v>3</v>
      </c>
      <c r="N2" s="17" t="s">
        <v>13</v>
      </c>
      <c r="O2" s="64" t="s">
        <v>5</v>
      </c>
      <c r="Q2" s="24" t="s">
        <v>0</v>
      </c>
      <c r="R2" s="25" t="s">
        <v>1</v>
      </c>
      <c r="S2" s="24" t="s">
        <v>4</v>
      </c>
      <c r="T2" s="24" t="s">
        <v>14</v>
      </c>
      <c r="U2" s="24" t="s">
        <v>3</v>
      </c>
      <c r="V2" s="24" t="s">
        <v>13</v>
      </c>
      <c r="W2" s="69" t="s">
        <v>5</v>
      </c>
      <c r="Y2" s="30" t="s">
        <v>0</v>
      </c>
      <c r="Z2" s="31" t="s">
        <v>1</v>
      </c>
      <c r="AA2" s="30" t="s">
        <v>4</v>
      </c>
      <c r="AB2" s="30" t="s">
        <v>14</v>
      </c>
      <c r="AC2" s="30" t="s">
        <v>3</v>
      </c>
      <c r="AD2" s="30" t="s">
        <v>13</v>
      </c>
      <c r="AE2" s="76" t="s">
        <v>5</v>
      </c>
      <c r="AG2" s="35" t="s">
        <v>0</v>
      </c>
      <c r="AH2" s="36" t="s">
        <v>1</v>
      </c>
      <c r="AI2" s="35" t="s">
        <v>4</v>
      </c>
      <c r="AJ2" s="35" t="s">
        <v>14</v>
      </c>
      <c r="AK2" s="35" t="s">
        <v>3</v>
      </c>
      <c r="AL2" s="35" t="s">
        <v>13</v>
      </c>
      <c r="AM2" s="78" t="s">
        <v>5</v>
      </c>
      <c r="AO2" s="41" t="s">
        <v>0</v>
      </c>
      <c r="AP2" s="42" t="s">
        <v>1</v>
      </c>
      <c r="AQ2" s="41" t="s">
        <v>4</v>
      </c>
      <c r="AR2" s="41" t="s">
        <v>14</v>
      </c>
      <c r="AS2" s="41" t="s">
        <v>3</v>
      </c>
      <c r="AT2" s="41" t="s">
        <v>13</v>
      </c>
      <c r="AU2" s="79" t="s">
        <v>5</v>
      </c>
      <c r="AW2" s="10" t="s">
        <v>0</v>
      </c>
      <c r="AX2" s="15" t="s">
        <v>1</v>
      </c>
      <c r="AY2" s="10" t="s">
        <v>4</v>
      </c>
      <c r="AZ2" s="10" t="s">
        <v>14</v>
      </c>
      <c r="BA2" s="10" t="s">
        <v>3</v>
      </c>
      <c r="BB2" s="10" t="s">
        <v>13</v>
      </c>
      <c r="BC2" s="118" t="s">
        <v>5</v>
      </c>
      <c r="BE2" s="2"/>
      <c r="BF2" s="90"/>
      <c r="BG2" s="2"/>
      <c r="BH2" s="2"/>
      <c r="BI2" s="2"/>
      <c r="BJ2" s="2"/>
      <c r="BK2" s="90"/>
      <c r="BM2" s="2"/>
      <c r="BN2" s="90"/>
      <c r="BO2" s="2"/>
      <c r="BP2" s="2"/>
      <c r="BQ2" s="2"/>
      <c r="BR2" s="2"/>
      <c r="BS2" s="90"/>
      <c r="BU2" s="2"/>
      <c r="BV2" s="90"/>
      <c r="BW2" s="2"/>
      <c r="BX2" s="2"/>
      <c r="BY2" s="2"/>
      <c r="BZ2" s="2"/>
      <c r="CA2" s="90"/>
    </row>
    <row r="3" spans="1:79" x14ac:dyDescent="0.3">
      <c r="A3" s="7">
        <v>44776.000694444447</v>
      </c>
      <c r="B3" s="89">
        <v>1.4221254009907999E-7</v>
      </c>
      <c r="C3" s="8">
        <v>0.76957219099999996</v>
      </c>
      <c r="D3" s="2">
        <v>0</v>
      </c>
      <c r="E3" s="9">
        <f>D3/60</f>
        <v>0</v>
      </c>
      <c r="F3" s="8">
        <f>E3*B3</f>
        <v>0</v>
      </c>
      <c r="G3" s="60">
        <f>17.285*F3^0.664</f>
        <v>0</v>
      </c>
      <c r="I3" s="19">
        <v>44781.000694444447</v>
      </c>
      <c r="J3" s="1">
        <v>2.14077559663646E-6</v>
      </c>
      <c r="K3" s="21">
        <v>1.4441644075</v>
      </c>
      <c r="L3" s="2">
        <v>0</v>
      </c>
      <c r="M3" s="23">
        <f>L3/60</f>
        <v>0</v>
      </c>
      <c r="N3" s="20">
        <f>M3*J3</f>
        <v>0</v>
      </c>
      <c r="O3" s="65">
        <f>17.285*N3^0.664</f>
        <v>0</v>
      </c>
      <c r="Q3" s="27">
        <v>45136</v>
      </c>
      <c r="R3" s="51">
        <v>7.9727118769655004E-4</v>
      </c>
      <c r="S3" s="47">
        <v>0.85462156099999997</v>
      </c>
      <c r="T3" s="2">
        <v>1210</v>
      </c>
      <c r="U3" s="29">
        <f>T3/60</f>
        <v>20.166666666666668</v>
      </c>
      <c r="V3" s="29">
        <f t="shared" ref="V3:V34" si="0">R3*U3</f>
        <v>1.6078302285213762E-2</v>
      </c>
      <c r="W3" s="70">
        <f>17.285*V3^0.664</f>
        <v>1.113301693515377</v>
      </c>
      <c r="Y3" s="32">
        <v>45151</v>
      </c>
      <c r="Z3">
        <v>5.3610417841855199E-4</v>
      </c>
      <c r="AA3" s="34">
        <v>0.42386643899999998</v>
      </c>
      <c r="AB3" s="2">
        <v>192</v>
      </c>
      <c r="AC3" s="33">
        <f>AB3/60</f>
        <v>3.2</v>
      </c>
      <c r="AD3" s="105">
        <f t="shared" ref="AD3:AD34" si="1">AC3*Z3</f>
        <v>1.7155333709393665E-3</v>
      </c>
      <c r="AE3" s="77">
        <f>17.285*AD3^0.664</f>
        <v>0.25194772029349494</v>
      </c>
      <c r="AG3" s="38">
        <v>45166</v>
      </c>
      <c r="AH3" s="111">
        <v>9.6064494555310497E-4</v>
      </c>
      <c r="AI3" s="50">
        <v>0.31440712500000001</v>
      </c>
      <c r="AJ3" s="2">
        <v>1103</v>
      </c>
      <c r="AK3" s="40">
        <f>AJ3/60</f>
        <v>18.383333333333333</v>
      </c>
      <c r="AL3" s="49">
        <f t="shared" ref="AL3:AL34" si="2">AK3*AH3</f>
        <v>1.7659856249084581E-2</v>
      </c>
      <c r="AM3" s="73">
        <f>17.285*AL3^0.664</f>
        <v>1.1848649724559015</v>
      </c>
      <c r="AO3" s="43">
        <v>45183</v>
      </c>
      <c r="AP3" s="111">
        <v>5.6545580188244497E-4</v>
      </c>
      <c r="AQ3" s="46">
        <v>0.44939223900000003</v>
      </c>
      <c r="AR3" s="2">
        <v>585</v>
      </c>
      <c r="AS3" s="45">
        <f>AR3/60</f>
        <v>9.75</v>
      </c>
      <c r="AT3" s="45">
        <f t="shared" ref="AT3:AT34" si="3">AS3*AP3</f>
        <v>5.5131940683538381E-3</v>
      </c>
      <c r="AU3" s="80">
        <f>17.285*AT3^0.664</f>
        <v>0.54696704657990403</v>
      </c>
      <c r="AW3" s="7">
        <v>45037.166666666664</v>
      </c>
      <c r="AX3" s="51">
        <v>2.8569291984618201E-3</v>
      </c>
      <c r="AY3" s="16">
        <v>77.427442880000001</v>
      </c>
      <c r="AZ3" s="2">
        <v>39659</v>
      </c>
      <c r="BA3" s="16">
        <f>AZ3/60</f>
        <v>660.98333333333335</v>
      </c>
      <c r="BB3" s="9">
        <f>BA3*AX3</f>
        <v>1.888382584696622</v>
      </c>
      <c r="BC3" s="119">
        <f>17.285*BB3^0.664</f>
        <v>26.362897127647312</v>
      </c>
      <c r="BE3" s="6"/>
      <c r="BG3" s="4"/>
      <c r="BH3" s="2"/>
      <c r="BI3" s="5"/>
      <c r="BJ3" s="102"/>
      <c r="BK3" s="102"/>
      <c r="BM3" s="104"/>
      <c r="BO3" s="102"/>
      <c r="BP3" s="2"/>
      <c r="BQ3" s="102"/>
      <c r="BR3" s="4"/>
      <c r="BS3" s="5"/>
      <c r="BU3" s="6"/>
      <c r="BV3" s="103"/>
      <c r="BW3" s="102"/>
      <c r="BY3" s="102"/>
      <c r="BZ3" s="102"/>
      <c r="CA3" s="102"/>
    </row>
    <row r="4" spans="1:79" x14ac:dyDescent="0.3">
      <c r="A4" s="7">
        <v>44776.011111111111</v>
      </c>
      <c r="B4" s="89">
        <v>1.79726955104284E-7</v>
      </c>
      <c r="C4" s="8">
        <v>0.771817164</v>
      </c>
      <c r="D4" s="2">
        <v>0</v>
      </c>
      <c r="E4" s="9">
        <f t="shared" ref="E4:E67" si="4">D4/60</f>
        <v>0</v>
      </c>
      <c r="F4" s="8">
        <f t="shared" ref="F4:F34" si="5">E4*B4</f>
        <v>0</v>
      </c>
      <c r="G4" s="60">
        <f t="shared" ref="G4:G67" si="6">17.285*F4^0.664</f>
        <v>0</v>
      </c>
      <c r="I4" s="19">
        <v>44781.011111111111</v>
      </c>
      <c r="J4" s="1">
        <v>2.4997227205869898E-6</v>
      </c>
      <c r="K4" s="21">
        <v>1.5123822984999999</v>
      </c>
      <c r="L4" s="2">
        <v>0</v>
      </c>
      <c r="M4" s="23">
        <f t="shared" ref="M4:M67" si="7">L4/60</f>
        <v>0</v>
      </c>
      <c r="N4" s="20">
        <f t="shared" ref="N4:N34" si="8">M4*J4</f>
        <v>0</v>
      </c>
      <c r="O4" s="65">
        <f t="shared" ref="O4:O67" si="9">17.285*N4^0.664</f>
        <v>0</v>
      </c>
      <c r="Q4" s="27">
        <v>45136.010416666664</v>
      </c>
      <c r="R4" s="51">
        <v>1.0779217685482E-3</v>
      </c>
      <c r="S4" s="47">
        <v>0.99067576999999996</v>
      </c>
      <c r="T4" s="2">
        <v>2773</v>
      </c>
      <c r="U4" s="29">
        <f t="shared" ref="U4:U67" si="10">T4/60</f>
        <v>46.216666666666669</v>
      </c>
      <c r="V4" s="29">
        <f t="shared" si="0"/>
        <v>4.981795106973598E-2</v>
      </c>
      <c r="W4" s="70">
        <f t="shared" ref="W4:W67" si="11">17.285*V4^0.664</f>
        <v>2.359030718081438</v>
      </c>
      <c r="Y4" s="32">
        <v>45151.010416666664</v>
      </c>
      <c r="Z4">
        <v>9.2356169620349605E-4</v>
      </c>
      <c r="AA4" s="34">
        <v>0.81307424100000003</v>
      </c>
      <c r="AB4" s="2">
        <v>1344</v>
      </c>
      <c r="AC4" s="33">
        <f t="shared" ref="AC4:AC67" si="12">AB4/60</f>
        <v>22.4</v>
      </c>
      <c r="AD4" s="105">
        <f t="shared" si="1"/>
        <v>2.0687781994958309E-2</v>
      </c>
      <c r="AE4" s="77">
        <f t="shared" ref="AE4:AE67" si="13">17.285*AD4^0.664</f>
        <v>1.3161440782350389</v>
      </c>
      <c r="AG4" s="38">
        <v>45166.010416666664</v>
      </c>
      <c r="AH4" s="111">
        <v>1.6569483682271899E-3</v>
      </c>
      <c r="AI4" s="50">
        <v>0.50323377899999999</v>
      </c>
      <c r="AJ4" s="2">
        <v>3754</v>
      </c>
      <c r="AK4" s="40">
        <f t="shared" ref="AK4:AK67" si="14">AJ4/60</f>
        <v>62.56666666666667</v>
      </c>
      <c r="AL4" s="49">
        <f t="shared" si="2"/>
        <v>0.10366973623874785</v>
      </c>
      <c r="AM4" s="73">
        <f t="shared" ref="AM4:AM67" si="15">17.285*AL4^0.664</f>
        <v>3.8376229938067214</v>
      </c>
      <c r="AO4" s="43">
        <v>45183.010416666664</v>
      </c>
      <c r="AP4" s="111">
        <v>9.0926173468922598E-4</v>
      </c>
      <c r="AQ4" s="46">
        <v>0.44939223900000003</v>
      </c>
      <c r="AR4" s="2">
        <v>770</v>
      </c>
      <c r="AS4" s="45">
        <f t="shared" ref="AS4:AS67" si="16">AR4/60</f>
        <v>12.833333333333334</v>
      </c>
      <c r="AT4" s="45">
        <f t="shared" si="3"/>
        <v>1.1668858928511733E-2</v>
      </c>
      <c r="AU4" s="80">
        <f t="shared" ref="AU4:AU67" si="17">17.285*AT4^0.664</f>
        <v>0.89986266709174434</v>
      </c>
      <c r="AW4" s="7">
        <v>45037.177083333336</v>
      </c>
      <c r="AX4" s="51">
        <v>2.7455618387298101E-3</v>
      </c>
      <c r="AY4" s="16">
        <v>77.427442880000001</v>
      </c>
      <c r="AZ4" s="2">
        <v>39216</v>
      </c>
      <c r="BA4" s="16">
        <f t="shared" ref="BA4:BA67" si="18">AZ4/60</f>
        <v>653.6</v>
      </c>
      <c r="BB4" s="9">
        <f t="shared" ref="BB4:BB67" si="19">BA4*AX4</f>
        <v>1.7944992177938039</v>
      </c>
      <c r="BC4" s="119">
        <f t="shared" ref="BC4:BC67" si="20">17.285*BB4^0.664</f>
        <v>25.485180708048645</v>
      </c>
      <c r="BE4" s="6"/>
      <c r="BG4" s="4"/>
      <c r="BH4" s="2"/>
      <c r="BI4" s="5"/>
      <c r="BJ4" s="102"/>
      <c r="BK4" s="102"/>
      <c r="BM4" s="104"/>
      <c r="BO4" s="102"/>
      <c r="BP4" s="2"/>
      <c r="BQ4" s="102"/>
      <c r="BR4" s="4"/>
      <c r="BS4" s="5"/>
      <c r="BU4" s="6"/>
      <c r="BV4" s="103"/>
      <c r="BW4" s="102"/>
      <c r="BY4" s="102"/>
      <c r="BZ4" s="102"/>
      <c r="CA4" s="102"/>
    </row>
    <row r="5" spans="1:79" x14ac:dyDescent="0.3">
      <c r="A5" s="7">
        <v>44776.021527777775</v>
      </c>
      <c r="B5" s="89">
        <v>1.69582018075944E-7</v>
      </c>
      <c r="C5" s="8">
        <v>0.78552173950000004</v>
      </c>
      <c r="D5" s="2">
        <v>0</v>
      </c>
      <c r="E5" s="9">
        <f t="shared" si="4"/>
        <v>0</v>
      </c>
      <c r="F5" s="8">
        <f t="shared" si="5"/>
        <v>0</v>
      </c>
      <c r="G5" s="60">
        <f t="shared" si="6"/>
        <v>0</v>
      </c>
      <c r="I5" s="19">
        <v>44781.021527777775</v>
      </c>
      <c r="J5" s="1">
        <v>1.8784160616638401E-6</v>
      </c>
      <c r="K5" s="21">
        <v>1.3533179835</v>
      </c>
      <c r="L5" s="2">
        <v>0</v>
      </c>
      <c r="M5" s="23">
        <f t="shared" si="7"/>
        <v>0</v>
      </c>
      <c r="N5" s="20">
        <f t="shared" si="8"/>
        <v>0</v>
      </c>
      <c r="O5" s="65">
        <f t="shared" si="9"/>
        <v>0</v>
      </c>
      <c r="Q5" s="27">
        <v>45136.020833333336</v>
      </c>
      <c r="R5" s="51">
        <v>1.57814212178015E-3</v>
      </c>
      <c r="S5" s="47">
        <v>1.1441742989999999</v>
      </c>
      <c r="T5" s="2">
        <v>4656</v>
      </c>
      <c r="U5" s="29">
        <f t="shared" si="10"/>
        <v>77.599999999999994</v>
      </c>
      <c r="V5" s="29">
        <f t="shared" si="0"/>
        <v>0.12246382865013963</v>
      </c>
      <c r="W5" s="70">
        <f t="shared" si="11"/>
        <v>4.2865370804020051</v>
      </c>
      <c r="Y5" s="32">
        <v>45151.020833333336</v>
      </c>
      <c r="Z5">
        <v>7.2240959149612695E-4</v>
      </c>
      <c r="AA5" s="34">
        <v>0.50323377899999999</v>
      </c>
      <c r="AB5" s="2">
        <v>341</v>
      </c>
      <c r="AC5" s="33">
        <f t="shared" si="12"/>
        <v>5.6833333333333336</v>
      </c>
      <c r="AD5" s="105">
        <f t="shared" si="1"/>
        <v>4.1056945116696554E-3</v>
      </c>
      <c r="AE5" s="77">
        <f t="shared" si="13"/>
        <v>0.44973647085959506</v>
      </c>
      <c r="AG5" s="38">
        <v>45166.020833333336</v>
      </c>
      <c r="AH5" s="111">
        <v>1.2295281216519599E-3</v>
      </c>
      <c r="AI5" s="50">
        <v>0.376777213</v>
      </c>
      <c r="AJ5" s="2">
        <v>2081</v>
      </c>
      <c r="AK5" s="40">
        <f t="shared" si="14"/>
        <v>34.68333333333333</v>
      </c>
      <c r="AL5" s="49">
        <f t="shared" si="2"/>
        <v>4.2644133685962142E-2</v>
      </c>
      <c r="AM5" s="73">
        <f t="shared" si="15"/>
        <v>2.1276292710165881</v>
      </c>
      <c r="AO5" s="43">
        <v>45183.020833333336</v>
      </c>
      <c r="AP5" s="111">
        <v>6.56163695323143E-4</v>
      </c>
      <c r="AQ5" s="46">
        <v>0.44894941300000002</v>
      </c>
      <c r="AR5" s="2">
        <v>772</v>
      </c>
      <c r="AS5" s="45">
        <f t="shared" si="16"/>
        <v>12.866666666666667</v>
      </c>
      <c r="AT5" s="45">
        <f t="shared" si="3"/>
        <v>8.4426395464911076E-3</v>
      </c>
      <c r="AU5" s="80">
        <f t="shared" si="17"/>
        <v>0.72585678430334033</v>
      </c>
      <c r="AW5" s="7">
        <v>45037.1875</v>
      </c>
      <c r="AX5" s="51">
        <v>2.8930429252626701E-3</v>
      </c>
      <c r="AY5" s="16">
        <v>76.544179459999995</v>
      </c>
      <c r="AZ5" s="2">
        <v>39690</v>
      </c>
      <c r="BA5" s="16">
        <f t="shared" si="18"/>
        <v>661.5</v>
      </c>
      <c r="BB5" s="9">
        <f t="shared" si="19"/>
        <v>1.9137478950612563</v>
      </c>
      <c r="BC5" s="119">
        <f t="shared" si="20"/>
        <v>26.59750149410462</v>
      </c>
      <c r="BE5" s="6"/>
      <c r="BG5" s="4"/>
      <c r="BH5" s="2"/>
      <c r="BI5" s="5"/>
      <c r="BJ5" s="102"/>
      <c r="BK5" s="102"/>
      <c r="BM5" s="104"/>
      <c r="BO5" s="102"/>
      <c r="BP5" s="2"/>
      <c r="BQ5" s="102"/>
      <c r="BR5" s="4"/>
      <c r="BS5" s="5"/>
      <c r="BU5" s="6"/>
      <c r="BV5" s="103"/>
      <c r="BW5" s="102"/>
      <c r="BY5" s="102"/>
      <c r="BZ5" s="102"/>
      <c r="CA5" s="102"/>
    </row>
    <row r="6" spans="1:79" x14ac:dyDescent="0.3">
      <c r="A6" s="7">
        <v>44776.031944444447</v>
      </c>
      <c r="B6" s="89">
        <v>1.52839039433596E-7</v>
      </c>
      <c r="C6" s="8">
        <v>0.77333739349999997</v>
      </c>
      <c r="D6" s="2">
        <v>0</v>
      </c>
      <c r="E6" s="9">
        <f t="shared" si="4"/>
        <v>0</v>
      </c>
      <c r="F6" s="8">
        <f t="shared" si="5"/>
        <v>0</v>
      </c>
      <c r="G6" s="60">
        <f t="shared" si="6"/>
        <v>0</v>
      </c>
      <c r="I6" s="19">
        <v>44781.031944444447</v>
      </c>
      <c r="J6" s="1">
        <v>1.25742647983648E-6</v>
      </c>
      <c r="K6" s="21">
        <v>1.3056302835</v>
      </c>
      <c r="L6" s="2">
        <v>0</v>
      </c>
      <c r="M6" s="23">
        <f t="shared" si="7"/>
        <v>0</v>
      </c>
      <c r="N6" s="20">
        <f t="shared" si="8"/>
        <v>0</v>
      </c>
      <c r="O6" s="65">
        <f t="shared" si="9"/>
        <v>0</v>
      </c>
      <c r="Q6" s="27">
        <v>45136.03125</v>
      </c>
      <c r="R6" s="51">
        <v>6.8311164136232395E-4</v>
      </c>
      <c r="S6" s="47">
        <v>0.73432993800000002</v>
      </c>
      <c r="T6" s="2">
        <v>708</v>
      </c>
      <c r="U6" s="29">
        <f t="shared" si="10"/>
        <v>11.8</v>
      </c>
      <c r="V6" s="29">
        <f t="shared" si="0"/>
        <v>8.0607173680754228E-3</v>
      </c>
      <c r="W6" s="70">
        <f t="shared" si="11"/>
        <v>0.70388468591328401</v>
      </c>
      <c r="Y6" s="32">
        <v>45151.03125</v>
      </c>
      <c r="Z6">
        <v>1.1939513354582299E-3</v>
      </c>
      <c r="AA6" s="34">
        <v>0.69769667099999999</v>
      </c>
      <c r="AB6" s="2">
        <v>1056</v>
      </c>
      <c r="AC6" s="33">
        <f t="shared" si="12"/>
        <v>17.600000000000001</v>
      </c>
      <c r="AD6" s="105">
        <f t="shared" si="1"/>
        <v>2.1013543504064848E-2</v>
      </c>
      <c r="AE6" s="77">
        <f t="shared" si="13"/>
        <v>1.3298691599903245</v>
      </c>
      <c r="AG6" s="38">
        <v>45166.03125</v>
      </c>
      <c r="AH6" s="111">
        <v>1.90411514083166E-3</v>
      </c>
      <c r="AI6" s="50">
        <v>0.42386643899999998</v>
      </c>
      <c r="AJ6" s="2">
        <v>2605</v>
      </c>
      <c r="AK6" s="40">
        <f t="shared" si="14"/>
        <v>43.416666666666664</v>
      </c>
      <c r="AL6" s="49">
        <f t="shared" si="2"/>
        <v>8.2670332364441226E-2</v>
      </c>
      <c r="AM6" s="73">
        <f t="shared" si="15"/>
        <v>3.3020950777935822</v>
      </c>
      <c r="AO6" s="43">
        <v>45183.03125</v>
      </c>
      <c r="AP6" s="111">
        <v>1.03489338496691E-3</v>
      </c>
      <c r="AQ6" s="46">
        <v>0.59425534599999996</v>
      </c>
      <c r="AR6" s="2">
        <v>1352</v>
      </c>
      <c r="AS6" s="45">
        <f t="shared" si="16"/>
        <v>22.533333333333335</v>
      </c>
      <c r="AT6" s="45">
        <f t="shared" si="3"/>
        <v>2.3319597607921041E-2</v>
      </c>
      <c r="AU6" s="80">
        <f t="shared" si="17"/>
        <v>1.425069884936558</v>
      </c>
      <c r="AW6" s="7">
        <v>45037.197916666664</v>
      </c>
      <c r="AX6" s="51">
        <v>2.74423953887829E-3</v>
      </c>
      <c r="AY6" s="16">
        <v>81.397704649999994</v>
      </c>
      <c r="AZ6" s="2">
        <v>39134</v>
      </c>
      <c r="BA6" s="16">
        <f t="shared" si="18"/>
        <v>652.23333333333335</v>
      </c>
      <c r="BB6" s="9">
        <f t="shared" si="19"/>
        <v>1.7898845019077168</v>
      </c>
      <c r="BC6" s="119">
        <f t="shared" si="20"/>
        <v>25.441645031987253</v>
      </c>
      <c r="BE6" s="6"/>
      <c r="BG6" s="4"/>
      <c r="BH6" s="2"/>
      <c r="BI6" s="5"/>
      <c r="BJ6" s="102"/>
      <c r="BK6" s="102"/>
      <c r="BM6" s="104"/>
      <c r="BO6" s="102"/>
      <c r="BP6" s="2"/>
      <c r="BQ6" s="102"/>
      <c r="BR6" s="4"/>
      <c r="BS6" s="5"/>
      <c r="BU6" s="6"/>
      <c r="BV6" s="103"/>
      <c r="BW6" s="102"/>
      <c r="BY6" s="102"/>
      <c r="BZ6" s="102"/>
      <c r="CA6" s="102"/>
    </row>
    <row r="7" spans="1:79" x14ac:dyDescent="0.3">
      <c r="A7" s="7">
        <v>44776.042361111111</v>
      </c>
      <c r="B7" s="89">
        <v>1.0321196451396E-7</v>
      </c>
      <c r="C7" s="8">
        <v>0.69855224699999996</v>
      </c>
      <c r="D7" s="2">
        <v>0</v>
      </c>
      <c r="E7" s="9">
        <f t="shared" si="4"/>
        <v>0</v>
      </c>
      <c r="F7" s="8">
        <f t="shared" si="5"/>
        <v>0</v>
      </c>
      <c r="G7" s="60">
        <f t="shared" si="6"/>
        <v>0</v>
      </c>
      <c r="I7" s="19">
        <v>44781.042361111111</v>
      </c>
      <c r="J7" s="1">
        <v>1.81636901898118E-6</v>
      </c>
      <c r="K7" s="21">
        <v>1.3930697775000001</v>
      </c>
      <c r="L7" s="2">
        <v>0</v>
      </c>
      <c r="M7" s="23">
        <f t="shared" si="7"/>
        <v>0</v>
      </c>
      <c r="N7" s="20">
        <f t="shared" si="8"/>
        <v>0</v>
      </c>
      <c r="O7" s="65">
        <f t="shared" si="9"/>
        <v>0</v>
      </c>
      <c r="Q7" s="27">
        <v>45136.041666666664</v>
      </c>
      <c r="R7" s="51">
        <v>1.79400666773131E-3</v>
      </c>
      <c r="S7" s="47">
        <v>1.317101139</v>
      </c>
      <c r="T7" s="2">
        <v>8187</v>
      </c>
      <c r="U7" s="29">
        <f t="shared" si="10"/>
        <v>136.44999999999999</v>
      </c>
      <c r="V7" s="29">
        <f t="shared" si="0"/>
        <v>0.24479220981193722</v>
      </c>
      <c r="W7" s="70">
        <f t="shared" si="11"/>
        <v>6.7893935822897395</v>
      </c>
      <c r="Y7" s="32">
        <v>45151.041666666664</v>
      </c>
      <c r="Z7">
        <v>1.09542700218215E-3</v>
      </c>
      <c r="AA7" s="34">
        <v>0.69769667099999999</v>
      </c>
      <c r="AB7" s="2">
        <v>1099</v>
      </c>
      <c r="AC7" s="33">
        <f t="shared" si="12"/>
        <v>18.316666666666666</v>
      </c>
      <c r="AD7" s="105">
        <f t="shared" si="1"/>
        <v>2.0064571256636382E-2</v>
      </c>
      <c r="AE7" s="77">
        <f t="shared" si="13"/>
        <v>1.2896825596220103</v>
      </c>
      <c r="AG7" s="38">
        <v>45166.041666666664</v>
      </c>
      <c r="AH7" s="111">
        <v>1.5699071750025499E-3</v>
      </c>
      <c r="AI7" s="50">
        <v>0.42386643899999998</v>
      </c>
      <c r="AJ7" s="2">
        <v>2747</v>
      </c>
      <c r="AK7" s="40">
        <f t="shared" si="14"/>
        <v>45.783333333333331</v>
      </c>
      <c r="AL7" s="49">
        <f t="shared" si="2"/>
        <v>7.1875583495533413E-2</v>
      </c>
      <c r="AM7" s="73">
        <f t="shared" si="15"/>
        <v>3.0091194126015397</v>
      </c>
      <c r="AO7" s="43">
        <v>45183.041666666664</v>
      </c>
      <c r="AP7" s="111">
        <v>7.7285931903519603E-4</v>
      </c>
      <c r="AQ7" s="46">
        <v>0.399936554</v>
      </c>
      <c r="AR7" s="2">
        <v>607</v>
      </c>
      <c r="AS7" s="45">
        <f t="shared" si="16"/>
        <v>10.116666666666667</v>
      </c>
      <c r="AT7" s="45">
        <f t="shared" si="3"/>
        <v>7.8187601109060666E-3</v>
      </c>
      <c r="AU7" s="80">
        <f t="shared" si="17"/>
        <v>0.68978372291402523</v>
      </c>
      <c r="AW7" s="7">
        <v>45037.208333333336</v>
      </c>
      <c r="AX7" s="51">
        <v>2.81463051358993E-3</v>
      </c>
      <c r="AY7" s="16">
        <v>78.755362430000005</v>
      </c>
      <c r="AZ7" s="2">
        <v>39435</v>
      </c>
      <c r="BA7" s="16">
        <f t="shared" si="18"/>
        <v>657.25</v>
      </c>
      <c r="BB7" s="9">
        <f t="shared" si="19"/>
        <v>1.8499159050569816</v>
      </c>
      <c r="BC7" s="119">
        <f t="shared" si="20"/>
        <v>26.005086507138927</v>
      </c>
      <c r="BE7" s="6"/>
      <c r="BG7" s="4"/>
      <c r="BH7" s="2"/>
      <c r="BI7" s="5"/>
      <c r="BJ7" s="102"/>
      <c r="BK7" s="102"/>
      <c r="BM7" s="104"/>
      <c r="BO7" s="102"/>
      <c r="BP7" s="2"/>
      <c r="BQ7" s="102"/>
      <c r="BR7" s="4"/>
      <c r="BS7" s="5"/>
      <c r="BU7" s="6"/>
      <c r="BV7" s="103"/>
      <c r="BW7" s="102"/>
      <c r="BY7" s="102"/>
      <c r="BZ7" s="102"/>
      <c r="CA7" s="102"/>
    </row>
    <row r="8" spans="1:79" x14ac:dyDescent="0.3">
      <c r="A8" s="7">
        <v>44776.052777777775</v>
      </c>
      <c r="B8" s="89">
        <v>9.9320847969424001E-8</v>
      </c>
      <c r="C8" s="8">
        <v>0.71226070049999901</v>
      </c>
      <c r="D8" s="2">
        <v>0</v>
      </c>
      <c r="E8" s="9">
        <f t="shared" si="4"/>
        <v>0</v>
      </c>
      <c r="F8" s="8">
        <f t="shared" si="5"/>
        <v>0</v>
      </c>
      <c r="G8" s="60">
        <f t="shared" si="6"/>
        <v>0</v>
      </c>
      <c r="I8" s="19">
        <v>44781.052777777775</v>
      </c>
      <c r="J8" s="1">
        <v>1.4770031895482E-6</v>
      </c>
      <c r="K8" s="21">
        <v>1.357638297</v>
      </c>
      <c r="L8" s="2">
        <v>0</v>
      </c>
      <c r="M8" s="23">
        <f t="shared" si="7"/>
        <v>0</v>
      </c>
      <c r="N8" s="20">
        <f t="shared" si="8"/>
        <v>0</v>
      </c>
      <c r="O8" s="65">
        <f t="shared" si="9"/>
        <v>0</v>
      </c>
      <c r="Q8" s="27">
        <v>45136.052083333336</v>
      </c>
      <c r="R8" s="51">
        <v>1.76673398079039E-3</v>
      </c>
      <c r="S8" s="47">
        <v>1.1441742989999999</v>
      </c>
      <c r="T8" s="2">
        <v>4732</v>
      </c>
      <c r="U8" s="29">
        <f t="shared" si="10"/>
        <v>78.86666666666666</v>
      </c>
      <c r="V8" s="29">
        <f>R8*U8</f>
        <v>0.13933641995166876</v>
      </c>
      <c r="W8" s="70">
        <f t="shared" si="11"/>
        <v>4.6701229031339979</v>
      </c>
      <c r="Y8" s="32">
        <v>45151.052083333336</v>
      </c>
      <c r="Z8">
        <v>7.2396444875461605E-4</v>
      </c>
      <c r="AA8" s="34">
        <v>0.66168135500000003</v>
      </c>
      <c r="AB8" s="2">
        <v>745</v>
      </c>
      <c r="AC8" s="33">
        <f t="shared" si="12"/>
        <v>12.416666666666666</v>
      </c>
      <c r="AD8" s="105">
        <f t="shared" si="1"/>
        <v>8.9892252387031493E-3</v>
      </c>
      <c r="AE8" s="77">
        <f t="shared" si="13"/>
        <v>0.75673002538436618</v>
      </c>
      <c r="AG8" s="38">
        <v>45166.052083333336</v>
      </c>
      <c r="AH8" s="111">
        <v>1.6834227256197101E-3</v>
      </c>
      <c r="AI8" s="50">
        <v>0.44894941300000002</v>
      </c>
      <c r="AJ8" s="2">
        <v>3159</v>
      </c>
      <c r="AK8" s="40">
        <f t="shared" si="14"/>
        <v>52.65</v>
      </c>
      <c r="AL8" s="49">
        <f t="shared" si="2"/>
        <v>8.8632206503877736E-2</v>
      </c>
      <c r="AM8" s="73">
        <f t="shared" si="15"/>
        <v>3.4583598495243506</v>
      </c>
      <c r="AO8" s="43">
        <v>45183.052083333336</v>
      </c>
      <c r="AP8" s="111">
        <v>9.7552076501727198E-4</v>
      </c>
      <c r="AQ8" s="46">
        <v>0.50323377899999999</v>
      </c>
      <c r="AR8" s="2">
        <v>1183</v>
      </c>
      <c r="AS8" s="45">
        <f t="shared" si="16"/>
        <v>19.716666666666665</v>
      </c>
      <c r="AT8" s="45">
        <f t="shared" si="3"/>
        <v>1.923401775025721E-2</v>
      </c>
      <c r="AU8" s="80">
        <f t="shared" si="17"/>
        <v>1.2539836447277948</v>
      </c>
      <c r="AW8" s="7">
        <v>45037.21875</v>
      </c>
      <c r="AX8" s="51">
        <v>3.0570290467503399E-3</v>
      </c>
      <c r="AY8" s="16">
        <v>78.755362430000005</v>
      </c>
      <c r="AZ8" s="2">
        <v>39486</v>
      </c>
      <c r="BA8" s="16">
        <f t="shared" si="18"/>
        <v>658.1</v>
      </c>
      <c r="BB8" s="9">
        <f t="shared" si="19"/>
        <v>2.0118308156663987</v>
      </c>
      <c r="BC8" s="119">
        <f t="shared" si="20"/>
        <v>27.495024480412258</v>
      </c>
      <c r="BE8" s="6"/>
      <c r="BG8" s="4"/>
      <c r="BH8" s="2"/>
      <c r="BI8" s="5"/>
      <c r="BJ8" s="102"/>
      <c r="BK8" s="102"/>
      <c r="BM8" s="104"/>
      <c r="BO8" s="102"/>
      <c r="BP8" s="2"/>
      <c r="BQ8" s="102"/>
      <c r="BR8" s="4"/>
      <c r="BS8" s="5"/>
      <c r="BU8" s="6"/>
      <c r="BV8" s="103"/>
      <c r="BW8" s="102"/>
      <c r="BY8" s="102"/>
      <c r="BZ8" s="102"/>
      <c r="CA8" s="102"/>
    </row>
    <row r="9" spans="1:79" x14ac:dyDescent="0.3">
      <c r="A9" s="7">
        <v>44776.063194444447</v>
      </c>
      <c r="B9" s="89">
        <v>1.5051816349752101E-7</v>
      </c>
      <c r="C9" s="8">
        <v>0.773592222</v>
      </c>
      <c r="D9" s="2">
        <v>0</v>
      </c>
      <c r="E9" s="9">
        <f t="shared" si="4"/>
        <v>0</v>
      </c>
      <c r="F9" s="8">
        <f t="shared" si="5"/>
        <v>0</v>
      </c>
      <c r="G9" s="60">
        <f t="shared" si="6"/>
        <v>0</v>
      </c>
      <c r="I9" s="19">
        <v>44781.063194444447</v>
      </c>
      <c r="J9" s="1">
        <v>1.84768662190381E-6</v>
      </c>
      <c r="K9" s="21">
        <v>1.362681324</v>
      </c>
      <c r="L9" s="2">
        <v>0</v>
      </c>
      <c r="M9" s="23">
        <f t="shared" si="7"/>
        <v>0</v>
      </c>
      <c r="N9" s="20">
        <f t="shared" si="8"/>
        <v>0</v>
      </c>
      <c r="O9" s="65">
        <f t="shared" si="9"/>
        <v>0</v>
      </c>
      <c r="Q9" s="27">
        <v>45136.0625</v>
      </c>
      <c r="R9" s="51">
        <v>1.79237173524052E-3</v>
      </c>
      <c r="S9" s="47">
        <v>1.257509953</v>
      </c>
      <c r="T9" s="2">
        <v>7451</v>
      </c>
      <c r="U9" s="29">
        <f t="shared" si="10"/>
        <v>124.18333333333334</v>
      </c>
      <c r="V9" s="29">
        <f t="shared" si="0"/>
        <v>0.22258269665461858</v>
      </c>
      <c r="W9" s="70">
        <f t="shared" si="11"/>
        <v>6.3738769247792666</v>
      </c>
      <c r="Y9" s="32">
        <v>45151.0625</v>
      </c>
      <c r="Z9">
        <v>7.8091567311240802E-4</v>
      </c>
      <c r="AA9" s="34">
        <v>0.66168135500000003</v>
      </c>
      <c r="AB9" s="2">
        <v>772</v>
      </c>
      <c r="AC9" s="33">
        <f t="shared" si="12"/>
        <v>12.866666666666667</v>
      </c>
      <c r="AD9" s="105">
        <f t="shared" si="1"/>
        <v>1.0047781660712983E-2</v>
      </c>
      <c r="AE9" s="77">
        <f t="shared" si="13"/>
        <v>0.81478680929990699</v>
      </c>
      <c r="AG9" s="38">
        <v>45166.0625</v>
      </c>
      <c r="AH9" s="111">
        <v>1.2457717460765E-3</v>
      </c>
      <c r="AI9" s="50">
        <v>0.376777213</v>
      </c>
      <c r="AJ9" s="2">
        <v>2182</v>
      </c>
      <c r="AK9" s="40">
        <f t="shared" si="14"/>
        <v>36.366666666666667</v>
      </c>
      <c r="AL9" s="49">
        <f t="shared" si="2"/>
        <v>4.5304565832315381E-2</v>
      </c>
      <c r="AM9" s="73">
        <f t="shared" si="15"/>
        <v>2.2148670066584861</v>
      </c>
      <c r="AO9" s="43">
        <v>45183.0625</v>
      </c>
      <c r="AP9" s="111">
        <v>9.6439393525891797E-4</v>
      </c>
      <c r="AQ9" s="46">
        <v>0.53251963199999997</v>
      </c>
      <c r="AR9" s="2">
        <v>1217</v>
      </c>
      <c r="AS9" s="45">
        <f t="shared" si="16"/>
        <v>20.283333333333335</v>
      </c>
      <c r="AT9" s="45">
        <f t="shared" si="3"/>
        <v>1.9561123653501721E-2</v>
      </c>
      <c r="AU9" s="80">
        <f t="shared" si="17"/>
        <v>1.2681039812679189</v>
      </c>
      <c r="AW9" s="7">
        <v>45037.229166666664</v>
      </c>
      <c r="AX9" s="51">
        <v>2.9513016877519898E-3</v>
      </c>
      <c r="AY9" s="16">
        <v>78.755362430000005</v>
      </c>
      <c r="AZ9" s="2">
        <v>40010</v>
      </c>
      <c r="BA9" s="16">
        <f t="shared" si="18"/>
        <v>666.83333333333337</v>
      </c>
      <c r="BB9" s="9">
        <f t="shared" si="19"/>
        <v>1.9680263421159521</v>
      </c>
      <c r="BC9" s="119">
        <f t="shared" si="20"/>
        <v>27.096045084423931</v>
      </c>
      <c r="BE9" s="6"/>
      <c r="BG9" s="4"/>
      <c r="BH9" s="2"/>
      <c r="BI9" s="5"/>
      <c r="BJ9" s="102"/>
      <c r="BK9" s="102"/>
      <c r="BM9" s="104"/>
      <c r="BO9" s="102"/>
      <c r="BP9" s="2"/>
      <c r="BQ9" s="102"/>
      <c r="BR9" s="4"/>
      <c r="BS9" s="5"/>
      <c r="BU9" s="6"/>
      <c r="BV9" s="103"/>
      <c r="BW9" s="102"/>
      <c r="BY9" s="102"/>
      <c r="BZ9" s="102"/>
      <c r="CA9" s="102"/>
    </row>
    <row r="10" spans="1:79" x14ac:dyDescent="0.3">
      <c r="A10" s="7">
        <v>44776.073611111111</v>
      </c>
      <c r="B10" s="89">
        <v>1.54725410758714E-7</v>
      </c>
      <c r="C10" s="8">
        <v>0.76798645399999999</v>
      </c>
      <c r="D10" s="2">
        <v>0</v>
      </c>
      <c r="E10" s="9">
        <f t="shared" si="4"/>
        <v>0</v>
      </c>
      <c r="F10" s="8">
        <f t="shared" si="5"/>
        <v>0</v>
      </c>
      <c r="G10" s="60">
        <f t="shared" si="6"/>
        <v>0</v>
      </c>
      <c r="I10" s="19">
        <v>44781.073611111111</v>
      </c>
      <c r="J10" s="1">
        <v>2.0470760564077801E-6</v>
      </c>
      <c r="K10" s="21">
        <v>1.428025611</v>
      </c>
      <c r="L10" s="2">
        <v>0</v>
      </c>
      <c r="M10" s="23">
        <f t="shared" si="7"/>
        <v>0</v>
      </c>
      <c r="N10" s="20">
        <f t="shared" si="8"/>
        <v>0</v>
      </c>
      <c r="O10" s="65">
        <f t="shared" si="9"/>
        <v>0</v>
      </c>
      <c r="Q10" s="27">
        <v>45136.072916666664</v>
      </c>
      <c r="R10" s="51">
        <v>9.5839376382031796E-4</v>
      </c>
      <c r="S10" s="47">
        <v>0.85462156099999997</v>
      </c>
      <c r="T10" s="2">
        <v>1437</v>
      </c>
      <c r="U10" s="29">
        <f t="shared" si="10"/>
        <v>23.95</v>
      </c>
      <c r="V10" s="29">
        <f t="shared" si="0"/>
        <v>2.2953530643496613E-2</v>
      </c>
      <c r="W10" s="70">
        <f t="shared" si="11"/>
        <v>1.4101764244998809</v>
      </c>
      <c r="Y10" s="32">
        <v>45151.072916666664</v>
      </c>
      <c r="Z10">
        <v>6.9311785885415504E-4</v>
      </c>
      <c r="AA10" s="34">
        <v>0.59425534599999996</v>
      </c>
      <c r="AB10" s="2">
        <v>536</v>
      </c>
      <c r="AC10" s="33">
        <f t="shared" si="12"/>
        <v>8.9333333333333336</v>
      </c>
      <c r="AD10" s="105">
        <f t="shared" si="1"/>
        <v>6.191852872430452E-3</v>
      </c>
      <c r="AE10" s="77">
        <f t="shared" si="13"/>
        <v>0.59079699963923471</v>
      </c>
      <c r="AG10" s="38">
        <v>45166.072916666664</v>
      </c>
      <c r="AH10" s="111">
        <v>1.45618380889758E-3</v>
      </c>
      <c r="AI10" s="50">
        <v>0.44894941300000002</v>
      </c>
      <c r="AJ10" s="2">
        <v>3199</v>
      </c>
      <c r="AK10" s="40">
        <f t="shared" si="14"/>
        <v>53.31666666666667</v>
      </c>
      <c r="AL10" s="49">
        <f t="shared" si="2"/>
        <v>7.7638866744389315E-2</v>
      </c>
      <c r="AM10" s="73">
        <f t="shared" si="15"/>
        <v>3.167247225923548</v>
      </c>
      <c r="AO10" s="43">
        <v>45183.072916666664</v>
      </c>
      <c r="AP10" s="111">
        <v>7.9095980397316803E-4</v>
      </c>
      <c r="AQ10" s="46">
        <v>0.50323377899999999</v>
      </c>
      <c r="AR10" s="2">
        <v>1047</v>
      </c>
      <c r="AS10" s="45">
        <f t="shared" si="16"/>
        <v>17.45</v>
      </c>
      <c r="AT10" s="45">
        <f t="shared" si="3"/>
        <v>1.3802248579331782E-2</v>
      </c>
      <c r="AU10" s="80">
        <f t="shared" si="17"/>
        <v>1.0059955991092104</v>
      </c>
      <c r="AW10" s="7">
        <v>45037.239583333336</v>
      </c>
      <c r="AX10" s="51">
        <v>2.73348266766425E-3</v>
      </c>
      <c r="AY10" s="16">
        <v>77.875916610000004</v>
      </c>
      <c r="AZ10" s="2">
        <v>38975</v>
      </c>
      <c r="BA10" s="16">
        <f t="shared" si="18"/>
        <v>649.58333333333337</v>
      </c>
      <c r="BB10" s="9">
        <f t="shared" si="19"/>
        <v>1.7756247828702358</v>
      </c>
      <c r="BC10" s="119">
        <f t="shared" si="20"/>
        <v>25.306878459846018</v>
      </c>
      <c r="BE10" s="6"/>
      <c r="BG10" s="4"/>
      <c r="BH10" s="2"/>
      <c r="BI10" s="5"/>
      <c r="BJ10" s="102"/>
      <c r="BK10" s="102"/>
      <c r="BM10" s="104"/>
      <c r="BO10" s="102"/>
      <c r="BP10" s="2"/>
      <c r="BQ10" s="102"/>
      <c r="BR10" s="4"/>
      <c r="BS10" s="5"/>
      <c r="BU10" s="6"/>
      <c r="BV10" s="103"/>
      <c r="BW10" s="102"/>
      <c r="BY10" s="102"/>
      <c r="BZ10" s="102"/>
      <c r="CA10" s="102"/>
    </row>
    <row r="11" spans="1:79" x14ac:dyDescent="0.3">
      <c r="A11" s="7">
        <v>44776.084027777775</v>
      </c>
      <c r="B11" s="89">
        <v>1.4647853697863599E-7</v>
      </c>
      <c r="C11" s="8">
        <v>0.7563906655</v>
      </c>
      <c r="D11" s="2">
        <v>0</v>
      </c>
      <c r="E11" s="9">
        <f t="shared" si="4"/>
        <v>0</v>
      </c>
      <c r="F11" s="8">
        <f t="shared" si="5"/>
        <v>0</v>
      </c>
      <c r="G11" s="60">
        <f t="shared" si="6"/>
        <v>0</v>
      </c>
      <c r="I11" s="19">
        <v>44781.084027777775</v>
      </c>
      <c r="J11" s="1">
        <v>2.1514884035535098E-6</v>
      </c>
      <c r="K11" s="21">
        <v>1.4664620669999999</v>
      </c>
      <c r="L11" s="2">
        <v>0</v>
      </c>
      <c r="M11" s="23">
        <f t="shared" si="7"/>
        <v>0</v>
      </c>
      <c r="N11" s="20">
        <f t="shared" si="8"/>
        <v>0</v>
      </c>
      <c r="O11" s="65">
        <f t="shared" si="9"/>
        <v>0</v>
      </c>
      <c r="Q11" s="27">
        <v>45136.083333333336</v>
      </c>
      <c r="R11" s="51">
        <v>1.4958581051647899E-3</v>
      </c>
      <c r="S11" s="47">
        <v>1.257509953</v>
      </c>
      <c r="T11" s="2">
        <v>6938</v>
      </c>
      <c r="U11" s="29">
        <f t="shared" si="10"/>
        <v>115.63333333333334</v>
      </c>
      <c r="V11" s="29">
        <f t="shared" si="0"/>
        <v>0.17297105889388856</v>
      </c>
      <c r="W11" s="70">
        <f t="shared" si="11"/>
        <v>5.391178988480438</v>
      </c>
      <c r="Y11" s="32">
        <v>45151.083333333336</v>
      </c>
      <c r="Z11">
        <v>7.9991121978632905E-4</v>
      </c>
      <c r="AA11" s="34">
        <v>0.66168135500000003</v>
      </c>
      <c r="AB11" s="2">
        <v>889</v>
      </c>
      <c r="AC11" s="33">
        <f t="shared" si="12"/>
        <v>14.816666666666666</v>
      </c>
      <c r="AD11" s="105">
        <f t="shared" si="1"/>
        <v>1.1852017906500775E-2</v>
      </c>
      <c r="AE11" s="77">
        <f t="shared" si="13"/>
        <v>0.9092168389580928</v>
      </c>
      <c r="AG11" s="38">
        <v>45166.083333333336</v>
      </c>
      <c r="AH11" s="111">
        <v>1.49404975558751E-3</v>
      </c>
      <c r="AI11" s="50">
        <v>0.44894941300000002</v>
      </c>
      <c r="AJ11" s="2">
        <v>2887</v>
      </c>
      <c r="AK11" s="40">
        <f t="shared" si="14"/>
        <v>48.116666666666667</v>
      </c>
      <c r="AL11" s="49">
        <f t="shared" si="2"/>
        <v>7.1888694073019024E-2</v>
      </c>
      <c r="AM11" s="73">
        <f t="shared" si="15"/>
        <v>3.0094838598135594</v>
      </c>
      <c r="AO11" s="43">
        <v>45183.083333333336</v>
      </c>
      <c r="AP11" s="111">
        <v>1.0747994785777499E-3</v>
      </c>
      <c r="AQ11" s="46">
        <v>0.50323377899999999</v>
      </c>
      <c r="AR11" s="2">
        <v>1086</v>
      </c>
      <c r="AS11" s="45">
        <f t="shared" si="16"/>
        <v>18.100000000000001</v>
      </c>
      <c r="AT11" s="45">
        <f t="shared" si="3"/>
        <v>1.9453870562257274E-2</v>
      </c>
      <c r="AU11" s="80">
        <f t="shared" si="17"/>
        <v>1.263482940437622</v>
      </c>
      <c r="AW11" s="7">
        <v>45037.25</v>
      </c>
      <c r="AX11" s="51">
        <v>2.8541858274679999E-3</v>
      </c>
      <c r="AY11" s="16">
        <v>75.652056590000001</v>
      </c>
      <c r="AZ11" s="2">
        <v>39096</v>
      </c>
      <c r="BA11" s="16">
        <f t="shared" si="18"/>
        <v>651.6</v>
      </c>
      <c r="BB11" s="9">
        <f t="shared" si="19"/>
        <v>1.8597874851781488</v>
      </c>
      <c r="BC11" s="119">
        <f t="shared" si="20"/>
        <v>26.097146827064886</v>
      </c>
      <c r="BE11" s="6"/>
      <c r="BG11" s="4"/>
      <c r="BH11" s="2"/>
      <c r="BI11" s="5"/>
      <c r="BJ11" s="102"/>
      <c r="BK11" s="102"/>
      <c r="BM11" s="104"/>
      <c r="BO11" s="102"/>
      <c r="BP11" s="2"/>
      <c r="BQ11" s="102"/>
      <c r="BR11" s="4"/>
      <c r="BS11" s="5"/>
      <c r="BU11" s="6"/>
      <c r="BV11" s="103"/>
      <c r="BW11" s="102"/>
      <c r="BY11" s="102"/>
      <c r="BZ11" s="102"/>
      <c r="CA11" s="102"/>
    </row>
    <row r="12" spans="1:79" x14ac:dyDescent="0.3">
      <c r="A12" s="7">
        <v>44776.094444444447</v>
      </c>
      <c r="B12" s="89">
        <v>1.250864956627E-7</v>
      </c>
      <c r="C12" s="8">
        <v>0.72541048299999999</v>
      </c>
      <c r="D12" s="2">
        <v>0</v>
      </c>
      <c r="E12" s="9">
        <f t="shared" si="4"/>
        <v>0</v>
      </c>
      <c r="F12" s="8">
        <f t="shared" si="5"/>
        <v>0</v>
      </c>
      <c r="G12" s="60">
        <f t="shared" si="6"/>
        <v>0</v>
      </c>
      <c r="I12" s="19">
        <v>44781.094444444447</v>
      </c>
      <c r="J12" s="1">
        <v>1.81848809218014E-6</v>
      </c>
      <c r="K12" s="21">
        <v>1.3805518125</v>
      </c>
      <c r="L12" s="2">
        <v>0</v>
      </c>
      <c r="M12" s="23">
        <f t="shared" si="7"/>
        <v>0</v>
      </c>
      <c r="N12" s="20">
        <f t="shared" si="8"/>
        <v>0</v>
      </c>
      <c r="O12" s="65">
        <f t="shared" si="9"/>
        <v>0</v>
      </c>
      <c r="Q12" s="27">
        <v>45136.09375</v>
      </c>
      <c r="R12" s="51">
        <v>8.6581231940772703E-4</v>
      </c>
      <c r="S12" s="47">
        <v>0.85462156099999997</v>
      </c>
      <c r="T12" s="2">
        <v>1396</v>
      </c>
      <c r="U12" s="29">
        <f t="shared" si="10"/>
        <v>23.266666666666666</v>
      </c>
      <c r="V12" s="29">
        <f t="shared" si="0"/>
        <v>2.0144566631553115E-2</v>
      </c>
      <c r="W12" s="70">
        <f t="shared" si="11"/>
        <v>1.2930944528247377</v>
      </c>
      <c r="Y12" s="32">
        <v>45151.09375</v>
      </c>
      <c r="Z12">
        <v>6.2058068549491899E-4</v>
      </c>
      <c r="AA12" s="34">
        <v>0.50323377899999999</v>
      </c>
      <c r="AB12" s="2">
        <v>403</v>
      </c>
      <c r="AC12" s="33">
        <f t="shared" si="12"/>
        <v>6.7166666666666668</v>
      </c>
      <c r="AD12" s="105">
        <f t="shared" si="1"/>
        <v>4.168233604240873E-3</v>
      </c>
      <c r="AE12" s="77">
        <f t="shared" si="13"/>
        <v>0.45427364896637645</v>
      </c>
      <c r="AG12" s="38">
        <v>45166.09375</v>
      </c>
      <c r="AH12" s="111">
        <v>1.1731560982090701E-3</v>
      </c>
      <c r="AI12" s="50">
        <v>0.35506608000000001</v>
      </c>
      <c r="AJ12" s="2">
        <v>1655</v>
      </c>
      <c r="AK12" s="40">
        <f t="shared" si="14"/>
        <v>27.583333333333332</v>
      </c>
      <c r="AL12" s="49">
        <f t="shared" si="2"/>
        <v>3.2359555708933514E-2</v>
      </c>
      <c r="AM12" s="73">
        <f t="shared" si="15"/>
        <v>1.7713773092351857</v>
      </c>
      <c r="AO12" s="43">
        <v>45183.09375</v>
      </c>
      <c r="AP12" s="111">
        <v>8.4543113935638201E-4</v>
      </c>
      <c r="AQ12" s="46">
        <v>0.50323377899999999</v>
      </c>
      <c r="AR12" s="2">
        <v>1092</v>
      </c>
      <c r="AS12" s="45">
        <f t="shared" si="16"/>
        <v>18.2</v>
      </c>
      <c r="AT12" s="45">
        <f t="shared" si="3"/>
        <v>1.5386846736286153E-2</v>
      </c>
      <c r="AU12" s="80">
        <f t="shared" si="17"/>
        <v>1.0812764315374508</v>
      </c>
      <c r="AW12" s="7">
        <v>45037.260416666664</v>
      </c>
      <c r="AX12" s="51">
        <v>2.85511183807415E-3</v>
      </c>
      <c r="AY12" s="16">
        <v>71.622551369999996</v>
      </c>
      <c r="AZ12" s="2">
        <v>39118</v>
      </c>
      <c r="BA12" s="16">
        <f t="shared" si="18"/>
        <v>651.9666666666667</v>
      </c>
      <c r="BB12" s="9">
        <f t="shared" si="19"/>
        <v>1.8614377480297435</v>
      </c>
      <c r="BC12" s="119">
        <f t="shared" si="20"/>
        <v>26.112520802758556</v>
      </c>
      <c r="BE12" s="6"/>
      <c r="BG12" s="4"/>
      <c r="BH12" s="2"/>
      <c r="BI12" s="5"/>
      <c r="BJ12" s="102"/>
      <c r="BK12" s="102"/>
      <c r="BM12" s="104"/>
      <c r="BO12" s="102"/>
      <c r="BP12" s="2"/>
      <c r="BQ12" s="102"/>
      <c r="BR12" s="4"/>
      <c r="BS12" s="5"/>
      <c r="BU12" s="6"/>
      <c r="BV12" s="103"/>
      <c r="BW12" s="102"/>
      <c r="BY12" s="102"/>
      <c r="BZ12" s="102"/>
      <c r="CA12" s="102"/>
    </row>
    <row r="13" spans="1:79" x14ac:dyDescent="0.3">
      <c r="A13" s="7">
        <v>44776.104861111111</v>
      </c>
      <c r="B13" s="89">
        <v>1.5005887693287601E-7</v>
      </c>
      <c r="C13" s="8">
        <v>0.74867457049999997</v>
      </c>
      <c r="D13" s="2">
        <v>0</v>
      </c>
      <c r="E13" s="9">
        <f t="shared" si="4"/>
        <v>0</v>
      </c>
      <c r="F13" s="8">
        <f t="shared" si="5"/>
        <v>0</v>
      </c>
      <c r="G13" s="60">
        <f t="shared" si="6"/>
        <v>0</v>
      </c>
      <c r="I13" s="19">
        <v>44781.104861111111</v>
      </c>
      <c r="J13" s="1">
        <v>1.4705399587400599E-6</v>
      </c>
      <c r="K13" s="21">
        <v>1.321577692</v>
      </c>
      <c r="L13" s="2">
        <v>0</v>
      </c>
      <c r="M13" s="23">
        <f t="shared" si="7"/>
        <v>0</v>
      </c>
      <c r="N13" s="20">
        <f t="shared" si="8"/>
        <v>0</v>
      </c>
      <c r="O13" s="65">
        <f t="shared" si="9"/>
        <v>0</v>
      </c>
      <c r="Q13" s="27">
        <v>45136.104166666664</v>
      </c>
      <c r="R13" s="51">
        <v>1.05245823130787E-3</v>
      </c>
      <c r="S13" s="47">
        <v>0.99067576999999996</v>
      </c>
      <c r="T13" s="2">
        <v>2451</v>
      </c>
      <c r="U13" s="29">
        <f t="shared" si="10"/>
        <v>40.85</v>
      </c>
      <c r="V13" s="29">
        <f t="shared" si="0"/>
        <v>4.2992918748926495E-2</v>
      </c>
      <c r="W13" s="70">
        <f t="shared" si="11"/>
        <v>2.1391682564087278</v>
      </c>
      <c r="Y13" s="32">
        <v>45151.104166666664</v>
      </c>
      <c r="Z13">
        <v>8.5031722246342199E-4</v>
      </c>
      <c r="AA13" s="34">
        <v>0.69769667099999999</v>
      </c>
      <c r="AB13" s="2">
        <v>940</v>
      </c>
      <c r="AC13" s="33">
        <f t="shared" si="12"/>
        <v>15.666666666666666</v>
      </c>
      <c r="AD13" s="105">
        <f t="shared" si="1"/>
        <v>1.3321636485260278E-2</v>
      </c>
      <c r="AE13" s="77">
        <f t="shared" si="13"/>
        <v>0.98259741237066645</v>
      </c>
      <c r="AG13" s="38">
        <v>45166.104166666664</v>
      </c>
      <c r="AH13" s="111">
        <v>1.0847456039325999E-3</v>
      </c>
      <c r="AI13" s="50">
        <v>0.35506608000000001</v>
      </c>
      <c r="AJ13" s="2">
        <v>1766</v>
      </c>
      <c r="AK13" s="40">
        <f t="shared" si="14"/>
        <v>29.433333333333334</v>
      </c>
      <c r="AL13" s="49">
        <f t="shared" si="2"/>
        <v>3.1927678942416188E-2</v>
      </c>
      <c r="AM13" s="73">
        <f t="shared" si="15"/>
        <v>1.7556441863387033</v>
      </c>
      <c r="AO13" s="43">
        <v>45183.104166666664</v>
      </c>
      <c r="AP13" s="111">
        <v>8.7835158973063995E-4</v>
      </c>
      <c r="AQ13" s="46">
        <v>0.53201108200000002</v>
      </c>
      <c r="AR13" s="2">
        <v>1142</v>
      </c>
      <c r="AS13" s="45">
        <f t="shared" si="16"/>
        <v>19.033333333333335</v>
      </c>
      <c r="AT13" s="45">
        <f t="shared" si="3"/>
        <v>1.6717958591206516E-2</v>
      </c>
      <c r="AU13" s="80">
        <f t="shared" si="17"/>
        <v>1.142518020310554</v>
      </c>
      <c r="AW13" s="7">
        <v>45037.270833333336</v>
      </c>
      <c r="AX13" s="51">
        <v>2.8685430659213199E-3</v>
      </c>
      <c r="AY13" s="16">
        <v>76.544179459999995</v>
      </c>
      <c r="AZ13" s="2">
        <v>38650</v>
      </c>
      <c r="BA13" s="16">
        <f t="shared" si="18"/>
        <v>644.16666666666663</v>
      </c>
      <c r="BB13" s="9">
        <f t="shared" si="19"/>
        <v>1.8478198249643167</v>
      </c>
      <c r="BC13" s="119">
        <f t="shared" si="20"/>
        <v>25.985517672051984</v>
      </c>
      <c r="BE13" s="6"/>
      <c r="BG13" s="4"/>
      <c r="BH13" s="2"/>
      <c r="BI13" s="5"/>
      <c r="BJ13" s="102"/>
      <c r="BK13" s="102"/>
      <c r="BM13" s="104"/>
      <c r="BO13" s="102"/>
      <c r="BP13" s="2"/>
      <c r="BQ13" s="102"/>
      <c r="BR13" s="4"/>
      <c r="BS13" s="5"/>
      <c r="BU13" s="6"/>
      <c r="BV13" s="103"/>
      <c r="BW13" s="102"/>
      <c r="BY13" s="102"/>
      <c r="BZ13" s="102"/>
      <c r="CA13" s="102"/>
    </row>
    <row r="14" spans="1:79" x14ac:dyDescent="0.3">
      <c r="A14" s="7">
        <v>44776.115277777775</v>
      </c>
      <c r="B14" s="89">
        <v>1.4259904240921899E-7</v>
      </c>
      <c r="C14" s="8">
        <v>0.77382161049999998</v>
      </c>
      <c r="D14" s="2">
        <v>0</v>
      </c>
      <c r="E14" s="9">
        <f t="shared" si="4"/>
        <v>0</v>
      </c>
      <c r="F14" s="8">
        <f t="shared" si="5"/>
        <v>0</v>
      </c>
      <c r="G14" s="60">
        <f t="shared" si="6"/>
        <v>0</v>
      </c>
      <c r="I14" s="19">
        <v>44781.115277777775</v>
      </c>
      <c r="J14" s="1">
        <v>1.5936219159373299E-6</v>
      </c>
      <c r="K14" s="21">
        <v>1.3305822285</v>
      </c>
      <c r="L14" s="2">
        <v>0</v>
      </c>
      <c r="M14" s="23">
        <f t="shared" si="7"/>
        <v>0</v>
      </c>
      <c r="N14" s="20">
        <f t="shared" si="8"/>
        <v>0</v>
      </c>
      <c r="O14" s="65">
        <f t="shared" si="9"/>
        <v>0</v>
      </c>
      <c r="Q14" s="27">
        <v>45136.114583333336</v>
      </c>
      <c r="R14" s="51">
        <v>1.1752928033408601E-3</v>
      </c>
      <c r="S14" s="47">
        <v>0.99067576999999996</v>
      </c>
      <c r="T14" s="2">
        <v>2475</v>
      </c>
      <c r="U14" s="29">
        <f t="shared" si="10"/>
        <v>41.25</v>
      </c>
      <c r="V14" s="29">
        <f t="shared" si="0"/>
        <v>4.8480828137810475E-2</v>
      </c>
      <c r="W14" s="70">
        <f t="shared" si="11"/>
        <v>2.3167964743757214</v>
      </c>
      <c r="Y14" s="32">
        <v>45151.114583333336</v>
      </c>
      <c r="Z14">
        <v>9.08790764571836E-4</v>
      </c>
      <c r="AA14" s="34">
        <v>0.66228851600000005</v>
      </c>
      <c r="AB14" s="2">
        <v>783</v>
      </c>
      <c r="AC14" s="33">
        <f t="shared" si="12"/>
        <v>13.05</v>
      </c>
      <c r="AD14" s="105">
        <f t="shared" si="1"/>
        <v>1.1859719477662461E-2</v>
      </c>
      <c r="AE14" s="77">
        <f t="shared" si="13"/>
        <v>0.90960910000525008</v>
      </c>
      <c r="AG14" s="38">
        <v>45166.114583333336</v>
      </c>
      <c r="AH14" s="111">
        <v>1.2825272974533401E-3</v>
      </c>
      <c r="AI14" s="50">
        <v>0.35506608000000001</v>
      </c>
      <c r="AJ14" s="2">
        <v>1730</v>
      </c>
      <c r="AK14" s="40">
        <f t="shared" si="14"/>
        <v>28.833333333333332</v>
      </c>
      <c r="AL14" s="49">
        <f t="shared" si="2"/>
        <v>3.6979537076571305E-2</v>
      </c>
      <c r="AM14" s="73">
        <f t="shared" si="15"/>
        <v>1.9355116962362275</v>
      </c>
      <c r="AO14" s="43">
        <v>45183.114583333336</v>
      </c>
      <c r="AP14" s="111">
        <v>9.4365742530216499E-4</v>
      </c>
      <c r="AQ14" s="46">
        <v>0.50323377899999999</v>
      </c>
      <c r="AR14" s="2">
        <v>1050</v>
      </c>
      <c r="AS14" s="45">
        <f t="shared" si="16"/>
        <v>17.5</v>
      </c>
      <c r="AT14" s="45">
        <f t="shared" si="3"/>
        <v>1.6514004942787888E-2</v>
      </c>
      <c r="AU14" s="80">
        <f t="shared" si="17"/>
        <v>1.1332438850137467</v>
      </c>
      <c r="AW14" s="7">
        <v>45037.28125</v>
      </c>
      <c r="AX14" s="51">
        <v>2.7526186132886001E-3</v>
      </c>
      <c r="AY14" s="16">
        <v>76.544179459999995</v>
      </c>
      <c r="AZ14" s="2">
        <v>38941</v>
      </c>
      <c r="BA14" s="16">
        <f t="shared" si="18"/>
        <v>649.01666666666665</v>
      </c>
      <c r="BB14" s="9">
        <f t="shared" si="19"/>
        <v>1.7864953570011897</v>
      </c>
      <c r="BC14" s="119">
        <f t="shared" si="20"/>
        <v>25.409647487927131</v>
      </c>
      <c r="BE14" s="6"/>
      <c r="BG14" s="4"/>
      <c r="BH14" s="2"/>
      <c r="BI14" s="5"/>
      <c r="BJ14" s="102"/>
      <c r="BK14" s="102"/>
      <c r="BM14" s="104"/>
      <c r="BO14" s="102"/>
      <c r="BP14" s="2"/>
      <c r="BQ14" s="102"/>
      <c r="BR14" s="4"/>
      <c r="BS14" s="5"/>
      <c r="BU14" s="6"/>
      <c r="BV14" s="103"/>
      <c r="BW14" s="102"/>
      <c r="BY14" s="102"/>
      <c r="BZ14" s="102"/>
      <c r="CA14" s="102"/>
    </row>
    <row r="15" spans="1:79" x14ac:dyDescent="0.3">
      <c r="A15" s="7">
        <v>44776.125694444447</v>
      </c>
      <c r="B15" s="89">
        <v>1.52001438766829E-7</v>
      </c>
      <c r="C15" s="8">
        <v>0.75131557849999997</v>
      </c>
      <c r="D15" s="2">
        <v>0</v>
      </c>
      <c r="E15" s="9">
        <f t="shared" si="4"/>
        <v>0</v>
      </c>
      <c r="F15" s="8">
        <f t="shared" si="5"/>
        <v>0</v>
      </c>
      <c r="G15" s="60">
        <f t="shared" si="6"/>
        <v>0</v>
      </c>
      <c r="I15" s="19">
        <v>44781.125694444447</v>
      </c>
      <c r="J15" s="1">
        <v>1.39496640440665E-6</v>
      </c>
      <c r="K15" s="21">
        <v>1.3305822285</v>
      </c>
      <c r="L15" s="2">
        <v>0</v>
      </c>
      <c r="M15" s="23">
        <f t="shared" si="7"/>
        <v>0</v>
      </c>
      <c r="N15" s="20">
        <f t="shared" si="8"/>
        <v>0</v>
      </c>
      <c r="O15" s="65">
        <f t="shared" si="9"/>
        <v>0</v>
      </c>
      <c r="Q15" s="27">
        <v>45136.125</v>
      </c>
      <c r="R15" s="51">
        <v>9.1326784073938398E-4</v>
      </c>
      <c r="S15" s="47">
        <v>0.99067576999999996</v>
      </c>
      <c r="T15" s="2">
        <v>1991</v>
      </c>
      <c r="U15" s="29">
        <f t="shared" si="10"/>
        <v>33.18333333333333</v>
      </c>
      <c r="V15" s="29">
        <f t="shared" si="0"/>
        <v>3.0305271181868557E-2</v>
      </c>
      <c r="W15" s="70">
        <f t="shared" si="11"/>
        <v>1.6958891115332448</v>
      </c>
      <c r="Y15" s="32">
        <v>45151.125</v>
      </c>
      <c r="Z15">
        <v>1.3199790709757799E-3</v>
      </c>
      <c r="AA15" s="34">
        <v>0.89859415399999998</v>
      </c>
      <c r="AB15" s="2">
        <v>1763</v>
      </c>
      <c r="AC15" s="33">
        <f t="shared" si="12"/>
        <v>29.383333333333333</v>
      </c>
      <c r="AD15" s="105">
        <f t="shared" si="1"/>
        <v>3.8785385035505E-2</v>
      </c>
      <c r="AE15" s="77">
        <f t="shared" si="13"/>
        <v>1.9977677915175598</v>
      </c>
      <c r="AG15" s="38">
        <v>45166.125</v>
      </c>
      <c r="AH15" s="111">
        <v>9.0123126888981195E-4</v>
      </c>
      <c r="AI15" s="50">
        <v>0.314737561</v>
      </c>
      <c r="AJ15" s="2">
        <v>1341</v>
      </c>
      <c r="AK15" s="40">
        <f t="shared" si="14"/>
        <v>22.35</v>
      </c>
      <c r="AL15" s="49">
        <f t="shared" si="2"/>
        <v>2.0142518859687299E-2</v>
      </c>
      <c r="AM15" s="73">
        <f t="shared" si="15"/>
        <v>1.2930071698803598</v>
      </c>
      <c r="AO15" s="43">
        <v>45183.125</v>
      </c>
      <c r="AP15" s="111">
        <v>1.2825936212733501E-3</v>
      </c>
      <c r="AQ15" s="46">
        <v>0.50323377899999999</v>
      </c>
      <c r="AR15" s="2">
        <v>1064</v>
      </c>
      <c r="AS15" s="45">
        <f t="shared" si="16"/>
        <v>17.733333333333334</v>
      </c>
      <c r="AT15" s="45">
        <f t="shared" si="3"/>
        <v>2.2744660217247411E-2</v>
      </c>
      <c r="AU15" s="80">
        <f t="shared" si="17"/>
        <v>1.4016427689882338</v>
      </c>
      <c r="AW15" s="7">
        <v>45037.291666666664</v>
      </c>
      <c r="AX15" s="51">
        <v>2.6986703307844201E-3</v>
      </c>
      <c r="AY15" s="16">
        <v>76.094169239999999</v>
      </c>
      <c r="AZ15" s="2">
        <v>38748</v>
      </c>
      <c r="BA15" s="16">
        <f t="shared" si="18"/>
        <v>645.79999999999995</v>
      </c>
      <c r="BB15" s="9">
        <f t="shared" si="19"/>
        <v>1.7428012996205784</v>
      </c>
      <c r="BC15" s="119">
        <f t="shared" si="20"/>
        <v>24.995278090709096</v>
      </c>
      <c r="BE15" s="6"/>
      <c r="BG15" s="4"/>
      <c r="BH15" s="2"/>
      <c r="BI15" s="5"/>
      <c r="BJ15" s="102"/>
      <c r="BK15" s="102"/>
      <c r="BM15" s="104"/>
      <c r="BO15" s="102"/>
      <c r="BP15" s="2"/>
      <c r="BQ15" s="102"/>
      <c r="BR15" s="4"/>
      <c r="BS15" s="5"/>
      <c r="BU15" s="6"/>
      <c r="BV15" s="103"/>
      <c r="BW15" s="102"/>
      <c r="BY15" s="102"/>
      <c r="BZ15" s="102"/>
      <c r="CA15" s="102"/>
    </row>
    <row r="16" spans="1:79" x14ac:dyDescent="0.3">
      <c r="A16" s="7">
        <v>44776.136111111111</v>
      </c>
      <c r="B16" s="89">
        <v>1.3769639682143201E-7</v>
      </c>
      <c r="C16" s="8">
        <v>0.75904434850000002</v>
      </c>
      <c r="D16" s="2">
        <v>0</v>
      </c>
      <c r="E16" s="9">
        <f t="shared" si="4"/>
        <v>0</v>
      </c>
      <c r="F16" s="8">
        <f t="shared" si="5"/>
        <v>0</v>
      </c>
      <c r="G16" s="60">
        <f t="shared" si="6"/>
        <v>0</v>
      </c>
      <c r="I16" s="19">
        <v>44781.136111111111</v>
      </c>
      <c r="J16" s="1">
        <v>1.6592556871550001E-6</v>
      </c>
      <c r="K16" s="21">
        <v>1.3962008465</v>
      </c>
      <c r="L16" s="2">
        <v>0</v>
      </c>
      <c r="M16" s="23">
        <f t="shared" si="7"/>
        <v>0</v>
      </c>
      <c r="N16" s="20">
        <f t="shared" si="8"/>
        <v>0</v>
      </c>
      <c r="O16" s="65">
        <f t="shared" si="9"/>
        <v>0</v>
      </c>
      <c r="Q16" s="27">
        <v>45136.135416666664</v>
      </c>
      <c r="R16" s="51">
        <v>1.22602351441931E-3</v>
      </c>
      <c r="S16" s="47">
        <v>1.1441742989999999</v>
      </c>
      <c r="T16" s="2">
        <v>4481</v>
      </c>
      <c r="U16" s="29">
        <f t="shared" si="10"/>
        <v>74.683333333333337</v>
      </c>
      <c r="V16" s="29">
        <f t="shared" si="0"/>
        <v>9.1563522801882138E-2</v>
      </c>
      <c r="W16" s="70">
        <f t="shared" si="11"/>
        <v>3.5338907519676703</v>
      </c>
      <c r="Y16" s="32">
        <v>45151.135416666664</v>
      </c>
      <c r="Z16">
        <v>8.0187010688360396E-4</v>
      </c>
      <c r="AA16" s="34">
        <v>0.66228851600000005</v>
      </c>
      <c r="AB16" s="2">
        <v>734</v>
      </c>
      <c r="AC16" s="33">
        <f t="shared" si="12"/>
        <v>12.233333333333333</v>
      </c>
      <c r="AD16" s="105">
        <f t="shared" si="1"/>
        <v>9.8095443075427551E-3</v>
      </c>
      <c r="AE16" s="77">
        <f t="shared" si="13"/>
        <v>0.80190737769200304</v>
      </c>
      <c r="AG16" s="38">
        <v>45166.135416666664</v>
      </c>
      <c r="AH16" s="111">
        <v>1.13162842324122E-3</v>
      </c>
      <c r="AI16" s="50">
        <v>0.314737561</v>
      </c>
      <c r="AJ16" s="2">
        <v>1339</v>
      </c>
      <c r="AK16" s="40">
        <f t="shared" si="14"/>
        <v>22.316666666666666</v>
      </c>
      <c r="AL16" s="49">
        <f t="shared" si="2"/>
        <v>2.5254174311999892E-2</v>
      </c>
      <c r="AM16" s="73">
        <f t="shared" si="15"/>
        <v>1.5025142903982676</v>
      </c>
      <c r="AO16" s="43">
        <v>45183.135416666664</v>
      </c>
      <c r="AP16" s="111">
        <v>8.6927914884335695E-4</v>
      </c>
      <c r="AQ16" s="46">
        <v>0.44894941300000002</v>
      </c>
      <c r="AR16" s="2">
        <v>736</v>
      </c>
      <c r="AS16" s="45">
        <f t="shared" si="16"/>
        <v>12.266666666666667</v>
      </c>
      <c r="AT16" s="45">
        <f t="shared" si="3"/>
        <v>1.0663157559145179E-2</v>
      </c>
      <c r="AU16" s="80">
        <f t="shared" si="17"/>
        <v>0.84758950899624141</v>
      </c>
      <c r="AW16" s="7">
        <v>45037.302083333336</v>
      </c>
      <c r="AX16" s="51">
        <v>3.1078795971379298E-3</v>
      </c>
      <c r="AY16" s="16">
        <v>72.077340390000003</v>
      </c>
      <c r="AZ16" s="2">
        <v>38828</v>
      </c>
      <c r="BA16" s="16">
        <f t="shared" si="18"/>
        <v>647.13333333333333</v>
      </c>
      <c r="BB16" s="9">
        <f t="shared" si="19"/>
        <v>2.0112124832945257</v>
      </c>
      <c r="BC16" s="119">
        <f t="shared" si="20"/>
        <v>27.489413029799078</v>
      </c>
      <c r="BE16" s="6"/>
      <c r="BG16" s="4"/>
      <c r="BH16" s="2"/>
      <c r="BI16" s="5"/>
      <c r="BJ16" s="102"/>
      <c r="BK16" s="102"/>
      <c r="BM16" s="104"/>
      <c r="BO16" s="102"/>
      <c r="BP16" s="2"/>
      <c r="BQ16" s="102"/>
      <c r="BR16" s="4"/>
      <c r="BS16" s="5"/>
      <c r="BU16" s="6"/>
      <c r="BV16" s="103"/>
      <c r="BW16" s="102"/>
      <c r="BY16" s="102"/>
      <c r="BZ16" s="102"/>
      <c r="CA16" s="102"/>
    </row>
    <row r="17" spans="1:79" x14ac:dyDescent="0.3">
      <c r="A17" s="7">
        <v>44776.146527777775</v>
      </c>
      <c r="B17" s="89">
        <v>1.00749518391823E-7</v>
      </c>
      <c r="C17" s="8">
        <v>0.67891565050000002</v>
      </c>
      <c r="D17" s="2">
        <v>0</v>
      </c>
      <c r="E17" s="9">
        <f t="shared" si="4"/>
        <v>0</v>
      </c>
      <c r="F17" s="8">
        <f t="shared" si="5"/>
        <v>0</v>
      </c>
      <c r="G17" s="60">
        <f t="shared" si="6"/>
        <v>0</v>
      </c>
      <c r="I17" s="19">
        <v>44781.146527777775</v>
      </c>
      <c r="J17" s="1">
        <v>2.0599074357341801E-6</v>
      </c>
      <c r="K17" s="21">
        <v>1.4174729134999999</v>
      </c>
      <c r="L17" s="2">
        <v>0</v>
      </c>
      <c r="M17" s="23">
        <f t="shared" si="7"/>
        <v>0</v>
      </c>
      <c r="N17" s="20">
        <f t="shared" si="8"/>
        <v>0</v>
      </c>
      <c r="O17" s="65">
        <f t="shared" si="9"/>
        <v>0</v>
      </c>
      <c r="Q17" s="27">
        <v>45136.145833333336</v>
      </c>
      <c r="R17" s="51">
        <v>1.16721321237124E-3</v>
      </c>
      <c r="S17" s="47">
        <v>0.99067576999999996</v>
      </c>
      <c r="T17" s="2">
        <v>2407</v>
      </c>
      <c r="U17" s="29">
        <f t="shared" si="10"/>
        <v>40.116666666666667</v>
      </c>
      <c r="V17" s="29">
        <f t="shared" si="0"/>
        <v>4.6824703369626249E-2</v>
      </c>
      <c r="W17" s="70">
        <f t="shared" si="11"/>
        <v>2.263939448571008</v>
      </c>
      <c r="Y17" s="32">
        <v>45151.145833333336</v>
      </c>
      <c r="Z17">
        <v>6.6957087022160905E-4</v>
      </c>
      <c r="AA17" s="34">
        <v>0.66228851600000005</v>
      </c>
      <c r="AB17" s="2">
        <v>835</v>
      </c>
      <c r="AC17" s="33">
        <f t="shared" si="12"/>
        <v>13.916666666666666</v>
      </c>
      <c r="AD17" s="105">
        <f t="shared" si="1"/>
        <v>9.3181946105840591E-3</v>
      </c>
      <c r="AE17" s="77">
        <f t="shared" si="13"/>
        <v>0.77500710402623907</v>
      </c>
      <c r="AG17" s="38">
        <v>45166.145833333336</v>
      </c>
      <c r="AH17" s="111">
        <v>1.4522232906578299E-3</v>
      </c>
      <c r="AI17" s="50">
        <v>0.42386643899999998</v>
      </c>
      <c r="AJ17" s="2">
        <v>2735</v>
      </c>
      <c r="AK17" s="40">
        <f t="shared" si="14"/>
        <v>45.583333333333336</v>
      </c>
      <c r="AL17" s="49">
        <f t="shared" si="2"/>
        <v>6.619717833248609E-2</v>
      </c>
      <c r="AM17" s="73">
        <f t="shared" si="15"/>
        <v>2.8490941253431332</v>
      </c>
      <c r="AO17" s="43">
        <v>45183.145833333336</v>
      </c>
      <c r="AP17" s="111">
        <v>1.0686821777976399E-3</v>
      </c>
      <c r="AQ17" s="46">
        <v>0.59425534599999996</v>
      </c>
      <c r="AR17" s="2">
        <v>1544</v>
      </c>
      <c r="AS17" s="45">
        <f t="shared" si="16"/>
        <v>25.733333333333334</v>
      </c>
      <c r="AT17" s="45">
        <f t="shared" si="3"/>
        <v>2.7500754708659269E-2</v>
      </c>
      <c r="AU17" s="80">
        <f t="shared" si="17"/>
        <v>1.5899893176740618</v>
      </c>
      <c r="AW17" s="7">
        <v>45037.3125</v>
      </c>
      <c r="AX17" s="51">
        <v>2.6622910081035098E-3</v>
      </c>
      <c r="AY17" s="16">
        <v>73.868067069999995</v>
      </c>
      <c r="AZ17" s="2">
        <v>38161</v>
      </c>
      <c r="BA17" s="16">
        <f t="shared" si="18"/>
        <v>636.01666666666665</v>
      </c>
      <c r="BB17" s="9">
        <f t="shared" si="19"/>
        <v>1.693261452670634</v>
      </c>
      <c r="BC17" s="119">
        <f t="shared" si="20"/>
        <v>24.521223417965572</v>
      </c>
      <c r="BE17" s="6"/>
      <c r="BG17" s="4"/>
      <c r="BH17" s="2"/>
      <c r="BI17" s="5"/>
      <c r="BJ17" s="102"/>
      <c r="BK17" s="102"/>
      <c r="BM17" s="104"/>
      <c r="BO17" s="102"/>
      <c r="BP17" s="2"/>
      <c r="BQ17" s="102"/>
      <c r="BR17" s="4"/>
      <c r="BS17" s="5"/>
      <c r="BU17" s="6"/>
      <c r="BV17" s="103"/>
      <c r="BW17" s="102"/>
      <c r="BY17" s="102"/>
      <c r="BZ17" s="102"/>
      <c r="CA17" s="102"/>
    </row>
    <row r="18" spans="1:79" x14ac:dyDescent="0.3">
      <c r="A18" s="7">
        <v>44776.156944444447</v>
      </c>
      <c r="B18" s="89">
        <v>1.05944141049072E-7</v>
      </c>
      <c r="C18" s="8">
        <v>0.70024108200000001</v>
      </c>
      <c r="D18" s="2">
        <v>0</v>
      </c>
      <c r="E18" s="9">
        <f t="shared" si="4"/>
        <v>0</v>
      </c>
      <c r="F18" s="8">
        <f t="shared" si="5"/>
        <v>0</v>
      </c>
      <c r="G18" s="60">
        <f t="shared" si="6"/>
        <v>0</v>
      </c>
      <c r="I18" s="19">
        <v>44781.156944444447</v>
      </c>
      <c r="J18" s="1">
        <v>1.27205172620107E-6</v>
      </c>
      <c r="K18" s="21">
        <v>1.3100260825000001</v>
      </c>
      <c r="L18" s="2">
        <v>0</v>
      </c>
      <c r="M18" s="23">
        <f t="shared" si="7"/>
        <v>0</v>
      </c>
      <c r="N18" s="20">
        <f t="shared" si="8"/>
        <v>0</v>
      </c>
      <c r="O18" s="65">
        <f t="shared" si="9"/>
        <v>0</v>
      </c>
      <c r="Q18" s="27">
        <v>45136.15625</v>
      </c>
      <c r="R18" s="51">
        <v>5.4922077219124996E-4</v>
      </c>
      <c r="S18" s="47">
        <v>0.66228851600000005</v>
      </c>
      <c r="T18" s="2">
        <v>288</v>
      </c>
      <c r="U18" s="29">
        <f t="shared" si="10"/>
        <v>4.8</v>
      </c>
      <c r="V18" s="29">
        <f t="shared" si="0"/>
        <v>2.6362597065179997E-3</v>
      </c>
      <c r="W18" s="70">
        <f t="shared" si="11"/>
        <v>0.33512400938082815</v>
      </c>
      <c r="Y18" s="32">
        <v>45151.15625</v>
      </c>
      <c r="Z18">
        <v>1.0018976972907699E-3</v>
      </c>
      <c r="AA18" s="34">
        <v>0.66228851600000005</v>
      </c>
      <c r="AB18" s="2">
        <v>900</v>
      </c>
      <c r="AC18" s="33">
        <f t="shared" si="12"/>
        <v>15</v>
      </c>
      <c r="AD18" s="105">
        <f t="shared" si="1"/>
        <v>1.5028465459361548E-2</v>
      </c>
      <c r="AE18" s="77">
        <f t="shared" si="13"/>
        <v>1.0644878362459957</v>
      </c>
      <c r="AG18" s="38">
        <v>45166.15625</v>
      </c>
      <c r="AH18" s="111">
        <v>1.41078815996374E-3</v>
      </c>
      <c r="AI18" s="50">
        <v>0.377160934</v>
      </c>
      <c r="AJ18" s="2">
        <v>2155</v>
      </c>
      <c r="AK18" s="40">
        <f t="shared" si="14"/>
        <v>35.916666666666664</v>
      </c>
      <c r="AL18" s="49">
        <f t="shared" si="2"/>
        <v>5.0670808078697657E-2</v>
      </c>
      <c r="AM18" s="73">
        <f t="shared" si="15"/>
        <v>2.3857700548348042</v>
      </c>
      <c r="AO18" s="43">
        <v>45183.15625</v>
      </c>
      <c r="AP18" s="111">
        <v>9.6879595904764495E-4</v>
      </c>
      <c r="AQ18" s="46">
        <v>0.44894941300000002</v>
      </c>
      <c r="AR18" s="2">
        <v>781</v>
      </c>
      <c r="AS18" s="45">
        <f t="shared" si="16"/>
        <v>13.016666666666667</v>
      </c>
      <c r="AT18" s="45">
        <f t="shared" si="3"/>
        <v>1.2610494066936847E-2</v>
      </c>
      <c r="AU18" s="80">
        <f t="shared" si="17"/>
        <v>0.94744825381974007</v>
      </c>
      <c r="AW18" s="7">
        <v>45037.322916666664</v>
      </c>
      <c r="AX18" s="51">
        <v>3.0401934003104801E-3</v>
      </c>
      <c r="AY18" s="16">
        <v>73.868067069999995</v>
      </c>
      <c r="AZ18" s="2">
        <v>38110</v>
      </c>
      <c r="BA18" s="16">
        <f t="shared" si="18"/>
        <v>635.16666666666663</v>
      </c>
      <c r="BB18" s="9">
        <f t="shared" si="19"/>
        <v>1.9310295080972064</v>
      </c>
      <c r="BC18" s="119">
        <f t="shared" si="20"/>
        <v>26.756741340888784</v>
      </c>
      <c r="BE18" s="6"/>
      <c r="BG18" s="4"/>
      <c r="BH18" s="2"/>
      <c r="BI18" s="5"/>
      <c r="BJ18" s="102"/>
      <c r="BK18" s="102"/>
      <c r="BM18" s="104"/>
      <c r="BO18" s="102"/>
      <c r="BP18" s="2"/>
      <c r="BQ18" s="102"/>
      <c r="BR18" s="4"/>
      <c r="BS18" s="5"/>
      <c r="BU18" s="6"/>
      <c r="BV18" s="103"/>
      <c r="BW18" s="102"/>
      <c r="BY18" s="102"/>
      <c r="BZ18" s="102"/>
      <c r="CA18" s="102"/>
    </row>
    <row r="19" spans="1:79" x14ac:dyDescent="0.3">
      <c r="A19" s="7">
        <v>44776.167361111111</v>
      </c>
      <c r="B19" s="89">
        <v>1.24184369088094E-7</v>
      </c>
      <c r="C19" s="8">
        <v>0.740701163</v>
      </c>
      <c r="D19" s="2">
        <v>0</v>
      </c>
      <c r="E19" s="9">
        <f t="shared" si="4"/>
        <v>0</v>
      </c>
      <c r="F19" s="8">
        <f t="shared" si="5"/>
        <v>0</v>
      </c>
      <c r="G19" s="60">
        <f t="shared" si="6"/>
        <v>0</v>
      </c>
      <c r="I19" s="19">
        <v>44781.167361111111</v>
      </c>
      <c r="J19" s="1">
        <v>1.05944687842148E-6</v>
      </c>
      <c r="K19" s="21">
        <v>1.2590209525</v>
      </c>
      <c r="L19" s="2">
        <v>0</v>
      </c>
      <c r="M19" s="23">
        <f t="shared" si="7"/>
        <v>0</v>
      </c>
      <c r="N19" s="20">
        <f t="shared" si="8"/>
        <v>0</v>
      </c>
      <c r="O19" s="65">
        <f t="shared" si="9"/>
        <v>0</v>
      </c>
      <c r="Q19" s="27">
        <v>45136.166666666664</v>
      </c>
      <c r="R19" s="51">
        <v>1.2552341014090401E-3</v>
      </c>
      <c r="S19" s="47">
        <v>0.99067576999999996</v>
      </c>
      <c r="T19" s="2">
        <v>2468</v>
      </c>
      <c r="U19" s="29">
        <f t="shared" si="10"/>
        <v>41.133333333333333</v>
      </c>
      <c r="V19" s="29">
        <f t="shared" si="0"/>
        <v>5.1631962704625181E-2</v>
      </c>
      <c r="W19" s="70">
        <f t="shared" si="11"/>
        <v>2.4157242396665284</v>
      </c>
      <c r="Y19" s="32">
        <v>45151.166666666664</v>
      </c>
      <c r="Z19">
        <v>8.3137280314416102E-4</v>
      </c>
      <c r="AA19" s="34">
        <v>0.66228851600000005</v>
      </c>
      <c r="AB19" s="2">
        <v>719</v>
      </c>
      <c r="AC19" s="33">
        <f t="shared" si="12"/>
        <v>11.983333333333333</v>
      </c>
      <c r="AD19" s="105">
        <f t="shared" si="1"/>
        <v>9.9626174243441952E-3</v>
      </c>
      <c r="AE19" s="77">
        <f t="shared" si="13"/>
        <v>0.81019462346200921</v>
      </c>
      <c r="AG19" s="38">
        <v>45166.166666666664</v>
      </c>
      <c r="AH19" s="111">
        <v>9.62603097682855E-4</v>
      </c>
      <c r="AI19" s="50">
        <v>0.26113539299999999</v>
      </c>
      <c r="AJ19" s="2">
        <v>838</v>
      </c>
      <c r="AK19" s="40">
        <f t="shared" si="14"/>
        <v>13.966666666666667</v>
      </c>
      <c r="AL19" s="49">
        <f t="shared" si="2"/>
        <v>1.3444356597637208E-2</v>
      </c>
      <c r="AM19" s="73">
        <f t="shared" si="15"/>
        <v>0.98859852751468325</v>
      </c>
      <c r="AO19" s="43">
        <v>45183.166666666664</v>
      </c>
      <c r="AP19" s="111">
        <v>9.2980116635796404E-4</v>
      </c>
      <c r="AQ19" s="46">
        <v>0.53201108200000002</v>
      </c>
      <c r="AR19" s="2">
        <v>1193</v>
      </c>
      <c r="AS19" s="45">
        <f t="shared" si="16"/>
        <v>19.883333333333333</v>
      </c>
      <c r="AT19" s="45">
        <f t="shared" si="3"/>
        <v>1.8487546524417517E-2</v>
      </c>
      <c r="AU19" s="80">
        <f t="shared" si="17"/>
        <v>1.2214543084564609</v>
      </c>
      <c r="AW19" s="7">
        <v>45037.333333333336</v>
      </c>
      <c r="AX19" s="51">
        <v>2.7643574842462801E-3</v>
      </c>
      <c r="AY19" s="16">
        <v>77.435049230000004</v>
      </c>
      <c r="AZ19" s="2">
        <v>37808</v>
      </c>
      <c r="BA19" s="16">
        <f t="shared" si="18"/>
        <v>630.13333333333333</v>
      </c>
      <c r="BB19" s="9">
        <f t="shared" si="19"/>
        <v>1.741913796073056</v>
      </c>
      <c r="BC19" s="119">
        <f t="shared" si="20"/>
        <v>24.986825585703862</v>
      </c>
      <c r="BE19" s="6"/>
      <c r="BG19" s="4"/>
      <c r="BH19" s="2"/>
      <c r="BI19" s="5"/>
      <c r="BJ19" s="102"/>
      <c r="BK19" s="102"/>
      <c r="BM19" s="104"/>
      <c r="BO19" s="102"/>
      <c r="BP19" s="2"/>
      <c r="BQ19" s="102"/>
      <c r="BR19" s="4"/>
      <c r="BS19" s="5"/>
      <c r="BU19" s="6"/>
      <c r="BV19" s="103"/>
      <c r="BW19" s="102"/>
      <c r="BY19" s="102"/>
      <c r="BZ19" s="102"/>
      <c r="CA19" s="102"/>
    </row>
    <row r="20" spans="1:79" x14ac:dyDescent="0.3">
      <c r="A20" s="7">
        <v>44776.177777777775</v>
      </c>
      <c r="B20" s="89">
        <v>1.37878724988046E-7</v>
      </c>
      <c r="C20" s="8">
        <v>0.74046465699999997</v>
      </c>
      <c r="D20" s="2">
        <v>0</v>
      </c>
      <c r="E20" s="9">
        <f t="shared" si="4"/>
        <v>0</v>
      </c>
      <c r="F20" s="8">
        <f t="shared" si="5"/>
        <v>0</v>
      </c>
      <c r="G20" s="60">
        <f t="shared" si="6"/>
        <v>0</v>
      </c>
      <c r="I20" s="19">
        <v>44781.177777777775</v>
      </c>
      <c r="J20" s="1">
        <v>1.2606942762836699E-6</v>
      </c>
      <c r="K20" s="21">
        <v>1.3008491654999901</v>
      </c>
      <c r="L20" s="2">
        <v>0</v>
      </c>
      <c r="M20" s="23">
        <f t="shared" si="7"/>
        <v>0</v>
      </c>
      <c r="N20" s="20">
        <f t="shared" si="8"/>
        <v>0</v>
      </c>
      <c r="O20" s="65">
        <f t="shared" si="9"/>
        <v>0</v>
      </c>
      <c r="Q20" s="27">
        <v>45136.177083333336</v>
      </c>
      <c r="R20" s="51">
        <v>2.2353021409333199E-3</v>
      </c>
      <c r="S20" s="47">
        <v>1.4444654269999999</v>
      </c>
      <c r="T20" s="2">
        <v>9874</v>
      </c>
      <c r="U20" s="29">
        <f t="shared" si="10"/>
        <v>164.56666666666666</v>
      </c>
      <c r="V20" s="29">
        <f t="shared" si="0"/>
        <v>0.36785622232626003</v>
      </c>
      <c r="W20" s="70">
        <f t="shared" si="11"/>
        <v>8.8977386790521962</v>
      </c>
      <c r="Y20" s="32">
        <v>45151.177083333336</v>
      </c>
      <c r="Z20">
        <v>6.4573468513252604E-4</v>
      </c>
      <c r="AA20" s="34">
        <v>0.59425534599999996</v>
      </c>
      <c r="AB20" s="2">
        <v>464</v>
      </c>
      <c r="AC20" s="33">
        <f t="shared" si="12"/>
        <v>7.7333333333333334</v>
      </c>
      <c r="AD20" s="105">
        <f t="shared" si="1"/>
        <v>4.9936815650248679E-3</v>
      </c>
      <c r="AE20" s="77">
        <f t="shared" si="13"/>
        <v>0.51217788799312791</v>
      </c>
      <c r="AG20" s="38">
        <v>45166.177083333336</v>
      </c>
      <c r="AH20" s="111">
        <v>1.4428686203143001E-3</v>
      </c>
      <c r="AI20" s="50">
        <v>0.42386643899999998</v>
      </c>
      <c r="AJ20" s="2">
        <v>2721</v>
      </c>
      <c r="AK20" s="40">
        <f t="shared" si="14"/>
        <v>45.35</v>
      </c>
      <c r="AL20" s="49">
        <f t="shared" si="2"/>
        <v>6.5434091931253505E-2</v>
      </c>
      <c r="AM20" s="73">
        <f t="shared" si="15"/>
        <v>2.8272440117229602</v>
      </c>
      <c r="AO20" s="43">
        <v>45183.177083333336</v>
      </c>
      <c r="AP20" s="111">
        <v>9.0132462837506997E-4</v>
      </c>
      <c r="AQ20" s="46">
        <v>0.53201108200000002</v>
      </c>
      <c r="AR20" s="2">
        <v>1144</v>
      </c>
      <c r="AS20" s="45">
        <f t="shared" si="16"/>
        <v>19.066666666666666</v>
      </c>
      <c r="AT20" s="45">
        <f t="shared" si="3"/>
        <v>1.7185256247684667E-2</v>
      </c>
      <c r="AU20" s="80">
        <f t="shared" si="17"/>
        <v>1.1636248196713819</v>
      </c>
      <c r="AW20" s="7">
        <v>45037.34375</v>
      </c>
      <c r="AX20" s="51">
        <v>2.8005243818098298E-3</v>
      </c>
      <c r="AY20" s="16">
        <v>73.868067069999995</v>
      </c>
      <c r="AZ20" s="2">
        <v>38291</v>
      </c>
      <c r="BA20" s="16">
        <f t="shared" si="18"/>
        <v>638.18333333333328</v>
      </c>
      <c r="BB20" s="9">
        <f t="shared" si="19"/>
        <v>1.7872479850646696</v>
      </c>
      <c r="BC20" s="119">
        <f t="shared" si="20"/>
        <v>25.416754949208045</v>
      </c>
      <c r="BE20" s="6"/>
      <c r="BG20" s="4"/>
      <c r="BH20" s="2"/>
      <c r="BI20" s="5"/>
      <c r="BJ20" s="102"/>
      <c r="BK20" s="102"/>
      <c r="BM20" s="104"/>
      <c r="BO20" s="102"/>
      <c r="BP20" s="2"/>
      <c r="BQ20" s="102"/>
      <c r="BR20" s="4"/>
      <c r="BS20" s="5"/>
      <c r="BU20" s="6"/>
      <c r="BV20" s="103"/>
      <c r="BW20" s="102"/>
      <c r="BY20" s="102"/>
      <c r="BZ20" s="102"/>
      <c r="CA20" s="102"/>
    </row>
    <row r="21" spans="1:79" x14ac:dyDescent="0.3">
      <c r="A21" s="7">
        <v>44776.188194444447</v>
      </c>
      <c r="B21" s="89">
        <v>1.19886430033326E-7</v>
      </c>
      <c r="C21" s="8">
        <v>0.74873955049999996</v>
      </c>
      <c r="D21" s="2">
        <v>0</v>
      </c>
      <c r="E21" s="9">
        <f t="shared" si="4"/>
        <v>0</v>
      </c>
      <c r="F21" s="8">
        <f t="shared" si="5"/>
        <v>0</v>
      </c>
      <c r="G21" s="60">
        <f t="shared" si="6"/>
        <v>0</v>
      </c>
      <c r="I21" s="19">
        <v>44781.188194444447</v>
      </c>
      <c r="J21" s="1">
        <v>1.5926654321992501E-6</v>
      </c>
      <c r="K21" s="21">
        <v>1.3675681405</v>
      </c>
      <c r="L21" s="2">
        <v>0</v>
      </c>
      <c r="M21" s="23">
        <f t="shared" si="7"/>
        <v>0</v>
      </c>
      <c r="N21" s="20">
        <f t="shared" si="8"/>
        <v>0</v>
      </c>
      <c r="O21" s="65">
        <f t="shared" si="9"/>
        <v>0</v>
      </c>
      <c r="Q21" s="27">
        <v>45136.1875</v>
      </c>
      <c r="R21" s="51">
        <v>1.1379007685989001E-3</v>
      </c>
      <c r="S21" s="47">
        <v>0.99067576999999996</v>
      </c>
      <c r="T21" s="2">
        <v>2421</v>
      </c>
      <c r="U21" s="29">
        <f t="shared" si="10"/>
        <v>40.35</v>
      </c>
      <c r="V21" s="29">
        <f t="shared" si="0"/>
        <v>4.5914296012965622E-2</v>
      </c>
      <c r="W21" s="70">
        <f t="shared" si="11"/>
        <v>2.2346155125482672</v>
      </c>
      <c r="Y21" s="32">
        <v>45151.1875</v>
      </c>
      <c r="Z21">
        <v>7.2311856034858104E-4</v>
      </c>
      <c r="AA21" s="34">
        <v>0.562700329</v>
      </c>
      <c r="AB21" s="2">
        <v>553</v>
      </c>
      <c r="AC21" s="33">
        <f t="shared" si="12"/>
        <v>9.2166666666666668</v>
      </c>
      <c r="AD21" s="105">
        <f t="shared" si="1"/>
        <v>6.6647427312127557E-3</v>
      </c>
      <c r="AE21" s="77">
        <f t="shared" si="13"/>
        <v>0.62038537991674769</v>
      </c>
      <c r="AG21" s="38">
        <v>45166.1875</v>
      </c>
      <c r="AH21" s="111">
        <v>1.15449582194862E-3</v>
      </c>
      <c r="AI21" s="50">
        <v>0.35506608000000001</v>
      </c>
      <c r="AJ21" s="2">
        <v>1682</v>
      </c>
      <c r="AK21" s="40">
        <f t="shared" si="14"/>
        <v>28.033333333333335</v>
      </c>
      <c r="AL21" s="49">
        <f t="shared" si="2"/>
        <v>3.2364366208626316E-2</v>
      </c>
      <c r="AM21" s="73">
        <f t="shared" si="15"/>
        <v>1.771552155336092</v>
      </c>
      <c r="AO21" s="43">
        <v>45183.1875</v>
      </c>
      <c r="AP21" s="111">
        <v>8.8090343279169305E-4</v>
      </c>
      <c r="AQ21" s="46">
        <v>0.59425534599999996</v>
      </c>
      <c r="AR21" s="2">
        <v>1481</v>
      </c>
      <c r="AS21" s="45">
        <f t="shared" si="16"/>
        <v>24.683333333333334</v>
      </c>
      <c r="AT21" s="45">
        <f t="shared" si="3"/>
        <v>2.1743633066074956E-2</v>
      </c>
      <c r="AU21" s="80">
        <f t="shared" si="17"/>
        <v>1.3603726917181893</v>
      </c>
      <c r="AW21" s="7">
        <v>45037.354166666664</v>
      </c>
      <c r="AX21" s="51">
        <v>2.88073670127445E-3</v>
      </c>
      <c r="AY21" s="16">
        <v>73.868067069999995</v>
      </c>
      <c r="AZ21" s="2">
        <v>39134</v>
      </c>
      <c r="BA21" s="16">
        <f t="shared" si="18"/>
        <v>652.23333333333335</v>
      </c>
      <c r="BB21" s="9">
        <f t="shared" si="19"/>
        <v>1.8789125011279055</v>
      </c>
      <c r="BC21" s="119">
        <f t="shared" si="20"/>
        <v>26.275037046543858</v>
      </c>
      <c r="BE21" s="6"/>
      <c r="BG21" s="4"/>
      <c r="BH21" s="2"/>
      <c r="BI21" s="5"/>
      <c r="BJ21" s="102"/>
      <c r="BK21" s="102"/>
      <c r="BM21" s="104"/>
      <c r="BO21" s="102"/>
      <c r="BP21" s="2"/>
      <c r="BQ21" s="102"/>
      <c r="BR21" s="4"/>
      <c r="BS21" s="5"/>
      <c r="BU21" s="6"/>
      <c r="BV21" s="103"/>
      <c r="BW21" s="102"/>
      <c r="BY21" s="102"/>
      <c r="BZ21" s="102"/>
      <c r="CA21" s="102"/>
    </row>
    <row r="22" spans="1:79" x14ac:dyDescent="0.3">
      <c r="A22" s="7">
        <v>44776.198611111111</v>
      </c>
      <c r="B22" s="89">
        <v>1.2609225603872499E-7</v>
      </c>
      <c r="C22" s="8">
        <v>0.73845619600000001</v>
      </c>
      <c r="D22" s="2">
        <v>0</v>
      </c>
      <c r="E22" s="9">
        <f t="shared" si="4"/>
        <v>0</v>
      </c>
      <c r="F22" s="8">
        <f t="shared" si="5"/>
        <v>0</v>
      </c>
      <c r="G22" s="60">
        <f t="shared" si="6"/>
        <v>0</v>
      </c>
      <c r="I22" s="19">
        <v>44781.198611111111</v>
      </c>
      <c r="J22" s="1">
        <v>1.5411817469163499E-6</v>
      </c>
      <c r="K22" s="21">
        <v>1.3727610129999901</v>
      </c>
      <c r="L22" s="2">
        <v>0</v>
      </c>
      <c r="M22" s="23">
        <f t="shared" si="7"/>
        <v>0</v>
      </c>
      <c r="N22" s="20">
        <f t="shared" si="8"/>
        <v>0</v>
      </c>
      <c r="O22" s="65">
        <f t="shared" si="9"/>
        <v>0</v>
      </c>
      <c r="Q22" s="27">
        <v>45136.197916666664</v>
      </c>
      <c r="R22" s="51">
        <v>8.3633058391507096E-4</v>
      </c>
      <c r="S22" s="47">
        <v>0.85462156099999997</v>
      </c>
      <c r="T22" s="2">
        <v>1248</v>
      </c>
      <c r="U22" s="29">
        <f>T22/60</f>
        <v>20.8</v>
      </c>
      <c r="V22" s="29">
        <f t="shared" si="0"/>
        <v>1.7395676145433477E-2</v>
      </c>
      <c r="W22" s="70">
        <f t="shared" si="11"/>
        <v>1.1730659157923962</v>
      </c>
      <c r="Y22" s="32">
        <v>45151.197916666664</v>
      </c>
      <c r="Z22">
        <v>8.1677553328745299E-4</v>
      </c>
      <c r="AA22" s="34">
        <v>0.59425534599999996</v>
      </c>
      <c r="AB22" s="2">
        <v>599</v>
      </c>
      <c r="AC22" s="33">
        <f t="shared" si="12"/>
        <v>9.9833333333333325</v>
      </c>
      <c r="AD22" s="105">
        <f t="shared" si="1"/>
        <v>8.1541424073197383E-3</v>
      </c>
      <c r="AE22" s="77">
        <f t="shared" si="13"/>
        <v>0.70929119671629692</v>
      </c>
      <c r="AG22" s="38">
        <v>45166.197916666664</v>
      </c>
      <c r="AH22" s="111">
        <v>1.4028942630468499E-3</v>
      </c>
      <c r="AI22" s="50">
        <v>0.376777213</v>
      </c>
      <c r="AJ22" s="2">
        <v>2136</v>
      </c>
      <c r="AK22" s="40">
        <f t="shared" si="14"/>
        <v>35.6</v>
      </c>
      <c r="AL22" s="49">
        <f t="shared" si="2"/>
        <v>4.9943035764467861E-2</v>
      </c>
      <c r="AM22" s="73">
        <f t="shared" si="15"/>
        <v>2.3629620250699568</v>
      </c>
      <c r="AO22" s="43">
        <v>45183.197916666664</v>
      </c>
      <c r="AP22" s="111">
        <v>9.1208684365502301E-4</v>
      </c>
      <c r="AQ22" s="46">
        <v>0.50323377899999999</v>
      </c>
      <c r="AR22" s="2">
        <v>996</v>
      </c>
      <c r="AS22" s="45">
        <f t="shared" si="16"/>
        <v>16.600000000000001</v>
      </c>
      <c r="AT22" s="45">
        <f t="shared" si="3"/>
        <v>1.5140641604673382E-2</v>
      </c>
      <c r="AU22" s="80">
        <f t="shared" si="17"/>
        <v>1.0697571191730451</v>
      </c>
      <c r="AW22" s="7">
        <v>45037.364583333336</v>
      </c>
      <c r="AX22" s="51">
        <v>2.7060490490024899E-3</v>
      </c>
      <c r="AY22" s="16">
        <v>72.523974480000007</v>
      </c>
      <c r="AZ22" s="2">
        <v>38628</v>
      </c>
      <c r="BA22" s="16">
        <f t="shared" si="18"/>
        <v>643.79999999999995</v>
      </c>
      <c r="BB22" s="9">
        <f t="shared" si="19"/>
        <v>1.7421543777478028</v>
      </c>
      <c r="BC22" s="119">
        <f t="shared" si="20"/>
        <v>24.989117007148636</v>
      </c>
      <c r="BE22" s="6"/>
      <c r="BG22" s="4"/>
      <c r="BH22" s="2"/>
      <c r="BI22" s="5"/>
      <c r="BJ22" s="102"/>
      <c r="BK22" s="102"/>
      <c r="BM22" s="104"/>
      <c r="BO22" s="102"/>
      <c r="BP22" s="2"/>
      <c r="BQ22" s="102"/>
      <c r="BR22" s="4"/>
      <c r="BS22" s="5"/>
      <c r="BU22" s="6"/>
      <c r="BV22" s="103"/>
      <c r="BW22" s="102"/>
      <c r="BY22" s="102"/>
      <c r="BZ22" s="102"/>
      <c r="CA22" s="102"/>
    </row>
    <row r="23" spans="1:79" x14ac:dyDescent="0.3">
      <c r="A23" s="7">
        <v>44776.209027777775</v>
      </c>
      <c r="B23" s="89">
        <v>1.20592636157517E-7</v>
      </c>
      <c r="C23" s="8">
        <v>0.726575334499999</v>
      </c>
      <c r="D23" s="2">
        <v>0</v>
      </c>
      <c r="E23" s="9">
        <f t="shared" si="4"/>
        <v>0</v>
      </c>
      <c r="F23" s="8">
        <f t="shared" si="5"/>
        <v>0</v>
      </c>
      <c r="G23" s="60">
        <f t="shared" si="6"/>
        <v>0</v>
      </c>
      <c r="I23" s="19">
        <v>44781.209027777775</v>
      </c>
      <c r="J23" s="1">
        <v>1.4084254359793501E-6</v>
      </c>
      <c r="K23" s="21">
        <v>1.3106306169999999</v>
      </c>
      <c r="L23" s="2">
        <v>0</v>
      </c>
      <c r="M23" s="23">
        <f t="shared" si="7"/>
        <v>0</v>
      </c>
      <c r="N23" s="20">
        <f t="shared" si="8"/>
        <v>0</v>
      </c>
      <c r="O23" s="65">
        <f t="shared" si="9"/>
        <v>0</v>
      </c>
      <c r="Q23" s="27">
        <v>45136.208333333336</v>
      </c>
      <c r="R23" s="51">
        <v>1.07611260533173E-3</v>
      </c>
      <c r="S23" s="47">
        <v>0.99067576999999996</v>
      </c>
      <c r="T23" s="2">
        <v>2613</v>
      </c>
      <c r="U23" s="29">
        <f t="shared" si="10"/>
        <v>43.55</v>
      </c>
      <c r="V23" s="29">
        <f t="shared" si="0"/>
        <v>4.6864703962196837E-2</v>
      </c>
      <c r="W23" s="70">
        <f t="shared" si="11"/>
        <v>2.2652234395353692</v>
      </c>
      <c r="Y23" s="32">
        <v>45151.208333333336</v>
      </c>
      <c r="Z23">
        <v>6.5505438625029398E-4</v>
      </c>
      <c r="AA23" s="34">
        <v>0.59425534599999996</v>
      </c>
      <c r="AB23" s="2">
        <v>580</v>
      </c>
      <c r="AC23" s="33">
        <f t="shared" si="12"/>
        <v>9.6666666666666661</v>
      </c>
      <c r="AD23" s="105">
        <f t="shared" si="1"/>
        <v>6.3321924004195078E-3</v>
      </c>
      <c r="AE23" s="77">
        <f t="shared" si="13"/>
        <v>0.59965479082710327</v>
      </c>
      <c r="AG23" s="38">
        <v>45166.208333333336</v>
      </c>
      <c r="AH23" s="111">
        <v>1.1952931514434501E-3</v>
      </c>
      <c r="AI23" s="50">
        <v>0.376777213</v>
      </c>
      <c r="AJ23" s="2">
        <v>2167</v>
      </c>
      <c r="AK23" s="40">
        <f t="shared" si="14"/>
        <v>36.116666666666667</v>
      </c>
      <c r="AL23" s="49">
        <f t="shared" si="2"/>
        <v>4.3170004319632603E-2</v>
      </c>
      <c r="AM23" s="73">
        <f t="shared" si="15"/>
        <v>2.1450147999991538</v>
      </c>
      <c r="AO23" s="43">
        <v>45183.208333333336</v>
      </c>
      <c r="AP23" s="111">
        <v>1.4183004785039499E-3</v>
      </c>
      <c r="AQ23" s="46">
        <v>0.59425534599999996</v>
      </c>
      <c r="AR23" s="2">
        <v>1380</v>
      </c>
      <c r="AS23" s="45">
        <f t="shared" si="16"/>
        <v>23</v>
      </c>
      <c r="AT23" s="45">
        <f t="shared" si="3"/>
        <v>3.262091100559085E-2</v>
      </c>
      <c r="AU23" s="80">
        <f t="shared" si="17"/>
        <v>1.7808641223167168</v>
      </c>
      <c r="AW23" s="7">
        <v>45037.375</v>
      </c>
      <c r="AX23" s="51">
        <v>2.83999004872562E-3</v>
      </c>
      <c r="AY23" s="16">
        <v>66.655723199999997</v>
      </c>
      <c r="AZ23" s="2">
        <v>38739</v>
      </c>
      <c r="BA23" s="16">
        <f t="shared" si="18"/>
        <v>645.65</v>
      </c>
      <c r="BB23" s="9">
        <f t="shared" si="19"/>
        <v>1.8336395749596965</v>
      </c>
      <c r="BC23" s="119">
        <f t="shared" si="20"/>
        <v>25.852935482662108</v>
      </c>
      <c r="BE23" s="93" t="s">
        <v>15</v>
      </c>
      <c r="BF23" s="94" t="s">
        <v>18</v>
      </c>
      <c r="BG23" s="95"/>
      <c r="BH23" s="93" t="s">
        <v>16</v>
      </c>
      <c r="BI23" s="94" t="s">
        <v>19</v>
      </c>
      <c r="BJ23" s="95"/>
      <c r="BK23" s="102"/>
      <c r="BM23" s="104"/>
      <c r="BO23" s="102"/>
      <c r="BP23" s="2"/>
      <c r="BQ23" s="102"/>
      <c r="BR23" s="4"/>
      <c r="BS23" s="5"/>
      <c r="BU23" s="6"/>
      <c r="BV23" s="103"/>
      <c r="BW23" s="102"/>
      <c r="BY23" s="102"/>
      <c r="BZ23" s="102"/>
      <c r="CA23" s="102"/>
    </row>
    <row r="24" spans="1:79" x14ac:dyDescent="0.3">
      <c r="A24" s="7">
        <v>44776.219444444447</v>
      </c>
      <c r="B24" s="89">
        <v>1.4862872126020399E-7</v>
      </c>
      <c r="C24" s="8">
        <v>0.78202204350000004</v>
      </c>
      <c r="D24" s="2">
        <v>0</v>
      </c>
      <c r="E24" s="9">
        <f t="shared" si="4"/>
        <v>0</v>
      </c>
      <c r="F24" s="8">
        <f t="shared" si="5"/>
        <v>0</v>
      </c>
      <c r="G24" s="60">
        <f t="shared" si="6"/>
        <v>0</v>
      </c>
      <c r="I24" s="19">
        <v>44781.219444444447</v>
      </c>
      <c r="J24" s="1">
        <v>1.5660832533450999E-6</v>
      </c>
      <c r="K24" s="21">
        <v>1.3304172409999999</v>
      </c>
      <c r="L24" s="2">
        <v>0</v>
      </c>
      <c r="M24" s="23">
        <f t="shared" si="7"/>
        <v>0</v>
      </c>
      <c r="N24" s="20">
        <f t="shared" si="8"/>
        <v>0</v>
      </c>
      <c r="O24" s="65">
        <f t="shared" si="9"/>
        <v>0</v>
      </c>
      <c r="Q24" s="27">
        <v>45136.21875</v>
      </c>
      <c r="R24" s="51">
        <v>1.22992963697634E-3</v>
      </c>
      <c r="S24" s="47">
        <v>0.99067576999999996</v>
      </c>
      <c r="T24" s="2">
        <v>3203</v>
      </c>
      <c r="U24" s="29">
        <f t="shared" si="10"/>
        <v>53.383333333333333</v>
      </c>
      <c r="V24" s="29">
        <f t="shared" si="0"/>
        <v>6.5657743787253614E-2</v>
      </c>
      <c r="W24" s="70">
        <f t="shared" si="11"/>
        <v>2.8336568564740845</v>
      </c>
      <c r="Y24" s="32">
        <v>45151.21875</v>
      </c>
      <c r="Z24">
        <v>1.0342030247336E-3</v>
      </c>
      <c r="AA24" s="34">
        <v>0.73497519099999997</v>
      </c>
      <c r="AB24" s="2">
        <v>1089</v>
      </c>
      <c r="AC24" s="33">
        <f t="shared" si="12"/>
        <v>18.149999999999999</v>
      </c>
      <c r="AD24" s="105">
        <f t="shared" si="1"/>
        <v>1.8770784898914837E-2</v>
      </c>
      <c r="AE24" s="77">
        <f t="shared" si="13"/>
        <v>1.2338481645715871</v>
      </c>
      <c r="AG24" s="38">
        <v>45166.21875</v>
      </c>
      <c r="AH24" s="111">
        <v>1.71434082914706E-3</v>
      </c>
      <c r="AI24" s="50">
        <v>0.44894941300000002</v>
      </c>
      <c r="AJ24" s="2">
        <v>3053</v>
      </c>
      <c r="AK24" s="40">
        <f t="shared" si="14"/>
        <v>50.883333333333333</v>
      </c>
      <c r="AL24" s="49">
        <f t="shared" si="2"/>
        <v>8.7231375856432897E-2</v>
      </c>
      <c r="AM24" s="73">
        <f t="shared" si="15"/>
        <v>3.4219690053282608</v>
      </c>
      <c r="AO24" s="43">
        <v>45183.21875</v>
      </c>
      <c r="AP24" s="111">
        <v>7.9401262309059895E-4</v>
      </c>
      <c r="AQ24" s="46">
        <v>0.44894941300000002</v>
      </c>
      <c r="AR24" s="2">
        <v>773</v>
      </c>
      <c r="AS24" s="45">
        <f t="shared" si="16"/>
        <v>12.883333333333333</v>
      </c>
      <c r="AT24" s="45">
        <f t="shared" si="3"/>
        <v>1.0229529294150549E-2</v>
      </c>
      <c r="AU24" s="80">
        <f t="shared" si="17"/>
        <v>0.82454343030956467</v>
      </c>
      <c r="AW24" s="7">
        <v>45037.385416666664</v>
      </c>
      <c r="AX24" s="51">
        <v>2.6875244078176101E-3</v>
      </c>
      <c r="AY24" s="16">
        <v>71.622551369999996</v>
      </c>
      <c r="AZ24" s="2">
        <v>38733</v>
      </c>
      <c r="BA24" s="16">
        <f t="shared" si="18"/>
        <v>645.54999999999995</v>
      </c>
      <c r="BB24" s="9">
        <f t="shared" si="19"/>
        <v>1.734931381466658</v>
      </c>
      <c r="BC24" s="119">
        <f t="shared" si="20"/>
        <v>24.920275130930978</v>
      </c>
      <c r="BF24" s="10" t="s">
        <v>4</v>
      </c>
      <c r="BG24" s="15" t="s">
        <v>5</v>
      </c>
      <c r="BI24" s="10" t="s">
        <v>4</v>
      </c>
      <c r="BJ24" s="15" t="s">
        <v>5</v>
      </c>
      <c r="BK24" s="102"/>
      <c r="BM24" s="104"/>
      <c r="BO24" s="102"/>
      <c r="BP24" s="2"/>
      <c r="BQ24" s="102"/>
      <c r="BR24" s="4"/>
      <c r="BS24" s="5"/>
      <c r="BU24" s="6"/>
      <c r="BV24" s="103"/>
      <c r="BW24" s="102"/>
      <c r="BY24" s="102"/>
      <c r="BZ24" s="102"/>
      <c r="CA24" s="102"/>
    </row>
    <row r="25" spans="1:79" x14ac:dyDescent="0.3">
      <c r="A25" s="7">
        <v>44776.229861111111</v>
      </c>
      <c r="B25" s="89">
        <v>1.7464465475407299E-7</v>
      </c>
      <c r="C25" s="8">
        <v>0.83594533650000002</v>
      </c>
      <c r="D25" s="2">
        <v>0</v>
      </c>
      <c r="E25" s="9">
        <f t="shared" si="4"/>
        <v>0</v>
      </c>
      <c r="F25" s="8">
        <f t="shared" si="5"/>
        <v>0</v>
      </c>
      <c r="G25" s="60">
        <f t="shared" si="6"/>
        <v>0</v>
      </c>
      <c r="I25" s="19">
        <v>44781.229861111111</v>
      </c>
      <c r="J25" s="1">
        <v>1.1204099402278601E-6</v>
      </c>
      <c r="K25" s="21">
        <v>1.2636095315</v>
      </c>
      <c r="L25" s="2">
        <v>0</v>
      </c>
      <c r="M25" s="23">
        <f t="shared" si="7"/>
        <v>0</v>
      </c>
      <c r="N25" s="20">
        <f t="shared" si="8"/>
        <v>0</v>
      </c>
      <c r="O25" s="65">
        <f t="shared" si="9"/>
        <v>0</v>
      </c>
      <c r="Q25" s="27">
        <v>45136.229166666664</v>
      </c>
      <c r="R25" s="51">
        <v>8.3504882929978902E-4</v>
      </c>
      <c r="S25" s="47">
        <v>0.89783227600000004</v>
      </c>
      <c r="T25" s="2">
        <v>1412</v>
      </c>
      <c r="U25" s="29">
        <f t="shared" si="10"/>
        <v>23.533333333333335</v>
      </c>
      <c r="V25" s="29">
        <f t="shared" si="0"/>
        <v>1.9651482449521702E-2</v>
      </c>
      <c r="W25" s="70">
        <f t="shared" si="11"/>
        <v>1.2719905210047089</v>
      </c>
      <c r="Y25" s="32">
        <v>45151.229166666664</v>
      </c>
      <c r="Z25">
        <v>5.6545264944503695E-4</v>
      </c>
      <c r="AA25" s="34">
        <v>0.50323377899999999</v>
      </c>
      <c r="AB25" s="2">
        <v>352</v>
      </c>
      <c r="AC25" s="33">
        <f t="shared" si="12"/>
        <v>5.8666666666666663</v>
      </c>
      <c r="AD25" s="105">
        <f t="shared" si="1"/>
        <v>3.3173222100775497E-3</v>
      </c>
      <c r="AE25" s="77">
        <f t="shared" si="13"/>
        <v>0.39036636238169747</v>
      </c>
      <c r="AG25" s="38">
        <v>45166.229166666664</v>
      </c>
      <c r="AH25" s="111">
        <v>1.76979147682755E-3</v>
      </c>
      <c r="AI25" s="50">
        <v>0.44894941300000002</v>
      </c>
      <c r="AJ25" s="2">
        <v>3619</v>
      </c>
      <c r="AK25" s="40">
        <f t="shared" si="14"/>
        <v>60.31666666666667</v>
      </c>
      <c r="AL25" s="49">
        <f t="shared" si="2"/>
        <v>0.10674792257731507</v>
      </c>
      <c r="AM25" s="73">
        <f t="shared" si="15"/>
        <v>3.9129116920784108</v>
      </c>
      <c r="AO25" s="43">
        <v>45183.229166666664</v>
      </c>
      <c r="AP25" s="111">
        <v>1.5045671007628001E-3</v>
      </c>
      <c r="AQ25" s="46">
        <v>0.66228851600000005</v>
      </c>
      <c r="AR25" s="2">
        <v>1727</v>
      </c>
      <c r="AS25" s="45">
        <f t="shared" si="16"/>
        <v>28.783333333333335</v>
      </c>
      <c r="AT25" s="45">
        <f t="shared" si="3"/>
        <v>4.3306456383622599E-2</v>
      </c>
      <c r="AU25" s="80">
        <f t="shared" si="17"/>
        <v>2.1495143184323151</v>
      </c>
      <c r="AW25" s="7">
        <v>45037.395833333336</v>
      </c>
      <c r="AX25" s="51">
        <v>3.0522602180993201E-3</v>
      </c>
      <c r="AY25" s="16">
        <v>76.101800600000004</v>
      </c>
      <c r="AZ25" s="2">
        <v>38855</v>
      </c>
      <c r="BA25" s="16">
        <f t="shared" si="18"/>
        <v>647.58333333333337</v>
      </c>
      <c r="BB25" s="9">
        <f t="shared" si="19"/>
        <v>1.9765928462374849</v>
      </c>
      <c r="BC25" s="119">
        <f t="shared" si="20"/>
        <v>27.17430324131211</v>
      </c>
      <c r="BE25" s="7">
        <f>AW669</f>
        <v>45044.114583333336</v>
      </c>
      <c r="BF25" s="50">
        <f>AY669</f>
        <v>67.565551839999998</v>
      </c>
      <c r="BG25" s="40">
        <f>BC669</f>
        <v>37.543433305238331</v>
      </c>
      <c r="BH25" s="7">
        <f>AW669</f>
        <v>45044.114583333336</v>
      </c>
      <c r="BI25" s="46">
        <f>AY669</f>
        <v>67.565551839999998</v>
      </c>
      <c r="BJ25" s="67">
        <f>BC669</f>
        <v>37.543433305238331</v>
      </c>
      <c r="BK25" s="102"/>
      <c r="BM25" s="104"/>
      <c r="BO25" s="102"/>
      <c r="BP25" s="2"/>
      <c r="BQ25" s="102"/>
      <c r="BR25" s="4"/>
      <c r="BS25" s="5"/>
      <c r="BU25" s="6"/>
      <c r="BV25" s="103"/>
      <c r="BW25" s="102"/>
      <c r="BY25" s="102"/>
      <c r="BZ25" s="102"/>
      <c r="CA25" s="102"/>
    </row>
    <row r="26" spans="1:79" x14ac:dyDescent="0.3">
      <c r="A26" s="7">
        <v>44776.240277777775</v>
      </c>
      <c r="B26" s="89">
        <v>1.49384516203063E-7</v>
      </c>
      <c r="C26" s="8">
        <v>0.78025976949999998</v>
      </c>
      <c r="D26" s="2">
        <v>0</v>
      </c>
      <c r="E26" s="9">
        <f t="shared" si="4"/>
        <v>0</v>
      </c>
      <c r="F26" s="8">
        <f t="shared" si="5"/>
        <v>0</v>
      </c>
      <c r="G26" s="60">
        <f t="shared" si="6"/>
        <v>0</v>
      </c>
      <c r="I26" s="19">
        <v>44781.240277777775</v>
      </c>
      <c r="J26" s="1">
        <v>1.2126402176248E-6</v>
      </c>
      <c r="K26" s="21">
        <v>1.269803263</v>
      </c>
      <c r="L26" s="2">
        <v>0</v>
      </c>
      <c r="M26" s="23">
        <f t="shared" si="7"/>
        <v>0</v>
      </c>
      <c r="N26" s="20">
        <f t="shared" si="8"/>
        <v>0</v>
      </c>
      <c r="O26" s="65">
        <f t="shared" si="9"/>
        <v>0</v>
      </c>
      <c r="Q26" s="27">
        <v>45136.239583333336</v>
      </c>
      <c r="R26" s="51">
        <v>1.1897176756154599E-3</v>
      </c>
      <c r="S26" s="47">
        <v>0.99067576999999996</v>
      </c>
      <c r="T26" s="2">
        <v>2119</v>
      </c>
      <c r="U26" s="29">
        <f t="shared" si="10"/>
        <v>35.31666666666667</v>
      </c>
      <c r="V26" s="29">
        <f t="shared" si="0"/>
        <v>4.2016862577152661E-2</v>
      </c>
      <c r="W26" s="70">
        <f t="shared" si="11"/>
        <v>2.1067968858471526</v>
      </c>
      <c r="Y26" s="32">
        <v>45151.239583333336</v>
      </c>
      <c r="Z26">
        <v>8.8417937372438696E-4</v>
      </c>
      <c r="AA26" s="34">
        <v>0.66228851600000005</v>
      </c>
      <c r="AB26" s="2">
        <v>764</v>
      </c>
      <c r="AC26" s="33">
        <f t="shared" si="12"/>
        <v>12.733333333333333</v>
      </c>
      <c r="AD26" s="105">
        <f t="shared" si="1"/>
        <v>1.1258550692090526E-2</v>
      </c>
      <c r="AE26" s="77">
        <f t="shared" si="13"/>
        <v>0.87872656454403864</v>
      </c>
      <c r="AG26" s="38">
        <v>45166.239583333336</v>
      </c>
      <c r="AH26" s="111">
        <v>1.3615985735803101E-3</v>
      </c>
      <c r="AI26" s="50">
        <v>0.42386643899999998</v>
      </c>
      <c r="AJ26" s="2">
        <v>2585</v>
      </c>
      <c r="AK26" s="40">
        <f t="shared" si="14"/>
        <v>43.083333333333336</v>
      </c>
      <c r="AL26" s="49">
        <f t="shared" si="2"/>
        <v>5.8662205211751695E-2</v>
      </c>
      <c r="AM26" s="73">
        <f t="shared" si="15"/>
        <v>2.6294163033843021</v>
      </c>
      <c r="AO26" s="43">
        <v>45183.239583333336</v>
      </c>
      <c r="AP26" s="111">
        <v>8.0832371638905702E-4</v>
      </c>
      <c r="AQ26" s="46">
        <v>0.44894941300000002</v>
      </c>
      <c r="AR26" s="2">
        <v>781</v>
      </c>
      <c r="AS26" s="45">
        <f t="shared" si="16"/>
        <v>13.016666666666667</v>
      </c>
      <c r="AT26" s="45">
        <f t="shared" si="3"/>
        <v>1.0521680374997559E-2</v>
      </c>
      <c r="AU26" s="80">
        <f t="shared" si="17"/>
        <v>0.84010562668638278</v>
      </c>
      <c r="AW26" s="7">
        <v>45037.40625</v>
      </c>
      <c r="AX26" s="51">
        <v>3.04088135830701E-3</v>
      </c>
      <c r="AY26" s="16">
        <v>70.720093730000002</v>
      </c>
      <c r="AZ26" s="2">
        <v>39285</v>
      </c>
      <c r="BA26" s="16">
        <f t="shared" si="18"/>
        <v>654.75</v>
      </c>
      <c r="BB26" s="9">
        <f t="shared" si="19"/>
        <v>1.9910170693515148</v>
      </c>
      <c r="BC26" s="119">
        <f t="shared" si="20"/>
        <v>27.305816842416373</v>
      </c>
      <c r="BE26" s="7">
        <f>AW670</f>
        <v>45044.125</v>
      </c>
      <c r="BF26" s="50">
        <f>AY670</f>
        <v>66.655723199999997</v>
      </c>
      <c r="BG26" s="40">
        <f>BC670</f>
        <v>86.50229872740951</v>
      </c>
      <c r="BH26" s="7">
        <f>AW670</f>
        <v>45044.125</v>
      </c>
      <c r="BI26" s="46">
        <f>AY670</f>
        <v>66.655723199999997</v>
      </c>
      <c r="BJ26" s="67">
        <f>BC670</f>
        <v>86.50229872740951</v>
      </c>
      <c r="BK26" s="102"/>
      <c r="BM26" s="104"/>
      <c r="BO26" s="102"/>
      <c r="BP26" s="2"/>
      <c r="BQ26" s="102"/>
      <c r="BR26" s="4"/>
      <c r="BS26" s="5"/>
      <c r="BU26" s="6"/>
      <c r="BV26" s="103"/>
      <c r="BW26" s="102"/>
      <c r="BY26" s="102"/>
      <c r="BZ26" s="102"/>
      <c r="CA26" s="102"/>
    </row>
    <row r="27" spans="1:79" x14ac:dyDescent="0.3">
      <c r="A27" s="7">
        <v>44776.250694444447</v>
      </c>
      <c r="B27" s="89">
        <v>1.31607155934079E-7</v>
      </c>
      <c r="C27" s="8">
        <v>0.75657462549999999</v>
      </c>
      <c r="D27" s="2">
        <v>0</v>
      </c>
      <c r="E27" s="9">
        <f t="shared" si="4"/>
        <v>0</v>
      </c>
      <c r="F27" s="8">
        <f t="shared" si="5"/>
        <v>0</v>
      </c>
      <c r="G27" s="60">
        <f t="shared" si="6"/>
        <v>0</v>
      </c>
      <c r="I27" s="19">
        <v>44781.250694444447</v>
      </c>
      <c r="J27" s="1">
        <v>1.39092101404772E-6</v>
      </c>
      <c r="K27" s="21">
        <v>1.3586243874999999</v>
      </c>
      <c r="L27" s="2">
        <v>0</v>
      </c>
      <c r="M27" s="23">
        <f t="shared" si="7"/>
        <v>0</v>
      </c>
      <c r="N27" s="20">
        <f t="shared" si="8"/>
        <v>0</v>
      </c>
      <c r="O27" s="65">
        <f t="shared" si="9"/>
        <v>0</v>
      </c>
      <c r="Q27" s="27">
        <v>45136.25</v>
      </c>
      <c r="R27" s="51">
        <v>1.75892527873469E-3</v>
      </c>
      <c r="S27" s="47">
        <v>1.1441742989999999</v>
      </c>
      <c r="T27" s="2">
        <v>4577</v>
      </c>
      <c r="U27" s="29">
        <f t="shared" si="10"/>
        <v>76.283333333333331</v>
      </c>
      <c r="V27" s="29">
        <f t="shared" si="0"/>
        <v>0.1341766833461446</v>
      </c>
      <c r="W27" s="70">
        <f t="shared" si="11"/>
        <v>4.554565443834214</v>
      </c>
      <c r="Y27" s="32">
        <v>45151.25</v>
      </c>
      <c r="Z27">
        <v>1.02490921487123E-3</v>
      </c>
      <c r="AA27" s="34">
        <v>0.66228851600000005</v>
      </c>
      <c r="AB27" s="2">
        <v>872</v>
      </c>
      <c r="AC27" s="33">
        <f t="shared" si="12"/>
        <v>14.533333333333333</v>
      </c>
      <c r="AD27" s="105">
        <f t="shared" si="1"/>
        <v>1.4895347256128543E-2</v>
      </c>
      <c r="AE27" s="77">
        <f t="shared" si="13"/>
        <v>1.0582176571748949</v>
      </c>
      <c r="AG27" s="38">
        <v>45166.25</v>
      </c>
      <c r="AH27" s="111">
        <v>1.2843127498911699E-3</v>
      </c>
      <c r="AI27" s="50">
        <v>0.33405227900000001</v>
      </c>
      <c r="AJ27" s="2">
        <v>1673</v>
      </c>
      <c r="AK27" s="40">
        <f t="shared" si="14"/>
        <v>27.883333333333333</v>
      </c>
      <c r="AL27" s="49">
        <f t="shared" si="2"/>
        <v>3.5810920509465452E-2</v>
      </c>
      <c r="AM27" s="73">
        <f t="shared" si="15"/>
        <v>1.8946791049951333</v>
      </c>
      <c r="AO27" s="43">
        <v>45183.25</v>
      </c>
      <c r="AP27" s="111">
        <v>9.42759846925466E-4</v>
      </c>
      <c r="AQ27" s="46">
        <v>0.59425534599999996</v>
      </c>
      <c r="AR27" s="2">
        <v>1471</v>
      </c>
      <c r="AS27" s="45">
        <f t="shared" si="16"/>
        <v>24.516666666666666</v>
      </c>
      <c r="AT27" s="45">
        <f t="shared" si="3"/>
        <v>2.3113328913789342E-2</v>
      </c>
      <c r="AU27" s="80">
        <f t="shared" si="17"/>
        <v>1.4166875705188093</v>
      </c>
      <c r="AW27" s="7">
        <v>45037.416666666664</v>
      </c>
      <c r="AX27" s="51">
        <v>2.77435962744506E-3</v>
      </c>
      <c r="AY27" s="16">
        <v>70.720093730000002</v>
      </c>
      <c r="AZ27" s="2">
        <v>39763</v>
      </c>
      <c r="BA27" s="16">
        <f t="shared" si="18"/>
        <v>662.7166666666667</v>
      </c>
      <c r="BB27" s="9">
        <f t="shared" si="19"/>
        <v>1.8386143644349655</v>
      </c>
      <c r="BC27" s="119">
        <f t="shared" si="20"/>
        <v>25.899487758685694</v>
      </c>
      <c r="BE27" s="57">
        <f>_xlfn.FORECAST.LINEAR(BG27,BE25:BE26,BG25:BG26)</f>
        <v>45044.115880461097</v>
      </c>
      <c r="BF27" s="26">
        <f>_xlfn.FORECAST.LINEAR(BG27,BF25:BF26,BG25:BG26)</f>
        <v>67.452256098018765</v>
      </c>
      <c r="BG27" s="14">
        <v>43.64</v>
      </c>
      <c r="BH27" s="57">
        <f>_xlfn.FORECAST.LINEAR(BJ27,BH25:BH26,BJ25:BJ26)</f>
        <v>45044.124042074516</v>
      </c>
      <c r="BI27" s="26">
        <f>_xlfn.FORECAST.LINEAR(BJ27,BI25:BI26,BJ25:BJ26)</f>
        <v>66.739391812266845</v>
      </c>
      <c r="BJ27" s="14">
        <v>82</v>
      </c>
      <c r="BK27" s="102"/>
      <c r="BM27" s="104"/>
      <c r="BO27" s="102"/>
      <c r="BP27" s="2"/>
      <c r="BQ27" s="102"/>
      <c r="BR27" s="4"/>
      <c r="BS27" s="5"/>
      <c r="BU27" s="6"/>
      <c r="BV27" s="103"/>
      <c r="BW27" s="102"/>
      <c r="BY27" s="102"/>
      <c r="BZ27" s="102"/>
      <c r="CA27" s="102"/>
    </row>
    <row r="28" spans="1:79" x14ac:dyDescent="0.3">
      <c r="A28" s="7">
        <v>44776.261111111111</v>
      </c>
      <c r="B28" s="89">
        <v>9.9090210221863701E-8</v>
      </c>
      <c r="C28" s="8">
        <v>0.70298291499999999</v>
      </c>
      <c r="D28" s="2">
        <v>0</v>
      </c>
      <c r="E28" s="9">
        <f t="shared" si="4"/>
        <v>0</v>
      </c>
      <c r="F28" s="8">
        <f t="shared" si="5"/>
        <v>0</v>
      </c>
      <c r="G28" s="60">
        <f t="shared" si="6"/>
        <v>0</v>
      </c>
      <c r="I28" s="19">
        <v>44781.261111111111</v>
      </c>
      <c r="J28" s="1">
        <v>1.3257394963463501E-6</v>
      </c>
      <c r="K28" s="21">
        <v>1.3056302835</v>
      </c>
      <c r="L28" s="2">
        <v>0</v>
      </c>
      <c r="M28" s="23">
        <f t="shared" si="7"/>
        <v>0</v>
      </c>
      <c r="N28" s="20">
        <f t="shared" si="8"/>
        <v>0</v>
      </c>
      <c r="O28" s="65">
        <f t="shared" si="9"/>
        <v>0</v>
      </c>
      <c r="Q28" s="27">
        <v>45136.260416666664</v>
      </c>
      <c r="R28" s="51">
        <v>1.0541572165116101E-3</v>
      </c>
      <c r="S28" s="47">
        <v>0.89783227600000004</v>
      </c>
      <c r="T28" s="2">
        <v>1330</v>
      </c>
      <c r="U28" s="29">
        <f t="shared" si="10"/>
        <v>22.166666666666668</v>
      </c>
      <c r="V28" s="29">
        <f t="shared" si="0"/>
        <v>2.3367151632674023E-2</v>
      </c>
      <c r="W28" s="70">
        <f t="shared" si="11"/>
        <v>1.4269988385919459</v>
      </c>
      <c r="Y28" s="32">
        <v>45151.260416666664</v>
      </c>
      <c r="Z28">
        <v>7.8612044267788595E-4</v>
      </c>
      <c r="AA28" s="34">
        <v>0.66228851600000005</v>
      </c>
      <c r="AB28" s="2">
        <v>904</v>
      </c>
      <c r="AC28" s="33">
        <f t="shared" si="12"/>
        <v>15.066666666666666</v>
      </c>
      <c r="AD28" s="105">
        <f t="shared" si="1"/>
        <v>1.1844214669680149E-2</v>
      </c>
      <c r="AE28" s="77">
        <f t="shared" si="13"/>
        <v>0.9088193124564562</v>
      </c>
      <c r="AG28" s="38">
        <v>45166.260416666664</v>
      </c>
      <c r="AH28" s="111">
        <v>8.9163844638364298E-4</v>
      </c>
      <c r="AI28" s="50">
        <v>0.31440712500000001</v>
      </c>
      <c r="AJ28" s="2">
        <v>1302</v>
      </c>
      <c r="AK28" s="40">
        <f t="shared" si="14"/>
        <v>21.7</v>
      </c>
      <c r="AL28" s="49">
        <f t="shared" si="2"/>
        <v>1.9348554286525051E-2</v>
      </c>
      <c r="AM28" s="73">
        <f t="shared" si="15"/>
        <v>1.2589370109516147</v>
      </c>
      <c r="AO28" s="43">
        <v>45183.260416666664</v>
      </c>
      <c r="AP28" s="111">
        <v>9.7778814900809498E-4</v>
      </c>
      <c r="AQ28" s="46">
        <v>0.44894941300000002</v>
      </c>
      <c r="AR28" s="2">
        <v>736</v>
      </c>
      <c r="AS28" s="45">
        <f t="shared" si="16"/>
        <v>12.266666666666667</v>
      </c>
      <c r="AT28" s="45">
        <f t="shared" si="3"/>
        <v>1.1994201294499299E-2</v>
      </c>
      <c r="AU28" s="80">
        <f t="shared" si="17"/>
        <v>0.91644487971589772</v>
      </c>
      <c r="AW28" s="7">
        <v>45037.427083333336</v>
      </c>
      <c r="AX28" s="51">
        <v>2.8777818752103198E-3</v>
      </c>
      <c r="AY28" s="16">
        <v>68.466857000000005</v>
      </c>
      <c r="AZ28" s="2">
        <v>39561</v>
      </c>
      <c r="BA28" s="16">
        <f t="shared" si="18"/>
        <v>659.35</v>
      </c>
      <c r="BB28" s="9">
        <f t="shared" si="19"/>
        <v>1.8974654794199244</v>
      </c>
      <c r="BC28" s="119">
        <f t="shared" si="20"/>
        <v>26.447026021857567</v>
      </c>
      <c r="BH28" s="2"/>
      <c r="BK28" s="102"/>
      <c r="BM28" s="104"/>
      <c r="BO28" s="102"/>
      <c r="BP28" s="2"/>
      <c r="BQ28" s="102"/>
      <c r="BR28" s="4"/>
      <c r="BS28" s="5"/>
      <c r="BU28" s="6"/>
      <c r="BV28" s="103"/>
      <c r="BW28" s="102"/>
      <c r="BY28" s="102"/>
      <c r="BZ28" s="102"/>
      <c r="CA28" s="102"/>
    </row>
    <row r="29" spans="1:79" x14ac:dyDescent="0.3">
      <c r="A29" s="7">
        <v>44776.271527777775</v>
      </c>
      <c r="B29" s="89">
        <v>8.8754463725521903E-8</v>
      </c>
      <c r="C29" s="8">
        <v>0.68254177999999999</v>
      </c>
      <c r="D29" s="2">
        <v>0</v>
      </c>
      <c r="E29" s="9">
        <f t="shared" si="4"/>
        <v>0</v>
      </c>
      <c r="F29" s="8">
        <f t="shared" si="5"/>
        <v>0</v>
      </c>
      <c r="G29" s="60">
        <f t="shared" si="6"/>
        <v>0</v>
      </c>
      <c r="I29" s="19">
        <v>44781.271527777775</v>
      </c>
      <c r="J29" s="1">
        <v>1.1430223827072299E-6</v>
      </c>
      <c r="K29" s="21">
        <v>1.2676346135000001</v>
      </c>
      <c r="L29" s="2">
        <v>0</v>
      </c>
      <c r="M29" s="23">
        <f t="shared" si="7"/>
        <v>0</v>
      </c>
      <c r="N29" s="20">
        <f t="shared" si="8"/>
        <v>0</v>
      </c>
      <c r="O29" s="65">
        <f t="shared" si="9"/>
        <v>0</v>
      </c>
      <c r="Q29" s="27">
        <v>45136.270833333336</v>
      </c>
      <c r="R29" s="51">
        <v>1.34728281267969E-3</v>
      </c>
      <c r="S29" s="47">
        <v>1.1441742989999999</v>
      </c>
      <c r="T29" s="2">
        <v>3318</v>
      </c>
      <c r="U29" s="29">
        <f t="shared" si="10"/>
        <v>55.3</v>
      </c>
      <c r="V29" s="29">
        <f t="shared" si="0"/>
        <v>7.450473954118686E-2</v>
      </c>
      <c r="W29" s="70">
        <f t="shared" si="11"/>
        <v>3.0817648261684178</v>
      </c>
      <c r="Y29" s="32">
        <v>45151.270833333336</v>
      </c>
      <c r="Z29">
        <v>1.13460578035463E-3</v>
      </c>
      <c r="AA29" s="34">
        <v>0.77321039300000005</v>
      </c>
      <c r="AB29" s="2">
        <v>1221</v>
      </c>
      <c r="AC29" s="33">
        <f t="shared" si="12"/>
        <v>20.350000000000001</v>
      </c>
      <c r="AD29" s="105">
        <f t="shared" si="1"/>
        <v>2.3089227630216723E-2</v>
      </c>
      <c r="AE29" s="77">
        <f t="shared" si="13"/>
        <v>1.4157065096696817</v>
      </c>
      <c r="AG29" s="38">
        <v>45166.270833333336</v>
      </c>
      <c r="AH29" s="111">
        <v>1.4539313378253999E-3</v>
      </c>
      <c r="AI29" s="50">
        <v>0.376777213</v>
      </c>
      <c r="AJ29" s="2">
        <v>2307</v>
      </c>
      <c r="AK29" s="40">
        <f t="shared" si="14"/>
        <v>38.450000000000003</v>
      </c>
      <c r="AL29" s="49">
        <f t="shared" si="2"/>
        <v>5.5903659939386632E-2</v>
      </c>
      <c r="AM29" s="73">
        <f t="shared" si="15"/>
        <v>2.546652595555599</v>
      </c>
      <c r="AO29" s="43">
        <v>45183.270833333336</v>
      </c>
      <c r="AP29" s="111">
        <v>6.7519446672878502E-4</v>
      </c>
      <c r="AQ29" s="46">
        <v>0.44939223900000003</v>
      </c>
      <c r="AR29" s="2">
        <v>746</v>
      </c>
      <c r="AS29" s="45">
        <f t="shared" si="16"/>
        <v>12.433333333333334</v>
      </c>
      <c r="AT29" s="45">
        <f t="shared" si="3"/>
        <v>8.3949178696612267E-3</v>
      </c>
      <c r="AU29" s="80">
        <f t="shared" si="17"/>
        <v>0.72312988108781873</v>
      </c>
      <c r="AW29" s="7">
        <v>45037.4375</v>
      </c>
      <c r="AX29" s="51">
        <v>3.0362249212156698E-3</v>
      </c>
      <c r="AY29" s="16">
        <v>70.271667750000006</v>
      </c>
      <c r="AZ29" s="2">
        <v>39517</v>
      </c>
      <c r="BA29" s="16">
        <f t="shared" si="18"/>
        <v>658.61666666666667</v>
      </c>
      <c r="BB29" s="9">
        <f t="shared" si="19"/>
        <v>1.9997083368613271</v>
      </c>
      <c r="BC29" s="119">
        <f t="shared" si="20"/>
        <v>27.384905352301494</v>
      </c>
      <c r="BE29" s="93" t="s">
        <v>17</v>
      </c>
      <c r="BF29" s="94" t="s">
        <v>20</v>
      </c>
      <c r="BG29" s="95"/>
      <c r="BH29" s="93" t="s">
        <v>21</v>
      </c>
      <c r="BI29" s="96" t="s">
        <v>22</v>
      </c>
      <c r="BJ29" s="95"/>
      <c r="BK29" s="102"/>
      <c r="BM29" s="104"/>
      <c r="BO29" s="102"/>
      <c r="BP29" s="2"/>
      <c r="BQ29" s="102"/>
      <c r="BR29" s="4"/>
      <c r="BS29" s="5"/>
      <c r="BU29" s="6"/>
      <c r="BV29" s="103"/>
      <c r="BW29" s="102"/>
      <c r="BY29" s="102"/>
      <c r="BZ29" s="102"/>
      <c r="CA29" s="102"/>
    </row>
    <row r="30" spans="1:79" x14ac:dyDescent="0.3">
      <c r="A30" s="7">
        <v>44776.281944444447</v>
      </c>
      <c r="B30" s="89">
        <v>8.4536834987216905E-8</v>
      </c>
      <c r="C30" s="8">
        <v>0.684465781</v>
      </c>
      <c r="D30" s="2">
        <v>0</v>
      </c>
      <c r="E30" s="9">
        <f t="shared" si="4"/>
        <v>0</v>
      </c>
      <c r="F30" s="8">
        <f t="shared" si="5"/>
        <v>0</v>
      </c>
      <c r="G30" s="60">
        <f t="shared" si="6"/>
        <v>0</v>
      </c>
      <c r="I30" s="19">
        <v>44781.281944444447</v>
      </c>
      <c r="J30" s="1">
        <v>1.0727190595649201E-6</v>
      </c>
      <c r="K30" s="21">
        <v>1.2868847735</v>
      </c>
      <c r="L30" s="2">
        <v>0</v>
      </c>
      <c r="M30" s="23">
        <f t="shared" si="7"/>
        <v>0</v>
      </c>
      <c r="N30" s="20">
        <f t="shared" si="8"/>
        <v>0</v>
      </c>
      <c r="O30" s="65">
        <f t="shared" si="9"/>
        <v>0</v>
      </c>
      <c r="Q30" s="27">
        <v>45136.28125</v>
      </c>
      <c r="R30" s="51">
        <v>6.6291888995232296E-4</v>
      </c>
      <c r="S30" s="47">
        <v>0.73432993800000002</v>
      </c>
      <c r="T30" s="2">
        <v>555</v>
      </c>
      <c r="U30" s="29">
        <f t="shared" si="10"/>
        <v>9.25</v>
      </c>
      <c r="V30" s="29">
        <f t="shared" si="0"/>
        <v>6.1319997320589872E-3</v>
      </c>
      <c r="W30" s="70">
        <f t="shared" si="11"/>
        <v>0.58699877691633873</v>
      </c>
      <c r="Y30" s="32">
        <v>45151.28125</v>
      </c>
      <c r="Z30">
        <v>1.0815771240601599E-3</v>
      </c>
      <c r="AA30" s="34">
        <v>0.66228851600000005</v>
      </c>
      <c r="AB30" s="2">
        <v>745</v>
      </c>
      <c r="AC30" s="33">
        <f t="shared" si="12"/>
        <v>12.416666666666666</v>
      </c>
      <c r="AD30" s="105">
        <f t="shared" si="1"/>
        <v>1.3429582623746985E-2</v>
      </c>
      <c r="AE30" s="77">
        <f t="shared" si="13"/>
        <v>0.98787704542965793</v>
      </c>
      <c r="AG30" s="38">
        <v>45166.28125</v>
      </c>
      <c r="AH30" s="111">
        <v>1.2781235815518899E-3</v>
      </c>
      <c r="AI30" s="50">
        <v>0.376777213</v>
      </c>
      <c r="AJ30" s="2">
        <v>2168</v>
      </c>
      <c r="AK30" s="40">
        <f t="shared" si="14"/>
        <v>36.133333333333333</v>
      </c>
      <c r="AL30" s="49">
        <f t="shared" si="2"/>
        <v>4.618286541340829E-2</v>
      </c>
      <c r="AM30" s="73">
        <f t="shared" si="15"/>
        <v>2.2432862015533339</v>
      </c>
      <c r="AO30" s="43">
        <v>45183.28125</v>
      </c>
      <c r="AP30" s="111">
        <v>1.01424121695092E-3</v>
      </c>
      <c r="AQ30" s="46">
        <v>0.44939223900000003</v>
      </c>
      <c r="AR30" s="2">
        <v>747</v>
      </c>
      <c r="AS30" s="45">
        <f t="shared" si="16"/>
        <v>12.45</v>
      </c>
      <c r="AT30" s="45">
        <f t="shared" si="3"/>
        <v>1.2627303151038953E-2</v>
      </c>
      <c r="AU30" s="80">
        <f t="shared" si="17"/>
        <v>0.94828662882156833</v>
      </c>
      <c r="AW30" s="7">
        <v>45037.447916666664</v>
      </c>
      <c r="AX30" s="51">
        <v>3.0565868237407102E-3</v>
      </c>
      <c r="AY30" s="16">
        <v>70.727821939999998</v>
      </c>
      <c r="AZ30" s="2">
        <v>39540</v>
      </c>
      <c r="BA30" s="16">
        <f t="shared" si="18"/>
        <v>659</v>
      </c>
      <c r="BB30" s="9">
        <f t="shared" si="19"/>
        <v>2.0142907168451281</v>
      </c>
      <c r="BC30" s="119">
        <f t="shared" si="20"/>
        <v>27.517342683372988</v>
      </c>
      <c r="BF30" s="10" t="s">
        <v>4</v>
      </c>
      <c r="BG30" s="15" t="s">
        <v>5</v>
      </c>
      <c r="BH30" s="2"/>
      <c r="BI30" s="10" t="s">
        <v>4</v>
      </c>
      <c r="BJ30" s="15" t="s">
        <v>5</v>
      </c>
      <c r="BK30" s="102"/>
      <c r="BM30" s="104"/>
      <c r="BO30" s="102"/>
      <c r="BP30" s="2"/>
      <c r="BQ30" s="102"/>
      <c r="BR30" s="4"/>
      <c r="BS30" s="5"/>
      <c r="BU30" s="6"/>
      <c r="BV30" s="103"/>
      <c r="BW30" s="102"/>
      <c r="BY30" s="102"/>
      <c r="BZ30" s="102"/>
      <c r="CA30" s="102"/>
    </row>
    <row r="31" spans="1:79" x14ac:dyDescent="0.3">
      <c r="A31" s="7">
        <v>44776.292361111111</v>
      </c>
      <c r="B31" s="89">
        <v>9.37925917280448E-8</v>
      </c>
      <c r="C31" s="8">
        <v>0.69437548549999994</v>
      </c>
      <c r="D31" s="2">
        <v>0</v>
      </c>
      <c r="E31" s="9">
        <f t="shared" si="4"/>
        <v>0</v>
      </c>
      <c r="F31" s="8">
        <f t="shared" si="5"/>
        <v>0</v>
      </c>
      <c r="G31" s="60">
        <f t="shared" si="6"/>
        <v>0</v>
      </c>
      <c r="I31" s="19">
        <v>44781.292361111111</v>
      </c>
      <c r="J31" s="1">
        <v>1.28406330661959E-6</v>
      </c>
      <c r="K31" s="21">
        <v>1.2461573855000001</v>
      </c>
      <c r="L31" s="2">
        <v>0</v>
      </c>
      <c r="M31" s="23">
        <f t="shared" si="7"/>
        <v>0</v>
      </c>
      <c r="N31" s="20">
        <f t="shared" si="8"/>
        <v>0</v>
      </c>
      <c r="O31" s="65">
        <f t="shared" si="9"/>
        <v>0</v>
      </c>
      <c r="Q31" s="27">
        <v>45136.291666666664</v>
      </c>
      <c r="R31" s="51">
        <v>9.4983730089750302E-4</v>
      </c>
      <c r="S31" s="47">
        <v>0.85462156099999997</v>
      </c>
      <c r="T31" s="2">
        <v>1189</v>
      </c>
      <c r="U31" s="29">
        <f t="shared" si="10"/>
        <v>19.816666666666666</v>
      </c>
      <c r="V31" s="29">
        <f t="shared" si="0"/>
        <v>1.8822609179452186E-2</v>
      </c>
      <c r="W31" s="70">
        <f t="shared" si="11"/>
        <v>1.236109054444926</v>
      </c>
      <c r="Y31" s="32">
        <v>45151.291666666664</v>
      </c>
      <c r="Z31">
        <v>7.2623661778982895E-4</v>
      </c>
      <c r="AA31" s="34">
        <v>0.59425534599999996</v>
      </c>
      <c r="AB31" s="2">
        <v>562</v>
      </c>
      <c r="AC31" s="33">
        <f t="shared" si="12"/>
        <v>9.3666666666666671</v>
      </c>
      <c r="AD31" s="105">
        <f t="shared" si="1"/>
        <v>6.8024163199647313E-3</v>
      </c>
      <c r="AE31" s="77">
        <f t="shared" si="13"/>
        <v>0.62886547727951891</v>
      </c>
      <c r="AG31" s="38">
        <v>45166.291666666664</v>
      </c>
      <c r="AH31" s="111">
        <v>1.19757680613699E-3</v>
      </c>
      <c r="AI31" s="50">
        <v>0.31440712500000001</v>
      </c>
      <c r="AJ31" s="2">
        <v>1234</v>
      </c>
      <c r="AK31" s="40">
        <f t="shared" si="14"/>
        <v>20.566666666666666</v>
      </c>
      <c r="AL31" s="49">
        <f t="shared" si="2"/>
        <v>2.4630162979550761E-2</v>
      </c>
      <c r="AM31" s="73">
        <f t="shared" si="15"/>
        <v>1.4777591650532773</v>
      </c>
      <c r="AO31" s="43">
        <v>45183.291666666664</v>
      </c>
      <c r="AP31" s="111">
        <v>6.6072807922225199E-4</v>
      </c>
      <c r="AQ31" s="46">
        <v>0.44939223900000003</v>
      </c>
      <c r="AR31" s="2">
        <v>849</v>
      </c>
      <c r="AS31" s="45">
        <f t="shared" si="16"/>
        <v>14.15</v>
      </c>
      <c r="AT31" s="45">
        <f t="shared" si="3"/>
        <v>9.3493023209948664E-3</v>
      </c>
      <c r="AU31" s="80">
        <f t="shared" si="17"/>
        <v>0.77672409002457088</v>
      </c>
      <c r="AW31" s="7">
        <v>45037.458333333336</v>
      </c>
      <c r="AX31" s="51">
        <v>2.9441189732352102E-3</v>
      </c>
      <c r="AY31" s="16">
        <v>68.008627450000006</v>
      </c>
      <c r="AZ31" s="2">
        <v>39849</v>
      </c>
      <c r="BA31" s="16">
        <f t="shared" si="18"/>
        <v>664.15</v>
      </c>
      <c r="BB31" s="9">
        <f t="shared" si="19"/>
        <v>1.9553366160741648</v>
      </c>
      <c r="BC31" s="119">
        <f t="shared" si="20"/>
        <v>26.979909081128454</v>
      </c>
      <c r="BE31" s="63">
        <f t="shared" ref="BE31:BJ31" si="21">BE26</f>
        <v>45044.125</v>
      </c>
      <c r="BF31" s="12">
        <f t="shared" si="21"/>
        <v>66.655723199999997</v>
      </c>
      <c r="BG31" s="14">
        <f t="shared" si="21"/>
        <v>86.50229872740951</v>
      </c>
      <c r="BH31" s="63">
        <f t="shared" si="21"/>
        <v>45044.125</v>
      </c>
      <c r="BI31" s="12">
        <f t="shared" si="21"/>
        <v>66.655723199999997</v>
      </c>
      <c r="BJ31" s="14">
        <f t="shared" si="21"/>
        <v>86.50229872740951</v>
      </c>
      <c r="BK31" s="102"/>
      <c r="BM31" s="104"/>
      <c r="BO31" s="102"/>
      <c r="BP31" s="2"/>
      <c r="BQ31" s="102"/>
      <c r="BR31" s="4"/>
      <c r="BS31" s="5"/>
      <c r="BU31" s="6"/>
      <c r="BV31" s="103"/>
      <c r="BW31" s="102"/>
      <c r="BY31" s="102"/>
      <c r="BZ31" s="102"/>
      <c r="CA31" s="102"/>
    </row>
    <row r="32" spans="1:79" x14ac:dyDescent="0.3">
      <c r="A32" s="7">
        <v>44776.302777777775</v>
      </c>
      <c r="B32" s="89">
        <v>1.10005014672529E-7</v>
      </c>
      <c r="C32" s="8">
        <v>0.7037178785</v>
      </c>
      <c r="D32" s="2">
        <v>0</v>
      </c>
      <c r="E32" s="9">
        <f t="shared" si="4"/>
        <v>0</v>
      </c>
      <c r="F32" s="8">
        <f t="shared" si="5"/>
        <v>0</v>
      </c>
      <c r="G32" s="60">
        <f t="shared" si="6"/>
        <v>0</v>
      </c>
      <c r="I32" s="19">
        <v>44781.302777777775</v>
      </c>
      <c r="J32" s="1">
        <v>1.0805788723734999E-6</v>
      </c>
      <c r="K32" s="21">
        <v>1.2263406489999999</v>
      </c>
      <c r="L32" s="2">
        <v>0</v>
      </c>
      <c r="M32" s="23">
        <f t="shared" si="7"/>
        <v>0</v>
      </c>
      <c r="N32" s="20">
        <f t="shared" si="8"/>
        <v>0</v>
      </c>
      <c r="O32" s="65">
        <f t="shared" si="9"/>
        <v>0</v>
      </c>
      <c r="Q32" s="27">
        <v>45136.302083333336</v>
      </c>
      <c r="R32" s="51">
        <v>1.7754665841301399E-3</v>
      </c>
      <c r="S32" s="47">
        <v>1.145105356</v>
      </c>
      <c r="T32" s="2">
        <v>5417</v>
      </c>
      <c r="U32" s="29">
        <f t="shared" si="10"/>
        <v>90.283333333333331</v>
      </c>
      <c r="V32" s="29">
        <f t="shared" si="0"/>
        <v>0.16029504143721612</v>
      </c>
      <c r="W32" s="70">
        <f t="shared" si="11"/>
        <v>5.1255009975823098</v>
      </c>
      <c r="Y32" s="32">
        <v>45151.302083333336</v>
      </c>
      <c r="Z32">
        <v>1.2149695107497699E-3</v>
      </c>
      <c r="AA32" s="34">
        <v>0.59425534599999996</v>
      </c>
      <c r="AB32" s="2">
        <v>675</v>
      </c>
      <c r="AC32" s="33">
        <f t="shared" si="12"/>
        <v>11.25</v>
      </c>
      <c r="AD32" s="105">
        <f t="shared" si="1"/>
        <v>1.3668406995934912E-2</v>
      </c>
      <c r="AE32" s="77">
        <f t="shared" si="13"/>
        <v>0.99950753119909497</v>
      </c>
      <c r="AG32" s="38">
        <v>45166.302083333336</v>
      </c>
      <c r="AH32" s="111">
        <v>9.7787795410473493E-4</v>
      </c>
      <c r="AI32" s="50">
        <v>0.27800180299999999</v>
      </c>
      <c r="AJ32" s="2">
        <v>1017</v>
      </c>
      <c r="AK32" s="40">
        <f t="shared" si="14"/>
        <v>16.95</v>
      </c>
      <c r="AL32" s="49">
        <f t="shared" si="2"/>
        <v>1.6575031322075256E-2</v>
      </c>
      <c r="AM32" s="73">
        <f t="shared" si="15"/>
        <v>1.1360228776274668</v>
      </c>
      <c r="AO32" s="43">
        <v>45183.302083333336</v>
      </c>
      <c r="AP32" s="111">
        <v>7.3770413393591395E-4</v>
      </c>
      <c r="AQ32" s="46">
        <v>0.44894941300000002</v>
      </c>
      <c r="AR32" s="2">
        <v>749</v>
      </c>
      <c r="AS32" s="45">
        <f t="shared" si="16"/>
        <v>12.483333333333333</v>
      </c>
      <c r="AT32" s="45">
        <f t="shared" si="3"/>
        <v>9.2090066052999912E-3</v>
      </c>
      <c r="AU32" s="80">
        <f t="shared" si="17"/>
        <v>0.76896517661200259</v>
      </c>
      <c r="AW32" s="7">
        <v>45037.46875</v>
      </c>
      <c r="AX32" s="51">
        <v>2.8333877405376899E-3</v>
      </c>
      <c r="AY32" s="16">
        <v>68.008627450000006</v>
      </c>
      <c r="AZ32" s="2">
        <v>39418</v>
      </c>
      <c r="BA32" s="16">
        <f t="shared" si="18"/>
        <v>656.9666666666667</v>
      </c>
      <c r="BB32" s="9">
        <f t="shared" si="19"/>
        <v>1.8614412992752445</v>
      </c>
      <c r="BC32" s="119">
        <f t="shared" si="20"/>
        <v>26.11255388149554</v>
      </c>
      <c r="BH32" s="2"/>
      <c r="BK32" s="102"/>
      <c r="BM32" s="104"/>
      <c r="BO32" s="102"/>
      <c r="BP32" s="2"/>
      <c r="BQ32" s="102"/>
      <c r="BR32" s="4"/>
      <c r="BS32" s="5"/>
      <c r="BU32" s="6"/>
      <c r="BV32" s="103"/>
      <c r="BW32" s="102"/>
      <c r="BY32" s="102"/>
      <c r="BZ32" s="102"/>
      <c r="CA32" s="102"/>
    </row>
    <row r="33" spans="1:79" x14ac:dyDescent="0.3">
      <c r="A33" s="7">
        <v>44776.313194444447</v>
      </c>
      <c r="B33" s="89">
        <v>7.42269507867231E-8</v>
      </c>
      <c r="C33" s="8">
        <v>0.672222341</v>
      </c>
      <c r="D33" s="2">
        <v>0</v>
      </c>
      <c r="E33" s="9">
        <f t="shared" si="4"/>
        <v>0</v>
      </c>
      <c r="F33" s="8">
        <f t="shared" si="5"/>
        <v>0</v>
      </c>
      <c r="G33" s="60">
        <f t="shared" si="6"/>
        <v>0</v>
      </c>
      <c r="I33" s="19">
        <v>44781.313194444447</v>
      </c>
      <c r="J33" s="1">
        <v>1.1052764951298499E-6</v>
      </c>
      <c r="K33" s="21">
        <v>1.2605418435</v>
      </c>
      <c r="L33" s="2">
        <v>0</v>
      </c>
      <c r="M33" s="23">
        <f t="shared" si="7"/>
        <v>0</v>
      </c>
      <c r="N33" s="20">
        <f t="shared" si="8"/>
        <v>0</v>
      </c>
      <c r="O33" s="65">
        <f t="shared" si="9"/>
        <v>0</v>
      </c>
      <c r="Q33" s="27">
        <v>45136.3125</v>
      </c>
      <c r="R33" s="51">
        <v>1.94696387152211E-3</v>
      </c>
      <c r="S33" s="47">
        <v>1.257509953</v>
      </c>
      <c r="T33" s="2">
        <v>7208</v>
      </c>
      <c r="U33" s="29">
        <f t="shared" si="10"/>
        <v>120.13333333333334</v>
      </c>
      <c r="V33" s="29">
        <f t="shared" si="0"/>
        <v>0.23389525976552283</v>
      </c>
      <c r="W33" s="70">
        <f t="shared" si="11"/>
        <v>6.587181151089827</v>
      </c>
      <c r="Y33" s="32">
        <v>45151.3125</v>
      </c>
      <c r="Z33">
        <v>6.7911512436292696E-4</v>
      </c>
      <c r="AA33" s="34">
        <v>0.59425534599999996</v>
      </c>
      <c r="AB33" s="2">
        <v>572</v>
      </c>
      <c r="AC33" s="33">
        <f t="shared" si="12"/>
        <v>9.5333333333333332</v>
      </c>
      <c r="AD33" s="105">
        <f t="shared" si="1"/>
        <v>6.4742308522599034E-3</v>
      </c>
      <c r="AE33" s="77">
        <f t="shared" si="13"/>
        <v>0.60855289961282666</v>
      </c>
      <c r="AG33" s="38">
        <v>45166.3125</v>
      </c>
      <c r="AH33" s="111">
        <v>1.5378851448352899E-3</v>
      </c>
      <c r="AI33" s="50">
        <v>0.33439968599999997</v>
      </c>
      <c r="AJ33" s="2">
        <v>1674</v>
      </c>
      <c r="AK33" s="40">
        <f t="shared" si="14"/>
        <v>27.9</v>
      </c>
      <c r="AL33" s="49">
        <f t="shared" si="2"/>
        <v>4.2906995540904588E-2</v>
      </c>
      <c r="AM33" s="73">
        <f t="shared" si="15"/>
        <v>2.1363285561547145</v>
      </c>
      <c r="AO33" s="43">
        <v>45183.3125</v>
      </c>
      <c r="AP33" s="111">
        <v>8.0601342167986503E-4</v>
      </c>
      <c r="AQ33" s="46">
        <v>0.53201108200000002</v>
      </c>
      <c r="AR33" s="2">
        <v>1150</v>
      </c>
      <c r="AS33" s="45">
        <f t="shared" si="16"/>
        <v>19.166666666666668</v>
      </c>
      <c r="AT33" s="45">
        <f t="shared" si="3"/>
        <v>1.5448590582197413E-2</v>
      </c>
      <c r="AU33" s="80">
        <f t="shared" si="17"/>
        <v>1.0841555299614476</v>
      </c>
      <c r="AW33" s="7">
        <v>45037.479166666664</v>
      </c>
      <c r="AX33" s="51">
        <v>3.0360738219047702E-3</v>
      </c>
      <c r="AY33" s="16">
        <v>71.622551369999996</v>
      </c>
      <c r="AZ33" s="2">
        <v>39618</v>
      </c>
      <c r="BA33" s="16">
        <f t="shared" si="18"/>
        <v>660.3</v>
      </c>
      <c r="BB33" s="9">
        <f t="shared" si="19"/>
        <v>2.0047195446037196</v>
      </c>
      <c r="BC33" s="119">
        <f t="shared" si="20"/>
        <v>27.430453676125101</v>
      </c>
      <c r="BE33" s="93" t="s">
        <v>23</v>
      </c>
      <c r="BF33" s="94" t="s">
        <v>24</v>
      </c>
      <c r="BG33" s="95"/>
      <c r="BH33" s="93" t="s">
        <v>25</v>
      </c>
      <c r="BI33" s="94" t="s">
        <v>26</v>
      </c>
      <c r="BJ33" s="95"/>
      <c r="BK33" s="102"/>
      <c r="BM33" s="104"/>
      <c r="BO33" s="102"/>
      <c r="BP33" s="2"/>
      <c r="BQ33" s="102"/>
      <c r="BR33" s="4"/>
      <c r="BS33" s="5"/>
      <c r="BU33" s="6"/>
      <c r="BV33" s="103"/>
      <c r="BW33" s="102"/>
      <c r="BY33" s="102"/>
      <c r="BZ33" s="102"/>
      <c r="CA33" s="102"/>
    </row>
    <row r="34" spans="1:79" x14ac:dyDescent="0.3">
      <c r="A34" s="7">
        <v>44776.323611111111</v>
      </c>
      <c r="B34" s="89">
        <v>8.37489976291492E-8</v>
      </c>
      <c r="C34" s="8">
        <v>0.67980481400000004</v>
      </c>
      <c r="D34" s="2">
        <v>0</v>
      </c>
      <c r="E34" s="9">
        <f t="shared" si="4"/>
        <v>0</v>
      </c>
      <c r="F34" s="8">
        <f t="shared" si="5"/>
        <v>0</v>
      </c>
      <c r="G34" s="60">
        <f t="shared" si="6"/>
        <v>0</v>
      </c>
      <c r="I34" s="19">
        <v>44781.323611111111</v>
      </c>
      <c r="J34" s="1">
        <v>1.21975563788356E-6</v>
      </c>
      <c r="K34" s="21">
        <v>1.2897381324999999</v>
      </c>
      <c r="L34" s="2">
        <v>0</v>
      </c>
      <c r="M34" s="23">
        <f t="shared" si="7"/>
        <v>0</v>
      </c>
      <c r="N34" s="20">
        <f t="shared" si="8"/>
        <v>0</v>
      </c>
      <c r="O34" s="65">
        <f t="shared" si="9"/>
        <v>0</v>
      </c>
      <c r="Q34" s="27">
        <v>45136.322916666664</v>
      </c>
      <c r="R34" s="51">
        <v>1.7795606395583201E-3</v>
      </c>
      <c r="S34" s="47">
        <v>1.145105356</v>
      </c>
      <c r="T34" s="2">
        <v>5096</v>
      </c>
      <c r="U34" s="29">
        <f t="shared" si="10"/>
        <v>84.933333333333337</v>
      </c>
      <c r="V34" s="29">
        <f t="shared" si="0"/>
        <v>0.15114401698648666</v>
      </c>
      <c r="W34" s="70">
        <f t="shared" si="11"/>
        <v>4.9292969490502472</v>
      </c>
      <c r="Y34" s="32">
        <v>45151.322916666664</v>
      </c>
      <c r="Z34">
        <v>3.9799222881109698E-4</v>
      </c>
      <c r="AA34" s="34">
        <v>0.42386643899999998</v>
      </c>
      <c r="AB34" s="2">
        <v>181</v>
      </c>
      <c r="AC34" s="33">
        <f t="shared" si="12"/>
        <v>3.0166666666666666</v>
      </c>
      <c r="AD34" s="105">
        <f t="shared" si="1"/>
        <v>1.2006098902468093E-3</v>
      </c>
      <c r="AE34" s="77">
        <f t="shared" si="13"/>
        <v>0.19878895765726115</v>
      </c>
      <c r="AG34" s="38">
        <v>45166.322916666664</v>
      </c>
      <c r="AH34" s="111">
        <v>2.0212901013058398E-3</v>
      </c>
      <c r="AI34" s="50">
        <v>0.44939223900000003</v>
      </c>
      <c r="AJ34" s="2">
        <v>3733</v>
      </c>
      <c r="AK34" s="40">
        <f t="shared" si="14"/>
        <v>62.216666666666669</v>
      </c>
      <c r="AL34" s="49">
        <f t="shared" si="2"/>
        <v>0.12575793246957834</v>
      </c>
      <c r="AM34" s="73">
        <f t="shared" si="15"/>
        <v>4.362755573228192</v>
      </c>
      <c r="AO34" s="43">
        <v>45183.322916666664</v>
      </c>
      <c r="AP34" s="111">
        <v>8.4813302069901904E-4</v>
      </c>
      <c r="AQ34" s="46">
        <v>0.44894941300000002</v>
      </c>
      <c r="AR34" s="2">
        <v>741</v>
      </c>
      <c r="AS34" s="45">
        <f t="shared" si="16"/>
        <v>12.35</v>
      </c>
      <c r="AT34" s="45">
        <f t="shared" si="3"/>
        <v>1.0474442805632886E-2</v>
      </c>
      <c r="AU34" s="80">
        <f t="shared" si="17"/>
        <v>0.83759932984218766</v>
      </c>
      <c r="AW34" s="7">
        <v>45037.489583333336</v>
      </c>
      <c r="AX34" s="51">
        <v>2.9587129061701399E-3</v>
      </c>
      <c r="AY34" s="16">
        <v>66.647934039999996</v>
      </c>
      <c r="AZ34" s="2">
        <v>39717</v>
      </c>
      <c r="BA34" s="16">
        <f t="shared" si="18"/>
        <v>661.95</v>
      </c>
      <c r="BB34" s="9">
        <f t="shared" si="19"/>
        <v>1.9585200082393242</v>
      </c>
      <c r="BC34" s="119">
        <f t="shared" si="20"/>
        <v>27.009067129753497</v>
      </c>
      <c r="BF34" s="10" t="s">
        <v>4</v>
      </c>
      <c r="BG34" s="15" t="s">
        <v>5</v>
      </c>
      <c r="BI34" s="10" t="s">
        <v>4</v>
      </c>
      <c r="BJ34" s="15" t="s">
        <v>5</v>
      </c>
      <c r="BK34" s="102"/>
      <c r="BM34" s="104"/>
      <c r="BO34" s="102"/>
      <c r="BP34" s="2"/>
      <c r="BQ34" s="102"/>
      <c r="BR34" s="4"/>
      <c r="BS34" s="5"/>
      <c r="BU34" s="6"/>
      <c r="BV34" s="103"/>
      <c r="BW34" s="102"/>
      <c r="BY34" s="102"/>
      <c r="BZ34" s="102"/>
      <c r="CA34" s="102"/>
    </row>
    <row r="35" spans="1:79" x14ac:dyDescent="0.3">
      <c r="A35" s="7">
        <v>44776.334027777775</v>
      </c>
      <c r="B35" s="89">
        <v>1.3456036196529701E-7</v>
      </c>
      <c r="C35" s="8">
        <v>0.74230587949999904</v>
      </c>
      <c r="D35" s="2">
        <v>0</v>
      </c>
      <c r="E35" s="9">
        <f t="shared" si="4"/>
        <v>0</v>
      </c>
      <c r="F35" s="8">
        <f t="shared" ref="F35:F66" si="22">E35*B35</f>
        <v>0</v>
      </c>
      <c r="G35" s="60">
        <f t="shared" si="6"/>
        <v>0</v>
      </c>
      <c r="I35" s="19">
        <v>44781.334027777775</v>
      </c>
      <c r="J35" s="1">
        <v>1.41161759096376E-6</v>
      </c>
      <c r="K35" s="21">
        <v>1.326867053</v>
      </c>
      <c r="L35" s="2">
        <v>0</v>
      </c>
      <c r="M35" s="23">
        <f t="shared" si="7"/>
        <v>0</v>
      </c>
      <c r="N35" s="20">
        <f t="shared" ref="N35:N66" si="23">M35*J35</f>
        <v>0</v>
      </c>
      <c r="O35" s="65">
        <f t="shared" si="9"/>
        <v>0</v>
      </c>
      <c r="Q35" s="27">
        <v>45136.333333333336</v>
      </c>
      <c r="R35" s="51">
        <v>1.7898928145861099E-3</v>
      </c>
      <c r="S35" s="47">
        <v>1.318149035</v>
      </c>
      <c r="T35" s="2">
        <v>7929</v>
      </c>
      <c r="U35" s="29">
        <f t="shared" si="10"/>
        <v>132.15</v>
      </c>
      <c r="V35" s="29">
        <f t="shared" ref="V35:V66" si="24">R35*U35</f>
        <v>0.23653433544755442</v>
      </c>
      <c r="W35" s="70">
        <f t="shared" si="11"/>
        <v>6.6364393140978422</v>
      </c>
      <c r="Y35" s="32">
        <v>45151.333333333336</v>
      </c>
      <c r="Z35">
        <v>5.8364465971640403E-4</v>
      </c>
      <c r="AA35" s="34">
        <v>0.50323377899999999</v>
      </c>
      <c r="AB35" s="2">
        <v>350</v>
      </c>
      <c r="AC35" s="33">
        <f t="shared" si="12"/>
        <v>5.833333333333333</v>
      </c>
      <c r="AD35" s="105">
        <f t="shared" ref="AD35:AD66" si="25">AC35*Z35</f>
        <v>3.4045938483456902E-3</v>
      </c>
      <c r="AE35" s="77">
        <f t="shared" si="13"/>
        <v>0.39715565412546017</v>
      </c>
      <c r="AG35" s="38">
        <v>45166.333333333336</v>
      </c>
      <c r="AH35" s="111">
        <v>1.3750392996106399E-3</v>
      </c>
      <c r="AI35" s="50">
        <v>0.377160934</v>
      </c>
      <c r="AJ35" s="2">
        <v>2443</v>
      </c>
      <c r="AK35" s="40">
        <f t="shared" si="14"/>
        <v>40.716666666666669</v>
      </c>
      <c r="AL35" s="49">
        <f t="shared" ref="AL35:AL66" si="26">AK35*AH35</f>
        <v>5.5987016815813223E-2</v>
      </c>
      <c r="AM35" s="73">
        <f t="shared" si="15"/>
        <v>2.5491733482580607</v>
      </c>
      <c r="AO35" s="43">
        <v>45183.333333333336</v>
      </c>
      <c r="AP35" s="111">
        <v>7.6798648931926795E-4</v>
      </c>
      <c r="AQ35" s="46">
        <v>0.39953381599999999</v>
      </c>
      <c r="AR35" s="2">
        <v>520</v>
      </c>
      <c r="AS35" s="45">
        <f t="shared" si="16"/>
        <v>8.6666666666666661</v>
      </c>
      <c r="AT35" s="45">
        <f t="shared" ref="AT35:AT66" si="27">AS35*AP35</f>
        <v>6.6558829074336552E-3</v>
      </c>
      <c r="AU35" s="80">
        <f t="shared" si="17"/>
        <v>0.61983764759846738</v>
      </c>
      <c r="AW35" s="7">
        <v>45037.5</v>
      </c>
      <c r="AX35" s="51">
        <v>2.9291824202970799E-3</v>
      </c>
      <c r="AY35" s="16">
        <v>68.008627450000006</v>
      </c>
      <c r="AZ35" s="2">
        <v>39518</v>
      </c>
      <c r="BA35" s="16">
        <f t="shared" si="18"/>
        <v>658.63333333333333</v>
      </c>
      <c r="BB35" s="9">
        <f t="shared" si="19"/>
        <v>1.9292571814216668</v>
      </c>
      <c r="BC35" s="119">
        <f t="shared" si="20"/>
        <v>26.740432497929238</v>
      </c>
      <c r="BE35" s="7">
        <f>AW1387</f>
        <v>45051.635416666664</v>
      </c>
      <c r="BF35" s="47">
        <f>AY1387</f>
        <v>102.5822131</v>
      </c>
      <c r="BG35" s="29">
        <f>BC1387</f>
        <v>45.804874702743646</v>
      </c>
      <c r="BH35" s="7">
        <f>AW670</f>
        <v>45044.125</v>
      </c>
      <c r="BI35" s="68">
        <f>AY670</f>
        <v>66.655723199999997</v>
      </c>
      <c r="BJ35" s="37">
        <f>BC670</f>
        <v>86.50229872740951</v>
      </c>
      <c r="BK35" s="102"/>
      <c r="BM35" s="104"/>
      <c r="BO35" s="102"/>
      <c r="BP35" s="2"/>
      <c r="BQ35" s="102"/>
      <c r="BR35" s="4"/>
      <c r="BS35" s="5"/>
      <c r="BU35" s="6"/>
      <c r="BV35" s="103"/>
      <c r="BW35" s="102"/>
      <c r="BY35" s="102"/>
      <c r="BZ35" s="102"/>
      <c r="CA35" s="102"/>
    </row>
    <row r="36" spans="1:79" x14ac:dyDescent="0.3">
      <c r="A36" s="7">
        <v>44776.344444444447</v>
      </c>
      <c r="B36" s="89">
        <v>1.3044573565671401E-7</v>
      </c>
      <c r="C36" s="8">
        <v>0.76352864149999999</v>
      </c>
      <c r="D36" s="2">
        <v>0</v>
      </c>
      <c r="E36" s="9">
        <f t="shared" si="4"/>
        <v>0</v>
      </c>
      <c r="F36" s="8">
        <f t="shared" si="22"/>
        <v>0</v>
      </c>
      <c r="G36" s="60">
        <f t="shared" si="6"/>
        <v>0</v>
      </c>
      <c r="I36" s="19">
        <v>44781.344444444447</v>
      </c>
      <c r="J36" s="1">
        <v>1.45056921071862E-6</v>
      </c>
      <c r="K36" s="21">
        <v>1.314942037</v>
      </c>
      <c r="L36" s="2">
        <v>0</v>
      </c>
      <c r="M36" s="23">
        <f t="shared" si="7"/>
        <v>0</v>
      </c>
      <c r="N36" s="20">
        <f t="shared" si="23"/>
        <v>0</v>
      </c>
      <c r="O36" s="65">
        <f t="shared" si="9"/>
        <v>0</v>
      </c>
      <c r="Q36" s="27">
        <v>45136.34375</v>
      </c>
      <c r="R36" s="51">
        <v>1.84863336461808E-3</v>
      </c>
      <c r="S36" s="47">
        <v>1.318149035</v>
      </c>
      <c r="T36" s="2">
        <v>9329</v>
      </c>
      <c r="U36" s="29">
        <f t="shared" si="10"/>
        <v>155.48333333333332</v>
      </c>
      <c r="V36" s="29">
        <f t="shared" si="24"/>
        <v>0.28743167764203442</v>
      </c>
      <c r="W36" s="70">
        <f t="shared" si="11"/>
        <v>7.5532938045880567</v>
      </c>
      <c r="Y36" s="32">
        <v>45151.34375</v>
      </c>
      <c r="Z36">
        <v>6.2896728724557902E-4</v>
      </c>
      <c r="AA36" s="34">
        <v>0.50323377899999999</v>
      </c>
      <c r="AB36" s="2">
        <v>322</v>
      </c>
      <c r="AC36" s="33">
        <f t="shared" si="12"/>
        <v>5.3666666666666663</v>
      </c>
      <c r="AD36" s="105">
        <f t="shared" si="25"/>
        <v>3.3754577748846071E-3</v>
      </c>
      <c r="AE36" s="77">
        <f t="shared" si="13"/>
        <v>0.39489558939954378</v>
      </c>
      <c r="AG36" s="38">
        <v>45166.34375</v>
      </c>
      <c r="AH36" s="111">
        <v>1.78411651576808E-3</v>
      </c>
      <c r="AI36" s="50">
        <v>0.44939223900000003</v>
      </c>
      <c r="AJ36" s="2">
        <v>3339</v>
      </c>
      <c r="AK36" s="40">
        <f t="shared" si="14"/>
        <v>55.65</v>
      </c>
      <c r="AL36" s="49">
        <f t="shared" si="26"/>
        <v>9.9286084102493649E-2</v>
      </c>
      <c r="AM36" s="73">
        <f t="shared" si="15"/>
        <v>3.7290934747464437</v>
      </c>
      <c r="AO36" s="43">
        <v>45183.34375</v>
      </c>
      <c r="AP36" s="111">
        <v>8.6038529477975797E-4</v>
      </c>
      <c r="AQ36" s="46">
        <v>0.47522856800000002</v>
      </c>
      <c r="AR36" s="2">
        <v>910</v>
      </c>
      <c r="AS36" s="45">
        <f t="shared" si="16"/>
        <v>15.166666666666666</v>
      </c>
      <c r="AT36" s="45">
        <f t="shared" si="27"/>
        <v>1.3049176970826328E-2</v>
      </c>
      <c r="AU36" s="80">
        <f t="shared" si="17"/>
        <v>0.96920707609456835</v>
      </c>
      <c r="AW36" s="7">
        <v>45037.510416666664</v>
      </c>
      <c r="AX36" s="51">
        <v>3.0281844914556801E-3</v>
      </c>
      <c r="AY36" s="16">
        <v>67.106545600000004</v>
      </c>
      <c r="AZ36" s="2">
        <v>39045</v>
      </c>
      <c r="BA36" s="16">
        <f t="shared" si="18"/>
        <v>650.75</v>
      </c>
      <c r="BB36" s="9">
        <f t="shared" si="19"/>
        <v>1.9705910578147838</v>
      </c>
      <c r="BC36" s="119">
        <f t="shared" si="20"/>
        <v>27.119486685478421</v>
      </c>
      <c r="BE36" s="7">
        <f>AW1388</f>
        <v>45051.645833333336</v>
      </c>
      <c r="BF36" s="47">
        <f>AY1388</f>
        <v>101.7628931</v>
      </c>
      <c r="BG36" s="29">
        <f>BC1388</f>
        <v>43.365422725302956</v>
      </c>
      <c r="BH36" s="7">
        <f>AW671</f>
        <v>45044.135416666664</v>
      </c>
      <c r="BI36" s="68">
        <f>AY671</f>
        <v>68.016396760000006</v>
      </c>
      <c r="BJ36" s="37">
        <f>BC671</f>
        <v>38.085444892253754</v>
      </c>
      <c r="BK36" s="102"/>
      <c r="BM36" s="104"/>
      <c r="BO36" s="102"/>
      <c r="BP36" s="2"/>
      <c r="BQ36" s="102"/>
      <c r="BR36" s="4"/>
      <c r="BS36" s="5"/>
      <c r="BU36" s="6"/>
      <c r="BV36" s="103"/>
      <c r="BW36" s="102"/>
      <c r="BY36" s="102"/>
      <c r="BZ36" s="102"/>
      <c r="CA36" s="102"/>
    </row>
    <row r="37" spans="1:79" x14ac:dyDescent="0.3">
      <c r="A37" s="7">
        <v>44776.354861111111</v>
      </c>
      <c r="B37" s="89">
        <v>1.0828443230519701E-7</v>
      </c>
      <c r="C37" s="8">
        <v>0.72191215399999997</v>
      </c>
      <c r="D37" s="2">
        <v>0</v>
      </c>
      <c r="E37" s="9">
        <f t="shared" si="4"/>
        <v>0</v>
      </c>
      <c r="F37" s="8">
        <f t="shared" si="22"/>
        <v>0</v>
      </c>
      <c r="G37" s="60">
        <f t="shared" si="6"/>
        <v>0</v>
      </c>
      <c r="I37" s="19">
        <v>44781.354861111111</v>
      </c>
      <c r="J37" s="1">
        <v>1.2913789611719901E-6</v>
      </c>
      <c r="K37" s="21">
        <v>1.3033880545000001</v>
      </c>
      <c r="L37" s="2">
        <v>0</v>
      </c>
      <c r="M37" s="23">
        <f t="shared" si="7"/>
        <v>0</v>
      </c>
      <c r="N37" s="20">
        <f t="shared" si="23"/>
        <v>0</v>
      </c>
      <c r="O37" s="65">
        <f t="shared" si="9"/>
        <v>0</v>
      </c>
      <c r="Q37" s="27">
        <v>45136.354166666664</v>
      </c>
      <c r="R37" s="51">
        <v>1.4334682298450499E-3</v>
      </c>
      <c r="S37" s="47">
        <v>1.145105356</v>
      </c>
      <c r="T37" s="2">
        <v>6943</v>
      </c>
      <c r="U37" s="29">
        <f t="shared" si="10"/>
        <v>115.71666666666667</v>
      </c>
      <c r="V37" s="29">
        <f t="shared" si="24"/>
        <v>0.16587616533023636</v>
      </c>
      <c r="W37" s="70">
        <f t="shared" si="11"/>
        <v>5.2433150218928919</v>
      </c>
      <c r="Y37" s="32">
        <v>45151.354166666664</v>
      </c>
      <c r="Z37">
        <v>7.0065378135494405E-4</v>
      </c>
      <c r="AA37" s="34">
        <v>0.59425534599999996</v>
      </c>
      <c r="AB37" s="2">
        <v>683</v>
      </c>
      <c r="AC37" s="33">
        <f t="shared" si="12"/>
        <v>11.383333333333333</v>
      </c>
      <c r="AD37" s="105">
        <f t="shared" si="25"/>
        <v>7.9757755444237795E-3</v>
      </c>
      <c r="AE37" s="77">
        <f t="shared" si="13"/>
        <v>0.69895079802453186</v>
      </c>
      <c r="AG37" s="38">
        <v>45166.354166666664</v>
      </c>
      <c r="AH37" s="111">
        <v>1.1236008678644699E-3</v>
      </c>
      <c r="AI37" s="50">
        <v>0.33439968599999997</v>
      </c>
      <c r="AJ37" s="2">
        <v>1395</v>
      </c>
      <c r="AK37" s="40">
        <f t="shared" si="14"/>
        <v>23.25</v>
      </c>
      <c r="AL37" s="49">
        <f t="shared" si="26"/>
        <v>2.6123720177848926E-2</v>
      </c>
      <c r="AM37" s="73">
        <f t="shared" si="15"/>
        <v>1.5366700939269415</v>
      </c>
      <c r="AO37" s="43">
        <v>45183.354166666664</v>
      </c>
      <c r="AP37" s="111">
        <v>1.2762729876488301E-3</v>
      </c>
      <c r="AQ37" s="46">
        <v>0.62723254799999995</v>
      </c>
      <c r="AR37" s="2">
        <v>1693</v>
      </c>
      <c r="AS37" s="45">
        <f t="shared" si="16"/>
        <v>28.216666666666665</v>
      </c>
      <c r="AT37" s="45">
        <f t="shared" si="27"/>
        <v>3.6012169468157822E-2</v>
      </c>
      <c r="AU37" s="80">
        <f t="shared" si="17"/>
        <v>1.9017424871871682</v>
      </c>
      <c r="AW37" s="7">
        <v>45037.520833333336</v>
      </c>
      <c r="AX37" s="51">
        <v>3.22880644461144E-3</v>
      </c>
      <c r="AY37" s="16">
        <v>65.743635260000005</v>
      </c>
      <c r="AZ37" s="2">
        <v>38844</v>
      </c>
      <c r="BA37" s="16">
        <f t="shared" si="18"/>
        <v>647.4</v>
      </c>
      <c r="BB37" s="9">
        <f t="shared" si="19"/>
        <v>2.0903292922414463</v>
      </c>
      <c r="BC37" s="119">
        <f t="shared" si="20"/>
        <v>28.202781904927054</v>
      </c>
      <c r="BE37" s="57">
        <f>_xlfn.FORECAST.LINEAR(BG37,BE35:BE36,BG35:BG36)</f>
        <v>45051.644660865102</v>
      </c>
      <c r="BF37" s="26">
        <f>_xlfn.FORECAST.LINEAR(BG37,BF35:BF36,BG35:BG36)</f>
        <v>101.85511326042339</v>
      </c>
      <c r="BG37" s="14">
        <v>43.64</v>
      </c>
      <c r="BH37" s="57">
        <f>_xlfn.FORECAST.LINEAR(BJ37,BH35:BH36,BJ35:BJ36)</f>
        <v>45044.125968649161</v>
      </c>
      <c r="BI37" s="26">
        <f>BI27</f>
        <v>66.739391812266845</v>
      </c>
      <c r="BJ37" s="14">
        <v>82</v>
      </c>
      <c r="BK37" s="102"/>
      <c r="BM37" s="104"/>
      <c r="BO37" s="102"/>
      <c r="BP37" s="2"/>
      <c r="BQ37" s="102"/>
      <c r="BR37" s="4"/>
      <c r="BS37" s="5"/>
      <c r="BU37" s="6"/>
      <c r="BV37" s="103"/>
      <c r="BW37" s="102"/>
      <c r="BY37" s="102"/>
      <c r="BZ37" s="102"/>
      <c r="CA37" s="102"/>
    </row>
    <row r="38" spans="1:79" x14ac:dyDescent="0.3">
      <c r="A38" s="7">
        <v>44776.365277777775</v>
      </c>
      <c r="B38" s="89">
        <v>9.84825997732359E-8</v>
      </c>
      <c r="C38" s="8">
        <v>0.72191215399999997</v>
      </c>
      <c r="D38" s="2">
        <v>0</v>
      </c>
      <c r="E38" s="9">
        <f t="shared" si="4"/>
        <v>0</v>
      </c>
      <c r="F38" s="8">
        <f t="shared" si="22"/>
        <v>0</v>
      </c>
      <c r="G38" s="60">
        <f t="shared" si="6"/>
        <v>0</v>
      </c>
      <c r="I38" s="19">
        <v>44781.365277777775</v>
      </c>
      <c r="J38" s="1">
        <v>1.20357981018381E-6</v>
      </c>
      <c r="K38" s="21">
        <v>1.2281127095</v>
      </c>
      <c r="L38" s="2">
        <v>0</v>
      </c>
      <c r="M38" s="23">
        <f t="shared" si="7"/>
        <v>0</v>
      </c>
      <c r="N38" s="20">
        <f t="shared" si="23"/>
        <v>0</v>
      </c>
      <c r="O38" s="65">
        <f t="shared" si="9"/>
        <v>0</v>
      </c>
      <c r="Q38" s="27">
        <v>45136.364583333336</v>
      </c>
      <c r="R38" s="51">
        <v>1.6177160856497999E-3</v>
      </c>
      <c r="S38" s="47">
        <v>1.145105356</v>
      </c>
      <c r="T38" s="2">
        <v>5718</v>
      </c>
      <c r="U38" s="29">
        <f t="shared" si="10"/>
        <v>95.3</v>
      </c>
      <c r="V38" s="29">
        <f t="shared" si="24"/>
        <v>0.15416834296242593</v>
      </c>
      <c r="W38" s="70">
        <f t="shared" si="11"/>
        <v>4.9945710976734947</v>
      </c>
      <c r="Y38" s="32">
        <v>45151.364583333336</v>
      </c>
      <c r="Z38">
        <v>8.73180461969503E-4</v>
      </c>
      <c r="AA38" s="34">
        <v>0.66168135500000003</v>
      </c>
      <c r="AB38" s="2">
        <v>721</v>
      </c>
      <c r="AC38" s="33">
        <f t="shared" si="12"/>
        <v>12.016666666666667</v>
      </c>
      <c r="AD38" s="105">
        <f t="shared" si="25"/>
        <v>1.0492718551333529E-2</v>
      </c>
      <c r="AE38" s="77">
        <f t="shared" si="13"/>
        <v>0.83856944067614769</v>
      </c>
      <c r="AG38" s="38">
        <v>45166.364583333336</v>
      </c>
      <c r="AH38" s="111">
        <v>1.3413689372120301E-3</v>
      </c>
      <c r="AI38" s="50">
        <v>0.377160934</v>
      </c>
      <c r="AJ38" s="2">
        <v>2146</v>
      </c>
      <c r="AK38" s="40">
        <f t="shared" si="14"/>
        <v>35.766666666666666</v>
      </c>
      <c r="AL38" s="49">
        <f t="shared" si="26"/>
        <v>4.7976295654283609E-2</v>
      </c>
      <c r="AM38" s="73">
        <f t="shared" si="15"/>
        <v>2.300758953444475</v>
      </c>
      <c r="AO38" s="43">
        <v>45183.364583333336</v>
      </c>
      <c r="AP38" s="111">
        <v>7.5009987765744298E-4</v>
      </c>
      <c r="AQ38" s="46">
        <v>0.39953381599999999</v>
      </c>
      <c r="AR38" s="2">
        <v>651</v>
      </c>
      <c r="AS38" s="45">
        <f t="shared" si="16"/>
        <v>10.85</v>
      </c>
      <c r="AT38" s="45">
        <f t="shared" si="27"/>
        <v>8.138583672583256E-3</v>
      </c>
      <c r="AU38" s="80">
        <f t="shared" si="17"/>
        <v>0.70839226242854092</v>
      </c>
      <c r="AW38" s="7">
        <v>45037.53125</v>
      </c>
      <c r="AX38" s="51">
        <v>2.9827775895815501E-3</v>
      </c>
      <c r="AY38" s="16">
        <v>63.462041390000003</v>
      </c>
      <c r="AZ38" s="2">
        <v>38650</v>
      </c>
      <c r="BA38" s="16">
        <f t="shared" si="18"/>
        <v>644.16666666666663</v>
      </c>
      <c r="BB38" s="9">
        <f t="shared" si="19"/>
        <v>1.9214058972887818</v>
      </c>
      <c r="BC38" s="119">
        <f t="shared" si="20"/>
        <v>26.668124816434773</v>
      </c>
      <c r="BH38" s="2"/>
      <c r="BK38" s="102"/>
      <c r="BM38" s="104"/>
      <c r="BO38" s="102"/>
      <c r="BP38" s="2"/>
      <c r="BQ38" s="102"/>
      <c r="BR38" s="4"/>
      <c r="BS38" s="5"/>
      <c r="BU38" s="6"/>
      <c r="BV38" s="103"/>
      <c r="BW38" s="102"/>
      <c r="BY38" s="102"/>
      <c r="BZ38" s="102"/>
      <c r="CA38" s="102"/>
    </row>
    <row r="39" spans="1:79" x14ac:dyDescent="0.3">
      <c r="A39" s="7">
        <v>44776.375694444447</v>
      </c>
      <c r="B39" s="89">
        <v>1.2803878825587399E-7</v>
      </c>
      <c r="C39" s="8">
        <v>0.77710206100000001</v>
      </c>
      <c r="D39" s="2">
        <v>0</v>
      </c>
      <c r="E39" s="9">
        <f t="shared" si="4"/>
        <v>0</v>
      </c>
      <c r="F39" s="8">
        <f t="shared" si="22"/>
        <v>0</v>
      </c>
      <c r="G39" s="60">
        <f t="shared" si="6"/>
        <v>0</v>
      </c>
      <c r="I39" s="19">
        <v>44781.375694444447</v>
      </c>
      <c r="J39" s="1">
        <v>8.6926546504997798E-7</v>
      </c>
      <c r="K39" s="21">
        <v>1.1599344165000001</v>
      </c>
      <c r="L39" s="2">
        <v>0</v>
      </c>
      <c r="M39" s="23">
        <f t="shared" si="7"/>
        <v>0</v>
      </c>
      <c r="N39" s="20">
        <f t="shared" si="23"/>
        <v>0</v>
      </c>
      <c r="O39" s="65">
        <f t="shared" si="9"/>
        <v>0</v>
      </c>
      <c r="Q39" s="27">
        <v>45136.375</v>
      </c>
      <c r="R39" s="51">
        <v>1.1741717045410001E-3</v>
      </c>
      <c r="S39" s="47">
        <v>0.99150227300000005</v>
      </c>
      <c r="T39" s="2">
        <v>3378</v>
      </c>
      <c r="U39" s="29">
        <f t="shared" si="10"/>
        <v>56.3</v>
      </c>
      <c r="V39" s="29">
        <f t="shared" si="24"/>
        <v>6.6105866965658303E-2</v>
      </c>
      <c r="W39" s="70">
        <f t="shared" si="11"/>
        <v>2.8464840025781006</v>
      </c>
      <c r="Y39" s="32">
        <v>45151.375</v>
      </c>
      <c r="Z39">
        <v>9.69582634497629E-4</v>
      </c>
      <c r="AA39" s="34">
        <v>0.81307424100000003</v>
      </c>
      <c r="AB39" s="2">
        <v>1423</v>
      </c>
      <c r="AC39" s="33">
        <f t="shared" si="12"/>
        <v>23.716666666666665</v>
      </c>
      <c r="AD39" s="105">
        <f t="shared" si="25"/>
        <v>2.2995268148168765E-2</v>
      </c>
      <c r="AE39" s="77">
        <f t="shared" si="13"/>
        <v>1.4118785278664845</v>
      </c>
      <c r="AG39" s="38">
        <v>45166.375</v>
      </c>
      <c r="AH39" s="111">
        <v>1.03616890816342E-3</v>
      </c>
      <c r="AI39" s="50">
        <v>0.33439968599999997</v>
      </c>
      <c r="AJ39" s="2">
        <v>1543</v>
      </c>
      <c r="AK39" s="40">
        <f t="shared" si="14"/>
        <v>25.716666666666665</v>
      </c>
      <c r="AL39" s="49">
        <f t="shared" si="26"/>
        <v>2.6646810421602614E-2</v>
      </c>
      <c r="AM39" s="73">
        <f t="shared" si="15"/>
        <v>1.5570330030774227</v>
      </c>
      <c r="AO39" s="43">
        <v>45183.375</v>
      </c>
      <c r="AP39" s="111">
        <v>5.5226230387114199E-4</v>
      </c>
      <c r="AQ39" s="46">
        <v>0.39953381599999999</v>
      </c>
      <c r="AR39" s="2">
        <v>552</v>
      </c>
      <c r="AS39" s="45">
        <f t="shared" si="16"/>
        <v>9.1999999999999993</v>
      </c>
      <c r="AT39" s="45">
        <f t="shared" si="27"/>
        <v>5.0808131956145055E-3</v>
      </c>
      <c r="AU39" s="80">
        <f t="shared" si="17"/>
        <v>0.51809457769249168</v>
      </c>
      <c r="AW39" s="7">
        <v>45037.541666666664</v>
      </c>
      <c r="AX39" s="51">
        <v>3.0499985827279899E-3</v>
      </c>
      <c r="AY39" s="16">
        <v>67.106545600000004</v>
      </c>
      <c r="AZ39" s="2">
        <v>38983</v>
      </c>
      <c r="BA39" s="16">
        <f t="shared" si="18"/>
        <v>649.7166666666667</v>
      </c>
      <c r="BB39" s="9">
        <f t="shared" si="19"/>
        <v>1.9816349125080872</v>
      </c>
      <c r="BC39" s="119">
        <f t="shared" si="20"/>
        <v>27.22031108530242</v>
      </c>
      <c r="BE39" s="93" t="s">
        <v>27</v>
      </c>
      <c r="BF39" s="94" t="s">
        <v>28</v>
      </c>
      <c r="BG39" s="95"/>
      <c r="BH39" s="93" t="s">
        <v>27</v>
      </c>
      <c r="BI39" s="94" t="s">
        <v>29</v>
      </c>
      <c r="BJ39" s="95"/>
      <c r="BK39" s="102"/>
      <c r="BM39" s="104"/>
      <c r="BO39" s="102"/>
      <c r="BP39" s="2"/>
      <c r="BQ39" s="102"/>
      <c r="BR39" s="4"/>
      <c r="BS39" s="5"/>
      <c r="BU39" s="6"/>
      <c r="BV39" s="103"/>
      <c r="BW39" s="102"/>
      <c r="BY39" s="102"/>
      <c r="BZ39" s="102"/>
      <c r="CA39" s="102"/>
    </row>
    <row r="40" spans="1:79" x14ac:dyDescent="0.3">
      <c r="A40" s="7">
        <v>44776.386111111111</v>
      </c>
      <c r="B40" s="89">
        <v>1.2629784050930401E-7</v>
      </c>
      <c r="C40" s="8">
        <v>0.73831050949999999</v>
      </c>
      <c r="D40" s="2">
        <v>0</v>
      </c>
      <c r="E40" s="9">
        <f t="shared" si="4"/>
        <v>0</v>
      </c>
      <c r="F40" s="8">
        <f t="shared" si="22"/>
        <v>0</v>
      </c>
      <c r="G40" s="60">
        <f t="shared" si="6"/>
        <v>0</v>
      </c>
      <c r="I40" s="19">
        <v>44781.386111111111</v>
      </c>
      <c r="J40" s="1">
        <v>9.852675059605111E-7</v>
      </c>
      <c r="K40" s="21">
        <v>1.1715929684999999</v>
      </c>
      <c r="L40" s="2">
        <v>0</v>
      </c>
      <c r="M40" s="23">
        <f t="shared" si="7"/>
        <v>0</v>
      </c>
      <c r="N40" s="20">
        <f t="shared" si="23"/>
        <v>0</v>
      </c>
      <c r="O40" s="65">
        <f t="shared" si="9"/>
        <v>0</v>
      </c>
      <c r="Q40" s="27">
        <v>45136.385416666664</v>
      </c>
      <c r="R40" s="51">
        <v>1.59431026843857E-3</v>
      </c>
      <c r="S40" s="47">
        <v>0.99150227300000005</v>
      </c>
      <c r="T40" s="2">
        <v>3554</v>
      </c>
      <c r="U40" s="29">
        <f t="shared" si="10"/>
        <v>59.233333333333334</v>
      </c>
      <c r="V40" s="29">
        <f t="shared" si="24"/>
        <v>9.4436311567177966E-2</v>
      </c>
      <c r="W40" s="70">
        <f t="shared" si="11"/>
        <v>3.6071291384705018</v>
      </c>
      <c r="Y40" s="32">
        <v>45151.385416666664</v>
      </c>
      <c r="Z40">
        <v>6.4802012084684102E-4</v>
      </c>
      <c r="AA40" s="34">
        <v>0.50323377899999999</v>
      </c>
      <c r="AB40" s="2">
        <v>396</v>
      </c>
      <c r="AC40" s="33">
        <f t="shared" si="12"/>
        <v>6.6</v>
      </c>
      <c r="AD40" s="105">
        <f t="shared" si="25"/>
        <v>4.2769327975891508E-3</v>
      </c>
      <c r="AE40" s="77">
        <f t="shared" si="13"/>
        <v>0.46210568879304548</v>
      </c>
      <c r="AG40" s="38">
        <v>45166.385416666664</v>
      </c>
      <c r="AH40" s="111">
        <v>1.59327659599195E-3</v>
      </c>
      <c r="AI40" s="50">
        <v>0.44939223900000003</v>
      </c>
      <c r="AJ40" s="2">
        <v>3157</v>
      </c>
      <c r="AK40" s="40">
        <f t="shared" si="14"/>
        <v>52.616666666666667</v>
      </c>
      <c r="AL40" s="49">
        <f t="shared" si="26"/>
        <v>8.3832903559109773E-2</v>
      </c>
      <c r="AM40" s="73">
        <f t="shared" si="15"/>
        <v>3.3328565179617673</v>
      </c>
      <c r="AO40" s="43">
        <v>45183.385416666664</v>
      </c>
      <c r="AP40" s="111">
        <v>7.9036298610927005E-4</v>
      </c>
      <c r="AQ40" s="46">
        <v>0.44894941300000002</v>
      </c>
      <c r="AR40" s="2">
        <v>735</v>
      </c>
      <c r="AS40" s="45">
        <f t="shared" si="16"/>
        <v>12.25</v>
      </c>
      <c r="AT40" s="45">
        <f t="shared" si="27"/>
        <v>9.6819465798385577E-3</v>
      </c>
      <c r="AU40" s="80">
        <f t="shared" si="17"/>
        <v>0.79496609175790134</v>
      </c>
      <c r="AW40" s="7">
        <v>45037.552083333336</v>
      </c>
      <c r="AX40" s="51">
        <v>3.4673313971364502E-3</v>
      </c>
      <c r="AY40" s="16">
        <v>69.822823</v>
      </c>
      <c r="AZ40" s="2">
        <v>39268</v>
      </c>
      <c r="BA40" s="16">
        <f t="shared" si="18"/>
        <v>654.4666666666667</v>
      </c>
      <c r="BB40" s="9">
        <f t="shared" si="19"/>
        <v>2.2692528217125689</v>
      </c>
      <c r="BC40" s="119">
        <f t="shared" si="20"/>
        <v>29.783492218681417</v>
      </c>
      <c r="BF40" s="10" t="s">
        <v>4</v>
      </c>
      <c r="BG40" s="15" t="s">
        <v>5</v>
      </c>
      <c r="BH40" s="2"/>
      <c r="BI40" s="10" t="s">
        <v>4</v>
      </c>
      <c r="BJ40" s="15" t="s">
        <v>5</v>
      </c>
      <c r="BK40" s="102"/>
      <c r="BM40" s="104"/>
      <c r="BO40" s="102"/>
      <c r="BP40" s="2"/>
      <c r="BQ40" s="102"/>
      <c r="BR40" s="4"/>
      <c r="BS40" s="5"/>
      <c r="BU40" s="6"/>
      <c r="BV40" s="103"/>
      <c r="BW40" s="102"/>
      <c r="BY40" s="102"/>
      <c r="BZ40" s="102"/>
      <c r="CA40" s="102"/>
    </row>
    <row r="41" spans="1:79" x14ac:dyDescent="0.3">
      <c r="A41" s="7">
        <v>44776.396527777775</v>
      </c>
      <c r="B41" s="89">
        <v>8.3491559530010094E-8</v>
      </c>
      <c r="C41" s="8">
        <v>0.65388842250000001</v>
      </c>
      <c r="D41" s="2">
        <v>0</v>
      </c>
      <c r="E41" s="9">
        <f t="shared" si="4"/>
        <v>0</v>
      </c>
      <c r="F41" s="8">
        <f t="shared" si="22"/>
        <v>0</v>
      </c>
      <c r="G41" s="60">
        <f t="shared" si="6"/>
        <v>0</v>
      </c>
      <c r="I41" s="19">
        <v>44781.396527777775</v>
      </c>
      <c r="J41" s="1">
        <v>7.34006066980003E-7</v>
      </c>
      <c r="K41" s="21">
        <v>1.142992303</v>
      </c>
      <c r="L41" s="2">
        <v>0</v>
      </c>
      <c r="M41" s="23">
        <f t="shared" si="7"/>
        <v>0</v>
      </c>
      <c r="N41" s="20">
        <f t="shared" si="23"/>
        <v>0</v>
      </c>
      <c r="O41" s="65">
        <f t="shared" si="9"/>
        <v>0</v>
      </c>
      <c r="Q41" s="27">
        <v>45136.395833333336</v>
      </c>
      <c r="R41" s="51">
        <v>1.2371809243062299E-3</v>
      </c>
      <c r="S41" s="47">
        <v>0.99150227300000005</v>
      </c>
      <c r="T41" s="2">
        <v>3550</v>
      </c>
      <c r="U41" s="29">
        <f t="shared" si="10"/>
        <v>59.166666666666664</v>
      </c>
      <c r="V41" s="29">
        <f t="shared" si="24"/>
        <v>7.319987135478527E-2</v>
      </c>
      <c r="W41" s="70">
        <f t="shared" si="11"/>
        <v>3.0458200057011595</v>
      </c>
      <c r="Y41" s="32">
        <v>45151.395833333336</v>
      </c>
      <c r="Z41">
        <v>6.7921137797036799E-4</v>
      </c>
      <c r="AA41" s="34">
        <v>0.59425534599999996</v>
      </c>
      <c r="AB41" s="2">
        <v>566</v>
      </c>
      <c r="AC41" s="33">
        <f t="shared" si="12"/>
        <v>9.4333333333333336</v>
      </c>
      <c r="AD41" s="105">
        <f t="shared" si="25"/>
        <v>6.4072273321871386E-3</v>
      </c>
      <c r="AE41" s="77">
        <f t="shared" si="13"/>
        <v>0.60436367360851551</v>
      </c>
      <c r="AG41" s="38">
        <v>45166.395833333336</v>
      </c>
      <c r="AH41" s="111">
        <v>1.44385710060365E-3</v>
      </c>
      <c r="AI41" s="50">
        <v>0.377160934</v>
      </c>
      <c r="AJ41" s="2">
        <v>2103</v>
      </c>
      <c r="AK41" s="40">
        <f t="shared" si="14"/>
        <v>35.049999999999997</v>
      </c>
      <c r="AL41" s="49">
        <f t="shared" si="26"/>
        <v>5.0607191376157927E-2</v>
      </c>
      <c r="AM41" s="73">
        <f t="shared" si="15"/>
        <v>2.3837807486598255</v>
      </c>
      <c r="AO41" s="43">
        <v>45183.395833333336</v>
      </c>
      <c r="AP41" s="111">
        <v>4.5815336248230501E-4</v>
      </c>
      <c r="AQ41" s="46">
        <v>0.29572637699999998</v>
      </c>
      <c r="AR41" s="2">
        <v>173</v>
      </c>
      <c r="AS41" s="45">
        <f t="shared" si="16"/>
        <v>2.8833333333333333</v>
      </c>
      <c r="AT41" s="45">
        <f t="shared" si="27"/>
        <v>1.3210088618239794E-3</v>
      </c>
      <c r="AU41" s="80">
        <f t="shared" si="17"/>
        <v>0.21181211134126307</v>
      </c>
      <c r="AW41" s="7">
        <v>45037.5625</v>
      </c>
      <c r="AX41" s="51">
        <v>3.19219990320385E-3</v>
      </c>
      <c r="AY41" s="16">
        <v>67.106545600000004</v>
      </c>
      <c r="AZ41" s="2">
        <v>39760</v>
      </c>
      <c r="BA41" s="16">
        <f t="shared" si="18"/>
        <v>662.66666666666663</v>
      </c>
      <c r="BB41" s="9">
        <f t="shared" si="19"/>
        <v>2.1153644691897511</v>
      </c>
      <c r="BC41" s="119">
        <f t="shared" si="20"/>
        <v>28.426615829448615</v>
      </c>
      <c r="BE41" s="7">
        <f t="shared" ref="BE41:BJ41" si="28">BE36</f>
        <v>45051.645833333336</v>
      </c>
      <c r="BF41" s="4">
        <f t="shared" si="28"/>
        <v>101.7628931</v>
      </c>
      <c r="BG41" s="5">
        <f t="shared" si="28"/>
        <v>43.365422725302956</v>
      </c>
      <c r="BH41" s="7">
        <f t="shared" si="28"/>
        <v>45044.135416666664</v>
      </c>
      <c r="BI41" s="4">
        <f t="shared" si="28"/>
        <v>68.016396760000006</v>
      </c>
      <c r="BJ41" s="5">
        <f t="shared" si="28"/>
        <v>38.085444892253754</v>
      </c>
      <c r="BK41" s="102"/>
      <c r="BM41" s="104"/>
      <c r="BO41" s="102"/>
      <c r="BP41" s="2"/>
      <c r="BQ41" s="102"/>
      <c r="BR41" s="4"/>
      <c r="BS41" s="5"/>
      <c r="BU41" s="6"/>
      <c r="BV41" s="103"/>
      <c r="BW41" s="102"/>
      <c r="BY41" s="102"/>
      <c r="BZ41" s="102"/>
      <c r="CA41" s="102"/>
    </row>
    <row r="42" spans="1:79" x14ac:dyDescent="0.3">
      <c r="A42" s="7">
        <v>44776.406944444447</v>
      </c>
      <c r="B42" s="89">
        <v>7.7510850378197098E-8</v>
      </c>
      <c r="C42" s="8">
        <v>0.66321230600000003</v>
      </c>
      <c r="D42" s="2">
        <v>0</v>
      </c>
      <c r="E42" s="9">
        <f t="shared" si="4"/>
        <v>0</v>
      </c>
      <c r="F42" s="8">
        <f t="shared" si="22"/>
        <v>0</v>
      </c>
      <c r="G42" s="60">
        <f t="shared" si="6"/>
        <v>0</v>
      </c>
      <c r="I42" s="19">
        <v>44781.406944444447</v>
      </c>
      <c r="J42" s="1">
        <v>8.2096638897698601E-7</v>
      </c>
      <c r="K42" s="21">
        <v>1.1391712730000001</v>
      </c>
      <c r="L42" s="2">
        <v>0</v>
      </c>
      <c r="M42" s="23">
        <f t="shared" si="7"/>
        <v>0</v>
      </c>
      <c r="N42" s="20">
        <f t="shared" si="23"/>
        <v>0</v>
      </c>
      <c r="O42" s="65">
        <f t="shared" si="9"/>
        <v>0</v>
      </c>
      <c r="Q42" s="27">
        <v>45136.40625</v>
      </c>
      <c r="R42" s="51">
        <v>1.44559565621977E-3</v>
      </c>
      <c r="S42" s="47">
        <v>1.145105356</v>
      </c>
      <c r="T42" s="2">
        <v>5665</v>
      </c>
      <c r="U42" s="29">
        <f t="shared" si="10"/>
        <v>94.416666666666671</v>
      </c>
      <c r="V42" s="29">
        <f t="shared" si="24"/>
        <v>0.1364883232080833</v>
      </c>
      <c r="W42" s="70">
        <f t="shared" si="11"/>
        <v>4.6065182364935371</v>
      </c>
      <c r="Y42" s="32">
        <v>45151.40625</v>
      </c>
      <c r="Z42">
        <v>7.4816269362460797E-4</v>
      </c>
      <c r="AA42" s="34">
        <v>0.59425534599999996</v>
      </c>
      <c r="AB42" s="2">
        <v>591</v>
      </c>
      <c r="AC42" s="33">
        <f t="shared" si="12"/>
        <v>9.85</v>
      </c>
      <c r="AD42" s="105">
        <f t="shared" si="25"/>
        <v>7.3694025322023887E-3</v>
      </c>
      <c r="AE42" s="77">
        <f t="shared" si="13"/>
        <v>0.66319984691824219</v>
      </c>
      <c r="AG42" s="38">
        <v>45166.40625</v>
      </c>
      <c r="AH42" s="111">
        <v>8.86171598734897E-4</v>
      </c>
      <c r="AI42" s="50">
        <v>0.314737561</v>
      </c>
      <c r="AJ42" s="2">
        <v>1175</v>
      </c>
      <c r="AK42" s="40">
        <f t="shared" si="14"/>
        <v>19.583333333333332</v>
      </c>
      <c r="AL42" s="49">
        <f t="shared" si="26"/>
        <v>1.7354193808558398E-2</v>
      </c>
      <c r="AM42" s="73">
        <f t="shared" si="15"/>
        <v>1.1712077411360666</v>
      </c>
      <c r="AO42" s="43">
        <v>45183.40625</v>
      </c>
      <c r="AP42" s="111">
        <v>7.0423439525830003E-4</v>
      </c>
      <c r="AQ42" s="46">
        <v>0.376777213</v>
      </c>
      <c r="AR42" s="2">
        <v>427</v>
      </c>
      <c r="AS42" s="45">
        <f t="shared" si="16"/>
        <v>7.1166666666666663</v>
      </c>
      <c r="AT42" s="45">
        <f t="shared" si="27"/>
        <v>5.0118014462549017E-3</v>
      </c>
      <c r="AU42" s="80">
        <f t="shared" si="17"/>
        <v>0.51341116037873902</v>
      </c>
      <c r="AW42" s="7">
        <v>45037.572916666664</v>
      </c>
      <c r="AX42" s="51">
        <v>3.03492093411404E-3</v>
      </c>
      <c r="AY42" s="16">
        <v>70.727821939999998</v>
      </c>
      <c r="AZ42" s="2">
        <v>39479</v>
      </c>
      <c r="BA42" s="16">
        <f t="shared" si="18"/>
        <v>657.98333333333335</v>
      </c>
      <c r="BB42" s="9">
        <f t="shared" si="19"/>
        <v>1.9969273926314699</v>
      </c>
      <c r="BC42" s="119">
        <f t="shared" si="20"/>
        <v>27.359611995958346</v>
      </c>
      <c r="BG42" s="4"/>
      <c r="BH42" s="4"/>
      <c r="BI42" s="5"/>
      <c r="BJ42" s="6"/>
      <c r="BK42" s="102"/>
      <c r="BM42" s="104"/>
      <c r="BO42" s="102"/>
      <c r="BP42" s="2"/>
      <c r="BQ42" s="102"/>
      <c r="BR42" s="4"/>
      <c r="BS42" s="5"/>
      <c r="BU42" s="6"/>
      <c r="BV42" s="103"/>
      <c r="BW42" s="102"/>
      <c r="BY42" s="102"/>
      <c r="BZ42" s="102"/>
      <c r="CA42" s="102"/>
    </row>
    <row r="43" spans="1:79" x14ac:dyDescent="0.3">
      <c r="A43" s="7">
        <v>44776.417361111111</v>
      </c>
      <c r="B43" s="89">
        <v>1.45550665327585E-7</v>
      </c>
      <c r="C43" s="8">
        <v>0.73972780449999997</v>
      </c>
      <c r="D43" s="2">
        <v>0</v>
      </c>
      <c r="E43" s="9">
        <f t="shared" si="4"/>
        <v>0</v>
      </c>
      <c r="F43" s="8">
        <f t="shared" si="22"/>
        <v>0</v>
      </c>
      <c r="G43" s="60">
        <f t="shared" si="6"/>
        <v>0</v>
      </c>
      <c r="I43" s="19">
        <v>44781.417361111111</v>
      </c>
      <c r="J43" s="1">
        <v>7.5621079985491899E-7</v>
      </c>
      <c r="K43" s="21">
        <v>1.126503907</v>
      </c>
      <c r="L43" s="2">
        <v>0</v>
      </c>
      <c r="M43" s="23">
        <f t="shared" si="7"/>
        <v>0</v>
      </c>
      <c r="N43" s="20">
        <f t="shared" si="23"/>
        <v>0</v>
      </c>
      <c r="O43" s="65">
        <f t="shared" si="9"/>
        <v>0</v>
      </c>
      <c r="Q43" s="27">
        <v>45136.416666666664</v>
      </c>
      <c r="R43" s="51">
        <v>1.0477122003674001E-3</v>
      </c>
      <c r="S43" s="47">
        <v>0.89859415399999998</v>
      </c>
      <c r="T43" s="2">
        <v>2228</v>
      </c>
      <c r="U43" s="29">
        <f t="shared" si="10"/>
        <v>37.133333333333333</v>
      </c>
      <c r="V43" s="29">
        <f t="shared" si="24"/>
        <v>3.8905046373642789E-2</v>
      </c>
      <c r="W43" s="70">
        <f t="shared" si="11"/>
        <v>2.0018582687797637</v>
      </c>
      <c r="Y43" s="32">
        <v>45151.416666666664</v>
      </c>
      <c r="Z43">
        <v>1.0649933703443699E-3</v>
      </c>
      <c r="AA43" s="34">
        <v>0.69769667099999999</v>
      </c>
      <c r="AB43" s="2">
        <v>1032</v>
      </c>
      <c r="AC43" s="33">
        <f t="shared" si="12"/>
        <v>17.2</v>
      </c>
      <c r="AD43" s="105">
        <f t="shared" si="25"/>
        <v>1.8317885969923162E-2</v>
      </c>
      <c r="AE43" s="77">
        <f t="shared" si="13"/>
        <v>1.2139998052251619</v>
      </c>
      <c r="AG43" s="38">
        <v>45166.416666666664</v>
      </c>
      <c r="AH43" s="111">
        <v>1.39054190186292E-3</v>
      </c>
      <c r="AI43" s="50">
        <v>0.377160934</v>
      </c>
      <c r="AJ43" s="2">
        <v>2086</v>
      </c>
      <c r="AK43" s="40">
        <f t="shared" si="14"/>
        <v>34.766666666666666</v>
      </c>
      <c r="AL43" s="49">
        <f t="shared" si="26"/>
        <v>4.8344506788100851E-2</v>
      </c>
      <c r="AM43" s="73">
        <f t="shared" si="15"/>
        <v>2.3124687940121027</v>
      </c>
      <c r="AO43" s="43">
        <v>45183.416666666664</v>
      </c>
      <c r="AP43" s="111">
        <v>7.4413637279768905E-4</v>
      </c>
      <c r="AQ43" s="46">
        <v>0.376777213</v>
      </c>
      <c r="AR43" s="2">
        <v>435</v>
      </c>
      <c r="AS43" s="45">
        <f t="shared" si="16"/>
        <v>7.25</v>
      </c>
      <c r="AT43" s="45">
        <f t="shared" si="27"/>
        <v>5.3949887027832455E-3</v>
      </c>
      <c r="AU43" s="80">
        <f t="shared" si="17"/>
        <v>0.53915185300721358</v>
      </c>
      <c r="AW43" s="7">
        <v>45037.583333333336</v>
      </c>
      <c r="AX43" s="51">
        <v>3.1957521271651799E-3</v>
      </c>
      <c r="AY43" s="16">
        <v>64.83012798</v>
      </c>
      <c r="AZ43" s="2">
        <v>40056</v>
      </c>
      <c r="BA43" s="16">
        <f t="shared" si="18"/>
        <v>667.6</v>
      </c>
      <c r="BB43" s="9">
        <f t="shared" si="19"/>
        <v>2.1334841200954742</v>
      </c>
      <c r="BC43" s="119">
        <f t="shared" si="20"/>
        <v>28.588064627940636</v>
      </c>
      <c r="BE43" s="6"/>
      <c r="BH43" s="2"/>
      <c r="BI43" s="5"/>
      <c r="BJ43" s="102"/>
      <c r="BK43" s="102"/>
      <c r="BM43" s="104"/>
      <c r="BO43" s="102"/>
      <c r="BP43" s="2"/>
      <c r="BQ43" s="102"/>
      <c r="BR43" s="4"/>
      <c r="BS43" s="5"/>
      <c r="BU43" s="6"/>
      <c r="BV43" s="103"/>
      <c r="BW43" s="102"/>
      <c r="BY43" s="102"/>
      <c r="BZ43" s="102"/>
      <c r="CA43" s="102"/>
    </row>
    <row r="44" spans="1:79" x14ac:dyDescent="0.3">
      <c r="A44" s="7">
        <v>44776.427777777775</v>
      </c>
      <c r="B44" s="89">
        <v>1.03039015709554E-7</v>
      </c>
      <c r="C44" s="8">
        <v>0.72333429699999996</v>
      </c>
      <c r="D44" s="2">
        <v>0</v>
      </c>
      <c r="E44" s="9">
        <f t="shared" si="4"/>
        <v>0</v>
      </c>
      <c r="F44" s="8">
        <f t="shared" si="22"/>
        <v>0</v>
      </c>
      <c r="G44" s="60">
        <f t="shared" si="6"/>
        <v>0</v>
      </c>
      <c r="I44" s="19">
        <v>44781.427777777775</v>
      </c>
      <c r="J44" s="1">
        <v>8.4164204860494604E-7</v>
      </c>
      <c r="K44" s="21">
        <v>1.1902769595</v>
      </c>
      <c r="L44" s="2">
        <v>0</v>
      </c>
      <c r="M44" s="23">
        <f t="shared" si="7"/>
        <v>0</v>
      </c>
      <c r="N44" s="20">
        <f t="shared" si="23"/>
        <v>0</v>
      </c>
      <c r="O44" s="65">
        <f t="shared" si="9"/>
        <v>0</v>
      </c>
      <c r="Q44" s="27">
        <v>45136.427083333336</v>
      </c>
      <c r="R44" s="51">
        <v>1.53306881380784E-3</v>
      </c>
      <c r="S44" s="47">
        <v>0.89859415399999998</v>
      </c>
      <c r="T44" s="2">
        <v>2753</v>
      </c>
      <c r="U44" s="29">
        <f t="shared" si="10"/>
        <v>45.883333333333333</v>
      </c>
      <c r="V44" s="29">
        <f t="shared" si="24"/>
        <v>7.0342307406883062E-2</v>
      </c>
      <c r="W44" s="70">
        <f t="shared" si="11"/>
        <v>2.9663419461838969</v>
      </c>
      <c r="Y44" s="32">
        <v>45151.427083333336</v>
      </c>
      <c r="Z44">
        <v>9.1171450450261502E-4</v>
      </c>
      <c r="AA44" s="34">
        <v>0.59425534599999996</v>
      </c>
      <c r="AB44" s="2">
        <v>628</v>
      </c>
      <c r="AC44" s="33">
        <f t="shared" si="12"/>
        <v>10.466666666666667</v>
      </c>
      <c r="AD44" s="105">
        <f t="shared" si="25"/>
        <v>9.5426118137940368E-3</v>
      </c>
      <c r="AE44" s="77">
        <f t="shared" si="13"/>
        <v>0.78735110766950112</v>
      </c>
      <c r="AG44" s="38">
        <v>45166.427083333336</v>
      </c>
      <c r="AH44" s="111">
        <v>1.3727592231566701E-3</v>
      </c>
      <c r="AI44" s="50">
        <v>0.377160934</v>
      </c>
      <c r="AJ44" s="2">
        <v>2325</v>
      </c>
      <c r="AK44" s="40">
        <f t="shared" si="14"/>
        <v>38.75</v>
      </c>
      <c r="AL44" s="49">
        <f t="shared" si="26"/>
        <v>5.3194419897320967E-2</v>
      </c>
      <c r="AM44" s="73">
        <f t="shared" si="15"/>
        <v>2.4640213077435669</v>
      </c>
      <c r="AO44" s="43">
        <v>45183.427083333336</v>
      </c>
      <c r="AP44" s="111">
        <v>4.5910789612025699E-4</v>
      </c>
      <c r="AQ44" s="46">
        <v>0.33439968599999997</v>
      </c>
      <c r="AR44" s="2">
        <v>299</v>
      </c>
      <c r="AS44" s="45">
        <f t="shared" si="16"/>
        <v>4.9833333333333334</v>
      </c>
      <c r="AT44" s="45">
        <f t="shared" si="27"/>
        <v>2.2878876823326142E-3</v>
      </c>
      <c r="AU44" s="80">
        <f t="shared" si="17"/>
        <v>0.30502400896899989</v>
      </c>
      <c r="AW44" s="7">
        <v>45037.59375</v>
      </c>
      <c r="AX44" s="51">
        <v>3.3456415960281599E-3</v>
      </c>
      <c r="AY44" s="16">
        <v>67.106545600000004</v>
      </c>
      <c r="AZ44" s="2">
        <v>39797</v>
      </c>
      <c r="BA44" s="16">
        <f t="shared" si="18"/>
        <v>663.2833333333333</v>
      </c>
      <c r="BB44" s="9">
        <f t="shared" si="19"/>
        <v>2.2191083099522113</v>
      </c>
      <c r="BC44" s="119">
        <f t="shared" si="20"/>
        <v>29.344850932581853</v>
      </c>
      <c r="BE44" s="6"/>
      <c r="BG44" s="4"/>
      <c r="BH44" s="2"/>
      <c r="BI44" s="5"/>
      <c r="BJ44" s="102"/>
      <c r="BK44" s="102"/>
      <c r="BM44" s="104"/>
      <c r="BO44" s="102"/>
      <c r="BP44" s="2"/>
      <c r="BQ44" s="102"/>
      <c r="BR44" s="4"/>
      <c r="BS44" s="5"/>
      <c r="BU44" s="6"/>
      <c r="BV44" s="103"/>
      <c r="BW44" s="102"/>
      <c r="BY44" s="102"/>
      <c r="BZ44" s="102"/>
      <c r="CA44" s="102"/>
    </row>
    <row r="45" spans="1:79" x14ac:dyDescent="0.3">
      <c r="A45" s="7">
        <v>44776.438194444447</v>
      </c>
      <c r="B45" s="89">
        <v>1.0138129644085801E-7</v>
      </c>
      <c r="C45" s="8">
        <v>0.71002781749999999</v>
      </c>
      <c r="D45" s="2">
        <v>0</v>
      </c>
      <c r="E45" s="9">
        <f t="shared" si="4"/>
        <v>0</v>
      </c>
      <c r="F45" s="8">
        <f t="shared" si="22"/>
        <v>0</v>
      </c>
      <c r="G45" s="60">
        <f t="shared" si="6"/>
        <v>0</v>
      </c>
      <c r="I45" s="19">
        <v>44781.438194444447</v>
      </c>
      <c r="J45" s="1">
        <v>1.1438939623874601E-6</v>
      </c>
      <c r="K45" s="21">
        <v>1.228492825</v>
      </c>
      <c r="L45" s="2">
        <v>0</v>
      </c>
      <c r="M45" s="23">
        <f t="shared" si="7"/>
        <v>0</v>
      </c>
      <c r="N45" s="20">
        <f t="shared" si="23"/>
        <v>0</v>
      </c>
      <c r="O45" s="65">
        <f t="shared" si="9"/>
        <v>0</v>
      </c>
      <c r="Q45" s="27">
        <v>45136.4375</v>
      </c>
      <c r="R45" s="51">
        <v>1.05737156233194E-3</v>
      </c>
      <c r="S45" s="47">
        <v>0.85535298199999998</v>
      </c>
      <c r="T45" s="2">
        <v>2104</v>
      </c>
      <c r="U45" s="29">
        <f t="shared" si="10"/>
        <v>35.06666666666667</v>
      </c>
      <c r="V45" s="29">
        <f t="shared" si="24"/>
        <v>3.7078496119106699E-2</v>
      </c>
      <c r="W45" s="70">
        <f t="shared" si="11"/>
        <v>1.9389493555492383</v>
      </c>
      <c r="Y45" s="32">
        <v>45151.4375</v>
      </c>
      <c r="Z45">
        <v>7.1571484371569702E-4</v>
      </c>
      <c r="AA45" s="34">
        <v>0.59425534599999996</v>
      </c>
      <c r="AB45" s="2">
        <v>535</v>
      </c>
      <c r="AC45" s="33">
        <f t="shared" si="12"/>
        <v>8.9166666666666661</v>
      </c>
      <c r="AD45" s="105">
        <f t="shared" si="25"/>
        <v>6.3817906897982984E-3</v>
      </c>
      <c r="AE45" s="77">
        <f t="shared" si="13"/>
        <v>0.60276946130815545</v>
      </c>
      <c r="AG45" s="38">
        <v>45166.4375</v>
      </c>
      <c r="AH45" s="111">
        <v>1.39003894628934E-3</v>
      </c>
      <c r="AI45" s="50">
        <v>0.44939223900000003</v>
      </c>
      <c r="AJ45" s="2">
        <v>3145</v>
      </c>
      <c r="AK45" s="40">
        <f t="shared" si="14"/>
        <v>52.416666666666664</v>
      </c>
      <c r="AL45" s="49">
        <f t="shared" si="26"/>
        <v>7.2861208101332897E-2</v>
      </c>
      <c r="AM45" s="73">
        <f t="shared" si="15"/>
        <v>3.0364558592190143</v>
      </c>
      <c r="AO45" s="43">
        <v>45183.4375</v>
      </c>
      <c r="AP45" s="111">
        <v>5.9909396689948396E-4</v>
      </c>
      <c r="AQ45" s="46">
        <v>0.399936554</v>
      </c>
      <c r="AR45" s="2">
        <v>556</v>
      </c>
      <c r="AS45" s="45">
        <f t="shared" si="16"/>
        <v>9.2666666666666675</v>
      </c>
      <c r="AT45" s="45">
        <f t="shared" si="27"/>
        <v>5.5516040932685516E-3</v>
      </c>
      <c r="AU45" s="80">
        <f t="shared" si="17"/>
        <v>0.54949438562863151</v>
      </c>
      <c r="AW45" s="7">
        <v>45037.604166666664</v>
      </c>
      <c r="AX45" s="51">
        <v>3.3238421594675199E-3</v>
      </c>
      <c r="AY45" s="16">
        <v>70.727821939999998</v>
      </c>
      <c r="AZ45" s="2">
        <v>40353</v>
      </c>
      <c r="BA45" s="16">
        <f t="shared" si="18"/>
        <v>672.55</v>
      </c>
      <c r="BB45" s="9">
        <f t="shared" si="19"/>
        <v>2.2354500443498804</v>
      </c>
      <c r="BC45" s="119">
        <f t="shared" si="20"/>
        <v>29.488163330741848</v>
      </c>
      <c r="BE45" s="6"/>
      <c r="BG45" s="4"/>
      <c r="BH45" s="2"/>
      <c r="BI45" s="5"/>
      <c r="BJ45" s="102"/>
      <c r="BK45" s="102"/>
      <c r="BM45" s="104"/>
      <c r="BO45" s="102"/>
      <c r="BP45" s="2"/>
      <c r="BQ45" s="102"/>
      <c r="BR45" s="4"/>
      <c r="BS45" s="5"/>
      <c r="BU45" s="6"/>
      <c r="BV45" s="103"/>
      <c r="BW45" s="102"/>
      <c r="BY45" s="102"/>
      <c r="BZ45" s="102"/>
      <c r="CA45" s="102"/>
    </row>
    <row r="46" spans="1:79" x14ac:dyDescent="0.3">
      <c r="A46" s="7">
        <v>44776.448611111111</v>
      </c>
      <c r="B46" s="89">
        <v>1.11984058743973E-7</v>
      </c>
      <c r="C46" s="8">
        <v>0.72868923050000001</v>
      </c>
      <c r="D46" s="2">
        <v>0</v>
      </c>
      <c r="E46" s="9">
        <f t="shared" si="4"/>
        <v>0</v>
      </c>
      <c r="F46" s="8">
        <f t="shared" si="22"/>
        <v>0</v>
      </c>
      <c r="G46" s="60">
        <f t="shared" si="6"/>
        <v>0</v>
      </c>
      <c r="I46" s="19">
        <v>44781.448611111111</v>
      </c>
      <c r="J46" s="1">
        <v>9.9576696049404601E-7</v>
      </c>
      <c r="K46" s="21">
        <v>1.212618097</v>
      </c>
      <c r="L46" s="2">
        <v>0</v>
      </c>
      <c r="M46" s="23">
        <f t="shared" si="7"/>
        <v>0</v>
      </c>
      <c r="N46" s="20">
        <f t="shared" si="23"/>
        <v>0</v>
      </c>
      <c r="O46" s="65">
        <f t="shared" si="9"/>
        <v>0</v>
      </c>
      <c r="Q46" s="27">
        <v>45136.447916666664</v>
      </c>
      <c r="R46" s="51">
        <v>6.8589320238560104E-4</v>
      </c>
      <c r="S46" s="47">
        <v>0.66228851600000005</v>
      </c>
      <c r="T46" s="2">
        <v>639</v>
      </c>
      <c r="U46" s="29">
        <f t="shared" si="10"/>
        <v>10.65</v>
      </c>
      <c r="V46" s="29">
        <f t="shared" si="24"/>
        <v>7.3047626054066513E-3</v>
      </c>
      <c r="W46" s="70">
        <f t="shared" si="11"/>
        <v>0.65933152075506196</v>
      </c>
      <c r="Y46" s="32">
        <v>45151.447916666664</v>
      </c>
      <c r="Z46">
        <v>1.00117925354661E-3</v>
      </c>
      <c r="AA46" s="34">
        <v>0.66228851600000005</v>
      </c>
      <c r="AB46" s="2">
        <v>860</v>
      </c>
      <c r="AC46" s="33">
        <f t="shared" si="12"/>
        <v>14.333333333333334</v>
      </c>
      <c r="AD46" s="105">
        <f t="shared" si="25"/>
        <v>1.435023596750141E-2</v>
      </c>
      <c r="AE46" s="77">
        <f t="shared" si="13"/>
        <v>1.0323424550470841</v>
      </c>
      <c r="AG46" s="38">
        <v>45166.447916666664</v>
      </c>
      <c r="AH46" s="111">
        <v>1.76266789020745E-3</v>
      </c>
      <c r="AI46" s="50">
        <v>0.44939223900000003</v>
      </c>
      <c r="AJ46" s="2">
        <v>3379</v>
      </c>
      <c r="AK46" s="40">
        <f t="shared" si="14"/>
        <v>56.31666666666667</v>
      </c>
      <c r="AL46" s="49">
        <f t="shared" si="26"/>
        <v>9.9267580016849558E-2</v>
      </c>
      <c r="AM46" s="73">
        <f t="shared" si="15"/>
        <v>3.7286319827266592</v>
      </c>
      <c r="AO46" s="43">
        <v>45183.447916666664</v>
      </c>
      <c r="AP46" s="111">
        <v>7.3920880494853804E-4</v>
      </c>
      <c r="AQ46" s="46">
        <v>0.44894941300000002</v>
      </c>
      <c r="AR46" s="2">
        <v>592</v>
      </c>
      <c r="AS46" s="45">
        <f t="shared" si="16"/>
        <v>9.8666666666666671</v>
      </c>
      <c r="AT46" s="45">
        <f t="shared" si="27"/>
        <v>7.2935268754922428E-3</v>
      </c>
      <c r="AU46" s="80">
        <f t="shared" si="17"/>
        <v>0.65865795594494259</v>
      </c>
      <c r="AW46" s="7">
        <v>45037.614583333336</v>
      </c>
      <c r="AX46" s="51">
        <v>3.1474294632519001E-3</v>
      </c>
      <c r="AY46" s="16">
        <v>74.764849499999997</v>
      </c>
      <c r="AZ46" s="2">
        <v>40408</v>
      </c>
      <c r="BA46" s="16">
        <f t="shared" si="18"/>
        <v>673.4666666666667</v>
      </c>
      <c r="BB46" s="9">
        <f t="shared" si="19"/>
        <v>2.1196888291847129</v>
      </c>
      <c r="BC46" s="119">
        <f t="shared" si="20"/>
        <v>28.465188599910231</v>
      </c>
      <c r="BE46" s="6"/>
      <c r="BG46" s="4"/>
      <c r="BH46" s="2"/>
      <c r="BI46" s="5"/>
      <c r="BJ46" s="102"/>
      <c r="BK46" s="102"/>
      <c r="BM46" s="104"/>
      <c r="BO46" s="102"/>
      <c r="BP46" s="2"/>
      <c r="BQ46" s="102"/>
      <c r="BR46" s="4"/>
      <c r="BS46" s="5"/>
      <c r="BU46" s="6"/>
      <c r="BV46" s="103"/>
      <c r="BW46" s="102"/>
      <c r="BY46" s="102"/>
      <c r="BZ46" s="102"/>
      <c r="CA46" s="102"/>
    </row>
    <row r="47" spans="1:79" x14ac:dyDescent="0.3">
      <c r="A47" s="7">
        <v>44776.459027777775</v>
      </c>
      <c r="B47" s="89">
        <v>7.5515919884758005E-8</v>
      </c>
      <c r="C47" s="8">
        <v>0.66863318549999995</v>
      </c>
      <c r="D47" s="2">
        <v>0</v>
      </c>
      <c r="E47" s="9">
        <f t="shared" si="4"/>
        <v>0</v>
      </c>
      <c r="F47" s="8">
        <f t="shared" si="22"/>
        <v>0</v>
      </c>
      <c r="G47" s="60">
        <f t="shared" si="6"/>
        <v>0</v>
      </c>
      <c r="I47" s="19">
        <v>44781.459027777775</v>
      </c>
      <c r="J47" s="1">
        <v>9.580542360916839E-7</v>
      </c>
      <c r="K47" s="21">
        <v>1.2029581084999901</v>
      </c>
      <c r="L47" s="2">
        <v>0</v>
      </c>
      <c r="M47" s="23">
        <f t="shared" si="7"/>
        <v>0</v>
      </c>
      <c r="N47" s="20">
        <f t="shared" si="23"/>
        <v>0</v>
      </c>
      <c r="O47" s="65">
        <f t="shared" si="9"/>
        <v>0</v>
      </c>
      <c r="Q47" s="27">
        <v>45136.458333333336</v>
      </c>
      <c r="R47" s="51">
        <v>3.9099546269811799E-4</v>
      </c>
      <c r="S47" s="47">
        <v>0.475692385</v>
      </c>
      <c r="T47" s="2">
        <v>76</v>
      </c>
      <c r="U47" s="29">
        <f t="shared" si="10"/>
        <v>1.2666666666666666</v>
      </c>
      <c r="V47" s="29">
        <f t="shared" si="24"/>
        <v>4.9526091941761612E-4</v>
      </c>
      <c r="W47" s="70">
        <f t="shared" si="11"/>
        <v>0.11041782785476276</v>
      </c>
      <c r="Y47" s="32">
        <v>45151.458333333336</v>
      </c>
      <c r="Z47">
        <v>7.5270094917282901E-4</v>
      </c>
      <c r="AA47" s="34">
        <v>0.59425534599999996</v>
      </c>
      <c r="AB47" s="2">
        <v>617</v>
      </c>
      <c r="AC47" s="33">
        <f t="shared" si="12"/>
        <v>10.283333333333333</v>
      </c>
      <c r="AD47" s="105">
        <f t="shared" si="25"/>
        <v>7.7402747606605919E-3</v>
      </c>
      <c r="AE47" s="77">
        <f t="shared" si="13"/>
        <v>0.6851783288436406</v>
      </c>
      <c r="AG47" s="38">
        <v>45166.458333333336</v>
      </c>
      <c r="AH47" s="111">
        <v>1.8154402382961801E-3</v>
      </c>
      <c r="AI47" s="50">
        <v>0.44939223900000003</v>
      </c>
      <c r="AJ47" s="2">
        <v>3514</v>
      </c>
      <c r="AK47" s="40">
        <f t="shared" si="14"/>
        <v>58.56666666666667</v>
      </c>
      <c r="AL47" s="49">
        <f t="shared" si="26"/>
        <v>0.10632428328954628</v>
      </c>
      <c r="AM47" s="73">
        <f t="shared" si="15"/>
        <v>3.9025937070354502</v>
      </c>
      <c r="AO47" s="43">
        <v>45183.458333333336</v>
      </c>
      <c r="AP47" s="111">
        <v>6.2267032659860696E-4</v>
      </c>
      <c r="AQ47" s="46">
        <v>0.376777213</v>
      </c>
      <c r="AR47" s="2">
        <v>401</v>
      </c>
      <c r="AS47" s="45">
        <f t="shared" si="16"/>
        <v>6.6833333333333336</v>
      </c>
      <c r="AT47" s="45">
        <f t="shared" si="27"/>
        <v>4.1615133494340237E-3</v>
      </c>
      <c r="AU47" s="80">
        <f t="shared" si="17"/>
        <v>0.45378720030175695</v>
      </c>
      <c r="AW47" s="7">
        <v>45037.625</v>
      </c>
      <c r="AX47" s="51">
        <v>3.2288890234468699E-3</v>
      </c>
      <c r="AY47" s="16">
        <v>74.312865549999998</v>
      </c>
      <c r="AZ47" s="2">
        <v>40243</v>
      </c>
      <c r="BA47" s="16">
        <f t="shared" si="18"/>
        <v>670.7166666666667</v>
      </c>
      <c r="BB47" s="9">
        <f t="shared" si="19"/>
        <v>2.1656696828428732</v>
      </c>
      <c r="BC47" s="119">
        <f t="shared" si="20"/>
        <v>28.873711707226278</v>
      </c>
      <c r="BE47" s="6"/>
      <c r="BG47" s="4"/>
      <c r="BH47" s="2"/>
      <c r="BI47" s="5"/>
      <c r="BJ47" s="102"/>
      <c r="BK47" s="102"/>
      <c r="BM47" s="104"/>
      <c r="BO47" s="102"/>
      <c r="BP47" s="2"/>
      <c r="BQ47" s="102"/>
      <c r="BR47" s="4"/>
      <c r="BS47" s="5"/>
      <c r="BU47" s="6"/>
      <c r="BV47" s="103"/>
      <c r="BW47" s="102"/>
      <c r="BY47" s="102"/>
      <c r="BZ47" s="102"/>
      <c r="CA47" s="102"/>
    </row>
    <row r="48" spans="1:79" x14ac:dyDescent="0.3">
      <c r="A48" s="7">
        <v>44776.469444444447</v>
      </c>
      <c r="B48" s="89">
        <v>8.9569897468822199E-8</v>
      </c>
      <c r="C48" s="8">
        <v>0.65794700399999995</v>
      </c>
      <c r="D48" s="2">
        <v>0</v>
      </c>
      <c r="E48" s="9">
        <f t="shared" si="4"/>
        <v>0</v>
      </c>
      <c r="F48" s="8">
        <f t="shared" si="22"/>
        <v>0</v>
      </c>
      <c r="G48" s="60">
        <f t="shared" si="6"/>
        <v>0</v>
      </c>
      <c r="I48" s="19">
        <v>44781.469444444447</v>
      </c>
      <c r="J48" s="1">
        <v>8.6436718894924899E-7</v>
      </c>
      <c r="K48" s="21">
        <v>1.1786703704999999</v>
      </c>
      <c r="L48" s="2">
        <v>0</v>
      </c>
      <c r="M48" s="23">
        <f t="shared" si="7"/>
        <v>0</v>
      </c>
      <c r="N48" s="20">
        <f t="shared" si="23"/>
        <v>0</v>
      </c>
      <c r="O48" s="65">
        <f t="shared" si="9"/>
        <v>0</v>
      </c>
      <c r="Q48" s="27">
        <v>45136.46875</v>
      </c>
      <c r="R48" s="51">
        <v>8.51071852390831E-4</v>
      </c>
      <c r="S48" s="47">
        <v>0.77321039300000005</v>
      </c>
      <c r="T48" s="2">
        <v>1185</v>
      </c>
      <c r="U48" s="29">
        <f t="shared" si="10"/>
        <v>19.75</v>
      </c>
      <c r="V48" s="29">
        <f t="shared" si="24"/>
        <v>1.6808669084718911E-2</v>
      </c>
      <c r="W48" s="70">
        <f t="shared" si="11"/>
        <v>1.1466305619912487</v>
      </c>
      <c r="Y48" s="32">
        <v>45151.46875</v>
      </c>
      <c r="Z48">
        <v>8.2098265665717703E-4</v>
      </c>
      <c r="AA48" s="34">
        <v>0.59425534599999996</v>
      </c>
      <c r="AB48" s="2">
        <v>637</v>
      </c>
      <c r="AC48" s="33">
        <f t="shared" si="12"/>
        <v>10.616666666666667</v>
      </c>
      <c r="AD48" s="105">
        <f t="shared" si="25"/>
        <v>8.7160992048436973E-3</v>
      </c>
      <c r="AE48" s="77">
        <f t="shared" si="13"/>
        <v>0.74138415711240147</v>
      </c>
      <c r="AG48" s="38">
        <v>45166.46875</v>
      </c>
      <c r="AH48" s="111">
        <v>1.1098925171987601E-3</v>
      </c>
      <c r="AI48" s="50">
        <v>0.377160934</v>
      </c>
      <c r="AJ48" s="2">
        <v>2159</v>
      </c>
      <c r="AK48" s="40">
        <f t="shared" si="14"/>
        <v>35.983333333333334</v>
      </c>
      <c r="AL48" s="49">
        <f t="shared" si="26"/>
        <v>3.9937632410535384E-2</v>
      </c>
      <c r="AM48" s="73">
        <f t="shared" si="15"/>
        <v>2.0369822343315747</v>
      </c>
      <c r="AO48" s="43">
        <v>45183.46875</v>
      </c>
      <c r="AP48" s="111">
        <v>7.1830124228739302E-4</v>
      </c>
      <c r="AQ48" s="46">
        <v>0.44894941300000002</v>
      </c>
      <c r="AR48" s="2">
        <v>597</v>
      </c>
      <c r="AS48" s="45">
        <f t="shared" si="16"/>
        <v>9.9499999999999993</v>
      </c>
      <c r="AT48" s="45">
        <f t="shared" si="27"/>
        <v>7.1470973607595601E-3</v>
      </c>
      <c r="AU48" s="80">
        <f t="shared" si="17"/>
        <v>0.64984757633837031</v>
      </c>
      <c r="AW48" s="7">
        <v>45037.635416666664</v>
      </c>
      <c r="AX48" s="51">
        <v>3.24630226173276E-3</v>
      </c>
      <c r="AY48" s="16">
        <v>72.970159429999995</v>
      </c>
      <c r="AZ48" s="2">
        <v>40189</v>
      </c>
      <c r="BA48" s="16">
        <f t="shared" si="18"/>
        <v>669.81666666666672</v>
      </c>
      <c r="BB48" s="9">
        <f t="shared" si="19"/>
        <v>2.1744273599462982</v>
      </c>
      <c r="BC48" s="119">
        <f t="shared" si="20"/>
        <v>28.951188706305693</v>
      </c>
      <c r="BE48" s="6"/>
      <c r="BG48" s="4"/>
      <c r="BH48" s="2"/>
      <c r="BI48" s="5"/>
      <c r="BJ48" s="102"/>
      <c r="BK48" s="102"/>
      <c r="BM48" s="104"/>
      <c r="BO48" s="102"/>
      <c r="BP48" s="2"/>
      <c r="BQ48" s="102"/>
      <c r="BR48" s="4"/>
      <c r="BS48" s="5"/>
      <c r="BU48" s="6"/>
      <c r="BV48" s="103"/>
      <c r="BW48" s="102"/>
      <c r="BY48" s="102"/>
      <c r="BZ48" s="102"/>
      <c r="CA48" s="102"/>
    </row>
    <row r="49" spans="1:79" x14ac:dyDescent="0.3">
      <c r="A49" s="7">
        <v>44776.479861111111</v>
      </c>
      <c r="B49" s="89">
        <v>9.9278824374308606E-8</v>
      </c>
      <c r="C49" s="8">
        <v>0.69552619199999999</v>
      </c>
      <c r="D49" s="2">
        <v>0</v>
      </c>
      <c r="E49" s="9">
        <f t="shared" si="4"/>
        <v>0</v>
      </c>
      <c r="F49" s="8">
        <f t="shared" si="22"/>
        <v>0</v>
      </c>
      <c r="G49" s="60">
        <f t="shared" si="6"/>
        <v>0</v>
      </c>
      <c r="I49" s="19">
        <v>44781.479861111111</v>
      </c>
      <c r="J49" s="1">
        <v>1.1182665401864501E-6</v>
      </c>
      <c r="K49" s="21">
        <v>1.251653779</v>
      </c>
      <c r="L49" s="2">
        <v>0</v>
      </c>
      <c r="M49" s="23">
        <f t="shared" si="7"/>
        <v>0</v>
      </c>
      <c r="N49" s="20">
        <f t="shared" si="23"/>
        <v>0</v>
      </c>
      <c r="O49" s="65">
        <f t="shared" si="9"/>
        <v>0</v>
      </c>
      <c r="Q49" s="27">
        <v>45136.479166666664</v>
      </c>
      <c r="R49" s="51">
        <v>5.45000072889881E-4</v>
      </c>
      <c r="S49" s="47">
        <v>0.56216848100000005</v>
      </c>
      <c r="T49" s="2">
        <v>439</v>
      </c>
      <c r="U49" s="29">
        <f t="shared" si="10"/>
        <v>7.3166666666666664</v>
      </c>
      <c r="V49" s="29">
        <f t="shared" si="24"/>
        <v>3.9875838666442957E-3</v>
      </c>
      <c r="W49" s="70">
        <f t="shared" si="11"/>
        <v>0.44110371063026338</v>
      </c>
      <c r="Y49" s="32">
        <v>45151.479166666664</v>
      </c>
      <c r="Z49">
        <v>4.5953232747900801E-4</v>
      </c>
      <c r="AA49" s="34">
        <v>0.42386643899999998</v>
      </c>
      <c r="AB49" s="2">
        <v>189</v>
      </c>
      <c r="AC49" s="33">
        <f t="shared" si="12"/>
        <v>3.15</v>
      </c>
      <c r="AD49" s="105">
        <f t="shared" si="25"/>
        <v>1.4475268315588751E-3</v>
      </c>
      <c r="AE49" s="77">
        <f t="shared" si="13"/>
        <v>0.22507406842918112</v>
      </c>
      <c r="AG49" s="38">
        <v>45166.479166666664</v>
      </c>
      <c r="AH49" s="111">
        <v>1.09427077166603E-3</v>
      </c>
      <c r="AI49" s="50">
        <v>0.377160934</v>
      </c>
      <c r="AJ49" s="2">
        <v>2174</v>
      </c>
      <c r="AK49" s="40">
        <f t="shared" si="14"/>
        <v>36.233333333333334</v>
      </c>
      <c r="AL49" s="49">
        <f t="shared" si="26"/>
        <v>3.9649077626699156E-2</v>
      </c>
      <c r="AM49" s="73">
        <f t="shared" si="15"/>
        <v>2.0271979329393868</v>
      </c>
      <c r="AO49" s="43">
        <v>45183.479166666664</v>
      </c>
      <c r="AP49" s="111">
        <v>7.3231527795502205E-4</v>
      </c>
      <c r="AQ49" s="46">
        <v>0.44894941300000002</v>
      </c>
      <c r="AR49" s="2">
        <v>739</v>
      </c>
      <c r="AS49" s="45">
        <f t="shared" si="16"/>
        <v>12.316666666666666</v>
      </c>
      <c r="AT49" s="45">
        <f t="shared" si="27"/>
        <v>9.0196831734793547E-3</v>
      </c>
      <c r="AU49" s="80">
        <f t="shared" si="17"/>
        <v>0.7584315581801625</v>
      </c>
      <c r="AW49" s="7">
        <v>45037.645833333336</v>
      </c>
      <c r="AX49" s="51">
        <v>3.3354148608174899E-3</v>
      </c>
      <c r="AY49" s="16">
        <v>72.077340390000003</v>
      </c>
      <c r="AZ49" s="2">
        <v>40324</v>
      </c>
      <c r="BA49" s="16">
        <f t="shared" si="18"/>
        <v>672.06666666666672</v>
      </c>
      <c r="BB49" s="9">
        <f t="shared" si="19"/>
        <v>2.2416211474600747</v>
      </c>
      <c r="BC49" s="119">
        <f t="shared" si="20"/>
        <v>29.542190525993256</v>
      </c>
      <c r="BE49" s="6"/>
      <c r="BG49" s="4"/>
      <c r="BH49" s="2"/>
      <c r="BI49" s="5"/>
      <c r="BJ49" s="102"/>
      <c r="BK49" s="102"/>
      <c r="BM49" s="104"/>
      <c r="BO49" s="102"/>
      <c r="BP49" s="2"/>
      <c r="BQ49" s="102"/>
      <c r="BR49" s="4"/>
      <c r="BS49" s="5"/>
      <c r="BU49" s="6"/>
      <c r="BV49" s="103"/>
      <c r="BW49" s="102"/>
      <c r="BY49" s="102"/>
      <c r="BZ49" s="102"/>
      <c r="CA49" s="102"/>
    </row>
    <row r="50" spans="1:79" x14ac:dyDescent="0.3">
      <c r="A50" s="7">
        <v>44776.490277777775</v>
      </c>
      <c r="B50" s="89">
        <v>1.1433540602737001E-7</v>
      </c>
      <c r="C50" s="8">
        <v>0.73331566249999902</v>
      </c>
      <c r="D50" s="2">
        <v>0</v>
      </c>
      <c r="E50" s="9">
        <f t="shared" si="4"/>
        <v>0</v>
      </c>
      <c r="F50" s="8">
        <f t="shared" si="22"/>
        <v>0</v>
      </c>
      <c r="G50" s="60">
        <f t="shared" si="6"/>
        <v>0</v>
      </c>
      <c r="I50" s="19">
        <v>44781.490277777775</v>
      </c>
      <c r="J50" s="1">
        <v>1.2255001677109701E-6</v>
      </c>
      <c r="K50" s="21">
        <v>1.2937263295000001</v>
      </c>
      <c r="L50" s="2">
        <v>0</v>
      </c>
      <c r="M50" s="23">
        <f t="shared" si="7"/>
        <v>0</v>
      </c>
      <c r="N50" s="20">
        <f t="shared" si="23"/>
        <v>0</v>
      </c>
      <c r="O50" s="65">
        <f t="shared" si="9"/>
        <v>0</v>
      </c>
      <c r="Q50" s="27">
        <v>45136.489583333336</v>
      </c>
      <c r="R50" s="51">
        <v>9.4770922318775802E-4</v>
      </c>
      <c r="S50" s="47">
        <v>0.73432993800000002</v>
      </c>
      <c r="T50" s="2">
        <v>956</v>
      </c>
      <c r="U50" s="29">
        <f t="shared" si="10"/>
        <v>15.933333333333334</v>
      </c>
      <c r="V50" s="29">
        <f t="shared" si="24"/>
        <v>1.5100166956124945E-2</v>
      </c>
      <c r="W50" s="70">
        <f t="shared" si="11"/>
        <v>1.0678574091928217</v>
      </c>
      <c r="Y50" s="32">
        <v>45151.489583333336</v>
      </c>
      <c r="Z50">
        <v>7.8382965253359204E-4</v>
      </c>
      <c r="AA50" s="34">
        <v>0.66228851600000005</v>
      </c>
      <c r="AB50" s="2">
        <v>949</v>
      </c>
      <c r="AC50" s="33">
        <f t="shared" si="12"/>
        <v>15.816666666666666</v>
      </c>
      <c r="AD50" s="105">
        <f t="shared" si="25"/>
        <v>1.2397572337572981E-2</v>
      </c>
      <c r="AE50" s="77">
        <f t="shared" si="13"/>
        <v>0.93679576802243236</v>
      </c>
      <c r="AG50" s="38">
        <v>45166.489583333336</v>
      </c>
      <c r="AH50" s="111">
        <v>1.6977154724055899E-3</v>
      </c>
      <c r="AI50" s="50">
        <v>0.44939223900000003</v>
      </c>
      <c r="AJ50" s="2">
        <v>3461</v>
      </c>
      <c r="AK50" s="40">
        <f t="shared" si="14"/>
        <v>57.68333333333333</v>
      </c>
      <c r="AL50" s="49">
        <f t="shared" si="26"/>
        <v>9.7929887499929105E-2</v>
      </c>
      <c r="AM50" s="73">
        <f t="shared" si="15"/>
        <v>3.6951928899211595</v>
      </c>
      <c r="AO50" s="43">
        <v>45183.489583333336</v>
      </c>
      <c r="AP50" s="111">
        <v>6.57847270684389E-4</v>
      </c>
      <c r="AQ50" s="46">
        <v>0.44894941300000002</v>
      </c>
      <c r="AR50" s="2">
        <v>642</v>
      </c>
      <c r="AS50" s="45">
        <f t="shared" si="16"/>
        <v>10.7</v>
      </c>
      <c r="AT50" s="45">
        <f t="shared" si="27"/>
        <v>7.0389657963229619E-3</v>
      </c>
      <c r="AU50" s="80">
        <f t="shared" si="17"/>
        <v>0.64330253609399668</v>
      </c>
      <c r="AW50" s="7">
        <v>45037.65625</v>
      </c>
      <c r="AX50" s="51">
        <v>3.51203531481934E-3</v>
      </c>
      <c r="AY50" s="16">
        <v>74.320531029999998</v>
      </c>
      <c r="AZ50" s="2">
        <v>39886</v>
      </c>
      <c r="BA50" s="16">
        <f t="shared" si="18"/>
        <v>664.76666666666665</v>
      </c>
      <c r="BB50" s="9">
        <f t="shared" si="19"/>
        <v>2.3346840094480701</v>
      </c>
      <c r="BC50" s="119">
        <f t="shared" si="20"/>
        <v>30.350989055631551</v>
      </c>
      <c r="BE50" s="6"/>
      <c r="BG50" s="4"/>
      <c r="BH50" s="2"/>
      <c r="BI50" s="5"/>
      <c r="BJ50" s="102"/>
      <c r="BK50" s="102"/>
      <c r="BM50" s="104"/>
      <c r="BO50" s="102"/>
      <c r="BP50" s="2"/>
      <c r="BQ50" s="102"/>
      <c r="BR50" s="4"/>
      <c r="BS50" s="5"/>
      <c r="BU50" s="6"/>
      <c r="BV50" s="103"/>
      <c r="BW50" s="102"/>
      <c r="BY50" s="102"/>
      <c r="BZ50" s="102"/>
      <c r="CA50" s="102"/>
    </row>
    <row r="51" spans="1:79" x14ac:dyDescent="0.3">
      <c r="A51" s="7">
        <v>44776.500694444447</v>
      </c>
      <c r="B51" s="89">
        <v>1.45994317995278E-7</v>
      </c>
      <c r="C51" s="8">
        <v>0.74682702999999995</v>
      </c>
      <c r="D51" s="2">
        <v>0</v>
      </c>
      <c r="E51" s="9">
        <f t="shared" si="4"/>
        <v>0</v>
      </c>
      <c r="F51" s="8">
        <f t="shared" si="22"/>
        <v>0</v>
      </c>
      <c r="G51" s="60">
        <f t="shared" si="6"/>
        <v>0</v>
      </c>
      <c r="I51" s="19">
        <v>44781.500694444447</v>
      </c>
      <c r="J51" s="1">
        <v>8.0354235413597698E-7</v>
      </c>
      <c r="K51" s="21">
        <v>1.1877777380000001</v>
      </c>
      <c r="L51" s="2">
        <v>0</v>
      </c>
      <c r="M51" s="23">
        <f t="shared" si="7"/>
        <v>0</v>
      </c>
      <c r="N51" s="20">
        <f t="shared" si="23"/>
        <v>0</v>
      </c>
      <c r="O51" s="65">
        <f t="shared" si="9"/>
        <v>0</v>
      </c>
      <c r="Q51" s="27">
        <v>45136.5</v>
      </c>
      <c r="R51" s="51">
        <v>1.27595823013417E-3</v>
      </c>
      <c r="S51" s="47">
        <v>0.85462156099999997</v>
      </c>
      <c r="T51" s="2">
        <v>1958</v>
      </c>
      <c r="U51" s="29">
        <f t="shared" si="10"/>
        <v>32.633333333333333</v>
      </c>
      <c r="V51" s="29">
        <f t="shared" si="24"/>
        <v>4.1638770243378413E-2</v>
      </c>
      <c r="W51" s="70">
        <f t="shared" si="11"/>
        <v>2.0941895392135943</v>
      </c>
      <c r="Y51" s="32">
        <v>45151.5</v>
      </c>
      <c r="Z51">
        <v>5.4901172922628002E-4</v>
      </c>
      <c r="AA51" s="34">
        <v>0.53201108200000002</v>
      </c>
      <c r="AB51" s="2">
        <v>461</v>
      </c>
      <c r="AC51" s="33">
        <f t="shared" si="12"/>
        <v>7.6833333333333336</v>
      </c>
      <c r="AD51" s="105">
        <f t="shared" si="25"/>
        <v>4.2182401195552518E-3</v>
      </c>
      <c r="AE51" s="77">
        <f t="shared" si="13"/>
        <v>0.45788515723692985</v>
      </c>
      <c r="AG51" s="38">
        <v>45166.5</v>
      </c>
      <c r="AH51" s="111">
        <v>1.3129684221129801E-3</v>
      </c>
      <c r="AI51" s="50">
        <v>0.33439968599999997</v>
      </c>
      <c r="AJ51" s="2">
        <v>1914</v>
      </c>
      <c r="AK51" s="40">
        <f t="shared" si="14"/>
        <v>31.9</v>
      </c>
      <c r="AL51" s="49">
        <f t="shared" si="26"/>
        <v>4.1883692665404065E-2</v>
      </c>
      <c r="AM51" s="73">
        <f t="shared" si="15"/>
        <v>2.102360750878165</v>
      </c>
      <c r="AO51" s="43">
        <v>45183.5</v>
      </c>
      <c r="AP51" s="111">
        <v>7.0001506876196705E-4</v>
      </c>
      <c r="AQ51" s="46">
        <v>0.44894941300000002</v>
      </c>
      <c r="AR51" s="2">
        <v>772</v>
      </c>
      <c r="AS51" s="45">
        <f t="shared" si="16"/>
        <v>12.866666666666667</v>
      </c>
      <c r="AT51" s="45">
        <f t="shared" si="27"/>
        <v>9.0068605514039765E-3</v>
      </c>
      <c r="AU51" s="80">
        <f t="shared" si="17"/>
        <v>0.757715457952291</v>
      </c>
      <c r="AW51" s="7">
        <v>45037.666666666664</v>
      </c>
      <c r="AX51" s="51">
        <v>3.3702970890425502E-3</v>
      </c>
      <c r="AY51" s="16">
        <v>73.423571839999994</v>
      </c>
      <c r="AZ51" s="2">
        <v>40554</v>
      </c>
      <c r="BA51" s="16">
        <f t="shared" si="18"/>
        <v>675.9</v>
      </c>
      <c r="BB51" s="9">
        <f t="shared" si="19"/>
        <v>2.2779838024838597</v>
      </c>
      <c r="BC51" s="119">
        <f t="shared" si="20"/>
        <v>29.859532465021406</v>
      </c>
      <c r="BE51" s="6"/>
      <c r="BG51" s="4"/>
      <c r="BH51" s="2"/>
      <c r="BI51" s="5"/>
      <c r="BJ51" s="102"/>
      <c r="BK51" s="102"/>
      <c r="BM51" s="104"/>
      <c r="BO51" s="102"/>
      <c r="BP51" s="2"/>
      <c r="BQ51" s="102"/>
      <c r="BR51" s="4"/>
      <c r="BS51" s="5"/>
      <c r="BU51" s="6"/>
      <c r="BV51" s="103"/>
      <c r="BW51" s="102"/>
      <c r="BY51" s="102"/>
      <c r="BZ51" s="102"/>
      <c r="CA51" s="102"/>
    </row>
    <row r="52" spans="1:79" x14ac:dyDescent="0.3">
      <c r="A52" s="7">
        <v>44776.511111111111</v>
      </c>
      <c r="B52" s="89">
        <v>1.3323298366791201E-7</v>
      </c>
      <c r="C52" s="8">
        <v>0.76967573</v>
      </c>
      <c r="D52" s="2">
        <v>0</v>
      </c>
      <c r="E52" s="9">
        <f t="shared" si="4"/>
        <v>0</v>
      </c>
      <c r="F52" s="8">
        <f t="shared" si="22"/>
        <v>0</v>
      </c>
      <c r="G52" s="60">
        <f t="shared" si="6"/>
        <v>0</v>
      </c>
      <c r="I52" s="19">
        <v>44781.511111111111</v>
      </c>
      <c r="J52" s="1">
        <v>8.0728139075582595E-7</v>
      </c>
      <c r="K52" s="21">
        <v>1.141804142</v>
      </c>
      <c r="L52" s="2">
        <v>0</v>
      </c>
      <c r="M52" s="23">
        <f t="shared" si="7"/>
        <v>0</v>
      </c>
      <c r="N52" s="20">
        <f t="shared" si="23"/>
        <v>0</v>
      </c>
      <c r="O52" s="65">
        <f t="shared" si="9"/>
        <v>0</v>
      </c>
      <c r="Q52" s="27">
        <v>45136.510416666664</v>
      </c>
      <c r="R52" s="51">
        <v>7.8549420849109101E-4</v>
      </c>
      <c r="S52" s="47">
        <v>0.772537527</v>
      </c>
      <c r="T52" s="2">
        <v>1123</v>
      </c>
      <c r="U52" s="29">
        <f t="shared" si="10"/>
        <v>18.716666666666665</v>
      </c>
      <c r="V52" s="29">
        <f t="shared" si="24"/>
        <v>1.4701833268924918E-2</v>
      </c>
      <c r="W52" s="70">
        <f t="shared" si="11"/>
        <v>1.0490690037136652</v>
      </c>
      <c r="Y52" s="32">
        <v>45151.510416666664</v>
      </c>
      <c r="Z52">
        <v>5.9629215978283399E-4</v>
      </c>
      <c r="AA52" s="34">
        <v>0.53201108200000002</v>
      </c>
      <c r="AB52" s="2">
        <v>454</v>
      </c>
      <c r="AC52" s="33">
        <f t="shared" si="12"/>
        <v>7.5666666666666664</v>
      </c>
      <c r="AD52" s="105">
        <f t="shared" si="25"/>
        <v>4.5119440090234438E-3</v>
      </c>
      <c r="AE52" s="77">
        <f t="shared" si="13"/>
        <v>0.47881404580200054</v>
      </c>
      <c r="AG52" s="81">
        <v>45166.510416666664</v>
      </c>
      <c r="AH52" s="115">
        <v>2.1282733338222001E-2</v>
      </c>
      <c r="AI52" s="82">
        <v>2.247064306</v>
      </c>
      <c r="AJ52" s="90">
        <v>9155</v>
      </c>
      <c r="AK52" s="106">
        <f t="shared" si="14"/>
        <v>152.58333333333334</v>
      </c>
      <c r="AL52" s="92">
        <f t="shared" si="26"/>
        <v>3.247390395190374</v>
      </c>
      <c r="AM52" s="72">
        <f t="shared" si="15"/>
        <v>37.785771425219757</v>
      </c>
      <c r="AO52" s="43">
        <v>45183.510416666664</v>
      </c>
      <c r="AP52" s="111">
        <v>9.6439018366938295E-4</v>
      </c>
      <c r="AQ52" s="46">
        <v>0.44894941300000002</v>
      </c>
      <c r="AR52" s="2">
        <v>674</v>
      </c>
      <c r="AS52" s="45">
        <f t="shared" si="16"/>
        <v>11.233333333333333</v>
      </c>
      <c r="AT52" s="45">
        <f t="shared" si="27"/>
        <v>1.0833316396552734E-2</v>
      </c>
      <c r="AU52" s="80">
        <f t="shared" si="17"/>
        <v>0.85654655280708336</v>
      </c>
      <c r="AW52" s="7">
        <v>45037.677083333336</v>
      </c>
      <c r="AX52" s="51">
        <v>3.36718350858133E-3</v>
      </c>
      <c r="AY52" s="16">
        <v>76.993676070000006</v>
      </c>
      <c r="AZ52" s="2">
        <v>40859</v>
      </c>
      <c r="BA52" s="16">
        <f t="shared" si="18"/>
        <v>680.98333333333335</v>
      </c>
      <c r="BB52" s="9">
        <f t="shared" si="19"/>
        <v>2.2929958496187428</v>
      </c>
      <c r="BC52" s="119">
        <f t="shared" si="20"/>
        <v>29.990047544091858</v>
      </c>
      <c r="BE52" s="6"/>
      <c r="BG52" s="4"/>
      <c r="BH52" s="2"/>
      <c r="BI52" s="5"/>
      <c r="BJ52" s="102"/>
      <c r="BK52" s="102"/>
      <c r="BM52" s="104"/>
      <c r="BO52" s="102"/>
      <c r="BP52" s="2"/>
      <c r="BQ52" s="102"/>
      <c r="BR52" s="4"/>
      <c r="BS52" s="5"/>
      <c r="BU52" s="6"/>
      <c r="BV52" s="103"/>
      <c r="BW52" s="102"/>
      <c r="BY52" s="102"/>
      <c r="BZ52" s="102"/>
      <c r="CA52" s="102"/>
    </row>
    <row r="53" spans="1:79" x14ac:dyDescent="0.3">
      <c r="A53" s="7">
        <v>44776.521527777775</v>
      </c>
      <c r="B53" s="89">
        <v>1.27761173164764E-7</v>
      </c>
      <c r="C53" s="8">
        <v>0.7477791265</v>
      </c>
      <c r="D53" s="2">
        <v>0</v>
      </c>
      <c r="E53" s="9">
        <f t="shared" si="4"/>
        <v>0</v>
      </c>
      <c r="F53" s="8">
        <f t="shared" si="22"/>
        <v>0</v>
      </c>
      <c r="G53" s="60">
        <f t="shared" si="6"/>
        <v>0</v>
      </c>
      <c r="I53" s="19">
        <v>44781.521527777775</v>
      </c>
      <c r="J53" s="1">
        <v>1.1238477036902599E-6</v>
      </c>
      <c r="K53" s="21">
        <v>1.2578480294999901</v>
      </c>
      <c r="L53" s="2">
        <v>0</v>
      </c>
      <c r="M53" s="23">
        <f t="shared" si="7"/>
        <v>0</v>
      </c>
      <c r="N53" s="20">
        <f t="shared" si="23"/>
        <v>0</v>
      </c>
      <c r="O53" s="65">
        <f t="shared" si="9"/>
        <v>0</v>
      </c>
      <c r="Q53" s="27">
        <v>45136.520833333336</v>
      </c>
      <c r="R53" s="51">
        <v>8.9592374032720196E-4</v>
      </c>
      <c r="S53" s="47">
        <v>0.85462156099999997</v>
      </c>
      <c r="T53" s="2">
        <v>1670</v>
      </c>
      <c r="U53" s="29">
        <f t="shared" si="10"/>
        <v>27.833333333333332</v>
      </c>
      <c r="V53" s="29">
        <f t="shared" si="24"/>
        <v>2.4936544105773787E-2</v>
      </c>
      <c r="W53" s="70">
        <f t="shared" si="11"/>
        <v>1.4899396037028059</v>
      </c>
      <c r="Y53" s="32">
        <v>45151.520833333336</v>
      </c>
      <c r="Z53">
        <v>7.69425506126173E-4</v>
      </c>
      <c r="AA53" s="34">
        <v>0.59425534599999996</v>
      </c>
      <c r="AB53" s="2">
        <v>686</v>
      </c>
      <c r="AC53" s="33">
        <f t="shared" si="12"/>
        <v>11.433333333333334</v>
      </c>
      <c r="AD53" s="105">
        <f t="shared" si="25"/>
        <v>8.7970982867092446E-3</v>
      </c>
      <c r="AE53" s="77">
        <f t="shared" si="13"/>
        <v>0.74595181473817607</v>
      </c>
      <c r="AG53" s="38">
        <v>45166.520833333336</v>
      </c>
      <c r="AH53" s="111">
        <v>9.6990607693787003E-3</v>
      </c>
      <c r="AI53" s="50">
        <v>2.0619739560000001</v>
      </c>
      <c r="AJ53" s="2">
        <v>15838</v>
      </c>
      <c r="AK53" s="40">
        <f t="shared" si="14"/>
        <v>263.96666666666664</v>
      </c>
      <c r="AL53" s="49">
        <f t="shared" si="26"/>
        <v>2.5602287410903308</v>
      </c>
      <c r="AM53" s="73">
        <f t="shared" si="15"/>
        <v>32.267586746597601</v>
      </c>
      <c r="AO53" s="43">
        <v>45183.520833333336</v>
      </c>
      <c r="AP53" s="111">
        <v>7.74698171890002E-4</v>
      </c>
      <c r="AQ53" s="46">
        <v>0.376777213</v>
      </c>
      <c r="AR53" s="2">
        <v>878</v>
      </c>
      <c r="AS53" s="45">
        <f t="shared" si="16"/>
        <v>14.633333333333333</v>
      </c>
      <c r="AT53" s="45">
        <f t="shared" si="27"/>
        <v>1.1336416581990362E-2</v>
      </c>
      <c r="AU53" s="80">
        <f t="shared" si="17"/>
        <v>0.88275729022351757</v>
      </c>
      <c r="AW53" s="7">
        <v>45037.6875</v>
      </c>
      <c r="AX53" s="51">
        <v>3.2547709965455199E-3</v>
      </c>
      <c r="AY53" s="16">
        <v>72.069636250000002</v>
      </c>
      <c r="AZ53" s="2">
        <v>40160</v>
      </c>
      <c r="BA53" s="16">
        <f t="shared" si="18"/>
        <v>669.33333333333337</v>
      </c>
      <c r="BB53" s="9">
        <f t="shared" si="19"/>
        <v>2.1785267203544683</v>
      </c>
      <c r="BC53" s="119">
        <f t="shared" si="20"/>
        <v>28.987418696805001</v>
      </c>
      <c r="BE53" s="6"/>
      <c r="BG53" s="4"/>
      <c r="BH53" s="2"/>
      <c r="BI53" s="5"/>
      <c r="BJ53" s="102"/>
      <c r="BK53" s="102"/>
      <c r="BM53" s="104"/>
      <c r="BO53" s="102"/>
      <c r="BP53" s="2"/>
      <c r="BQ53" s="102"/>
      <c r="BR53" s="4"/>
      <c r="BS53" s="5"/>
      <c r="BU53" s="6"/>
      <c r="BV53" s="103"/>
      <c r="BW53" s="102"/>
      <c r="BY53" s="102"/>
      <c r="BZ53" s="102"/>
      <c r="CA53" s="102"/>
    </row>
    <row r="54" spans="1:79" x14ac:dyDescent="0.3">
      <c r="A54" s="7">
        <v>44776.531944444447</v>
      </c>
      <c r="B54" s="89">
        <v>1.18594503912163E-7</v>
      </c>
      <c r="C54" s="8">
        <v>0.71824162000000003</v>
      </c>
      <c r="D54" s="2">
        <v>0</v>
      </c>
      <c r="E54" s="9">
        <f t="shared" si="4"/>
        <v>0</v>
      </c>
      <c r="F54" s="8">
        <f t="shared" si="22"/>
        <v>0</v>
      </c>
      <c r="G54" s="60">
        <f t="shared" si="6"/>
        <v>0</v>
      </c>
      <c r="I54" s="19">
        <v>44781.531944444447</v>
      </c>
      <c r="J54" s="1">
        <v>1.3843005327694501E-6</v>
      </c>
      <c r="K54" s="21">
        <v>1.3324552590000001</v>
      </c>
      <c r="L54" s="2">
        <v>0</v>
      </c>
      <c r="M54" s="23">
        <f t="shared" si="7"/>
        <v>0</v>
      </c>
      <c r="N54" s="20">
        <f t="shared" si="23"/>
        <v>0</v>
      </c>
      <c r="O54" s="65">
        <f t="shared" si="9"/>
        <v>0</v>
      </c>
      <c r="Q54" s="27">
        <v>45136.53125</v>
      </c>
      <c r="R54" s="51">
        <v>1.08679015537167E-3</v>
      </c>
      <c r="S54" s="47">
        <v>0.89783227600000004</v>
      </c>
      <c r="T54" s="2">
        <v>3684</v>
      </c>
      <c r="U54" s="29">
        <f t="shared" si="10"/>
        <v>61.4</v>
      </c>
      <c r="V54" s="29">
        <f t="shared" si="24"/>
        <v>6.6728915539820535E-2</v>
      </c>
      <c r="W54" s="70">
        <f t="shared" si="11"/>
        <v>2.8642698022043342</v>
      </c>
      <c r="Y54" s="32">
        <v>45151.53125</v>
      </c>
      <c r="Z54">
        <v>8.4056949555073098E-4</v>
      </c>
      <c r="AA54" s="34">
        <v>0.59425534599999996</v>
      </c>
      <c r="AB54" s="2">
        <v>755</v>
      </c>
      <c r="AC54" s="33">
        <f t="shared" si="12"/>
        <v>12.583333333333334</v>
      </c>
      <c r="AD54" s="105">
        <f t="shared" si="25"/>
        <v>1.0577166152346698E-2</v>
      </c>
      <c r="AE54" s="77">
        <f t="shared" si="13"/>
        <v>0.84304472770801553</v>
      </c>
      <c r="AG54" s="38">
        <v>45166.53125</v>
      </c>
      <c r="AH54" s="111">
        <v>1.0051877811777301E-2</v>
      </c>
      <c r="AI54" s="50">
        <v>1.8086265969999999</v>
      </c>
      <c r="AJ54" s="2">
        <v>16755</v>
      </c>
      <c r="AK54" s="40">
        <f t="shared" si="14"/>
        <v>279.25</v>
      </c>
      <c r="AL54" s="49">
        <f t="shared" si="26"/>
        <v>2.8069868789388113</v>
      </c>
      <c r="AM54" s="73">
        <f t="shared" si="15"/>
        <v>34.300543208193481</v>
      </c>
      <c r="AO54" s="43">
        <v>45183.53125</v>
      </c>
      <c r="AP54" s="111">
        <v>7.2093317236760802E-4</v>
      </c>
      <c r="AQ54" s="46">
        <v>0.44894941300000002</v>
      </c>
      <c r="AR54" s="2">
        <v>698</v>
      </c>
      <c r="AS54" s="45">
        <f t="shared" si="16"/>
        <v>11.633333333333333</v>
      </c>
      <c r="AT54" s="45">
        <f t="shared" si="27"/>
        <v>8.3868559052098397E-3</v>
      </c>
      <c r="AU54" s="80">
        <f t="shared" si="17"/>
        <v>0.72266869212375318</v>
      </c>
      <c r="AW54" s="7">
        <v>45037.697916666664</v>
      </c>
      <c r="AX54" s="51">
        <v>3.2903903500795602E-3</v>
      </c>
      <c r="AY54" s="16">
        <v>73.415890989999994</v>
      </c>
      <c r="AZ54" s="2">
        <v>40470</v>
      </c>
      <c r="BA54" s="16">
        <f t="shared" si="18"/>
        <v>674.5</v>
      </c>
      <c r="BB54" s="9">
        <f t="shared" si="19"/>
        <v>2.2193682911286632</v>
      </c>
      <c r="BC54" s="119">
        <f t="shared" si="20"/>
        <v>29.347133664148647</v>
      </c>
      <c r="BE54" s="6"/>
      <c r="BG54" s="4"/>
      <c r="BH54" s="2"/>
      <c r="BI54" s="5"/>
      <c r="BJ54" s="102"/>
      <c r="BK54" s="102"/>
      <c r="BM54" s="104"/>
      <c r="BO54" s="102"/>
      <c r="BP54" s="2"/>
      <c r="BQ54" s="102"/>
      <c r="BR54" s="4"/>
      <c r="BS54" s="5"/>
      <c r="BU54" s="6"/>
      <c r="BV54" s="103"/>
      <c r="BW54" s="102"/>
      <c r="BY54" s="102"/>
      <c r="BZ54" s="102"/>
      <c r="CA54" s="102"/>
    </row>
    <row r="55" spans="1:79" x14ac:dyDescent="0.3">
      <c r="A55" s="7">
        <v>44776.542361111111</v>
      </c>
      <c r="B55" s="89">
        <v>1.2827286419484501E-7</v>
      </c>
      <c r="C55" s="8">
        <v>0.72944691949999996</v>
      </c>
      <c r="D55" s="2">
        <v>0</v>
      </c>
      <c r="E55" s="9">
        <f t="shared" si="4"/>
        <v>0</v>
      </c>
      <c r="F55" s="8">
        <f t="shared" si="22"/>
        <v>0</v>
      </c>
      <c r="G55" s="60">
        <f t="shared" si="6"/>
        <v>0</v>
      </c>
      <c r="I55" s="19">
        <v>44781.542361111111</v>
      </c>
      <c r="J55" s="1">
        <v>3.4586284454806899E-6</v>
      </c>
      <c r="K55" s="21">
        <v>1.5909838079999901</v>
      </c>
      <c r="L55" s="2">
        <v>0</v>
      </c>
      <c r="M55" s="23">
        <f t="shared" si="7"/>
        <v>0</v>
      </c>
      <c r="N55" s="20">
        <f t="shared" si="23"/>
        <v>0</v>
      </c>
      <c r="O55" s="65">
        <f t="shared" si="9"/>
        <v>0</v>
      </c>
      <c r="Q55" s="27">
        <v>45136.541666666664</v>
      </c>
      <c r="R55" s="51">
        <v>5.7842333792113595E-4</v>
      </c>
      <c r="S55" s="47">
        <v>0.56216848100000005</v>
      </c>
      <c r="T55" s="2">
        <v>209</v>
      </c>
      <c r="U55" s="29">
        <f t="shared" si="10"/>
        <v>3.4833333333333334</v>
      </c>
      <c r="V55" s="29">
        <f t="shared" si="24"/>
        <v>2.0148412937586236E-3</v>
      </c>
      <c r="W55" s="70">
        <f t="shared" si="11"/>
        <v>0.2803401514751237</v>
      </c>
      <c r="Y55" s="32">
        <v>45151.541666666664</v>
      </c>
      <c r="Z55">
        <v>9.3460969689461697E-4</v>
      </c>
      <c r="AA55" s="34">
        <v>0.66168135500000003</v>
      </c>
      <c r="AB55" s="2">
        <v>823</v>
      </c>
      <c r="AC55" s="33">
        <f t="shared" si="12"/>
        <v>13.716666666666667</v>
      </c>
      <c r="AD55" s="105">
        <f t="shared" si="25"/>
        <v>1.281972967573783E-2</v>
      </c>
      <c r="AE55" s="77">
        <f t="shared" si="13"/>
        <v>0.95785760540676057</v>
      </c>
      <c r="AG55" s="38">
        <v>45166.541666666664</v>
      </c>
      <c r="AH55" s="111">
        <v>8.9554624590930994E-3</v>
      </c>
      <c r="AI55" s="50">
        <v>1.8086265969999999</v>
      </c>
      <c r="AJ55" s="2">
        <v>17492</v>
      </c>
      <c r="AK55" s="40">
        <f t="shared" si="14"/>
        <v>291.53333333333336</v>
      </c>
      <c r="AL55" s="49">
        <f t="shared" si="26"/>
        <v>2.6108158222409417</v>
      </c>
      <c r="AM55" s="73">
        <f t="shared" si="15"/>
        <v>32.689539641483293</v>
      </c>
      <c r="AO55" s="43">
        <v>45183.541666666664</v>
      </c>
      <c r="AP55" s="111">
        <v>8.0977939034192203E-4</v>
      </c>
      <c r="AQ55" s="46">
        <v>0.47522856800000002</v>
      </c>
      <c r="AR55" s="2">
        <v>929</v>
      </c>
      <c r="AS55" s="45">
        <f t="shared" si="16"/>
        <v>15.483333333333333</v>
      </c>
      <c r="AT55" s="45">
        <f t="shared" si="27"/>
        <v>1.2538084227127426E-2</v>
      </c>
      <c r="AU55" s="80">
        <f t="shared" si="17"/>
        <v>0.94383241650282246</v>
      </c>
      <c r="AW55" s="7">
        <v>45037.708333333336</v>
      </c>
      <c r="AX55" s="51">
        <v>3.4615416896153898E-3</v>
      </c>
      <c r="AY55" s="16">
        <v>70.720093730000002</v>
      </c>
      <c r="AZ55" s="2">
        <v>40640</v>
      </c>
      <c r="BA55" s="16">
        <f t="shared" si="18"/>
        <v>677.33333333333337</v>
      </c>
      <c r="BB55" s="9">
        <f t="shared" si="19"/>
        <v>2.3446175710994908</v>
      </c>
      <c r="BC55" s="119">
        <f t="shared" si="20"/>
        <v>30.436674657480886</v>
      </c>
      <c r="BE55" s="6"/>
      <c r="BG55" s="4"/>
      <c r="BH55" s="2"/>
      <c r="BI55" s="5"/>
      <c r="BJ55" s="102"/>
      <c r="BK55" s="102"/>
      <c r="BM55" s="104"/>
      <c r="BO55" s="102"/>
      <c r="BP55" s="2"/>
      <c r="BQ55" s="102"/>
      <c r="BR55" s="4"/>
      <c r="BS55" s="5"/>
      <c r="BU55" s="6"/>
      <c r="BV55" s="103"/>
      <c r="BW55" s="102"/>
      <c r="BY55" s="102"/>
      <c r="BZ55" s="102"/>
      <c r="CA55" s="102"/>
    </row>
    <row r="56" spans="1:79" x14ac:dyDescent="0.3">
      <c r="A56" s="7">
        <v>44776.552777777775</v>
      </c>
      <c r="B56" s="89">
        <v>8.2552067113168302E-8</v>
      </c>
      <c r="C56" s="8">
        <v>0.68032893350000001</v>
      </c>
      <c r="D56" s="2">
        <v>0</v>
      </c>
      <c r="E56" s="9">
        <f t="shared" si="4"/>
        <v>0</v>
      </c>
      <c r="F56" s="8">
        <f t="shared" si="22"/>
        <v>0</v>
      </c>
      <c r="G56" s="60">
        <f t="shared" si="6"/>
        <v>0</v>
      </c>
      <c r="I56" s="19">
        <v>44781.552777777775</v>
      </c>
      <c r="J56" s="1">
        <v>1.04538029694326E-5</v>
      </c>
      <c r="K56" s="21">
        <v>2.1687506614999998</v>
      </c>
      <c r="L56" s="2">
        <v>0</v>
      </c>
      <c r="M56" s="23">
        <f t="shared" si="7"/>
        <v>0</v>
      </c>
      <c r="N56" s="20">
        <f t="shared" si="23"/>
        <v>0</v>
      </c>
      <c r="O56" s="65">
        <f t="shared" si="9"/>
        <v>0</v>
      </c>
      <c r="Q56" s="27">
        <v>45136.552083333336</v>
      </c>
      <c r="R56" s="51">
        <v>1.0450236350175899E-3</v>
      </c>
      <c r="S56" s="47">
        <v>0.77321039300000005</v>
      </c>
      <c r="T56" s="2">
        <v>1266</v>
      </c>
      <c r="U56" s="29">
        <f t="shared" si="10"/>
        <v>21.1</v>
      </c>
      <c r="V56" s="29">
        <f t="shared" si="24"/>
        <v>2.204999869887115E-2</v>
      </c>
      <c r="W56" s="70">
        <f t="shared" si="11"/>
        <v>1.3730699833451059</v>
      </c>
      <c r="Y56" s="32">
        <v>45151.552083333336</v>
      </c>
      <c r="Z56">
        <v>7.8592673892573998E-4</v>
      </c>
      <c r="AA56" s="34">
        <v>0.59425534599999996</v>
      </c>
      <c r="AB56" s="2">
        <v>758</v>
      </c>
      <c r="AC56" s="33">
        <f t="shared" si="12"/>
        <v>12.633333333333333</v>
      </c>
      <c r="AD56" s="105">
        <f t="shared" si="25"/>
        <v>9.9288744684285155E-3</v>
      </c>
      <c r="AE56" s="77">
        <f t="shared" si="13"/>
        <v>0.80837150651619505</v>
      </c>
      <c r="AG56" s="38">
        <v>45166.552083333336</v>
      </c>
      <c r="AH56" s="111">
        <v>6.9162567079242496E-3</v>
      </c>
      <c r="AI56" s="50">
        <v>1.5821856839999999</v>
      </c>
      <c r="AJ56" s="2">
        <v>18600</v>
      </c>
      <c r="AK56" s="40">
        <f t="shared" si="14"/>
        <v>310</v>
      </c>
      <c r="AL56" s="49">
        <f t="shared" si="26"/>
        <v>2.1440395794565172</v>
      </c>
      <c r="AM56" s="73">
        <f t="shared" si="15"/>
        <v>28.681902947752558</v>
      </c>
      <c r="AO56" s="43">
        <v>45183.552083333336</v>
      </c>
      <c r="AP56" s="111">
        <v>8.0260966777415295E-4</v>
      </c>
      <c r="AQ56" s="46">
        <v>0.47522856800000002</v>
      </c>
      <c r="AR56" s="2">
        <v>737</v>
      </c>
      <c r="AS56" s="45">
        <f t="shared" si="16"/>
        <v>12.283333333333333</v>
      </c>
      <c r="AT56" s="45">
        <f t="shared" si="27"/>
        <v>9.858722085825845E-3</v>
      </c>
      <c r="AU56" s="80">
        <f t="shared" si="17"/>
        <v>0.80457452649451688</v>
      </c>
      <c r="AW56" s="7">
        <v>45037.71875</v>
      </c>
      <c r="AX56" s="51">
        <v>3.4532456460297299E-3</v>
      </c>
      <c r="AY56" s="16">
        <v>73.415890989999994</v>
      </c>
      <c r="AZ56" s="2">
        <v>40812</v>
      </c>
      <c r="BA56" s="16">
        <f t="shared" si="18"/>
        <v>680.2</v>
      </c>
      <c r="BB56" s="9">
        <f t="shared" si="19"/>
        <v>2.3488976884294224</v>
      </c>
      <c r="BC56" s="119">
        <f t="shared" si="20"/>
        <v>30.473556774083196</v>
      </c>
      <c r="BE56" s="6"/>
      <c r="BG56" s="4"/>
      <c r="BH56" s="2"/>
      <c r="BI56" s="5"/>
      <c r="BJ56" s="102"/>
      <c r="BK56" s="102"/>
      <c r="BM56" s="104"/>
      <c r="BO56" s="102"/>
      <c r="BP56" s="2"/>
      <c r="BQ56" s="102"/>
      <c r="BR56" s="4"/>
      <c r="BS56" s="5"/>
      <c r="BU56" s="6"/>
      <c r="BV56" s="103"/>
      <c r="BW56" s="102"/>
      <c r="BY56" s="102"/>
      <c r="BZ56" s="102"/>
      <c r="CA56" s="102"/>
    </row>
    <row r="57" spans="1:79" x14ac:dyDescent="0.3">
      <c r="A57" s="7">
        <v>44776.563194444447</v>
      </c>
      <c r="B57" s="89">
        <v>5.6289250569251201E-8</v>
      </c>
      <c r="C57" s="8">
        <v>0.62184915699999999</v>
      </c>
      <c r="D57" s="2">
        <v>0</v>
      </c>
      <c r="E57" s="9">
        <f t="shared" si="4"/>
        <v>0</v>
      </c>
      <c r="F57" s="8">
        <f t="shared" si="22"/>
        <v>0</v>
      </c>
      <c r="G57" s="60">
        <f t="shared" si="6"/>
        <v>0</v>
      </c>
      <c r="I57" s="19">
        <v>44781.563194444447</v>
      </c>
      <c r="J57" s="1">
        <v>1.2216960823949901E-5</v>
      </c>
      <c r="K57" s="21">
        <v>2.3007473825</v>
      </c>
      <c r="L57" s="2">
        <v>0</v>
      </c>
      <c r="M57" s="23">
        <f t="shared" si="7"/>
        <v>0</v>
      </c>
      <c r="N57" s="20">
        <f t="shared" si="23"/>
        <v>0</v>
      </c>
      <c r="O57" s="65">
        <f t="shared" si="9"/>
        <v>0</v>
      </c>
      <c r="Q57" s="27">
        <v>45136.5625</v>
      </c>
      <c r="R57" s="51">
        <v>1.24036912163333E-3</v>
      </c>
      <c r="S57" s="47">
        <v>0.89859415399999998</v>
      </c>
      <c r="T57" s="2">
        <v>3204</v>
      </c>
      <c r="U57" s="29">
        <f t="shared" si="10"/>
        <v>53.4</v>
      </c>
      <c r="V57" s="29">
        <f t="shared" si="24"/>
        <v>6.6235711095219821E-2</v>
      </c>
      <c r="W57" s="70">
        <f t="shared" si="11"/>
        <v>2.8501952160207442</v>
      </c>
      <c r="Y57" s="32">
        <v>45151.5625</v>
      </c>
      <c r="Z57">
        <v>4.6660136377799999E-4</v>
      </c>
      <c r="AA57" s="34">
        <v>0.42386643899999998</v>
      </c>
      <c r="AB57" s="2">
        <v>210</v>
      </c>
      <c r="AC57" s="33">
        <f t="shared" si="12"/>
        <v>3.5</v>
      </c>
      <c r="AD57" s="105">
        <f t="shared" si="25"/>
        <v>1.633104773223E-3</v>
      </c>
      <c r="AE57" s="77">
        <f t="shared" si="13"/>
        <v>0.24384323527881913</v>
      </c>
      <c r="AG57" s="38">
        <v>45166.5625</v>
      </c>
      <c r="AH57" s="111">
        <v>1.16290101945568E-2</v>
      </c>
      <c r="AI57" s="50">
        <v>2.5487565000000001</v>
      </c>
      <c r="AJ57" s="2">
        <v>13090</v>
      </c>
      <c r="AK57" s="40">
        <f t="shared" si="14"/>
        <v>218.16666666666666</v>
      </c>
      <c r="AL57" s="49">
        <f t="shared" si="26"/>
        <v>2.5370623907791416</v>
      </c>
      <c r="AM57" s="73">
        <f t="shared" si="15"/>
        <v>32.073419585584496</v>
      </c>
      <c r="AO57" s="43">
        <v>45183.5625</v>
      </c>
      <c r="AP57" s="111">
        <v>8.6217290833811102E-4</v>
      </c>
      <c r="AQ57" s="46">
        <v>0.47522856800000002</v>
      </c>
      <c r="AR57" s="2">
        <v>881</v>
      </c>
      <c r="AS57" s="45">
        <f t="shared" si="16"/>
        <v>14.683333333333334</v>
      </c>
      <c r="AT57" s="45">
        <f t="shared" si="27"/>
        <v>1.265957220409793E-2</v>
      </c>
      <c r="AU57" s="80">
        <f t="shared" si="17"/>
        <v>0.94989503983954893</v>
      </c>
      <c r="AW57" s="7">
        <v>45037.729166666664</v>
      </c>
      <c r="AX57" s="51">
        <v>3.1385713204257499E-3</v>
      </c>
      <c r="AY57" s="16">
        <v>71.17580074</v>
      </c>
      <c r="AZ57" s="2">
        <v>40468</v>
      </c>
      <c r="BA57" s="16">
        <f t="shared" si="18"/>
        <v>674.4666666666667</v>
      </c>
      <c r="BB57" s="9">
        <f t="shared" si="19"/>
        <v>2.1168617365831541</v>
      </c>
      <c r="BC57" s="119">
        <f t="shared" si="20"/>
        <v>28.439974270297594</v>
      </c>
      <c r="BE57" s="6"/>
      <c r="BG57" s="4"/>
      <c r="BH57" s="2"/>
      <c r="BI57" s="5"/>
      <c r="BJ57" s="102"/>
      <c r="BK57" s="102"/>
      <c r="BM57" s="104"/>
      <c r="BO57" s="102"/>
      <c r="BP57" s="2"/>
      <c r="BQ57" s="102"/>
      <c r="BR57" s="4"/>
      <c r="BS57" s="5"/>
      <c r="BU57" s="6"/>
      <c r="BV57" s="103"/>
      <c r="BW57" s="102"/>
      <c r="BY57" s="102"/>
      <c r="BZ57" s="102"/>
      <c r="CA57" s="102"/>
    </row>
    <row r="58" spans="1:79" x14ac:dyDescent="0.3">
      <c r="A58" s="7">
        <v>44776.573611111111</v>
      </c>
      <c r="B58" s="89">
        <v>8.0481383774328897E-8</v>
      </c>
      <c r="C58" s="8">
        <v>0.63156217000000003</v>
      </c>
      <c r="D58" s="2">
        <v>0</v>
      </c>
      <c r="E58" s="9">
        <f t="shared" si="4"/>
        <v>0</v>
      </c>
      <c r="F58" s="8">
        <f t="shared" si="22"/>
        <v>0</v>
      </c>
      <c r="G58" s="60">
        <f t="shared" si="6"/>
        <v>0</v>
      </c>
      <c r="I58" s="19">
        <v>44781.573611111111</v>
      </c>
      <c r="J58" s="1">
        <v>3.7170773087333501E-5</v>
      </c>
      <c r="K58" s="21">
        <v>3.2652481369999999</v>
      </c>
      <c r="L58" s="2">
        <v>0</v>
      </c>
      <c r="M58" s="23">
        <f t="shared" si="7"/>
        <v>0</v>
      </c>
      <c r="N58" s="20">
        <f t="shared" si="23"/>
        <v>0</v>
      </c>
      <c r="O58" s="65">
        <f t="shared" si="9"/>
        <v>0</v>
      </c>
      <c r="Q58" s="27">
        <v>45136.572916666664</v>
      </c>
      <c r="R58" s="51">
        <v>2.4077205330697701E-3</v>
      </c>
      <c r="S58" s="47">
        <v>1.5125919880000001</v>
      </c>
      <c r="T58" s="2">
        <v>13690</v>
      </c>
      <c r="U58" s="29">
        <f t="shared" si="10"/>
        <v>228.16666666666666</v>
      </c>
      <c r="V58" s="29">
        <f t="shared" si="24"/>
        <v>0.54936156829541916</v>
      </c>
      <c r="W58" s="70">
        <f t="shared" si="11"/>
        <v>11.612755383239113</v>
      </c>
      <c r="Y58" s="32">
        <v>45151.572916666664</v>
      </c>
      <c r="Z58">
        <v>5.6202394864201795E-4</v>
      </c>
      <c r="AA58" s="34">
        <v>0.42386643899999998</v>
      </c>
      <c r="AB58" s="2">
        <v>267</v>
      </c>
      <c r="AC58" s="33">
        <f t="shared" si="12"/>
        <v>4.45</v>
      </c>
      <c r="AD58" s="105">
        <f t="shared" si="25"/>
        <v>2.5010065714569799E-3</v>
      </c>
      <c r="AE58" s="77">
        <f t="shared" si="13"/>
        <v>0.32360679549811411</v>
      </c>
      <c r="AG58" s="38">
        <v>45166.572916666664</v>
      </c>
      <c r="AH58" s="111">
        <v>7.3855699219922003E-3</v>
      </c>
      <c r="AI58" s="50">
        <v>1.729502407</v>
      </c>
      <c r="AJ58" s="2">
        <v>18430</v>
      </c>
      <c r="AK58" s="40">
        <f t="shared" si="14"/>
        <v>307.16666666666669</v>
      </c>
      <c r="AL58" s="49">
        <f t="shared" si="26"/>
        <v>2.2686008943719376</v>
      </c>
      <c r="AM58" s="73">
        <f t="shared" si="15"/>
        <v>29.777810483706094</v>
      </c>
      <c r="AO58" s="43">
        <v>45183.572916666664</v>
      </c>
      <c r="AP58" s="111">
        <v>7.2297274437929605E-4</v>
      </c>
      <c r="AQ58" s="46">
        <v>0.44894941300000002</v>
      </c>
      <c r="AR58" s="2">
        <v>629</v>
      </c>
      <c r="AS58" s="45">
        <f t="shared" si="16"/>
        <v>10.483333333333333</v>
      </c>
      <c r="AT58" s="45">
        <f t="shared" si="27"/>
        <v>7.5791642702429532E-3</v>
      </c>
      <c r="AU58" s="80">
        <f t="shared" si="17"/>
        <v>0.67567514013205054</v>
      </c>
      <c r="AW58" s="7">
        <v>45037.739583333336</v>
      </c>
      <c r="AX58" s="51">
        <v>3.3162645691079099E-3</v>
      </c>
      <c r="AY58" s="16">
        <v>74.757192930000002</v>
      </c>
      <c r="AZ58" s="2">
        <v>40646</v>
      </c>
      <c r="BA58" s="16">
        <f t="shared" si="18"/>
        <v>677.43333333333328</v>
      </c>
      <c r="BB58" s="9">
        <f t="shared" si="19"/>
        <v>2.2465481612660017</v>
      </c>
      <c r="BC58" s="119">
        <f t="shared" si="20"/>
        <v>29.585290012737364</v>
      </c>
      <c r="BE58" s="6"/>
      <c r="BG58" s="4"/>
      <c r="BH58" s="2"/>
      <c r="BI58" s="5"/>
      <c r="BJ58" s="102"/>
      <c r="BK58" s="102"/>
      <c r="BM58" s="104"/>
      <c r="BO58" s="102"/>
      <c r="BP58" s="2"/>
      <c r="BQ58" s="102"/>
      <c r="BR58" s="4"/>
      <c r="BS58" s="5"/>
      <c r="BU58" s="6"/>
      <c r="BV58" s="103"/>
      <c r="BW58" s="102"/>
      <c r="BY58" s="102"/>
      <c r="BZ58" s="102"/>
      <c r="CA58" s="102"/>
    </row>
    <row r="59" spans="1:79" x14ac:dyDescent="0.3">
      <c r="A59" s="7">
        <v>44776.584027777775</v>
      </c>
      <c r="B59" s="89">
        <v>9.0839956727602702E-8</v>
      </c>
      <c r="C59" s="8">
        <v>0.66496995749999999</v>
      </c>
      <c r="D59" s="2">
        <v>0</v>
      </c>
      <c r="E59" s="9">
        <f t="shared" si="4"/>
        <v>0</v>
      </c>
      <c r="F59" s="8">
        <f t="shared" si="22"/>
        <v>0</v>
      </c>
      <c r="G59" s="60">
        <f t="shared" si="6"/>
        <v>0</v>
      </c>
      <c r="I59" s="19">
        <v>44781.584027777775</v>
      </c>
      <c r="J59">
        <v>4.8837098868093401E-4</v>
      </c>
      <c r="K59" s="21">
        <v>7.0573823745000004</v>
      </c>
      <c r="L59" s="2">
        <v>502</v>
      </c>
      <c r="M59" s="23">
        <f t="shared" si="7"/>
        <v>8.3666666666666671</v>
      </c>
      <c r="N59" s="20">
        <f t="shared" si="23"/>
        <v>4.086037271963815E-3</v>
      </c>
      <c r="O59" s="65">
        <f t="shared" si="9"/>
        <v>0.44830556184661885</v>
      </c>
      <c r="Q59" s="27">
        <v>45136.583333333336</v>
      </c>
      <c r="R59" s="51">
        <v>3.0761736409118702E-3</v>
      </c>
      <c r="S59" s="47">
        <v>1.654461261</v>
      </c>
      <c r="T59" s="2">
        <v>16994</v>
      </c>
      <c r="U59" s="29">
        <f t="shared" si="10"/>
        <v>283.23333333333335</v>
      </c>
      <c r="V59" s="29">
        <f t="shared" si="24"/>
        <v>0.87127491422760539</v>
      </c>
      <c r="W59" s="70">
        <f t="shared" si="11"/>
        <v>15.773658834394306</v>
      </c>
      <c r="Y59" s="32">
        <v>45151.583333333336</v>
      </c>
      <c r="Z59">
        <v>6.6591871009811805E-4</v>
      </c>
      <c r="AA59" s="34">
        <v>0.50323377899999999</v>
      </c>
      <c r="AB59" s="2">
        <v>464</v>
      </c>
      <c r="AC59" s="33">
        <f t="shared" si="12"/>
        <v>7.7333333333333334</v>
      </c>
      <c r="AD59" s="105">
        <f t="shared" si="25"/>
        <v>5.1497713580921133E-3</v>
      </c>
      <c r="AE59" s="77">
        <f t="shared" si="13"/>
        <v>0.52275305675073047</v>
      </c>
      <c r="AG59" s="38">
        <v>45166.583333333336</v>
      </c>
      <c r="AH59" s="111">
        <v>7.6920188303758802E-3</v>
      </c>
      <c r="AI59" s="50">
        <v>1.9734137430000001</v>
      </c>
      <c r="AJ59" s="2">
        <v>17231</v>
      </c>
      <c r="AK59" s="40">
        <f t="shared" si="14"/>
        <v>287.18333333333334</v>
      </c>
      <c r="AL59" s="49">
        <f t="shared" si="26"/>
        <v>2.2090196077701134</v>
      </c>
      <c r="AM59" s="73">
        <f t="shared" si="15"/>
        <v>29.256198830226975</v>
      </c>
      <c r="AO59" s="43">
        <v>45183.583333333336</v>
      </c>
      <c r="AP59" s="111">
        <v>1.2209779172525699E-3</v>
      </c>
      <c r="AQ59" s="46">
        <v>0.44894941300000002</v>
      </c>
      <c r="AR59" s="2">
        <v>2048</v>
      </c>
      <c r="AS59" s="45">
        <f t="shared" si="16"/>
        <v>34.133333333333333</v>
      </c>
      <c r="AT59" s="45">
        <f t="shared" si="27"/>
        <v>4.1676046242221057E-2</v>
      </c>
      <c r="AU59" s="80">
        <f t="shared" si="17"/>
        <v>2.0954341975852189</v>
      </c>
      <c r="AW59" s="7">
        <v>45037.75</v>
      </c>
      <c r="AX59" s="51">
        <v>3.0999705409869901E-3</v>
      </c>
      <c r="AY59" s="16">
        <v>75.652056590000001</v>
      </c>
      <c r="AZ59" s="2">
        <v>40478</v>
      </c>
      <c r="BA59" s="16">
        <f t="shared" si="18"/>
        <v>674.63333333333333</v>
      </c>
      <c r="BB59" s="9">
        <f t="shared" si="19"/>
        <v>2.0913434593011897</v>
      </c>
      <c r="BC59" s="119">
        <f t="shared" si="20"/>
        <v>28.211866789834787</v>
      </c>
      <c r="BE59" s="6"/>
      <c r="BG59" s="4"/>
      <c r="BH59" s="2"/>
      <c r="BI59" s="5"/>
      <c r="BJ59" s="102"/>
      <c r="BK59" s="102"/>
      <c r="BM59" s="104"/>
      <c r="BO59" s="102"/>
      <c r="BP59" s="2"/>
      <c r="BQ59" s="102"/>
      <c r="BR59" s="4"/>
      <c r="BS59" s="5"/>
      <c r="BU59" s="6"/>
      <c r="BV59" s="103"/>
      <c r="BW59" s="102"/>
      <c r="BY59" s="102"/>
      <c r="BZ59" s="102"/>
      <c r="CA59" s="102"/>
    </row>
    <row r="60" spans="1:79" x14ac:dyDescent="0.3">
      <c r="A60" s="7">
        <v>44776.594444444447</v>
      </c>
      <c r="B60" s="89">
        <v>1.0987121629035801E-7</v>
      </c>
      <c r="C60" s="8">
        <v>0.67182250649999997</v>
      </c>
      <c r="D60" s="2">
        <v>0</v>
      </c>
      <c r="E60" s="9">
        <f t="shared" si="4"/>
        <v>0</v>
      </c>
      <c r="F60" s="8">
        <f t="shared" si="22"/>
        <v>0</v>
      </c>
      <c r="G60" s="60">
        <f t="shared" si="6"/>
        <v>0</v>
      </c>
      <c r="I60" s="66">
        <v>44781.594444444447</v>
      </c>
      <c r="J60" s="99">
        <v>5.3276258426810897E-3</v>
      </c>
      <c r="K60" s="92">
        <v>13.5126390895</v>
      </c>
      <c r="L60" s="39">
        <v>34605</v>
      </c>
      <c r="M60" s="40">
        <f t="shared" si="7"/>
        <v>576.75</v>
      </c>
      <c r="N60" s="50">
        <f t="shared" si="23"/>
        <v>3.0727082047663186</v>
      </c>
      <c r="O60" s="61">
        <f t="shared" si="9"/>
        <v>36.423656397931644</v>
      </c>
      <c r="Q60" s="27">
        <v>45136.59375</v>
      </c>
      <c r="R60" s="51">
        <v>2.1424690866842198E-3</v>
      </c>
      <c r="S60" s="47">
        <v>1.5125919880000001</v>
      </c>
      <c r="T60" s="2">
        <v>12044</v>
      </c>
      <c r="U60" s="29">
        <f t="shared" si="10"/>
        <v>200.73333333333332</v>
      </c>
      <c r="V60" s="29">
        <f t="shared" si="24"/>
        <v>0.43006496133374572</v>
      </c>
      <c r="W60" s="70">
        <f t="shared" si="11"/>
        <v>9.8704283481595692</v>
      </c>
      <c r="Y60" s="32">
        <v>45151.59375</v>
      </c>
      <c r="Z60">
        <v>5.6083769402638195E-4</v>
      </c>
      <c r="AA60" s="34">
        <v>0.42386643899999998</v>
      </c>
      <c r="AB60" s="2">
        <v>280</v>
      </c>
      <c r="AC60" s="33">
        <f t="shared" si="12"/>
        <v>4.666666666666667</v>
      </c>
      <c r="AD60" s="105">
        <f t="shared" si="25"/>
        <v>2.6172425721231159E-3</v>
      </c>
      <c r="AE60" s="77">
        <f t="shared" si="13"/>
        <v>0.33351685274999437</v>
      </c>
      <c r="AG60" s="38">
        <v>45166.59375</v>
      </c>
      <c r="AH60" s="111">
        <v>8.1613232494885807E-3</v>
      </c>
      <c r="AI60" s="50">
        <v>1.9734137430000001</v>
      </c>
      <c r="AJ60" s="2">
        <v>17923</v>
      </c>
      <c r="AK60" s="40">
        <f t="shared" si="14"/>
        <v>298.71666666666664</v>
      </c>
      <c r="AL60" s="49">
        <f t="shared" si="26"/>
        <v>2.437923276676397</v>
      </c>
      <c r="AM60" s="73">
        <f t="shared" si="15"/>
        <v>31.235659964683133</v>
      </c>
      <c r="AO60" s="43">
        <v>45183.59375</v>
      </c>
      <c r="AP60" s="111">
        <v>3.3537177882182099E-3</v>
      </c>
      <c r="AQ60" s="46">
        <v>0.53201108200000002</v>
      </c>
      <c r="AR60" s="2">
        <v>8998</v>
      </c>
      <c r="AS60" s="45">
        <f t="shared" si="16"/>
        <v>149.96666666666667</v>
      </c>
      <c r="AT60" s="45">
        <f t="shared" si="27"/>
        <v>0.50294587763979093</v>
      </c>
      <c r="AU60" s="80">
        <f t="shared" si="17"/>
        <v>10.95164848396344</v>
      </c>
      <c r="AW60" s="7">
        <v>45037.760416666664</v>
      </c>
      <c r="AX60" s="51">
        <v>3.1430915764839099E-3</v>
      </c>
      <c r="AY60" s="16">
        <v>72.069636250000002</v>
      </c>
      <c r="AZ60" s="2">
        <v>40760</v>
      </c>
      <c r="BA60" s="16">
        <f t="shared" si="18"/>
        <v>679.33333333333337</v>
      </c>
      <c r="BB60" s="9">
        <f t="shared" si="19"/>
        <v>2.1352068776247362</v>
      </c>
      <c r="BC60" s="119">
        <f t="shared" si="20"/>
        <v>28.603390622901543</v>
      </c>
      <c r="BE60" s="6"/>
      <c r="BG60" s="4"/>
      <c r="BH60" s="2"/>
      <c r="BI60" s="5"/>
      <c r="BJ60" s="102"/>
      <c r="BK60" s="102"/>
      <c r="BM60" s="104"/>
      <c r="BO60" s="102"/>
      <c r="BP60" s="2"/>
      <c r="BQ60" s="102"/>
      <c r="BR60" s="4"/>
      <c r="BS60" s="5"/>
      <c r="BU60" s="6"/>
      <c r="BV60" s="103"/>
      <c r="BW60" s="102"/>
      <c r="BY60" s="102"/>
      <c r="BZ60" s="102"/>
      <c r="CA60" s="102"/>
    </row>
    <row r="61" spans="1:79" x14ac:dyDescent="0.3">
      <c r="A61" s="7">
        <v>44776.604861111111</v>
      </c>
      <c r="B61" s="89">
        <v>1.6818201192618799E-7</v>
      </c>
      <c r="C61" s="8">
        <v>0.69815132099999999</v>
      </c>
      <c r="D61" s="2">
        <v>0</v>
      </c>
      <c r="E61" s="9">
        <f t="shared" si="4"/>
        <v>0</v>
      </c>
      <c r="F61" s="8">
        <f t="shared" si="22"/>
        <v>0</v>
      </c>
      <c r="G61" s="60">
        <f>17.285*F61^0.664</f>
        <v>0</v>
      </c>
      <c r="I61" s="66">
        <v>44781.604861111111</v>
      </c>
      <c r="J61" s="99">
        <v>3.2275768961475201E-2</v>
      </c>
      <c r="K61" s="92">
        <v>21.08342828</v>
      </c>
      <c r="L61" s="39">
        <v>8779</v>
      </c>
      <c r="M61" s="40">
        <f t="shared" si="7"/>
        <v>146.31666666666666</v>
      </c>
      <c r="N61" s="50">
        <f t="shared" si="23"/>
        <v>4.7224829285465129</v>
      </c>
      <c r="O61" s="61">
        <f t="shared" si="9"/>
        <v>48.45276073386529</v>
      </c>
      <c r="Q61" s="27">
        <v>45136.604166666664</v>
      </c>
      <c r="R61" s="51">
        <v>3.5521338867512599E-3</v>
      </c>
      <c r="S61" s="47">
        <v>1.88950475</v>
      </c>
      <c r="T61" s="2">
        <v>18200</v>
      </c>
      <c r="U61" s="29">
        <f t="shared" si="10"/>
        <v>303.33333333333331</v>
      </c>
      <c r="V61" s="29">
        <f t="shared" si="24"/>
        <v>1.0774806123145488</v>
      </c>
      <c r="W61" s="70">
        <f t="shared" si="11"/>
        <v>18.163070482666463</v>
      </c>
      <c r="Y61" s="32">
        <v>45151.604166666664</v>
      </c>
      <c r="Z61">
        <v>9.0257621313738902E-4</v>
      </c>
      <c r="AA61" s="34">
        <v>0.59425534599999996</v>
      </c>
      <c r="AB61" s="2">
        <v>720</v>
      </c>
      <c r="AC61" s="33">
        <f t="shared" si="12"/>
        <v>12</v>
      </c>
      <c r="AD61" s="105">
        <f t="shared" si="25"/>
        <v>1.0830914557648667E-2</v>
      </c>
      <c r="AE61" s="77">
        <f t="shared" si="13"/>
        <v>0.85642045205515571</v>
      </c>
      <c r="AG61" s="38">
        <v>45166.604166666664</v>
      </c>
      <c r="AH61" s="111">
        <v>9.6082984129054107E-3</v>
      </c>
      <c r="AI61" s="50">
        <v>2.1522282119999998</v>
      </c>
      <c r="AJ61" s="2">
        <v>15513</v>
      </c>
      <c r="AK61" s="40">
        <f t="shared" si="14"/>
        <v>258.55</v>
      </c>
      <c r="AL61" s="49">
        <f t="shared" si="26"/>
        <v>2.4842255546566943</v>
      </c>
      <c r="AM61" s="73">
        <f t="shared" si="15"/>
        <v>31.628327306082866</v>
      </c>
      <c r="AO61" s="43">
        <v>45183.604166666664</v>
      </c>
      <c r="AP61" s="111">
        <v>2.92588932967247E-3</v>
      </c>
      <c r="AQ61" s="46">
        <v>0.81307424100000003</v>
      </c>
      <c r="AR61" s="2">
        <v>8890</v>
      </c>
      <c r="AS61" s="45">
        <f t="shared" si="16"/>
        <v>148.16666666666666</v>
      </c>
      <c r="AT61" s="45">
        <f t="shared" si="27"/>
        <v>0.43351926901313759</v>
      </c>
      <c r="AU61" s="80">
        <f t="shared" si="17"/>
        <v>9.9229994039960783</v>
      </c>
      <c r="AW61" s="7">
        <v>45037.770833333336</v>
      </c>
      <c r="AX61" s="51">
        <v>3.00755145107809E-3</v>
      </c>
      <c r="AY61" s="16">
        <v>70.727821939999998</v>
      </c>
      <c r="AZ61" s="2">
        <v>40261</v>
      </c>
      <c r="BA61" s="16">
        <f t="shared" si="18"/>
        <v>671.01666666666665</v>
      </c>
      <c r="BB61" s="9">
        <f t="shared" si="19"/>
        <v>2.0181171495309163</v>
      </c>
      <c r="BC61" s="119">
        <f t="shared" si="20"/>
        <v>27.552040966979668</v>
      </c>
      <c r="BE61" s="6"/>
      <c r="BG61" s="4"/>
      <c r="BH61" s="2"/>
      <c r="BI61" s="5"/>
      <c r="BJ61" s="102"/>
      <c r="BK61" s="102"/>
      <c r="BM61" s="104"/>
      <c r="BO61" s="102"/>
      <c r="BP61" s="2"/>
      <c r="BQ61" s="102"/>
      <c r="BR61" s="4"/>
      <c r="BS61" s="5"/>
      <c r="BU61" s="6"/>
      <c r="BV61" s="103"/>
      <c r="BW61" s="102"/>
      <c r="BY61" s="102"/>
      <c r="BZ61" s="102"/>
      <c r="CA61" s="102"/>
    </row>
    <row r="62" spans="1:79" x14ac:dyDescent="0.3">
      <c r="A62" s="63">
        <v>44776.615277777775</v>
      </c>
      <c r="B62" s="91">
        <v>2.59925867337766E-6</v>
      </c>
      <c r="C62" s="92">
        <v>1.3141996124999999</v>
      </c>
      <c r="D62" s="39">
        <v>0</v>
      </c>
      <c r="E62" s="40">
        <f t="shared" si="4"/>
        <v>0</v>
      </c>
      <c r="F62" s="49">
        <f t="shared" si="22"/>
        <v>0</v>
      </c>
      <c r="G62" s="61">
        <f t="shared" si="6"/>
        <v>0</v>
      </c>
      <c r="I62" s="19">
        <v>44781.615277777775</v>
      </c>
      <c r="J62">
        <v>3.9279704565803299E-2</v>
      </c>
      <c r="K62" s="21">
        <v>28.119352749999901</v>
      </c>
      <c r="L62" s="2">
        <v>7895</v>
      </c>
      <c r="M62" s="23">
        <f t="shared" si="7"/>
        <v>131.58333333333334</v>
      </c>
      <c r="N62" s="20">
        <f t="shared" si="23"/>
        <v>5.168554459116951</v>
      </c>
      <c r="O62" s="65">
        <f t="shared" si="9"/>
        <v>51.445390017485174</v>
      </c>
      <c r="Q62" s="27">
        <v>45136.614583333336</v>
      </c>
      <c r="R62" s="51">
        <v>1.0547836171192799E-2</v>
      </c>
      <c r="S62" s="47">
        <v>4.4021109559999996</v>
      </c>
      <c r="T62" s="2">
        <v>14598</v>
      </c>
      <c r="U62" s="29">
        <f t="shared" si="10"/>
        <v>243.3</v>
      </c>
      <c r="V62" s="29">
        <f t="shared" si="24"/>
        <v>2.5662885404512084</v>
      </c>
      <c r="W62" s="70">
        <f t="shared" si="11"/>
        <v>32.318278988321708</v>
      </c>
      <c r="Y62" s="32">
        <v>45151.614583333336</v>
      </c>
      <c r="Z62">
        <v>6.4990407702920797E-4</v>
      </c>
      <c r="AA62" s="34">
        <v>0.50323377899999999</v>
      </c>
      <c r="AB62" s="2">
        <v>361</v>
      </c>
      <c r="AC62" s="33">
        <f t="shared" si="12"/>
        <v>6.0166666666666666</v>
      </c>
      <c r="AD62" s="105">
        <f t="shared" si="25"/>
        <v>3.9102561967924009E-3</v>
      </c>
      <c r="AE62" s="77">
        <f t="shared" si="13"/>
        <v>0.43540523389138358</v>
      </c>
      <c r="AG62" s="38">
        <v>45166.614583333336</v>
      </c>
      <c r="AH62" s="111">
        <v>6.71858223899649E-3</v>
      </c>
      <c r="AI62" s="50">
        <v>1.729502407</v>
      </c>
      <c r="AJ62" s="2">
        <v>18231</v>
      </c>
      <c r="AK62" s="40">
        <f t="shared" si="14"/>
        <v>303.85000000000002</v>
      </c>
      <c r="AL62" s="49">
        <f t="shared" si="26"/>
        <v>2.0414412133190836</v>
      </c>
      <c r="AM62" s="73">
        <f t="shared" si="15"/>
        <v>27.763068908006083</v>
      </c>
      <c r="AO62" s="43">
        <v>45183.614583333336</v>
      </c>
      <c r="AP62" s="111">
        <v>1.20655414733527E-2</v>
      </c>
      <c r="AQ62" s="46">
        <v>1.200201638</v>
      </c>
      <c r="AR62" s="2">
        <v>16254</v>
      </c>
      <c r="AS62" s="45">
        <f t="shared" si="16"/>
        <v>270.89999999999998</v>
      </c>
      <c r="AT62" s="45">
        <f t="shared" si="27"/>
        <v>3.268555185131246</v>
      </c>
      <c r="AU62" s="80">
        <f t="shared" si="17"/>
        <v>37.949114762475979</v>
      </c>
      <c r="AW62" s="7">
        <v>45037.78125</v>
      </c>
      <c r="AX62" s="51">
        <v>3.0214951921556498E-3</v>
      </c>
      <c r="AY62" s="16">
        <v>75.652056590000001</v>
      </c>
      <c r="AZ62" s="2">
        <v>40153</v>
      </c>
      <c r="BA62" s="16">
        <f t="shared" si="18"/>
        <v>669.2166666666667</v>
      </c>
      <c r="BB62" s="9">
        <f t="shared" si="19"/>
        <v>2.0220349408437635</v>
      </c>
      <c r="BC62" s="119">
        <f t="shared" si="20"/>
        <v>27.587544799747103</v>
      </c>
      <c r="BE62" s="6"/>
      <c r="BG62" s="4"/>
      <c r="BH62" s="2"/>
      <c r="BI62" s="5"/>
      <c r="BJ62" s="102"/>
      <c r="BK62" s="102"/>
      <c r="BM62" s="104"/>
      <c r="BO62" s="102"/>
      <c r="BP62" s="2"/>
      <c r="BQ62" s="102"/>
      <c r="BR62" s="4"/>
      <c r="BS62" s="5"/>
      <c r="BU62" s="6"/>
      <c r="BV62" s="103"/>
      <c r="BW62" s="102"/>
      <c r="BY62" s="102"/>
      <c r="BZ62" s="102"/>
      <c r="CA62" s="102"/>
    </row>
    <row r="63" spans="1:79" x14ac:dyDescent="0.3">
      <c r="A63" s="63">
        <v>44776.625694444447</v>
      </c>
      <c r="B63" s="28">
        <v>2.2757340169528399E-2</v>
      </c>
      <c r="C63" s="98">
        <v>12.6789259225</v>
      </c>
      <c r="D63" s="28">
        <v>19751</v>
      </c>
      <c r="E63" s="29">
        <f t="shared" si="4"/>
        <v>329.18333333333334</v>
      </c>
      <c r="F63" s="48">
        <f t="shared" si="22"/>
        <v>7.4913370948059237</v>
      </c>
      <c r="G63" s="62">
        <f t="shared" si="6"/>
        <v>65.822865624683701</v>
      </c>
      <c r="I63" s="19">
        <v>44781.625694444447</v>
      </c>
      <c r="J63">
        <v>3.6602438192205301E-2</v>
      </c>
      <c r="K63" s="21">
        <v>32.007500319999998</v>
      </c>
      <c r="L63" s="2">
        <v>7432</v>
      </c>
      <c r="M63" s="23">
        <f t="shared" si="7"/>
        <v>123.86666666666666</v>
      </c>
      <c r="N63" s="20">
        <f t="shared" si="23"/>
        <v>4.5338220107411633</v>
      </c>
      <c r="O63" s="65">
        <f t="shared" si="9"/>
        <v>47.158696205275916</v>
      </c>
      <c r="Q63" s="27">
        <v>45136.625</v>
      </c>
      <c r="R63" s="51">
        <v>6.8858167403050605E-2</v>
      </c>
      <c r="S63" s="47">
        <v>14.6021538</v>
      </c>
      <c r="T63" s="2">
        <v>1991</v>
      </c>
      <c r="U63" s="29">
        <f t="shared" si="10"/>
        <v>33.18333333333333</v>
      </c>
      <c r="V63" s="29">
        <f t="shared" si="24"/>
        <v>2.2849435216578957</v>
      </c>
      <c r="W63" s="70">
        <f t="shared" si="11"/>
        <v>29.920076240540972</v>
      </c>
      <c r="Y63" s="32">
        <v>45151.625</v>
      </c>
      <c r="Z63">
        <v>8.5312856729315102E-4</v>
      </c>
      <c r="AA63" s="34">
        <v>0.59425534599999996</v>
      </c>
      <c r="AB63" s="2">
        <v>666</v>
      </c>
      <c r="AC63" s="33">
        <f t="shared" si="12"/>
        <v>11.1</v>
      </c>
      <c r="AD63" s="105">
        <f t="shared" si="25"/>
        <v>9.4697270969539768E-3</v>
      </c>
      <c r="AE63" s="77">
        <f t="shared" si="13"/>
        <v>0.78335290738010155</v>
      </c>
      <c r="AG63" s="38">
        <v>45166.625</v>
      </c>
      <c r="AH63" s="111">
        <v>5.0015689570989301E-3</v>
      </c>
      <c r="AI63" s="50">
        <v>1.317101139</v>
      </c>
      <c r="AJ63" s="2">
        <v>18038</v>
      </c>
      <c r="AK63" s="40">
        <f t="shared" si="14"/>
        <v>300.63333333333333</v>
      </c>
      <c r="AL63" s="49">
        <f t="shared" si="26"/>
        <v>1.503638347469175</v>
      </c>
      <c r="AM63" s="73">
        <f t="shared" si="15"/>
        <v>22.661705786168817</v>
      </c>
      <c r="AO63" s="43">
        <v>45183.625</v>
      </c>
      <c r="AP63" s="111">
        <v>1.76578529673284E-2</v>
      </c>
      <c r="AQ63" s="46">
        <v>1.9748874890000001</v>
      </c>
      <c r="AR63" s="2">
        <v>12693</v>
      </c>
      <c r="AS63" s="45">
        <f t="shared" si="16"/>
        <v>211.55</v>
      </c>
      <c r="AT63" s="45">
        <f t="shared" si="27"/>
        <v>3.7355187952383231</v>
      </c>
      <c r="AU63" s="80">
        <f t="shared" si="17"/>
        <v>41.467743036569793</v>
      </c>
      <c r="AW63" s="7">
        <v>45037.791666666664</v>
      </c>
      <c r="AX63" s="51">
        <v>3.0437046518637699E-3</v>
      </c>
      <c r="AY63" s="16">
        <v>74.312865549999998</v>
      </c>
      <c r="AZ63" s="2">
        <v>40648</v>
      </c>
      <c r="BA63" s="16">
        <f t="shared" si="18"/>
        <v>677.4666666666667</v>
      </c>
      <c r="BB63" s="9">
        <f t="shared" si="19"/>
        <v>2.0620084448159752</v>
      </c>
      <c r="BC63" s="119">
        <f t="shared" si="20"/>
        <v>27.948482724565888</v>
      </c>
      <c r="BE63" s="6"/>
      <c r="BG63" s="4"/>
      <c r="BH63" s="2"/>
      <c r="BI63" s="5"/>
      <c r="BJ63" s="102"/>
      <c r="BK63" s="102"/>
      <c r="BM63" s="104"/>
      <c r="BO63" s="102"/>
      <c r="BP63" s="2"/>
      <c r="BQ63" s="102"/>
      <c r="BR63" s="4"/>
      <c r="BS63" s="5"/>
      <c r="BU63" s="6"/>
      <c r="BV63" s="103"/>
      <c r="BW63" s="102"/>
      <c r="BY63" s="102"/>
      <c r="BZ63" s="102"/>
      <c r="CA63" s="102"/>
    </row>
    <row r="64" spans="1:79" x14ac:dyDescent="0.3">
      <c r="A64" s="7">
        <v>44776.636111111111</v>
      </c>
      <c r="B64" s="28">
        <v>6.88792344191058E-3</v>
      </c>
      <c r="C64" s="98">
        <v>22.620213794999898</v>
      </c>
      <c r="D64" s="28">
        <v>31526</v>
      </c>
      <c r="E64" s="29">
        <f t="shared" si="4"/>
        <v>525.43333333333328</v>
      </c>
      <c r="F64" s="48">
        <f t="shared" si="22"/>
        <v>3.619144573827882</v>
      </c>
      <c r="G64" s="62">
        <f t="shared" si="6"/>
        <v>40.60539343810273</v>
      </c>
      <c r="I64" s="19">
        <v>44781.636111111111</v>
      </c>
      <c r="J64">
        <v>3.1495097104223102E-2</v>
      </c>
      <c r="K64" s="21">
        <v>31.620971515000001</v>
      </c>
      <c r="L64" s="2">
        <v>8194</v>
      </c>
      <c r="M64" s="23">
        <f t="shared" si="7"/>
        <v>136.56666666666666</v>
      </c>
      <c r="N64" s="20">
        <f t="shared" si="23"/>
        <v>4.3011804278667345</v>
      </c>
      <c r="O64" s="65">
        <f t="shared" si="9"/>
        <v>45.537752329471651</v>
      </c>
      <c r="Q64" s="27">
        <v>45136.635416666664</v>
      </c>
      <c r="R64" s="51">
        <v>6.7877333616724295E-2</v>
      </c>
      <c r="S64" s="47">
        <v>13.238676509999999</v>
      </c>
      <c r="T64" s="2">
        <v>1939</v>
      </c>
      <c r="U64" s="29">
        <f t="shared" si="10"/>
        <v>32.31666666666667</v>
      </c>
      <c r="V64" s="29">
        <f t="shared" si="24"/>
        <v>2.1935691647138071</v>
      </c>
      <c r="W64" s="70">
        <f t="shared" si="11"/>
        <v>29.120167498168737</v>
      </c>
      <c r="Y64" s="32">
        <v>45151.635416666664</v>
      </c>
      <c r="Z64">
        <v>9.2627178502875098E-4</v>
      </c>
      <c r="AA64" s="34">
        <v>0.69769667099999999</v>
      </c>
      <c r="AB64" s="2">
        <v>1031</v>
      </c>
      <c r="AC64" s="33">
        <f t="shared" si="12"/>
        <v>17.183333333333334</v>
      </c>
      <c r="AD64" s="105">
        <f t="shared" si="25"/>
        <v>1.5916436839410703E-2</v>
      </c>
      <c r="AE64" s="77">
        <f t="shared" si="13"/>
        <v>1.1058469600490166</v>
      </c>
      <c r="AG64" s="38">
        <v>45166.635416666664</v>
      </c>
      <c r="AH64" s="111">
        <v>4.3623235008636704E-3</v>
      </c>
      <c r="AI64" s="50">
        <v>1.200201638</v>
      </c>
      <c r="AJ64" s="2">
        <v>17104</v>
      </c>
      <c r="AK64" s="40">
        <f t="shared" si="14"/>
        <v>285.06666666666666</v>
      </c>
      <c r="AL64" s="49">
        <f t="shared" si="26"/>
        <v>1.2435530193128703</v>
      </c>
      <c r="AM64" s="73">
        <f t="shared" si="15"/>
        <v>19.976825833273857</v>
      </c>
      <c r="AO64" s="43">
        <v>45183.635416666664</v>
      </c>
      <c r="AP64" s="111">
        <v>1.41599996290089E-2</v>
      </c>
      <c r="AQ64" s="46">
        <v>1.5125919880000001</v>
      </c>
      <c r="AR64" s="2">
        <v>13080</v>
      </c>
      <c r="AS64" s="45">
        <f t="shared" si="16"/>
        <v>218</v>
      </c>
      <c r="AT64" s="45">
        <f t="shared" si="27"/>
        <v>3.0868799191239402</v>
      </c>
      <c r="AU64" s="80">
        <f t="shared" si="17"/>
        <v>36.535115808454094</v>
      </c>
      <c r="AW64" s="7">
        <v>45037.802083333336</v>
      </c>
      <c r="AX64" s="51">
        <v>3.2777006601676698E-3</v>
      </c>
      <c r="AY64" s="16">
        <v>72.077340390000003</v>
      </c>
      <c r="AZ64" s="2">
        <v>40753</v>
      </c>
      <c r="BA64" s="16">
        <f t="shared" si="18"/>
        <v>679.2166666666667</v>
      </c>
      <c r="BB64" s="9">
        <f t="shared" si="19"/>
        <v>2.2262689167302177</v>
      </c>
      <c r="BC64" s="119">
        <f t="shared" si="20"/>
        <v>29.407690929480683</v>
      </c>
      <c r="BE64" s="6"/>
      <c r="BG64" s="4"/>
      <c r="BH64" s="2"/>
      <c r="BI64" s="5"/>
      <c r="BJ64" s="102"/>
      <c r="BK64" s="102"/>
      <c r="BM64" s="104"/>
      <c r="BO64" s="102"/>
      <c r="BP64" s="2"/>
      <c r="BQ64" s="102"/>
      <c r="BR64" s="4"/>
      <c r="BS64" s="5"/>
      <c r="BU64" s="6"/>
      <c r="BV64" s="103"/>
      <c r="BW64" s="102"/>
      <c r="BY64" s="102"/>
      <c r="BZ64" s="102"/>
      <c r="CA64" s="102"/>
    </row>
    <row r="65" spans="1:79" x14ac:dyDescent="0.3">
      <c r="A65" s="7">
        <v>44776.646527777775</v>
      </c>
      <c r="B65" s="2">
        <v>5.7579781162764004E-3</v>
      </c>
      <c r="C65" s="8">
        <v>19.508647905</v>
      </c>
      <c r="D65" s="2">
        <v>35587</v>
      </c>
      <c r="E65" s="9">
        <f t="shared" si="4"/>
        <v>593.11666666666667</v>
      </c>
      <c r="F65" s="8">
        <f t="shared" si="22"/>
        <v>3.415152787065471</v>
      </c>
      <c r="G65" s="60">
        <f t="shared" si="6"/>
        <v>39.070926999978816</v>
      </c>
      <c r="I65" s="19">
        <v>44781.646527777775</v>
      </c>
      <c r="J65">
        <v>3.5291894672967998E-2</v>
      </c>
      <c r="K65" s="21">
        <v>30.826982135000002</v>
      </c>
      <c r="L65" s="2">
        <v>8112</v>
      </c>
      <c r="M65" s="23">
        <f t="shared" si="7"/>
        <v>135.19999999999999</v>
      </c>
      <c r="N65" s="20">
        <f t="shared" si="23"/>
        <v>4.7714641597852729</v>
      </c>
      <c r="O65" s="65">
        <f t="shared" si="9"/>
        <v>48.78587403727213</v>
      </c>
      <c r="Q65" s="81">
        <v>45136.645833333336</v>
      </c>
      <c r="R65" s="92">
        <v>9.4235257332791103E-2</v>
      </c>
      <c r="S65" s="82">
        <v>14.6021538</v>
      </c>
      <c r="T65" s="56">
        <v>1496</v>
      </c>
      <c r="U65" s="106">
        <f t="shared" si="10"/>
        <v>24.933333333333334</v>
      </c>
      <c r="V65" s="106">
        <f t="shared" si="24"/>
        <v>2.3495990828309248</v>
      </c>
      <c r="W65" s="72">
        <f t="shared" si="11"/>
        <v>30.479598592047516</v>
      </c>
      <c r="Y65" s="32">
        <v>45151.645833333336</v>
      </c>
      <c r="Z65">
        <v>5.7601330810627899E-4</v>
      </c>
      <c r="AA65" s="34">
        <v>0.50323377899999999</v>
      </c>
      <c r="AB65" s="2">
        <v>419</v>
      </c>
      <c r="AC65" s="33">
        <f t="shared" si="12"/>
        <v>6.9833333333333334</v>
      </c>
      <c r="AD65" s="105">
        <f t="shared" si="25"/>
        <v>4.0224929349421817E-3</v>
      </c>
      <c r="AE65" s="77">
        <f t="shared" si="13"/>
        <v>0.44366406743860654</v>
      </c>
      <c r="AG65" s="38">
        <v>45166.645833333336</v>
      </c>
      <c r="AH65" s="111">
        <v>5.5963391773724202E-3</v>
      </c>
      <c r="AI65" s="50">
        <v>1.511415151</v>
      </c>
      <c r="AJ65" s="2">
        <v>18828</v>
      </c>
      <c r="AK65" s="40">
        <f t="shared" si="14"/>
        <v>313.8</v>
      </c>
      <c r="AL65" s="49">
        <f t="shared" si="26"/>
        <v>1.7561312338594655</v>
      </c>
      <c r="AM65" s="73">
        <f t="shared" si="15"/>
        <v>25.122057775968361</v>
      </c>
      <c r="AO65" s="43">
        <v>45183.645833333336</v>
      </c>
      <c r="AP65" s="111">
        <v>8.1213314136769597E-3</v>
      </c>
      <c r="AQ65" s="46">
        <v>1.0404225359999999</v>
      </c>
      <c r="AR65" s="2">
        <v>14896</v>
      </c>
      <c r="AS65" s="45">
        <f t="shared" si="16"/>
        <v>248.26666666666668</v>
      </c>
      <c r="AT65" s="45">
        <f t="shared" si="27"/>
        <v>2.0162558789688667</v>
      </c>
      <c r="AU65" s="80">
        <f t="shared" si="17"/>
        <v>27.535165635828925</v>
      </c>
      <c r="AW65" s="7">
        <v>45037.8125</v>
      </c>
      <c r="AX65" s="51">
        <v>3.1499207992142699E-3</v>
      </c>
      <c r="AY65" s="16">
        <v>69.822823</v>
      </c>
      <c r="AZ65" s="2">
        <v>40857</v>
      </c>
      <c r="BA65" s="16">
        <f t="shared" si="18"/>
        <v>680.95</v>
      </c>
      <c r="BB65" s="9">
        <f t="shared" si="19"/>
        <v>2.1449385682249571</v>
      </c>
      <c r="BC65" s="119">
        <f t="shared" si="20"/>
        <v>28.68988780067523</v>
      </c>
      <c r="BE65" s="6"/>
      <c r="BG65" s="4"/>
      <c r="BH65" s="2"/>
      <c r="BI65" s="5"/>
      <c r="BJ65" s="102"/>
      <c r="BK65" s="102"/>
      <c r="BM65" s="104"/>
      <c r="BO65" s="102"/>
      <c r="BP65" s="2"/>
      <c r="BQ65" s="102"/>
      <c r="BR65" s="4"/>
      <c r="BS65" s="5"/>
      <c r="BU65" s="6"/>
      <c r="BV65" s="103"/>
      <c r="BW65" s="102"/>
      <c r="BY65" s="102"/>
      <c r="BZ65" s="102"/>
      <c r="CA65" s="102"/>
    </row>
    <row r="66" spans="1:79" x14ac:dyDescent="0.3">
      <c r="A66" s="7">
        <v>44776.656944444447</v>
      </c>
      <c r="B66" s="2">
        <v>5.4595327590182402E-3</v>
      </c>
      <c r="C66" s="8">
        <v>15.20489341</v>
      </c>
      <c r="D66" s="2">
        <v>36487</v>
      </c>
      <c r="E66" s="9">
        <f t="shared" si="4"/>
        <v>608.11666666666667</v>
      </c>
      <c r="F66" s="8">
        <f t="shared" si="22"/>
        <v>3.320032862971642</v>
      </c>
      <c r="G66" s="60">
        <f>17.285*F66^0.664</f>
        <v>38.344927933823634</v>
      </c>
      <c r="I66" s="19">
        <v>44781.656944444447</v>
      </c>
      <c r="J66">
        <v>3.1356353549068197E-2</v>
      </c>
      <c r="K66" s="21">
        <v>30.790400730000002</v>
      </c>
      <c r="L66" s="2">
        <v>8398</v>
      </c>
      <c r="M66" s="23">
        <f t="shared" si="7"/>
        <v>139.96666666666667</v>
      </c>
      <c r="N66" s="20">
        <f t="shared" si="23"/>
        <v>4.3888442850845788</v>
      </c>
      <c r="O66" s="65">
        <f t="shared" si="9"/>
        <v>46.15193331130304</v>
      </c>
      <c r="Q66" s="81">
        <v>45136.65625</v>
      </c>
      <c r="R66" s="92">
        <v>0.18100710621739499</v>
      </c>
      <c r="S66" s="82">
        <v>20.131538750000001</v>
      </c>
      <c r="T66" s="56">
        <v>1845</v>
      </c>
      <c r="U66" s="106">
        <f t="shared" si="10"/>
        <v>30.75</v>
      </c>
      <c r="V66" s="106">
        <f t="shared" si="24"/>
        <v>5.5659685161848964</v>
      </c>
      <c r="W66" s="72">
        <f t="shared" si="11"/>
        <v>54.039141240285389</v>
      </c>
      <c r="Y66" s="32">
        <v>45151.65625</v>
      </c>
      <c r="Z66">
        <v>7.4482123772752105E-4</v>
      </c>
      <c r="AA66" s="34">
        <v>0.59425534599999996</v>
      </c>
      <c r="AB66" s="2">
        <v>685</v>
      </c>
      <c r="AC66" s="33">
        <f t="shared" si="12"/>
        <v>11.416666666666666</v>
      </c>
      <c r="AD66" s="105">
        <f t="shared" si="25"/>
        <v>8.5033757973891986E-3</v>
      </c>
      <c r="AE66" s="77">
        <f t="shared" si="13"/>
        <v>0.72931988586035457</v>
      </c>
      <c r="AG66" s="38">
        <v>45166.65625</v>
      </c>
      <c r="AH66" s="111">
        <v>4.5676293084014399E-3</v>
      </c>
      <c r="AI66" s="50">
        <v>1.200201638</v>
      </c>
      <c r="AJ66" s="2">
        <v>16809</v>
      </c>
      <c r="AK66" s="40">
        <f t="shared" si="14"/>
        <v>280.14999999999998</v>
      </c>
      <c r="AL66" s="49">
        <f t="shared" si="26"/>
        <v>1.2796213507486633</v>
      </c>
      <c r="AM66" s="73">
        <f t="shared" si="15"/>
        <v>20.359705190960071</v>
      </c>
      <c r="AO66" s="43">
        <v>45183.65625</v>
      </c>
      <c r="AP66" s="111">
        <v>1.9157951249569299E-2</v>
      </c>
      <c r="AQ66" s="46">
        <v>1.8086265969999999</v>
      </c>
      <c r="AR66" s="2">
        <v>10957</v>
      </c>
      <c r="AS66" s="45">
        <f t="shared" si="16"/>
        <v>182.61666666666667</v>
      </c>
      <c r="AT66" s="45">
        <f t="shared" si="27"/>
        <v>3.4985611973588471</v>
      </c>
      <c r="AU66" s="80">
        <f t="shared" si="17"/>
        <v>39.70196437384044</v>
      </c>
      <c r="AW66" s="7">
        <v>45037.822916666664</v>
      </c>
      <c r="AX66" s="51">
        <v>3.0889538015804298E-3</v>
      </c>
      <c r="AY66" s="16">
        <v>73.415890989999994</v>
      </c>
      <c r="AZ66" s="2">
        <v>40672</v>
      </c>
      <c r="BA66" s="16">
        <f t="shared" si="18"/>
        <v>677.86666666666667</v>
      </c>
      <c r="BB66" s="9">
        <f t="shared" si="19"/>
        <v>2.093898816964654</v>
      </c>
      <c r="BC66" s="119">
        <f t="shared" si="20"/>
        <v>28.23475106316398</v>
      </c>
      <c r="BE66" s="6"/>
      <c r="BG66" s="4"/>
      <c r="BH66" s="2"/>
      <c r="BI66" s="5"/>
      <c r="BJ66" s="102"/>
      <c r="BK66" s="102"/>
      <c r="BM66" s="104"/>
      <c r="BO66" s="102"/>
      <c r="BP66" s="2"/>
      <c r="BQ66" s="102"/>
      <c r="BR66" s="4"/>
      <c r="BS66" s="5"/>
      <c r="BU66" s="6"/>
      <c r="BV66" s="103"/>
      <c r="BW66" s="102"/>
      <c r="BY66" s="102"/>
      <c r="BZ66" s="102"/>
      <c r="CA66" s="102"/>
    </row>
    <row r="67" spans="1:79" x14ac:dyDescent="0.3">
      <c r="A67" s="7">
        <v>44776.667361111111</v>
      </c>
      <c r="B67" s="2">
        <v>4.8759650107001798E-3</v>
      </c>
      <c r="C67" s="8">
        <v>17.173613769999999</v>
      </c>
      <c r="D67" s="2">
        <v>36241</v>
      </c>
      <c r="E67" s="9">
        <f t="shared" si="4"/>
        <v>604.01666666666665</v>
      </c>
      <c r="F67" s="8">
        <f t="shared" ref="F67:F94" si="29">E67*B67</f>
        <v>2.9451641325464202</v>
      </c>
      <c r="G67" s="60">
        <f t="shared" si="6"/>
        <v>35.412622817767684</v>
      </c>
      <c r="I67" s="19">
        <v>44781.667361111111</v>
      </c>
      <c r="J67">
        <v>2.96706979468652E-2</v>
      </c>
      <c r="K67" s="21">
        <v>28.530895780000002</v>
      </c>
      <c r="L67" s="2">
        <v>9550</v>
      </c>
      <c r="M67" s="23">
        <f t="shared" si="7"/>
        <v>159.16666666666666</v>
      </c>
      <c r="N67" s="20">
        <f t="shared" ref="N67:N98" si="30">M67*J67</f>
        <v>4.7225860898760441</v>
      </c>
      <c r="O67" s="65">
        <f t="shared" si="9"/>
        <v>48.453463533531881</v>
      </c>
      <c r="Q67" s="74">
        <v>45136.666666666664</v>
      </c>
      <c r="R67" s="98">
        <v>6.6035858044035098E-2</v>
      </c>
      <c r="S67" s="75">
        <v>10.529934320000001</v>
      </c>
      <c r="T67" s="55">
        <v>2303</v>
      </c>
      <c r="U67" s="101">
        <f t="shared" si="10"/>
        <v>38.383333333333333</v>
      </c>
      <c r="V67" s="101">
        <f t="shared" ref="V67:V100" si="31">R67*U67</f>
        <v>2.5346763512568806</v>
      </c>
      <c r="W67" s="71">
        <f t="shared" si="11"/>
        <v>32.053387393662042</v>
      </c>
      <c r="Y67" s="32">
        <v>45151.666666666664</v>
      </c>
      <c r="Z67">
        <v>6.5267705943219099E-4</v>
      </c>
      <c r="AA67" s="34">
        <v>0.59425534599999996</v>
      </c>
      <c r="AB67" s="2">
        <v>551</v>
      </c>
      <c r="AC67" s="33">
        <f t="shared" si="12"/>
        <v>9.1833333333333336</v>
      </c>
      <c r="AD67" s="105">
        <f t="shared" ref="AD67:AD98" si="32">AC67*Z67</f>
        <v>5.9937509957856206E-3</v>
      </c>
      <c r="AE67" s="77">
        <f t="shared" si="13"/>
        <v>0.57817767511822959</v>
      </c>
      <c r="AG67" s="38">
        <v>45166.666666666664</v>
      </c>
      <c r="AH67" s="111">
        <v>2.8111624424717401E-3</v>
      </c>
      <c r="AI67" s="50">
        <v>0.89859415399999998</v>
      </c>
      <c r="AJ67" s="2">
        <v>11724</v>
      </c>
      <c r="AK67" s="40">
        <f t="shared" si="14"/>
        <v>195.4</v>
      </c>
      <c r="AL67" s="49">
        <f t="shared" ref="AL67:AL98" si="33">AK67*AH67</f>
        <v>0.549301141258978</v>
      </c>
      <c r="AM67" s="73">
        <f t="shared" si="15"/>
        <v>11.611907210315568</v>
      </c>
      <c r="AO67" s="43">
        <v>45183.666666666664</v>
      </c>
      <c r="AP67" s="111">
        <v>2.2991799092142901E-2</v>
      </c>
      <c r="AQ67" s="46">
        <v>1.9734137430000001</v>
      </c>
      <c r="AR67" s="2">
        <v>8731</v>
      </c>
      <c r="AS67" s="45">
        <f t="shared" si="16"/>
        <v>145.51666666666668</v>
      </c>
      <c r="AT67" s="45">
        <f t="shared" ref="AT67:AT98" si="34">AS67*AP67</f>
        <v>3.345689964558328</v>
      </c>
      <c r="AU67" s="80">
        <f t="shared" si="17"/>
        <v>38.54143534788755</v>
      </c>
      <c r="AW67" s="7">
        <v>45037.833333333336</v>
      </c>
      <c r="AX67" s="51">
        <v>3.0167197874748902E-3</v>
      </c>
      <c r="AY67" s="16">
        <v>71.17580074</v>
      </c>
      <c r="AZ67" s="2">
        <v>40517</v>
      </c>
      <c r="BA67" s="16">
        <f t="shared" si="18"/>
        <v>675.2833333333333</v>
      </c>
      <c r="BB67" s="9">
        <f t="shared" si="19"/>
        <v>2.0371405938186689</v>
      </c>
      <c r="BC67" s="119">
        <f t="shared" si="20"/>
        <v>27.724219579730718</v>
      </c>
      <c r="BE67" s="6"/>
      <c r="BG67" s="4"/>
      <c r="BH67" s="2"/>
      <c r="BI67" s="5"/>
      <c r="BJ67" s="102"/>
      <c r="BK67" s="102"/>
      <c r="BM67" s="104"/>
      <c r="BO67" s="102"/>
      <c r="BP67" s="2"/>
      <c r="BQ67" s="102"/>
      <c r="BR67" s="4"/>
      <c r="BS67" s="5"/>
      <c r="BU67" s="6"/>
      <c r="BV67" s="103"/>
      <c r="BW67" s="102"/>
      <c r="BY67" s="102"/>
      <c r="BZ67" s="102"/>
      <c r="CA67" s="102"/>
    </row>
    <row r="68" spans="1:79" x14ac:dyDescent="0.3">
      <c r="A68" s="7">
        <v>44776.677777777775</v>
      </c>
      <c r="B68" s="2">
        <v>5.4686815441540304E-3</v>
      </c>
      <c r="C68" s="8">
        <v>19.879890565</v>
      </c>
      <c r="D68" s="2">
        <v>35139</v>
      </c>
      <c r="E68" s="9">
        <f t="shared" ref="E68:E94" si="35">D68/60</f>
        <v>585.65</v>
      </c>
      <c r="F68" s="8">
        <f t="shared" si="29"/>
        <v>3.2027333463338077</v>
      </c>
      <c r="G68" s="60">
        <f t="shared" ref="G68:G82" si="36">17.285*F68^0.664</f>
        <v>37.439943343871057</v>
      </c>
      <c r="I68" s="19">
        <v>44781.677777777775</v>
      </c>
      <c r="J68">
        <v>2.7637660054618599E-2</v>
      </c>
      <c r="K68" s="21">
        <v>25.756546825000001</v>
      </c>
      <c r="L68" s="2">
        <v>10238</v>
      </c>
      <c r="M68" s="23">
        <f t="shared" ref="M68:M99" si="37">L68/60</f>
        <v>170.63333333333333</v>
      </c>
      <c r="N68" s="20">
        <f t="shared" si="30"/>
        <v>4.7159060606530865</v>
      </c>
      <c r="O68" s="65">
        <f t="shared" ref="O68:O99" si="38">17.285*N68^0.664</f>
        <v>48.407944331463234</v>
      </c>
      <c r="Q68" s="27">
        <v>45136.677083333336</v>
      </c>
      <c r="R68" s="51">
        <v>2.0302070709597501E-2</v>
      </c>
      <c r="S68" s="47">
        <v>5.509495866</v>
      </c>
      <c r="T68" s="2">
        <v>6392</v>
      </c>
      <c r="U68" s="29">
        <f t="shared" ref="U68:U100" si="39">T68/60</f>
        <v>106.53333333333333</v>
      </c>
      <c r="V68" s="29">
        <f t="shared" si="31"/>
        <v>2.1628472662624536</v>
      </c>
      <c r="W68" s="70">
        <f t="shared" ref="W68:W100" si="40">17.285*V68^0.664</f>
        <v>28.848720069015634</v>
      </c>
      <c r="Y68" s="32">
        <v>45151.677083333336</v>
      </c>
      <c r="Z68">
        <v>1.2274397185859599E-3</v>
      </c>
      <c r="AA68" s="34">
        <v>0.89783227600000004</v>
      </c>
      <c r="AB68" s="2">
        <v>2116</v>
      </c>
      <c r="AC68" s="33">
        <f t="shared" ref="AC68:AC99" si="41">AB68/60</f>
        <v>35.266666666666666</v>
      </c>
      <c r="AD68" s="105">
        <f t="shared" si="32"/>
        <v>4.3287707408798184E-2</v>
      </c>
      <c r="AE68" s="77">
        <f t="shared" ref="AE68:AE99" si="42">17.285*AD68^0.664</f>
        <v>2.148896351990107</v>
      </c>
      <c r="AG68" s="38">
        <v>45166.677083333336</v>
      </c>
      <c r="AH68" s="111">
        <v>2.7055501412229098E-3</v>
      </c>
      <c r="AI68" s="50">
        <v>0.77321039300000005</v>
      </c>
      <c r="AJ68" s="2">
        <v>8480</v>
      </c>
      <c r="AK68" s="40">
        <f t="shared" ref="AK68:AK99" si="43">AJ68/60</f>
        <v>141.33333333333334</v>
      </c>
      <c r="AL68" s="49">
        <f t="shared" si="33"/>
        <v>0.38238441995950462</v>
      </c>
      <c r="AM68" s="73">
        <f t="shared" ref="AM68:AM99" si="44">17.285*AL68^0.664</f>
        <v>9.1295528971789572</v>
      </c>
      <c r="AO68" s="43">
        <v>45183.677083333336</v>
      </c>
      <c r="AP68" s="111">
        <v>2.08266405227257E-2</v>
      </c>
      <c r="AQ68" s="46">
        <v>2.8809824239999999</v>
      </c>
      <c r="AR68" s="2">
        <v>7258</v>
      </c>
      <c r="AS68" s="45">
        <f t="shared" ref="AS68:AS99" si="45">AR68/60</f>
        <v>120.96666666666667</v>
      </c>
      <c r="AT68" s="45">
        <f t="shared" si="34"/>
        <v>2.519329281899052</v>
      </c>
      <c r="AU68" s="80">
        <f t="shared" ref="AU68:AU99" si="46">17.285*AT68^0.664</f>
        <v>31.924387992345427</v>
      </c>
      <c r="AW68" s="7">
        <v>45037.84375</v>
      </c>
      <c r="AX68" s="51">
        <v>3.0303018034143199E-3</v>
      </c>
      <c r="AY68" s="16">
        <v>76.544179459999995</v>
      </c>
      <c r="AZ68" s="2">
        <v>40353</v>
      </c>
      <c r="BA68" s="16">
        <f t="shared" ref="BA68:BA131" si="47">AZ68/60</f>
        <v>672.55</v>
      </c>
      <c r="BB68" s="9">
        <f t="shared" ref="BB68:BB131" si="48">BA68*AX68</f>
        <v>2.0380294778863006</v>
      </c>
      <c r="BC68" s="119">
        <f t="shared" ref="BC68:BC131" si="49">17.285*BB68^0.664</f>
        <v>27.73225150570714</v>
      </c>
      <c r="BE68" s="6"/>
      <c r="BG68" s="4"/>
      <c r="BH68" s="2"/>
      <c r="BI68" s="5"/>
      <c r="BJ68" s="102"/>
      <c r="BK68" s="102"/>
      <c r="BM68" s="104"/>
      <c r="BO68" s="102"/>
      <c r="BP68" s="2"/>
      <c r="BQ68" s="102"/>
      <c r="BR68" s="4"/>
      <c r="BS68" s="5"/>
      <c r="BU68" s="6"/>
      <c r="BV68" s="103"/>
      <c r="BW68" s="102"/>
      <c r="BY68" s="102"/>
      <c r="BZ68" s="102"/>
      <c r="CA68" s="102"/>
    </row>
    <row r="69" spans="1:79" x14ac:dyDescent="0.3">
      <c r="A69" s="7">
        <v>44776.688194444447</v>
      </c>
      <c r="B69" s="2">
        <v>5.5732365802783701E-3</v>
      </c>
      <c r="C69" s="8">
        <v>18.271869219999999</v>
      </c>
      <c r="D69" s="2">
        <v>35480</v>
      </c>
      <c r="E69" s="9">
        <f t="shared" si="35"/>
        <v>591.33333333333337</v>
      </c>
      <c r="F69" s="8">
        <f t="shared" si="29"/>
        <v>3.2956405644712765</v>
      </c>
      <c r="G69" s="60">
        <f t="shared" si="36"/>
        <v>38.157633950678012</v>
      </c>
      <c r="I69" s="19">
        <v>44781.688194444447</v>
      </c>
      <c r="J69">
        <v>2.9751022048612699E-2</v>
      </c>
      <c r="K69" s="21">
        <v>23.474647859999902</v>
      </c>
      <c r="L69" s="2">
        <v>11016</v>
      </c>
      <c r="M69" s="23">
        <f t="shared" si="37"/>
        <v>183.6</v>
      </c>
      <c r="N69" s="20">
        <f t="shared" si="30"/>
        <v>5.4622876481252911</v>
      </c>
      <c r="O69" s="65">
        <f t="shared" si="38"/>
        <v>53.368635132427968</v>
      </c>
      <c r="Q69" s="27">
        <v>45136.6875</v>
      </c>
      <c r="R69" s="51">
        <v>5.08877665946059E-2</v>
      </c>
      <c r="S69" s="47">
        <v>9.2095990650000008</v>
      </c>
      <c r="T69" s="2">
        <v>2539</v>
      </c>
      <c r="U69" s="29">
        <f t="shared" si="39"/>
        <v>42.31666666666667</v>
      </c>
      <c r="V69" s="29">
        <f t="shared" si="31"/>
        <v>2.1534006563950734</v>
      </c>
      <c r="W69" s="70">
        <f t="shared" si="40"/>
        <v>28.764993376994834</v>
      </c>
      <c r="Y69" s="32">
        <v>45151.6875</v>
      </c>
      <c r="Z69">
        <v>3.6258079375242603E-4</v>
      </c>
      <c r="AA69" s="34">
        <v>0.35506608000000001</v>
      </c>
      <c r="AB69" s="2">
        <v>141</v>
      </c>
      <c r="AC69" s="33">
        <f t="shared" si="41"/>
        <v>2.35</v>
      </c>
      <c r="AD69" s="105">
        <f t="shared" si="32"/>
        <v>8.5206486531820124E-4</v>
      </c>
      <c r="AE69" s="77">
        <f t="shared" si="42"/>
        <v>0.15830813353386894</v>
      </c>
      <c r="AG69" s="38">
        <v>45166.6875</v>
      </c>
      <c r="AH69" s="111">
        <v>3.0583179433511902E-3</v>
      </c>
      <c r="AI69" s="50">
        <v>1.0404225359999999</v>
      </c>
      <c r="AJ69" s="2">
        <v>13937</v>
      </c>
      <c r="AK69" s="40">
        <f t="shared" si="43"/>
        <v>232.28333333333333</v>
      </c>
      <c r="AL69" s="49">
        <f t="shared" si="33"/>
        <v>0.71039628627475893</v>
      </c>
      <c r="AM69" s="73">
        <f t="shared" si="44"/>
        <v>13.774182632190929</v>
      </c>
      <c r="AO69" s="43">
        <v>45183.6875</v>
      </c>
      <c r="AP69" s="111">
        <v>2.39863030006538E-2</v>
      </c>
      <c r="AQ69" s="46">
        <v>2.8809824239999999</v>
      </c>
      <c r="AR69" s="2">
        <v>8389</v>
      </c>
      <c r="AS69" s="45">
        <f t="shared" si="45"/>
        <v>139.81666666666666</v>
      </c>
      <c r="AT69" s="45">
        <f t="shared" si="34"/>
        <v>3.353684931208079</v>
      </c>
      <c r="AU69" s="80">
        <f t="shared" si="46"/>
        <v>38.602565112845575</v>
      </c>
      <c r="AW69" s="7">
        <v>45037.854166666664</v>
      </c>
      <c r="AX69" s="51">
        <v>3.0631544361216399E-3</v>
      </c>
      <c r="AY69" s="16">
        <v>67.565551839999998</v>
      </c>
      <c r="AZ69" s="2">
        <v>40128</v>
      </c>
      <c r="BA69" s="16">
        <f t="shared" si="47"/>
        <v>668.8</v>
      </c>
      <c r="BB69" s="9">
        <f t="shared" si="48"/>
        <v>2.0486376868781528</v>
      </c>
      <c r="BC69" s="119">
        <f t="shared" si="49"/>
        <v>27.828016272126206</v>
      </c>
      <c r="BE69" s="6"/>
      <c r="BG69" s="4"/>
      <c r="BH69" s="2"/>
      <c r="BI69" s="5"/>
      <c r="BJ69" s="102"/>
      <c r="BK69" s="102"/>
      <c r="BM69" s="104"/>
      <c r="BO69" s="102"/>
      <c r="BP69" s="2"/>
      <c r="BQ69" s="102"/>
      <c r="BR69" s="4"/>
      <c r="BS69" s="5"/>
      <c r="BU69" s="6"/>
      <c r="BV69" s="103"/>
      <c r="BW69" s="102"/>
      <c r="BY69" s="102"/>
      <c r="BZ69" s="102"/>
      <c r="CA69" s="102"/>
    </row>
    <row r="70" spans="1:79" x14ac:dyDescent="0.3">
      <c r="A70" s="7">
        <v>44776.698611111111</v>
      </c>
      <c r="B70" s="2">
        <v>5.13099269333694E-3</v>
      </c>
      <c r="C70" s="8">
        <v>17.106053899999999</v>
      </c>
      <c r="D70" s="2">
        <v>36103</v>
      </c>
      <c r="E70" s="9">
        <f t="shared" si="35"/>
        <v>601.7166666666667</v>
      </c>
      <c r="F70" s="8">
        <f t="shared" si="29"/>
        <v>3.0874038201257257</v>
      </c>
      <c r="G70" s="60">
        <f t="shared" si="36"/>
        <v>36.539232948868779</v>
      </c>
      <c r="I70" s="19">
        <v>44781.698611111111</v>
      </c>
      <c r="J70">
        <v>2.51241617425506E-2</v>
      </c>
      <c r="K70" s="21">
        <v>20.642438585000001</v>
      </c>
      <c r="L70" s="2">
        <v>11478</v>
      </c>
      <c r="M70" s="23">
        <f t="shared" si="37"/>
        <v>191.3</v>
      </c>
      <c r="N70" s="20">
        <f t="shared" si="30"/>
        <v>4.8062521413499297</v>
      </c>
      <c r="O70" s="65">
        <f t="shared" si="38"/>
        <v>49.021763847064463</v>
      </c>
      <c r="Q70" s="27">
        <v>45136.688888888886</v>
      </c>
      <c r="R70" s="51">
        <v>3.3177718971854703E-2</v>
      </c>
      <c r="S70" s="47">
        <v>6.5397134279999998</v>
      </c>
      <c r="T70" s="2">
        <v>4406</v>
      </c>
      <c r="U70" s="29">
        <f t="shared" si="39"/>
        <v>73.433333333333337</v>
      </c>
      <c r="V70" s="29">
        <f t="shared" si="31"/>
        <v>2.4363504964998639</v>
      </c>
      <c r="W70" s="70">
        <f t="shared" si="40"/>
        <v>31.222278186116156</v>
      </c>
      <c r="Y70" s="32">
        <v>45151.697916666664</v>
      </c>
      <c r="Z70">
        <v>7.64855880683886E-4</v>
      </c>
      <c r="AA70" s="34">
        <v>0.59425534599999996</v>
      </c>
      <c r="AB70" s="2">
        <v>548</v>
      </c>
      <c r="AC70" s="33">
        <f t="shared" si="41"/>
        <v>9.1333333333333329</v>
      </c>
      <c r="AD70" s="105">
        <f t="shared" si="32"/>
        <v>6.9856837102461582E-3</v>
      </c>
      <c r="AE70" s="77">
        <f t="shared" si="42"/>
        <v>0.64006503806244908</v>
      </c>
      <c r="AG70" s="38">
        <v>45166.697916666664</v>
      </c>
      <c r="AH70" s="111">
        <v>2.7945398850979198E-3</v>
      </c>
      <c r="AI70" s="50">
        <v>0.89859415399999998</v>
      </c>
      <c r="AJ70" s="2">
        <v>11086</v>
      </c>
      <c r="AK70" s="40">
        <f t="shared" si="43"/>
        <v>184.76666666666668</v>
      </c>
      <c r="AL70" s="49">
        <f t="shared" si="33"/>
        <v>0.5163378194365924</v>
      </c>
      <c r="AM70" s="73">
        <f t="shared" si="44"/>
        <v>11.14442119628985</v>
      </c>
      <c r="AO70" s="43">
        <v>45183.697916666664</v>
      </c>
      <c r="AP70" s="111">
        <v>2.08754767213549E-2</v>
      </c>
      <c r="AQ70" s="46">
        <v>2.5469425430000001</v>
      </c>
      <c r="AR70" s="2">
        <v>7718</v>
      </c>
      <c r="AS70" s="45">
        <f t="shared" si="45"/>
        <v>128.63333333333333</v>
      </c>
      <c r="AT70" s="45">
        <f t="shared" si="34"/>
        <v>2.685282155590285</v>
      </c>
      <c r="AU70" s="80">
        <f t="shared" si="46"/>
        <v>33.305709878106491</v>
      </c>
      <c r="AW70" s="7">
        <v>45037.864583333336</v>
      </c>
      <c r="AX70" s="51">
        <v>3.0726929057979602E-3</v>
      </c>
      <c r="AY70" s="16">
        <v>68.466857000000005</v>
      </c>
      <c r="AZ70" s="2">
        <v>40110</v>
      </c>
      <c r="BA70" s="16">
        <f t="shared" si="47"/>
        <v>668.5</v>
      </c>
      <c r="BB70" s="9">
        <f t="shared" si="48"/>
        <v>2.0540952075259362</v>
      </c>
      <c r="BC70" s="119">
        <f t="shared" si="49"/>
        <v>27.877218682279167</v>
      </c>
      <c r="BE70" s="6"/>
      <c r="BG70" s="4"/>
      <c r="BH70" s="2"/>
      <c r="BI70" s="5"/>
      <c r="BJ70" s="102"/>
      <c r="BK70" s="102"/>
      <c r="BM70" s="104"/>
      <c r="BO70" s="102"/>
      <c r="BP70" s="2"/>
      <c r="BQ70" s="102"/>
      <c r="BR70" s="4"/>
      <c r="BS70" s="5"/>
      <c r="BU70" s="6"/>
      <c r="BV70" s="103"/>
      <c r="BW70" s="102"/>
      <c r="BY70" s="102"/>
      <c r="BZ70" s="102"/>
      <c r="CA70" s="102"/>
    </row>
    <row r="71" spans="1:79" x14ac:dyDescent="0.3">
      <c r="A71" s="7">
        <v>44776.709027777775</v>
      </c>
      <c r="B71" s="2">
        <v>5.3212337093761601E-3</v>
      </c>
      <c r="C71" s="8">
        <v>15.6821315249999</v>
      </c>
      <c r="D71" s="2">
        <v>36020</v>
      </c>
      <c r="E71" s="9">
        <f t="shared" si="35"/>
        <v>600.33333333333337</v>
      </c>
      <c r="F71" s="8">
        <f t="shared" si="29"/>
        <v>3.1945139701954881</v>
      </c>
      <c r="G71" s="60">
        <f t="shared" si="36"/>
        <v>37.37611570849981</v>
      </c>
      <c r="I71" s="19">
        <v>44781.709027777775</v>
      </c>
      <c r="J71">
        <v>1.4748069683948499E-2</v>
      </c>
      <c r="K71" s="21">
        <v>18.24147606</v>
      </c>
      <c r="L71" s="2">
        <v>18935</v>
      </c>
      <c r="M71" s="23">
        <f t="shared" si="37"/>
        <v>315.58333333333331</v>
      </c>
      <c r="N71" s="20">
        <f t="shared" si="30"/>
        <v>4.6542449910927468</v>
      </c>
      <c r="O71" s="65">
        <f t="shared" si="38"/>
        <v>47.986743570063886</v>
      </c>
      <c r="Q71" s="27">
        <v>45136.697916666664</v>
      </c>
      <c r="R71" s="51">
        <v>1.4793924769297801E-2</v>
      </c>
      <c r="S71" s="47">
        <v>3.8698277910000001</v>
      </c>
      <c r="T71" s="2">
        <v>8822</v>
      </c>
      <c r="U71" s="29">
        <f t="shared" si="39"/>
        <v>147.03333333333333</v>
      </c>
      <c r="V71" s="29">
        <f t="shared" si="31"/>
        <v>2.1752000719124198</v>
      </c>
      <c r="W71" s="70">
        <f t="shared" si="40"/>
        <v>28.95801965917234</v>
      </c>
      <c r="Y71" s="32">
        <v>45151.708333333336</v>
      </c>
      <c r="Z71">
        <v>5.5248772664963299E-4</v>
      </c>
      <c r="AA71" s="34">
        <v>0.50323377899999999</v>
      </c>
      <c r="AB71" s="2">
        <v>432</v>
      </c>
      <c r="AC71" s="33">
        <f t="shared" si="41"/>
        <v>7.2</v>
      </c>
      <c r="AD71" s="105">
        <f t="shared" si="32"/>
        <v>3.9779116318773575E-3</v>
      </c>
      <c r="AE71" s="77">
        <f t="shared" si="42"/>
        <v>0.44039298345832645</v>
      </c>
      <c r="AG71" s="38">
        <v>45166.708333333336</v>
      </c>
      <c r="AH71" s="111">
        <v>2.6484858881668199E-3</v>
      </c>
      <c r="AI71" s="50">
        <v>0.89859415399999998</v>
      </c>
      <c r="AJ71" s="2">
        <v>10331</v>
      </c>
      <c r="AK71" s="40">
        <f t="shared" si="43"/>
        <v>172.18333333333334</v>
      </c>
      <c r="AL71" s="49">
        <f t="shared" si="33"/>
        <v>0.45602512851085697</v>
      </c>
      <c r="AM71" s="73">
        <f t="shared" si="44"/>
        <v>10.262139879788773</v>
      </c>
      <c r="AO71" s="43">
        <v>45183.708333333336</v>
      </c>
      <c r="AP71" s="111">
        <v>2.4046457678713402E-2</v>
      </c>
      <c r="AQ71" s="46">
        <v>3.3680623299999999</v>
      </c>
      <c r="AR71" s="2">
        <v>7565</v>
      </c>
      <c r="AS71" s="45">
        <f t="shared" si="45"/>
        <v>126.08333333333333</v>
      </c>
      <c r="AT71" s="45">
        <f t="shared" si="34"/>
        <v>3.0318575389911144</v>
      </c>
      <c r="AU71" s="80">
        <f t="shared" si="46"/>
        <v>36.101398083422318</v>
      </c>
      <c r="AW71" s="7">
        <v>45037.875</v>
      </c>
      <c r="AX71" s="51">
        <v>3.0247471283725799E-3</v>
      </c>
      <c r="AY71" s="16">
        <v>71.17580074</v>
      </c>
      <c r="AZ71" s="2">
        <v>40411</v>
      </c>
      <c r="BA71" s="16">
        <f t="shared" si="47"/>
        <v>673.51666666666665</v>
      </c>
      <c r="BB71" s="9">
        <f t="shared" si="48"/>
        <v>2.0372176034110718</v>
      </c>
      <c r="BC71" s="119">
        <f t="shared" si="49"/>
        <v>27.724915482352841</v>
      </c>
      <c r="BE71" s="6"/>
      <c r="BG71" s="4"/>
      <c r="BH71" s="2"/>
      <c r="BI71" s="5"/>
      <c r="BJ71" s="102"/>
      <c r="BK71" s="102"/>
      <c r="BM71" s="104"/>
      <c r="BO71" s="102"/>
      <c r="BP71" s="2"/>
      <c r="BQ71" s="102"/>
      <c r="BR71" s="4"/>
      <c r="BS71" s="5"/>
      <c r="BU71" s="6"/>
      <c r="BV71" s="103"/>
      <c r="BW71" s="102"/>
      <c r="BY71" s="102"/>
      <c r="BZ71" s="102"/>
      <c r="CA71" s="102"/>
    </row>
    <row r="72" spans="1:79" x14ac:dyDescent="0.3">
      <c r="A72" s="7">
        <v>44776.719444444447</v>
      </c>
      <c r="B72" s="2">
        <v>5.0246263053807796E-3</v>
      </c>
      <c r="C72" s="8">
        <v>15.17592808</v>
      </c>
      <c r="D72" s="2">
        <v>36145</v>
      </c>
      <c r="E72" s="9">
        <f t="shared" si="35"/>
        <v>602.41666666666663</v>
      </c>
      <c r="F72" s="8">
        <f t="shared" si="29"/>
        <v>3.0269186301331379</v>
      </c>
      <c r="G72" s="60">
        <f t="shared" si="36"/>
        <v>36.062337992855838</v>
      </c>
      <c r="I72" s="19">
        <v>44781.719444444447</v>
      </c>
      <c r="J72">
        <v>1.2178516722712701E-2</v>
      </c>
      <c r="K72" s="21">
        <v>17.286459975</v>
      </c>
      <c r="L72" s="2">
        <v>24789</v>
      </c>
      <c r="M72" s="23">
        <f t="shared" si="37"/>
        <v>413.15</v>
      </c>
      <c r="N72" s="20">
        <f t="shared" si="30"/>
        <v>5.0315541839887521</v>
      </c>
      <c r="O72" s="65">
        <f t="shared" si="38"/>
        <v>50.535854566874519</v>
      </c>
      <c r="Q72" s="27">
        <v>45136.708333333336</v>
      </c>
      <c r="R72" s="51">
        <v>2.37975505533683E-2</v>
      </c>
      <c r="S72" s="47">
        <v>5.509495866</v>
      </c>
      <c r="T72" s="2">
        <v>7982</v>
      </c>
      <c r="U72" s="29">
        <f t="shared" si="39"/>
        <v>133.03333333333333</v>
      </c>
      <c r="V72" s="29">
        <f t="shared" si="31"/>
        <v>3.165867475283096</v>
      </c>
      <c r="W72" s="70">
        <f t="shared" si="40"/>
        <v>37.153228395198774</v>
      </c>
      <c r="Y72" s="32">
        <v>45151.71875</v>
      </c>
      <c r="Z72">
        <v>7.1971463657190195E-4</v>
      </c>
      <c r="AA72" s="34">
        <v>0.475692385</v>
      </c>
      <c r="AB72" s="2">
        <v>348</v>
      </c>
      <c r="AC72" s="33">
        <f t="shared" si="41"/>
        <v>5.8</v>
      </c>
      <c r="AD72" s="105">
        <f t="shared" si="32"/>
        <v>4.1743448921170313E-3</v>
      </c>
      <c r="AE72" s="77">
        <f t="shared" si="42"/>
        <v>0.45471578855190092</v>
      </c>
      <c r="AG72" s="38">
        <v>45166.71875</v>
      </c>
      <c r="AH72" s="111">
        <v>2.6685090922123501E-3</v>
      </c>
      <c r="AI72" s="50">
        <v>0.81307424100000003</v>
      </c>
      <c r="AJ72" s="2">
        <v>8521</v>
      </c>
      <c r="AK72" s="40">
        <f t="shared" si="43"/>
        <v>142.01666666666668</v>
      </c>
      <c r="AL72" s="49">
        <f t="shared" si="33"/>
        <v>0.3789727662456906</v>
      </c>
      <c r="AM72" s="73">
        <f t="shared" si="44"/>
        <v>9.0753858179980167</v>
      </c>
      <c r="AO72" s="43">
        <v>45183.71875</v>
      </c>
      <c r="AP72" s="111">
        <v>1.99212392500051E-2</v>
      </c>
      <c r="AQ72" s="46">
        <v>2.8809824239999999</v>
      </c>
      <c r="AR72" s="2">
        <v>7678</v>
      </c>
      <c r="AS72" s="45">
        <f t="shared" si="45"/>
        <v>127.96666666666667</v>
      </c>
      <c r="AT72" s="45">
        <f t="shared" si="34"/>
        <v>2.5492545826923192</v>
      </c>
      <c r="AU72" s="80">
        <f t="shared" si="46"/>
        <v>32.175681511833197</v>
      </c>
      <c r="AW72" s="7">
        <v>45037.885416666664</v>
      </c>
      <c r="AX72" s="51">
        <v>3.10542547839416E-3</v>
      </c>
      <c r="AY72" s="16">
        <v>77.875916610000004</v>
      </c>
      <c r="AZ72" s="2">
        <v>40021</v>
      </c>
      <c r="BA72" s="16">
        <f t="shared" si="47"/>
        <v>667.01666666666665</v>
      </c>
      <c r="BB72" s="9">
        <f t="shared" si="48"/>
        <v>2.0713705511802112</v>
      </c>
      <c r="BC72" s="119">
        <f t="shared" si="49"/>
        <v>28.032676255347909</v>
      </c>
      <c r="BE72" s="6"/>
      <c r="BG72" s="4"/>
      <c r="BH72" s="2"/>
      <c r="BI72" s="5"/>
      <c r="BJ72" s="102"/>
      <c r="BK72" s="102"/>
      <c r="BM72" s="104"/>
      <c r="BO72" s="102"/>
      <c r="BP72" s="2"/>
      <c r="BQ72" s="102"/>
      <c r="BR72" s="4"/>
      <c r="BS72" s="5"/>
      <c r="BU72" s="6"/>
      <c r="BV72" s="103"/>
      <c r="BW72" s="102"/>
      <c r="BY72" s="102"/>
      <c r="BZ72" s="102"/>
      <c r="CA72" s="102"/>
    </row>
    <row r="73" spans="1:79" x14ac:dyDescent="0.3">
      <c r="A73" s="7">
        <v>44776.729861111111</v>
      </c>
      <c r="B73" s="2">
        <v>4.6094203043980297E-3</v>
      </c>
      <c r="C73" s="8">
        <v>14.28611474</v>
      </c>
      <c r="D73" s="2">
        <v>37294</v>
      </c>
      <c r="E73" s="9">
        <f t="shared" si="35"/>
        <v>621.56666666666672</v>
      </c>
      <c r="F73" s="8">
        <f t="shared" si="29"/>
        <v>2.8650620138703355</v>
      </c>
      <c r="G73" s="60">
        <f t="shared" si="36"/>
        <v>34.770135054176386</v>
      </c>
      <c r="I73" s="19">
        <v>44781.729861111111</v>
      </c>
      <c r="J73">
        <v>1.04058977869618E-2</v>
      </c>
      <c r="K73" s="21">
        <v>16.382398909999999</v>
      </c>
      <c r="L73" s="2">
        <v>29783</v>
      </c>
      <c r="M73" s="23">
        <f t="shared" si="37"/>
        <v>496.38333333333333</v>
      </c>
      <c r="N73" s="20">
        <f t="shared" si="30"/>
        <v>5.1653142298180548</v>
      </c>
      <c r="O73" s="65">
        <f t="shared" si="38"/>
        <v>51.423972607895863</v>
      </c>
      <c r="Q73" s="27">
        <v>45136.71875</v>
      </c>
      <c r="R73" s="51">
        <v>7.58199429501283E-3</v>
      </c>
      <c r="S73" s="47">
        <v>2.6539428329999999</v>
      </c>
      <c r="T73" s="2">
        <v>17549</v>
      </c>
      <c r="U73" s="29">
        <f t="shared" si="39"/>
        <v>292.48333333333335</v>
      </c>
      <c r="V73" s="29">
        <f t="shared" si="31"/>
        <v>2.2176069647196694</v>
      </c>
      <c r="W73" s="70">
        <f t="shared" si="40"/>
        <v>29.331666803969316</v>
      </c>
      <c r="Y73" s="32">
        <v>45151.729166666664</v>
      </c>
      <c r="Z73">
        <v>8.2153669748533597E-4</v>
      </c>
      <c r="AA73" s="34">
        <v>0.562700329</v>
      </c>
      <c r="AB73" s="2">
        <v>541</v>
      </c>
      <c r="AC73" s="33">
        <f t="shared" si="41"/>
        <v>9.0166666666666675</v>
      </c>
      <c r="AD73" s="105">
        <f t="shared" si="32"/>
        <v>7.407522555659447E-3</v>
      </c>
      <c r="AE73" s="77">
        <f t="shared" si="42"/>
        <v>0.66547576522494034</v>
      </c>
      <c r="AG73" s="38">
        <v>45166.729166666664</v>
      </c>
      <c r="AH73" s="111">
        <v>1.52733824843132E-3</v>
      </c>
      <c r="AI73" s="50">
        <v>0.66228851600000005</v>
      </c>
      <c r="AJ73" s="2">
        <v>4051</v>
      </c>
      <c r="AK73" s="40">
        <f t="shared" si="43"/>
        <v>67.516666666666666</v>
      </c>
      <c r="AL73" s="49">
        <f t="shared" si="33"/>
        <v>0.10312078740658796</v>
      </c>
      <c r="AM73" s="73">
        <f t="shared" si="44"/>
        <v>3.8241179081339847</v>
      </c>
      <c r="AO73" s="43">
        <v>45183.729166666664</v>
      </c>
      <c r="AP73" s="111">
        <v>2.1276491808237801E-2</v>
      </c>
      <c r="AQ73" s="46">
        <v>2.7664001109999998</v>
      </c>
      <c r="AR73" s="2">
        <v>7712</v>
      </c>
      <c r="AS73" s="45">
        <f t="shared" si="45"/>
        <v>128.53333333333333</v>
      </c>
      <c r="AT73" s="45">
        <f t="shared" si="34"/>
        <v>2.7347384137521655</v>
      </c>
      <c r="AU73" s="80">
        <f t="shared" si="46"/>
        <v>33.711763312289754</v>
      </c>
      <c r="AW73" s="7">
        <v>45037.895833333336</v>
      </c>
      <c r="AX73" s="51">
        <v>3.1471339452964599E-3</v>
      </c>
      <c r="AY73" s="16">
        <v>70.727821939999998</v>
      </c>
      <c r="AZ73" s="2">
        <v>40100</v>
      </c>
      <c r="BA73" s="16">
        <f t="shared" si="47"/>
        <v>668.33333333333337</v>
      </c>
      <c r="BB73" s="9">
        <f t="shared" si="48"/>
        <v>2.1033345201064675</v>
      </c>
      <c r="BC73" s="119">
        <f t="shared" si="49"/>
        <v>28.319170484098606</v>
      </c>
      <c r="BE73" s="6"/>
      <c r="BG73" s="4"/>
      <c r="BH73" s="2"/>
      <c r="BI73" s="5"/>
      <c r="BJ73" s="102"/>
      <c r="BK73" s="102"/>
      <c r="BM73" s="104"/>
      <c r="BO73" s="102"/>
      <c r="BP73" s="2"/>
      <c r="BQ73" s="102"/>
      <c r="BR73" s="4"/>
      <c r="BS73" s="5"/>
      <c r="BU73" s="6"/>
      <c r="BV73" s="103"/>
      <c r="BW73" s="102"/>
      <c r="BY73" s="102"/>
      <c r="BZ73" s="102"/>
      <c r="CA73" s="102"/>
    </row>
    <row r="74" spans="1:79" x14ac:dyDescent="0.3">
      <c r="A74" s="7">
        <v>44776.740277777775</v>
      </c>
      <c r="B74" s="2">
        <v>3.2871035946504899E-3</v>
      </c>
      <c r="C74" s="8">
        <v>11.657254006500001</v>
      </c>
      <c r="D74" s="2">
        <v>32129</v>
      </c>
      <c r="E74" s="9">
        <f t="shared" si="35"/>
        <v>535.48333333333335</v>
      </c>
      <c r="F74" s="8">
        <f t="shared" si="29"/>
        <v>1.7601891898754265</v>
      </c>
      <c r="G74" s="60">
        <f t="shared" si="36"/>
        <v>25.160588325545419</v>
      </c>
      <c r="I74" s="19">
        <v>44781.740277777775</v>
      </c>
      <c r="J74">
        <v>7.0590765229654401E-3</v>
      </c>
      <c r="K74" s="21">
        <v>14.39848273</v>
      </c>
      <c r="L74" s="2">
        <v>35276</v>
      </c>
      <c r="M74" s="23">
        <f t="shared" si="37"/>
        <v>587.93333333333328</v>
      </c>
      <c r="N74" s="20">
        <f t="shared" si="30"/>
        <v>4.1502663904021473</v>
      </c>
      <c r="O74" s="65">
        <f t="shared" si="38"/>
        <v>44.47048134074862</v>
      </c>
      <c r="Q74" s="27">
        <v>45136.729166666664</v>
      </c>
      <c r="R74" s="51">
        <v>8.5140848524059894E-3</v>
      </c>
      <c r="S74" s="47">
        <v>2.8809824239999999</v>
      </c>
      <c r="T74" s="2">
        <v>16572</v>
      </c>
      <c r="U74" s="29">
        <f t="shared" si="39"/>
        <v>276.2</v>
      </c>
      <c r="V74" s="29">
        <f t="shared" si="31"/>
        <v>2.351590236234534</v>
      </c>
      <c r="W74" s="70">
        <f t="shared" si="40"/>
        <v>30.496747105055178</v>
      </c>
      <c r="Y74" s="32">
        <v>45151.739583333336</v>
      </c>
      <c r="Z74">
        <v>7.6796023012162698E-4</v>
      </c>
      <c r="AA74" s="34">
        <v>0.77321039300000005</v>
      </c>
      <c r="AB74" s="2">
        <v>1183</v>
      </c>
      <c r="AC74" s="33">
        <f t="shared" si="41"/>
        <v>19.716666666666665</v>
      </c>
      <c r="AD74" s="105">
        <f t="shared" si="32"/>
        <v>1.5141615870564744E-2</v>
      </c>
      <c r="AE74" s="77">
        <f t="shared" si="42"/>
        <v>1.06980282607536</v>
      </c>
      <c r="AG74" s="38">
        <v>45166.739583333336</v>
      </c>
      <c r="AH74" s="111">
        <v>1.70645711827039E-3</v>
      </c>
      <c r="AI74" s="50">
        <v>0.69769667099999999</v>
      </c>
      <c r="AJ74" s="2">
        <v>4926</v>
      </c>
      <c r="AK74" s="40">
        <f t="shared" si="43"/>
        <v>82.1</v>
      </c>
      <c r="AL74" s="49">
        <f t="shared" si="33"/>
        <v>0.140100129409999</v>
      </c>
      <c r="AM74" s="73">
        <f t="shared" si="44"/>
        <v>4.6871038066852764</v>
      </c>
      <c r="AO74" s="43">
        <v>45183.739583333336</v>
      </c>
      <c r="AP74" s="111">
        <v>2.6682651403883501E-2</v>
      </c>
      <c r="AQ74" s="46">
        <v>3.8698277910000001</v>
      </c>
      <c r="AR74" s="2">
        <v>7173</v>
      </c>
      <c r="AS74" s="45">
        <f t="shared" si="45"/>
        <v>119.55</v>
      </c>
      <c r="AT74" s="45">
        <f t="shared" si="34"/>
        <v>3.1899109753342727</v>
      </c>
      <c r="AU74" s="80">
        <f t="shared" si="46"/>
        <v>37.340347010762699</v>
      </c>
      <c r="AW74" s="7">
        <v>45037.90625</v>
      </c>
      <c r="AX74" s="51">
        <v>3.1346592587318698E-3</v>
      </c>
      <c r="AY74" s="16">
        <v>68.016396760000006</v>
      </c>
      <c r="AZ74" s="2">
        <v>39965</v>
      </c>
      <c r="BA74" s="16">
        <f t="shared" si="47"/>
        <v>666.08333333333337</v>
      </c>
      <c r="BB74" s="9">
        <f t="shared" si="48"/>
        <v>2.0879442879203198</v>
      </c>
      <c r="BC74" s="119">
        <f t="shared" si="49"/>
        <v>28.181411252876501</v>
      </c>
      <c r="BE74" s="6"/>
      <c r="BG74" s="4"/>
      <c r="BH74" s="2"/>
      <c r="BI74" s="5"/>
      <c r="BJ74" s="102"/>
      <c r="BK74" s="102"/>
      <c r="BM74" s="104"/>
      <c r="BO74" s="102"/>
      <c r="BP74" s="2"/>
      <c r="BQ74" s="102"/>
      <c r="BR74" s="4"/>
      <c r="BS74" s="5"/>
      <c r="BU74" s="6"/>
      <c r="BV74" s="103"/>
      <c r="BW74" s="102"/>
      <c r="BY74" s="102"/>
      <c r="BZ74" s="102"/>
      <c r="CA74" s="102"/>
    </row>
    <row r="75" spans="1:79" x14ac:dyDescent="0.3">
      <c r="A75" s="7">
        <v>44776.750694444447</v>
      </c>
      <c r="B75" s="2">
        <v>1.53994824810323E-3</v>
      </c>
      <c r="C75" s="8">
        <v>9.6026396404999996</v>
      </c>
      <c r="D75" s="2">
        <v>9441</v>
      </c>
      <c r="E75" s="9">
        <f t="shared" si="35"/>
        <v>157.35</v>
      </c>
      <c r="F75" s="8">
        <f t="shared" si="29"/>
        <v>0.24231085683904324</v>
      </c>
      <c r="G75" s="60">
        <f t="shared" si="36"/>
        <v>6.7436181639625463</v>
      </c>
      <c r="I75" s="66">
        <v>44781.750694444447</v>
      </c>
      <c r="J75" s="100">
        <v>8.7954581678172297E-3</v>
      </c>
      <c r="K75" s="98">
        <v>15.218093735</v>
      </c>
      <c r="L75" s="28">
        <v>31538</v>
      </c>
      <c r="M75" s="29">
        <f t="shared" si="37"/>
        <v>525.63333333333333</v>
      </c>
      <c r="N75" s="47">
        <f t="shared" si="30"/>
        <v>4.6231859949436629</v>
      </c>
      <c r="O75" s="62">
        <f t="shared" si="38"/>
        <v>47.773873010011421</v>
      </c>
      <c r="Q75" s="27">
        <v>45136.739583333336</v>
      </c>
      <c r="R75" s="51">
        <v>6.3440531857979904E-3</v>
      </c>
      <c r="S75" s="47">
        <v>2.6558198119999998</v>
      </c>
      <c r="T75" s="2">
        <v>18434</v>
      </c>
      <c r="U75" s="29">
        <f t="shared" si="39"/>
        <v>307.23333333333335</v>
      </c>
      <c r="V75" s="29">
        <f t="shared" si="31"/>
        <v>1.9491046071166693</v>
      </c>
      <c r="W75" s="70">
        <f t="shared" si="40"/>
        <v>26.922781227593862</v>
      </c>
      <c r="Y75" s="32">
        <v>45151.75</v>
      </c>
      <c r="Z75">
        <v>6.8080111033419803E-4</v>
      </c>
      <c r="AA75" s="34">
        <v>0.59425534599999996</v>
      </c>
      <c r="AB75" s="2">
        <v>598</v>
      </c>
      <c r="AC75" s="33">
        <f t="shared" si="41"/>
        <v>9.9666666666666668</v>
      </c>
      <c r="AD75" s="105">
        <f t="shared" si="32"/>
        <v>6.7853177329975072E-3</v>
      </c>
      <c r="AE75" s="77">
        <f t="shared" si="42"/>
        <v>0.6278154359091056</v>
      </c>
      <c r="AG75" s="38">
        <v>45166.75</v>
      </c>
      <c r="AH75" s="111">
        <v>1.5081261924299999E-3</v>
      </c>
      <c r="AI75" s="50">
        <v>0.59425534599999996</v>
      </c>
      <c r="AJ75" s="2">
        <v>3434</v>
      </c>
      <c r="AK75" s="40">
        <f t="shared" si="43"/>
        <v>57.233333333333334</v>
      </c>
      <c r="AL75" s="49">
        <f t="shared" si="33"/>
        <v>8.6315089080076998E-2</v>
      </c>
      <c r="AM75" s="73">
        <f t="shared" si="44"/>
        <v>3.3980594132197766</v>
      </c>
      <c r="AO75" s="43">
        <v>45183.75</v>
      </c>
      <c r="AP75" s="111">
        <v>2.6628190421017699E-2</v>
      </c>
      <c r="AQ75" s="46">
        <v>6.6940258559999997</v>
      </c>
      <c r="AR75" s="2">
        <v>7722</v>
      </c>
      <c r="AS75" s="45">
        <f t="shared" si="45"/>
        <v>128.69999999999999</v>
      </c>
      <c r="AT75" s="45">
        <f t="shared" si="34"/>
        <v>3.4270481071849774</v>
      </c>
      <c r="AU75" s="80">
        <f t="shared" si="46"/>
        <v>39.161236612311207</v>
      </c>
      <c r="AW75" s="7">
        <v>45037.916666666664</v>
      </c>
      <c r="AX75" s="51">
        <v>3.0925871203631599E-3</v>
      </c>
      <c r="AY75" s="16">
        <v>68.466857000000005</v>
      </c>
      <c r="AZ75" s="2">
        <v>39297</v>
      </c>
      <c r="BA75" s="16">
        <f t="shared" si="47"/>
        <v>654.95000000000005</v>
      </c>
      <c r="BB75" s="9">
        <f t="shared" si="48"/>
        <v>2.0254899344818518</v>
      </c>
      <c r="BC75" s="119">
        <f t="shared" si="49"/>
        <v>27.618835489499489</v>
      </c>
      <c r="BE75" s="6"/>
      <c r="BG75" s="4"/>
      <c r="BH75" s="2"/>
      <c r="BI75" s="5"/>
      <c r="BJ75" s="102"/>
      <c r="BK75" s="102"/>
      <c r="BM75" s="104"/>
      <c r="BO75" s="102"/>
      <c r="BP75" s="2"/>
      <c r="BQ75" s="102"/>
      <c r="BR75" s="4"/>
      <c r="BS75" s="5"/>
      <c r="BU75" s="6"/>
      <c r="BV75" s="103"/>
      <c r="BW75" s="102"/>
      <c r="BY75" s="102"/>
      <c r="BZ75" s="102"/>
      <c r="CA75" s="102"/>
    </row>
    <row r="76" spans="1:79" x14ac:dyDescent="0.3">
      <c r="A76" s="7">
        <v>44776.761111111111</v>
      </c>
      <c r="B76" s="2">
        <v>1.2889775231266999E-3</v>
      </c>
      <c r="C76" s="8">
        <v>9.2022879035000003</v>
      </c>
      <c r="D76" s="2">
        <v>5878</v>
      </c>
      <c r="E76" s="9">
        <f t="shared" si="35"/>
        <v>97.966666666666669</v>
      </c>
      <c r="F76" s="8">
        <f t="shared" si="29"/>
        <v>0.12627683134897905</v>
      </c>
      <c r="G76" s="60">
        <f t="shared" si="36"/>
        <v>4.3747002857451873</v>
      </c>
      <c r="I76" s="66">
        <v>44781.761111111111</v>
      </c>
      <c r="J76" s="100">
        <v>5.1334705034063403E-3</v>
      </c>
      <c r="K76" s="98">
        <v>13.768905965</v>
      </c>
      <c r="L76" s="28">
        <v>37488</v>
      </c>
      <c r="M76" s="29">
        <f t="shared" si="37"/>
        <v>624.79999999999995</v>
      </c>
      <c r="N76" s="47">
        <f t="shared" si="30"/>
        <v>3.207392370528281</v>
      </c>
      <c r="O76" s="62">
        <f t="shared" si="38"/>
        <v>37.476098593540542</v>
      </c>
      <c r="Q76" s="27">
        <v>45136.75</v>
      </c>
      <c r="R76" s="51">
        <v>6.82793221515972E-3</v>
      </c>
      <c r="S76" s="47">
        <v>2.6558198119999998</v>
      </c>
      <c r="T76" s="2">
        <v>18856</v>
      </c>
      <c r="U76" s="29">
        <f t="shared" si="39"/>
        <v>314.26666666666665</v>
      </c>
      <c r="V76" s="29">
        <f t="shared" si="31"/>
        <v>2.1457914974841947</v>
      </c>
      <c r="W76" s="70">
        <f t="shared" si="40"/>
        <v>28.697462511801042</v>
      </c>
      <c r="Y76" s="32">
        <v>45151.760416666664</v>
      </c>
      <c r="Z76">
        <v>7.95121192217949E-4</v>
      </c>
      <c r="AA76" s="34">
        <v>0.69769667099999999</v>
      </c>
      <c r="AB76" s="2">
        <v>756</v>
      </c>
      <c r="AC76" s="33">
        <f t="shared" si="41"/>
        <v>12.6</v>
      </c>
      <c r="AD76" s="105">
        <f t="shared" si="32"/>
        <v>1.0018527021946158E-2</v>
      </c>
      <c r="AE76" s="77">
        <f t="shared" si="42"/>
        <v>0.81321083447927323</v>
      </c>
      <c r="AG76" s="38">
        <v>45166.760416666664</v>
      </c>
      <c r="AH76" s="111">
        <v>1.9718274633948999E-3</v>
      </c>
      <c r="AI76" s="50">
        <v>0.69769667099999999</v>
      </c>
      <c r="AJ76" s="2">
        <v>5073</v>
      </c>
      <c r="AK76" s="40">
        <f t="shared" si="43"/>
        <v>84.55</v>
      </c>
      <c r="AL76" s="49">
        <f t="shared" si="33"/>
        <v>0.16671801203003878</v>
      </c>
      <c r="AM76" s="73">
        <f t="shared" si="44"/>
        <v>5.2609694414756687</v>
      </c>
      <c r="AO76" s="43">
        <v>45183.760416666664</v>
      </c>
      <c r="AP76" s="111">
        <v>2.1515923709720299E-2</v>
      </c>
      <c r="AQ76" s="46">
        <v>2.6558198119999998</v>
      </c>
      <c r="AR76" s="2">
        <v>7169</v>
      </c>
      <c r="AS76" s="45">
        <f t="shared" si="45"/>
        <v>119.48333333333333</v>
      </c>
      <c r="AT76" s="45">
        <f t="shared" si="34"/>
        <v>2.5707942845830805</v>
      </c>
      <c r="AU76" s="80">
        <f t="shared" si="46"/>
        <v>32.355944973028748</v>
      </c>
      <c r="AW76" s="7">
        <v>45037.927083333336</v>
      </c>
      <c r="AX76" s="51">
        <v>3.2373223730187998E-3</v>
      </c>
      <c r="AY76" s="16">
        <v>72.077340390000003</v>
      </c>
      <c r="AZ76" s="2">
        <v>39467</v>
      </c>
      <c r="BA76" s="16">
        <f t="shared" si="47"/>
        <v>657.7833333333333</v>
      </c>
      <c r="BB76" s="9">
        <f t="shared" si="48"/>
        <v>2.1294567015988828</v>
      </c>
      <c r="BC76" s="119">
        <f t="shared" si="49"/>
        <v>28.552219675787033</v>
      </c>
      <c r="BE76" s="6"/>
      <c r="BG76" s="4"/>
      <c r="BH76" s="2"/>
      <c r="BI76" s="5"/>
      <c r="BJ76" s="102"/>
      <c r="BK76" s="102"/>
      <c r="BM76" s="104"/>
      <c r="BO76" s="102"/>
      <c r="BP76" s="2"/>
      <c r="BQ76" s="102"/>
      <c r="BR76" s="4"/>
      <c r="BS76" s="5"/>
      <c r="BU76" s="6"/>
      <c r="BV76" s="103"/>
      <c r="BW76" s="102"/>
      <c r="BY76" s="102"/>
      <c r="BZ76" s="102"/>
      <c r="CA76" s="102"/>
    </row>
    <row r="77" spans="1:79" x14ac:dyDescent="0.3">
      <c r="A77" s="7">
        <v>44776.771527777775</v>
      </c>
      <c r="B77" s="2">
        <v>8.0868477222856099E-4</v>
      </c>
      <c r="C77" s="8">
        <v>7.7941709709999998</v>
      </c>
      <c r="D77" s="2">
        <v>1271</v>
      </c>
      <c r="E77" s="9">
        <f t="shared" si="35"/>
        <v>21.183333333333334</v>
      </c>
      <c r="F77" s="8">
        <f t="shared" si="29"/>
        <v>1.7130639091708349E-2</v>
      </c>
      <c r="G77" s="60">
        <f t="shared" si="36"/>
        <v>1.161167926498651</v>
      </c>
      <c r="I77" s="19">
        <v>44781.771527777775</v>
      </c>
      <c r="J77">
        <v>2.1760303881135801E-3</v>
      </c>
      <c r="K77" s="21">
        <v>10.713533245000001</v>
      </c>
      <c r="L77" s="2">
        <v>17692</v>
      </c>
      <c r="M77" s="23">
        <f t="shared" si="37"/>
        <v>294.86666666666667</v>
      </c>
      <c r="N77" s="20">
        <f t="shared" si="30"/>
        <v>0.64163882710842435</v>
      </c>
      <c r="O77" s="65">
        <f t="shared" si="38"/>
        <v>12.873906966404443</v>
      </c>
      <c r="Q77" s="27">
        <v>45136.760416666664</v>
      </c>
      <c r="R77" s="51">
        <v>4.4310195195768802E-3</v>
      </c>
      <c r="S77" s="47">
        <v>2.0619739560000001</v>
      </c>
      <c r="T77" s="2">
        <v>18163</v>
      </c>
      <c r="U77" s="29">
        <f t="shared" si="39"/>
        <v>302.71666666666664</v>
      </c>
      <c r="V77" s="29">
        <f t="shared" si="31"/>
        <v>1.3413434589012478</v>
      </c>
      <c r="W77" s="70">
        <f t="shared" si="40"/>
        <v>21.006608475205159</v>
      </c>
      <c r="Y77" s="32">
        <v>45151.770833333336</v>
      </c>
      <c r="Z77">
        <v>5.1704168537004798E-3</v>
      </c>
      <c r="AA77" s="34">
        <v>0.59425534599999996</v>
      </c>
      <c r="AB77" s="2">
        <v>20316</v>
      </c>
      <c r="AC77" s="33">
        <f t="shared" si="41"/>
        <v>338.6</v>
      </c>
      <c r="AD77" s="105">
        <f t="shared" si="32"/>
        <v>1.7507031466629825</v>
      </c>
      <c r="AE77" s="77">
        <f t="shared" si="42"/>
        <v>25.070470937906475</v>
      </c>
      <c r="AG77" s="38">
        <v>45166.770833333336</v>
      </c>
      <c r="AH77" s="111">
        <v>2.5006358108897501E-3</v>
      </c>
      <c r="AI77" s="50">
        <v>0.81307424100000003</v>
      </c>
      <c r="AJ77" s="2">
        <v>6854</v>
      </c>
      <c r="AK77" s="40">
        <f t="shared" si="43"/>
        <v>114.23333333333333</v>
      </c>
      <c r="AL77" s="49">
        <f t="shared" si="33"/>
        <v>0.2856559641306391</v>
      </c>
      <c r="AM77" s="73">
        <f t="shared" si="44"/>
        <v>7.5222771836514069</v>
      </c>
      <c r="AO77" s="43">
        <v>45183.770833333336</v>
      </c>
      <c r="AP77" s="111">
        <v>2.0923427504394899E-2</v>
      </c>
      <c r="AQ77" s="46">
        <v>2.247064306</v>
      </c>
      <c r="AR77" s="2">
        <v>7476</v>
      </c>
      <c r="AS77" s="45">
        <f t="shared" si="45"/>
        <v>124.6</v>
      </c>
      <c r="AT77" s="45">
        <f t="shared" si="34"/>
        <v>2.6070590670476044</v>
      </c>
      <c r="AU77" s="80">
        <f t="shared" si="46"/>
        <v>32.65829909777068</v>
      </c>
      <c r="AW77" s="7">
        <v>45037.9375</v>
      </c>
      <c r="AX77" s="51">
        <v>3.16196504797445E-3</v>
      </c>
      <c r="AY77" s="16">
        <v>75.208694050000005</v>
      </c>
      <c r="AZ77" s="2">
        <v>39262</v>
      </c>
      <c r="BA77" s="16">
        <f t="shared" si="47"/>
        <v>654.36666666666667</v>
      </c>
      <c r="BB77" s="9">
        <f t="shared" si="48"/>
        <v>2.0690845285595478</v>
      </c>
      <c r="BC77" s="119">
        <f t="shared" si="49"/>
        <v>28.012129846715055</v>
      </c>
      <c r="BE77" s="6"/>
      <c r="BG77" s="4"/>
      <c r="BH77" s="2"/>
      <c r="BI77" s="5"/>
      <c r="BJ77" s="102"/>
      <c r="BK77" s="102"/>
      <c r="BM77" s="104"/>
      <c r="BO77" s="102"/>
      <c r="BP77" s="2"/>
      <c r="BQ77" s="102"/>
      <c r="BR77" s="4"/>
      <c r="BS77" s="5"/>
      <c r="BU77" s="6"/>
      <c r="BV77" s="103"/>
      <c r="BW77" s="102"/>
      <c r="BY77" s="102"/>
      <c r="BZ77" s="102"/>
      <c r="CA77" s="102"/>
    </row>
    <row r="78" spans="1:79" x14ac:dyDescent="0.3">
      <c r="A78" s="7">
        <v>44776.781944444447</v>
      </c>
      <c r="B78" s="2">
        <v>2.5053512897688302E-4</v>
      </c>
      <c r="C78" s="8">
        <v>5.7733400259999996</v>
      </c>
      <c r="D78" s="2">
        <v>69</v>
      </c>
      <c r="E78" s="9">
        <f t="shared" si="35"/>
        <v>1.1499999999999999</v>
      </c>
      <c r="F78" s="8">
        <f t="shared" si="29"/>
        <v>2.8811539832341546E-4</v>
      </c>
      <c r="G78" s="60">
        <f t="shared" si="36"/>
        <v>7.705867191598384E-2</v>
      </c>
      <c r="I78" s="19">
        <v>44781.781944444447</v>
      </c>
      <c r="J78">
        <v>2.2618078613182899E-3</v>
      </c>
      <c r="K78" s="21">
        <v>10.73823973</v>
      </c>
      <c r="L78" s="2">
        <v>19874</v>
      </c>
      <c r="M78" s="23">
        <f t="shared" si="37"/>
        <v>331.23333333333335</v>
      </c>
      <c r="N78" s="20">
        <f t="shared" si="30"/>
        <v>0.74918615726399496</v>
      </c>
      <c r="O78" s="65">
        <f t="shared" si="38"/>
        <v>14.269112896832709</v>
      </c>
      <c r="Q78" s="27">
        <v>45136.770833333336</v>
      </c>
      <c r="R78" s="51">
        <v>5.5649935133512797E-3</v>
      </c>
      <c r="S78" s="47">
        <v>2.3436582540000002</v>
      </c>
      <c r="T78" s="2">
        <v>19599</v>
      </c>
      <c r="U78" s="29">
        <f t="shared" si="39"/>
        <v>326.64999999999998</v>
      </c>
      <c r="V78" s="29">
        <f t="shared" si="31"/>
        <v>1.8178051311361954</v>
      </c>
      <c r="W78" s="70">
        <f t="shared" si="40"/>
        <v>25.704479119324528</v>
      </c>
      <c r="Y78" s="32">
        <v>45151.78125</v>
      </c>
      <c r="Z78">
        <v>4.1581916666877201E-3</v>
      </c>
      <c r="AA78" s="34">
        <v>2.7664001109999998</v>
      </c>
      <c r="AB78" s="2">
        <v>20093</v>
      </c>
      <c r="AC78" s="33">
        <f t="shared" si="41"/>
        <v>334.88333333333333</v>
      </c>
      <c r="AD78" s="105">
        <f t="shared" si="32"/>
        <v>1.3925090859792726</v>
      </c>
      <c r="AE78" s="77">
        <f t="shared" si="42"/>
        <v>21.535317588585158</v>
      </c>
      <c r="AG78" s="38">
        <v>45166.78125</v>
      </c>
      <c r="AH78" s="111">
        <v>1.8017163569547499E-3</v>
      </c>
      <c r="AI78" s="50">
        <v>0.69769667099999999</v>
      </c>
      <c r="AJ78" s="2">
        <v>5353</v>
      </c>
      <c r="AK78" s="40">
        <f t="shared" si="43"/>
        <v>89.216666666666669</v>
      </c>
      <c r="AL78" s="49">
        <f t="shared" si="33"/>
        <v>0.16074312764631293</v>
      </c>
      <c r="AM78" s="73">
        <f t="shared" si="44"/>
        <v>5.1350101572941842</v>
      </c>
      <c r="AO78" s="43">
        <v>45183.78125</v>
      </c>
      <c r="AP78" s="111">
        <v>1.9794191846266001E-2</v>
      </c>
      <c r="AQ78" s="46">
        <v>2.3436582540000002</v>
      </c>
      <c r="AR78" s="2">
        <v>7500</v>
      </c>
      <c r="AS78" s="45">
        <f t="shared" si="45"/>
        <v>125</v>
      </c>
      <c r="AT78" s="45">
        <f t="shared" si="34"/>
        <v>2.4742739807832499</v>
      </c>
      <c r="AU78" s="80">
        <f t="shared" si="46"/>
        <v>31.54414171783462</v>
      </c>
      <c r="AW78" s="7">
        <v>45037.947916666664</v>
      </c>
      <c r="AX78" s="51">
        <v>3.46791949647E-3</v>
      </c>
      <c r="AY78" s="16">
        <v>72.970159429999995</v>
      </c>
      <c r="AZ78" s="2">
        <v>39441</v>
      </c>
      <c r="BA78" s="16">
        <f t="shared" si="47"/>
        <v>657.35</v>
      </c>
      <c r="BB78" s="9">
        <f t="shared" si="48"/>
        <v>2.2796368810045546</v>
      </c>
      <c r="BC78" s="119">
        <f t="shared" si="49"/>
        <v>29.873918496338113</v>
      </c>
      <c r="BE78" s="6"/>
      <c r="BG78" s="4"/>
      <c r="BH78" s="2"/>
      <c r="BI78" s="5"/>
      <c r="BJ78" s="102"/>
      <c r="BK78" s="102"/>
      <c r="BM78" s="104"/>
      <c r="BO78" s="102"/>
      <c r="BP78" s="2"/>
      <c r="BQ78" s="102"/>
      <c r="BR78" s="4"/>
      <c r="BS78" s="5"/>
      <c r="BU78" s="6"/>
      <c r="BV78" s="103"/>
      <c r="BW78" s="102"/>
      <c r="BY78" s="102"/>
      <c r="BZ78" s="102"/>
      <c r="CA78" s="102"/>
    </row>
    <row r="79" spans="1:79" x14ac:dyDescent="0.3">
      <c r="A79" s="7">
        <v>44776.792361111111</v>
      </c>
      <c r="B79" s="2">
        <v>2.17042463423721E-4</v>
      </c>
      <c r="C79" s="8">
        <v>5.1560535449999998</v>
      </c>
      <c r="D79" s="2">
        <v>60</v>
      </c>
      <c r="E79" s="9">
        <f t="shared" si="35"/>
        <v>1</v>
      </c>
      <c r="F79" s="8">
        <f t="shared" si="29"/>
        <v>2.17042463423721E-4</v>
      </c>
      <c r="G79" s="60">
        <f t="shared" si="36"/>
        <v>6.3846202544235883E-2</v>
      </c>
      <c r="I79" s="19">
        <v>44781.792361111111</v>
      </c>
      <c r="J79">
        <v>1.4743389202022299E-3</v>
      </c>
      <c r="K79" s="21">
        <v>9.41508928649999</v>
      </c>
      <c r="L79" s="2">
        <v>5619</v>
      </c>
      <c r="M79" s="23">
        <f t="shared" si="37"/>
        <v>93.65</v>
      </c>
      <c r="N79" s="20">
        <f t="shared" si="30"/>
        <v>0.13807183987693883</v>
      </c>
      <c r="O79" s="65">
        <f t="shared" si="38"/>
        <v>4.6419363196957191</v>
      </c>
      <c r="Q79" s="27">
        <v>45136.78125</v>
      </c>
      <c r="R79" s="51">
        <v>4.1355067869511602E-3</v>
      </c>
      <c r="S79" s="47">
        <v>2.0619739560000001</v>
      </c>
      <c r="T79" s="2">
        <v>17955</v>
      </c>
      <c r="U79" s="29">
        <f t="shared" si="39"/>
        <v>299.25</v>
      </c>
      <c r="V79" s="29">
        <f t="shared" si="31"/>
        <v>1.2375504059951348</v>
      </c>
      <c r="W79" s="70">
        <f t="shared" si="40"/>
        <v>19.912745697440645</v>
      </c>
      <c r="Y79" s="32">
        <v>45151.791666666664</v>
      </c>
      <c r="Z79">
        <v>2.35146237413374E-3</v>
      </c>
      <c r="AA79" s="34">
        <v>2.6539428329999999</v>
      </c>
      <c r="AB79" s="2">
        <v>10533</v>
      </c>
      <c r="AC79" s="33">
        <f t="shared" si="41"/>
        <v>175.55</v>
      </c>
      <c r="AD79" s="105">
        <f t="shared" si="32"/>
        <v>0.41279921977917805</v>
      </c>
      <c r="AE79" s="77">
        <f t="shared" si="42"/>
        <v>9.6055003481289152</v>
      </c>
      <c r="AG79" s="38">
        <v>45166.791666666664</v>
      </c>
      <c r="AH79" s="111">
        <v>2.1871053665134198E-3</v>
      </c>
      <c r="AI79" s="50">
        <v>0.69769667099999999</v>
      </c>
      <c r="AJ79" s="2">
        <v>5617</v>
      </c>
      <c r="AK79" s="40">
        <f t="shared" si="43"/>
        <v>93.61666666666666</v>
      </c>
      <c r="AL79" s="49">
        <f t="shared" si="33"/>
        <v>0.20474951406176464</v>
      </c>
      <c r="AM79" s="73">
        <f t="shared" si="44"/>
        <v>6.0300564253600966</v>
      </c>
      <c r="AO79" s="43">
        <v>45183.791666666664</v>
      </c>
      <c r="AP79" s="111">
        <v>1.7656231942123402E-2</v>
      </c>
      <c r="AQ79" s="46">
        <v>2.247064306</v>
      </c>
      <c r="AR79" s="2">
        <v>8366</v>
      </c>
      <c r="AS79" s="45">
        <f t="shared" si="45"/>
        <v>139.43333333333334</v>
      </c>
      <c r="AT79" s="45">
        <f t="shared" si="34"/>
        <v>2.4618672737967398</v>
      </c>
      <c r="AU79" s="80">
        <f t="shared" si="46"/>
        <v>31.439027358917482</v>
      </c>
      <c r="AW79" s="7">
        <v>45037.958333333336</v>
      </c>
      <c r="AX79" s="51">
        <v>3.1809516010115899E-3</v>
      </c>
      <c r="AY79" s="16">
        <v>74.312865549999998</v>
      </c>
      <c r="AZ79" s="2">
        <v>39010</v>
      </c>
      <c r="BA79" s="16">
        <f t="shared" si="47"/>
        <v>650.16666666666663</v>
      </c>
      <c r="BB79" s="9">
        <f t="shared" si="48"/>
        <v>2.0681486992577018</v>
      </c>
      <c r="BC79" s="119">
        <f t="shared" si="49"/>
        <v>28.003716561317553</v>
      </c>
      <c r="BE79" s="6"/>
      <c r="BG79" s="4"/>
      <c r="BH79" s="2"/>
      <c r="BI79" s="5"/>
      <c r="BJ79" s="102"/>
      <c r="BK79" s="102"/>
      <c r="BM79" s="104"/>
      <c r="BO79" s="102"/>
      <c r="BP79" s="2"/>
      <c r="BQ79" s="102"/>
      <c r="BR79" s="4"/>
      <c r="BS79" s="5"/>
      <c r="BU79" s="6"/>
      <c r="BV79" s="103"/>
      <c r="BW79" s="102"/>
      <c r="BY79" s="102"/>
      <c r="BZ79" s="102"/>
      <c r="CA79" s="102"/>
    </row>
    <row r="80" spans="1:79" x14ac:dyDescent="0.3">
      <c r="A80" s="7">
        <v>44776.802777777775</v>
      </c>
      <c r="B80" s="2">
        <v>1.0496417991406E-4</v>
      </c>
      <c r="C80" s="8">
        <v>4.4556949205</v>
      </c>
      <c r="D80" s="2">
        <v>11</v>
      </c>
      <c r="E80" s="9">
        <f t="shared" si="35"/>
        <v>0.18333333333333332</v>
      </c>
      <c r="F80" s="8">
        <f t="shared" si="29"/>
        <v>1.9243432984244333E-5</v>
      </c>
      <c r="G80" s="60">
        <f t="shared" si="36"/>
        <v>1.2777120724543796E-2</v>
      </c>
      <c r="I80" s="19">
        <v>44781.802777777775</v>
      </c>
      <c r="J80">
        <v>1.5780972943542301E-3</v>
      </c>
      <c r="K80" s="21">
        <v>9.5693059164999994</v>
      </c>
      <c r="L80" s="2">
        <v>6349</v>
      </c>
      <c r="M80" s="23">
        <f t="shared" si="37"/>
        <v>105.81666666666666</v>
      </c>
      <c r="N80" s="20">
        <f t="shared" si="30"/>
        <v>0.1669889953642501</v>
      </c>
      <c r="O80" s="65">
        <f t="shared" si="38"/>
        <v>5.2666458729004688</v>
      </c>
      <c r="Q80" s="27">
        <v>45136.791666666664</v>
      </c>
      <c r="R80" s="51">
        <v>3.4819002264233601E-3</v>
      </c>
      <c r="S80" s="47">
        <v>1.8086265969999999</v>
      </c>
      <c r="T80" s="2">
        <v>14916</v>
      </c>
      <c r="U80" s="29">
        <f t="shared" si="39"/>
        <v>248.6</v>
      </c>
      <c r="V80" s="29">
        <f t="shared" si="31"/>
        <v>0.86560039628884733</v>
      </c>
      <c r="W80" s="70">
        <f t="shared" si="40"/>
        <v>15.705369858744229</v>
      </c>
      <c r="Y80" s="32">
        <v>45151.802083333336</v>
      </c>
      <c r="Z80">
        <v>1.91559268270047E-3</v>
      </c>
      <c r="AA80" s="34">
        <v>1.654461261</v>
      </c>
      <c r="AB80" s="2">
        <v>7421</v>
      </c>
      <c r="AC80" s="33">
        <f t="shared" si="41"/>
        <v>123.68333333333334</v>
      </c>
      <c r="AD80" s="105">
        <f t="shared" si="32"/>
        <v>0.23692688830533648</v>
      </c>
      <c r="AE80" s="77">
        <f t="shared" si="42"/>
        <v>6.6437504716628855</v>
      </c>
      <c r="AG80" s="38">
        <v>45166.802083333336</v>
      </c>
      <c r="AH80" s="111">
        <v>2.7542860396430001E-3</v>
      </c>
      <c r="AI80" s="50">
        <v>0.77321039300000005</v>
      </c>
      <c r="AJ80" s="2">
        <v>7243</v>
      </c>
      <c r="AK80" s="40">
        <f t="shared" si="43"/>
        <v>120.71666666666667</v>
      </c>
      <c r="AL80" s="49">
        <f t="shared" si="33"/>
        <v>0.33248822975223752</v>
      </c>
      <c r="AM80" s="73">
        <f t="shared" si="44"/>
        <v>8.3201054557339038</v>
      </c>
      <c r="AO80" s="43">
        <v>45183.802083333336</v>
      </c>
      <c r="AP80" s="111">
        <v>1.64120692310789E-2</v>
      </c>
      <c r="AQ80" s="46">
        <v>2.247064306</v>
      </c>
      <c r="AR80" s="2">
        <v>9551</v>
      </c>
      <c r="AS80" s="45">
        <f t="shared" si="45"/>
        <v>159.18333333333334</v>
      </c>
      <c r="AT80" s="45">
        <f t="shared" si="34"/>
        <v>2.6125278871005762</v>
      </c>
      <c r="AU80" s="80">
        <f t="shared" si="46"/>
        <v>32.703771873909567</v>
      </c>
      <c r="AW80" s="7">
        <v>45037.96875</v>
      </c>
      <c r="AX80" s="51">
        <v>3.11647479329627E-3</v>
      </c>
      <c r="AY80" s="16">
        <v>67.565551839999998</v>
      </c>
      <c r="AZ80" s="2">
        <v>39429</v>
      </c>
      <c r="BA80" s="16">
        <f t="shared" si="47"/>
        <v>657.15</v>
      </c>
      <c r="BB80" s="9">
        <f t="shared" si="48"/>
        <v>2.0479914104146437</v>
      </c>
      <c r="BC80" s="119">
        <f t="shared" si="49"/>
        <v>27.822186836248076</v>
      </c>
      <c r="BE80" s="6"/>
      <c r="BG80" s="4"/>
      <c r="BH80" s="2"/>
      <c r="BI80" s="5"/>
      <c r="BJ80" s="102"/>
      <c r="BK80" s="102"/>
      <c r="BM80" s="104"/>
      <c r="BO80" s="102"/>
      <c r="BP80" s="2"/>
      <c r="BQ80" s="102"/>
      <c r="BR80" s="4"/>
      <c r="BS80" s="5"/>
      <c r="BU80" s="6"/>
      <c r="BV80" s="103"/>
      <c r="BW80" s="102"/>
      <c r="BY80" s="102"/>
      <c r="BZ80" s="102"/>
      <c r="CA80" s="102"/>
    </row>
    <row r="81" spans="1:79" x14ac:dyDescent="0.3">
      <c r="A81" s="7">
        <v>44776.813194444447</v>
      </c>
      <c r="B81" s="89">
        <v>4.98276871901227E-5</v>
      </c>
      <c r="C81" s="8">
        <v>3.5644504299999999</v>
      </c>
      <c r="D81" s="2">
        <v>0</v>
      </c>
      <c r="E81" s="9">
        <f t="shared" si="35"/>
        <v>0</v>
      </c>
      <c r="F81" s="8">
        <f t="shared" si="29"/>
        <v>0</v>
      </c>
      <c r="G81" s="60">
        <f t="shared" si="36"/>
        <v>0</v>
      </c>
      <c r="I81" s="19">
        <v>44781.813194444447</v>
      </c>
      <c r="J81">
        <v>2.3403702735392499E-3</v>
      </c>
      <c r="K81" s="21">
        <v>10.085595189999999</v>
      </c>
      <c r="L81" s="2">
        <v>9458</v>
      </c>
      <c r="M81" s="23">
        <f t="shared" si="37"/>
        <v>157.63333333333333</v>
      </c>
      <c r="N81" s="20">
        <f t="shared" si="30"/>
        <v>0.36892036745223705</v>
      </c>
      <c r="O81" s="65">
        <f t="shared" si="38"/>
        <v>8.9148215018083601</v>
      </c>
      <c r="Q81" s="27">
        <v>45136.802083333336</v>
      </c>
      <c r="R81" s="51">
        <v>4.5268944797031098E-3</v>
      </c>
      <c r="S81" s="47">
        <v>2.3436582540000002</v>
      </c>
      <c r="T81" s="2">
        <v>20468</v>
      </c>
      <c r="U81" s="29">
        <f t="shared" si="39"/>
        <v>341.13333333333333</v>
      </c>
      <c r="V81" s="29">
        <f t="shared" si="31"/>
        <v>1.5442746035093875</v>
      </c>
      <c r="W81" s="70">
        <f t="shared" si="40"/>
        <v>23.066540873381918</v>
      </c>
      <c r="Y81" s="32">
        <v>45151.8125</v>
      </c>
      <c r="Z81">
        <v>1.25924627596726E-3</v>
      </c>
      <c r="AA81" s="34">
        <v>1.5125919880000001</v>
      </c>
      <c r="AB81" s="2">
        <v>3972</v>
      </c>
      <c r="AC81" s="33">
        <f t="shared" si="41"/>
        <v>66.2</v>
      </c>
      <c r="AD81" s="105">
        <f t="shared" si="32"/>
        <v>8.3362103469032611E-2</v>
      </c>
      <c r="AE81" s="77">
        <f t="shared" si="42"/>
        <v>3.3204166060070714</v>
      </c>
      <c r="AG81" s="38">
        <v>45166.8125</v>
      </c>
      <c r="AH81" s="111">
        <v>1.9755607222689399E-3</v>
      </c>
      <c r="AI81" s="50">
        <v>0.66228851600000005</v>
      </c>
      <c r="AJ81" s="2">
        <v>5384</v>
      </c>
      <c r="AK81" s="40">
        <f t="shared" si="43"/>
        <v>89.733333333333334</v>
      </c>
      <c r="AL81" s="49">
        <f t="shared" si="33"/>
        <v>0.17727364881159954</v>
      </c>
      <c r="AM81" s="73">
        <f t="shared" si="44"/>
        <v>5.4798556938302321</v>
      </c>
      <c r="AO81" s="43">
        <v>45183.8125</v>
      </c>
      <c r="AP81" s="111">
        <v>1.8585203631349901E-2</v>
      </c>
      <c r="AQ81" s="46">
        <v>2.0619739560000001</v>
      </c>
      <c r="AR81" s="2">
        <v>9091</v>
      </c>
      <c r="AS81" s="45">
        <f t="shared" si="45"/>
        <v>151.51666666666668</v>
      </c>
      <c r="AT81" s="45">
        <f t="shared" si="34"/>
        <v>2.8159681035433661</v>
      </c>
      <c r="AU81" s="80">
        <f t="shared" si="46"/>
        <v>34.373376690408335</v>
      </c>
      <c r="AW81" s="7">
        <v>45037.979166666664</v>
      </c>
      <c r="AX81" s="51">
        <v>3.0917969552138802E-3</v>
      </c>
      <c r="AY81" s="16">
        <v>68.466857000000005</v>
      </c>
      <c r="AZ81" s="2">
        <v>39253</v>
      </c>
      <c r="BA81" s="16">
        <f t="shared" si="47"/>
        <v>654.2166666666667</v>
      </c>
      <c r="BB81" s="9">
        <f t="shared" si="48"/>
        <v>2.022705098050174</v>
      </c>
      <c r="BC81" s="119">
        <f t="shared" si="49"/>
        <v>27.593615586648301</v>
      </c>
      <c r="BE81" s="6"/>
      <c r="BG81" s="4"/>
      <c r="BH81" s="2"/>
      <c r="BI81" s="5"/>
      <c r="BJ81" s="102"/>
      <c r="BK81" s="102"/>
      <c r="BM81" s="104"/>
      <c r="BO81" s="102"/>
      <c r="BP81" s="2"/>
      <c r="BQ81" s="102"/>
      <c r="BR81" s="4"/>
      <c r="BS81" s="5"/>
      <c r="BU81" s="6"/>
      <c r="BV81" s="103"/>
      <c r="BW81" s="102"/>
      <c r="BY81" s="102"/>
      <c r="BZ81" s="102"/>
      <c r="CA81" s="102"/>
    </row>
    <row r="82" spans="1:79" x14ac:dyDescent="0.3">
      <c r="A82" s="7">
        <v>44776.823611111111</v>
      </c>
      <c r="B82" s="89">
        <v>4.7846362469734101E-5</v>
      </c>
      <c r="C82" s="8">
        <v>3.44414985149999</v>
      </c>
      <c r="D82" s="2">
        <v>0</v>
      </c>
      <c r="E82" s="9">
        <f t="shared" si="35"/>
        <v>0</v>
      </c>
      <c r="F82" s="8">
        <f t="shared" si="29"/>
        <v>0</v>
      </c>
      <c r="G82" s="60">
        <f t="shared" si="36"/>
        <v>0</v>
      </c>
      <c r="I82" s="19">
        <v>44781.823611111111</v>
      </c>
      <c r="J82">
        <v>8.4007814809293003E-4</v>
      </c>
      <c r="K82" s="21">
        <v>8.104838397</v>
      </c>
      <c r="L82" s="2">
        <v>1630</v>
      </c>
      <c r="M82" s="23">
        <f t="shared" si="37"/>
        <v>27.166666666666668</v>
      </c>
      <c r="N82" s="20">
        <f t="shared" si="30"/>
        <v>2.2822123023191268E-2</v>
      </c>
      <c r="O82" s="65">
        <f t="shared" si="38"/>
        <v>1.404810665658996</v>
      </c>
      <c r="Q82" s="27">
        <v>45136.8125</v>
      </c>
      <c r="R82" s="51">
        <v>2.5083278945569301E-3</v>
      </c>
      <c r="S82" s="47">
        <v>1.654461261</v>
      </c>
      <c r="T82" s="2">
        <v>12194</v>
      </c>
      <c r="U82" s="29">
        <f t="shared" si="39"/>
        <v>203.23333333333332</v>
      </c>
      <c r="V82" s="29">
        <f t="shared" si="31"/>
        <v>0.50977583910378677</v>
      </c>
      <c r="W82" s="70">
        <f t="shared" si="40"/>
        <v>11.050176239947646</v>
      </c>
      <c r="Y82" s="32">
        <v>45151.822916666664</v>
      </c>
      <c r="Z82">
        <v>2.35976340505156E-3</v>
      </c>
      <c r="AA82" s="34">
        <v>1.318149035</v>
      </c>
      <c r="AB82" s="2">
        <v>12125</v>
      </c>
      <c r="AC82" s="33">
        <f t="shared" si="41"/>
        <v>202.08333333333334</v>
      </c>
      <c r="AD82" s="105">
        <f t="shared" si="32"/>
        <v>0.47686885477083613</v>
      </c>
      <c r="AE82" s="77">
        <f t="shared" si="42"/>
        <v>10.571248755830645</v>
      </c>
      <c r="AG82" s="38">
        <v>45166.822916666664</v>
      </c>
      <c r="AH82" s="111">
        <v>1.3944627168852701E-3</v>
      </c>
      <c r="AI82" s="50">
        <v>0.50323377899999999</v>
      </c>
      <c r="AJ82" s="2">
        <v>2392</v>
      </c>
      <c r="AK82" s="40">
        <f t="shared" si="43"/>
        <v>39.866666666666667</v>
      </c>
      <c r="AL82" s="49">
        <f t="shared" si="33"/>
        <v>5.5592580313159431E-2</v>
      </c>
      <c r="AM82" s="73">
        <f t="shared" si="44"/>
        <v>2.5372342216382222</v>
      </c>
      <c r="AO82" s="43">
        <v>45183.822916666664</v>
      </c>
      <c r="AP82" s="111">
        <v>1.8595057848919801E-2</v>
      </c>
      <c r="AQ82" s="46">
        <v>1.8086265969999999</v>
      </c>
      <c r="AR82" s="2">
        <v>10823</v>
      </c>
      <c r="AS82" s="45">
        <f t="shared" si="45"/>
        <v>180.38333333333333</v>
      </c>
      <c r="AT82" s="45">
        <f t="shared" si="34"/>
        <v>3.3542385183143164</v>
      </c>
      <c r="AU82" s="80">
        <f t="shared" si="46"/>
        <v>38.606796043501852</v>
      </c>
      <c r="AW82" s="7">
        <v>45037.989583333336</v>
      </c>
      <c r="AX82" s="51">
        <v>2.8930641229098402E-3</v>
      </c>
      <c r="AY82" s="16">
        <v>72.069636250000002</v>
      </c>
      <c r="AZ82" s="2">
        <v>39482</v>
      </c>
      <c r="BA82" s="16">
        <f t="shared" si="47"/>
        <v>658.0333333333333</v>
      </c>
      <c r="BB82" s="9">
        <f t="shared" si="48"/>
        <v>1.9037326283454383</v>
      </c>
      <c r="BC82" s="119">
        <f t="shared" si="49"/>
        <v>26.504995628781078</v>
      </c>
      <c r="BE82" s="6"/>
      <c r="BG82" s="4"/>
      <c r="BH82" s="2"/>
      <c r="BI82" s="5"/>
      <c r="BJ82" s="102"/>
      <c r="BK82" s="102"/>
      <c r="BM82" s="104"/>
      <c r="BO82" s="102"/>
      <c r="BP82" s="2"/>
      <c r="BQ82" s="102"/>
      <c r="BR82" s="4"/>
      <c r="BS82" s="5"/>
      <c r="BU82" s="6"/>
      <c r="BV82" s="103"/>
      <c r="BW82" s="102"/>
      <c r="BY82" s="102"/>
      <c r="BZ82" s="102"/>
      <c r="CA82" s="102"/>
    </row>
    <row r="83" spans="1:79" x14ac:dyDescent="0.3">
      <c r="A83" s="7">
        <v>44776.834027777775</v>
      </c>
      <c r="B83" s="89">
        <v>5.58148706582288E-5</v>
      </c>
      <c r="C83" s="8">
        <v>3.4561308749999999</v>
      </c>
      <c r="D83" s="2">
        <v>1</v>
      </c>
      <c r="E83" s="9">
        <f t="shared" si="35"/>
        <v>1.6666666666666666E-2</v>
      </c>
      <c r="F83" s="8">
        <f t="shared" si="29"/>
        <v>9.3024784430381327E-7</v>
      </c>
      <c r="G83" s="60">
        <f>17.285*F83^0.664</f>
        <v>1.7093023994707046E-3</v>
      </c>
      <c r="I83" s="19">
        <v>44781.834027777775</v>
      </c>
      <c r="J83">
        <v>5.0688171603719496E-4</v>
      </c>
      <c r="K83" s="21">
        <v>7.0321962280000001</v>
      </c>
      <c r="L83" s="2">
        <v>561</v>
      </c>
      <c r="M83" s="23">
        <f t="shared" si="37"/>
        <v>9.35</v>
      </c>
      <c r="N83" s="20">
        <f t="shared" si="30"/>
        <v>4.7393440449477724E-3</v>
      </c>
      <c r="O83" s="65">
        <f t="shared" si="38"/>
        <v>0.49470499232312443</v>
      </c>
      <c r="Q83" s="27">
        <v>45136.822916666664</v>
      </c>
      <c r="R83" s="51">
        <v>3.1384658969815602E-3</v>
      </c>
      <c r="S83" s="47">
        <v>1.8086265969999999</v>
      </c>
      <c r="T83" s="2">
        <v>14138</v>
      </c>
      <c r="U83" s="29">
        <f t="shared" si="39"/>
        <v>235.63333333333333</v>
      </c>
      <c r="V83" s="29">
        <f t="shared" si="31"/>
        <v>0.73952718085875491</v>
      </c>
      <c r="W83" s="70">
        <f t="shared" si="40"/>
        <v>14.146693145756279</v>
      </c>
      <c r="Y83" s="32">
        <v>45151.833333333336</v>
      </c>
      <c r="Z83">
        <v>2.2207613412504601E-3</v>
      </c>
      <c r="AA83" s="34">
        <v>1.9748874890000001</v>
      </c>
      <c r="AB83" s="2">
        <v>9458</v>
      </c>
      <c r="AC83" s="33">
        <f t="shared" si="41"/>
        <v>157.63333333333333</v>
      </c>
      <c r="AD83" s="105">
        <f t="shared" si="32"/>
        <v>0.3500660127591142</v>
      </c>
      <c r="AE83" s="77">
        <f t="shared" si="42"/>
        <v>8.6096391460387842</v>
      </c>
      <c r="AG83" s="38">
        <v>45166.833333333336</v>
      </c>
      <c r="AH83" s="111">
        <v>2.8222888529127301E-3</v>
      </c>
      <c r="AI83" s="50">
        <v>0.77321039300000005</v>
      </c>
      <c r="AJ83" s="2">
        <v>7033</v>
      </c>
      <c r="AK83" s="40">
        <f t="shared" si="43"/>
        <v>117.21666666666667</v>
      </c>
      <c r="AL83" s="49">
        <f t="shared" si="33"/>
        <v>0.33081929170892049</v>
      </c>
      <c r="AM83" s="73">
        <f t="shared" si="44"/>
        <v>8.2923513174252683</v>
      </c>
      <c r="AO83" s="43">
        <v>45183.833333333336</v>
      </c>
      <c r="AP83" s="111">
        <v>1.7965208804092799E-2</v>
      </c>
      <c r="AQ83" s="46">
        <v>2.0619739560000001</v>
      </c>
      <c r="AR83" s="2">
        <v>9528</v>
      </c>
      <c r="AS83" s="45">
        <f t="shared" si="45"/>
        <v>158.80000000000001</v>
      </c>
      <c r="AT83" s="45">
        <f t="shared" si="34"/>
        <v>2.8528751580899367</v>
      </c>
      <c r="AU83" s="80">
        <f t="shared" si="46"/>
        <v>34.671860081955828</v>
      </c>
      <c r="AW83" s="7">
        <v>45038</v>
      </c>
      <c r="AX83" s="51">
        <v>3.1397929818446201E-3</v>
      </c>
      <c r="AY83" s="16">
        <v>71.17580074</v>
      </c>
      <c r="AZ83" s="2">
        <v>39271</v>
      </c>
      <c r="BA83" s="16">
        <f t="shared" si="47"/>
        <v>654.51666666666665</v>
      </c>
      <c r="BB83" s="9">
        <f t="shared" si="48"/>
        <v>2.0550468365003347</v>
      </c>
      <c r="BC83" s="119">
        <f t="shared" si="49"/>
        <v>27.885793616798793</v>
      </c>
      <c r="BE83" s="6"/>
      <c r="BG83" s="4"/>
      <c r="BH83" s="2"/>
      <c r="BI83" s="5"/>
      <c r="BJ83" s="102"/>
      <c r="BK83" s="102"/>
      <c r="BM83" s="104"/>
      <c r="BO83" s="102"/>
      <c r="BP83" s="2"/>
      <c r="BQ83" s="102"/>
      <c r="BR83" s="4"/>
      <c r="BS83" s="5"/>
      <c r="BU83" s="6"/>
      <c r="BV83" s="103"/>
      <c r="BW83" s="102"/>
      <c r="BY83" s="102"/>
      <c r="BZ83" s="102"/>
      <c r="CA83" s="102"/>
    </row>
    <row r="84" spans="1:79" x14ac:dyDescent="0.3">
      <c r="A84" s="7">
        <v>44776.844444444447</v>
      </c>
      <c r="B84" s="89">
        <v>4.5000964263210298E-5</v>
      </c>
      <c r="C84" s="8">
        <v>3.188326338</v>
      </c>
      <c r="D84" s="2">
        <v>0</v>
      </c>
      <c r="E84" s="9">
        <f t="shared" si="35"/>
        <v>0</v>
      </c>
      <c r="F84" s="8">
        <f t="shared" si="29"/>
        <v>0</v>
      </c>
      <c r="G84" s="60">
        <f t="shared" ref="G84:G94" si="50">17.285*F84^0.664</f>
        <v>0</v>
      </c>
      <c r="I84" s="19">
        <v>44781.844444444447</v>
      </c>
      <c r="J84">
        <v>6.1092601709592399E-4</v>
      </c>
      <c r="K84" s="21">
        <v>7.4050236140000001</v>
      </c>
      <c r="L84" s="2">
        <v>901</v>
      </c>
      <c r="M84" s="23">
        <f t="shared" si="37"/>
        <v>15.016666666666667</v>
      </c>
      <c r="N84" s="20">
        <f t="shared" si="30"/>
        <v>9.174072356723793E-3</v>
      </c>
      <c r="O84" s="65">
        <f t="shared" si="38"/>
        <v>0.76702701256827055</v>
      </c>
      <c r="Q84" s="27">
        <v>45136.833333333336</v>
      </c>
      <c r="R84" s="51">
        <v>3.4457087444302302E-3</v>
      </c>
      <c r="S84" s="47">
        <v>1.8086265969999999</v>
      </c>
      <c r="T84" s="2">
        <v>13930</v>
      </c>
      <c r="U84" s="29">
        <f t="shared" si="39"/>
        <v>232.16666666666666</v>
      </c>
      <c r="V84" s="29">
        <f t="shared" si="31"/>
        <v>0.79997871349855176</v>
      </c>
      <c r="W84" s="70">
        <f t="shared" si="40"/>
        <v>14.904364466431232</v>
      </c>
      <c r="Y84" s="32">
        <v>45151.84375</v>
      </c>
      <c r="Z84">
        <v>2.8563371810255301E-3</v>
      </c>
      <c r="AA84" s="34">
        <v>1.730820966</v>
      </c>
      <c r="AB84" s="2">
        <v>12701</v>
      </c>
      <c r="AC84" s="33">
        <f t="shared" si="41"/>
        <v>211.68333333333334</v>
      </c>
      <c r="AD84" s="105">
        <f t="shared" si="32"/>
        <v>0.60463897560342095</v>
      </c>
      <c r="AE84" s="77">
        <f t="shared" si="42"/>
        <v>12.376071793224607</v>
      </c>
      <c r="AG84" s="38">
        <v>45166.84375</v>
      </c>
      <c r="AH84" s="111">
        <v>1.7054373092604499E-3</v>
      </c>
      <c r="AI84" s="50">
        <v>0.59425534599999996</v>
      </c>
      <c r="AJ84" s="2">
        <v>3838</v>
      </c>
      <c r="AK84" s="40">
        <f t="shared" si="43"/>
        <v>63.966666666666669</v>
      </c>
      <c r="AL84" s="49">
        <f t="shared" si="33"/>
        <v>0.10909113988236012</v>
      </c>
      <c r="AM84" s="73">
        <f t="shared" si="44"/>
        <v>3.9697357497017856</v>
      </c>
      <c r="AO84" s="43">
        <v>45183.84375</v>
      </c>
      <c r="AP84" s="111">
        <v>1.6009443915172498E-2</v>
      </c>
      <c r="AQ84" s="46">
        <v>1.88950475</v>
      </c>
      <c r="AR84" s="2">
        <v>10736</v>
      </c>
      <c r="AS84" s="45">
        <f t="shared" si="45"/>
        <v>178.93333333333334</v>
      </c>
      <c r="AT84" s="45">
        <f t="shared" si="34"/>
        <v>2.8646231645548657</v>
      </c>
      <c r="AU84" s="80">
        <f t="shared" si="46"/>
        <v>34.766598608169012</v>
      </c>
      <c r="AW84" s="7">
        <v>45038.010416666664</v>
      </c>
      <c r="AX84" s="51">
        <v>3.0481713910918101E-3</v>
      </c>
      <c r="AY84" s="16">
        <v>67.557775419999999</v>
      </c>
      <c r="AZ84" s="2">
        <v>38852</v>
      </c>
      <c r="BA84" s="16">
        <f t="shared" si="47"/>
        <v>647.5333333333333</v>
      </c>
      <c r="BB84" s="9">
        <f t="shared" si="48"/>
        <v>1.9737925814449833</v>
      </c>
      <c r="BC84" s="119">
        <f t="shared" si="49"/>
        <v>27.148734355944857</v>
      </c>
      <c r="BE84" s="6"/>
      <c r="BG84" s="4"/>
      <c r="BH84" s="2"/>
      <c r="BI84" s="5"/>
      <c r="BJ84" s="102"/>
      <c r="BK84" s="102"/>
      <c r="BM84" s="104"/>
      <c r="BO84" s="102"/>
      <c r="BP84" s="2"/>
      <c r="BQ84" s="102"/>
      <c r="BR84" s="4"/>
      <c r="BS84" s="5"/>
      <c r="BU84" s="6"/>
      <c r="BV84" s="103"/>
      <c r="BW84" s="102"/>
      <c r="BY84" s="102"/>
      <c r="BZ84" s="102"/>
      <c r="CA84" s="102"/>
    </row>
    <row r="85" spans="1:79" x14ac:dyDescent="0.3">
      <c r="A85" s="7">
        <v>44776.854861111111</v>
      </c>
      <c r="B85" s="89">
        <v>3.0130741794009601E-5</v>
      </c>
      <c r="C85" s="8">
        <v>2.8661624744999998</v>
      </c>
      <c r="D85" s="2">
        <v>0</v>
      </c>
      <c r="E85" s="9">
        <f t="shared" si="35"/>
        <v>0</v>
      </c>
      <c r="F85" s="8">
        <f t="shared" si="29"/>
        <v>0</v>
      </c>
      <c r="G85" s="60">
        <f t="shared" si="50"/>
        <v>0</v>
      </c>
      <c r="I85" s="19">
        <v>44781.854861111111</v>
      </c>
      <c r="J85">
        <v>3.4973643501518302E-4</v>
      </c>
      <c r="K85" s="21">
        <v>6.3432970429999997</v>
      </c>
      <c r="L85" s="2">
        <v>302</v>
      </c>
      <c r="M85" s="23">
        <f t="shared" si="37"/>
        <v>5.0333333333333332</v>
      </c>
      <c r="N85" s="20">
        <f t="shared" si="30"/>
        <v>1.7603400562430879E-3</v>
      </c>
      <c r="O85" s="65">
        <f t="shared" si="38"/>
        <v>0.25629817117904702</v>
      </c>
      <c r="Q85" s="27">
        <v>45136.84375</v>
      </c>
      <c r="R85" s="51">
        <v>5.5822349392978497E-3</v>
      </c>
      <c r="S85" s="47">
        <v>2.1522282119999998</v>
      </c>
      <c r="T85" s="2">
        <v>18291</v>
      </c>
      <c r="U85" s="29">
        <f t="shared" si="39"/>
        <v>304.85000000000002</v>
      </c>
      <c r="V85" s="29">
        <f t="shared" si="31"/>
        <v>1.7017443212449497</v>
      </c>
      <c r="W85" s="70">
        <f t="shared" si="40"/>
        <v>24.602724630377963</v>
      </c>
      <c r="Y85" s="83">
        <v>45151.854166666664</v>
      </c>
      <c r="Z85" s="58">
        <v>5.0179215065190904E-3</v>
      </c>
      <c r="AA85" s="112">
        <v>1.9734137430000001</v>
      </c>
      <c r="AB85" s="90">
        <v>19213</v>
      </c>
      <c r="AC85" s="113">
        <f t="shared" si="41"/>
        <v>320.21666666666664</v>
      </c>
      <c r="AD85" s="87">
        <f t="shared" si="32"/>
        <v>1.6068220984125212</v>
      </c>
      <c r="AE85" s="114">
        <f t="shared" si="42"/>
        <v>23.682742902684787</v>
      </c>
      <c r="AG85" s="38">
        <v>45166.854166666664</v>
      </c>
      <c r="AH85" s="111">
        <v>1.88702497978177E-3</v>
      </c>
      <c r="AI85" s="50">
        <v>0.59425534599999996</v>
      </c>
      <c r="AJ85" s="2">
        <v>3976</v>
      </c>
      <c r="AK85" s="40">
        <f t="shared" si="43"/>
        <v>66.266666666666666</v>
      </c>
      <c r="AL85" s="49">
        <f t="shared" si="33"/>
        <v>0.12504685532687196</v>
      </c>
      <c r="AM85" s="73">
        <f t="shared" si="44"/>
        <v>4.346360110239412</v>
      </c>
      <c r="AO85" s="43">
        <v>45183.854166666664</v>
      </c>
      <c r="AP85" s="111">
        <v>1.45655787382096E-2</v>
      </c>
      <c r="AQ85" s="46">
        <v>1.5821856839999999</v>
      </c>
      <c r="AR85" s="2">
        <v>11999</v>
      </c>
      <c r="AS85" s="45">
        <f t="shared" si="45"/>
        <v>199.98333333333332</v>
      </c>
      <c r="AT85" s="45">
        <f t="shared" si="34"/>
        <v>2.9128729879962831</v>
      </c>
      <c r="AU85" s="80">
        <f t="shared" si="46"/>
        <v>35.154335396860525</v>
      </c>
      <c r="AW85" s="7">
        <v>45038.020833333336</v>
      </c>
      <c r="AX85" s="51">
        <v>2.8985904047466701E-3</v>
      </c>
      <c r="AY85" s="16">
        <v>66.195962919999999</v>
      </c>
      <c r="AZ85" s="2">
        <v>39404</v>
      </c>
      <c r="BA85" s="16">
        <f t="shared" si="47"/>
        <v>656.73333333333335</v>
      </c>
      <c r="BB85" s="9">
        <f t="shared" si="48"/>
        <v>1.9036009384772965</v>
      </c>
      <c r="BC85" s="119">
        <f t="shared" si="49"/>
        <v>26.503778189604763</v>
      </c>
      <c r="BE85" s="6"/>
      <c r="BG85" s="4"/>
      <c r="BH85" s="2"/>
      <c r="BI85" s="5"/>
      <c r="BJ85" s="102"/>
      <c r="BK85" s="102"/>
      <c r="BM85" s="104"/>
      <c r="BO85" s="102"/>
      <c r="BP85" s="2"/>
      <c r="BQ85" s="102"/>
      <c r="BR85" s="4"/>
      <c r="BS85" s="5"/>
      <c r="BU85" s="6"/>
      <c r="BV85" s="103"/>
      <c r="BW85" s="102"/>
      <c r="BY85" s="102"/>
      <c r="BZ85" s="102"/>
      <c r="CA85" s="102"/>
    </row>
    <row r="86" spans="1:79" x14ac:dyDescent="0.3">
      <c r="A86" s="7">
        <v>44776.865277777775</v>
      </c>
      <c r="B86" s="89">
        <v>2.1020868956811798E-5</v>
      </c>
      <c r="C86" s="8">
        <v>2.6512377974999999</v>
      </c>
      <c r="D86" s="2">
        <v>0</v>
      </c>
      <c r="E86" s="9">
        <f t="shared" si="35"/>
        <v>0</v>
      </c>
      <c r="F86" s="8">
        <f t="shared" si="29"/>
        <v>0</v>
      </c>
      <c r="G86" s="60">
        <f t="shared" si="50"/>
        <v>0</v>
      </c>
      <c r="I86" s="19">
        <v>44781.865277777775</v>
      </c>
      <c r="J86">
        <v>1.30968077187232E-4</v>
      </c>
      <c r="K86" s="21">
        <v>4.9490583829999997</v>
      </c>
      <c r="L86" s="2">
        <v>44</v>
      </c>
      <c r="M86" s="23">
        <f t="shared" si="37"/>
        <v>0.73333333333333328</v>
      </c>
      <c r="N86" s="20">
        <f t="shared" si="30"/>
        <v>9.604325660397013E-5</v>
      </c>
      <c r="O86" s="65">
        <f t="shared" si="38"/>
        <v>3.715586622383623E-2</v>
      </c>
      <c r="Q86" s="27">
        <v>45136.854166666664</v>
      </c>
      <c r="R86" s="51">
        <v>5.1405047709627899E-3</v>
      </c>
      <c r="S86" s="47">
        <v>1.88950475</v>
      </c>
      <c r="T86" s="2">
        <v>15386</v>
      </c>
      <c r="U86" s="29">
        <f t="shared" si="39"/>
        <v>256.43333333333334</v>
      </c>
      <c r="V86" s="29">
        <f t="shared" si="31"/>
        <v>1.3181967734338915</v>
      </c>
      <c r="W86" s="70">
        <f t="shared" si="40"/>
        <v>20.765207062359003</v>
      </c>
      <c r="Y86" s="32">
        <v>45151.864583333336</v>
      </c>
      <c r="Z86">
        <v>4.7194457998728503E-3</v>
      </c>
      <c r="AA86" s="34">
        <v>2.44355038</v>
      </c>
      <c r="AB86" s="2">
        <v>18952</v>
      </c>
      <c r="AC86" s="33">
        <f t="shared" si="41"/>
        <v>315.86666666666667</v>
      </c>
      <c r="AD86" s="105">
        <f t="shared" si="32"/>
        <v>1.4907156133198376</v>
      </c>
      <c r="AE86" s="77">
        <f t="shared" si="42"/>
        <v>22.532196561619589</v>
      </c>
      <c r="AG86" s="38">
        <v>45166.864583333336</v>
      </c>
      <c r="AH86" s="111">
        <v>2.1104833031491098E-3</v>
      </c>
      <c r="AI86" s="50">
        <v>0.59425534599999996</v>
      </c>
      <c r="AJ86" s="2">
        <v>3838</v>
      </c>
      <c r="AK86" s="40">
        <f t="shared" si="43"/>
        <v>63.966666666666669</v>
      </c>
      <c r="AL86" s="49">
        <f t="shared" si="33"/>
        <v>0.13500058195810472</v>
      </c>
      <c r="AM86" s="73">
        <f t="shared" si="44"/>
        <v>4.5731163326647994</v>
      </c>
      <c r="AO86" s="43">
        <v>45183.864583333336</v>
      </c>
      <c r="AP86" s="111">
        <v>1.7498216701283799E-2</v>
      </c>
      <c r="AQ86" s="46">
        <v>1.5821856839999999</v>
      </c>
      <c r="AR86" s="2">
        <v>11822</v>
      </c>
      <c r="AS86" s="45">
        <f t="shared" si="45"/>
        <v>197.03333333333333</v>
      </c>
      <c r="AT86" s="45">
        <f t="shared" si="34"/>
        <v>3.4477319640429513</v>
      </c>
      <c r="AU86" s="80">
        <f t="shared" si="46"/>
        <v>39.318018684260039</v>
      </c>
      <c r="AW86" s="7">
        <v>45038.03125</v>
      </c>
      <c r="AX86" s="51">
        <v>3.0768786923476999E-3</v>
      </c>
      <c r="AY86" s="16">
        <v>66.195962919999999</v>
      </c>
      <c r="AZ86" s="2">
        <v>38585</v>
      </c>
      <c r="BA86" s="16">
        <f t="shared" si="47"/>
        <v>643.08333333333337</v>
      </c>
      <c r="BB86" s="9">
        <f t="shared" si="48"/>
        <v>1.9786894057372668</v>
      </c>
      <c r="BC86" s="119">
        <f t="shared" si="49"/>
        <v>27.193438710246916</v>
      </c>
      <c r="BE86" s="6"/>
      <c r="BG86" s="4"/>
      <c r="BH86" s="2"/>
      <c r="BI86" s="5"/>
      <c r="BJ86" s="102"/>
      <c r="BK86" s="102"/>
      <c r="BM86" s="104"/>
      <c r="BO86" s="102"/>
      <c r="BP86" s="2"/>
      <c r="BQ86" s="102"/>
      <c r="BR86" s="4"/>
      <c r="BS86" s="5"/>
      <c r="BU86" s="6"/>
      <c r="BV86" s="103"/>
      <c r="BW86" s="102"/>
      <c r="BY86" s="102"/>
      <c r="BZ86" s="102"/>
      <c r="CA86" s="102"/>
    </row>
    <row r="87" spans="1:79" x14ac:dyDescent="0.3">
      <c r="A87" s="7">
        <v>44776.875694444447</v>
      </c>
      <c r="B87" s="89">
        <v>2.0632970383662501E-5</v>
      </c>
      <c r="C87" s="8">
        <v>2.6445850609999999</v>
      </c>
      <c r="D87" s="2">
        <v>0</v>
      </c>
      <c r="E87" s="9">
        <f t="shared" si="35"/>
        <v>0</v>
      </c>
      <c r="F87" s="8">
        <f t="shared" si="29"/>
        <v>0</v>
      </c>
      <c r="G87" s="60">
        <f t="shared" si="50"/>
        <v>0</v>
      </c>
      <c r="I87" s="19">
        <v>44781.875694444447</v>
      </c>
      <c r="J87">
        <v>3.5556397310524898E-4</v>
      </c>
      <c r="K87" s="21">
        <v>6.3638281955</v>
      </c>
      <c r="L87" s="2">
        <v>314</v>
      </c>
      <c r="M87" s="23">
        <f t="shared" si="37"/>
        <v>5.2333333333333334</v>
      </c>
      <c r="N87" s="20">
        <f t="shared" si="30"/>
        <v>1.8607847925841364E-3</v>
      </c>
      <c r="O87" s="65">
        <f t="shared" si="38"/>
        <v>0.26591793293736532</v>
      </c>
      <c r="Q87" s="27">
        <v>45136.864583333336</v>
      </c>
      <c r="R87" s="51">
        <v>4.3701006877654696E-3</v>
      </c>
      <c r="S87" s="47">
        <v>2.1522282119999998</v>
      </c>
      <c r="T87" s="2">
        <v>18351</v>
      </c>
      <c r="U87" s="29">
        <f t="shared" si="39"/>
        <v>305.85000000000002</v>
      </c>
      <c r="V87" s="29">
        <f t="shared" si="31"/>
        <v>1.3365952953530689</v>
      </c>
      <c r="W87" s="70">
        <f t="shared" si="40"/>
        <v>20.957203771572139</v>
      </c>
      <c r="Y87" s="32">
        <v>45151.875</v>
      </c>
      <c r="Z87">
        <v>2.8746919892062E-3</v>
      </c>
      <c r="AA87" s="34">
        <v>2.44355038</v>
      </c>
      <c r="AB87" s="2">
        <v>13111</v>
      </c>
      <c r="AC87" s="33">
        <f t="shared" si="41"/>
        <v>218.51666666666668</v>
      </c>
      <c r="AD87" s="105">
        <f t="shared" si="32"/>
        <v>0.62816811117470817</v>
      </c>
      <c r="AE87" s="77">
        <f t="shared" si="42"/>
        <v>12.693803525240305</v>
      </c>
      <c r="AG87" s="38">
        <v>45166.875</v>
      </c>
      <c r="AH87" s="111">
        <v>1.75239644214515E-3</v>
      </c>
      <c r="AI87" s="50">
        <v>0.59425534599999996</v>
      </c>
      <c r="AJ87" s="2">
        <v>3702</v>
      </c>
      <c r="AK87" s="40">
        <f t="shared" si="43"/>
        <v>61.7</v>
      </c>
      <c r="AL87" s="49">
        <f t="shared" si="33"/>
        <v>0.10812286048035576</v>
      </c>
      <c r="AM87" s="73">
        <f t="shared" si="44"/>
        <v>3.9463047631227917</v>
      </c>
      <c r="AO87" s="43">
        <v>45183.875</v>
      </c>
      <c r="AP87" s="111">
        <v>1.40920297116135E-2</v>
      </c>
      <c r="AQ87" s="46">
        <v>1.5821856839999999</v>
      </c>
      <c r="AR87" s="2">
        <v>11695</v>
      </c>
      <c r="AS87" s="45">
        <f t="shared" si="45"/>
        <v>194.91666666666666</v>
      </c>
      <c r="AT87" s="45">
        <f t="shared" si="34"/>
        <v>2.7467714579553313</v>
      </c>
      <c r="AU87" s="80">
        <f t="shared" si="46"/>
        <v>33.810184532048787</v>
      </c>
      <c r="AW87" s="7">
        <v>45038.041666666664</v>
      </c>
      <c r="AX87" s="51">
        <v>3.0271097282559799E-3</v>
      </c>
      <c r="AY87" s="16">
        <v>74.312865549999998</v>
      </c>
      <c r="AZ87" s="2">
        <v>38632</v>
      </c>
      <c r="BA87" s="16">
        <f t="shared" si="47"/>
        <v>643.86666666666667</v>
      </c>
      <c r="BB87" s="9">
        <f t="shared" si="48"/>
        <v>1.949055050366417</v>
      </c>
      <c r="BC87" s="119">
        <f t="shared" si="49"/>
        <v>26.92232670285307</v>
      </c>
      <c r="BE87" s="6"/>
      <c r="BG87" s="4"/>
      <c r="BH87" s="2"/>
      <c r="BI87" s="5"/>
      <c r="BJ87" s="102"/>
      <c r="BK87" s="102"/>
      <c r="BM87" s="104"/>
      <c r="BO87" s="102"/>
      <c r="BP87" s="2"/>
      <c r="BQ87" s="102"/>
      <c r="BR87" s="4"/>
      <c r="BS87" s="5"/>
      <c r="BU87" s="6"/>
      <c r="BV87" s="103"/>
      <c r="BW87" s="102"/>
      <c r="BY87" s="102"/>
      <c r="BZ87" s="102"/>
      <c r="CA87" s="102"/>
    </row>
    <row r="88" spans="1:79" x14ac:dyDescent="0.3">
      <c r="A88" s="7">
        <v>44776.917361111111</v>
      </c>
      <c r="B88" s="89">
        <v>1.7944875951429599E-5</v>
      </c>
      <c r="C88" s="8">
        <v>2.3885584199999998</v>
      </c>
      <c r="D88" s="2">
        <v>0</v>
      </c>
      <c r="E88" s="9">
        <f t="shared" si="35"/>
        <v>0</v>
      </c>
      <c r="F88" s="8">
        <f t="shared" si="29"/>
        <v>0</v>
      </c>
      <c r="G88" s="60">
        <f t="shared" si="50"/>
        <v>0</v>
      </c>
      <c r="I88" s="19">
        <v>44781.886111111111</v>
      </c>
      <c r="J88">
        <v>4.0571525773627098E-4</v>
      </c>
      <c r="K88" s="21">
        <v>6.4040720625000001</v>
      </c>
      <c r="L88" s="2">
        <v>341</v>
      </c>
      <c r="M88" s="23">
        <f t="shared" si="37"/>
        <v>5.6833333333333336</v>
      </c>
      <c r="N88" s="20">
        <f t="shared" si="30"/>
        <v>2.3058150481344735E-3</v>
      </c>
      <c r="O88" s="65">
        <f t="shared" si="38"/>
        <v>0.3066089524745983</v>
      </c>
      <c r="Q88" s="27">
        <v>45136.875</v>
      </c>
      <c r="R88" s="51">
        <v>4.8201406920463799E-3</v>
      </c>
      <c r="S88" s="47">
        <v>2.3419653060000001</v>
      </c>
      <c r="T88" s="2">
        <v>20556</v>
      </c>
      <c r="U88" s="29">
        <f t="shared" si="39"/>
        <v>342.6</v>
      </c>
      <c r="V88" s="29">
        <f t="shared" si="31"/>
        <v>1.65138020109509</v>
      </c>
      <c r="W88" s="70">
        <f t="shared" si="40"/>
        <v>24.116808819029227</v>
      </c>
      <c r="Y88" s="32">
        <v>45151.885416666664</v>
      </c>
      <c r="Z88">
        <v>2.2522501253358202E-3</v>
      </c>
      <c r="AA88" s="34">
        <v>1.9734137430000001</v>
      </c>
      <c r="AB88" s="2">
        <v>9918</v>
      </c>
      <c r="AC88" s="33">
        <f t="shared" si="41"/>
        <v>165.3</v>
      </c>
      <c r="AD88" s="105">
        <f t="shared" si="32"/>
        <v>0.37229694571801109</v>
      </c>
      <c r="AE88" s="77">
        <f t="shared" si="42"/>
        <v>8.9689167764839492</v>
      </c>
      <c r="AG88" s="38">
        <v>45166.885416666664</v>
      </c>
      <c r="AH88" s="111">
        <v>1.64121561276101E-3</v>
      </c>
      <c r="AI88" s="50">
        <v>0.53251963199999997</v>
      </c>
      <c r="AJ88" s="2">
        <v>2974</v>
      </c>
      <c r="AK88" s="40">
        <f t="shared" si="43"/>
        <v>49.56666666666667</v>
      </c>
      <c r="AL88" s="49">
        <f t="shared" si="33"/>
        <v>8.1349587205854071E-2</v>
      </c>
      <c r="AM88" s="73">
        <f t="shared" si="44"/>
        <v>3.2669714456354386</v>
      </c>
      <c r="AO88" s="43">
        <v>45183.885416666664</v>
      </c>
      <c r="AP88" s="111">
        <v>1.8007789209667099E-2</v>
      </c>
      <c r="AQ88" s="46">
        <v>1.5821856839999999</v>
      </c>
      <c r="AR88" s="2">
        <v>11389</v>
      </c>
      <c r="AS88" s="45">
        <f t="shared" si="45"/>
        <v>189.81666666666666</v>
      </c>
      <c r="AT88" s="45">
        <f t="shared" si="34"/>
        <v>3.4181785218149767</v>
      </c>
      <c r="AU88" s="80">
        <f t="shared" si="46"/>
        <v>39.093908474422086</v>
      </c>
      <c r="AW88" s="7">
        <v>45038.052083333336</v>
      </c>
      <c r="AX88" s="51">
        <v>2.9655621044067698E-3</v>
      </c>
      <c r="AY88" s="16">
        <v>68.466857000000005</v>
      </c>
      <c r="AZ88" s="2">
        <v>38983</v>
      </c>
      <c r="BA88" s="16">
        <f t="shared" si="47"/>
        <v>649.7166666666667</v>
      </c>
      <c r="BB88" s="9">
        <f t="shared" si="48"/>
        <v>1.926775125268152</v>
      </c>
      <c r="BC88" s="119">
        <f t="shared" si="49"/>
        <v>26.717584303023013</v>
      </c>
      <c r="BE88" s="6"/>
      <c r="BG88" s="4"/>
      <c r="BH88" s="2"/>
      <c r="BI88" s="5"/>
      <c r="BJ88" s="102"/>
      <c r="BK88" s="102"/>
      <c r="BM88" s="104"/>
      <c r="BO88" s="102"/>
      <c r="BP88" s="2"/>
      <c r="BQ88" s="102"/>
      <c r="BR88" s="4"/>
      <c r="BS88" s="5"/>
      <c r="BU88" s="6"/>
      <c r="BV88" s="103"/>
      <c r="BW88" s="102"/>
      <c r="BY88" s="102"/>
      <c r="BZ88" s="102"/>
      <c r="CA88" s="102"/>
    </row>
    <row r="89" spans="1:79" x14ac:dyDescent="0.3">
      <c r="A89" s="7">
        <v>44776.948611111111</v>
      </c>
      <c r="B89" s="89">
        <v>1.99608362478804E-5</v>
      </c>
      <c r="C89" s="8">
        <v>2.4828400044999999</v>
      </c>
      <c r="D89" s="2">
        <v>0</v>
      </c>
      <c r="E89" s="9">
        <f t="shared" si="35"/>
        <v>0</v>
      </c>
      <c r="F89" s="8">
        <f t="shared" si="29"/>
        <v>0</v>
      </c>
      <c r="G89" s="60">
        <f t="shared" si="50"/>
        <v>0</v>
      </c>
      <c r="I89" s="19">
        <v>44781.896527777775</v>
      </c>
      <c r="J89">
        <v>1.68088015066737E-4</v>
      </c>
      <c r="K89" s="21">
        <v>5.2612970189999997</v>
      </c>
      <c r="L89" s="2">
        <v>69</v>
      </c>
      <c r="M89" s="23">
        <f t="shared" si="37"/>
        <v>1.1499999999999999</v>
      </c>
      <c r="N89" s="20">
        <f t="shared" si="30"/>
        <v>1.9330121732674752E-4</v>
      </c>
      <c r="O89" s="65">
        <f t="shared" si="38"/>
        <v>5.9119282007881614E-2</v>
      </c>
      <c r="Q89" s="27">
        <v>45136.885416666664</v>
      </c>
      <c r="R89" s="51">
        <v>2.7456971131092798E-3</v>
      </c>
      <c r="S89" s="47">
        <v>1.654461261</v>
      </c>
      <c r="T89" s="2">
        <v>12283</v>
      </c>
      <c r="U89" s="29">
        <f t="shared" si="39"/>
        <v>204.71666666666667</v>
      </c>
      <c r="V89" s="29">
        <f t="shared" si="31"/>
        <v>0.56208996067202144</v>
      </c>
      <c r="W89" s="70">
        <f t="shared" si="40"/>
        <v>11.790723473778913</v>
      </c>
      <c r="Y89" s="32">
        <v>45151.895833333336</v>
      </c>
      <c r="Z89">
        <v>1.69537278221163E-3</v>
      </c>
      <c r="AA89" s="34">
        <v>1.729502407</v>
      </c>
      <c r="AB89" s="2">
        <v>7024</v>
      </c>
      <c r="AC89" s="33">
        <f t="shared" si="41"/>
        <v>117.06666666666666</v>
      </c>
      <c r="AD89" s="105">
        <f t="shared" si="32"/>
        <v>0.19847164037090814</v>
      </c>
      <c r="AE89" s="77">
        <f t="shared" si="42"/>
        <v>5.9066489577282795</v>
      </c>
      <c r="AG89" s="38">
        <v>45166.895833333336</v>
      </c>
      <c r="AH89" s="111">
        <v>1.58268449007489E-3</v>
      </c>
      <c r="AI89" s="50">
        <v>0.53251963199999997</v>
      </c>
      <c r="AJ89" s="2">
        <v>3228</v>
      </c>
      <c r="AK89" s="40">
        <f t="shared" si="43"/>
        <v>53.8</v>
      </c>
      <c r="AL89" s="49">
        <f t="shared" si="33"/>
        <v>8.5148425566029071E-2</v>
      </c>
      <c r="AM89" s="73">
        <f t="shared" si="44"/>
        <v>3.3674926844242834</v>
      </c>
      <c r="AO89" s="43">
        <v>45183.895833333336</v>
      </c>
      <c r="AP89" s="111">
        <v>1.6944175696102001E-2</v>
      </c>
      <c r="AQ89" s="46">
        <v>1.5821856839999999</v>
      </c>
      <c r="AR89" s="2">
        <v>11567</v>
      </c>
      <c r="AS89" s="45">
        <f t="shared" si="45"/>
        <v>192.78333333333333</v>
      </c>
      <c r="AT89" s="45">
        <f t="shared" si="34"/>
        <v>3.2665546712801974</v>
      </c>
      <c r="AU89" s="80">
        <f t="shared" si="46"/>
        <v>37.933690651702335</v>
      </c>
      <c r="AW89" s="7">
        <v>45038.0625</v>
      </c>
      <c r="AX89" s="51">
        <v>2.9367399765546699E-3</v>
      </c>
      <c r="AY89" s="16">
        <v>69.822823</v>
      </c>
      <c r="AZ89" s="2">
        <v>38268</v>
      </c>
      <c r="BA89" s="16">
        <f t="shared" si="47"/>
        <v>637.79999999999995</v>
      </c>
      <c r="BB89" s="9">
        <f t="shared" si="48"/>
        <v>1.8730527570465683</v>
      </c>
      <c r="BC89" s="119">
        <f t="shared" si="49"/>
        <v>26.220597899693214</v>
      </c>
      <c r="BE89" s="6"/>
      <c r="BG89" s="4"/>
      <c r="BH89" s="2"/>
      <c r="BI89" s="5"/>
      <c r="BJ89" s="102"/>
      <c r="BK89" s="102"/>
      <c r="BM89" s="104"/>
      <c r="BO89" s="102"/>
      <c r="BP89" s="2"/>
      <c r="BQ89" s="102"/>
      <c r="BR89" s="4"/>
      <c r="BS89" s="5"/>
      <c r="BU89" s="6"/>
      <c r="BV89" s="103"/>
      <c r="BW89" s="102"/>
      <c r="BY89" s="102"/>
      <c r="BZ89" s="102"/>
      <c r="CA89" s="102"/>
    </row>
    <row r="90" spans="1:79" x14ac:dyDescent="0.3">
      <c r="A90" s="7">
        <v>44776.959027777775</v>
      </c>
      <c r="B90" s="89">
        <v>2.1097365103920101E-5</v>
      </c>
      <c r="C90" s="8">
        <v>2.5050373965000001</v>
      </c>
      <c r="D90" s="2">
        <v>0</v>
      </c>
      <c r="E90" s="9">
        <f t="shared" si="35"/>
        <v>0</v>
      </c>
      <c r="F90" s="8">
        <f t="shared" si="29"/>
        <v>0</v>
      </c>
      <c r="G90" s="60">
        <f t="shared" si="50"/>
        <v>0</v>
      </c>
      <c r="I90" s="19">
        <v>44781.906944444447</v>
      </c>
      <c r="J90">
        <v>2.33899170623301E-4</v>
      </c>
      <c r="K90" s="21">
        <v>5.4874552459999997</v>
      </c>
      <c r="L90" s="2">
        <v>90</v>
      </c>
      <c r="M90" s="23">
        <f t="shared" si="37"/>
        <v>1.5</v>
      </c>
      <c r="N90" s="20">
        <f t="shared" si="30"/>
        <v>3.5084875593495153E-4</v>
      </c>
      <c r="O90" s="65">
        <f t="shared" si="38"/>
        <v>8.7827197436030041E-2</v>
      </c>
      <c r="Q90" s="27">
        <v>45136.895833333336</v>
      </c>
      <c r="R90" s="51">
        <v>2.8154092137314501E-3</v>
      </c>
      <c r="S90" s="47">
        <v>1.5125919880000001</v>
      </c>
      <c r="T90" s="2">
        <v>8582</v>
      </c>
      <c r="U90" s="29">
        <f t="shared" si="39"/>
        <v>143.03333333333333</v>
      </c>
      <c r="V90" s="29">
        <f t="shared" si="31"/>
        <v>0.40269736453738841</v>
      </c>
      <c r="W90" s="70">
        <f t="shared" si="40"/>
        <v>9.44877045857592</v>
      </c>
      <c r="Y90" s="32">
        <v>45151.90625</v>
      </c>
      <c r="Z90">
        <v>2.6902046059470702E-3</v>
      </c>
      <c r="AA90" s="34">
        <v>1.5821856839999999</v>
      </c>
      <c r="AB90" s="2">
        <v>12703</v>
      </c>
      <c r="AC90" s="33">
        <f t="shared" si="41"/>
        <v>211.71666666666667</v>
      </c>
      <c r="AD90" s="105">
        <f t="shared" si="32"/>
        <v>0.56956115182242717</v>
      </c>
      <c r="AE90" s="77">
        <f t="shared" si="42"/>
        <v>11.894554557670787</v>
      </c>
      <c r="AG90" s="38">
        <v>45166.90625</v>
      </c>
      <c r="AH90" s="111">
        <v>1.53493800287328E-3</v>
      </c>
      <c r="AI90" s="50">
        <v>0.44939223900000003</v>
      </c>
      <c r="AJ90" s="2">
        <v>1985</v>
      </c>
      <c r="AK90" s="40">
        <f t="shared" si="43"/>
        <v>33.083333333333336</v>
      </c>
      <c r="AL90" s="49">
        <f t="shared" si="33"/>
        <v>5.0780865595057685E-2</v>
      </c>
      <c r="AM90" s="73">
        <f t="shared" si="44"/>
        <v>2.3892095934644115</v>
      </c>
      <c r="AO90" s="43">
        <v>45183.90625</v>
      </c>
      <c r="AP90" s="111">
        <v>1.3832650860395901E-2</v>
      </c>
      <c r="AQ90" s="46">
        <v>1.3790541089999999</v>
      </c>
      <c r="AR90" s="2">
        <v>12100</v>
      </c>
      <c r="AS90" s="45">
        <f t="shared" si="45"/>
        <v>201.66666666666666</v>
      </c>
      <c r="AT90" s="45">
        <f t="shared" si="34"/>
        <v>2.7895845901798397</v>
      </c>
      <c r="AU90" s="80">
        <f t="shared" si="46"/>
        <v>34.15919561547301</v>
      </c>
      <c r="AW90" s="7">
        <v>45038.072916666664</v>
      </c>
      <c r="AX90" s="51">
        <v>3.0308106521108099E-3</v>
      </c>
      <c r="AY90" s="16">
        <v>72.077340390000003</v>
      </c>
      <c r="AZ90" s="2">
        <v>38423</v>
      </c>
      <c r="BA90" s="16">
        <f t="shared" si="47"/>
        <v>640.38333333333333</v>
      </c>
      <c r="BB90" s="9">
        <f t="shared" si="48"/>
        <v>1.9408806281008941</v>
      </c>
      <c r="BC90" s="119">
        <f t="shared" si="49"/>
        <v>26.847299267661487</v>
      </c>
      <c r="BE90" s="6"/>
      <c r="BG90" s="4"/>
      <c r="BH90" s="2"/>
      <c r="BI90" s="5"/>
      <c r="BJ90" s="102"/>
      <c r="BK90" s="102"/>
      <c r="BM90" s="104"/>
      <c r="BO90" s="102"/>
      <c r="BP90" s="2"/>
      <c r="BQ90" s="102"/>
      <c r="BR90" s="4"/>
      <c r="BS90" s="5"/>
      <c r="BU90" s="6"/>
      <c r="BV90" s="103"/>
      <c r="BW90" s="102"/>
      <c r="BY90" s="102"/>
      <c r="BZ90" s="102"/>
      <c r="CA90" s="102"/>
    </row>
    <row r="91" spans="1:79" x14ac:dyDescent="0.3">
      <c r="A91" s="7">
        <v>44776.969444444447</v>
      </c>
      <c r="B91" s="89">
        <v>1.39144874919424E-5</v>
      </c>
      <c r="C91" s="8">
        <v>2.248553292</v>
      </c>
      <c r="D91" s="2">
        <v>0</v>
      </c>
      <c r="E91" s="9">
        <f t="shared" si="35"/>
        <v>0</v>
      </c>
      <c r="F91" s="8">
        <f t="shared" si="29"/>
        <v>0</v>
      </c>
      <c r="G91" s="60">
        <f t="shared" si="50"/>
        <v>0</v>
      </c>
      <c r="I91" s="19">
        <v>44781.917361111111</v>
      </c>
      <c r="J91">
        <v>1.92992886362459E-4</v>
      </c>
      <c r="K91" s="21">
        <v>5.2076250220000002</v>
      </c>
      <c r="L91" s="2">
        <v>90</v>
      </c>
      <c r="M91" s="23">
        <f t="shared" si="37"/>
        <v>1.5</v>
      </c>
      <c r="N91" s="20">
        <f t="shared" si="30"/>
        <v>2.8948932954368849E-4</v>
      </c>
      <c r="O91" s="65">
        <f t="shared" si="38"/>
        <v>7.730247589510135E-2</v>
      </c>
      <c r="Q91" s="27">
        <v>45136.90625</v>
      </c>
      <c r="R91" s="51">
        <v>2.25603419121297E-3</v>
      </c>
      <c r="S91" s="47">
        <v>1.654461261</v>
      </c>
      <c r="T91" s="2">
        <v>10973</v>
      </c>
      <c r="U91" s="29">
        <f t="shared" si="39"/>
        <v>182.88333333333333</v>
      </c>
      <c r="V91" s="29">
        <f t="shared" si="31"/>
        <v>0.41259105300299864</v>
      </c>
      <c r="W91" s="70">
        <f t="shared" si="40"/>
        <v>9.6022837454454137</v>
      </c>
      <c r="Y91" s="32">
        <v>45151.916666666664</v>
      </c>
      <c r="Z91">
        <v>1.7173808493173E-3</v>
      </c>
      <c r="AA91" s="34">
        <v>2.0619739560000001</v>
      </c>
      <c r="AB91" s="2">
        <v>3223</v>
      </c>
      <c r="AC91" s="33">
        <f t="shared" si="41"/>
        <v>53.716666666666669</v>
      </c>
      <c r="AD91" s="105">
        <f t="shared" si="32"/>
        <v>9.2251974622494307E-2</v>
      </c>
      <c r="AE91" s="77">
        <f t="shared" si="42"/>
        <v>3.5515115330953484</v>
      </c>
      <c r="AG91" s="38">
        <v>45166.916666666664</v>
      </c>
      <c r="AH91" s="111">
        <v>1.9251273078923299E-3</v>
      </c>
      <c r="AI91" s="50">
        <v>0.475692385</v>
      </c>
      <c r="AJ91" s="2">
        <v>2403</v>
      </c>
      <c r="AK91" s="40">
        <f t="shared" si="43"/>
        <v>40.049999999999997</v>
      </c>
      <c r="AL91" s="49">
        <f t="shared" si="33"/>
        <v>7.7101348681087811E-2</v>
      </c>
      <c r="AM91" s="73">
        <f t="shared" si="44"/>
        <v>3.1526701531166244</v>
      </c>
      <c r="AO91" s="43">
        <v>45183.916666666664</v>
      </c>
      <c r="AP91" s="111">
        <v>1.45745890689844E-2</v>
      </c>
      <c r="AQ91" s="46">
        <v>1.4444654269999999</v>
      </c>
      <c r="AR91" s="2">
        <v>11973</v>
      </c>
      <c r="AS91" s="45">
        <f t="shared" si="45"/>
        <v>199.55</v>
      </c>
      <c r="AT91" s="45">
        <f t="shared" si="34"/>
        <v>2.9083592487158372</v>
      </c>
      <c r="AU91" s="80">
        <f t="shared" si="46"/>
        <v>35.118154859205958</v>
      </c>
      <c r="AW91" s="7">
        <v>45038.083333333336</v>
      </c>
      <c r="AX91" s="51">
        <v>3.0771904100780701E-3</v>
      </c>
      <c r="AY91" s="16">
        <v>72.523974480000007</v>
      </c>
      <c r="AZ91" s="2">
        <v>38749</v>
      </c>
      <c r="BA91" s="16">
        <f t="shared" si="47"/>
        <v>645.81666666666672</v>
      </c>
      <c r="BB91" s="9">
        <f t="shared" si="48"/>
        <v>1.9873008533352525</v>
      </c>
      <c r="BC91" s="119">
        <f t="shared" si="49"/>
        <v>27.271964751898814</v>
      </c>
      <c r="BE91" s="6"/>
      <c r="BG91" s="4"/>
      <c r="BH91" s="2"/>
      <c r="BI91" s="5"/>
      <c r="BJ91" s="102"/>
      <c r="BK91" s="102"/>
      <c r="BM91" s="104"/>
      <c r="BO91" s="102"/>
      <c r="BP91" s="2"/>
      <c r="BQ91" s="102"/>
      <c r="BR91" s="4"/>
      <c r="BS91" s="5"/>
      <c r="BU91" s="6"/>
      <c r="BV91" s="103"/>
      <c r="BW91" s="102"/>
      <c r="BY91" s="102"/>
      <c r="BZ91" s="102"/>
      <c r="CA91" s="102"/>
    </row>
    <row r="92" spans="1:79" x14ac:dyDescent="0.3">
      <c r="A92" s="7">
        <v>44776.979861111111</v>
      </c>
      <c r="B92" s="89">
        <v>1.08806963286294E-5</v>
      </c>
      <c r="C92" s="8">
        <v>2.1564305309999998</v>
      </c>
      <c r="D92" s="2">
        <v>0</v>
      </c>
      <c r="E92" s="9">
        <f t="shared" si="35"/>
        <v>0</v>
      </c>
      <c r="F92" s="8">
        <f t="shared" si="29"/>
        <v>0</v>
      </c>
      <c r="G92" s="60">
        <f t="shared" si="50"/>
        <v>0</v>
      </c>
      <c r="I92" s="19">
        <v>44781.927777777775</v>
      </c>
      <c r="J92">
        <v>1.12462603863556E-4</v>
      </c>
      <c r="K92" s="21">
        <v>4.6292118670000004</v>
      </c>
      <c r="L92" s="2">
        <v>29</v>
      </c>
      <c r="M92" s="23">
        <f t="shared" si="37"/>
        <v>0.48333333333333334</v>
      </c>
      <c r="N92" s="20">
        <f t="shared" si="30"/>
        <v>5.4356925200718731E-5</v>
      </c>
      <c r="O92" s="65">
        <f t="shared" si="38"/>
        <v>2.5461185768685266E-2</v>
      </c>
      <c r="Q92" s="27">
        <v>45136.916666666664</v>
      </c>
      <c r="R92" s="51">
        <v>3.6632413539542099E-3</v>
      </c>
      <c r="S92" s="47">
        <v>2.1522282119999998</v>
      </c>
      <c r="T92" s="2">
        <v>18504</v>
      </c>
      <c r="U92" s="29">
        <f t="shared" si="39"/>
        <v>308.39999999999998</v>
      </c>
      <c r="V92" s="29">
        <f t="shared" si="31"/>
        <v>1.1297436335594782</v>
      </c>
      <c r="W92" s="70">
        <f t="shared" si="40"/>
        <v>18.7433855735595</v>
      </c>
      <c r="Y92" s="32">
        <v>45151.927083333336</v>
      </c>
      <c r="Z92">
        <v>1.1725512269207101E-3</v>
      </c>
      <c r="AA92" s="34">
        <v>1.257509953</v>
      </c>
      <c r="AB92" s="2">
        <v>2776</v>
      </c>
      <c r="AC92" s="33">
        <f t="shared" si="41"/>
        <v>46.266666666666666</v>
      </c>
      <c r="AD92" s="105">
        <f t="shared" si="32"/>
        <v>5.4250036765531515E-2</v>
      </c>
      <c r="AE92" s="77">
        <f t="shared" si="42"/>
        <v>2.4963818038450474</v>
      </c>
      <c r="AG92" s="38">
        <v>45166.927083333336</v>
      </c>
      <c r="AH92" s="111">
        <v>1.5010446374918399E-3</v>
      </c>
      <c r="AI92" s="50">
        <v>0.44894941300000002</v>
      </c>
      <c r="AJ92" s="2">
        <v>2088</v>
      </c>
      <c r="AK92" s="40">
        <f t="shared" si="43"/>
        <v>34.799999999999997</v>
      </c>
      <c r="AL92" s="49">
        <f t="shared" si="33"/>
        <v>5.2236353384716022E-2</v>
      </c>
      <c r="AM92" s="73">
        <f t="shared" si="44"/>
        <v>2.4344640021506132</v>
      </c>
      <c r="AO92" s="43">
        <v>45183.927083333336</v>
      </c>
      <c r="AP92" s="111">
        <v>1.62787396357526E-2</v>
      </c>
      <c r="AQ92" s="46">
        <v>1.3790541089999999</v>
      </c>
      <c r="AR92" s="2">
        <v>11694</v>
      </c>
      <c r="AS92" s="45">
        <f t="shared" si="45"/>
        <v>194.9</v>
      </c>
      <c r="AT92" s="45">
        <f t="shared" si="34"/>
        <v>3.1727263550081819</v>
      </c>
      <c r="AU92" s="80">
        <f t="shared" si="46"/>
        <v>37.206656177141902</v>
      </c>
      <c r="AW92" s="7">
        <v>45038.09375</v>
      </c>
      <c r="AX92" s="51">
        <v>3.0395791550533002E-3</v>
      </c>
      <c r="AY92" s="16">
        <v>66.203758769999993</v>
      </c>
      <c r="AZ92" s="2">
        <v>38838</v>
      </c>
      <c r="BA92" s="16">
        <f t="shared" si="47"/>
        <v>647.29999999999995</v>
      </c>
      <c r="BB92" s="9">
        <f t="shared" si="48"/>
        <v>1.9675195870660012</v>
      </c>
      <c r="BC92" s="119">
        <f t="shared" si="49"/>
        <v>27.091412109468084</v>
      </c>
      <c r="BE92" s="6"/>
      <c r="BG92" s="4"/>
      <c r="BH92" s="2"/>
      <c r="BI92" s="5"/>
      <c r="BJ92" s="102"/>
      <c r="BK92" s="102"/>
      <c r="BM92" s="104"/>
      <c r="BO92" s="102"/>
      <c r="BP92" s="2"/>
      <c r="BQ92" s="102"/>
      <c r="BR92" s="4"/>
      <c r="BS92" s="5"/>
      <c r="BU92" s="6"/>
      <c r="BV92" s="103"/>
      <c r="BW92" s="102"/>
      <c r="BY92" s="102"/>
      <c r="BZ92" s="102"/>
      <c r="CA92" s="102"/>
    </row>
    <row r="93" spans="1:79" x14ac:dyDescent="0.3">
      <c r="A93" s="7">
        <v>44776.990277777775</v>
      </c>
      <c r="B93" s="89">
        <v>1.4707523941653399E-5</v>
      </c>
      <c r="C93" s="8">
        <v>2.2236830264999998</v>
      </c>
      <c r="D93" s="2">
        <v>0</v>
      </c>
      <c r="E93" s="9">
        <f t="shared" si="35"/>
        <v>0</v>
      </c>
      <c r="F93" s="8">
        <f t="shared" si="29"/>
        <v>0</v>
      </c>
      <c r="G93" s="60">
        <f t="shared" si="50"/>
        <v>0</v>
      </c>
      <c r="I93" s="19">
        <v>44781.938194444447</v>
      </c>
      <c r="J93" s="1">
        <v>6.3383183853455395E-5</v>
      </c>
      <c r="K93" s="21">
        <v>3.8438540350000001</v>
      </c>
      <c r="L93" s="2">
        <v>2</v>
      </c>
      <c r="M93" s="23">
        <f t="shared" si="37"/>
        <v>3.3333333333333333E-2</v>
      </c>
      <c r="N93" s="20">
        <f t="shared" si="30"/>
        <v>2.11277279511518E-6</v>
      </c>
      <c r="O93" s="65">
        <f t="shared" si="38"/>
        <v>2.9469423533921568E-3</v>
      </c>
      <c r="Q93" s="27">
        <v>45136.927083333336</v>
      </c>
      <c r="R93" s="51">
        <v>1.99799973654096E-3</v>
      </c>
      <c r="S93" s="47">
        <v>1.511415151</v>
      </c>
      <c r="T93" s="2">
        <v>8441</v>
      </c>
      <c r="U93" s="29">
        <f t="shared" si="39"/>
        <v>140.68333333333334</v>
      </c>
      <c r="V93" s="29">
        <f t="shared" si="31"/>
        <v>0.28108526293570407</v>
      </c>
      <c r="W93" s="70">
        <f t="shared" si="40"/>
        <v>7.4421405322525578</v>
      </c>
      <c r="Y93" s="32">
        <v>45151.9375</v>
      </c>
      <c r="Z93">
        <v>1.8729569792111801E-3</v>
      </c>
      <c r="AA93" s="34">
        <v>1.5821856839999999</v>
      </c>
      <c r="AB93" s="2">
        <v>5605</v>
      </c>
      <c r="AC93" s="33">
        <f t="shared" si="41"/>
        <v>93.416666666666671</v>
      </c>
      <c r="AD93" s="105">
        <f t="shared" si="32"/>
        <v>0.17496539780797774</v>
      </c>
      <c r="AE93" s="77">
        <f t="shared" si="42"/>
        <v>5.4323735224516723</v>
      </c>
      <c r="AG93" s="38">
        <v>45166.9375</v>
      </c>
      <c r="AH93" s="111">
        <v>1.3194963458493299E-3</v>
      </c>
      <c r="AI93" s="50">
        <v>0.399936554</v>
      </c>
      <c r="AJ93" s="2">
        <v>1502</v>
      </c>
      <c r="AK93" s="40">
        <f t="shared" si="43"/>
        <v>25.033333333333335</v>
      </c>
      <c r="AL93" s="49">
        <f t="shared" si="33"/>
        <v>3.3031391857761563E-2</v>
      </c>
      <c r="AM93" s="73">
        <f t="shared" si="44"/>
        <v>1.7957125930478397</v>
      </c>
      <c r="AO93" s="107">
        <v>45183.9375</v>
      </c>
      <c r="AP93" s="116">
        <v>2.1132062290095201E-2</v>
      </c>
      <c r="AQ93" s="82">
        <v>1.4444654269999999</v>
      </c>
      <c r="AR93" s="39">
        <v>11443</v>
      </c>
      <c r="AS93" s="99">
        <f t="shared" si="45"/>
        <v>190.71666666666667</v>
      </c>
      <c r="AT93" s="99">
        <f t="shared" si="34"/>
        <v>4.0302364797593233</v>
      </c>
      <c r="AU93" s="84">
        <f t="shared" si="46"/>
        <v>43.612286420014215</v>
      </c>
      <c r="AW93" s="7">
        <v>45038.104166666664</v>
      </c>
      <c r="AX93" s="51">
        <v>2.8993890415810598E-3</v>
      </c>
      <c r="AY93" s="16">
        <v>71.17580074</v>
      </c>
      <c r="AZ93" s="2">
        <v>38133</v>
      </c>
      <c r="BA93" s="16">
        <f t="shared" si="47"/>
        <v>635.54999999999995</v>
      </c>
      <c r="BB93" s="9">
        <f t="shared" si="48"/>
        <v>1.8427067053768424</v>
      </c>
      <c r="BC93" s="119">
        <f t="shared" si="49"/>
        <v>25.937750682099413</v>
      </c>
      <c r="BE93" s="6"/>
      <c r="BG93" s="4"/>
      <c r="BH93" s="2"/>
      <c r="BI93" s="5"/>
      <c r="BJ93" s="102"/>
      <c r="BK93" s="102"/>
      <c r="BM93" s="104"/>
      <c r="BO93" s="102"/>
      <c r="BP93" s="2"/>
      <c r="BQ93" s="102"/>
      <c r="BR93" s="4"/>
      <c r="BS93" s="5"/>
      <c r="BU93" s="6"/>
      <c r="BV93" s="103"/>
      <c r="BW93" s="102"/>
      <c r="BY93" s="102"/>
      <c r="BZ93" s="102"/>
      <c r="CA93" s="102"/>
    </row>
    <row r="94" spans="1:79" x14ac:dyDescent="0.3">
      <c r="A94" s="7">
        <v>44777.000694444447</v>
      </c>
      <c r="B94" s="89">
        <v>1.19575360197737E-5</v>
      </c>
      <c r="C94" s="8">
        <v>2.2059633774999998</v>
      </c>
      <c r="D94" s="2">
        <v>0</v>
      </c>
      <c r="E94" s="9">
        <f t="shared" si="35"/>
        <v>0</v>
      </c>
      <c r="F94" s="8">
        <f t="shared" si="29"/>
        <v>0</v>
      </c>
      <c r="G94" s="60">
        <f t="shared" si="50"/>
        <v>0</v>
      </c>
      <c r="I94" s="19">
        <v>44781.948611111111</v>
      </c>
      <c r="J94" s="1">
        <v>5.8607773952383203E-5</v>
      </c>
      <c r="K94" s="21">
        <v>3.4907628965000002</v>
      </c>
      <c r="L94" s="2">
        <v>0</v>
      </c>
      <c r="M94" s="23">
        <f t="shared" si="37"/>
        <v>0</v>
      </c>
      <c r="N94" s="20">
        <f t="shared" si="30"/>
        <v>0</v>
      </c>
      <c r="O94" s="65">
        <f t="shared" si="38"/>
        <v>0</v>
      </c>
      <c r="Q94" s="27">
        <v>45136.9375</v>
      </c>
      <c r="R94" s="51">
        <v>2.71648568540498E-3</v>
      </c>
      <c r="S94" s="47">
        <v>1.729502407</v>
      </c>
      <c r="T94" s="2">
        <v>12461</v>
      </c>
      <c r="U94" s="29">
        <f t="shared" si="39"/>
        <v>207.68333333333334</v>
      </c>
      <c r="V94" s="29">
        <f t="shared" si="31"/>
        <v>0.56416880209719089</v>
      </c>
      <c r="W94" s="70">
        <f t="shared" si="40"/>
        <v>11.819660545816404</v>
      </c>
      <c r="Y94" s="32">
        <v>45151.947916666664</v>
      </c>
      <c r="Z94">
        <v>1.3300442436971799E-3</v>
      </c>
      <c r="AA94" s="34">
        <v>1.257509953</v>
      </c>
      <c r="AB94" s="2">
        <v>2434</v>
      </c>
      <c r="AC94" s="33">
        <f t="shared" si="41"/>
        <v>40.56666666666667</v>
      </c>
      <c r="AD94" s="105">
        <f t="shared" si="32"/>
        <v>5.3955461485982271E-2</v>
      </c>
      <c r="AE94" s="77">
        <f t="shared" si="42"/>
        <v>2.4873728926376342</v>
      </c>
      <c r="AG94" s="38">
        <v>45166.947916666664</v>
      </c>
      <c r="AH94" s="111">
        <v>1.8826863215191301E-3</v>
      </c>
      <c r="AI94" s="50">
        <v>0.562700329</v>
      </c>
      <c r="AJ94" s="2">
        <v>3336</v>
      </c>
      <c r="AK94" s="40">
        <f t="shared" si="43"/>
        <v>55.6</v>
      </c>
      <c r="AL94" s="49">
        <f t="shared" si="33"/>
        <v>0.10467735947646363</v>
      </c>
      <c r="AM94" s="73">
        <f t="shared" si="44"/>
        <v>3.8623499063546611</v>
      </c>
      <c r="AO94" s="74">
        <v>45183.947916666664</v>
      </c>
      <c r="AP94" s="117">
        <v>2.7576669957168901E-2</v>
      </c>
      <c r="AQ94" s="75">
        <v>2.060445487</v>
      </c>
      <c r="AR94" s="28">
        <v>8874</v>
      </c>
      <c r="AS94" s="100">
        <f>AR94/60</f>
        <v>147.9</v>
      </c>
      <c r="AT94" s="100">
        <f t="shared" si="34"/>
        <v>4.0785894866652805</v>
      </c>
      <c r="AU94" s="86">
        <f>17.285*AT94^0.664</f>
        <v>43.959021915225279</v>
      </c>
      <c r="AW94" s="7">
        <v>45038.114583333336</v>
      </c>
      <c r="AX94" s="51">
        <v>3.14240737042963E-3</v>
      </c>
      <c r="AY94" s="16">
        <v>70.720093730000002</v>
      </c>
      <c r="AZ94" s="2">
        <v>38983</v>
      </c>
      <c r="BA94" s="16">
        <f t="shared" si="47"/>
        <v>649.7166666666667</v>
      </c>
      <c r="BB94" s="9">
        <f t="shared" si="48"/>
        <v>2.0416744420243047</v>
      </c>
      <c r="BC94" s="119">
        <f t="shared" si="49"/>
        <v>27.765174975757468</v>
      </c>
      <c r="BE94" s="6"/>
      <c r="BG94" s="4"/>
      <c r="BH94" s="2"/>
      <c r="BI94" s="5"/>
      <c r="BJ94" s="102"/>
      <c r="BK94" s="102"/>
      <c r="BM94" s="104"/>
      <c r="BO94" s="102"/>
      <c r="BP94" s="2"/>
      <c r="BQ94" s="102"/>
      <c r="BR94" s="4"/>
      <c r="BS94" s="5"/>
      <c r="BU94" s="6"/>
      <c r="BV94" s="103"/>
      <c r="BW94" s="102"/>
      <c r="BY94" s="102"/>
      <c r="BZ94" s="102"/>
      <c r="CA94" s="102"/>
    </row>
    <row r="95" spans="1:79" x14ac:dyDescent="0.3">
      <c r="A95" s="6"/>
      <c r="B95" s="1"/>
      <c r="I95" s="19">
        <v>44781.959027777775</v>
      </c>
      <c r="J95" s="1">
        <v>4.2298990704275399E-5</v>
      </c>
      <c r="K95" s="21">
        <v>3.5250784804999999</v>
      </c>
      <c r="L95" s="2">
        <v>0</v>
      </c>
      <c r="M95" s="23">
        <f t="shared" si="37"/>
        <v>0</v>
      </c>
      <c r="N95" s="20">
        <f t="shared" si="30"/>
        <v>0</v>
      </c>
      <c r="O95" s="65">
        <f t="shared" si="38"/>
        <v>0</v>
      </c>
      <c r="Q95" s="27">
        <v>45136.947916666664</v>
      </c>
      <c r="R95" s="51">
        <v>1.8374998044383101E-3</v>
      </c>
      <c r="S95" s="47">
        <v>1.511415151</v>
      </c>
      <c r="T95" s="2">
        <v>8927</v>
      </c>
      <c r="U95" s="29">
        <f t="shared" si="39"/>
        <v>148.78333333333333</v>
      </c>
      <c r="V95" s="29">
        <f t="shared" si="31"/>
        <v>0.27338934590367991</v>
      </c>
      <c r="W95" s="70">
        <f t="shared" si="40"/>
        <v>7.3062134671475292</v>
      </c>
      <c r="Y95" s="32">
        <v>45151.958333333336</v>
      </c>
      <c r="Z95">
        <v>1.57771950841626E-3</v>
      </c>
      <c r="AA95" s="34">
        <v>1.257509953</v>
      </c>
      <c r="AB95" s="2">
        <v>2228</v>
      </c>
      <c r="AC95" s="33">
        <f t="shared" si="41"/>
        <v>37.133333333333333</v>
      </c>
      <c r="AD95" s="105">
        <f t="shared" si="32"/>
        <v>5.8585984412523787E-2</v>
      </c>
      <c r="AE95" s="77">
        <f t="shared" si="42"/>
        <v>2.6271472882694753</v>
      </c>
      <c r="AG95" s="38">
        <v>45166.958333333336</v>
      </c>
      <c r="AH95" s="111">
        <v>1.77993063252128E-3</v>
      </c>
      <c r="AI95" s="50">
        <v>0.562700329</v>
      </c>
      <c r="AJ95" s="2">
        <v>3064</v>
      </c>
      <c r="AK95" s="40">
        <f t="shared" si="43"/>
        <v>51.06666666666667</v>
      </c>
      <c r="AL95" s="49">
        <f t="shared" si="33"/>
        <v>9.0895124300753374E-2</v>
      </c>
      <c r="AM95" s="73">
        <f t="shared" si="44"/>
        <v>3.5167405914244938</v>
      </c>
      <c r="AO95" s="74">
        <v>45183.958333333336</v>
      </c>
      <c r="AP95" s="117">
        <v>1.83471130103827E-2</v>
      </c>
      <c r="AQ95" s="75">
        <v>1.3790541089999999</v>
      </c>
      <c r="AR95" s="28">
        <v>11713</v>
      </c>
      <c r="AS95" s="100">
        <f t="shared" si="45"/>
        <v>195.21666666666667</v>
      </c>
      <c r="AT95" s="100">
        <f t="shared" si="34"/>
        <v>3.5816622448435429</v>
      </c>
      <c r="AU95" s="86">
        <f t="shared" si="46"/>
        <v>40.32566867120682</v>
      </c>
      <c r="AW95" s="7">
        <v>45038.125</v>
      </c>
      <c r="AX95" s="51">
        <v>2.8904106118592399E-3</v>
      </c>
      <c r="AY95" s="16">
        <v>74.312865549999998</v>
      </c>
      <c r="AZ95" s="2">
        <v>38616</v>
      </c>
      <c r="BA95" s="16">
        <f t="shared" si="47"/>
        <v>643.6</v>
      </c>
      <c r="BB95" s="9">
        <f t="shared" si="48"/>
        <v>1.8602682697926067</v>
      </c>
      <c r="BC95" s="119">
        <f t="shared" si="49"/>
        <v>26.101626326527963</v>
      </c>
      <c r="BE95" s="6"/>
      <c r="BG95" s="4"/>
      <c r="BH95" s="2"/>
      <c r="BI95" s="5"/>
      <c r="BJ95" s="102"/>
      <c r="BK95" s="102"/>
      <c r="BM95" s="104"/>
      <c r="BO95" s="102"/>
      <c r="BP95" s="2"/>
      <c r="BQ95" s="102"/>
      <c r="BR95" s="4"/>
      <c r="BS95" s="5"/>
      <c r="BU95" s="6"/>
      <c r="BV95" s="103"/>
      <c r="BW95" s="102"/>
      <c r="BY95" s="102"/>
      <c r="BZ95" s="102"/>
      <c r="CA95" s="102"/>
    </row>
    <row r="96" spans="1:79" x14ac:dyDescent="0.3">
      <c r="A96" s="6"/>
      <c r="B96" s="1"/>
      <c r="C96" s="1"/>
      <c r="I96" s="19">
        <v>44781.969444444447</v>
      </c>
      <c r="J96" s="1">
        <v>3.99181931276714E-5</v>
      </c>
      <c r="K96" s="21">
        <v>3.3236783504999998</v>
      </c>
      <c r="L96" s="2">
        <v>0</v>
      </c>
      <c r="M96" s="23">
        <f t="shared" si="37"/>
        <v>0</v>
      </c>
      <c r="N96" s="20">
        <f t="shared" si="30"/>
        <v>0</v>
      </c>
      <c r="O96" s="65">
        <f t="shared" si="38"/>
        <v>0</v>
      </c>
      <c r="Q96" s="27">
        <v>45136.958333333336</v>
      </c>
      <c r="R96" s="51">
        <v>2.2307041508842101E-3</v>
      </c>
      <c r="S96" s="47">
        <v>1.654461261</v>
      </c>
      <c r="T96" s="2">
        <v>11113</v>
      </c>
      <c r="U96" s="29">
        <f t="shared" si="39"/>
        <v>185.21666666666667</v>
      </c>
      <c r="V96" s="29">
        <f t="shared" si="31"/>
        <v>0.41316358714627044</v>
      </c>
      <c r="W96" s="70">
        <f t="shared" si="40"/>
        <v>9.611129258032614</v>
      </c>
      <c r="Y96" s="32">
        <v>45151.96875</v>
      </c>
      <c r="Z96">
        <v>9.1429957285934897E-4</v>
      </c>
      <c r="AA96" s="34">
        <v>1.091323134</v>
      </c>
      <c r="AB96" s="2">
        <v>1299</v>
      </c>
      <c r="AC96" s="33">
        <f t="shared" si="41"/>
        <v>21.65</v>
      </c>
      <c r="AD96" s="105">
        <f t="shared" si="32"/>
        <v>1.9794585752404902E-2</v>
      </c>
      <c r="AE96" s="77">
        <f t="shared" si="42"/>
        <v>1.2781334624643619</v>
      </c>
      <c r="AG96" s="38">
        <v>45166.96875</v>
      </c>
      <c r="AH96" s="111">
        <v>1.32029468772196E-3</v>
      </c>
      <c r="AI96" s="50">
        <v>0.475692385</v>
      </c>
      <c r="AJ96" s="2">
        <v>2162</v>
      </c>
      <c r="AK96" s="40">
        <f t="shared" si="43"/>
        <v>36.033333333333331</v>
      </c>
      <c r="AL96" s="49">
        <f t="shared" si="33"/>
        <v>4.7574618580914621E-2</v>
      </c>
      <c r="AM96" s="73">
        <f t="shared" si="44"/>
        <v>2.2879503360936622</v>
      </c>
      <c r="AO96" s="43">
        <v>45183.96875</v>
      </c>
      <c r="AP96" s="111">
        <v>1.86766923524193E-2</v>
      </c>
      <c r="AQ96" s="46">
        <v>1.5809633519999999</v>
      </c>
      <c r="AR96" s="2">
        <v>10896</v>
      </c>
      <c r="AS96" s="45">
        <f t="shared" si="45"/>
        <v>181.6</v>
      </c>
      <c r="AT96" s="45">
        <f t="shared" si="34"/>
        <v>3.391687331199345</v>
      </c>
      <c r="AU96" s="80">
        <f t="shared" si="46"/>
        <v>38.892466042429952</v>
      </c>
      <c r="AW96" s="7">
        <v>45038.135416666664</v>
      </c>
      <c r="AX96" s="51">
        <v>3.1033857191658698E-3</v>
      </c>
      <c r="AY96" s="16">
        <v>66.195962919999999</v>
      </c>
      <c r="AZ96" s="2">
        <v>38252</v>
      </c>
      <c r="BA96" s="16">
        <f t="shared" si="47"/>
        <v>637.5333333333333</v>
      </c>
      <c r="BB96" s="9">
        <f t="shared" si="48"/>
        <v>1.9785118421588808</v>
      </c>
      <c r="BC96" s="119">
        <f t="shared" si="49"/>
        <v>27.191818337178432</v>
      </c>
      <c r="BE96" s="6"/>
      <c r="BG96" s="4"/>
      <c r="BH96" s="2"/>
      <c r="BI96" s="5"/>
      <c r="BJ96" s="102"/>
      <c r="BK96" s="102"/>
      <c r="BM96" s="104"/>
      <c r="BO96" s="102"/>
      <c r="BP96" s="2"/>
      <c r="BQ96" s="102"/>
      <c r="BR96" s="4"/>
      <c r="BS96" s="5"/>
      <c r="BU96" s="6"/>
      <c r="BV96" s="103"/>
      <c r="BW96" s="102"/>
      <c r="BY96" s="102"/>
      <c r="BZ96" s="102"/>
      <c r="CA96" s="102"/>
    </row>
    <row r="97" spans="1:79" x14ac:dyDescent="0.3">
      <c r="A97" s="6"/>
      <c r="B97" s="1"/>
      <c r="C97" s="1"/>
      <c r="I97" s="19">
        <v>44781.979861111111</v>
      </c>
      <c r="J97" s="1">
        <v>3.2476970798245197E-5</v>
      </c>
      <c r="K97" s="21">
        <v>3.2549971329999998</v>
      </c>
      <c r="L97" s="2">
        <v>2</v>
      </c>
      <c r="M97" s="23">
        <f t="shared" si="37"/>
        <v>3.3333333333333333E-2</v>
      </c>
      <c r="N97" s="20">
        <f t="shared" si="30"/>
        <v>1.0825656932748399E-6</v>
      </c>
      <c r="O97" s="65">
        <f t="shared" si="38"/>
        <v>1.8903708536389735E-3</v>
      </c>
      <c r="Q97" s="27">
        <v>45136.96875</v>
      </c>
      <c r="R97" s="51">
        <v>1.7238536823791699E-3</v>
      </c>
      <c r="S97" s="47">
        <v>1.4444654269999999</v>
      </c>
      <c r="T97" s="2">
        <v>7644</v>
      </c>
      <c r="U97" s="29">
        <f t="shared" si="39"/>
        <v>127.4</v>
      </c>
      <c r="V97" s="29">
        <f t="shared" si="31"/>
        <v>0.21961895913510626</v>
      </c>
      <c r="W97" s="70">
        <f t="shared" si="40"/>
        <v>6.3173967155265069</v>
      </c>
      <c r="Y97" s="32">
        <v>45151.979166666664</v>
      </c>
      <c r="Z97">
        <v>1.1997877148936099E-3</v>
      </c>
      <c r="AA97" s="34">
        <v>1.200201638</v>
      </c>
      <c r="AB97" s="2">
        <v>1735</v>
      </c>
      <c r="AC97" s="33">
        <f t="shared" si="41"/>
        <v>28.916666666666668</v>
      </c>
      <c r="AD97" s="105">
        <f t="shared" si="32"/>
        <v>3.4693861422340225E-2</v>
      </c>
      <c r="AE97" s="77">
        <f t="shared" si="42"/>
        <v>1.855227343048502</v>
      </c>
      <c r="AG97" s="38">
        <v>45166.979166666664</v>
      </c>
      <c r="AH97" s="111">
        <v>1.79318198087858E-3</v>
      </c>
      <c r="AI97" s="50">
        <v>0.475692385</v>
      </c>
      <c r="AJ97" s="2">
        <v>2045</v>
      </c>
      <c r="AK97" s="40">
        <f t="shared" si="43"/>
        <v>34.083333333333336</v>
      </c>
      <c r="AL97" s="49">
        <f t="shared" si="33"/>
        <v>6.1117619181611606E-2</v>
      </c>
      <c r="AM97" s="73">
        <f t="shared" si="44"/>
        <v>2.7019909628025487</v>
      </c>
      <c r="AO97" s="43">
        <v>45183.979166666664</v>
      </c>
      <c r="AP97" s="111">
        <v>1.8214712690104301E-2</v>
      </c>
      <c r="AQ97" s="46">
        <v>1.4444654269999999</v>
      </c>
      <c r="AR97" s="2">
        <v>12406</v>
      </c>
      <c r="AS97" s="45">
        <f t="shared" si="45"/>
        <v>206.76666666666668</v>
      </c>
      <c r="AT97" s="45">
        <f t="shared" si="34"/>
        <v>3.7661954272238996</v>
      </c>
      <c r="AU97" s="80">
        <f t="shared" si="46"/>
        <v>41.69355025873363</v>
      </c>
      <c r="AW97" s="7">
        <v>45038.145833333336</v>
      </c>
      <c r="AX97" s="51">
        <v>3.0747377180827401E-3</v>
      </c>
      <c r="AY97" s="16">
        <v>72.069636250000002</v>
      </c>
      <c r="AZ97" s="2">
        <v>38334</v>
      </c>
      <c r="BA97" s="16">
        <f t="shared" si="47"/>
        <v>638.9</v>
      </c>
      <c r="BB97" s="9">
        <f t="shared" si="48"/>
        <v>1.9644499280830625</v>
      </c>
      <c r="BC97" s="119">
        <f t="shared" si="49"/>
        <v>27.063339377120062</v>
      </c>
      <c r="BE97" s="6"/>
      <c r="BG97" s="4"/>
      <c r="BH97" s="2"/>
      <c r="BI97" s="5"/>
      <c r="BJ97" s="102"/>
      <c r="BK97" s="102"/>
      <c r="BM97" s="104"/>
      <c r="BO97" s="102"/>
      <c r="BP97" s="2"/>
      <c r="BQ97" s="102"/>
      <c r="BR97" s="4"/>
      <c r="BS97" s="5"/>
      <c r="BU97" s="6"/>
      <c r="BV97" s="103"/>
      <c r="BW97" s="102"/>
      <c r="BY97" s="102"/>
      <c r="BZ97" s="102"/>
      <c r="CA97" s="102"/>
    </row>
    <row r="98" spans="1:79" x14ac:dyDescent="0.3">
      <c r="A98" s="6"/>
      <c r="B98" s="1"/>
      <c r="C98" s="1"/>
      <c r="I98" s="19">
        <v>44781.990277777775</v>
      </c>
      <c r="J98" s="1">
        <v>4.1444873674415303E-5</v>
      </c>
      <c r="K98" s="21">
        <v>3.3297358964999999</v>
      </c>
      <c r="L98" s="2">
        <v>0</v>
      </c>
      <c r="M98" s="23">
        <f t="shared" si="37"/>
        <v>0</v>
      </c>
      <c r="N98" s="20">
        <f t="shared" si="30"/>
        <v>0</v>
      </c>
      <c r="O98" s="65">
        <f t="shared" si="38"/>
        <v>0</v>
      </c>
      <c r="Q98" s="27">
        <v>45136.979166666664</v>
      </c>
      <c r="R98" s="51">
        <v>1.9977603628921099E-3</v>
      </c>
      <c r="S98" s="47">
        <v>1.654461261</v>
      </c>
      <c r="T98" s="2">
        <v>11096</v>
      </c>
      <c r="U98" s="29">
        <f t="shared" si="39"/>
        <v>184.93333333333334</v>
      </c>
      <c r="V98" s="29">
        <f t="shared" si="31"/>
        <v>0.36945248311084755</v>
      </c>
      <c r="W98" s="70">
        <f t="shared" si="40"/>
        <v>8.9233573946819202</v>
      </c>
      <c r="Y98" s="32">
        <v>45151.989583333336</v>
      </c>
      <c r="Z98">
        <v>1.02245014953368E-3</v>
      </c>
      <c r="AA98" s="34">
        <v>1.091323134</v>
      </c>
      <c r="AB98" s="2">
        <v>1457</v>
      </c>
      <c r="AC98" s="33">
        <f t="shared" si="41"/>
        <v>24.283333333333335</v>
      </c>
      <c r="AD98" s="105">
        <f t="shared" si="32"/>
        <v>2.4828497797842863E-2</v>
      </c>
      <c r="AE98" s="77">
        <f t="shared" si="42"/>
        <v>1.4856499025619916</v>
      </c>
      <c r="AG98" s="38">
        <v>45166.989583333336</v>
      </c>
      <c r="AH98" s="111">
        <v>1.8320812994318E-3</v>
      </c>
      <c r="AI98" s="50">
        <v>0.53201108200000002</v>
      </c>
      <c r="AJ98" s="2">
        <v>2947</v>
      </c>
      <c r="AK98" s="40">
        <f t="shared" si="43"/>
        <v>49.116666666666667</v>
      </c>
      <c r="AL98" s="49">
        <f t="shared" si="33"/>
        <v>8.9985726490425244E-2</v>
      </c>
      <c r="AM98" s="73">
        <f t="shared" si="44"/>
        <v>3.4933385169924476</v>
      </c>
      <c r="AO98" s="43">
        <v>45183.989583333336</v>
      </c>
      <c r="AP98" s="111">
        <v>1.0790982956010499E-2</v>
      </c>
      <c r="AQ98" s="46">
        <v>1.091323134</v>
      </c>
      <c r="AR98" s="2">
        <v>14178</v>
      </c>
      <c r="AS98" s="45">
        <f t="shared" si="45"/>
        <v>236.3</v>
      </c>
      <c r="AT98" s="45">
        <f t="shared" si="34"/>
        <v>2.549909272505281</v>
      </c>
      <c r="AU98" s="80">
        <f t="shared" si="46"/>
        <v>32.181168063489729</v>
      </c>
      <c r="AW98" s="7">
        <v>45038.15625</v>
      </c>
      <c r="AX98" s="51">
        <v>3.26367346371977E-3</v>
      </c>
      <c r="AY98" s="16">
        <v>74.312865549999998</v>
      </c>
      <c r="AZ98" s="2">
        <v>38591</v>
      </c>
      <c r="BA98" s="16">
        <f t="shared" si="47"/>
        <v>643.18333333333328</v>
      </c>
      <c r="BB98" s="9">
        <f t="shared" si="48"/>
        <v>2.0991403773068273</v>
      </c>
      <c r="BC98" s="119">
        <f t="shared" si="49"/>
        <v>28.281662038726914</v>
      </c>
      <c r="BE98" s="6"/>
      <c r="BG98" s="4"/>
      <c r="BH98" s="2"/>
      <c r="BI98" s="5"/>
      <c r="BJ98" s="102"/>
      <c r="BK98" s="102"/>
      <c r="BM98" s="104"/>
      <c r="BO98" s="102"/>
      <c r="BP98" s="2"/>
      <c r="BQ98" s="102"/>
      <c r="BR98" s="4"/>
      <c r="BS98" s="5"/>
      <c r="BU98" s="6"/>
      <c r="BV98" s="103"/>
      <c r="BW98" s="102"/>
      <c r="BY98" s="102"/>
      <c r="BZ98" s="102"/>
      <c r="CA98" s="102"/>
    </row>
    <row r="99" spans="1:79" x14ac:dyDescent="0.3">
      <c r="I99" s="19">
        <v>44782.000694444447</v>
      </c>
      <c r="J99" s="1">
        <v>4.0574092826454099E-5</v>
      </c>
      <c r="K99" s="21">
        <v>3.3683360045000001</v>
      </c>
      <c r="L99" s="2">
        <v>1</v>
      </c>
      <c r="M99" s="23">
        <f t="shared" si="37"/>
        <v>1.6666666666666666E-2</v>
      </c>
      <c r="N99" s="20">
        <f t="shared" ref="N99" si="51">M99*J99</f>
        <v>6.7623488044090159E-7</v>
      </c>
      <c r="O99" s="65">
        <f t="shared" si="38"/>
        <v>1.3831018718351777E-3</v>
      </c>
      <c r="Q99" s="27">
        <v>45136.989583333336</v>
      </c>
      <c r="R99" s="51">
        <v>2.3482759961047902E-3</v>
      </c>
      <c r="S99" s="47">
        <v>1.729502407</v>
      </c>
      <c r="T99" s="2">
        <v>12211</v>
      </c>
      <c r="U99" s="29">
        <f t="shared" si="39"/>
        <v>203.51666666666668</v>
      </c>
      <c r="V99" s="29">
        <f t="shared" si="31"/>
        <v>0.47791330314059322</v>
      </c>
      <c r="W99" s="70">
        <f t="shared" si="40"/>
        <v>10.586616945577534</v>
      </c>
      <c r="Y99" s="32">
        <v>45152</v>
      </c>
      <c r="Z99">
        <v>6.4390872553303198E-4</v>
      </c>
      <c r="AA99" s="34">
        <v>0.85462156099999997</v>
      </c>
      <c r="AB99" s="2">
        <v>777</v>
      </c>
      <c r="AC99" s="33">
        <f t="shared" si="41"/>
        <v>12.95</v>
      </c>
      <c r="AD99" s="105">
        <f t="shared" ref="AD99" si="52">AC99*Z99</f>
        <v>8.3386179956527629E-3</v>
      </c>
      <c r="AE99" s="77">
        <f t="shared" si="42"/>
        <v>0.71990609765562619</v>
      </c>
      <c r="AG99" s="38">
        <v>45167</v>
      </c>
      <c r="AH99" s="111">
        <v>1.3564326198023599E-3</v>
      </c>
      <c r="AI99" s="50">
        <v>0.475692385</v>
      </c>
      <c r="AJ99" s="2">
        <v>2124</v>
      </c>
      <c r="AK99" s="40">
        <f t="shared" si="43"/>
        <v>35.4</v>
      </c>
      <c r="AL99" s="49">
        <f t="shared" ref="AL99" si="53">AK99*AH99</f>
        <v>4.8017714741003539E-2</v>
      </c>
      <c r="AM99" s="73">
        <f t="shared" si="44"/>
        <v>2.3020776656831194</v>
      </c>
      <c r="AO99" s="43">
        <v>45184</v>
      </c>
      <c r="AP99" s="111">
        <v>1.0630738959768999E-2</v>
      </c>
      <c r="AQ99" s="46">
        <v>1.091323134</v>
      </c>
      <c r="AR99" s="2">
        <v>14134</v>
      </c>
      <c r="AS99" s="45">
        <f t="shared" si="45"/>
        <v>235.56666666666666</v>
      </c>
      <c r="AT99" s="45">
        <f t="shared" ref="AT99" si="54">AS99*AP99</f>
        <v>2.5042477409562505</v>
      </c>
      <c r="AU99" s="80">
        <f t="shared" si="46"/>
        <v>31.797363004471816</v>
      </c>
      <c r="AW99" s="7">
        <v>45038.166666666664</v>
      </c>
      <c r="AX99" s="51">
        <v>3.1233186889031901E-3</v>
      </c>
      <c r="AY99" s="16">
        <v>73.415890989999994</v>
      </c>
      <c r="AZ99" s="2">
        <v>38470</v>
      </c>
      <c r="BA99" s="16">
        <f t="shared" si="47"/>
        <v>641.16666666666663</v>
      </c>
      <c r="BB99" s="9">
        <f t="shared" si="48"/>
        <v>2.0025678327017618</v>
      </c>
      <c r="BC99" s="119">
        <f t="shared" si="49"/>
        <v>27.410900833302225</v>
      </c>
      <c r="BE99" s="6"/>
      <c r="BG99" s="4"/>
      <c r="BH99" s="2"/>
      <c r="BI99" s="5"/>
      <c r="BJ99" s="102"/>
      <c r="BK99" s="102"/>
      <c r="BM99" s="104"/>
      <c r="BO99" s="102"/>
      <c r="BP99" s="2"/>
      <c r="BQ99" s="102"/>
      <c r="BR99" s="4"/>
      <c r="BS99" s="5"/>
      <c r="BU99" s="6"/>
      <c r="BV99" s="103"/>
      <c r="BW99" s="102"/>
      <c r="BY99" s="102"/>
      <c r="BZ99" s="102"/>
      <c r="CA99" s="102"/>
    </row>
    <row r="100" spans="1:79" x14ac:dyDescent="0.3">
      <c r="Q100" s="27">
        <v>45137</v>
      </c>
      <c r="R100" s="51">
        <v>1.8013275930033601E-3</v>
      </c>
      <c r="S100" s="47">
        <v>1.511415151</v>
      </c>
      <c r="T100" s="2">
        <v>8427</v>
      </c>
      <c r="U100" s="29">
        <f t="shared" si="39"/>
        <v>140.44999999999999</v>
      </c>
      <c r="V100" s="29">
        <f t="shared" si="31"/>
        <v>0.25299646043732188</v>
      </c>
      <c r="W100" s="70">
        <f t="shared" si="40"/>
        <v>6.9396469327170074</v>
      </c>
      <c r="AW100" s="7">
        <v>45038.177083333336</v>
      </c>
      <c r="AX100" s="51">
        <v>2.96726053010314E-3</v>
      </c>
      <c r="AY100" s="16">
        <v>73.415890989999994</v>
      </c>
      <c r="AZ100" s="2">
        <v>38571</v>
      </c>
      <c r="BA100" s="16">
        <f t="shared" si="47"/>
        <v>642.85</v>
      </c>
      <c r="BB100" s="9">
        <f t="shared" si="48"/>
        <v>1.9075034317768036</v>
      </c>
      <c r="BC100" s="119">
        <f t="shared" si="49"/>
        <v>26.539843747849797</v>
      </c>
      <c r="BE100" s="6"/>
      <c r="BG100" s="4"/>
      <c r="BH100" s="2"/>
      <c r="BI100" s="5"/>
      <c r="BJ100" s="102"/>
      <c r="BK100" s="102"/>
      <c r="BM100" s="104"/>
      <c r="BO100" s="102"/>
      <c r="BP100" s="2"/>
      <c r="BQ100" s="102"/>
      <c r="BR100" s="4"/>
      <c r="BS100" s="5"/>
      <c r="BU100" s="6"/>
      <c r="BV100" s="103"/>
      <c r="BW100" s="102"/>
      <c r="BY100" s="102"/>
      <c r="BZ100" s="102"/>
      <c r="CA100" s="102"/>
    </row>
    <row r="101" spans="1:79" x14ac:dyDescent="0.3">
      <c r="AW101" s="7">
        <v>45038.1875</v>
      </c>
      <c r="AX101" s="51">
        <v>3.1206378040914101E-3</v>
      </c>
      <c r="AY101" s="16">
        <v>65.290959470000004</v>
      </c>
      <c r="AZ101" s="2">
        <v>38129</v>
      </c>
      <c r="BA101" s="16">
        <f t="shared" si="47"/>
        <v>635.48333333333335</v>
      </c>
      <c r="BB101" s="9">
        <f t="shared" si="48"/>
        <v>1.983113313870023</v>
      </c>
      <c r="BC101" s="119">
        <f t="shared" si="49"/>
        <v>27.233793741307668</v>
      </c>
      <c r="BE101" s="6"/>
      <c r="BG101" s="4"/>
      <c r="BH101" s="2"/>
      <c r="BI101" s="5"/>
      <c r="BJ101" s="102"/>
      <c r="BK101" s="102"/>
      <c r="BM101" s="104"/>
      <c r="BO101" s="102"/>
      <c r="BP101" s="2"/>
      <c r="BQ101" s="102"/>
      <c r="BR101" s="4"/>
      <c r="BS101" s="5"/>
      <c r="BU101" s="6"/>
      <c r="BV101" s="103"/>
      <c r="BW101" s="102"/>
      <c r="BY101" s="102"/>
      <c r="BZ101" s="102"/>
      <c r="CA101" s="102"/>
    </row>
    <row r="102" spans="1:79" x14ac:dyDescent="0.3">
      <c r="AW102" s="7">
        <v>45038.197916666664</v>
      </c>
      <c r="AX102" s="51">
        <v>3.0609180678472202E-3</v>
      </c>
      <c r="AY102" s="16">
        <v>72.069636250000002</v>
      </c>
      <c r="AZ102" s="2">
        <v>38212</v>
      </c>
      <c r="BA102" s="16">
        <f t="shared" si="47"/>
        <v>636.86666666666667</v>
      </c>
      <c r="BB102" s="9">
        <f t="shared" si="48"/>
        <v>1.9493966868096331</v>
      </c>
      <c r="BC102" s="119">
        <f t="shared" si="49"/>
        <v>26.92546004605974</v>
      </c>
      <c r="BE102" s="6"/>
      <c r="BG102" s="4"/>
      <c r="BH102" s="2"/>
      <c r="BI102" s="5"/>
      <c r="BJ102" s="102"/>
      <c r="BK102" s="102"/>
      <c r="BM102" s="104"/>
      <c r="BO102" s="102"/>
      <c r="BP102" s="2"/>
      <c r="BQ102" s="102"/>
      <c r="BR102" s="4"/>
      <c r="BS102" s="5"/>
      <c r="BU102" s="6"/>
      <c r="BV102" s="103"/>
      <c r="BW102" s="102"/>
      <c r="BY102" s="102"/>
      <c r="BZ102" s="102"/>
      <c r="CA102" s="102"/>
    </row>
    <row r="103" spans="1:79" x14ac:dyDescent="0.3">
      <c r="AW103" s="7">
        <v>45038.208333333336</v>
      </c>
      <c r="AX103" s="51">
        <v>2.9090994735041999E-3</v>
      </c>
      <c r="AY103" s="16">
        <v>75.652056590000001</v>
      </c>
      <c r="AZ103" s="2">
        <v>37720</v>
      </c>
      <c r="BA103" s="16">
        <f t="shared" si="47"/>
        <v>628.66666666666663</v>
      </c>
      <c r="BB103" s="9">
        <f t="shared" si="48"/>
        <v>1.8288538690096403</v>
      </c>
      <c r="BC103" s="119">
        <f t="shared" si="49"/>
        <v>25.808112517363558</v>
      </c>
      <c r="BE103" s="6"/>
      <c r="BG103" s="4"/>
      <c r="BH103" s="2"/>
      <c r="BI103" s="5"/>
      <c r="BJ103" s="102"/>
      <c r="BK103" s="102"/>
      <c r="BM103" s="104"/>
      <c r="BO103" s="102"/>
      <c r="BP103" s="2"/>
      <c r="BQ103" s="102"/>
      <c r="BR103" s="4"/>
      <c r="BS103" s="5"/>
      <c r="BU103" s="6"/>
      <c r="BV103" s="103"/>
      <c r="BW103" s="102"/>
      <c r="BY103" s="102"/>
      <c r="BZ103" s="102"/>
      <c r="CA103" s="102"/>
    </row>
    <row r="104" spans="1:79" x14ac:dyDescent="0.3">
      <c r="AW104" s="7">
        <v>45038.21875</v>
      </c>
      <c r="AX104" s="51">
        <v>2.8299126371215499E-3</v>
      </c>
      <c r="AY104" s="16">
        <v>71.17580074</v>
      </c>
      <c r="AZ104" s="2">
        <v>38331</v>
      </c>
      <c r="BA104" s="16">
        <f t="shared" si="47"/>
        <v>638.85</v>
      </c>
      <c r="BB104" s="9">
        <f t="shared" si="48"/>
        <v>1.8078896882251023</v>
      </c>
      <c r="BC104" s="119">
        <f t="shared" si="49"/>
        <v>25.611295313382943</v>
      </c>
      <c r="BE104" s="6"/>
      <c r="BG104" s="4"/>
      <c r="BH104" s="2"/>
      <c r="BI104" s="5"/>
      <c r="BJ104" s="102"/>
      <c r="BK104" s="102"/>
      <c r="BM104" s="104"/>
      <c r="BO104" s="102"/>
      <c r="BP104" s="2"/>
      <c r="BQ104" s="102"/>
      <c r="BR104" s="4"/>
      <c r="BS104" s="5"/>
      <c r="BU104" s="6"/>
      <c r="BV104" s="103"/>
      <c r="BW104" s="102"/>
      <c r="BY104" s="102"/>
      <c r="BZ104" s="102"/>
      <c r="CA104" s="102"/>
    </row>
    <row r="105" spans="1:79" x14ac:dyDescent="0.3">
      <c r="AW105" s="7">
        <v>45038.229166666664</v>
      </c>
      <c r="AX105" s="51">
        <v>3.2336006999136302E-3</v>
      </c>
      <c r="AY105" s="16">
        <v>67.565551839999998</v>
      </c>
      <c r="AZ105" s="2">
        <v>37911</v>
      </c>
      <c r="BA105" s="16">
        <f t="shared" si="47"/>
        <v>631.85</v>
      </c>
      <c r="BB105" s="9">
        <f t="shared" si="48"/>
        <v>2.0431506022404271</v>
      </c>
      <c r="BC105" s="119">
        <f t="shared" si="49"/>
        <v>27.778502907501718</v>
      </c>
      <c r="BE105" s="6"/>
      <c r="BG105" s="4"/>
      <c r="BH105" s="2"/>
      <c r="BI105" s="5"/>
      <c r="BJ105" s="102"/>
      <c r="BK105" s="102"/>
      <c r="BM105" s="104"/>
      <c r="BO105" s="102"/>
      <c r="BP105" s="2"/>
      <c r="BQ105" s="102"/>
      <c r="BR105" s="4"/>
      <c r="BS105" s="5"/>
      <c r="BU105" s="6"/>
      <c r="BV105" s="103"/>
      <c r="BW105" s="102"/>
      <c r="BY105" s="102"/>
      <c r="BZ105" s="102"/>
      <c r="CA105" s="102"/>
    </row>
    <row r="106" spans="1:79" x14ac:dyDescent="0.3">
      <c r="AW106" s="7">
        <v>45038.239583333336</v>
      </c>
      <c r="AX106" s="51">
        <v>2.96468135133552E-3</v>
      </c>
      <c r="AY106" s="16">
        <v>69.822823</v>
      </c>
      <c r="AZ106" s="2">
        <v>38195</v>
      </c>
      <c r="BA106" s="16">
        <f t="shared" si="47"/>
        <v>636.58333333333337</v>
      </c>
      <c r="BB106" s="9">
        <f t="shared" si="48"/>
        <v>1.8872667369043366</v>
      </c>
      <c r="BC106" s="119">
        <f t="shared" si="49"/>
        <v>26.352552394108844</v>
      </c>
      <c r="BE106" s="6"/>
      <c r="BG106" s="4"/>
      <c r="BH106" s="2"/>
      <c r="BI106" s="5"/>
      <c r="BJ106" s="102"/>
      <c r="BK106" s="102"/>
      <c r="BM106" s="104"/>
      <c r="BO106" s="102"/>
      <c r="BP106" s="2"/>
      <c r="BQ106" s="102"/>
      <c r="BR106" s="4"/>
      <c r="BS106" s="5"/>
      <c r="BU106" s="6"/>
      <c r="BV106" s="103"/>
      <c r="BW106" s="102"/>
      <c r="BY106" s="102"/>
      <c r="BZ106" s="102"/>
      <c r="CA106" s="102"/>
    </row>
    <row r="107" spans="1:79" x14ac:dyDescent="0.3">
      <c r="AW107" s="7">
        <v>45038.25</v>
      </c>
      <c r="AX107" s="51">
        <v>2.90065355462107E-3</v>
      </c>
      <c r="AY107" s="16">
        <v>70.720093730000002</v>
      </c>
      <c r="AZ107" s="2">
        <v>38278</v>
      </c>
      <c r="BA107" s="16">
        <f t="shared" si="47"/>
        <v>637.9666666666667</v>
      </c>
      <c r="BB107" s="9">
        <f t="shared" si="48"/>
        <v>1.8505202793964219</v>
      </c>
      <c r="BC107" s="119">
        <f t="shared" si="49"/>
        <v>26.010727513359281</v>
      </c>
      <c r="BE107" s="6"/>
      <c r="BG107" s="4"/>
      <c r="BH107" s="2"/>
      <c r="BI107" s="5"/>
      <c r="BJ107" s="102"/>
      <c r="BK107" s="102"/>
      <c r="BM107" s="104"/>
      <c r="BO107" s="102"/>
      <c r="BP107" s="2"/>
      <c r="BQ107" s="102"/>
      <c r="BR107" s="4"/>
      <c r="BS107" s="5"/>
      <c r="BU107" s="6"/>
      <c r="BV107" s="103"/>
      <c r="BW107" s="102"/>
      <c r="BY107" s="102"/>
      <c r="BZ107" s="102"/>
      <c r="CA107" s="102"/>
    </row>
    <row r="108" spans="1:79" x14ac:dyDescent="0.3">
      <c r="AW108" s="7">
        <v>45038.260416666664</v>
      </c>
      <c r="AX108" s="51">
        <v>2.9119134831467001E-3</v>
      </c>
      <c r="AY108" s="16">
        <v>68.466857000000005</v>
      </c>
      <c r="AZ108" s="2">
        <v>38286</v>
      </c>
      <c r="BA108" s="16">
        <f t="shared" si="47"/>
        <v>638.1</v>
      </c>
      <c r="BB108" s="9">
        <f t="shared" si="48"/>
        <v>1.8580919935959095</v>
      </c>
      <c r="BC108" s="119">
        <f t="shared" si="49"/>
        <v>26.081346722422975</v>
      </c>
      <c r="BE108" s="6"/>
      <c r="BG108" s="4"/>
      <c r="BH108" s="2"/>
      <c r="BI108" s="5"/>
      <c r="BJ108" s="102"/>
      <c r="BK108" s="102"/>
      <c r="BM108" s="104"/>
      <c r="BO108" s="102"/>
      <c r="BP108" s="2"/>
      <c r="BQ108" s="102"/>
      <c r="BR108" s="4"/>
      <c r="BS108" s="5"/>
      <c r="BU108" s="6"/>
      <c r="BV108" s="103"/>
      <c r="BW108" s="102"/>
      <c r="BY108" s="102"/>
      <c r="BZ108" s="102"/>
      <c r="CA108" s="102"/>
    </row>
    <row r="109" spans="1:79" x14ac:dyDescent="0.3">
      <c r="AW109" s="7">
        <v>45038.270833333336</v>
      </c>
      <c r="AX109" s="51">
        <v>2.9833613698658301E-3</v>
      </c>
      <c r="AY109" s="16">
        <v>67.557775419999999</v>
      </c>
      <c r="AZ109" s="2">
        <v>38159</v>
      </c>
      <c r="BA109" s="16">
        <f t="shared" si="47"/>
        <v>635.98333333333335</v>
      </c>
      <c r="BB109" s="9">
        <f t="shared" si="48"/>
        <v>1.8973681085451704</v>
      </c>
      <c r="BC109" s="119">
        <f t="shared" si="49"/>
        <v>26.446124857815828</v>
      </c>
      <c r="BE109" s="6"/>
      <c r="BG109" s="4"/>
      <c r="BH109" s="2"/>
      <c r="BI109" s="5"/>
      <c r="BJ109" s="102"/>
      <c r="BK109" s="102"/>
      <c r="BM109" s="104"/>
      <c r="BO109" s="102"/>
      <c r="BP109" s="2"/>
      <c r="BQ109" s="102"/>
      <c r="BR109" s="4"/>
      <c r="BS109" s="5"/>
      <c r="BU109" s="6"/>
      <c r="BV109" s="103"/>
      <c r="BW109" s="102"/>
      <c r="BY109" s="102"/>
      <c r="BZ109" s="102"/>
      <c r="CA109" s="102"/>
    </row>
    <row r="110" spans="1:79" x14ac:dyDescent="0.3">
      <c r="AW110" s="7">
        <v>45038.28125</v>
      </c>
      <c r="AX110" s="51">
        <v>3.13611735388937E-3</v>
      </c>
      <c r="AY110" s="16">
        <v>68.466857000000005</v>
      </c>
      <c r="AZ110" s="2">
        <v>38386</v>
      </c>
      <c r="BA110" s="16">
        <f t="shared" si="47"/>
        <v>639.76666666666665</v>
      </c>
      <c r="BB110" s="9">
        <f t="shared" si="48"/>
        <v>2.0063833457732891</v>
      </c>
      <c r="BC110" s="119">
        <f t="shared" si="49"/>
        <v>27.445567986456325</v>
      </c>
      <c r="BE110" s="6"/>
      <c r="BG110" s="4"/>
      <c r="BH110" s="2"/>
      <c r="BI110" s="5"/>
      <c r="BJ110" s="102"/>
      <c r="BK110" s="102"/>
      <c r="BM110" s="104"/>
      <c r="BO110" s="102"/>
      <c r="BP110" s="2"/>
      <c r="BQ110" s="102"/>
      <c r="BR110" s="4"/>
      <c r="BS110" s="5"/>
      <c r="BU110" s="6"/>
      <c r="BV110" s="103"/>
      <c r="BW110" s="102"/>
      <c r="BY110" s="102"/>
      <c r="BZ110" s="102"/>
      <c r="CA110" s="102"/>
    </row>
    <row r="111" spans="1:79" x14ac:dyDescent="0.3">
      <c r="AW111" s="7">
        <v>45038.291666666664</v>
      </c>
      <c r="AX111" s="51">
        <v>2.9257516943921899E-3</v>
      </c>
      <c r="AY111" s="16">
        <v>71.17580074</v>
      </c>
      <c r="AZ111" s="2">
        <v>38185</v>
      </c>
      <c r="BA111" s="16">
        <f t="shared" si="47"/>
        <v>636.41666666666663</v>
      </c>
      <c r="BB111" s="9">
        <f t="shared" si="48"/>
        <v>1.8619971408394294</v>
      </c>
      <c r="BC111" s="119">
        <f t="shared" si="49"/>
        <v>26.11773110980916</v>
      </c>
      <c r="BE111" s="6"/>
      <c r="BG111" s="4"/>
      <c r="BH111" s="2"/>
      <c r="BI111" s="5"/>
      <c r="BJ111" s="102"/>
      <c r="BK111" s="102"/>
      <c r="BM111" s="104"/>
      <c r="BO111" s="102"/>
      <c r="BP111" s="2"/>
      <c r="BQ111" s="102"/>
      <c r="BR111" s="4"/>
      <c r="BS111" s="5"/>
      <c r="BU111" s="6"/>
      <c r="BV111" s="103"/>
      <c r="BW111" s="102"/>
      <c r="BY111" s="102"/>
      <c r="BZ111" s="102"/>
      <c r="CA111" s="102"/>
    </row>
    <row r="112" spans="1:79" x14ac:dyDescent="0.3">
      <c r="AW112" s="7">
        <v>45038.302083333336</v>
      </c>
      <c r="AX112" s="51">
        <v>2.9266808716971798E-3</v>
      </c>
      <c r="AY112" s="16">
        <v>65.290959470000004</v>
      </c>
      <c r="AZ112" s="2">
        <v>38405</v>
      </c>
      <c r="BA112" s="16">
        <f t="shared" si="47"/>
        <v>640.08333333333337</v>
      </c>
      <c r="BB112" s="9">
        <f t="shared" si="48"/>
        <v>1.8733196479588365</v>
      </c>
      <c r="BC112" s="119">
        <f t="shared" si="49"/>
        <v>26.223078655692525</v>
      </c>
      <c r="BE112" s="6"/>
      <c r="BG112" s="4"/>
      <c r="BH112" s="2"/>
      <c r="BI112" s="5"/>
      <c r="BJ112" s="102"/>
      <c r="BK112" s="102"/>
      <c r="BM112" s="104"/>
      <c r="BO112" s="102"/>
      <c r="BP112" s="2"/>
      <c r="BQ112" s="102"/>
      <c r="BR112" s="4"/>
      <c r="BS112" s="5"/>
      <c r="BU112" s="6"/>
      <c r="BV112" s="103"/>
      <c r="BW112" s="102"/>
      <c r="BY112" s="102"/>
      <c r="BZ112" s="102"/>
      <c r="CA112" s="102"/>
    </row>
    <row r="113" spans="2:79" x14ac:dyDescent="0.3">
      <c r="AW113" s="7">
        <v>45038.3125</v>
      </c>
      <c r="AX113" s="51">
        <v>2.8095732068361798E-3</v>
      </c>
      <c r="AY113" s="16">
        <v>68.924680609999996</v>
      </c>
      <c r="AZ113" s="2">
        <v>38296</v>
      </c>
      <c r="BA113" s="16">
        <f t="shared" si="47"/>
        <v>638.26666666666665</v>
      </c>
      <c r="BB113" s="9">
        <f t="shared" si="48"/>
        <v>1.7932569254833057</v>
      </c>
      <c r="BC113" s="119">
        <f t="shared" si="49"/>
        <v>25.473464506266506</v>
      </c>
      <c r="BE113" s="6"/>
      <c r="BG113" s="4"/>
      <c r="BH113" s="2"/>
      <c r="BI113" s="5"/>
      <c r="BJ113" s="102"/>
      <c r="BK113" s="102"/>
      <c r="BM113" s="104"/>
      <c r="BO113" s="102"/>
      <c r="BP113" s="2"/>
      <c r="BQ113" s="102"/>
      <c r="BR113" s="4"/>
      <c r="BS113" s="5"/>
      <c r="BU113" s="6"/>
      <c r="BV113" s="103"/>
      <c r="BW113" s="102"/>
      <c r="BY113" s="102"/>
      <c r="BZ113" s="102"/>
      <c r="CA113" s="102"/>
    </row>
    <row r="114" spans="2:79" x14ac:dyDescent="0.3">
      <c r="AW114" s="7">
        <v>45038.322916666664</v>
      </c>
      <c r="AX114" s="51">
        <v>2.8522673585517598E-3</v>
      </c>
      <c r="AY114" s="16">
        <v>68.466857000000005</v>
      </c>
      <c r="AZ114" s="2">
        <v>38285</v>
      </c>
      <c r="BA114" s="16">
        <f t="shared" si="47"/>
        <v>638.08333333333337</v>
      </c>
      <c r="BB114" s="9">
        <f t="shared" si="48"/>
        <v>1.8199842637025689</v>
      </c>
      <c r="BC114" s="119">
        <f t="shared" si="49"/>
        <v>25.724935358221131</v>
      </c>
      <c r="BE114" s="6"/>
      <c r="BG114" s="4"/>
      <c r="BH114" s="2"/>
      <c r="BI114" s="5"/>
      <c r="BJ114" s="102"/>
      <c r="BK114" s="102"/>
      <c r="BM114" s="104"/>
      <c r="BO114" s="102"/>
      <c r="BP114" s="2"/>
      <c r="BQ114" s="102"/>
      <c r="BR114" s="4"/>
      <c r="BS114" s="5"/>
      <c r="BU114" s="6"/>
      <c r="BV114" s="103"/>
      <c r="BW114" s="102"/>
      <c r="BY114" s="102"/>
      <c r="BZ114" s="102"/>
      <c r="CA114" s="102"/>
    </row>
    <row r="115" spans="2:79" x14ac:dyDescent="0.3">
      <c r="AW115" s="7">
        <v>45038.333333333336</v>
      </c>
      <c r="AX115" s="51">
        <v>3.14324198659358E-3</v>
      </c>
      <c r="AY115" s="16">
        <v>72.069636250000002</v>
      </c>
      <c r="AZ115" s="2">
        <v>37473</v>
      </c>
      <c r="BA115" s="16">
        <f t="shared" si="47"/>
        <v>624.54999999999995</v>
      </c>
      <c r="BB115" s="9">
        <f t="shared" si="48"/>
        <v>1.9631117827270204</v>
      </c>
      <c r="BC115" s="119">
        <f t="shared" si="49"/>
        <v>27.051097119822121</v>
      </c>
      <c r="BE115" s="6"/>
      <c r="BG115" s="4"/>
      <c r="BH115" s="2"/>
      <c r="BI115" s="5"/>
      <c r="BJ115" s="102"/>
      <c r="BK115" s="102"/>
      <c r="BM115" s="104"/>
      <c r="BO115" s="102"/>
      <c r="BP115" s="2"/>
      <c r="BQ115" s="102"/>
      <c r="BR115" s="4"/>
      <c r="BS115" s="5"/>
      <c r="BU115" s="6"/>
      <c r="BV115" s="103"/>
      <c r="BW115" s="102"/>
      <c r="BY115" s="102"/>
      <c r="BZ115" s="102"/>
      <c r="CA115" s="102"/>
    </row>
    <row r="116" spans="2:79" x14ac:dyDescent="0.3">
      <c r="AW116" s="7">
        <v>45038.34375</v>
      </c>
      <c r="AX116" s="51">
        <v>3.0861088450769101E-3</v>
      </c>
      <c r="AY116" s="16">
        <v>69.822823</v>
      </c>
      <c r="AZ116" s="2">
        <v>38513</v>
      </c>
      <c r="BA116" s="16">
        <f t="shared" si="47"/>
        <v>641.88333333333333</v>
      </c>
      <c r="BB116" s="9">
        <f t="shared" si="48"/>
        <v>1.9809218325074507</v>
      </c>
      <c r="BC116" s="119">
        <f t="shared" si="49"/>
        <v>27.213806763305616</v>
      </c>
      <c r="BE116" s="6"/>
      <c r="BG116" s="4"/>
      <c r="BH116" s="2"/>
      <c r="BI116" s="5"/>
      <c r="BJ116" s="102"/>
      <c r="BK116" s="102"/>
      <c r="BM116" s="104"/>
      <c r="BO116" s="102"/>
      <c r="BP116" s="2"/>
      <c r="BQ116" s="102"/>
      <c r="BR116" s="4"/>
      <c r="BS116" s="5"/>
      <c r="BU116" s="6"/>
      <c r="BV116" s="103"/>
      <c r="BW116" s="102"/>
      <c r="BY116" s="102"/>
      <c r="BZ116" s="102"/>
      <c r="CA116" s="102"/>
    </row>
    <row r="117" spans="2:79" x14ac:dyDescent="0.3">
      <c r="AW117" s="7">
        <v>45038.354166666664</v>
      </c>
      <c r="AX117" s="51">
        <v>2.8970520641407099E-3</v>
      </c>
      <c r="AY117" s="16">
        <v>64.837941950000001</v>
      </c>
      <c r="AZ117" s="2">
        <v>38314</v>
      </c>
      <c r="BA117" s="16">
        <f t="shared" si="47"/>
        <v>638.56666666666672</v>
      </c>
      <c r="BB117" s="9">
        <f t="shared" si="48"/>
        <v>1.8499608797581195</v>
      </c>
      <c r="BC117" s="119">
        <f t="shared" si="49"/>
        <v>26.005506305663737</v>
      </c>
      <c r="BE117" s="6"/>
      <c r="BG117" s="4"/>
      <c r="BH117" s="2"/>
      <c r="BI117" s="5"/>
      <c r="BJ117" s="102"/>
      <c r="BK117" s="102"/>
      <c r="BM117" s="104"/>
      <c r="BO117" s="102"/>
      <c r="BP117" s="2"/>
      <c r="BQ117" s="102"/>
      <c r="BR117" s="4"/>
      <c r="BS117" s="5"/>
      <c r="BU117" s="6"/>
      <c r="BV117" s="103"/>
      <c r="BW117" s="102"/>
      <c r="BY117" s="102"/>
      <c r="BZ117" s="102"/>
      <c r="CA117" s="102"/>
    </row>
    <row r="118" spans="2:79" x14ac:dyDescent="0.3">
      <c r="B118" s="93" t="s">
        <v>15</v>
      </c>
      <c r="C118" s="94" t="s">
        <v>18</v>
      </c>
      <c r="D118" s="95"/>
      <c r="E118" s="93" t="s">
        <v>16</v>
      </c>
      <c r="F118" s="94" t="s">
        <v>19</v>
      </c>
      <c r="G118" s="95"/>
      <c r="AW118" s="7">
        <v>45038.364583333336</v>
      </c>
      <c r="AX118" s="51">
        <v>3.1100979063388001E-3</v>
      </c>
      <c r="AY118" s="16">
        <v>69.822823</v>
      </c>
      <c r="AZ118" s="2">
        <v>37784</v>
      </c>
      <c r="BA118" s="16">
        <f t="shared" si="47"/>
        <v>629.73333333333335</v>
      </c>
      <c r="BB118" s="9">
        <f t="shared" si="48"/>
        <v>1.9585323215517538</v>
      </c>
      <c r="BC118" s="119">
        <f t="shared" si="49"/>
        <v>27.009179881711241</v>
      </c>
      <c r="BE118" s="6"/>
      <c r="BG118" s="4"/>
      <c r="BH118" s="2"/>
      <c r="BI118" s="5"/>
      <c r="BJ118" s="102"/>
      <c r="BK118" s="102"/>
      <c r="BM118" s="104"/>
      <c r="BO118" s="102"/>
      <c r="BP118" s="2"/>
      <c r="BQ118" s="102"/>
      <c r="BR118" s="4"/>
      <c r="BS118" s="5"/>
      <c r="BU118" s="6"/>
      <c r="BV118" s="103"/>
      <c r="BW118" s="102"/>
      <c r="BY118" s="102"/>
      <c r="BZ118" s="102"/>
      <c r="CA118" s="102"/>
    </row>
    <row r="119" spans="2:79" x14ac:dyDescent="0.3">
      <c r="C119" s="10" t="s">
        <v>4</v>
      </c>
      <c r="D119" s="15" t="s">
        <v>5</v>
      </c>
      <c r="E119"/>
      <c r="F119" s="10" t="s">
        <v>4</v>
      </c>
      <c r="G119" s="15" t="s">
        <v>5</v>
      </c>
      <c r="AW119" s="7">
        <v>45038.375</v>
      </c>
      <c r="AX119" s="51">
        <v>2.7999319433203601E-3</v>
      </c>
      <c r="AY119" s="16">
        <v>68.466857000000005</v>
      </c>
      <c r="AZ119" s="2">
        <v>37754</v>
      </c>
      <c r="BA119" s="16">
        <f t="shared" si="47"/>
        <v>629.23333333333335</v>
      </c>
      <c r="BB119" s="9">
        <f t="shared" si="48"/>
        <v>1.7618105098019479</v>
      </c>
      <c r="BC119" s="119">
        <f t="shared" si="49"/>
        <v>25.175974514418613</v>
      </c>
      <c r="BE119" s="6"/>
      <c r="BG119" s="4"/>
      <c r="BH119" s="2"/>
      <c r="BI119" s="5"/>
      <c r="BJ119" s="102"/>
      <c r="BK119" s="102"/>
      <c r="BM119" s="104"/>
      <c r="BO119" s="102"/>
      <c r="BP119" s="2"/>
      <c r="BQ119" s="102"/>
      <c r="BR119" s="4"/>
      <c r="BS119" s="5"/>
      <c r="BU119" s="6"/>
      <c r="BV119" s="103"/>
      <c r="BW119" s="102"/>
      <c r="BY119" s="102"/>
      <c r="BZ119" s="102"/>
      <c r="CA119" s="102"/>
    </row>
    <row r="120" spans="2:79" x14ac:dyDescent="0.3">
      <c r="B120" s="7">
        <v>44776.615277777775</v>
      </c>
      <c r="C120" s="50">
        <f>C62</f>
        <v>1.3141996124999999</v>
      </c>
      <c r="D120" s="40">
        <f>G62</f>
        <v>0</v>
      </c>
      <c r="E120" s="7"/>
      <c r="F120" s="97" t="s">
        <v>30</v>
      </c>
      <c r="G120" s="67"/>
      <c r="AW120" s="7">
        <v>45038.385416666664</v>
      </c>
      <c r="AX120" s="51">
        <v>3.2262691508330001E-3</v>
      </c>
      <c r="AY120" s="16">
        <v>68.924680609999996</v>
      </c>
      <c r="AZ120" s="2">
        <v>38439</v>
      </c>
      <c r="BA120" s="16">
        <f t="shared" si="47"/>
        <v>640.65</v>
      </c>
      <c r="BB120" s="9">
        <f t="shared" si="48"/>
        <v>2.0669093314811615</v>
      </c>
      <c r="BC120" s="119">
        <f t="shared" si="49"/>
        <v>27.992572437607599</v>
      </c>
      <c r="BE120" s="6"/>
      <c r="BG120" s="4"/>
      <c r="BH120" s="2"/>
      <c r="BI120" s="5"/>
      <c r="BJ120" s="102"/>
      <c r="BK120" s="102"/>
      <c r="BM120" s="104"/>
      <c r="BO120" s="102"/>
      <c r="BP120" s="2"/>
      <c r="BQ120" s="102"/>
      <c r="BR120" s="4"/>
      <c r="BS120" s="5"/>
      <c r="BU120" s="6"/>
      <c r="BV120" s="103"/>
      <c r="BW120" s="102"/>
      <c r="BY120" s="102"/>
      <c r="BZ120" s="102"/>
      <c r="CA120" s="102"/>
    </row>
    <row r="121" spans="2:79" x14ac:dyDescent="0.3">
      <c r="B121" s="7">
        <v>44776.625694444447</v>
      </c>
      <c r="C121" s="50">
        <f>C63</f>
        <v>12.6789259225</v>
      </c>
      <c r="D121" s="40">
        <f>G63</f>
        <v>65.822865624683701</v>
      </c>
      <c r="E121" s="7"/>
      <c r="F121" s="46"/>
      <c r="G121" s="67"/>
      <c r="AW121" s="7">
        <v>45038.395833333336</v>
      </c>
      <c r="AX121" s="51">
        <v>2.8105070054681401E-3</v>
      </c>
      <c r="AY121" s="16">
        <v>63.92387093</v>
      </c>
      <c r="AZ121" s="2">
        <v>37862</v>
      </c>
      <c r="BA121" s="16">
        <f t="shared" si="47"/>
        <v>631.0333333333333</v>
      </c>
      <c r="BB121" s="9">
        <f t="shared" si="48"/>
        <v>1.7735236040172453</v>
      </c>
      <c r="BC121" s="119">
        <f t="shared" si="49"/>
        <v>25.28698983033982</v>
      </c>
      <c r="BE121" s="6"/>
      <c r="BG121" s="4"/>
      <c r="BH121" s="2"/>
      <c r="BI121" s="5"/>
      <c r="BJ121" s="102"/>
      <c r="BK121" s="102"/>
      <c r="BM121" s="104"/>
      <c r="BO121" s="102"/>
      <c r="BP121" s="2"/>
      <c r="BQ121" s="102"/>
      <c r="BR121" s="4"/>
      <c r="BS121" s="5"/>
      <c r="BV121" s="103"/>
      <c r="BW121" s="102"/>
      <c r="BY121" s="102"/>
      <c r="BZ121" s="102"/>
    </row>
    <row r="122" spans="2:79" x14ac:dyDescent="0.3">
      <c r="B122" s="57">
        <f>_xlfn.FORECAST.LINEAR(D122,B120:B121,D120:D121)</f>
        <v>44776.622183939173</v>
      </c>
      <c r="C122" s="26">
        <f>_xlfn.FORECAST.LINEAR(D122,C120:C121,D120:D121)</f>
        <v>8.8489164842372787</v>
      </c>
      <c r="D122" s="14">
        <v>43.64</v>
      </c>
      <c r="E122" s="57"/>
      <c r="F122" s="26" t="e">
        <f>_xlfn.FORECAST.LINEAR(G122,F120:F121,G120:G121)</f>
        <v>#DIV/0!</v>
      </c>
      <c r="G122" s="14">
        <v>82</v>
      </c>
      <c r="AW122" s="7">
        <v>45038.40625</v>
      </c>
      <c r="AX122" s="51">
        <v>3.0616695711307299E-3</v>
      </c>
      <c r="AY122" s="16">
        <v>65.290959470000004</v>
      </c>
      <c r="AZ122" s="2">
        <v>38298</v>
      </c>
      <c r="BA122" s="16">
        <f t="shared" si="47"/>
        <v>638.29999999999995</v>
      </c>
      <c r="BB122" s="9">
        <f t="shared" si="48"/>
        <v>1.9542636872527448</v>
      </c>
      <c r="BC122" s="119">
        <f t="shared" si="49"/>
        <v>26.97007807463396</v>
      </c>
      <c r="BE122" s="6"/>
      <c r="BG122" s="4"/>
      <c r="BH122" s="2"/>
      <c r="BI122" s="5"/>
      <c r="BJ122" s="102"/>
      <c r="BK122" s="102"/>
      <c r="BM122" s="104"/>
      <c r="BO122" s="102"/>
      <c r="BP122" s="2"/>
      <c r="BQ122" s="102"/>
      <c r="BR122" s="4"/>
      <c r="BS122" s="5"/>
    </row>
    <row r="123" spans="2:79" x14ac:dyDescent="0.3">
      <c r="AW123" s="7">
        <v>45038.416666666664</v>
      </c>
      <c r="AX123" s="51">
        <v>2.9766864693551E-3</v>
      </c>
      <c r="AY123" s="16">
        <v>66.203758769999993</v>
      </c>
      <c r="AZ123" s="2">
        <v>38185</v>
      </c>
      <c r="BA123" s="16">
        <f t="shared" si="47"/>
        <v>636.41666666666663</v>
      </c>
      <c r="BB123" s="9">
        <f t="shared" si="48"/>
        <v>1.8944128805387415</v>
      </c>
      <c r="BC123" s="119">
        <f t="shared" si="49"/>
        <v>26.418766928372932</v>
      </c>
      <c r="BE123" s="6"/>
      <c r="BG123" s="4"/>
      <c r="BH123" s="2"/>
      <c r="BI123" s="5"/>
      <c r="BJ123" s="102"/>
      <c r="BK123" s="102"/>
      <c r="BM123" s="104"/>
      <c r="BO123" s="102"/>
      <c r="BP123" s="2"/>
      <c r="BQ123" s="102"/>
      <c r="BR123" s="4"/>
      <c r="BS123" s="5"/>
    </row>
    <row r="124" spans="2:79" x14ac:dyDescent="0.3">
      <c r="B124" s="93" t="s">
        <v>17</v>
      </c>
      <c r="C124" s="94" t="s">
        <v>20</v>
      </c>
      <c r="D124" s="95"/>
      <c r="E124" s="93" t="s">
        <v>21</v>
      </c>
      <c r="F124" s="96" t="s">
        <v>22</v>
      </c>
      <c r="G124" s="95"/>
      <c r="I124" s="93" t="s">
        <v>15</v>
      </c>
      <c r="J124" s="94" t="s">
        <v>18</v>
      </c>
      <c r="K124" s="95"/>
      <c r="L124" s="93" t="s">
        <v>16</v>
      </c>
      <c r="M124" s="94" t="s">
        <v>19</v>
      </c>
      <c r="N124" s="95"/>
      <c r="AW124" s="7">
        <v>45038.427083333336</v>
      </c>
      <c r="AX124" s="51">
        <v>3.1751807135598901E-3</v>
      </c>
      <c r="AY124" s="16">
        <v>66.203758769999993</v>
      </c>
      <c r="AZ124" s="2">
        <v>38150</v>
      </c>
      <c r="BA124" s="16">
        <f t="shared" si="47"/>
        <v>635.83333333333337</v>
      </c>
      <c r="BB124" s="9">
        <f t="shared" si="48"/>
        <v>2.0188857370384969</v>
      </c>
      <c r="BC124" s="119">
        <f t="shared" si="49"/>
        <v>27.559007890131472</v>
      </c>
      <c r="BE124" s="6"/>
      <c r="BG124" s="4"/>
      <c r="BH124" s="2"/>
      <c r="BI124" s="5"/>
      <c r="BJ124" s="102"/>
      <c r="BK124" s="102"/>
      <c r="BM124" s="104"/>
      <c r="BN124" s="4"/>
      <c r="BO124" s="102"/>
      <c r="BP124" s="2"/>
      <c r="BQ124" s="102"/>
      <c r="BR124" s="4"/>
      <c r="BS124" s="5"/>
    </row>
    <row r="125" spans="2:79" x14ac:dyDescent="0.3">
      <c r="C125" s="10" t="s">
        <v>4</v>
      </c>
      <c r="D125" s="15" t="s">
        <v>5</v>
      </c>
      <c r="F125" s="10" t="s">
        <v>4</v>
      </c>
      <c r="G125" s="15" t="s">
        <v>5</v>
      </c>
      <c r="I125"/>
      <c r="J125" s="10" t="s">
        <v>4</v>
      </c>
      <c r="K125" s="15" t="s">
        <v>5</v>
      </c>
      <c r="M125" s="10" t="s">
        <v>4</v>
      </c>
      <c r="N125" s="15" t="s">
        <v>5</v>
      </c>
      <c r="Q125" s="93" t="s">
        <v>15</v>
      </c>
      <c r="R125" s="94" t="s">
        <v>18</v>
      </c>
      <c r="S125" s="95"/>
      <c r="T125" s="93" t="s">
        <v>16</v>
      </c>
      <c r="U125" s="94" t="s">
        <v>19</v>
      </c>
      <c r="V125" s="95"/>
      <c r="Y125" s="93" t="s">
        <v>15</v>
      </c>
      <c r="Z125" s="94" t="s">
        <v>18</v>
      </c>
      <c r="AA125" s="95"/>
      <c r="AB125" s="93" t="s">
        <v>16</v>
      </c>
      <c r="AC125" s="94" t="s">
        <v>19</v>
      </c>
      <c r="AD125" s="95"/>
      <c r="AG125" s="93" t="s">
        <v>15</v>
      </c>
      <c r="AH125" s="94" t="s">
        <v>18</v>
      </c>
      <c r="AI125" s="95"/>
      <c r="AJ125" s="93" t="s">
        <v>16</v>
      </c>
      <c r="AK125" s="94" t="s">
        <v>19</v>
      </c>
      <c r="AL125" s="95"/>
      <c r="AO125" s="93" t="s">
        <v>15</v>
      </c>
      <c r="AP125" s="94" t="s">
        <v>18</v>
      </c>
      <c r="AQ125" s="95"/>
      <c r="AR125" s="93" t="s">
        <v>16</v>
      </c>
      <c r="AS125" s="94" t="s">
        <v>19</v>
      </c>
      <c r="AT125" s="95"/>
      <c r="AW125" s="7">
        <v>45038.4375</v>
      </c>
      <c r="AX125" s="51">
        <v>2.8910280576429099E-3</v>
      </c>
      <c r="AY125" s="16">
        <v>66.655723199999997</v>
      </c>
      <c r="AZ125" s="2">
        <v>37990</v>
      </c>
      <c r="BA125" s="16">
        <f t="shared" si="47"/>
        <v>633.16666666666663</v>
      </c>
      <c r="BB125" s="9">
        <f t="shared" si="48"/>
        <v>1.8305025984975689</v>
      </c>
      <c r="BC125" s="119">
        <f t="shared" si="49"/>
        <v>25.823558977531796</v>
      </c>
      <c r="BE125" s="6"/>
      <c r="BG125" s="4"/>
      <c r="BH125" s="2"/>
      <c r="BI125" s="5"/>
      <c r="BJ125" s="102"/>
      <c r="BK125" s="102"/>
      <c r="BM125" s="104"/>
      <c r="BN125" s="4"/>
      <c r="BO125" s="102"/>
      <c r="BP125" s="2"/>
      <c r="BQ125" s="102"/>
      <c r="BR125" s="4"/>
      <c r="BS125" s="5"/>
    </row>
    <row r="126" spans="2:79" x14ac:dyDescent="0.3">
      <c r="B126" s="63">
        <f>B121</f>
        <v>44776.625694444447</v>
      </c>
      <c r="C126" s="12">
        <f>C121</f>
        <v>12.6789259225</v>
      </c>
      <c r="D126" s="14">
        <f>D121</f>
        <v>65.822865624683701</v>
      </c>
      <c r="E126" s="7"/>
      <c r="F126" t="s">
        <v>30</v>
      </c>
      <c r="I126" s="7">
        <f>I60</f>
        <v>44781.594444444447</v>
      </c>
      <c r="J126" s="50">
        <f>K60</f>
        <v>13.5126390895</v>
      </c>
      <c r="K126" s="40">
        <f>O60</f>
        <v>36.423656397931644</v>
      </c>
      <c r="L126" s="7"/>
      <c r="M126" s="97" t="s">
        <v>30</v>
      </c>
      <c r="N126" s="67"/>
      <c r="R126" s="10" t="s">
        <v>4</v>
      </c>
      <c r="S126" s="15" t="s">
        <v>5</v>
      </c>
      <c r="U126" s="10" t="s">
        <v>4</v>
      </c>
      <c r="V126" s="15" t="s">
        <v>5</v>
      </c>
      <c r="Z126" s="10" t="s">
        <v>4</v>
      </c>
      <c r="AA126" s="15" t="s">
        <v>5</v>
      </c>
      <c r="AC126" s="10" t="s">
        <v>4</v>
      </c>
      <c r="AD126" s="15" t="s">
        <v>5</v>
      </c>
      <c r="AH126" s="10" t="s">
        <v>4</v>
      </c>
      <c r="AI126" s="15" t="s">
        <v>5</v>
      </c>
      <c r="AK126" s="10" t="s">
        <v>4</v>
      </c>
      <c r="AL126" s="15" t="s">
        <v>5</v>
      </c>
      <c r="AP126" s="10" t="s">
        <v>4</v>
      </c>
      <c r="AQ126" s="15" t="s">
        <v>5</v>
      </c>
      <c r="AS126" s="10" t="s">
        <v>4</v>
      </c>
      <c r="AT126" s="15" t="s">
        <v>5</v>
      </c>
      <c r="AU126" s="58"/>
      <c r="AW126" s="7">
        <v>45038.447916666664</v>
      </c>
      <c r="AX126" s="51">
        <v>2.91464775062515E-3</v>
      </c>
      <c r="AY126" s="16">
        <v>74.764849499999997</v>
      </c>
      <c r="AZ126" s="2">
        <v>37563</v>
      </c>
      <c r="BA126" s="16">
        <f t="shared" si="47"/>
        <v>626.04999999999995</v>
      </c>
      <c r="BB126" s="9">
        <f t="shared" si="48"/>
        <v>1.8247152242788749</v>
      </c>
      <c r="BC126" s="119">
        <f t="shared" si="49"/>
        <v>25.769318146815667</v>
      </c>
      <c r="BE126" s="6"/>
      <c r="BG126" s="4"/>
      <c r="BH126" s="2"/>
      <c r="BI126" s="5"/>
      <c r="BJ126" s="102"/>
      <c r="BK126" s="102"/>
      <c r="BM126" s="104"/>
      <c r="BN126" s="4"/>
      <c r="BO126" s="102"/>
      <c r="BP126" s="2"/>
      <c r="BQ126" s="102"/>
      <c r="BR126" s="4"/>
      <c r="BS126" s="5"/>
    </row>
    <row r="127" spans="2:79" x14ac:dyDescent="0.3">
      <c r="I127" s="7">
        <f>I61</f>
        <v>44781.604861111111</v>
      </c>
      <c r="J127" s="50">
        <f>K61</f>
        <v>21.08342828</v>
      </c>
      <c r="K127" s="40">
        <f>O61</f>
        <v>48.45276073386529</v>
      </c>
      <c r="L127" s="7"/>
      <c r="M127" s="46"/>
      <c r="N127" s="67"/>
      <c r="Q127" s="7">
        <f>Q61</f>
        <v>45136.604166666664</v>
      </c>
      <c r="R127" s="50">
        <f>S65</f>
        <v>14.6021538</v>
      </c>
      <c r="S127" s="40">
        <f>W65</f>
        <v>30.479598592047516</v>
      </c>
      <c r="T127" s="7"/>
      <c r="U127" s="97" t="s">
        <v>30</v>
      </c>
      <c r="V127" s="67"/>
      <c r="Y127" s="7"/>
      <c r="Z127" s="110" t="s">
        <v>31</v>
      </c>
      <c r="AA127" s="40"/>
      <c r="AB127" s="7"/>
      <c r="AC127" s="97" t="s">
        <v>30</v>
      </c>
      <c r="AD127" s="67"/>
      <c r="AG127" s="7"/>
      <c r="AH127" s="110" t="s">
        <v>31</v>
      </c>
      <c r="AI127" s="40"/>
      <c r="AJ127" s="7"/>
      <c r="AK127" s="97" t="s">
        <v>30</v>
      </c>
      <c r="AL127" s="67"/>
      <c r="AO127" s="7">
        <f>AO93</f>
        <v>45183.9375</v>
      </c>
      <c r="AP127" s="50">
        <f>AQ93</f>
        <v>1.4444654269999999</v>
      </c>
      <c r="AQ127" s="40">
        <f>AU93</f>
        <v>43.612286420014215</v>
      </c>
      <c r="AR127" s="7"/>
      <c r="AS127" s="97" t="s">
        <v>30</v>
      </c>
      <c r="AT127" s="67"/>
      <c r="AU127" s="2"/>
      <c r="AW127" s="7">
        <v>45038.458333333336</v>
      </c>
      <c r="AX127" s="51">
        <v>2.96952960229916E-3</v>
      </c>
      <c r="AY127" s="16">
        <v>71.17580074</v>
      </c>
      <c r="AZ127" s="2">
        <v>38165</v>
      </c>
      <c r="BA127" s="16">
        <f t="shared" si="47"/>
        <v>636.08333333333337</v>
      </c>
      <c r="BB127" s="9">
        <f t="shared" si="48"/>
        <v>1.8888682878624574</v>
      </c>
      <c r="BC127" s="119">
        <f t="shared" si="49"/>
        <v>26.367399313278852</v>
      </c>
      <c r="BE127" s="6"/>
      <c r="BG127" s="4"/>
      <c r="BH127" s="2"/>
      <c r="BI127" s="5"/>
      <c r="BJ127" s="102"/>
      <c r="BK127" s="102"/>
      <c r="BM127" s="104"/>
      <c r="BN127" s="4"/>
      <c r="BO127" s="102"/>
      <c r="BP127" s="2"/>
      <c r="BQ127" s="102"/>
      <c r="BR127" s="4"/>
      <c r="BS127" s="5"/>
    </row>
    <row r="128" spans="2:79" x14ac:dyDescent="0.3">
      <c r="B128" s="93" t="s">
        <v>23</v>
      </c>
      <c r="C128" s="94" t="s">
        <v>24</v>
      </c>
      <c r="D128" s="95"/>
      <c r="E128" s="93" t="s">
        <v>25</v>
      </c>
      <c r="F128" s="94" t="s">
        <v>26</v>
      </c>
      <c r="G128" s="95"/>
      <c r="I128" s="57">
        <f>_xlfn.FORECAST.LINEAR(K128,I126:I127,K126:K127)</f>
        <v>44781.60069347544</v>
      </c>
      <c r="J128" s="26">
        <f>_xlfn.FORECAST.LINEAR(K128,J126:J127,K126:K127)</f>
        <v>18.054408336132155</v>
      </c>
      <c r="K128" s="14">
        <v>43.64</v>
      </c>
      <c r="L128" s="57"/>
      <c r="M128" s="26" t="e">
        <f>_xlfn.FORECAST.LINEAR(N128,M126:M127,N126:N127)</f>
        <v>#DIV/0!</v>
      </c>
      <c r="N128" s="14">
        <v>82</v>
      </c>
      <c r="Q128" s="7">
        <f>Q62</f>
        <v>45136.614583333336</v>
      </c>
      <c r="R128" s="50">
        <f>S66</f>
        <v>20.131538750000001</v>
      </c>
      <c r="S128" s="40">
        <f>W66</f>
        <v>54.039141240285389</v>
      </c>
      <c r="T128" s="7"/>
      <c r="U128" s="46"/>
      <c r="V128" s="67"/>
      <c r="Y128" s="7"/>
      <c r="Z128" s="50"/>
      <c r="AA128" s="40"/>
      <c r="AB128" s="7"/>
      <c r="AC128" s="46"/>
      <c r="AD128" s="67"/>
      <c r="AG128" s="7"/>
      <c r="AH128" s="50"/>
      <c r="AI128" s="40"/>
      <c r="AJ128" s="7"/>
      <c r="AK128" s="46"/>
      <c r="AL128" s="67"/>
      <c r="AO128" s="7">
        <f>AO94</f>
        <v>45183.947916666664</v>
      </c>
      <c r="AP128" s="50">
        <f>AQ94</f>
        <v>2.060445487</v>
      </c>
      <c r="AQ128" s="40">
        <f>AU94</f>
        <v>43.959021915225279</v>
      </c>
      <c r="AR128" s="7"/>
      <c r="AS128" s="46"/>
      <c r="AT128" s="67"/>
      <c r="AU128" s="4"/>
      <c r="AW128" s="7">
        <v>45038.46875</v>
      </c>
      <c r="AX128" s="51">
        <v>3.1387023535165699E-3</v>
      </c>
      <c r="AY128" s="16">
        <v>66.203758769999993</v>
      </c>
      <c r="AZ128" s="2">
        <v>37660</v>
      </c>
      <c r="BA128" s="16">
        <f t="shared" si="47"/>
        <v>627.66666666666663</v>
      </c>
      <c r="BB128" s="9">
        <f t="shared" si="48"/>
        <v>1.9700588438905668</v>
      </c>
      <c r="BC128" s="119">
        <f t="shared" si="49"/>
        <v>27.11462307285915</v>
      </c>
      <c r="BE128" s="6"/>
      <c r="BG128" s="4"/>
      <c r="BH128" s="2"/>
      <c r="BI128" s="5"/>
      <c r="BJ128" s="102"/>
      <c r="BK128" s="102"/>
      <c r="BM128" s="104"/>
      <c r="BN128" s="4"/>
      <c r="BO128" s="102"/>
      <c r="BP128" s="2"/>
      <c r="BQ128" s="102"/>
      <c r="BR128" s="4"/>
      <c r="BS128" s="5"/>
    </row>
    <row r="129" spans="2:71" x14ac:dyDescent="0.3">
      <c r="C129" s="10" t="s">
        <v>4</v>
      </c>
      <c r="D129" s="15" t="s">
        <v>5</v>
      </c>
      <c r="E129"/>
      <c r="F129" s="10" t="s">
        <v>4</v>
      </c>
      <c r="G129" s="15" t="s">
        <v>5</v>
      </c>
      <c r="I129"/>
      <c r="J129"/>
      <c r="L129" s="2"/>
      <c r="Q129" s="57">
        <f>_xlfn.FORECAST.LINEAR(S129,Q127:Q128,S127:S128)</f>
        <v>45136.609985434741</v>
      </c>
      <c r="R129" s="26">
        <f>_xlfn.FORECAST.LINEAR(S129,R127:R128,S127:S128)</f>
        <v>17.690877828627698</v>
      </c>
      <c r="S129" s="14">
        <v>43.64</v>
      </c>
      <c r="T129" s="57"/>
      <c r="U129" s="26" t="e">
        <f>_xlfn.FORECAST.LINEAR(V129,U127:U128,V127:V128)</f>
        <v>#DIV/0!</v>
      </c>
      <c r="V129" s="14">
        <v>82</v>
      </c>
      <c r="Y129" s="57"/>
      <c r="Z129" s="26" t="e">
        <f>_xlfn.FORECAST.LINEAR(AA129,Z127:Z128,AA127:AA128)</f>
        <v>#DIV/0!</v>
      </c>
      <c r="AA129" s="14">
        <v>43.64</v>
      </c>
      <c r="AB129" s="57"/>
      <c r="AC129" s="26" t="e">
        <f>_xlfn.FORECAST.LINEAR(AD129,AC127:AC128,AD127:AD128)</f>
        <v>#DIV/0!</v>
      </c>
      <c r="AD129" s="14">
        <v>82</v>
      </c>
      <c r="AG129" s="57"/>
      <c r="AH129" s="26" t="e">
        <f>_xlfn.FORECAST.LINEAR(AI129,AH127:AH128,AI127:AI128)</f>
        <v>#DIV/0!</v>
      </c>
      <c r="AI129" s="14">
        <v>43.64</v>
      </c>
      <c r="AJ129" s="57"/>
      <c r="AK129" s="26" t="e">
        <f>_xlfn.FORECAST.LINEAR(AL129,AK127:AK128,AL127:AL128)</f>
        <v>#DIV/0!</v>
      </c>
      <c r="AL129" s="14">
        <v>82</v>
      </c>
      <c r="AO129" s="57">
        <f>_xlfn.FORECAST.LINEAR(AQ129,AO127:AO128,AQ127:AQ128)</f>
        <v>45183.938332574471</v>
      </c>
      <c r="AP129" s="26">
        <f>_xlfn.FORECAST.LINEAR(AQ129,AP127:AP128,AQ127:AQ128)</f>
        <v>1.4936989577409605</v>
      </c>
      <c r="AQ129" s="14">
        <v>43.64</v>
      </c>
      <c r="AR129" s="57"/>
      <c r="AS129" s="26" t="e">
        <f>_xlfn.FORECAST.LINEAR(AT129,AS127:AS128,AT127:AT128)</f>
        <v>#DIV/0!</v>
      </c>
      <c r="AT129" s="14">
        <v>82</v>
      </c>
      <c r="AU129" s="4"/>
      <c r="AW129" s="7">
        <v>45038.479166666664</v>
      </c>
      <c r="AX129" s="51">
        <v>3.1284982853624298E-3</v>
      </c>
      <c r="AY129" s="16">
        <v>63.92387093</v>
      </c>
      <c r="AZ129" s="2">
        <v>37572</v>
      </c>
      <c r="BA129" s="16">
        <f t="shared" si="47"/>
        <v>626.20000000000005</v>
      </c>
      <c r="BB129" s="9">
        <f t="shared" si="48"/>
        <v>1.9590656262939536</v>
      </c>
      <c r="BC129" s="119">
        <f t="shared" si="49"/>
        <v>27.014063079482714</v>
      </c>
      <c r="BE129" s="6"/>
      <c r="BG129" s="4"/>
      <c r="BH129" s="2"/>
      <c r="BI129" s="5"/>
      <c r="BJ129" s="102"/>
      <c r="BK129" s="102"/>
      <c r="BM129" s="104"/>
      <c r="BN129" s="4"/>
      <c r="BO129" s="102"/>
      <c r="BP129" s="2"/>
      <c r="BQ129" s="102"/>
      <c r="BR129" s="4"/>
      <c r="BS129" s="5"/>
    </row>
    <row r="130" spans="2:71" x14ac:dyDescent="0.3">
      <c r="B130" s="7">
        <v>44776.646527777775</v>
      </c>
      <c r="C130" s="47">
        <f>C63</f>
        <v>12.6789259225</v>
      </c>
      <c r="D130" s="29">
        <f>G63</f>
        <v>65.822865624683701</v>
      </c>
      <c r="E130" s="7"/>
      <c r="F130" s="97" t="s">
        <v>30</v>
      </c>
      <c r="G130" s="37"/>
      <c r="I130" s="93" t="s">
        <v>17</v>
      </c>
      <c r="J130" s="94" t="s">
        <v>20</v>
      </c>
      <c r="K130" s="95"/>
      <c r="L130" s="93" t="s">
        <v>21</v>
      </c>
      <c r="M130" s="96" t="s">
        <v>22</v>
      </c>
      <c r="N130" s="95"/>
      <c r="T130" s="2"/>
      <c r="AB130" s="2"/>
      <c r="AJ130" s="2"/>
      <c r="AR130" s="2"/>
      <c r="AU130" s="14"/>
      <c r="AW130" s="7">
        <v>45038.489583333336</v>
      </c>
      <c r="AX130" s="51">
        <v>3.0290211183930799E-3</v>
      </c>
      <c r="AY130" s="16">
        <v>66.655723199999997</v>
      </c>
      <c r="AZ130" s="2">
        <v>37674</v>
      </c>
      <c r="BA130" s="16">
        <f t="shared" si="47"/>
        <v>627.9</v>
      </c>
      <c r="BB130" s="9">
        <f t="shared" si="48"/>
        <v>1.9019223602390147</v>
      </c>
      <c r="BC130" s="119">
        <f t="shared" si="49"/>
        <v>26.488257682635876</v>
      </c>
      <c r="BE130" s="6"/>
      <c r="BG130" s="4"/>
      <c r="BH130" s="2"/>
      <c r="BI130" s="5"/>
      <c r="BJ130" s="102"/>
      <c r="BK130" s="102"/>
      <c r="BM130" s="104"/>
      <c r="BN130" s="4"/>
      <c r="BO130" s="102"/>
      <c r="BP130" s="2"/>
      <c r="BQ130" s="102"/>
      <c r="BR130" s="4"/>
      <c r="BS130" s="5"/>
    </row>
    <row r="131" spans="2:71" x14ac:dyDescent="0.3">
      <c r="B131" s="7">
        <v>44776.656944444447</v>
      </c>
      <c r="C131" s="47">
        <f>C64</f>
        <v>22.620213794999898</v>
      </c>
      <c r="D131" s="29">
        <f>G64</f>
        <v>40.60539343810273</v>
      </c>
      <c r="E131" s="7"/>
      <c r="F131" s="68"/>
      <c r="G131" s="37"/>
      <c r="I131"/>
      <c r="J131" s="10" t="s">
        <v>4</v>
      </c>
      <c r="K131" s="15" t="s">
        <v>5</v>
      </c>
      <c r="L131" s="2"/>
      <c r="M131" s="10" t="s">
        <v>4</v>
      </c>
      <c r="N131" s="15" t="s">
        <v>5</v>
      </c>
      <c r="Q131" s="93" t="s">
        <v>17</v>
      </c>
      <c r="R131" s="94" t="s">
        <v>20</v>
      </c>
      <c r="S131" s="95"/>
      <c r="T131" s="93" t="s">
        <v>21</v>
      </c>
      <c r="U131" s="96" t="s">
        <v>22</v>
      </c>
      <c r="V131" s="95"/>
      <c r="Y131" s="93" t="s">
        <v>17</v>
      </c>
      <c r="Z131" s="94" t="s">
        <v>20</v>
      </c>
      <c r="AA131" s="95"/>
      <c r="AB131" s="93" t="s">
        <v>21</v>
      </c>
      <c r="AC131" s="96" t="s">
        <v>22</v>
      </c>
      <c r="AD131" s="95"/>
      <c r="AG131" s="93" t="s">
        <v>17</v>
      </c>
      <c r="AH131" s="94" t="s">
        <v>20</v>
      </c>
      <c r="AI131" s="95"/>
      <c r="AJ131" s="93" t="s">
        <v>21</v>
      </c>
      <c r="AK131" s="96" t="s">
        <v>22</v>
      </c>
      <c r="AL131" s="95"/>
      <c r="AO131" s="93" t="s">
        <v>17</v>
      </c>
      <c r="AP131" s="94" t="s">
        <v>20</v>
      </c>
      <c r="AQ131" s="95"/>
      <c r="AR131" s="93" t="s">
        <v>21</v>
      </c>
      <c r="AS131" s="96" t="s">
        <v>22</v>
      </c>
      <c r="AT131" s="95"/>
      <c r="AU131" s="58"/>
      <c r="AW131" s="7">
        <v>45038.5</v>
      </c>
      <c r="AX131" s="51">
        <v>2.8262729854598798E-3</v>
      </c>
      <c r="AY131" s="16">
        <v>64.377553680000005</v>
      </c>
      <c r="AZ131" s="2">
        <v>36872</v>
      </c>
      <c r="BA131" s="16">
        <f t="shared" si="47"/>
        <v>614.5333333333333</v>
      </c>
      <c r="BB131" s="9">
        <f t="shared" si="48"/>
        <v>1.7368389586646114</v>
      </c>
      <c r="BC131" s="119">
        <f t="shared" si="49"/>
        <v>24.938465459424581</v>
      </c>
      <c r="BE131" s="6"/>
      <c r="BG131" s="4"/>
      <c r="BH131" s="2"/>
      <c r="BI131" s="5"/>
      <c r="BJ131" s="102"/>
      <c r="BK131" s="102"/>
      <c r="BM131" s="104"/>
      <c r="BN131" s="4"/>
      <c r="BO131" s="102"/>
      <c r="BP131" s="2"/>
      <c r="BQ131" s="102"/>
      <c r="BR131" s="4"/>
      <c r="BS131" s="5"/>
    </row>
    <row r="132" spans="2:71" x14ac:dyDescent="0.3">
      <c r="B132" s="57">
        <f>_xlfn.FORECAST.LINEAR(D132,B130:B131,D130:D131)</f>
        <v>44776.655690929234</v>
      </c>
      <c r="C132" s="26">
        <f>_xlfn.FORECAST.LINEAR(D132,C130:C131,D130:D131)</f>
        <v>21.423904458822609</v>
      </c>
      <c r="D132" s="14">
        <v>43.64</v>
      </c>
      <c r="E132"/>
      <c r="F132" s="26" t="e">
        <f>F122</f>
        <v>#DIV/0!</v>
      </c>
      <c r="G132" s="14">
        <v>82</v>
      </c>
      <c r="I132" s="63">
        <f>I127</f>
        <v>44781.604861111111</v>
      </c>
      <c r="J132" s="12">
        <f>J127</f>
        <v>21.08342828</v>
      </c>
      <c r="K132" s="14">
        <f>K127</f>
        <v>48.45276073386529</v>
      </c>
      <c r="L132" s="7"/>
      <c r="M132" t="s">
        <v>30</v>
      </c>
      <c r="R132" s="10" t="s">
        <v>4</v>
      </c>
      <c r="S132" s="15" t="s">
        <v>5</v>
      </c>
      <c r="T132" s="2"/>
      <c r="U132" s="10" t="s">
        <v>4</v>
      </c>
      <c r="V132" s="15" t="s">
        <v>5</v>
      </c>
      <c r="Z132" s="10" t="s">
        <v>4</v>
      </c>
      <c r="AA132" s="15" t="s">
        <v>5</v>
      </c>
      <c r="AB132" s="2"/>
      <c r="AC132" s="10" t="s">
        <v>4</v>
      </c>
      <c r="AD132" s="15" t="s">
        <v>5</v>
      </c>
      <c r="AH132" s="10" t="s">
        <v>4</v>
      </c>
      <c r="AI132" s="15" t="s">
        <v>5</v>
      </c>
      <c r="AJ132" s="2"/>
      <c r="AK132" s="10" t="s">
        <v>4</v>
      </c>
      <c r="AL132" s="15" t="s">
        <v>5</v>
      </c>
      <c r="AP132" s="10" t="s">
        <v>4</v>
      </c>
      <c r="AQ132" s="15" t="s">
        <v>5</v>
      </c>
      <c r="AR132" s="2"/>
      <c r="AS132" s="10" t="s">
        <v>4</v>
      </c>
      <c r="AT132" s="15" t="s">
        <v>5</v>
      </c>
      <c r="AU132" s="2"/>
      <c r="AW132" s="7">
        <v>45038.510416666664</v>
      </c>
      <c r="AX132" s="51">
        <v>2.9786383632939002E-3</v>
      </c>
      <c r="AY132" s="16">
        <v>67.557775419999999</v>
      </c>
      <c r="AZ132" s="2">
        <v>37173</v>
      </c>
      <c r="BA132" s="16">
        <f t="shared" ref="BA132:BA195" si="55">AZ132/60</f>
        <v>619.54999999999995</v>
      </c>
      <c r="BB132" s="9">
        <f t="shared" ref="BB132:BB195" si="56">BA132*AX132</f>
        <v>1.8454153979787358</v>
      </c>
      <c r="BC132" s="119">
        <f t="shared" ref="BC132:BC195" si="57">17.285*BB132^0.664</f>
        <v>25.963060947733773</v>
      </c>
      <c r="BE132" s="6"/>
      <c r="BG132" s="4"/>
      <c r="BH132" s="2"/>
      <c r="BI132" s="5"/>
      <c r="BJ132" s="102"/>
      <c r="BK132" s="102"/>
      <c r="BM132" s="104"/>
      <c r="BN132" s="4"/>
      <c r="BO132" s="102"/>
      <c r="BP132" s="2"/>
      <c r="BQ132" s="102"/>
      <c r="BR132" s="4"/>
      <c r="BS132" s="5"/>
    </row>
    <row r="133" spans="2:71" x14ac:dyDescent="0.3">
      <c r="I133"/>
      <c r="J133"/>
      <c r="L133" s="2"/>
      <c r="Q133" s="63">
        <f>Q128</f>
        <v>45136.614583333336</v>
      </c>
      <c r="R133" s="12">
        <f>R128</f>
        <v>20.131538750000001</v>
      </c>
      <c r="S133" s="14">
        <f>S128</f>
        <v>54.039141240285389</v>
      </c>
      <c r="T133" s="7"/>
      <c r="U133" t="s">
        <v>30</v>
      </c>
      <c r="Y133" s="63"/>
      <c r="Z133" s="109" t="s">
        <v>31</v>
      </c>
      <c r="AA133" s="14"/>
      <c r="AB133" s="7"/>
      <c r="AC133" t="s">
        <v>30</v>
      </c>
      <c r="AG133" s="63"/>
      <c r="AH133" s="109" t="s">
        <v>31</v>
      </c>
      <c r="AI133" s="14"/>
      <c r="AJ133" s="7"/>
      <c r="AK133" t="s">
        <v>30</v>
      </c>
      <c r="AO133" s="63">
        <f>AO128</f>
        <v>45183.947916666664</v>
      </c>
      <c r="AP133" s="4">
        <f>AP128</f>
        <v>2.060445487</v>
      </c>
      <c r="AQ133" s="14">
        <f>AQ128</f>
        <v>43.959021915225279</v>
      </c>
      <c r="AR133" s="7"/>
      <c r="AS133" t="s">
        <v>30</v>
      </c>
      <c r="AU133" s="4"/>
      <c r="AW133" s="7">
        <v>45038.520833333336</v>
      </c>
      <c r="AX133" s="51">
        <v>3.3508252114344398E-3</v>
      </c>
      <c r="AY133" s="16">
        <v>65.283151739999994</v>
      </c>
      <c r="AZ133" s="2">
        <v>37682</v>
      </c>
      <c r="BA133" s="16">
        <f t="shared" si="55"/>
        <v>628.0333333333333</v>
      </c>
      <c r="BB133" s="9">
        <f t="shared" si="56"/>
        <v>2.1044299269545426</v>
      </c>
      <c r="BC133" s="119">
        <f t="shared" si="57"/>
        <v>28.328962626456129</v>
      </c>
      <c r="BE133" s="6"/>
      <c r="BG133" s="4"/>
      <c r="BH133" s="2"/>
      <c r="BI133" s="5"/>
      <c r="BJ133" s="102"/>
      <c r="BK133" s="102"/>
      <c r="BM133" s="104"/>
      <c r="BN133" s="4"/>
      <c r="BO133" s="102"/>
      <c r="BP133" s="2"/>
      <c r="BQ133" s="102"/>
      <c r="BR133" s="4"/>
      <c r="BS133" s="5"/>
    </row>
    <row r="134" spans="2:71" x14ac:dyDescent="0.3">
      <c r="B134" s="93" t="s">
        <v>27</v>
      </c>
      <c r="C134" s="94" t="s">
        <v>28</v>
      </c>
      <c r="D134" s="95"/>
      <c r="E134" s="93" t="s">
        <v>27</v>
      </c>
      <c r="F134" s="94" t="s">
        <v>29</v>
      </c>
      <c r="G134" s="95"/>
      <c r="I134" s="93" t="s">
        <v>23</v>
      </c>
      <c r="J134" s="94" t="s">
        <v>24</v>
      </c>
      <c r="K134" s="95"/>
      <c r="L134" s="93" t="s">
        <v>25</v>
      </c>
      <c r="M134" s="94" t="s">
        <v>26</v>
      </c>
      <c r="N134" s="95"/>
      <c r="T134" s="2"/>
      <c r="AB134" s="2"/>
      <c r="AJ134" s="2"/>
      <c r="AR134" s="2"/>
      <c r="AU134" s="4"/>
      <c r="AW134" s="7">
        <v>45038.53125</v>
      </c>
      <c r="AX134" s="51">
        <v>3.1744365924223699E-3</v>
      </c>
      <c r="AY134" s="16">
        <v>72.523974480000007</v>
      </c>
      <c r="AZ134" s="2">
        <v>37784</v>
      </c>
      <c r="BA134" s="16">
        <f t="shared" si="55"/>
        <v>629.73333333333335</v>
      </c>
      <c r="BB134" s="9">
        <f t="shared" si="56"/>
        <v>1.9990485368014472</v>
      </c>
      <c r="BC134" s="119">
        <f t="shared" si="57"/>
        <v>27.378905382100914</v>
      </c>
      <c r="BE134" s="6"/>
      <c r="BG134" s="4"/>
      <c r="BH134" s="2"/>
      <c r="BI134" s="5"/>
      <c r="BJ134" s="102"/>
      <c r="BK134" s="102"/>
      <c r="BM134" s="104"/>
      <c r="BN134" s="4"/>
      <c r="BO134" s="102"/>
      <c r="BP134" s="2"/>
      <c r="BQ134" s="102"/>
      <c r="BR134" s="4"/>
      <c r="BS134" s="5"/>
    </row>
    <row r="135" spans="2:71" x14ac:dyDescent="0.3">
      <c r="C135" s="10" t="s">
        <v>4</v>
      </c>
      <c r="D135" s="15" t="s">
        <v>5</v>
      </c>
      <c r="F135" s="10" t="s">
        <v>4</v>
      </c>
      <c r="G135" s="15" t="s">
        <v>5</v>
      </c>
      <c r="I135"/>
      <c r="J135" s="10" t="s">
        <v>4</v>
      </c>
      <c r="K135" s="15" t="s">
        <v>5</v>
      </c>
      <c r="M135" s="10" t="s">
        <v>4</v>
      </c>
      <c r="N135" s="15" t="s">
        <v>5</v>
      </c>
      <c r="Q135" s="93" t="s">
        <v>23</v>
      </c>
      <c r="R135" s="94" t="s">
        <v>24</v>
      </c>
      <c r="S135" s="95"/>
      <c r="T135" s="93" t="s">
        <v>25</v>
      </c>
      <c r="U135" s="94" t="s">
        <v>26</v>
      </c>
      <c r="V135" s="95"/>
      <c r="Y135" s="93" t="s">
        <v>23</v>
      </c>
      <c r="Z135" s="94" t="s">
        <v>24</v>
      </c>
      <c r="AA135" s="95"/>
      <c r="AB135" s="93" t="s">
        <v>25</v>
      </c>
      <c r="AC135" s="94" t="s">
        <v>26</v>
      </c>
      <c r="AD135" s="95"/>
      <c r="AG135" s="93" t="s">
        <v>23</v>
      </c>
      <c r="AH135" s="94" t="s">
        <v>24</v>
      </c>
      <c r="AI135" s="95"/>
      <c r="AJ135" s="93" t="s">
        <v>25</v>
      </c>
      <c r="AK135" s="94" t="s">
        <v>26</v>
      </c>
      <c r="AL135" s="95"/>
      <c r="AO135" s="93" t="s">
        <v>23</v>
      </c>
      <c r="AP135" s="94" t="s">
        <v>24</v>
      </c>
      <c r="AQ135" s="95"/>
      <c r="AR135" s="93" t="s">
        <v>25</v>
      </c>
      <c r="AS135" s="94" t="s">
        <v>26</v>
      </c>
      <c r="AT135" s="95"/>
      <c r="AU135" s="14"/>
      <c r="AW135" s="7">
        <v>45038.541666666664</v>
      </c>
      <c r="AX135" s="51">
        <v>3.5332058396990202E-3</v>
      </c>
      <c r="AY135" s="16">
        <v>67.557775419999999</v>
      </c>
      <c r="AZ135" s="2">
        <v>37896</v>
      </c>
      <c r="BA135" s="16">
        <f t="shared" si="55"/>
        <v>631.6</v>
      </c>
      <c r="BB135" s="9">
        <f t="shared" si="56"/>
        <v>2.231572808353901</v>
      </c>
      <c r="BC135" s="119">
        <f t="shared" si="57"/>
        <v>29.454193006219377</v>
      </c>
      <c r="BE135" s="6"/>
      <c r="BG135" s="4"/>
      <c r="BH135" s="2"/>
      <c r="BI135" s="5"/>
      <c r="BJ135" s="102"/>
      <c r="BK135" s="102"/>
      <c r="BM135" s="104"/>
      <c r="BN135" s="4"/>
      <c r="BO135" s="102"/>
      <c r="BP135" s="2"/>
      <c r="BQ135" s="102"/>
      <c r="BR135" s="4"/>
      <c r="BS135" s="5"/>
    </row>
    <row r="136" spans="2:71" x14ac:dyDescent="0.3">
      <c r="B136" s="7">
        <v>44776.656944444447</v>
      </c>
      <c r="C136" s="51">
        <f>C64</f>
        <v>22.620213794999898</v>
      </c>
      <c r="D136" s="5">
        <f>G64</f>
        <v>40.60539343810273</v>
      </c>
      <c r="E136" s="7"/>
      <c r="F136" t="s">
        <v>30</v>
      </c>
      <c r="I136" s="7">
        <f>I75</f>
        <v>44781.750694444447</v>
      </c>
      <c r="J136" s="47">
        <f>K75</f>
        <v>15.218093735</v>
      </c>
      <c r="K136" s="29">
        <f>O75</f>
        <v>47.773873010011421</v>
      </c>
      <c r="L136" s="7"/>
      <c r="M136" s="97" t="s">
        <v>30</v>
      </c>
      <c r="N136" s="37"/>
      <c r="R136" s="10" t="s">
        <v>4</v>
      </c>
      <c r="S136" s="15" t="s">
        <v>5</v>
      </c>
      <c r="U136" s="10" t="s">
        <v>4</v>
      </c>
      <c r="V136" s="15" t="s">
        <v>5</v>
      </c>
      <c r="Z136" s="10" t="s">
        <v>4</v>
      </c>
      <c r="AA136" s="15" t="s">
        <v>5</v>
      </c>
      <c r="AC136" s="10" t="s">
        <v>4</v>
      </c>
      <c r="AD136" s="15" t="s">
        <v>5</v>
      </c>
      <c r="AH136" s="10" t="s">
        <v>4</v>
      </c>
      <c r="AI136" s="15" t="s">
        <v>5</v>
      </c>
      <c r="AK136" s="10" t="s">
        <v>4</v>
      </c>
      <c r="AL136" s="15" t="s">
        <v>5</v>
      </c>
      <c r="AP136" s="10" t="s">
        <v>4</v>
      </c>
      <c r="AQ136" s="15" t="s">
        <v>5</v>
      </c>
      <c r="AS136" s="10" t="s">
        <v>4</v>
      </c>
      <c r="AT136" s="15" t="s">
        <v>5</v>
      </c>
      <c r="AW136" s="7">
        <v>45038.552083333336</v>
      </c>
      <c r="AX136" s="51">
        <v>3.2900736796441302E-3</v>
      </c>
      <c r="AY136" s="16">
        <v>68.916923760000003</v>
      </c>
      <c r="AZ136" s="2">
        <v>38164</v>
      </c>
      <c r="BA136" s="16">
        <f t="shared" si="55"/>
        <v>636.06666666666672</v>
      </c>
      <c r="BB136" s="9">
        <f t="shared" si="56"/>
        <v>2.0927061984989765</v>
      </c>
      <c r="BC136" s="119">
        <f t="shared" si="57"/>
        <v>28.224071845328591</v>
      </c>
      <c r="BE136" s="6"/>
      <c r="BG136" s="4"/>
      <c r="BH136" s="2"/>
      <c r="BI136" s="5"/>
      <c r="BJ136" s="102"/>
      <c r="BK136" s="102"/>
      <c r="BM136" s="104"/>
      <c r="BN136" s="4"/>
      <c r="BO136" s="102"/>
      <c r="BP136" s="2"/>
      <c r="BQ136" s="102"/>
      <c r="BR136" s="4"/>
      <c r="BS136" s="5"/>
    </row>
    <row r="137" spans="2:71" x14ac:dyDescent="0.3">
      <c r="B137" s="6"/>
      <c r="C137" s="4"/>
      <c r="D137" s="5"/>
      <c r="E137" s="6"/>
      <c r="F137" s="4"/>
      <c r="G137" s="5"/>
      <c r="I137" s="7">
        <f>I76</f>
        <v>44781.761111111111</v>
      </c>
      <c r="J137" s="47">
        <f>K76</f>
        <v>13.768905965</v>
      </c>
      <c r="K137" s="29">
        <f>O76</f>
        <v>37.476098593540542</v>
      </c>
      <c r="L137" s="7"/>
      <c r="M137" s="68"/>
      <c r="N137" s="37"/>
      <c r="Q137" s="7">
        <f>Q78</f>
        <v>45136.770833333336</v>
      </c>
      <c r="R137" s="47">
        <f>S66</f>
        <v>20.131538750000001</v>
      </c>
      <c r="S137" s="29">
        <f>W66</f>
        <v>54.039141240285389</v>
      </c>
      <c r="T137" s="7"/>
      <c r="U137" s="97" t="s">
        <v>30</v>
      </c>
      <c r="V137" s="37"/>
      <c r="Y137" s="7"/>
      <c r="Z137" s="108" t="s">
        <v>31</v>
      </c>
      <c r="AA137" s="29"/>
      <c r="AB137" s="7"/>
      <c r="AC137" s="97" t="s">
        <v>30</v>
      </c>
      <c r="AD137" s="37"/>
      <c r="AG137" s="7"/>
      <c r="AH137" s="108" t="s">
        <v>31</v>
      </c>
      <c r="AI137" s="29"/>
      <c r="AJ137" s="7"/>
      <c r="AK137" s="97" t="s">
        <v>30</v>
      </c>
      <c r="AL137" s="37"/>
      <c r="AO137" s="7">
        <f>AO94</f>
        <v>45183.947916666664</v>
      </c>
      <c r="AP137" s="47">
        <f>AQ94</f>
        <v>2.060445487</v>
      </c>
      <c r="AQ137" s="29">
        <f>AU94</f>
        <v>43.959021915225279</v>
      </c>
      <c r="AR137" s="7"/>
      <c r="AS137" s="97" t="s">
        <v>30</v>
      </c>
      <c r="AT137" s="37"/>
      <c r="AU137" s="58"/>
      <c r="AW137" s="7">
        <v>45038.5625</v>
      </c>
      <c r="AX137" s="51">
        <v>3.2198450793038901E-3</v>
      </c>
      <c r="AY137" s="16">
        <v>65.290959470000004</v>
      </c>
      <c r="AZ137" s="2">
        <v>38168</v>
      </c>
      <c r="BA137" s="16">
        <f t="shared" si="55"/>
        <v>636.13333333333333</v>
      </c>
      <c r="BB137" s="9">
        <f t="shared" si="56"/>
        <v>2.0482507831145145</v>
      </c>
      <c r="BC137" s="119">
        <f t="shared" si="57"/>
        <v>27.824526461144156</v>
      </c>
      <c r="BE137" s="6"/>
      <c r="BG137" s="4"/>
      <c r="BH137" s="2"/>
      <c r="BI137" s="5"/>
      <c r="BJ137" s="102"/>
      <c r="BK137" s="102"/>
      <c r="BM137" s="104"/>
      <c r="BN137" s="4"/>
      <c r="BO137" s="102"/>
      <c r="BP137" s="2"/>
      <c r="BQ137" s="102"/>
      <c r="BR137" s="4"/>
      <c r="BS137" s="5"/>
    </row>
    <row r="138" spans="2:71" x14ac:dyDescent="0.3">
      <c r="B138" s="57"/>
      <c r="C138" s="26"/>
      <c r="D138" s="14"/>
      <c r="E138" s="57"/>
      <c r="F138" s="26"/>
      <c r="G138" s="14"/>
      <c r="I138" s="57">
        <f>_xlfn.FORECAST.LINEAR(K138,I136:I137,K136:K137)</f>
        <v>44781.754876044797</v>
      </c>
      <c r="J138" s="26">
        <f>_xlfn.FORECAST.LINEAR(K138,J136:J137,K136:K137)</f>
        <v>14.636341021592367</v>
      </c>
      <c r="K138" s="14">
        <v>43.64</v>
      </c>
      <c r="M138" s="26" t="e">
        <f>M128</f>
        <v>#DIV/0!</v>
      </c>
      <c r="N138" s="14">
        <v>82</v>
      </c>
      <c r="Q138" s="7">
        <f>Q79</f>
        <v>45136.78125</v>
      </c>
      <c r="R138" s="47">
        <f>S67</f>
        <v>10.529934320000001</v>
      </c>
      <c r="S138" s="29">
        <f>W67</f>
        <v>32.053387393662042</v>
      </c>
      <c r="T138" s="7"/>
      <c r="U138" s="68"/>
      <c r="V138" s="37"/>
      <c r="Y138" s="7"/>
      <c r="Z138" s="47"/>
      <c r="AA138" s="29"/>
      <c r="AB138" s="7"/>
      <c r="AC138" s="68"/>
      <c r="AD138" s="37"/>
      <c r="AG138" s="7"/>
      <c r="AH138" s="47"/>
      <c r="AI138" s="29"/>
      <c r="AJ138" s="7"/>
      <c r="AK138" s="68"/>
      <c r="AL138" s="37"/>
      <c r="AO138" s="7">
        <f>AO95</f>
        <v>45183.958333333336</v>
      </c>
      <c r="AP138" s="47">
        <f>AQ95</f>
        <v>1.3790541089999999</v>
      </c>
      <c r="AQ138" s="29">
        <f>AU95</f>
        <v>40.32566867120682</v>
      </c>
      <c r="AR138" s="7"/>
      <c r="AS138" s="68"/>
      <c r="AT138" s="37"/>
      <c r="AU138" s="2"/>
      <c r="AW138" s="7">
        <v>45038.572916666664</v>
      </c>
      <c r="AX138" s="51">
        <v>3.2415781662932801E-3</v>
      </c>
      <c r="AY138" s="16">
        <v>64.377553680000005</v>
      </c>
      <c r="AZ138" s="2">
        <v>38647</v>
      </c>
      <c r="BA138" s="16">
        <f t="shared" si="55"/>
        <v>644.11666666666667</v>
      </c>
      <c r="BB138" s="9">
        <f t="shared" si="56"/>
        <v>2.0879545232122734</v>
      </c>
      <c r="BC138" s="119">
        <f t="shared" si="57"/>
        <v>28.181502982959852</v>
      </c>
      <c r="BE138" s="6"/>
      <c r="BG138" s="4"/>
      <c r="BH138" s="2"/>
      <c r="BI138" s="5"/>
      <c r="BJ138" s="102"/>
      <c r="BK138" s="102"/>
      <c r="BM138" s="104"/>
      <c r="BN138" s="4"/>
      <c r="BO138" s="102"/>
      <c r="BP138" s="2"/>
      <c r="BQ138" s="102"/>
      <c r="BR138" s="4"/>
      <c r="BS138" s="5"/>
    </row>
    <row r="139" spans="2:71" x14ac:dyDescent="0.3">
      <c r="I139"/>
      <c r="J139"/>
      <c r="L139" s="2"/>
      <c r="Q139" s="57">
        <f>_xlfn.FORECAST.LINEAR(S139,Q137:Q138,S137:S138)</f>
        <v>45136.775760359662</v>
      </c>
      <c r="R139" s="26">
        <f>_xlfn.FORECAST.LINEAR(S139,R137:R138,S137:S138)</f>
        <v>15.590032404687442</v>
      </c>
      <c r="S139" s="14">
        <v>43.64</v>
      </c>
      <c r="U139" s="26" t="e">
        <f>U129</f>
        <v>#DIV/0!</v>
      </c>
      <c r="V139" s="14">
        <v>82</v>
      </c>
      <c r="Y139" s="57"/>
      <c r="Z139" s="26" t="e">
        <f>_xlfn.FORECAST.LINEAR(AA139,Z137:Z138,AA137:AA138)</f>
        <v>#DIV/0!</v>
      </c>
      <c r="AA139" s="14">
        <v>43.64</v>
      </c>
      <c r="AC139" s="26" t="e">
        <f>AC129</f>
        <v>#DIV/0!</v>
      </c>
      <c r="AD139" s="14">
        <v>82</v>
      </c>
      <c r="AG139" s="57"/>
      <c r="AH139" s="26" t="e">
        <f>_xlfn.FORECAST.LINEAR(AI139,AH137:AH138,AI137:AI138)</f>
        <v>#DIV/0!</v>
      </c>
      <c r="AI139" s="14">
        <v>43.64</v>
      </c>
      <c r="AK139" s="26" t="e">
        <f>AK129</f>
        <v>#DIV/0!</v>
      </c>
      <c r="AL139" s="14">
        <v>82</v>
      </c>
      <c r="AO139" s="57">
        <f>_xlfn.FORECAST.LINEAR(AQ139,AO137:AO138,AQ137:AQ138)</f>
        <v>45183.948831288704</v>
      </c>
      <c r="AP139" s="26">
        <f>_xlfn.FORECAST.LINEAR(AQ139,AP137:AP138,AQ137:AQ138)</f>
        <v>2.0006167921750695</v>
      </c>
      <c r="AQ139" s="14">
        <v>43.64</v>
      </c>
      <c r="AS139" s="26" t="e">
        <f>AS129</f>
        <v>#DIV/0!</v>
      </c>
      <c r="AT139" s="14">
        <v>82</v>
      </c>
      <c r="AU139" s="4"/>
      <c r="AW139" s="7">
        <v>45038.583333333336</v>
      </c>
      <c r="AX139" s="51">
        <v>3.11852218052304E-3</v>
      </c>
      <c r="AY139" s="16">
        <v>71.622551369999996</v>
      </c>
      <c r="AZ139" s="2">
        <v>38945</v>
      </c>
      <c r="BA139" s="16">
        <f t="shared" si="55"/>
        <v>649.08333333333337</v>
      </c>
      <c r="BB139" s="9">
        <f t="shared" si="56"/>
        <v>2.02418077200783</v>
      </c>
      <c r="BC139" s="119">
        <f t="shared" si="57"/>
        <v>27.606980966855133</v>
      </c>
      <c r="BE139" s="6"/>
      <c r="BG139" s="4"/>
      <c r="BH139" s="2"/>
      <c r="BI139" s="5"/>
      <c r="BJ139" s="102"/>
      <c r="BK139" s="102"/>
      <c r="BM139" s="104"/>
      <c r="BN139" s="4"/>
      <c r="BO139" s="102"/>
      <c r="BP139" s="2"/>
      <c r="BQ139" s="102"/>
      <c r="BR139" s="4"/>
      <c r="BS139" s="5"/>
    </row>
    <row r="140" spans="2:71" x14ac:dyDescent="0.3">
      <c r="C140" s="58"/>
      <c r="E140"/>
      <c r="F140" s="58"/>
      <c r="I140" s="93" t="s">
        <v>27</v>
      </c>
      <c r="J140" s="94" t="s">
        <v>28</v>
      </c>
      <c r="K140" s="95"/>
      <c r="L140" s="93" t="s">
        <v>27</v>
      </c>
      <c r="M140" s="94" t="s">
        <v>29</v>
      </c>
      <c r="N140" s="95"/>
      <c r="T140" s="2"/>
      <c r="AB140" s="2"/>
      <c r="AJ140" s="2"/>
      <c r="AR140" s="2"/>
      <c r="AU140" s="4"/>
      <c r="AW140" s="7">
        <v>45038.59375</v>
      </c>
      <c r="AX140" s="51">
        <v>3.2009326391038498E-3</v>
      </c>
      <c r="AY140" s="16">
        <v>68.916923760000003</v>
      </c>
      <c r="AZ140" s="2">
        <v>38827</v>
      </c>
      <c r="BA140" s="16">
        <f t="shared" si="55"/>
        <v>647.11666666666667</v>
      </c>
      <c r="BB140" s="9">
        <f t="shared" si="56"/>
        <v>2.0713768596414197</v>
      </c>
      <c r="BC140" s="119">
        <f t="shared" si="57"/>
        <v>28.03273294425156</v>
      </c>
      <c r="BE140" s="6"/>
      <c r="BG140" s="4"/>
      <c r="BH140" s="2"/>
      <c r="BI140" s="5"/>
      <c r="BJ140" s="102"/>
      <c r="BK140" s="102"/>
      <c r="BM140" s="104"/>
      <c r="BN140" s="4"/>
      <c r="BO140" s="102"/>
      <c r="BP140" s="2"/>
      <c r="BQ140" s="102"/>
      <c r="BR140" s="4"/>
      <c r="BS140" s="5"/>
    </row>
    <row r="141" spans="2:71" x14ac:dyDescent="0.3">
      <c r="C141" s="2"/>
      <c r="D141" s="90"/>
      <c r="E141"/>
      <c r="F141" s="2"/>
      <c r="G141" s="90"/>
      <c r="I141"/>
      <c r="J141" s="10" t="s">
        <v>4</v>
      </c>
      <c r="K141" s="15" t="s">
        <v>5</v>
      </c>
      <c r="L141" s="2"/>
      <c r="M141" s="10" t="s">
        <v>4</v>
      </c>
      <c r="N141" s="15" t="s">
        <v>5</v>
      </c>
      <c r="Q141" s="93" t="s">
        <v>27</v>
      </c>
      <c r="R141" s="94" t="s">
        <v>28</v>
      </c>
      <c r="S141" s="95"/>
      <c r="T141" s="93" t="s">
        <v>27</v>
      </c>
      <c r="U141" s="94" t="s">
        <v>29</v>
      </c>
      <c r="V141" s="95"/>
      <c r="Y141" s="93" t="s">
        <v>27</v>
      </c>
      <c r="Z141" s="94" t="s">
        <v>28</v>
      </c>
      <c r="AA141" s="95"/>
      <c r="AB141" s="93" t="s">
        <v>27</v>
      </c>
      <c r="AC141" s="94" t="s">
        <v>29</v>
      </c>
      <c r="AD141" s="95"/>
      <c r="AG141" s="93" t="s">
        <v>27</v>
      </c>
      <c r="AH141" s="94" t="s">
        <v>28</v>
      </c>
      <c r="AI141" s="95"/>
      <c r="AJ141" s="93" t="s">
        <v>27</v>
      </c>
      <c r="AK141" s="94" t="s">
        <v>29</v>
      </c>
      <c r="AL141" s="95"/>
      <c r="AO141" s="93" t="s">
        <v>27</v>
      </c>
      <c r="AP141" s="94" t="s">
        <v>28</v>
      </c>
      <c r="AQ141" s="95"/>
      <c r="AR141" s="93" t="s">
        <v>27</v>
      </c>
      <c r="AS141" s="94" t="s">
        <v>29</v>
      </c>
      <c r="AT141" s="95"/>
      <c r="AU141" s="14"/>
      <c r="AW141" s="7">
        <v>45038.604166666664</v>
      </c>
      <c r="AX141" s="51">
        <v>3.2428898662052001E-3</v>
      </c>
      <c r="AY141" s="16">
        <v>68.016396760000006</v>
      </c>
      <c r="AZ141" s="2">
        <v>39185</v>
      </c>
      <c r="BA141" s="16">
        <f t="shared" si="55"/>
        <v>653.08333333333337</v>
      </c>
      <c r="BB141" s="9">
        <f t="shared" si="56"/>
        <v>2.1178773234541795</v>
      </c>
      <c r="BC141" s="119">
        <f t="shared" si="57"/>
        <v>28.44903340809217</v>
      </c>
      <c r="BE141" s="6"/>
      <c r="BG141" s="4"/>
      <c r="BH141" s="2"/>
      <c r="BI141" s="5"/>
      <c r="BJ141" s="102"/>
      <c r="BK141" s="102"/>
      <c r="BM141" s="104"/>
      <c r="BN141" s="4"/>
      <c r="BO141" s="102"/>
      <c r="BP141" s="2"/>
      <c r="BQ141" s="102"/>
      <c r="BR141" s="4"/>
      <c r="BS141" s="5"/>
    </row>
    <row r="142" spans="2:71" x14ac:dyDescent="0.3">
      <c r="B142" s="6"/>
      <c r="C142" s="4"/>
      <c r="D142" s="5"/>
      <c r="E142" s="6"/>
      <c r="F142" s="4"/>
      <c r="G142" s="5"/>
      <c r="I142" s="7">
        <f>I137</f>
        <v>44781.761111111111</v>
      </c>
      <c r="J142" s="51">
        <f>J137</f>
        <v>13.768905965</v>
      </c>
      <c r="K142" s="5">
        <f>K137</f>
        <v>37.476098593540542</v>
      </c>
      <c r="L142" s="7"/>
      <c r="M142" t="s">
        <v>30</v>
      </c>
      <c r="R142" s="10" t="s">
        <v>4</v>
      </c>
      <c r="S142" s="15" t="s">
        <v>5</v>
      </c>
      <c r="T142" s="2"/>
      <c r="U142" s="10" t="s">
        <v>4</v>
      </c>
      <c r="V142" s="15" t="s">
        <v>5</v>
      </c>
      <c r="Z142" s="10" t="s">
        <v>4</v>
      </c>
      <c r="AA142" s="15" t="s">
        <v>5</v>
      </c>
      <c r="AB142" s="2"/>
      <c r="AC142" s="10" t="s">
        <v>4</v>
      </c>
      <c r="AD142" s="15" t="s">
        <v>5</v>
      </c>
      <c r="AH142" s="10" t="s">
        <v>4</v>
      </c>
      <c r="AI142" s="15" t="s">
        <v>5</v>
      </c>
      <c r="AJ142" s="2"/>
      <c r="AK142" s="10" t="s">
        <v>4</v>
      </c>
      <c r="AL142" s="15" t="s">
        <v>5</v>
      </c>
      <c r="AP142" s="10" t="s">
        <v>4</v>
      </c>
      <c r="AQ142" s="15" t="s">
        <v>5</v>
      </c>
      <c r="AR142" s="2"/>
      <c r="AS142" s="10" t="s">
        <v>4</v>
      </c>
      <c r="AT142" s="15" t="s">
        <v>5</v>
      </c>
      <c r="AU142" s="58"/>
      <c r="AW142" s="7">
        <v>45038.614583333336</v>
      </c>
      <c r="AX142" s="51">
        <v>3.4639056514888301E-3</v>
      </c>
      <c r="AY142" s="16">
        <v>69.822823</v>
      </c>
      <c r="AZ142" s="2">
        <v>39079</v>
      </c>
      <c r="BA142" s="16">
        <f t="shared" si="55"/>
        <v>651.31666666666672</v>
      </c>
      <c r="BB142" s="9">
        <f t="shared" si="56"/>
        <v>2.2560994825755332</v>
      </c>
      <c r="BC142" s="119">
        <f t="shared" si="57"/>
        <v>29.668750690606167</v>
      </c>
      <c r="BE142" s="6"/>
      <c r="BG142" s="4"/>
      <c r="BH142" s="2"/>
      <c r="BI142" s="5"/>
      <c r="BJ142" s="102"/>
      <c r="BK142" s="102"/>
      <c r="BM142" s="104"/>
      <c r="BN142" s="4"/>
      <c r="BO142" s="102"/>
      <c r="BP142" s="2"/>
      <c r="BQ142" s="102"/>
      <c r="BR142" s="4"/>
      <c r="BS142" s="5"/>
    </row>
    <row r="143" spans="2:71" x14ac:dyDescent="0.3">
      <c r="B143" s="6"/>
      <c r="C143" s="4"/>
      <c r="D143" s="5"/>
      <c r="E143" s="6"/>
      <c r="F143" s="4"/>
      <c r="G143" s="5"/>
      <c r="I143" s="6"/>
      <c r="J143" s="4"/>
      <c r="K143" s="5"/>
      <c r="L143" s="6"/>
      <c r="M143" s="4"/>
      <c r="N143" s="5"/>
      <c r="Q143" s="7">
        <f>Q138</f>
        <v>45136.78125</v>
      </c>
      <c r="R143" s="51">
        <f>R138</f>
        <v>10.529934320000001</v>
      </c>
      <c r="S143" s="5">
        <f>S138</f>
        <v>32.053387393662042</v>
      </c>
      <c r="T143" s="7"/>
      <c r="U143" t="s">
        <v>30</v>
      </c>
      <c r="Y143" s="7"/>
      <c r="Z143" t="s">
        <v>31</v>
      </c>
      <c r="AA143" s="5"/>
      <c r="AB143" s="7"/>
      <c r="AC143" t="s">
        <v>30</v>
      </c>
      <c r="AG143" s="7"/>
      <c r="AH143" t="s">
        <v>31</v>
      </c>
      <c r="AI143" s="5"/>
      <c r="AJ143" s="7"/>
      <c r="AK143" t="s">
        <v>30</v>
      </c>
      <c r="AO143" s="7">
        <f>AO138</f>
        <v>45183.958333333336</v>
      </c>
      <c r="AP143" s="4">
        <f>AP138</f>
        <v>1.3790541089999999</v>
      </c>
      <c r="AQ143" s="5">
        <f>AQ138</f>
        <v>40.32566867120682</v>
      </c>
      <c r="AR143" s="7"/>
      <c r="AS143" t="s">
        <v>30</v>
      </c>
      <c r="AU143" s="2"/>
      <c r="AW143" s="7">
        <v>45038.625</v>
      </c>
      <c r="AX143" s="51">
        <v>3.3356884327222398E-3</v>
      </c>
      <c r="AY143" s="16">
        <v>70.271667750000006</v>
      </c>
      <c r="AZ143" s="2">
        <v>39672</v>
      </c>
      <c r="BA143" s="16">
        <f t="shared" si="55"/>
        <v>661.2</v>
      </c>
      <c r="BB143" s="9">
        <f t="shared" si="56"/>
        <v>2.2055571917159451</v>
      </c>
      <c r="BC143" s="119">
        <f t="shared" si="57"/>
        <v>29.225742323829387</v>
      </c>
      <c r="BE143" s="6"/>
      <c r="BG143" s="4"/>
      <c r="BH143" s="2"/>
      <c r="BI143" s="5"/>
      <c r="BJ143" s="102"/>
      <c r="BK143" s="102"/>
      <c r="BM143" s="104"/>
      <c r="BN143" s="4"/>
      <c r="BO143" s="102"/>
      <c r="BP143" s="2"/>
      <c r="BQ143" s="102"/>
      <c r="BR143" s="4"/>
      <c r="BS143" s="5"/>
    </row>
    <row r="144" spans="2:71" x14ac:dyDescent="0.3">
      <c r="B144" s="57"/>
      <c r="C144" s="26"/>
      <c r="D144" s="14"/>
      <c r="E144" s="57"/>
      <c r="F144" s="26"/>
      <c r="G144" s="14"/>
      <c r="I144" s="57"/>
      <c r="J144" s="26"/>
      <c r="K144" s="14"/>
      <c r="L144" s="57"/>
      <c r="M144" s="26"/>
      <c r="N144" s="14"/>
      <c r="Q144" s="6"/>
      <c r="R144" s="4"/>
      <c r="S144" s="5"/>
      <c r="T144" s="6"/>
      <c r="U144" s="4"/>
      <c r="V144" s="5"/>
      <c r="Y144" s="6"/>
      <c r="Z144" s="4"/>
      <c r="AA144" s="5"/>
      <c r="AB144" s="6"/>
      <c r="AC144" s="4"/>
      <c r="AD144" s="5"/>
      <c r="AG144" s="6"/>
      <c r="AH144" s="4"/>
      <c r="AI144" s="5"/>
      <c r="AJ144" s="6"/>
      <c r="AK144" s="4"/>
      <c r="AL144" s="5"/>
      <c r="AR144" s="4"/>
      <c r="AS144" s="5"/>
      <c r="AT144" s="6"/>
      <c r="AU144" s="4"/>
      <c r="AW144" s="7">
        <v>45038.635416666664</v>
      </c>
      <c r="AX144" s="51">
        <v>3.3254142601591699E-3</v>
      </c>
      <c r="AY144" s="16">
        <v>65.290959470000004</v>
      </c>
      <c r="AZ144" s="2">
        <v>39031</v>
      </c>
      <c r="BA144" s="16">
        <f t="shared" si="55"/>
        <v>650.51666666666665</v>
      </c>
      <c r="BB144" s="9">
        <f t="shared" si="56"/>
        <v>2.1632373998045424</v>
      </c>
      <c r="BC144" s="119">
        <f t="shared" si="57"/>
        <v>28.852175234939352</v>
      </c>
      <c r="BE144" s="6"/>
      <c r="BG144" s="4"/>
      <c r="BH144" s="2"/>
      <c r="BI144" s="5"/>
      <c r="BJ144" s="102"/>
      <c r="BK144" s="102"/>
      <c r="BM144" s="104"/>
      <c r="BN144" s="4"/>
      <c r="BO144" s="102"/>
      <c r="BP144" s="2"/>
      <c r="BQ144" s="102"/>
      <c r="BR144" s="4"/>
      <c r="BS144" s="5"/>
    </row>
    <row r="145" spans="2:71" x14ac:dyDescent="0.3">
      <c r="C145" s="58"/>
      <c r="E145"/>
      <c r="F145" s="58"/>
      <c r="I145"/>
      <c r="J145"/>
      <c r="L145" s="2"/>
      <c r="Q145" s="57"/>
      <c r="R145" s="26"/>
      <c r="S145" s="14"/>
      <c r="T145" s="57"/>
      <c r="U145" s="14"/>
      <c r="V145" s="14"/>
      <c r="Y145" s="57"/>
      <c r="Z145" s="26"/>
      <c r="AA145" s="14"/>
      <c r="AB145" s="57"/>
      <c r="AC145" s="14"/>
      <c r="AD145" s="14"/>
      <c r="AG145" s="57"/>
      <c r="AH145" s="26"/>
      <c r="AI145" s="14"/>
      <c r="AJ145" s="57"/>
      <c r="AK145" s="14"/>
      <c r="AL145" s="14"/>
      <c r="AQ145" s="6"/>
      <c r="AR145" s="4"/>
      <c r="AS145" s="5"/>
      <c r="AT145" s="6"/>
      <c r="AU145" s="4"/>
      <c r="AW145" s="7">
        <v>45038.645833333336</v>
      </c>
      <c r="AX145" s="51">
        <v>3.4607334493193601E-3</v>
      </c>
      <c r="AY145" s="16">
        <v>66.655723199999997</v>
      </c>
      <c r="AZ145" s="2">
        <v>39165</v>
      </c>
      <c r="BA145" s="16">
        <f t="shared" si="55"/>
        <v>652.75</v>
      </c>
      <c r="BB145" s="9">
        <f t="shared" si="56"/>
        <v>2.2589937590432121</v>
      </c>
      <c r="BC145" s="119">
        <f t="shared" si="57"/>
        <v>29.694017799358743</v>
      </c>
      <c r="BE145" s="6"/>
      <c r="BG145" s="4"/>
      <c r="BH145" s="2"/>
      <c r="BI145" s="5"/>
      <c r="BJ145" s="102"/>
      <c r="BK145" s="102"/>
      <c r="BM145" s="104"/>
      <c r="BN145" s="4"/>
      <c r="BO145" s="102"/>
      <c r="BP145" s="2"/>
      <c r="BQ145" s="102"/>
      <c r="BR145" s="4"/>
      <c r="BS145" s="5"/>
    </row>
    <row r="146" spans="2:71" x14ac:dyDescent="0.3">
      <c r="C146" s="2"/>
      <c r="D146" s="90"/>
      <c r="E146"/>
      <c r="F146" s="2"/>
      <c r="G146" s="90"/>
      <c r="I146"/>
      <c r="J146" s="58"/>
      <c r="M146" s="58"/>
      <c r="T146" s="2"/>
      <c r="AB146" s="2"/>
      <c r="AJ146" s="2"/>
      <c r="AQ146" s="6"/>
      <c r="AR146" s="26"/>
      <c r="AS146" s="14"/>
      <c r="AT146" s="57"/>
      <c r="AU146" s="14"/>
      <c r="AW146" s="7">
        <v>45038.65625</v>
      </c>
      <c r="AX146" s="51">
        <v>3.51464655659308E-3</v>
      </c>
      <c r="AY146" s="16">
        <v>68.008627450000006</v>
      </c>
      <c r="AZ146" s="2">
        <v>39387</v>
      </c>
      <c r="BA146" s="16">
        <f t="shared" si="55"/>
        <v>656.45</v>
      </c>
      <c r="BB146" s="9">
        <f t="shared" si="56"/>
        <v>2.3071897320755275</v>
      </c>
      <c r="BC146" s="119">
        <f t="shared" si="57"/>
        <v>30.113185669296268</v>
      </c>
      <c r="BE146" s="6"/>
      <c r="BG146" s="4"/>
      <c r="BH146" s="2"/>
      <c r="BI146" s="5"/>
      <c r="BJ146" s="102"/>
      <c r="BK146" s="102"/>
      <c r="BM146" s="104"/>
      <c r="BN146" s="4"/>
      <c r="BO146" s="102"/>
      <c r="BP146" s="2"/>
      <c r="BQ146" s="102"/>
      <c r="BR146" s="4"/>
      <c r="BS146" s="5"/>
    </row>
    <row r="147" spans="2:71" x14ac:dyDescent="0.3">
      <c r="B147" s="6"/>
      <c r="C147" s="4"/>
      <c r="D147" s="5"/>
      <c r="E147" s="6"/>
      <c r="F147" s="4"/>
      <c r="G147" s="5"/>
      <c r="I147"/>
      <c r="K147" s="90"/>
      <c r="M147" s="2"/>
      <c r="N147" s="90"/>
      <c r="R147" s="58"/>
      <c r="U147" s="58"/>
      <c r="Z147" s="58"/>
      <c r="AC147" s="58"/>
      <c r="AH147" s="58"/>
      <c r="AK147" s="58"/>
      <c r="AT147" s="2"/>
      <c r="AW147" s="7">
        <v>45038.666666666664</v>
      </c>
      <c r="AX147" s="51">
        <v>3.2978949653646099E-3</v>
      </c>
      <c r="AY147" s="16">
        <v>71.17580074</v>
      </c>
      <c r="AZ147" s="2">
        <v>40266</v>
      </c>
      <c r="BA147" s="16">
        <f t="shared" si="55"/>
        <v>671.1</v>
      </c>
      <c r="BB147" s="9">
        <f t="shared" si="56"/>
        <v>2.2132173112561899</v>
      </c>
      <c r="BC147" s="119">
        <f t="shared" si="57"/>
        <v>29.29310165534055</v>
      </c>
      <c r="BE147" s="6"/>
      <c r="BG147" s="4"/>
      <c r="BH147" s="2"/>
      <c r="BI147" s="5"/>
      <c r="BJ147" s="102"/>
      <c r="BK147" s="102"/>
      <c r="BM147" s="104"/>
      <c r="BN147" s="4"/>
      <c r="BO147" s="102"/>
      <c r="BP147" s="2"/>
      <c r="BQ147" s="102"/>
      <c r="BR147" s="4"/>
      <c r="BS147" s="5"/>
    </row>
    <row r="148" spans="2:71" x14ac:dyDescent="0.3">
      <c r="B148" s="6"/>
      <c r="C148" s="4"/>
      <c r="D148" s="5"/>
      <c r="E148" s="6"/>
      <c r="F148" s="4"/>
      <c r="G148" s="5"/>
      <c r="I148" s="6"/>
      <c r="J148" s="4"/>
      <c r="K148" s="5"/>
      <c r="L148" s="6"/>
      <c r="M148" s="4"/>
      <c r="N148" s="5"/>
      <c r="R148" s="2"/>
      <c r="S148" s="90"/>
      <c r="U148" s="2"/>
      <c r="V148" s="90"/>
      <c r="Z148" s="2"/>
      <c r="AA148" s="90"/>
      <c r="AC148" s="2"/>
      <c r="AD148" s="90"/>
      <c r="AH148" s="2"/>
      <c r="AI148" s="90"/>
      <c r="AK148" s="2"/>
      <c r="AL148" s="90"/>
      <c r="AR148" s="58"/>
      <c r="AU148" s="58"/>
      <c r="AW148" s="7">
        <v>45038.677083333336</v>
      </c>
      <c r="AX148" s="51">
        <v>3.3393467126377101E-3</v>
      </c>
      <c r="AY148" s="16">
        <v>64.377553680000005</v>
      </c>
      <c r="AZ148" s="2">
        <v>39846</v>
      </c>
      <c r="BA148" s="16">
        <f t="shared" si="55"/>
        <v>664.1</v>
      </c>
      <c r="BB148" s="9">
        <f t="shared" si="56"/>
        <v>2.2176601518627033</v>
      </c>
      <c r="BC148" s="119">
        <f t="shared" si="57"/>
        <v>29.332133920415533</v>
      </c>
      <c r="BE148" s="6"/>
      <c r="BG148" s="4"/>
      <c r="BH148" s="2"/>
      <c r="BI148" s="5"/>
      <c r="BJ148" s="102"/>
      <c r="BK148" s="102"/>
      <c r="BM148" s="104"/>
      <c r="BN148" s="4"/>
      <c r="BO148" s="102"/>
      <c r="BP148" s="2"/>
      <c r="BQ148" s="102"/>
      <c r="BR148" s="4"/>
      <c r="BS148" s="5"/>
    </row>
    <row r="149" spans="2:71" x14ac:dyDescent="0.3">
      <c r="B149" s="57"/>
      <c r="C149" s="26"/>
      <c r="D149" s="14"/>
      <c r="E149" s="57"/>
      <c r="F149" s="26"/>
      <c r="G149" s="14"/>
      <c r="I149" s="6"/>
      <c r="J149" s="4"/>
      <c r="K149" s="5"/>
      <c r="L149" s="6"/>
      <c r="M149" s="4"/>
      <c r="N149" s="5"/>
      <c r="Q149" s="6"/>
      <c r="R149" s="4"/>
      <c r="S149" s="5"/>
      <c r="T149" s="6"/>
      <c r="U149" s="4"/>
      <c r="V149" s="5"/>
      <c r="Y149" s="6"/>
      <c r="Z149" s="4"/>
      <c r="AA149" s="5"/>
      <c r="AB149" s="6"/>
      <c r="AC149" s="4"/>
      <c r="AD149" s="5"/>
      <c r="AG149" s="6"/>
      <c r="AH149" s="4"/>
      <c r="AI149" s="5"/>
      <c r="AJ149" s="6"/>
      <c r="AK149" s="4"/>
      <c r="AL149" s="5"/>
      <c r="AR149" s="2"/>
      <c r="AS149" s="90"/>
      <c r="AU149" s="2"/>
      <c r="AW149" s="7">
        <v>45038.6875</v>
      </c>
      <c r="AX149" s="51">
        <v>3.6889650200726798E-3</v>
      </c>
      <c r="AY149" s="16">
        <v>65.283151739999994</v>
      </c>
      <c r="AZ149" s="2">
        <v>39890</v>
      </c>
      <c r="BA149" s="16">
        <f t="shared" si="55"/>
        <v>664.83333333333337</v>
      </c>
      <c r="BB149" s="9">
        <f t="shared" si="56"/>
        <v>2.4525469108449869</v>
      </c>
      <c r="BC149" s="119">
        <f t="shared" si="57"/>
        <v>31.359944570556952</v>
      </c>
      <c r="BE149" s="6"/>
      <c r="BG149" s="4"/>
      <c r="BH149" s="2"/>
      <c r="BI149" s="5"/>
      <c r="BJ149" s="102"/>
      <c r="BK149" s="102"/>
      <c r="BM149" s="104"/>
      <c r="BN149" s="4"/>
      <c r="BO149" s="102"/>
      <c r="BP149" s="2"/>
      <c r="BQ149" s="102"/>
      <c r="BR149" s="4"/>
      <c r="BS149" s="5"/>
    </row>
    <row r="150" spans="2:71" x14ac:dyDescent="0.3">
      <c r="I150" s="57"/>
      <c r="J150" s="26"/>
      <c r="K150" s="14"/>
      <c r="L150" s="57"/>
      <c r="M150" s="26"/>
      <c r="N150" s="14"/>
      <c r="Q150" s="6"/>
      <c r="R150" s="4"/>
      <c r="S150" s="5"/>
      <c r="T150" s="6"/>
      <c r="U150" s="4"/>
      <c r="V150" s="5"/>
      <c r="Y150" s="6"/>
      <c r="Z150" s="4"/>
      <c r="AA150" s="5"/>
      <c r="AB150" s="6"/>
      <c r="AC150" s="4"/>
      <c r="AD150" s="5"/>
      <c r="AG150" s="6"/>
      <c r="AH150" s="4"/>
      <c r="AI150" s="5"/>
      <c r="AJ150" s="6"/>
      <c r="AK150" s="4"/>
      <c r="AL150" s="5"/>
      <c r="AQ150" s="6"/>
      <c r="AR150" s="4"/>
      <c r="AS150" s="5"/>
      <c r="AT150" s="6"/>
      <c r="AU150" s="4"/>
      <c r="AW150" s="7">
        <v>45038.697916666664</v>
      </c>
      <c r="AX150" s="51">
        <v>3.5968434240374E-3</v>
      </c>
      <c r="AY150" s="16">
        <v>63.015482910000003</v>
      </c>
      <c r="AZ150" s="2">
        <v>39954</v>
      </c>
      <c r="BA150" s="16">
        <f t="shared" si="55"/>
        <v>665.9</v>
      </c>
      <c r="BB150" s="9">
        <f t="shared" si="56"/>
        <v>2.3951380360665047</v>
      </c>
      <c r="BC150" s="119">
        <f t="shared" si="57"/>
        <v>30.870585571070936</v>
      </c>
      <c r="BE150" s="6"/>
      <c r="BG150" s="4"/>
      <c r="BH150" s="2"/>
      <c r="BI150" s="5"/>
      <c r="BJ150" s="102"/>
      <c r="BK150" s="102"/>
      <c r="BM150" s="104"/>
      <c r="BN150" s="4"/>
      <c r="BO150" s="102"/>
      <c r="BP150" s="2"/>
      <c r="BQ150" s="102"/>
      <c r="BR150" s="4"/>
      <c r="BS150" s="5"/>
    </row>
    <row r="151" spans="2:71" x14ac:dyDescent="0.3">
      <c r="I151"/>
      <c r="J151" s="58"/>
      <c r="M151" s="58"/>
      <c r="Q151" s="57"/>
      <c r="R151" s="26"/>
      <c r="S151" s="14"/>
      <c r="T151" s="57"/>
      <c r="U151" s="14"/>
      <c r="V151" s="14"/>
      <c r="Y151" s="57"/>
      <c r="Z151" s="26"/>
      <c r="AA151" s="14"/>
      <c r="AB151" s="57"/>
      <c r="AC151" s="14"/>
      <c r="AD151" s="14"/>
      <c r="AG151" s="57"/>
      <c r="AH151" s="26"/>
      <c r="AI151" s="14"/>
      <c r="AJ151" s="57"/>
      <c r="AK151" s="14"/>
      <c r="AL151" s="14"/>
      <c r="AQ151" s="6"/>
      <c r="AR151" s="4"/>
      <c r="AS151" s="5"/>
      <c r="AT151" s="6"/>
      <c r="AU151" s="4"/>
      <c r="AW151" s="7">
        <v>45038.708333333336</v>
      </c>
      <c r="AX151" s="51">
        <v>3.3453149399328302E-3</v>
      </c>
      <c r="AY151" s="16">
        <v>71.17580074</v>
      </c>
      <c r="AZ151" s="2">
        <v>40287</v>
      </c>
      <c r="BA151" s="16">
        <f t="shared" si="55"/>
        <v>671.45</v>
      </c>
      <c r="BB151" s="9">
        <f t="shared" si="56"/>
        <v>2.246211716417899</v>
      </c>
      <c r="BC151" s="119">
        <f t="shared" si="57"/>
        <v>29.582347942838652</v>
      </c>
      <c r="BE151" s="6"/>
      <c r="BG151" s="4"/>
      <c r="BH151" s="2"/>
      <c r="BI151" s="5"/>
      <c r="BJ151" s="102"/>
      <c r="BK151" s="102"/>
      <c r="BM151" s="104"/>
      <c r="BN151" s="4"/>
      <c r="BO151" s="102"/>
      <c r="BP151" s="2"/>
      <c r="BQ151" s="102"/>
      <c r="BR151" s="4"/>
      <c r="BS151" s="5"/>
    </row>
    <row r="152" spans="2:71" x14ac:dyDescent="0.3">
      <c r="I152"/>
      <c r="K152" s="90"/>
      <c r="M152" s="2"/>
      <c r="N152" s="90"/>
      <c r="R152" s="58"/>
      <c r="U152" s="58"/>
      <c r="Z152" s="58"/>
      <c r="AC152" s="58"/>
      <c r="AH152" s="58"/>
      <c r="AK152" s="58"/>
      <c r="AQ152" s="57"/>
      <c r="AR152" s="26"/>
      <c r="AS152" s="14"/>
      <c r="AT152" s="57"/>
      <c r="AU152" s="14"/>
      <c r="AW152" s="7">
        <v>45038.71875</v>
      </c>
      <c r="AX152" s="51">
        <v>3.3581116649372801E-3</v>
      </c>
      <c r="AY152" s="16">
        <v>70.279402750000003</v>
      </c>
      <c r="AZ152" s="2">
        <v>40128</v>
      </c>
      <c r="BA152" s="16">
        <f t="shared" si="55"/>
        <v>668.8</v>
      </c>
      <c r="BB152" s="9">
        <f t="shared" si="56"/>
        <v>2.245905081510053</v>
      </c>
      <c r="BC152" s="119">
        <f t="shared" si="57"/>
        <v>29.579666419465575</v>
      </c>
      <c r="BE152" s="6"/>
      <c r="BG152" s="4"/>
      <c r="BH152" s="2"/>
      <c r="BI152" s="5"/>
      <c r="BJ152" s="102"/>
      <c r="BK152" s="102"/>
      <c r="BM152" s="104"/>
      <c r="BN152" s="4"/>
      <c r="BO152" s="102"/>
      <c r="BP152" s="2"/>
      <c r="BQ152" s="102"/>
      <c r="BR152" s="4"/>
      <c r="BS152" s="5"/>
    </row>
    <row r="153" spans="2:71" x14ac:dyDescent="0.3">
      <c r="I153" s="6"/>
      <c r="J153" s="4"/>
      <c r="K153" s="5"/>
      <c r="L153" s="6"/>
      <c r="M153" s="4"/>
      <c r="N153" s="5"/>
      <c r="R153" s="2"/>
      <c r="S153" s="90"/>
      <c r="U153" s="2"/>
      <c r="V153" s="90"/>
      <c r="Z153" s="2"/>
      <c r="AA153" s="90"/>
      <c r="AC153" s="2"/>
      <c r="AD153" s="90"/>
      <c r="AH153" s="2"/>
      <c r="AI153" s="90"/>
      <c r="AK153" s="2"/>
      <c r="AL153" s="90"/>
      <c r="AR153" s="58"/>
      <c r="AU153" s="58"/>
      <c r="AW153" s="7">
        <v>45038.729166666664</v>
      </c>
      <c r="AX153" s="51">
        <v>3.08457533633746E-3</v>
      </c>
      <c r="AY153" s="16">
        <v>66.647934039999996</v>
      </c>
      <c r="AZ153" s="2">
        <v>40387</v>
      </c>
      <c r="BA153" s="16">
        <f t="shared" si="55"/>
        <v>673.11666666666667</v>
      </c>
      <c r="BB153" s="9">
        <f t="shared" si="56"/>
        <v>2.0762790684776835</v>
      </c>
      <c r="BC153" s="119">
        <f t="shared" si="57"/>
        <v>28.07676750626657</v>
      </c>
      <c r="BE153" s="6"/>
      <c r="BG153" s="4"/>
      <c r="BH153" s="2"/>
      <c r="BI153" s="5"/>
      <c r="BJ153" s="102"/>
      <c r="BK153" s="102"/>
      <c r="BM153" s="104"/>
      <c r="BN153" s="4"/>
      <c r="BO153" s="102"/>
      <c r="BP153" s="2"/>
      <c r="BQ153" s="102"/>
      <c r="BR153" s="4"/>
      <c r="BS153" s="5"/>
    </row>
    <row r="154" spans="2:71" x14ac:dyDescent="0.3">
      <c r="I154" s="6"/>
      <c r="J154" s="4"/>
      <c r="K154" s="5"/>
      <c r="L154" s="6"/>
      <c r="M154" s="4"/>
      <c r="N154" s="5"/>
      <c r="Q154" s="6"/>
      <c r="R154" s="4"/>
      <c r="S154" s="5"/>
      <c r="T154" s="6"/>
      <c r="U154" s="4"/>
      <c r="V154" s="5"/>
      <c r="Y154" s="6"/>
      <c r="Z154" s="4"/>
      <c r="AA154" s="5"/>
      <c r="AB154" s="6"/>
      <c r="AC154" s="4"/>
      <c r="AD154" s="5"/>
      <c r="AG154" s="6"/>
      <c r="AH154" s="4"/>
      <c r="AI154" s="5"/>
      <c r="AJ154" s="6"/>
      <c r="AK154" s="4"/>
      <c r="AL154" s="5"/>
      <c r="AR154" s="2"/>
      <c r="AS154" s="90"/>
      <c r="AU154" s="2"/>
      <c r="AW154" s="7">
        <v>45038.739583333336</v>
      </c>
      <c r="AX154" s="51">
        <v>3.4373935900891398E-3</v>
      </c>
      <c r="AY154" s="16">
        <v>73.415890989999994</v>
      </c>
      <c r="AZ154" s="2">
        <v>40650</v>
      </c>
      <c r="BA154" s="16">
        <f t="shared" si="55"/>
        <v>677.5</v>
      </c>
      <c r="BB154" s="9">
        <f t="shared" si="56"/>
        <v>2.3288341572853923</v>
      </c>
      <c r="BC154" s="119">
        <f t="shared" si="57"/>
        <v>30.30047169063014</v>
      </c>
      <c r="BE154" s="6"/>
      <c r="BG154" s="4"/>
      <c r="BH154" s="2"/>
      <c r="BI154" s="5"/>
      <c r="BJ154" s="102"/>
      <c r="BK154" s="102"/>
      <c r="BM154" s="104"/>
      <c r="BN154" s="4"/>
      <c r="BO154" s="102"/>
      <c r="BP154" s="2"/>
      <c r="BQ154" s="102"/>
      <c r="BR154" s="4"/>
      <c r="BS154" s="5"/>
    </row>
    <row r="155" spans="2:71" x14ac:dyDescent="0.3">
      <c r="I155" s="57"/>
      <c r="J155" s="26"/>
      <c r="K155" s="14"/>
      <c r="L155" s="57"/>
      <c r="M155" s="26"/>
      <c r="N155" s="14"/>
      <c r="Q155" s="6"/>
      <c r="R155" s="4"/>
      <c r="S155" s="5"/>
      <c r="T155" s="6"/>
      <c r="U155" s="4"/>
      <c r="V155" s="5"/>
      <c r="Y155" s="6"/>
      <c r="Z155" s="4"/>
      <c r="AA155" s="5"/>
      <c r="AB155" s="6"/>
      <c r="AC155" s="4"/>
      <c r="AD155" s="5"/>
      <c r="AG155" s="6"/>
      <c r="AH155" s="4"/>
      <c r="AI155" s="5"/>
      <c r="AJ155" s="6"/>
      <c r="AK155" s="4"/>
      <c r="AL155" s="5"/>
      <c r="AQ155" s="6"/>
      <c r="AR155" s="4"/>
      <c r="AS155" s="5"/>
      <c r="AT155" s="6"/>
      <c r="AU155" s="4"/>
      <c r="AW155" s="7">
        <v>45038.75</v>
      </c>
      <c r="AX155" s="51">
        <v>3.1975172737165902E-3</v>
      </c>
      <c r="AY155" s="16">
        <v>71.630262669999993</v>
      </c>
      <c r="AZ155" s="2">
        <v>40458</v>
      </c>
      <c r="BA155" s="16">
        <f t="shared" si="55"/>
        <v>674.3</v>
      </c>
      <c r="BB155" s="9">
        <f t="shared" si="56"/>
        <v>2.1560858976670967</v>
      </c>
      <c r="BC155" s="119">
        <f t="shared" si="57"/>
        <v>28.788805597194564</v>
      </c>
      <c r="BE155" s="6"/>
      <c r="BG155" s="4"/>
      <c r="BH155" s="2"/>
      <c r="BI155" s="5"/>
      <c r="BJ155" s="102"/>
      <c r="BK155" s="102"/>
      <c r="BM155" s="104"/>
      <c r="BN155" s="4"/>
      <c r="BO155" s="102"/>
      <c r="BP155" s="2"/>
      <c r="BQ155" s="102"/>
      <c r="BR155" s="4"/>
      <c r="BS155" s="5"/>
    </row>
    <row r="156" spans="2:71" x14ac:dyDescent="0.3">
      <c r="Q156" s="57"/>
      <c r="R156" s="26"/>
      <c r="S156" s="14"/>
      <c r="T156" s="57"/>
      <c r="U156" s="14"/>
      <c r="V156" s="14"/>
      <c r="Y156" s="57"/>
      <c r="Z156" s="26"/>
      <c r="AA156" s="14"/>
      <c r="AB156" s="57"/>
      <c r="AC156" s="14"/>
      <c r="AD156" s="14"/>
      <c r="AG156" s="57"/>
      <c r="AH156" s="26"/>
      <c r="AI156" s="14"/>
      <c r="AJ156" s="57"/>
      <c r="AK156" s="14"/>
      <c r="AL156" s="14"/>
      <c r="AQ156" s="6"/>
      <c r="AR156" s="4"/>
      <c r="AS156" s="5"/>
      <c r="AT156" s="6"/>
      <c r="AU156" s="4"/>
      <c r="AW156" s="7">
        <v>45038.760416666664</v>
      </c>
      <c r="AX156" s="51">
        <v>3.3447371798606602E-3</v>
      </c>
      <c r="AY156" s="16">
        <v>68.016396760000006</v>
      </c>
      <c r="AZ156" s="2">
        <v>40365</v>
      </c>
      <c r="BA156" s="16">
        <f t="shared" si="55"/>
        <v>672.75</v>
      </c>
      <c r="BB156" s="9">
        <f t="shared" si="56"/>
        <v>2.2501719377512592</v>
      </c>
      <c r="BC156" s="119">
        <f t="shared" si="57"/>
        <v>29.616969048775637</v>
      </c>
    </row>
    <row r="157" spans="2:71" x14ac:dyDescent="0.3">
      <c r="AQ157" s="6"/>
      <c r="AR157" s="26"/>
      <c r="AS157" s="14"/>
      <c r="AT157" s="57"/>
      <c r="AU157" s="14"/>
      <c r="AW157" s="7">
        <v>45038.770833333336</v>
      </c>
      <c r="AX157" s="51">
        <v>3.1263195277834101E-3</v>
      </c>
      <c r="AY157" s="16">
        <v>70.279402750000003</v>
      </c>
      <c r="AZ157" s="2">
        <v>40861</v>
      </c>
      <c r="BA157" s="16">
        <f t="shared" si="55"/>
        <v>681.01666666666665</v>
      </c>
      <c r="BB157" s="9">
        <f t="shared" si="56"/>
        <v>2.1290757037459653</v>
      </c>
      <c r="BC157" s="119">
        <f t="shared" si="57"/>
        <v>28.548827528313304</v>
      </c>
    </row>
    <row r="158" spans="2:71" x14ac:dyDescent="0.3">
      <c r="AW158" s="7">
        <v>45038.78125</v>
      </c>
      <c r="AX158" s="51">
        <v>3.0510628869312301E-3</v>
      </c>
      <c r="AY158" s="16">
        <v>69.373566690000004</v>
      </c>
      <c r="AZ158" s="2">
        <v>40570</v>
      </c>
      <c r="BA158" s="16">
        <f t="shared" si="55"/>
        <v>676.16666666666663</v>
      </c>
      <c r="BB158" s="9">
        <f t="shared" si="56"/>
        <v>2.0630270220466667</v>
      </c>
      <c r="BC158" s="119">
        <f t="shared" si="57"/>
        <v>27.957649019029503</v>
      </c>
    </row>
    <row r="159" spans="2:71" x14ac:dyDescent="0.3">
      <c r="AW159" s="7">
        <v>45038.791666666664</v>
      </c>
      <c r="AX159" s="51">
        <v>3.1232317890143801E-3</v>
      </c>
      <c r="AY159" s="16">
        <v>74.757192930000002</v>
      </c>
      <c r="AZ159" s="2">
        <v>40325</v>
      </c>
      <c r="BA159" s="16">
        <f t="shared" si="55"/>
        <v>672.08333333333337</v>
      </c>
      <c r="BB159" s="9">
        <f t="shared" si="56"/>
        <v>2.0990720315334146</v>
      </c>
      <c r="BC159" s="119">
        <f t="shared" si="57"/>
        <v>28.281050610388981</v>
      </c>
    </row>
    <row r="160" spans="2:71" x14ac:dyDescent="0.3">
      <c r="AW160" s="7">
        <v>45038.802083333336</v>
      </c>
      <c r="AX160" s="51">
        <v>3.0329595514069501E-3</v>
      </c>
      <c r="AY160" s="16">
        <v>72.069636250000002</v>
      </c>
      <c r="AZ160" s="2">
        <v>40593</v>
      </c>
      <c r="BA160" s="16">
        <f t="shared" si="55"/>
        <v>676.55</v>
      </c>
      <c r="BB160" s="9">
        <f t="shared" si="56"/>
        <v>2.051948784504372</v>
      </c>
      <c r="BC160" s="119">
        <f t="shared" si="57"/>
        <v>27.857872800057375</v>
      </c>
    </row>
    <row r="161" spans="49:55" x14ac:dyDescent="0.3">
      <c r="AW161" s="7">
        <v>45038.8125</v>
      </c>
      <c r="AX161" s="51">
        <v>3.0876150214074402E-3</v>
      </c>
      <c r="AY161" s="16">
        <v>74.757192930000002</v>
      </c>
      <c r="AZ161" s="2">
        <v>40636</v>
      </c>
      <c r="BA161" s="16">
        <f t="shared" si="55"/>
        <v>677.26666666666665</v>
      </c>
      <c r="BB161" s="9">
        <f t="shared" si="56"/>
        <v>2.0911387334985458</v>
      </c>
      <c r="BC161" s="119">
        <f t="shared" si="57"/>
        <v>28.21003298013088</v>
      </c>
    </row>
    <row r="162" spans="49:55" x14ac:dyDescent="0.3">
      <c r="AW162" s="7">
        <v>45038.822916666664</v>
      </c>
      <c r="AX162" s="51">
        <v>2.9959476681906501E-3</v>
      </c>
      <c r="AY162" s="16">
        <v>71.17580074</v>
      </c>
      <c r="AZ162" s="2">
        <v>40013</v>
      </c>
      <c r="BA162" s="16">
        <f t="shared" si="55"/>
        <v>666.88333333333333</v>
      </c>
      <c r="BB162" s="9">
        <f t="shared" si="56"/>
        <v>1.9979475674552081</v>
      </c>
      <c r="BC162" s="119">
        <f t="shared" si="57"/>
        <v>27.368892104879219</v>
      </c>
    </row>
    <row r="163" spans="49:55" x14ac:dyDescent="0.3">
      <c r="AW163" s="7">
        <v>45038.833333333336</v>
      </c>
      <c r="AX163" s="51">
        <v>3.0142801232159698E-3</v>
      </c>
      <c r="AY163" s="16">
        <v>68.924680609999996</v>
      </c>
      <c r="AZ163" s="2">
        <v>40773</v>
      </c>
      <c r="BA163" s="16">
        <f t="shared" si="55"/>
        <v>679.55</v>
      </c>
      <c r="BB163" s="9">
        <f t="shared" si="56"/>
        <v>2.0483540577314123</v>
      </c>
      <c r="BC163" s="119">
        <f t="shared" si="57"/>
        <v>27.825458003584092</v>
      </c>
    </row>
    <row r="164" spans="49:55" x14ac:dyDescent="0.3">
      <c r="AW164" s="7">
        <v>45038.84375</v>
      </c>
      <c r="AX164" s="51">
        <v>2.9388674191465299E-3</v>
      </c>
      <c r="AY164" s="16">
        <v>68.924680609999996</v>
      </c>
      <c r="AZ164" s="2">
        <v>40513</v>
      </c>
      <c r="BA164" s="16">
        <f t="shared" si="55"/>
        <v>675.2166666666667</v>
      </c>
      <c r="BB164" s="9">
        <f t="shared" si="56"/>
        <v>1.9843722625313895</v>
      </c>
      <c r="BC164" s="119">
        <f t="shared" si="57"/>
        <v>27.245272380518582</v>
      </c>
    </row>
    <row r="165" spans="49:55" x14ac:dyDescent="0.3">
      <c r="AW165" s="7">
        <v>45038.854166666664</v>
      </c>
      <c r="AX165" s="51">
        <v>3.1345841188476602E-3</v>
      </c>
      <c r="AY165" s="16">
        <v>67.565551839999998</v>
      </c>
      <c r="AZ165" s="2">
        <v>40517</v>
      </c>
      <c r="BA165" s="16">
        <f t="shared" si="55"/>
        <v>675.2833333333333</v>
      </c>
      <c r="BB165" s="9">
        <f t="shared" si="56"/>
        <v>2.1167324123891773</v>
      </c>
      <c r="BC165" s="119">
        <f t="shared" si="57"/>
        <v>28.438820580576007</v>
      </c>
    </row>
    <row r="166" spans="49:55" x14ac:dyDescent="0.3">
      <c r="AW166" s="7">
        <v>45038.864583333336</v>
      </c>
      <c r="AX166" s="51">
        <v>3.1567394809269402E-3</v>
      </c>
      <c r="AY166" s="16">
        <v>68.466857000000005</v>
      </c>
      <c r="AZ166" s="2">
        <v>40594</v>
      </c>
      <c r="BA166" s="16">
        <f t="shared" si="55"/>
        <v>676.56666666666672</v>
      </c>
      <c r="BB166" s="9">
        <f t="shared" si="56"/>
        <v>2.1357447081458036</v>
      </c>
      <c r="BC166" s="119">
        <f t="shared" si="57"/>
        <v>28.608174419487945</v>
      </c>
    </row>
    <row r="167" spans="49:55" x14ac:dyDescent="0.3">
      <c r="AW167" s="7">
        <v>45038.875</v>
      </c>
      <c r="AX167" s="51">
        <v>3.02122292250447E-3</v>
      </c>
      <c r="AY167" s="16">
        <v>71.17580074</v>
      </c>
      <c r="AZ167" s="2">
        <v>40073</v>
      </c>
      <c r="BA167" s="16">
        <f t="shared" si="55"/>
        <v>667.88333333333333</v>
      </c>
      <c r="BB167" s="9">
        <f t="shared" si="56"/>
        <v>2.0178244362253603</v>
      </c>
      <c r="BC167" s="119">
        <f t="shared" si="57"/>
        <v>27.549387409318616</v>
      </c>
    </row>
    <row r="168" spans="49:55" x14ac:dyDescent="0.3">
      <c r="AW168" s="7">
        <v>45038.885416666664</v>
      </c>
      <c r="AX168" s="51">
        <v>3.0033302617277799E-3</v>
      </c>
      <c r="AY168" s="16">
        <v>72.077340390000003</v>
      </c>
      <c r="AZ168" s="2">
        <v>39871</v>
      </c>
      <c r="BA168" s="16">
        <f t="shared" si="55"/>
        <v>664.51666666666665</v>
      </c>
      <c r="BB168" s="9">
        <f t="shared" si="56"/>
        <v>1.9957630144224718</v>
      </c>
      <c r="BC168" s="119">
        <f t="shared" si="57"/>
        <v>27.3490181815604</v>
      </c>
    </row>
    <row r="169" spans="49:55" x14ac:dyDescent="0.3">
      <c r="AW169" s="7">
        <v>45038.895833333336</v>
      </c>
      <c r="AX169" s="51">
        <v>2.98344577364193E-3</v>
      </c>
      <c r="AY169" s="16">
        <v>73.415890989999994</v>
      </c>
      <c r="AZ169" s="2">
        <v>39996</v>
      </c>
      <c r="BA169" s="16">
        <f t="shared" si="55"/>
        <v>666.6</v>
      </c>
      <c r="BB169" s="9">
        <f t="shared" si="56"/>
        <v>1.9887649527097107</v>
      </c>
      <c r="BC169" s="119">
        <f t="shared" si="57"/>
        <v>27.28530419515344</v>
      </c>
    </row>
    <row r="170" spans="49:55" x14ac:dyDescent="0.3">
      <c r="AW170" s="7">
        <v>45038.90625</v>
      </c>
      <c r="AX170" s="51">
        <v>3.0641457156569902E-3</v>
      </c>
      <c r="AY170" s="16">
        <v>71.17580074</v>
      </c>
      <c r="AZ170" s="2">
        <v>39573</v>
      </c>
      <c r="BA170" s="16">
        <f t="shared" si="55"/>
        <v>659.55</v>
      </c>
      <c r="BB170" s="9">
        <f t="shared" si="56"/>
        <v>2.0209573067615678</v>
      </c>
      <c r="BC170" s="119">
        <f t="shared" si="57"/>
        <v>27.57778136371682</v>
      </c>
    </row>
    <row r="171" spans="49:55" x14ac:dyDescent="0.3">
      <c r="AW171" s="7">
        <v>45038.916666666664</v>
      </c>
      <c r="AX171" s="51">
        <v>3.1380761504876198E-3</v>
      </c>
      <c r="AY171" s="16">
        <v>72.523974480000007</v>
      </c>
      <c r="AZ171" s="2">
        <v>39949</v>
      </c>
      <c r="BA171" s="16">
        <f t="shared" si="55"/>
        <v>665.81666666666672</v>
      </c>
      <c r="BB171" s="9">
        <f t="shared" si="56"/>
        <v>2.0893834022638322</v>
      </c>
      <c r="BC171" s="119">
        <f t="shared" si="57"/>
        <v>28.194307309649119</v>
      </c>
    </row>
    <row r="172" spans="49:55" x14ac:dyDescent="0.3">
      <c r="AW172" s="7">
        <v>45038.927083333336</v>
      </c>
      <c r="AX172" s="51">
        <v>2.9860903644689401E-3</v>
      </c>
      <c r="AY172" s="16">
        <v>69.822823</v>
      </c>
      <c r="AZ172" s="2">
        <v>40153</v>
      </c>
      <c r="BA172" s="16">
        <f t="shared" si="55"/>
        <v>669.2166666666667</v>
      </c>
      <c r="BB172" s="9">
        <f t="shared" si="56"/>
        <v>1.9983414400753559</v>
      </c>
      <c r="BC172" s="119">
        <f t="shared" si="57"/>
        <v>27.372474575353053</v>
      </c>
    </row>
    <row r="173" spans="49:55" x14ac:dyDescent="0.3">
      <c r="AW173" s="7">
        <v>45038.9375</v>
      </c>
      <c r="AX173" s="51">
        <v>2.8376942041793002E-3</v>
      </c>
      <c r="AY173" s="16">
        <v>69.822823</v>
      </c>
      <c r="AZ173" s="2">
        <v>40068</v>
      </c>
      <c r="BA173" s="16">
        <f t="shared" si="55"/>
        <v>667.8</v>
      </c>
      <c r="BB173" s="9">
        <f t="shared" si="56"/>
        <v>1.8950121895509366</v>
      </c>
      <c r="BC173" s="119">
        <f t="shared" si="57"/>
        <v>26.42431617100711</v>
      </c>
    </row>
    <row r="174" spans="49:55" x14ac:dyDescent="0.3">
      <c r="AW174" s="7">
        <v>45038.947916666664</v>
      </c>
      <c r="AX174" s="51">
        <v>2.9045869687717202E-3</v>
      </c>
      <c r="AY174" s="16">
        <v>74.764849499999997</v>
      </c>
      <c r="AZ174" s="2">
        <v>40095</v>
      </c>
      <c r="BA174" s="16">
        <f t="shared" si="55"/>
        <v>668.25</v>
      </c>
      <c r="BB174" s="9">
        <f t="shared" si="56"/>
        <v>1.940990241881702</v>
      </c>
      <c r="BC174" s="119">
        <f t="shared" si="57"/>
        <v>26.848306039120303</v>
      </c>
    </row>
    <row r="175" spans="49:55" x14ac:dyDescent="0.3">
      <c r="AW175" s="7">
        <v>45038.958333333336</v>
      </c>
      <c r="AX175" s="51">
        <v>2.9678120441320398E-3</v>
      </c>
      <c r="AY175" s="16">
        <v>73.423571839999994</v>
      </c>
      <c r="AZ175" s="2">
        <v>39732</v>
      </c>
      <c r="BA175" s="16">
        <f t="shared" si="55"/>
        <v>662.2</v>
      </c>
      <c r="BB175" s="9">
        <f t="shared" si="56"/>
        <v>1.9652851356242369</v>
      </c>
      <c r="BC175" s="119">
        <f t="shared" si="57"/>
        <v>27.070978999474537</v>
      </c>
    </row>
    <row r="176" spans="49:55" x14ac:dyDescent="0.3">
      <c r="AW176" s="7">
        <v>45038.96875</v>
      </c>
      <c r="AX176" s="51">
        <v>2.8233982856847501E-3</v>
      </c>
      <c r="AY176" s="16">
        <v>70.727821939999998</v>
      </c>
      <c r="AZ176" s="2">
        <v>39606</v>
      </c>
      <c r="BA176" s="16">
        <f t="shared" si="55"/>
        <v>660.1</v>
      </c>
      <c r="BB176" s="9">
        <f t="shared" si="56"/>
        <v>1.8637252083805036</v>
      </c>
      <c r="BC176" s="119">
        <f t="shared" si="57"/>
        <v>26.133823388229938</v>
      </c>
    </row>
    <row r="177" spans="49:55" x14ac:dyDescent="0.3">
      <c r="AW177" s="7">
        <v>45038.979166666664</v>
      </c>
      <c r="AX177" s="51">
        <v>2.8047492203971702E-3</v>
      </c>
      <c r="AY177" s="16">
        <v>71.17580074</v>
      </c>
      <c r="AZ177" s="2">
        <v>39538</v>
      </c>
      <c r="BA177" s="16">
        <f t="shared" si="55"/>
        <v>658.9666666666667</v>
      </c>
      <c r="BB177" s="9">
        <f t="shared" si="56"/>
        <v>1.8482362446010554</v>
      </c>
      <c r="BC177" s="119">
        <f t="shared" si="57"/>
        <v>25.989405925717357</v>
      </c>
    </row>
    <row r="178" spans="49:55" x14ac:dyDescent="0.3">
      <c r="AW178" s="7">
        <v>45038.989583333336</v>
      </c>
      <c r="AX178" s="51">
        <v>2.8340689660904198E-3</v>
      </c>
      <c r="AY178" s="16">
        <v>72.523974480000007</v>
      </c>
      <c r="AZ178" s="2">
        <v>39671</v>
      </c>
      <c r="BA178" s="16">
        <f t="shared" si="55"/>
        <v>661.18333333333328</v>
      </c>
      <c r="BB178" s="9">
        <f t="shared" si="56"/>
        <v>1.8738391658962172</v>
      </c>
      <c r="BC178" s="119">
        <f t="shared" si="57"/>
        <v>26.227907244060695</v>
      </c>
    </row>
    <row r="179" spans="49:55" x14ac:dyDescent="0.3">
      <c r="AW179" s="7">
        <v>45039</v>
      </c>
      <c r="AX179" s="51">
        <v>2.89721988063697E-3</v>
      </c>
      <c r="AY179" s="16">
        <v>69.822823</v>
      </c>
      <c r="AZ179" s="2">
        <v>39297</v>
      </c>
      <c r="BA179" s="16">
        <f t="shared" si="55"/>
        <v>654.95000000000005</v>
      </c>
      <c r="BB179" s="9">
        <f t="shared" si="56"/>
        <v>1.8975341608231837</v>
      </c>
      <c r="BC179" s="119">
        <f t="shared" si="57"/>
        <v>26.447661656498315</v>
      </c>
    </row>
    <row r="180" spans="49:55" x14ac:dyDescent="0.3">
      <c r="AW180" s="7">
        <v>45039.010416666664</v>
      </c>
      <c r="AX180" s="51">
        <v>2.7723294774094302E-3</v>
      </c>
      <c r="AY180" s="16">
        <v>67.557775419999999</v>
      </c>
      <c r="AZ180" s="2">
        <v>39060</v>
      </c>
      <c r="BA180" s="16">
        <f t="shared" si="55"/>
        <v>651</v>
      </c>
      <c r="BB180" s="9">
        <f t="shared" si="56"/>
        <v>1.8047864897935391</v>
      </c>
      <c r="BC180" s="119">
        <f t="shared" si="57"/>
        <v>25.582096677860012</v>
      </c>
    </row>
    <row r="181" spans="49:55" x14ac:dyDescent="0.3">
      <c r="AW181" s="7">
        <v>45039.020833333336</v>
      </c>
      <c r="AX181" s="51">
        <v>2.8094775482675198E-3</v>
      </c>
      <c r="AY181" s="16">
        <v>72.069636250000002</v>
      </c>
      <c r="AZ181" s="2">
        <v>39373</v>
      </c>
      <c r="BA181" s="16">
        <f t="shared" si="55"/>
        <v>656.2166666666667</v>
      </c>
      <c r="BB181" s="9">
        <f t="shared" si="56"/>
        <v>1.843625991798951</v>
      </c>
      <c r="BC181" s="119">
        <f t="shared" si="57"/>
        <v>25.946341977024098</v>
      </c>
    </row>
    <row r="182" spans="49:55" x14ac:dyDescent="0.3">
      <c r="AW182" s="7">
        <v>45039.03125</v>
      </c>
      <c r="AX182" s="51">
        <v>2.99355927730379E-3</v>
      </c>
      <c r="AY182" s="16">
        <v>71.17580074</v>
      </c>
      <c r="AZ182" s="2">
        <v>39168</v>
      </c>
      <c r="BA182" s="16">
        <f t="shared" si="55"/>
        <v>652.79999999999995</v>
      </c>
      <c r="BB182" s="9">
        <f t="shared" si="56"/>
        <v>1.9541954962239139</v>
      </c>
      <c r="BC182" s="119">
        <f t="shared" si="57"/>
        <v>26.969453194224304</v>
      </c>
    </row>
    <row r="183" spans="49:55" x14ac:dyDescent="0.3">
      <c r="AW183" s="7">
        <v>45039.041666666664</v>
      </c>
      <c r="AX183" s="51">
        <v>2.7133553042691301E-3</v>
      </c>
      <c r="AY183" s="16">
        <v>68.916923760000003</v>
      </c>
      <c r="AZ183" s="2">
        <v>39801</v>
      </c>
      <c r="BA183" s="16">
        <f t="shared" si="55"/>
        <v>663.35</v>
      </c>
      <c r="BB183" s="9">
        <f t="shared" si="56"/>
        <v>1.7999042410869275</v>
      </c>
      <c r="BC183" s="119">
        <f t="shared" si="57"/>
        <v>25.536124418398309</v>
      </c>
    </row>
    <row r="184" spans="49:55" x14ac:dyDescent="0.3">
      <c r="AW184" s="7">
        <v>45039.052083333336</v>
      </c>
      <c r="AX184" s="51">
        <v>2.8154153668531801E-3</v>
      </c>
      <c r="AY184" s="16">
        <v>72.523974480000007</v>
      </c>
      <c r="AZ184" s="2">
        <v>39290</v>
      </c>
      <c r="BA184" s="16">
        <f t="shared" si="55"/>
        <v>654.83333333333337</v>
      </c>
      <c r="BB184" s="9">
        <f t="shared" si="56"/>
        <v>1.8436278293943575</v>
      </c>
      <c r="BC184" s="119">
        <f t="shared" si="57"/>
        <v>25.946359149037502</v>
      </c>
    </row>
    <row r="185" spans="49:55" x14ac:dyDescent="0.3">
      <c r="AW185" s="7">
        <v>45039.0625</v>
      </c>
      <c r="AX185" s="51">
        <v>2.8827423539118501E-3</v>
      </c>
      <c r="AY185" s="16">
        <v>75.652056590000001</v>
      </c>
      <c r="AZ185" s="2">
        <v>39270</v>
      </c>
      <c r="BA185" s="16">
        <f t="shared" si="55"/>
        <v>654.5</v>
      </c>
      <c r="BB185" s="9">
        <f t="shared" si="56"/>
        <v>1.8867548706353059</v>
      </c>
      <c r="BC185" s="119">
        <f t="shared" si="57"/>
        <v>26.347806328022006</v>
      </c>
    </row>
    <row r="186" spans="49:55" x14ac:dyDescent="0.3">
      <c r="AW186" s="7">
        <v>45039.072916666664</v>
      </c>
      <c r="AX186" s="51">
        <v>2.8312097187865701E-3</v>
      </c>
      <c r="AY186" s="16">
        <v>69.822823</v>
      </c>
      <c r="AZ186" s="2">
        <v>38959</v>
      </c>
      <c r="BA186" s="16">
        <f t="shared" si="55"/>
        <v>649.31666666666672</v>
      </c>
      <c r="BB186" s="9">
        <f t="shared" si="56"/>
        <v>1.8383516572367666</v>
      </c>
      <c r="BC186" s="119">
        <f t="shared" si="57"/>
        <v>25.897030499295155</v>
      </c>
    </row>
    <row r="187" spans="49:55" x14ac:dyDescent="0.3">
      <c r="AW187" s="7">
        <v>45039.083333333336</v>
      </c>
      <c r="AX187" s="51">
        <v>2.9515252637251901E-3</v>
      </c>
      <c r="AY187" s="16">
        <v>71.17580074</v>
      </c>
      <c r="AZ187" s="2">
        <v>38820</v>
      </c>
      <c r="BA187" s="16">
        <f t="shared" si="55"/>
        <v>647</v>
      </c>
      <c r="BB187" s="9">
        <f t="shared" si="56"/>
        <v>1.909636845630198</v>
      </c>
      <c r="BC187" s="119">
        <f t="shared" si="57"/>
        <v>26.559549574334866</v>
      </c>
    </row>
    <row r="188" spans="49:55" x14ac:dyDescent="0.3">
      <c r="AW188" s="7">
        <v>45039.09375</v>
      </c>
      <c r="AX188" s="51">
        <v>3.0302628610862298E-3</v>
      </c>
      <c r="AY188" s="16">
        <v>71.17580074</v>
      </c>
      <c r="AZ188" s="2">
        <v>38692</v>
      </c>
      <c r="BA188" s="16">
        <f t="shared" si="55"/>
        <v>644.86666666666667</v>
      </c>
      <c r="BB188" s="9">
        <f t="shared" si="56"/>
        <v>1.9541155103524734</v>
      </c>
      <c r="BC188" s="119">
        <f t="shared" si="57"/>
        <v>26.968720220376117</v>
      </c>
    </row>
    <row r="189" spans="49:55" x14ac:dyDescent="0.3">
      <c r="AW189" s="7">
        <v>45039.104166666664</v>
      </c>
      <c r="AX189" s="51">
        <v>2.8010727001382199E-3</v>
      </c>
      <c r="AY189" s="16">
        <v>72.077340390000003</v>
      </c>
      <c r="AZ189" s="2">
        <v>38713</v>
      </c>
      <c r="BA189" s="16">
        <f t="shared" si="55"/>
        <v>645.2166666666667</v>
      </c>
      <c r="BB189" s="9">
        <f t="shared" si="56"/>
        <v>1.807298790674182</v>
      </c>
      <c r="BC189" s="119">
        <f t="shared" si="57"/>
        <v>25.605736734984504</v>
      </c>
    </row>
    <row r="190" spans="49:55" x14ac:dyDescent="0.3">
      <c r="AW190" s="7">
        <v>45039.114583333336</v>
      </c>
      <c r="AX190" s="51">
        <v>2.8721063237231999E-3</v>
      </c>
      <c r="AY190" s="16">
        <v>68.466857000000005</v>
      </c>
      <c r="AZ190" s="2">
        <v>38694</v>
      </c>
      <c r="BA190" s="16">
        <f t="shared" si="55"/>
        <v>644.9</v>
      </c>
      <c r="BB190" s="9">
        <f t="shared" si="56"/>
        <v>1.8522213681690916</v>
      </c>
      <c r="BC190" s="119">
        <f t="shared" si="57"/>
        <v>26.026601523769202</v>
      </c>
    </row>
    <row r="191" spans="49:55" x14ac:dyDescent="0.3">
      <c r="AW191" s="7">
        <v>45039.125</v>
      </c>
      <c r="AX191" s="51">
        <v>2.8017343012483199E-3</v>
      </c>
      <c r="AY191" s="16">
        <v>72.077340390000003</v>
      </c>
      <c r="AZ191" s="2">
        <v>38823</v>
      </c>
      <c r="BA191" s="16">
        <f t="shared" si="55"/>
        <v>647.04999999999995</v>
      </c>
      <c r="BB191" s="9">
        <f t="shared" si="56"/>
        <v>1.8128621796227253</v>
      </c>
      <c r="BC191" s="119">
        <f t="shared" si="57"/>
        <v>25.65804742800794</v>
      </c>
    </row>
    <row r="192" spans="49:55" x14ac:dyDescent="0.3">
      <c r="AW192" s="7">
        <v>45039.135416666664</v>
      </c>
      <c r="AX192" s="51">
        <v>2.6049214686994998E-3</v>
      </c>
      <c r="AY192" s="16">
        <v>71.17580074</v>
      </c>
      <c r="AZ192" s="2">
        <v>38637</v>
      </c>
      <c r="BA192" s="16">
        <f t="shared" si="55"/>
        <v>643.95000000000005</v>
      </c>
      <c r="BB192" s="9">
        <f t="shared" si="56"/>
        <v>1.6774391797690431</v>
      </c>
      <c r="BC192" s="119">
        <f t="shared" si="57"/>
        <v>24.368839495880259</v>
      </c>
    </row>
    <row r="193" spans="49:55" x14ac:dyDescent="0.3">
      <c r="AW193" s="7">
        <v>45039.145833333336</v>
      </c>
      <c r="AX193" s="51">
        <v>2.7329602563069401E-3</v>
      </c>
      <c r="AY193" s="16">
        <v>73.423571839999994</v>
      </c>
      <c r="AZ193" s="2">
        <v>38855</v>
      </c>
      <c r="BA193" s="16">
        <f t="shared" si="55"/>
        <v>647.58333333333337</v>
      </c>
      <c r="BB193" s="9">
        <f t="shared" si="56"/>
        <v>1.7698195126467693</v>
      </c>
      <c r="BC193" s="119">
        <f t="shared" si="57"/>
        <v>25.251909600495811</v>
      </c>
    </row>
    <row r="194" spans="49:55" x14ac:dyDescent="0.3">
      <c r="AW194" s="7">
        <v>45039.15625</v>
      </c>
      <c r="AX194" s="51">
        <v>2.8202308236288101E-3</v>
      </c>
      <c r="AY194" s="16">
        <v>72.523974480000007</v>
      </c>
      <c r="AZ194" s="2">
        <v>39088</v>
      </c>
      <c r="BA194" s="16">
        <f t="shared" si="55"/>
        <v>651.4666666666667</v>
      </c>
      <c r="BB194" s="9">
        <f t="shared" si="56"/>
        <v>1.8372863739000489</v>
      </c>
      <c r="BC194" s="119">
        <f t="shared" si="57"/>
        <v>25.887065050112533</v>
      </c>
    </row>
    <row r="195" spans="49:55" x14ac:dyDescent="0.3">
      <c r="AW195" s="7">
        <v>45039.166666666664</v>
      </c>
      <c r="AX195" s="51">
        <v>2.8479049754169998E-3</v>
      </c>
      <c r="AY195" s="16">
        <v>66.203758769999993</v>
      </c>
      <c r="AZ195" s="2">
        <v>39322</v>
      </c>
      <c r="BA195" s="16">
        <f t="shared" si="55"/>
        <v>655.36666666666667</v>
      </c>
      <c r="BB195" s="9">
        <f t="shared" si="56"/>
        <v>1.8664219907224544</v>
      </c>
      <c r="BC195" s="119">
        <f t="shared" si="57"/>
        <v>26.158926613803143</v>
      </c>
    </row>
    <row r="196" spans="49:55" x14ac:dyDescent="0.3">
      <c r="AW196" s="7">
        <v>45039.177083333336</v>
      </c>
      <c r="AX196" s="51">
        <v>2.8332940312526299E-3</v>
      </c>
      <c r="AY196" s="16">
        <v>68.924680609999996</v>
      </c>
      <c r="AZ196" s="2">
        <v>38836</v>
      </c>
      <c r="BA196" s="16">
        <f t="shared" ref="BA196:BA259" si="58">AZ196/60</f>
        <v>647.26666666666665</v>
      </c>
      <c r="BB196" s="9">
        <f t="shared" ref="BB196:BB259" si="59">BA196*AX196</f>
        <v>1.8338967832954522</v>
      </c>
      <c r="BC196" s="119">
        <f t="shared" ref="BC196:BC259" si="60">17.285*BB196^0.664</f>
        <v>25.85534338447393</v>
      </c>
    </row>
    <row r="197" spans="49:55" x14ac:dyDescent="0.3">
      <c r="AW197" s="7">
        <v>45039.1875</v>
      </c>
      <c r="AX197" s="51">
        <v>2.8225605516083701E-3</v>
      </c>
      <c r="AY197" s="16">
        <v>68.924680609999996</v>
      </c>
      <c r="AZ197" s="2">
        <v>38930</v>
      </c>
      <c r="BA197" s="16">
        <f t="shared" si="58"/>
        <v>648.83333333333337</v>
      </c>
      <c r="BB197" s="9">
        <f t="shared" si="59"/>
        <v>1.8313713712352309</v>
      </c>
      <c r="BC197" s="119">
        <f t="shared" si="60"/>
        <v>25.831696372343462</v>
      </c>
    </row>
    <row r="198" spans="49:55" x14ac:dyDescent="0.3">
      <c r="AW198" s="7">
        <v>45039.197916666664</v>
      </c>
      <c r="AX198" s="51">
        <v>2.99764047136611E-3</v>
      </c>
      <c r="AY198" s="16">
        <v>65.290959470000004</v>
      </c>
      <c r="AZ198" s="2">
        <v>38422</v>
      </c>
      <c r="BA198" s="16">
        <f t="shared" si="58"/>
        <v>640.36666666666667</v>
      </c>
      <c r="BB198" s="9">
        <f t="shared" si="59"/>
        <v>1.9195890365138113</v>
      </c>
      <c r="BC198" s="119">
        <f t="shared" si="60"/>
        <v>26.65137800604623</v>
      </c>
    </row>
    <row r="199" spans="49:55" x14ac:dyDescent="0.3">
      <c r="AW199" s="7">
        <v>45039.208333333336</v>
      </c>
      <c r="AX199" s="51">
        <v>3.0500048869195398E-3</v>
      </c>
      <c r="AY199" s="16">
        <v>69.822823</v>
      </c>
      <c r="AZ199" s="2">
        <v>38792</v>
      </c>
      <c r="BA199" s="16">
        <f t="shared" si="58"/>
        <v>646.5333333333333</v>
      </c>
      <c r="BB199" s="9">
        <f t="shared" si="59"/>
        <v>1.9719298262230465</v>
      </c>
      <c r="BC199" s="119">
        <f t="shared" si="60"/>
        <v>27.131719008362552</v>
      </c>
    </row>
    <row r="200" spans="49:55" x14ac:dyDescent="0.3">
      <c r="AW200" s="7">
        <v>45039.21875</v>
      </c>
      <c r="AX200" s="51">
        <v>2.8106978611244201E-3</v>
      </c>
      <c r="AY200" s="16">
        <v>69.822823</v>
      </c>
      <c r="AZ200" s="2">
        <v>38696</v>
      </c>
      <c r="BA200" s="16">
        <f t="shared" si="58"/>
        <v>644.93333333333328</v>
      </c>
      <c r="BB200" s="9">
        <f t="shared" si="59"/>
        <v>1.8127127405678425</v>
      </c>
      <c r="BC200" s="119">
        <f t="shared" si="60"/>
        <v>25.65664300795769</v>
      </c>
    </row>
    <row r="201" spans="49:55" x14ac:dyDescent="0.3">
      <c r="AW201" s="7">
        <v>45039.229166666664</v>
      </c>
      <c r="AX201" s="51">
        <v>2.80824256082995E-3</v>
      </c>
      <c r="AY201" s="16">
        <v>67.557775419999999</v>
      </c>
      <c r="AZ201" s="2">
        <v>38872</v>
      </c>
      <c r="BA201" s="16">
        <f t="shared" si="58"/>
        <v>647.86666666666667</v>
      </c>
      <c r="BB201" s="9">
        <f t="shared" si="59"/>
        <v>1.8193667470763637</v>
      </c>
      <c r="BC201" s="119">
        <f t="shared" si="60"/>
        <v>25.719139361215209</v>
      </c>
    </row>
    <row r="202" spans="49:55" x14ac:dyDescent="0.3">
      <c r="AW202" s="7">
        <v>45039.239583333336</v>
      </c>
      <c r="AX202" s="51">
        <v>2.9818124259718601E-3</v>
      </c>
      <c r="AY202" s="16">
        <v>71.17580074</v>
      </c>
      <c r="AZ202" s="2">
        <v>38851</v>
      </c>
      <c r="BA202" s="16">
        <f t="shared" si="58"/>
        <v>647.51666666666665</v>
      </c>
      <c r="BB202" s="9">
        <f t="shared" si="59"/>
        <v>1.9307732426905455</v>
      </c>
      <c r="BC202" s="119">
        <f t="shared" si="60"/>
        <v>26.754383513234444</v>
      </c>
    </row>
    <row r="203" spans="49:55" x14ac:dyDescent="0.3">
      <c r="AW203" s="7">
        <v>45039.25</v>
      </c>
      <c r="AX203" s="51">
        <v>2.6799413373320099E-3</v>
      </c>
      <c r="AY203" s="16">
        <v>71.17580074</v>
      </c>
      <c r="AZ203" s="2">
        <v>38854</v>
      </c>
      <c r="BA203" s="16">
        <f t="shared" si="58"/>
        <v>647.56666666666672</v>
      </c>
      <c r="BB203" s="9">
        <f t="shared" si="59"/>
        <v>1.7354406786782988</v>
      </c>
      <c r="BC203" s="119">
        <f t="shared" si="60"/>
        <v>24.925132358955867</v>
      </c>
    </row>
    <row r="204" spans="49:55" x14ac:dyDescent="0.3">
      <c r="AW204" s="7">
        <v>45039.260416666664</v>
      </c>
      <c r="AX204" s="51">
        <v>2.7855962361300599E-3</v>
      </c>
      <c r="AY204" s="16">
        <v>71.17580074</v>
      </c>
      <c r="AZ204" s="2">
        <v>38965</v>
      </c>
      <c r="BA204" s="16">
        <f t="shared" si="58"/>
        <v>649.41666666666663</v>
      </c>
      <c r="BB204" s="9">
        <f t="shared" si="59"/>
        <v>1.8090126223467964</v>
      </c>
      <c r="BC204" s="119">
        <f t="shared" si="60"/>
        <v>25.621857082410013</v>
      </c>
    </row>
    <row r="205" spans="49:55" x14ac:dyDescent="0.3">
      <c r="AW205" s="7">
        <v>45039.270833333336</v>
      </c>
      <c r="AX205" s="51">
        <v>2.6824830335906301E-3</v>
      </c>
      <c r="AY205" s="16">
        <v>74.764849499999997</v>
      </c>
      <c r="AZ205" s="2">
        <v>37988</v>
      </c>
      <c r="BA205" s="16">
        <f t="shared" si="58"/>
        <v>633.13333333333333</v>
      </c>
      <c r="BB205" s="9">
        <f t="shared" si="59"/>
        <v>1.6983694246673475</v>
      </c>
      <c r="BC205" s="119">
        <f t="shared" si="60"/>
        <v>24.570315883075931</v>
      </c>
    </row>
    <row r="206" spans="49:55" x14ac:dyDescent="0.3">
      <c r="AW206" s="7">
        <v>45039.28125</v>
      </c>
      <c r="AX206" s="51">
        <v>2.5253718924733602E-3</v>
      </c>
      <c r="AY206" s="16">
        <v>73.423571839999994</v>
      </c>
      <c r="AZ206" s="2">
        <v>38312</v>
      </c>
      <c r="BA206" s="16">
        <f t="shared" si="58"/>
        <v>638.5333333333333</v>
      </c>
      <c r="BB206" s="9">
        <f t="shared" si="59"/>
        <v>1.6125341324073228</v>
      </c>
      <c r="BC206" s="119">
        <f t="shared" si="60"/>
        <v>23.738611019389154</v>
      </c>
    </row>
    <row r="207" spans="49:55" x14ac:dyDescent="0.3">
      <c r="AW207" s="7">
        <v>45039.291666666664</v>
      </c>
      <c r="AX207" s="51">
        <v>2.6929793718038701E-3</v>
      </c>
      <c r="AY207" s="16">
        <v>70.727821939999998</v>
      </c>
      <c r="AZ207" s="2">
        <v>38266</v>
      </c>
      <c r="BA207" s="16">
        <f t="shared" si="58"/>
        <v>637.76666666666665</v>
      </c>
      <c r="BB207" s="9">
        <f t="shared" si="59"/>
        <v>1.7174924773574483</v>
      </c>
      <c r="BC207" s="119">
        <f t="shared" si="60"/>
        <v>24.753667894845709</v>
      </c>
    </row>
    <row r="208" spans="49:55" x14ac:dyDescent="0.3">
      <c r="AW208" s="7">
        <v>45039.302083333336</v>
      </c>
      <c r="AX208" s="51">
        <v>2.8665286624798602E-3</v>
      </c>
      <c r="AY208" s="16">
        <v>73.423571839999994</v>
      </c>
      <c r="AZ208" s="2">
        <v>37972</v>
      </c>
      <c r="BA208" s="16">
        <f t="shared" si="58"/>
        <v>632.86666666666667</v>
      </c>
      <c r="BB208" s="9">
        <f t="shared" si="59"/>
        <v>1.8141304395280875</v>
      </c>
      <c r="BC208" s="119">
        <f t="shared" si="60"/>
        <v>25.669964899643986</v>
      </c>
    </row>
    <row r="209" spans="49:55" x14ac:dyDescent="0.3">
      <c r="AW209" s="7">
        <v>45039.3125</v>
      </c>
      <c r="AX209" s="51">
        <v>2.5695718236496902E-3</v>
      </c>
      <c r="AY209" s="16">
        <v>67.557775419999999</v>
      </c>
      <c r="AZ209" s="2">
        <v>37935</v>
      </c>
      <c r="BA209" s="16">
        <f t="shared" si="58"/>
        <v>632.25</v>
      </c>
      <c r="BB209" s="9">
        <f t="shared" si="59"/>
        <v>1.6246117855025166</v>
      </c>
      <c r="BC209" s="119">
        <f t="shared" si="60"/>
        <v>23.856521394383076</v>
      </c>
    </row>
    <row r="210" spans="49:55" x14ac:dyDescent="0.3">
      <c r="AW210" s="7">
        <v>45039.322916666664</v>
      </c>
      <c r="AX210" s="51">
        <v>2.6058959183304E-3</v>
      </c>
      <c r="AY210" s="16">
        <v>68.466857000000005</v>
      </c>
      <c r="AZ210" s="2">
        <v>37786</v>
      </c>
      <c r="BA210" s="16">
        <f t="shared" si="58"/>
        <v>629.76666666666665</v>
      </c>
      <c r="BB210" s="9">
        <f t="shared" si="59"/>
        <v>1.6411063861672082</v>
      </c>
      <c r="BC210" s="119">
        <f t="shared" si="60"/>
        <v>24.01707842672521</v>
      </c>
    </row>
    <row r="211" spans="49:55" x14ac:dyDescent="0.3">
      <c r="AW211" s="7">
        <v>45039.333333333336</v>
      </c>
      <c r="AX211" s="51">
        <v>2.63818024574339E-3</v>
      </c>
      <c r="AY211" s="16">
        <v>69.822823</v>
      </c>
      <c r="AZ211" s="2">
        <v>38336</v>
      </c>
      <c r="BA211" s="16">
        <f t="shared" si="58"/>
        <v>638.93333333333328</v>
      </c>
      <c r="BB211" s="9">
        <f t="shared" si="59"/>
        <v>1.6856212983469765</v>
      </c>
      <c r="BC211" s="119">
        <f t="shared" si="60"/>
        <v>24.44770128973753</v>
      </c>
    </row>
    <row r="212" spans="49:55" x14ac:dyDescent="0.3">
      <c r="AW212" s="7">
        <v>45039.34375</v>
      </c>
      <c r="AX212" s="51">
        <v>2.6857770488909502E-3</v>
      </c>
      <c r="AY212" s="16">
        <v>70.720093730000002</v>
      </c>
      <c r="AZ212" s="2">
        <v>37246</v>
      </c>
      <c r="BA212" s="16">
        <f t="shared" si="58"/>
        <v>620.76666666666665</v>
      </c>
      <c r="BB212" s="9">
        <f t="shared" si="59"/>
        <v>1.6672408660498721</v>
      </c>
      <c r="BC212" s="119">
        <f t="shared" si="60"/>
        <v>24.270363796743087</v>
      </c>
    </row>
    <row r="213" spans="49:55" x14ac:dyDescent="0.3">
      <c r="AW213" s="7">
        <v>45039.354166666664</v>
      </c>
      <c r="AX213" s="51">
        <v>2.5821906656513698E-3</v>
      </c>
      <c r="AY213" s="16">
        <v>65.283151739999994</v>
      </c>
      <c r="AZ213" s="2">
        <v>37421</v>
      </c>
      <c r="BA213" s="16">
        <f t="shared" si="58"/>
        <v>623.68333333333328</v>
      </c>
      <c r="BB213" s="9">
        <f t="shared" si="59"/>
        <v>1.6104692816556649</v>
      </c>
      <c r="BC213" s="119">
        <f t="shared" si="60"/>
        <v>23.718422865619189</v>
      </c>
    </row>
    <row r="214" spans="49:55" x14ac:dyDescent="0.3">
      <c r="AW214" s="7">
        <v>45039.364583333336</v>
      </c>
      <c r="AX214" s="51">
        <v>2.71483011628569E-3</v>
      </c>
      <c r="AY214" s="16">
        <v>65.283151739999994</v>
      </c>
      <c r="AZ214" s="2">
        <v>38168</v>
      </c>
      <c r="BA214" s="16">
        <f t="shared" si="58"/>
        <v>636.13333333333333</v>
      </c>
      <c r="BB214" s="9">
        <f t="shared" si="59"/>
        <v>1.7269939313065368</v>
      </c>
      <c r="BC214" s="119">
        <f t="shared" si="60"/>
        <v>24.844512686464977</v>
      </c>
    </row>
    <row r="215" spans="49:55" x14ac:dyDescent="0.3">
      <c r="AW215" s="7">
        <v>45039.375</v>
      </c>
      <c r="AX215" s="51">
        <v>2.5852325513698901E-3</v>
      </c>
      <c r="AY215" s="16">
        <v>67.557775419999999</v>
      </c>
      <c r="AZ215" s="2">
        <v>37499</v>
      </c>
      <c r="BA215" s="16">
        <f t="shared" si="58"/>
        <v>624.98333333333335</v>
      </c>
      <c r="BB215" s="9">
        <f t="shared" si="59"/>
        <v>1.6157272573969919</v>
      </c>
      <c r="BC215" s="119">
        <f t="shared" si="60"/>
        <v>23.769813276537711</v>
      </c>
    </row>
    <row r="216" spans="49:55" x14ac:dyDescent="0.3">
      <c r="AW216" s="7">
        <v>45039.385416666664</v>
      </c>
      <c r="AX216" s="51">
        <v>2.4118010693786902E-3</v>
      </c>
      <c r="AY216" s="16">
        <v>67.557775419999999</v>
      </c>
      <c r="AZ216" s="2">
        <v>37666</v>
      </c>
      <c r="BA216" s="16">
        <f t="shared" si="58"/>
        <v>627.76666666666665</v>
      </c>
      <c r="BB216" s="9">
        <f t="shared" si="59"/>
        <v>1.5140483179869624</v>
      </c>
      <c r="BC216" s="119">
        <f t="shared" si="60"/>
        <v>22.765760777092012</v>
      </c>
    </row>
    <row r="217" spans="49:55" x14ac:dyDescent="0.3">
      <c r="AW217" s="7">
        <v>45039.395833333336</v>
      </c>
      <c r="AX217" s="51">
        <v>2.6947943042340801E-3</v>
      </c>
      <c r="AY217" s="16">
        <v>69.822823</v>
      </c>
      <c r="AZ217" s="2">
        <v>38025</v>
      </c>
      <c r="BA217" s="16">
        <f t="shared" si="58"/>
        <v>633.75</v>
      </c>
      <c r="BB217" s="9">
        <f t="shared" si="59"/>
        <v>1.7078258903083483</v>
      </c>
      <c r="BC217" s="119">
        <f t="shared" si="60"/>
        <v>24.661070781132253</v>
      </c>
    </row>
    <row r="218" spans="49:55" x14ac:dyDescent="0.3">
      <c r="AW218" s="7">
        <v>45039.40625</v>
      </c>
      <c r="AX218" s="51">
        <v>2.97809227628018E-3</v>
      </c>
      <c r="AY218" s="16">
        <v>63.92387093</v>
      </c>
      <c r="AZ218" s="2">
        <v>37514</v>
      </c>
      <c r="BA218" s="16">
        <f t="shared" si="58"/>
        <v>625.23333333333335</v>
      </c>
      <c r="BB218" s="9">
        <f t="shared" si="59"/>
        <v>1.8620025608729114</v>
      </c>
      <c r="BC218" s="119">
        <f t="shared" si="60"/>
        <v>26.117781590614289</v>
      </c>
    </row>
    <row r="219" spans="49:55" x14ac:dyDescent="0.3">
      <c r="AW219" s="7">
        <v>45039.416666666664</v>
      </c>
      <c r="AX219" s="51">
        <v>2.7679463036553199E-3</v>
      </c>
      <c r="AY219" s="16">
        <v>63.92387093</v>
      </c>
      <c r="AZ219" s="2">
        <v>37909</v>
      </c>
      <c r="BA219" s="16">
        <f t="shared" si="58"/>
        <v>631.81666666666672</v>
      </c>
      <c r="BB219" s="9">
        <f t="shared" si="59"/>
        <v>1.7488346070878256</v>
      </c>
      <c r="BC219" s="119">
        <f t="shared" si="60"/>
        <v>25.052700494597211</v>
      </c>
    </row>
    <row r="220" spans="49:55" x14ac:dyDescent="0.3">
      <c r="AW220" s="7">
        <v>45039.427083333336</v>
      </c>
      <c r="AX220" s="51">
        <v>2.5569504740835798E-3</v>
      </c>
      <c r="AY220" s="16">
        <v>63.92387093</v>
      </c>
      <c r="AZ220" s="2">
        <v>37648</v>
      </c>
      <c r="BA220" s="16">
        <f t="shared" si="58"/>
        <v>627.4666666666667</v>
      </c>
      <c r="BB220" s="9">
        <f t="shared" si="59"/>
        <v>1.6044011908049769</v>
      </c>
      <c r="BC220" s="119">
        <f t="shared" si="60"/>
        <v>23.659044423002889</v>
      </c>
    </row>
    <row r="221" spans="49:55" x14ac:dyDescent="0.3">
      <c r="AW221" s="7">
        <v>45039.4375</v>
      </c>
      <c r="AX221" s="51">
        <v>2.6728405441053798E-3</v>
      </c>
      <c r="AY221" s="16">
        <v>59.685691249999998</v>
      </c>
      <c r="AZ221" s="2">
        <v>37004</v>
      </c>
      <c r="BA221" s="16">
        <f t="shared" si="58"/>
        <v>616.73333333333335</v>
      </c>
      <c r="BB221" s="9">
        <f t="shared" si="59"/>
        <v>1.6484298582345913</v>
      </c>
      <c r="BC221" s="119">
        <f t="shared" si="60"/>
        <v>24.088190523005405</v>
      </c>
    </row>
    <row r="222" spans="49:55" x14ac:dyDescent="0.3">
      <c r="AW222" s="7">
        <v>45039.447916666664</v>
      </c>
      <c r="AX222" s="51">
        <v>2.6989248295398401E-3</v>
      </c>
      <c r="AY222" s="16">
        <v>63.92387093</v>
      </c>
      <c r="AZ222" s="2">
        <v>37636</v>
      </c>
      <c r="BA222" s="16">
        <f t="shared" si="58"/>
        <v>627.26666666666665</v>
      </c>
      <c r="BB222" s="9">
        <f t="shared" si="59"/>
        <v>1.692945581409357</v>
      </c>
      <c r="BC222" s="119">
        <f t="shared" si="60"/>
        <v>24.518185962507264</v>
      </c>
    </row>
    <row r="223" spans="49:55" x14ac:dyDescent="0.3">
      <c r="AW223" s="7">
        <v>45039.458333333336</v>
      </c>
      <c r="AX223" s="51">
        <v>2.6446949948859401E-3</v>
      </c>
      <c r="AY223" s="16">
        <v>63.015482910000003</v>
      </c>
      <c r="AZ223" s="2">
        <v>37533</v>
      </c>
      <c r="BA223" s="16">
        <f t="shared" si="58"/>
        <v>625.54999999999995</v>
      </c>
      <c r="BB223" s="9">
        <f t="shared" si="59"/>
        <v>1.6543889540508996</v>
      </c>
      <c r="BC223" s="119">
        <f t="shared" si="60"/>
        <v>24.145976005010176</v>
      </c>
    </row>
    <row r="224" spans="49:55" x14ac:dyDescent="0.3">
      <c r="AW224" s="7">
        <v>45039.46875</v>
      </c>
      <c r="AX224" s="51">
        <v>2.6673417146463301E-3</v>
      </c>
      <c r="AY224" s="16">
        <v>61.92162476</v>
      </c>
      <c r="AZ224" s="2">
        <v>37198</v>
      </c>
      <c r="BA224" s="16">
        <f t="shared" si="58"/>
        <v>619.9666666666667</v>
      </c>
      <c r="BB224" s="9">
        <f t="shared" si="59"/>
        <v>1.6536629516902366</v>
      </c>
      <c r="BC224" s="119">
        <f t="shared" si="60"/>
        <v>24.138939689934901</v>
      </c>
    </row>
    <row r="225" spans="49:55" x14ac:dyDescent="0.3">
      <c r="AW225" s="7">
        <v>45039.479166666664</v>
      </c>
      <c r="AX225" s="51">
        <v>2.7097985051452102E-3</v>
      </c>
      <c r="AY225" s="16">
        <v>63.92387093</v>
      </c>
      <c r="AZ225" s="2">
        <v>37320</v>
      </c>
      <c r="BA225" s="16">
        <f t="shared" si="58"/>
        <v>622</v>
      </c>
      <c r="BB225" s="9">
        <f t="shared" si="59"/>
        <v>1.6854946702003208</v>
      </c>
      <c r="BC225" s="119">
        <f t="shared" si="60"/>
        <v>24.44648178966187</v>
      </c>
    </row>
    <row r="226" spans="49:55" x14ac:dyDescent="0.3">
      <c r="AW226" s="7">
        <v>45039.489583333336</v>
      </c>
      <c r="AX226" s="51">
        <v>2.7206449280976399E-3</v>
      </c>
      <c r="AY226" s="16">
        <v>62.292408569999999</v>
      </c>
      <c r="AZ226" s="2">
        <v>36952</v>
      </c>
      <c r="BA226" s="16">
        <f t="shared" si="58"/>
        <v>615.86666666666667</v>
      </c>
      <c r="BB226" s="9">
        <f t="shared" si="59"/>
        <v>1.6755545230510664</v>
      </c>
      <c r="BC226" s="119">
        <f t="shared" si="60"/>
        <v>24.350656291968939</v>
      </c>
    </row>
    <row r="227" spans="49:55" x14ac:dyDescent="0.3">
      <c r="AW227" s="7">
        <v>45039.5</v>
      </c>
      <c r="AX227" s="51">
        <v>2.8133673495103302E-3</v>
      </c>
      <c r="AY227" s="16">
        <v>61.180993239999999</v>
      </c>
      <c r="AZ227" s="2">
        <v>37169</v>
      </c>
      <c r="BA227" s="16">
        <f t="shared" si="58"/>
        <v>619.48333333333335</v>
      </c>
      <c r="BB227" s="9">
        <f t="shared" si="59"/>
        <v>1.7428341835658243</v>
      </c>
      <c r="BC227" s="119">
        <f t="shared" si="60"/>
        <v>24.995591246694563</v>
      </c>
    </row>
    <row r="228" spans="49:55" x14ac:dyDescent="0.3">
      <c r="AW228" s="7">
        <v>45039.510416666664</v>
      </c>
      <c r="AX228" s="51">
        <v>3.0668797926157701E-3</v>
      </c>
      <c r="AY228" s="16">
        <v>66.195962919999999</v>
      </c>
      <c r="AZ228" s="2">
        <v>37016</v>
      </c>
      <c r="BA228" s="16">
        <f t="shared" si="58"/>
        <v>616.93333333333328</v>
      </c>
      <c r="BB228" s="9">
        <f t="shared" si="59"/>
        <v>1.892060373391089</v>
      </c>
      <c r="BC228" s="119">
        <f t="shared" si="60"/>
        <v>26.39697841588638</v>
      </c>
    </row>
    <row r="229" spans="49:55" x14ac:dyDescent="0.3">
      <c r="AW229" s="7">
        <v>45039.520833333336</v>
      </c>
      <c r="AX229" s="51">
        <v>3.0316346278625801E-3</v>
      </c>
      <c r="AY229" s="16">
        <v>63.015482910000003</v>
      </c>
      <c r="AZ229" s="2">
        <v>37825</v>
      </c>
      <c r="BA229" s="16">
        <f t="shared" si="58"/>
        <v>630.41666666666663</v>
      </c>
      <c r="BB229" s="9">
        <f t="shared" si="59"/>
        <v>1.9111929966483681</v>
      </c>
      <c r="BC229" s="119">
        <f t="shared" si="60"/>
        <v>26.573918698651536</v>
      </c>
    </row>
    <row r="230" spans="49:55" x14ac:dyDescent="0.3">
      <c r="AW230" s="7">
        <v>45039.53125</v>
      </c>
      <c r="AX230" s="51">
        <v>3.3012715845516598E-3</v>
      </c>
      <c r="AY230" s="16">
        <v>66.647934039999996</v>
      </c>
      <c r="AZ230" s="2">
        <v>38159</v>
      </c>
      <c r="BA230" s="16">
        <f t="shared" si="58"/>
        <v>635.98333333333335</v>
      </c>
      <c r="BB230" s="9">
        <f t="shared" si="59"/>
        <v>2.09955370658178</v>
      </c>
      <c r="BC230" s="119">
        <f t="shared" si="60"/>
        <v>28.285359582516421</v>
      </c>
    </row>
    <row r="231" spans="49:55" x14ac:dyDescent="0.3">
      <c r="AW231" s="7">
        <v>45039.541666666664</v>
      </c>
      <c r="AX231" s="51">
        <v>3.0690046608815801E-3</v>
      </c>
      <c r="AY231" s="16">
        <v>65.290959470000004</v>
      </c>
      <c r="AZ231" s="2">
        <v>38159</v>
      </c>
      <c r="BA231" s="16">
        <f t="shared" si="58"/>
        <v>635.98333333333335</v>
      </c>
      <c r="BB231" s="9">
        <f t="shared" si="59"/>
        <v>1.9518358142430037</v>
      </c>
      <c r="BC231" s="119">
        <f t="shared" si="60"/>
        <v>26.947825320372296</v>
      </c>
    </row>
    <row r="232" spans="49:55" x14ac:dyDescent="0.3">
      <c r="AW232" s="7">
        <v>45039.552083333336</v>
      </c>
      <c r="AX232" s="51">
        <v>2.9502775848821699E-3</v>
      </c>
      <c r="AY232" s="16">
        <v>65.743635260000005</v>
      </c>
      <c r="AZ232" s="2">
        <v>38777</v>
      </c>
      <c r="BA232" s="16">
        <f t="shared" si="58"/>
        <v>646.2833333333333</v>
      </c>
      <c r="BB232" s="9">
        <f t="shared" si="59"/>
        <v>1.906715231816265</v>
      </c>
      <c r="BC232" s="119">
        <f t="shared" si="60"/>
        <v>26.532561462795154</v>
      </c>
    </row>
    <row r="233" spans="49:55" x14ac:dyDescent="0.3">
      <c r="AW233" s="7">
        <v>45039.5625</v>
      </c>
      <c r="AX233" s="51">
        <v>3.0300496237938199E-3</v>
      </c>
      <c r="AY233" s="16">
        <v>67.557775419999999</v>
      </c>
      <c r="AZ233" s="2">
        <v>38680</v>
      </c>
      <c r="BA233" s="16">
        <f t="shared" si="58"/>
        <v>644.66666666666663</v>
      </c>
      <c r="BB233" s="9">
        <f t="shared" si="59"/>
        <v>1.9533719908057492</v>
      </c>
      <c r="BC233" s="119">
        <f t="shared" si="60"/>
        <v>26.961906279819214</v>
      </c>
    </row>
    <row r="234" spans="49:55" x14ac:dyDescent="0.3">
      <c r="AW234" s="7">
        <v>45039.572916666664</v>
      </c>
      <c r="AX234" s="51">
        <v>3.2476651562629699E-3</v>
      </c>
      <c r="AY234" s="16">
        <v>66.647934039999996</v>
      </c>
      <c r="AZ234" s="2">
        <v>39231</v>
      </c>
      <c r="BA234" s="16">
        <f t="shared" si="58"/>
        <v>653.85</v>
      </c>
      <c r="BB234" s="9">
        <f t="shared" si="59"/>
        <v>2.1234858624225428</v>
      </c>
      <c r="BC234" s="119">
        <f t="shared" si="60"/>
        <v>28.499035883500696</v>
      </c>
    </row>
    <row r="235" spans="49:55" x14ac:dyDescent="0.3">
      <c r="AW235" s="7">
        <v>45039.583333333336</v>
      </c>
      <c r="AX235" s="51">
        <v>3.0681912915897099E-3</v>
      </c>
      <c r="AY235" s="16">
        <v>65.290959470000004</v>
      </c>
      <c r="AZ235" s="2">
        <v>39942</v>
      </c>
      <c r="BA235" s="16">
        <f t="shared" si="58"/>
        <v>665.7</v>
      </c>
      <c r="BB235" s="9">
        <f t="shared" si="59"/>
        <v>2.04249494281127</v>
      </c>
      <c r="BC235" s="119">
        <f t="shared" si="60"/>
        <v>27.772583499662336</v>
      </c>
    </row>
    <row r="236" spans="49:55" x14ac:dyDescent="0.3">
      <c r="AW236" s="7">
        <v>45039.59375</v>
      </c>
      <c r="AX236" s="51">
        <v>2.9343104448937402E-3</v>
      </c>
      <c r="AY236" s="16">
        <v>70.271667750000006</v>
      </c>
      <c r="AZ236" s="2">
        <v>39153</v>
      </c>
      <c r="BA236" s="16">
        <f t="shared" si="58"/>
        <v>652.54999999999995</v>
      </c>
      <c r="BB236" s="9">
        <f t="shared" si="59"/>
        <v>1.9147842808154101</v>
      </c>
      <c r="BC236" s="119">
        <f t="shared" si="60"/>
        <v>26.607064757678977</v>
      </c>
    </row>
    <row r="237" spans="49:55" x14ac:dyDescent="0.3">
      <c r="AW237" s="7">
        <v>45039.604166666664</v>
      </c>
      <c r="AX237" s="51">
        <v>2.90738027381721E-3</v>
      </c>
      <c r="AY237" s="16">
        <v>66.655723199999997</v>
      </c>
      <c r="AZ237" s="2">
        <v>39451</v>
      </c>
      <c r="BA237" s="16">
        <f t="shared" si="58"/>
        <v>657.51666666666665</v>
      </c>
      <c r="BB237" s="9">
        <f t="shared" si="59"/>
        <v>1.9116509863727125</v>
      </c>
      <c r="BC237" s="119">
        <f t="shared" si="60"/>
        <v>26.578146916814525</v>
      </c>
    </row>
    <row r="238" spans="49:55" x14ac:dyDescent="0.3">
      <c r="AW238" s="7">
        <v>45039.614583333336</v>
      </c>
      <c r="AX238" s="51">
        <v>3.25484436175425E-3</v>
      </c>
      <c r="AY238" s="16">
        <v>69.373566690000004</v>
      </c>
      <c r="AZ238" s="2">
        <v>39901</v>
      </c>
      <c r="BA238" s="16">
        <f t="shared" si="58"/>
        <v>665.01666666666665</v>
      </c>
      <c r="BB238" s="9">
        <f t="shared" si="59"/>
        <v>2.1645257479726054</v>
      </c>
      <c r="BC238" s="119">
        <f t="shared" si="60"/>
        <v>28.8635838324353</v>
      </c>
    </row>
    <row r="239" spans="49:55" x14ac:dyDescent="0.3">
      <c r="AW239" s="7">
        <v>45039.625</v>
      </c>
      <c r="AX239" s="51">
        <v>3.2664029540554699E-3</v>
      </c>
      <c r="AY239" s="16">
        <v>74.764849499999997</v>
      </c>
      <c r="AZ239" s="2">
        <v>39940</v>
      </c>
      <c r="BA239" s="16">
        <f t="shared" si="58"/>
        <v>665.66666666666663</v>
      </c>
      <c r="BB239" s="9">
        <f t="shared" si="59"/>
        <v>2.1743355664162576</v>
      </c>
      <c r="BC239" s="119">
        <f t="shared" si="60"/>
        <v>28.950377176029026</v>
      </c>
    </row>
    <row r="240" spans="49:55" x14ac:dyDescent="0.3">
      <c r="AW240" s="7">
        <v>45039.635416666664</v>
      </c>
      <c r="AX240" s="51">
        <v>3.3836134769134798E-3</v>
      </c>
      <c r="AY240" s="16">
        <v>69.822823</v>
      </c>
      <c r="AZ240" s="2">
        <v>39557</v>
      </c>
      <c r="BA240" s="16">
        <f t="shared" si="58"/>
        <v>659.2833333333333</v>
      </c>
      <c r="BB240" s="9">
        <f t="shared" si="59"/>
        <v>2.2307599717711084</v>
      </c>
      <c r="BC240" s="119">
        <f t="shared" si="60"/>
        <v>29.447068841252285</v>
      </c>
    </row>
    <row r="241" spans="49:55" x14ac:dyDescent="0.3">
      <c r="AW241" s="7">
        <v>45039.645833333336</v>
      </c>
      <c r="AX241" s="51">
        <v>3.1790280538089499E-3</v>
      </c>
      <c r="AY241" s="16">
        <v>68.016396760000006</v>
      </c>
      <c r="AZ241" s="2">
        <v>40524</v>
      </c>
      <c r="BA241" s="16">
        <f t="shared" si="58"/>
        <v>675.4</v>
      </c>
      <c r="BB241" s="9">
        <f t="shared" si="59"/>
        <v>2.1471155475425645</v>
      </c>
      <c r="BC241" s="119">
        <f t="shared" si="60"/>
        <v>28.709219158052335</v>
      </c>
    </row>
    <row r="242" spans="49:55" x14ac:dyDescent="0.3">
      <c r="AW242" s="7">
        <v>45039.65625</v>
      </c>
      <c r="AX242" s="51">
        <v>2.87283078563604E-3</v>
      </c>
      <c r="AY242" s="16">
        <v>72.523974480000007</v>
      </c>
      <c r="AZ242" s="2">
        <v>40746</v>
      </c>
      <c r="BA242" s="16">
        <f t="shared" si="58"/>
        <v>679.1</v>
      </c>
      <c r="BB242" s="9">
        <f t="shared" si="59"/>
        <v>1.9509393865254347</v>
      </c>
      <c r="BC242" s="119">
        <f t="shared" si="60"/>
        <v>26.939606730443149</v>
      </c>
    </row>
    <row r="243" spans="49:55" x14ac:dyDescent="0.3">
      <c r="AW243" s="7">
        <v>45039.666666666664</v>
      </c>
      <c r="AX243" s="51">
        <v>3.1466420382086102E-3</v>
      </c>
      <c r="AY243" s="16">
        <v>71.630262669999993</v>
      </c>
      <c r="AZ243" s="2">
        <v>41121</v>
      </c>
      <c r="BA243" s="16">
        <f t="shared" si="58"/>
        <v>685.35</v>
      </c>
      <c r="BB243" s="9">
        <f t="shared" si="59"/>
        <v>2.1565511208862711</v>
      </c>
      <c r="BC243" s="119">
        <f t="shared" si="60"/>
        <v>28.792930097192542</v>
      </c>
    </row>
    <row r="244" spans="49:55" x14ac:dyDescent="0.3">
      <c r="AW244" s="7">
        <v>45039.677083333336</v>
      </c>
      <c r="AX244" s="51">
        <v>3.04966284872718E-3</v>
      </c>
      <c r="AY244" s="16">
        <v>71.17580074</v>
      </c>
      <c r="AZ244" s="2">
        <v>41332</v>
      </c>
      <c r="BA244" s="16">
        <f t="shared" si="58"/>
        <v>688.86666666666667</v>
      </c>
      <c r="BB244" s="9">
        <f t="shared" si="59"/>
        <v>2.1008110810598635</v>
      </c>
      <c r="BC244" s="119">
        <f t="shared" si="60"/>
        <v>28.296606247292942</v>
      </c>
    </row>
    <row r="245" spans="49:55" x14ac:dyDescent="0.3">
      <c r="AW245" s="7">
        <v>45039.6875</v>
      </c>
      <c r="AX245" s="51">
        <v>3.3274961288553202E-3</v>
      </c>
      <c r="AY245" s="16">
        <v>73.868067069999995</v>
      </c>
      <c r="AZ245" s="2">
        <v>40797</v>
      </c>
      <c r="BA245" s="16">
        <f t="shared" si="58"/>
        <v>679.95</v>
      </c>
      <c r="BB245" s="9">
        <f t="shared" si="59"/>
        <v>2.2625309928151749</v>
      </c>
      <c r="BC245" s="119">
        <f t="shared" si="60"/>
        <v>29.724883176920315</v>
      </c>
    </row>
    <row r="246" spans="49:55" x14ac:dyDescent="0.3">
      <c r="AW246" s="7">
        <v>45039.697916666664</v>
      </c>
      <c r="AX246" s="51">
        <v>2.9477483914140301E-3</v>
      </c>
      <c r="AY246" s="16">
        <v>70.279402750000003</v>
      </c>
      <c r="AZ246" s="2">
        <v>40976</v>
      </c>
      <c r="BA246" s="16">
        <f t="shared" si="58"/>
        <v>682.93333333333328</v>
      </c>
      <c r="BB246" s="9">
        <f t="shared" si="59"/>
        <v>2.013115634776355</v>
      </c>
      <c r="BC246" s="119">
        <f t="shared" si="60"/>
        <v>27.506682536402433</v>
      </c>
    </row>
    <row r="247" spans="49:55" x14ac:dyDescent="0.3">
      <c r="AW247" s="7">
        <v>45039.708333333336</v>
      </c>
      <c r="AX247" s="51">
        <v>3.11495706221032E-3</v>
      </c>
      <c r="AY247" s="16">
        <v>66.655723199999997</v>
      </c>
      <c r="AZ247" s="2">
        <v>40812</v>
      </c>
      <c r="BA247" s="16">
        <f t="shared" si="58"/>
        <v>680.2</v>
      </c>
      <c r="BB247" s="9">
        <f t="shared" si="59"/>
        <v>2.1187937937154597</v>
      </c>
      <c r="BC247" s="119">
        <f t="shared" si="60"/>
        <v>28.45720716285895</v>
      </c>
    </row>
    <row r="248" spans="49:55" x14ac:dyDescent="0.3">
      <c r="AW248" s="7">
        <v>45039.71875</v>
      </c>
      <c r="AX248" s="51">
        <v>3.3526259817003401E-3</v>
      </c>
      <c r="AY248" s="16">
        <v>68.924680609999996</v>
      </c>
      <c r="AZ248" s="2">
        <v>40528</v>
      </c>
      <c r="BA248" s="16">
        <f t="shared" si="58"/>
        <v>675.4666666666667</v>
      </c>
      <c r="BB248" s="9">
        <f t="shared" si="59"/>
        <v>2.2645870964391897</v>
      </c>
      <c r="BC248" s="119">
        <f t="shared" si="60"/>
        <v>29.742816980732723</v>
      </c>
    </row>
    <row r="249" spans="49:55" x14ac:dyDescent="0.3">
      <c r="AW249" s="7">
        <v>45039.729166666664</v>
      </c>
      <c r="AX249" s="51">
        <v>2.8195994312828201E-3</v>
      </c>
      <c r="AY249" s="16">
        <v>71.17580074</v>
      </c>
      <c r="AZ249" s="2">
        <v>40237</v>
      </c>
      <c r="BA249" s="16">
        <f t="shared" si="58"/>
        <v>670.61666666666667</v>
      </c>
      <c r="BB249" s="9">
        <f t="shared" si="59"/>
        <v>1.8908703719421138</v>
      </c>
      <c r="BC249" s="119">
        <f t="shared" si="60"/>
        <v>26.385953362631518</v>
      </c>
    </row>
    <row r="250" spans="49:55" x14ac:dyDescent="0.3">
      <c r="AW250" s="7">
        <v>45039.739583333336</v>
      </c>
      <c r="AX250" s="51">
        <v>2.7005591601534798E-3</v>
      </c>
      <c r="AY250" s="16">
        <v>78.323104580000006</v>
      </c>
      <c r="AZ250" s="2">
        <v>39530</v>
      </c>
      <c r="BA250" s="16">
        <f t="shared" si="58"/>
        <v>658.83333333333337</v>
      </c>
      <c r="BB250" s="9">
        <f t="shared" si="59"/>
        <v>1.7792183933477843</v>
      </c>
      <c r="BC250" s="119">
        <f t="shared" si="60"/>
        <v>25.340875327596972</v>
      </c>
    </row>
    <row r="251" spans="49:55" x14ac:dyDescent="0.3">
      <c r="AW251" s="7">
        <v>45039.75</v>
      </c>
      <c r="AX251" s="51">
        <v>2.6612905720796499E-3</v>
      </c>
      <c r="AY251" s="16">
        <v>74.764849499999997</v>
      </c>
      <c r="AZ251" s="2">
        <v>40717</v>
      </c>
      <c r="BA251" s="16">
        <f t="shared" si="58"/>
        <v>678.61666666666667</v>
      </c>
      <c r="BB251" s="9">
        <f t="shared" si="59"/>
        <v>1.8059961370561184</v>
      </c>
      <c r="BC251" s="119">
        <f t="shared" si="60"/>
        <v>25.5934805036438</v>
      </c>
    </row>
    <row r="252" spans="49:55" x14ac:dyDescent="0.3">
      <c r="AW252" s="7">
        <v>45039.760416666664</v>
      </c>
      <c r="AX252" s="51">
        <v>2.92069296104244E-3</v>
      </c>
      <c r="AY252" s="16">
        <v>77.435049230000004</v>
      </c>
      <c r="AZ252" s="2">
        <v>41140</v>
      </c>
      <c r="BA252" s="16">
        <f t="shared" si="58"/>
        <v>685.66666666666663</v>
      </c>
      <c r="BB252" s="9">
        <f t="shared" si="59"/>
        <v>2.0026218069547661</v>
      </c>
      <c r="BC252" s="119">
        <f t="shared" si="60"/>
        <v>27.411391389566621</v>
      </c>
    </row>
    <row r="253" spans="49:55" x14ac:dyDescent="0.3">
      <c r="AW253" s="7">
        <v>45039.770833333336</v>
      </c>
      <c r="AX253" s="51">
        <v>2.9737123317490799E-3</v>
      </c>
      <c r="AY253" s="16">
        <v>74.764849499999997</v>
      </c>
      <c r="AZ253" s="2">
        <v>40124</v>
      </c>
      <c r="BA253" s="16">
        <f t="shared" si="58"/>
        <v>668.73333333333335</v>
      </c>
      <c r="BB253" s="9">
        <f t="shared" si="59"/>
        <v>1.9886205599850013</v>
      </c>
      <c r="BC253" s="119">
        <f t="shared" si="60"/>
        <v>27.283988776395912</v>
      </c>
    </row>
    <row r="254" spans="49:55" x14ac:dyDescent="0.3">
      <c r="AW254" s="7">
        <v>45039.78125</v>
      </c>
      <c r="AX254" s="51">
        <v>3.05722996356063E-3</v>
      </c>
      <c r="AY254" s="16">
        <v>79.202259850000004</v>
      </c>
      <c r="AZ254" s="2">
        <v>40584</v>
      </c>
      <c r="BA254" s="16">
        <f t="shared" si="58"/>
        <v>676.4</v>
      </c>
      <c r="BB254" s="9">
        <f t="shared" si="59"/>
        <v>2.0679103473524099</v>
      </c>
      <c r="BC254" s="119">
        <f t="shared" si="60"/>
        <v>28.00157352747993</v>
      </c>
    </row>
    <row r="255" spans="49:55" x14ac:dyDescent="0.3">
      <c r="AW255" s="7">
        <v>45039.791666666664</v>
      </c>
      <c r="AX255" s="51">
        <v>3.2188431817114899E-3</v>
      </c>
      <c r="AY255" s="16">
        <v>74.764849499999997</v>
      </c>
      <c r="AZ255" s="2">
        <v>41085</v>
      </c>
      <c r="BA255" s="16">
        <f t="shared" si="58"/>
        <v>684.75</v>
      </c>
      <c r="BB255" s="9">
        <f t="shared" si="59"/>
        <v>2.2041028686769426</v>
      </c>
      <c r="BC255" s="119">
        <f t="shared" si="60"/>
        <v>29.212944848171631</v>
      </c>
    </row>
    <row r="256" spans="49:55" x14ac:dyDescent="0.3">
      <c r="AW256" s="7">
        <v>45039.802083333336</v>
      </c>
      <c r="AX256" s="51">
        <v>2.9203181172310702E-3</v>
      </c>
      <c r="AY256" s="16">
        <v>70.279402750000003</v>
      </c>
      <c r="AZ256" s="2">
        <v>40499</v>
      </c>
      <c r="BA256" s="16">
        <f t="shared" si="58"/>
        <v>674.98333333333335</v>
      </c>
      <c r="BB256" s="9">
        <f t="shared" si="59"/>
        <v>1.9711660571623519</v>
      </c>
      <c r="BC256" s="119">
        <f t="shared" si="60"/>
        <v>27.124740794757756</v>
      </c>
    </row>
    <row r="257" spans="49:55" x14ac:dyDescent="0.3">
      <c r="AW257" s="7">
        <v>45039.8125</v>
      </c>
      <c r="AX257" s="51">
        <v>2.7437232790890201E-3</v>
      </c>
      <c r="AY257" s="16">
        <v>76.993676070000006</v>
      </c>
      <c r="AZ257" s="2">
        <v>39516</v>
      </c>
      <c r="BA257" s="16">
        <f t="shared" si="58"/>
        <v>658.6</v>
      </c>
      <c r="BB257" s="9">
        <f t="shared" si="59"/>
        <v>1.8070161516080288</v>
      </c>
      <c r="BC257" s="119">
        <f t="shared" si="60"/>
        <v>25.603077730940839</v>
      </c>
    </row>
    <row r="258" spans="49:55" x14ac:dyDescent="0.3">
      <c r="AW258" s="7">
        <v>45039.822916666664</v>
      </c>
      <c r="AX258" s="51">
        <v>2.90403945224958E-3</v>
      </c>
      <c r="AY258" s="16">
        <v>76.993676070000006</v>
      </c>
      <c r="AZ258" s="2">
        <v>40502</v>
      </c>
      <c r="BA258" s="16">
        <f t="shared" si="58"/>
        <v>675.0333333333333</v>
      </c>
      <c r="BB258" s="9">
        <f t="shared" si="59"/>
        <v>1.9603234315835414</v>
      </c>
      <c r="BC258" s="119">
        <f t="shared" si="60"/>
        <v>27.025578388254516</v>
      </c>
    </row>
    <row r="259" spans="49:55" x14ac:dyDescent="0.3">
      <c r="AW259" s="7">
        <v>45039.833333333336</v>
      </c>
      <c r="AX259" s="51">
        <v>2.8025533436495998E-3</v>
      </c>
      <c r="AY259" s="16">
        <v>77.435049230000004</v>
      </c>
      <c r="AZ259" s="2">
        <v>40230</v>
      </c>
      <c r="BA259" s="16">
        <f t="shared" si="58"/>
        <v>670.5</v>
      </c>
      <c r="BB259" s="9">
        <f t="shared" si="59"/>
        <v>1.8791120169170568</v>
      </c>
      <c r="BC259" s="119">
        <f t="shared" si="60"/>
        <v>26.276889615505421</v>
      </c>
    </row>
    <row r="260" spans="49:55" x14ac:dyDescent="0.3">
      <c r="AW260" s="7">
        <v>45039.84375</v>
      </c>
      <c r="AX260" s="51">
        <v>2.9484320291348902E-3</v>
      </c>
      <c r="AY260" s="16">
        <v>74.764849499999997</v>
      </c>
      <c r="AZ260" s="2">
        <v>39448</v>
      </c>
      <c r="BA260" s="16">
        <f t="shared" ref="BA260:BA323" si="61">AZ260/60</f>
        <v>657.4666666666667</v>
      </c>
      <c r="BB260" s="9">
        <f t="shared" ref="BB260:BB323" si="62">BA260*AX260</f>
        <v>1.9384957780885526</v>
      </c>
      <c r="BC260" s="119">
        <f t="shared" ref="BC260:BC323" si="63">17.285*BB260^0.664</f>
        <v>26.825390365318075</v>
      </c>
    </row>
    <row r="261" spans="49:55" x14ac:dyDescent="0.3">
      <c r="AW261" s="7">
        <v>45039.854166666664</v>
      </c>
      <c r="AX261" s="51">
        <v>2.9367751218154999E-3</v>
      </c>
      <c r="AY261" s="16">
        <v>77.875916610000004</v>
      </c>
      <c r="AZ261" s="2">
        <v>39425</v>
      </c>
      <c r="BA261" s="16">
        <f t="shared" si="61"/>
        <v>657.08333333333337</v>
      </c>
      <c r="BB261" s="9">
        <f t="shared" si="62"/>
        <v>1.9297059862929349</v>
      </c>
      <c r="BC261" s="119">
        <f t="shared" si="63"/>
        <v>26.744562849039426</v>
      </c>
    </row>
    <row r="262" spans="49:55" x14ac:dyDescent="0.3">
      <c r="AW262" s="7">
        <v>45039.864583333336</v>
      </c>
      <c r="AX262" s="51">
        <v>2.8514184090125102E-3</v>
      </c>
      <c r="AY262" s="16">
        <v>76.101800600000004</v>
      </c>
      <c r="AZ262" s="2">
        <v>39843</v>
      </c>
      <c r="BA262" s="16">
        <f t="shared" si="61"/>
        <v>664.05</v>
      </c>
      <c r="BB262" s="9">
        <f t="shared" si="62"/>
        <v>1.8934843945047573</v>
      </c>
      <c r="BC262" s="119">
        <f t="shared" si="63"/>
        <v>26.410168538632146</v>
      </c>
    </row>
    <row r="263" spans="49:55" x14ac:dyDescent="0.3">
      <c r="AW263" s="7">
        <v>45039.875</v>
      </c>
      <c r="AX263" s="51">
        <v>2.9447158522958E-3</v>
      </c>
      <c r="AY263" s="16">
        <v>76.101800600000004</v>
      </c>
      <c r="AZ263" s="2">
        <v>40036</v>
      </c>
      <c r="BA263" s="16">
        <f t="shared" si="61"/>
        <v>667.26666666666665</v>
      </c>
      <c r="BB263" s="9">
        <f t="shared" si="62"/>
        <v>1.9649107310419107</v>
      </c>
      <c r="BC263" s="119">
        <f t="shared" si="63"/>
        <v>27.067554465113982</v>
      </c>
    </row>
    <row r="264" spans="49:55" x14ac:dyDescent="0.3">
      <c r="AW264" s="7">
        <v>45039.885416666664</v>
      </c>
      <c r="AX264" s="51">
        <v>3.11323195985497E-3</v>
      </c>
      <c r="AY264" s="16">
        <v>73.415890989999994</v>
      </c>
      <c r="AZ264" s="2">
        <v>39918</v>
      </c>
      <c r="BA264" s="16">
        <f t="shared" si="61"/>
        <v>665.3</v>
      </c>
      <c r="BB264" s="9">
        <f t="shared" si="62"/>
        <v>2.0712332228915113</v>
      </c>
      <c r="BC264" s="119">
        <f t="shared" si="63"/>
        <v>28.031442185649244</v>
      </c>
    </row>
    <row r="265" spans="49:55" x14ac:dyDescent="0.3">
      <c r="AW265" s="7">
        <v>45039.895833333336</v>
      </c>
      <c r="AX265" s="51">
        <v>3.0368944212485201E-3</v>
      </c>
      <c r="AY265" s="16">
        <v>74.312865549999998</v>
      </c>
      <c r="AZ265" s="2">
        <v>39648</v>
      </c>
      <c r="BA265" s="16">
        <f t="shared" si="61"/>
        <v>660.8</v>
      </c>
      <c r="BB265" s="9">
        <f t="shared" si="62"/>
        <v>2.0067798335610219</v>
      </c>
      <c r="BC265" s="119">
        <f t="shared" si="63"/>
        <v>27.449169141219805</v>
      </c>
    </row>
    <row r="266" spans="49:55" x14ac:dyDescent="0.3">
      <c r="AW266" s="7">
        <v>45039.90625</v>
      </c>
      <c r="AX266" s="51">
        <v>2.7351745082302998E-3</v>
      </c>
      <c r="AY266" s="16">
        <v>79.641055789999996</v>
      </c>
      <c r="AZ266" s="2">
        <v>39633</v>
      </c>
      <c r="BA266" s="16">
        <f t="shared" si="61"/>
        <v>660.55</v>
      </c>
      <c r="BB266" s="9">
        <f t="shared" si="62"/>
        <v>1.8067195214115244</v>
      </c>
      <c r="BC266" s="119">
        <f t="shared" si="63"/>
        <v>25.600286951230931</v>
      </c>
    </row>
    <row r="267" spans="49:55" x14ac:dyDescent="0.3">
      <c r="AW267" s="7">
        <v>45039.916666666664</v>
      </c>
      <c r="AX267" s="51">
        <v>2.6862822541204299E-3</v>
      </c>
      <c r="AY267" s="16">
        <v>77.875916610000004</v>
      </c>
      <c r="AZ267" s="2">
        <v>39800</v>
      </c>
      <c r="BA267" s="16">
        <f t="shared" si="61"/>
        <v>663.33333333333337</v>
      </c>
      <c r="BB267" s="9">
        <f t="shared" si="62"/>
        <v>1.7819005618998853</v>
      </c>
      <c r="BC267" s="119">
        <f t="shared" si="63"/>
        <v>25.366234587152309</v>
      </c>
    </row>
    <row r="268" spans="49:55" x14ac:dyDescent="0.3">
      <c r="AW268" s="7">
        <v>45039.927083333336</v>
      </c>
      <c r="AX268" s="51">
        <v>2.8714106771727099E-3</v>
      </c>
      <c r="AY268" s="16">
        <v>77.875916610000004</v>
      </c>
      <c r="AZ268" s="2">
        <v>39917</v>
      </c>
      <c r="BA268" s="16">
        <f t="shared" si="61"/>
        <v>665.2833333333333</v>
      </c>
      <c r="BB268" s="9">
        <f t="shared" si="62"/>
        <v>1.9103016666783843</v>
      </c>
      <c r="BC268" s="119">
        <f t="shared" si="63"/>
        <v>26.565688853222039</v>
      </c>
    </row>
    <row r="269" spans="49:55" x14ac:dyDescent="0.3">
      <c r="AW269" s="7">
        <v>45039.9375</v>
      </c>
      <c r="AX269" s="51">
        <v>2.9421496852322501E-3</v>
      </c>
      <c r="AY269" s="16">
        <v>72.077340390000003</v>
      </c>
      <c r="AZ269" s="2">
        <v>39168</v>
      </c>
      <c r="BA269" s="16">
        <f t="shared" si="61"/>
        <v>652.79999999999995</v>
      </c>
      <c r="BB269" s="9">
        <f t="shared" si="62"/>
        <v>1.9206353145196127</v>
      </c>
      <c r="BC269" s="119">
        <f t="shared" si="63"/>
        <v>26.661022663854133</v>
      </c>
    </row>
    <row r="270" spans="49:55" x14ac:dyDescent="0.3">
      <c r="AW270" s="7">
        <v>45039.947916666664</v>
      </c>
      <c r="AX270" s="51">
        <v>2.9194846762974199E-3</v>
      </c>
      <c r="AY270" s="16">
        <v>74.764849499999997</v>
      </c>
      <c r="AZ270" s="2">
        <v>39377</v>
      </c>
      <c r="BA270" s="16">
        <f t="shared" si="61"/>
        <v>656.2833333333333</v>
      </c>
      <c r="BB270" s="9">
        <f t="shared" si="62"/>
        <v>1.9160091349760584</v>
      </c>
      <c r="BC270" s="119">
        <f t="shared" si="63"/>
        <v>26.618364873968268</v>
      </c>
    </row>
    <row r="271" spans="49:55" x14ac:dyDescent="0.3">
      <c r="AW271" s="7">
        <v>45039.958333333336</v>
      </c>
      <c r="AX271" s="51">
        <v>2.80656244372677E-3</v>
      </c>
      <c r="AY271" s="16">
        <v>69.822823</v>
      </c>
      <c r="AZ271" s="2">
        <v>39292</v>
      </c>
      <c r="BA271" s="16">
        <f t="shared" si="61"/>
        <v>654.86666666666667</v>
      </c>
      <c r="BB271" s="9">
        <f t="shared" si="62"/>
        <v>1.8379241923152041</v>
      </c>
      <c r="BC271" s="119">
        <f t="shared" si="63"/>
        <v>25.893031909021889</v>
      </c>
    </row>
    <row r="272" spans="49:55" x14ac:dyDescent="0.3">
      <c r="AW272" s="7">
        <v>45039.96875</v>
      </c>
      <c r="AX272" s="51">
        <v>2.81964475915698E-3</v>
      </c>
      <c r="AY272" s="16">
        <v>74.764849499999997</v>
      </c>
      <c r="AZ272" s="2">
        <v>39738</v>
      </c>
      <c r="BA272" s="16">
        <f t="shared" si="61"/>
        <v>662.3</v>
      </c>
      <c r="BB272" s="9">
        <f t="shared" si="62"/>
        <v>1.8674507239896676</v>
      </c>
      <c r="BC272" s="119">
        <f t="shared" si="63"/>
        <v>26.168499452333176</v>
      </c>
    </row>
    <row r="273" spans="49:55" x14ac:dyDescent="0.3">
      <c r="AW273" s="7">
        <v>45039.979166666664</v>
      </c>
      <c r="AX273" s="51">
        <v>2.8065067027579801E-3</v>
      </c>
      <c r="AY273" s="16">
        <v>74.764849499999997</v>
      </c>
      <c r="AZ273" s="2">
        <v>39940</v>
      </c>
      <c r="BA273" s="16">
        <f t="shared" si="61"/>
        <v>665.66666666666663</v>
      </c>
      <c r="BB273" s="9">
        <f t="shared" si="62"/>
        <v>1.8681979618025619</v>
      </c>
      <c r="BC273" s="119">
        <f t="shared" si="63"/>
        <v>26.175451734636638</v>
      </c>
    </row>
    <row r="274" spans="49:55" x14ac:dyDescent="0.3">
      <c r="AW274" s="7">
        <v>45039.989583333336</v>
      </c>
      <c r="AX274" s="51">
        <v>2.9797218473266401E-3</v>
      </c>
      <c r="AY274" s="16">
        <v>69.822823</v>
      </c>
      <c r="AZ274" s="2">
        <v>39567</v>
      </c>
      <c r="BA274" s="16">
        <f t="shared" si="61"/>
        <v>659.45</v>
      </c>
      <c r="BB274" s="9">
        <f t="shared" si="62"/>
        <v>1.964977572219553</v>
      </c>
      <c r="BC274" s="119">
        <f t="shared" si="63"/>
        <v>27.068165851670777</v>
      </c>
    </row>
    <row r="275" spans="49:55" x14ac:dyDescent="0.3">
      <c r="AW275" s="7">
        <v>45040</v>
      </c>
      <c r="AX275" s="51">
        <v>2.7691730998295298E-3</v>
      </c>
      <c r="AY275" s="16">
        <v>75.659696060000002</v>
      </c>
      <c r="AZ275" s="2">
        <v>38942</v>
      </c>
      <c r="BA275" s="16">
        <f t="shared" si="61"/>
        <v>649.0333333333333</v>
      </c>
      <c r="BB275" s="9">
        <f t="shared" si="62"/>
        <v>1.797285647559359</v>
      </c>
      <c r="BC275" s="119">
        <f t="shared" si="63"/>
        <v>25.511449941247147</v>
      </c>
    </row>
    <row r="276" spans="49:55" x14ac:dyDescent="0.3">
      <c r="AW276" s="7">
        <v>45040.010416666664</v>
      </c>
      <c r="AX276" s="51">
        <v>2.6318578162387498E-3</v>
      </c>
      <c r="AY276" s="16">
        <v>75.659696060000002</v>
      </c>
      <c r="AZ276" s="2">
        <v>38621</v>
      </c>
      <c r="BA276" s="16">
        <f t="shared" si="61"/>
        <v>643.68333333333328</v>
      </c>
      <c r="BB276" s="9">
        <f t="shared" si="62"/>
        <v>1.6940830120159458</v>
      </c>
      <c r="BC276" s="119">
        <f t="shared" si="63"/>
        <v>24.529122738520456</v>
      </c>
    </row>
    <row r="277" spans="49:55" x14ac:dyDescent="0.3">
      <c r="AW277" s="7">
        <v>45040.020833333336</v>
      </c>
      <c r="AX277" s="51">
        <v>2.5757679372137398E-3</v>
      </c>
      <c r="AY277" s="16">
        <v>76.993676070000006</v>
      </c>
      <c r="AZ277" s="2">
        <v>39232</v>
      </c>
      <c r="BA277" s="16">
        <f t="shared" si="61"/>
        <v>653.86666666666667</v>
      </c>
      <c r="BB277" s="9">
        <f t="shared" si="62"/>
        <v>1.684208795212824</v>
      </c>
      <c r="BC277" s="119">
        <f t="shared" si="63"/>
        <v>24.434096348253895</v>
      </c>
    </row>
    <row r="278" spans="49:55" x14ac:dyDescent="0.3">
      <c r="AW278" s="7">
        <v>45040.03125</v>
      </c>
      <c r="AX278" s="51">
        <v>2.64867195564339E-3</v>
      </c>
      <c r="AY278" s="16">
        <v>72.077340390000003</v>
      </c>
      <c r="AZ278" s="2">
        <v>38903</v>
      </c>
      <c r="BA278" s="16">
        <f t="shared" si="61"/>
        <v>648.38333333333333</v>
      </c>
      <c r="BB278" s="9">
        <f t="shared" si="62"/>
        <v>1.7173547515065799</v>
      </c>
      <c r="BC278" s="119">
        <f t="shared" si="63"/>
        <v>24.75234983809165</v>
      </c>
    </row>
    <row r="279" spans="49:55" x14ac:dyDescent="0.3">
      <c r="AW279" s="7">
        <v>45040.041666666664</v>
      </c>
      <c r="AX279" s="51">
        <v>2.6817827398554301E-3</v>
      </c>
      <c r="AY279" s="16">
        <v>72.523974480000007</v>
      </c>
      <c r="AZ279" s="2">
        <v>38421</v>
      </c>
      <c r="BA279" s="16">
        <f t="shared" si="61"/>
        <v>640.35</v>
      </c>
      <c r="BB279" s="9">
        <f t="shared" si="62"/>
        <v>1.7172795774664247</v>
      </c>
      <c r="BC279" s="119">
        <f t="shared" si="63"/>
        <v>24.751630396430325</v>
      </c>
    </row>
    <row r="280" spans="49:55" x14ac:dyDescent="0.3">
      <c r="AW280" s="7">
        <v>45040.052083333336</v>
      </c>
      <c r="AX280" s="51">
        <v>2.5967425054508101E-3</v>
      </c>
      <c r="AY280" s="16">
        <v>78.323104580000006</v>
      </c>
      <c r="AZ280" s="2">
        <v>37997</v>
      </c>
      <c r="BA280" s="16">
        <f t="shared" si="61"/>
        <v>633.2833333333333</v>
      </c>
      <c r="BB280" s="9">
        <f t="shared" si="62"/>
        <v>1.6444737496602404</v>
      </c>
      <c r="BC280" s="119">
        <f t="shared" si="63"/>
        <v>24.049789283658548</v>
      </c>
    </row>
    <row r="281" spans="49:55" x14ac:dyDescent="0.3">
      <c r="AW281" s="7">
        <v>45040.0625</v>
      </c>
      <c r="AX281" s="51">
        <v>2.5736676996852099E-3</v>
      </c>
      <c r="AY281" s="16">
        <v>73.868067069999995</v>
      </c>
      <c r="AZ281" s="2">
        <v>38116</v>
      </c>
      <c r="BA281" s="16">
        <f t="shared" si="61"/>
        <v>635.26666666666665</v>
      </c>
      <c r="BB281" s="9">
        <f t="shared" si="62"/>
        <v>1.6349653006866909</v>
      </c>
      <c r="BC281" s="119">
        <f t="shared" si="63"/>
        <v>23.9573652663363</v>
      </c>
    </row>
    <row r="282" spans="49:55" x14ac:dyDescent="0.3">
      <c r="AW282" s="7">
        <v>45040.072916666664</v>
      </c>
      <c r="AX282" s="51">
        <v>2.5909088183935702E-3</v>
      </c>
      <c r="AY282" s="16">
        <v>76.101800600000004</v>
      </c>
      <c r="AZ282" s="2">
        <v>37678</v>
      </c>
      <c r="BA282" s="16">
        <f t="shared" si="61"/>
        <v>627.9666666666667</v>
      </c>
      <c r="BB282" s="9">
        <f t="shared" si="62"/>
        <v>1.6270043743238825</v>
      </c>
      <c r="BC282" s="119">
        <f t="shared" si="63"/>
        <v>23.879844494302905</v>
      </c>
    </row>
    <row r="283" spans="49:55" x14ac:dyDescent="0.3">
      <c r="AW283" s="7">
        <v>45040.083333333336</v>
      </c>
      <c r="AX283" s="51">
        <v>2.4600761509765202E-3</v>
      </c>
      <c r="AY283" s="16">
        <v>74.764849499999997</v>
      </c>
      <c r="AZ283" s="2">
        <v>37998</v>
      </c>
      <c r="BA283" s="16">
        <f t="shared" si="61"/>
        <v>633.29999999999995</v>
      </c>
      <c r="BB283" s="9">
        <f t="shared" si="62"/>
        <v>1.5579662264134302</v>
      </c>
      <c r="BC283" s="119">
        <f t="shared" si="63"/>
        <v>23.202133518438981</v>
      </c>
    </row>
    <row r="284" spans="49:55" x14ac:dyDescent="0.3">
      <c r="AW284" s="7">
        <v>45040.09375</v>
      </c>
      <c r="AX284" s="51">
        <v>2.4713441613957499E-3</v>
      </c>
      <c r="AY284" s="16">
        <v>79.202259850000004</v>
      </c>
      <c r="AZ284" s="2">
        <v>36712</v>
      </c>
      <c r="BA284" s="16">
        <f t="shared" si="61"/>
        <v>611.86666666666667</v>
      </c>
      <c r="BB284" s="9">
        <f t="shared" si="62"/>
        <v>1.5121331142193462</v>
      </c>
      <c r="BC284" s="119">
        <f t="shared" si="63"/>
        <v>22.746635055265351</v>
      </c>
    </row>
    <row r="285" spans="49:55" x14ac:dyDescent="0.3">
      <c r="AW285" s="7">
        <v>45040.104166666664</v>
      </c>
      <c r="AX285" s="51">
        <v>2.60034093095577E-3</v>
      </c>
      <c r="AY285" s="16">
        <v>73.415890989999994</v>
      </c>
      <c r="AZ285" s="2">
        <v>36868</v>
      </c>
      <c r="BA285" s="16">
        <f t="shared" si="61"/>
        <v>614.4666666666667</v>
      </c>
      <c r="BB285" s="9">
        <f t="shared" si="62"/>
        <v>1.5978228240412888</v>
      </c>
      <c r="BC285" s="119">
        <f t="shared" si="63"/>
        <v>23.594587438005842</v>
      </c>
    </row>
    <row r="286" spans="49:55" x14ac:dyDescent="0.3">
      <c r="AW286" s="7">
        <v>45040.114583333336</v>
      </c>
      <c r="AX286" s="51">
        <v>2.75081646398204E-3</v>
      </c>
      <c r="AY286" s="16">
        <v>73.868067069999995</v>
      </c>
      <c r="AZ286" s="2">
        <v>36515</v>
      </c>
      <c r="BA286" s="16">
        <f t="shared" si="61"/>
        <v>608.58333333333337</v>
      </c>
      <c r="BB286" s="9">
        <f t="shared" si="62"/>
        <v>1.6741010530384033</v>
      </c>
      <c r="BC286" s="119">
        <f t="shared" si="63"/>
        <v>24.336628491743003</v>
      </c>
    </row>
    <row r="287" spans="49:55" x14ac:dyDescent="0.3">
      <c r="AW287" s="7">
        <v>45040.125</v>
      </c>
      <c r="AX287" s="51">
        <v>2.6047408606331502E-3</v>
      </c>
      <c r="AY287" s="16">
        <v>68.008627450000006</v>
      </c>
      <c r="AZ287" s="2">
        <v>36531</v>
      </c>
      <c r="BA287" s="16">
        <f t="shared" si="61"/>
        <v>608.85</v>
      </c>
      <c r="BB287" s="9">
        <f t="shared" si="62"/>
        <v>1.5858964729964935</v>
      </c>
      <c r="BC287" s="119">
        <f t="shared" si="63"/>
        <v>23.477501294036383</v>
      </c>
    </row>
    <row r="288" spans="49:55" x14ac:dyDescent="0.3">
      <c r="AW288" s="7">
        <v>45040.135416666664</v>
      </c>
      <c r="AX288" s="51">
        <v>2.8745228245102001E-3</v>
      </c>
      <c r="AY288" s="16">
        <v>71.17580074</v>
      </c>
      <c r="AZ288" s="2">
        <v>36316</v>
      </c>
      <c r="BA288" s="16">
        <f t="shared" si="61"/>
        <v>605.26666666666665</v>
      </c>
      <c r="BB288" s="9">
        <f t="shared" si="62"/>
        <v>1.7398528482485405</v>
      </c>
      <c r="BC288" s="119">
        <f t="shared" si="63"/>
        <v>24.967191717811463</v>
      </c>
    </row>
    <row r="289" spans="49:55" x14ac:dyDescent="0.3">
      <c r="AW289" s="7">
        <v>45040.145833333336</v>
      </c>
      <c r="AX289" s="51">
        <v>2.85072865793406E-3</v>
      </c>
      <c r="AY289" s="16">
        <v>76.993676070000006</v>
      </c>
      <c r="AZ289" s="2">
        <v>36526</v>
      </c>
      <c r="BA289" s="16">
        <f t="shared" si="61"/>
        <v>608.76666666666665</v>
      </c>
      <c r="BB289" s="9">
        <f t="shared" si="62"/>
        <v>1.7354285826616578</v>
      </c>
      <c r="BC289" s="119">
        <f t="shared" si="63"/>
        <v>24.92501700336085</v>
      </c>
    </row>
    <row r="290" spans="49:55" x14ac:dyDescent="0.3">
      <c r="AW290" s="7">
        <v>45040.15625</v>
      </c>
      <c r="AX290" s="51">
        <v>2.8416465827698001E-3</v>
      </c>
      <c r="AY290" s="16">
        <v>74.764849499999997</v>
      </c>
      <c r="AZ290" s="2">
        <v>35947</v>
      </c>
      <c r="BA290" s="16">
        <f t="shared" si="61"/>
        <v>599.11666666666667</v>
      </c>
      <c r="BB290" s="9">
        <f t="shared" si="62"/>
        <v>1.7024778285137667</v>
      </c>
      <c r="BC290" s="119">
        <f t="shared" si="63"/>
        <v>24.609765559185973</v>
      </c>
    </row>
    <row r="291" spans="49:55" x14ac:dyDescent="0.3">
      <c r="AW291" s="7">
        <v>45040.166666666664</v>
      </c>
      <c r="AX291" s="51">
        <v>2.6295109666855899E-3</v>
      </c>
      <c r="AY291" s="16">
        <v>68.916923760000003</v>
      </c>
      <c r="AZ291" s="2">
        <v>36439</v>
      </c>
      <c r="BA291" s="16">
        <f t="shared" si="61"/>
        <v>607.31666666666672</v>
      </c>
      <c r="BB291" s="9">
        <f t="shared" si="62"/>
        <v>1.5969458352509369</v>
      </c>
      <c r="BC291" s="119">
        <f t="shared" si="63"/>
        <v>23.585987685694572</v>
      </c>
    </row>
    <row r="292" spans="49:55" x14ac:dyDescent="0.3">
      <c r="AW292" s="7">
        <v>45040.177083333336</v>
      </c>
      <c r="AX292" s="51">
        <v>2.8017444134360498E-3</v>
      </c>
      <c r="AY292" s="16">
        <v>74.764849499999997</v>
      </c>
      <c r="AZ292" s="2">
        <v>36097</v>
      </c>
      <c r="BA292" s="16">
        <f t="shared" si="61"/>
        <v>601.61666666666667</v>
      </c>
      <c r="BB292" s="9">
        <f t="shared" si="62"/>
        <v>1.6855761348633516</v>
      </c>
      <c r="BC292" s="119">
        <f t="shared" si="63"/>
        <v>24.447266343590467</v>
      </c>
    </row>
    <row r="293" spans="49:55" x14ac:dyDescent="0.3">
      <c r="AW293" s="7">
        <v>45040.1875</v>
      </c>
      <c r="AX293" s="51">
        <v>2.7999083381949402E-3</v>
      </c>
      <c r="AY293" s="16">
        <v>69.822823</v>
      </c>
      <c r="AZ293" s="2">
        <v>36701</v>
      </c>
      <c r="BA293" s="16">
        <f t="shared" si="61"/>
        <v>611.68333333333328</v>
      </c>
      <c r="BB293" s="9">
        <f t="shared" si="62"/>
        <v>1.7126572653348748</v>
      </c>
      <c r="BC293" s="119">
        <f t="shared" si="63"/>
        <v>24.707372911291898</v>
      </c>
    </row>
    <row r="294" spans="49:55" x14ac:dyDescent="0.3">
      <c r="AW294" s="7">
        <v>45040.197916666664</v>
      </c>
      <c r="AX294" s="51">
        <v>2.7910907514941499E-3</v>
      </c>
      <c r="AY294" s="16">
        <v>67.557775419999999</v>
      </c>
      <c r="AZ294" s="2">
        <v>35797</v>
      </c>
      <c r="BA294" s="16">
        <f t="shared" si="61"/>
        <v>596.61666666666667</v>
      </c>
      <c r="BB294" s="9">
        <f t="shared" si="62"/>
        <v>1.6652112605206013</v>
      </c>
      <c r="BC294" s="119">
        <f t="shared" si="63"/>
        <v>24.250741650219325</v>
      </c>
    </row>
    <row r="295" spans="49:55" x14ac:dyDescent="0.3">
      <c r="AW295" s="7">
        <v>45040.208333333336</v>
      </c>
      <c r="AX295" s="51">
        <v>3.0343461147223998E-3</v>
      </c>
      <c r="AY295" s="16">
        <v>72.523974480000007</v>
      </c>
      <c r="AZ295" s="2">
        <v>35838</v>
      </c>
      <c r="BA295" s="16">
        <f t="shared" si="61"/>
        <v>597.29999999999995</v>
      </c>
      <c r="BB295" s="9">
        <f t="shared" si="62"/>
        <v>1.8124149343236893</v>
      </c>
      <c r="BC295" s="119">
        <f t="shared" si="63"/>
        <v>25.653844125176352</v>
      </c>
    </row>
    <row r="296" spans="49:55" x14ac:dyDescent="0.3">
      <c r="AW296" s="7">
        <v>45040.21875</v>
      </c>
      <c r="AX296" s="51">
        <v>2.85467586566408E-3</v>
      </c>
      <c r="AY296" s="16">
        <v>73.868067069999995</v>
      </c>
      <c r="AZ296" s="2">
        <v>36089</v>
      </c>
      <c r="BA296" s="16">
        <f t="shared" si="61"/>
        <v>601.48333333333335</v>
      </c>
      <c r="BB296" s="9">
        <f t="shared" si="62"/>
        <v>1.7170399552658497</v>
      </c>
      <c r="BC296" s="119">
        <f t="shared" si="63"/>
        <v>24.749337058157209</v>
      </c>
    </row>
    <row r="297" spans="49:55" x14ac:dyDescent="0.3">
      <c r="AW297" s="7">
        <v>45040.229166666664</v>
      </c>
      <c r="AX297" s="51">
        <v>3.2248536668101598E-3</v>
      </c>
      <c r="AY297" s="16">
        <v>72.523974480000007</v>
      </c>
      <c r="AZ297" s="2">
        <v>35950</v>
      </c>
      <c r="BA297" s="16">
        <f t="shared" si="61"/>
        <v>599.16666666666663</v>
      </c>
      <c r="BB297" s="9">
        <f t="shared" si="62"/>
        <v>1.9322248220304206</v>
      </c>
      <c r="BC297" s="119">
        <f t="shared" si="63"/>
        <v>26.767737707689779</v>
      </c>
    </row>
    <row r="298" spans="49:55" x14ac:dyDescent="0.3">
      <c r="AW298" s="7">
        <v>45040.239583333336</v>
      </c>
      <c r="AX298" s="51">
        <v>3.5915979377020902E-3</v>
      </c>
      <c r="AY298" s="16">
        <v>68.916923760000003</v>
      </c>
      <c r="AZ298" s="2">
        <v>35538</v>
      </c>
      <c r="BA298" s="16">
        <f t="shared" si="61"/>
        <v>592.29999999999995</v>
      </c>
      <c r="BB298" s="9">
        <f t="shared" si="62"/>
        <v>2.1273034585009478</v>
      </c>
      <c r="BC298" s="119">
        <f t="shared" si="63"/>
        <v>28.533045972208583</v>
      </c>
    </row>
    <row r="299" spans="49:55" x14ac:dyDescent="0.3">
      <c r="AW299" s="7">
        <v>45040.25</v>
      </c>
      <c r="AX299" s="51">
        <v>2.9495893704249601E-3</v>
      </c>
      <c r="AY299" s="16">
        <v>71.17580074</v>
      </c>
      <c r="AZ299" s="2">
        <v>34693</v>
      </c>
      <c r="BA299" s="16">
        <f t="shared" si="61"/>
        <v>578.2166666666667</v>
      </c>
      <c r="BB299" s="9">
        <f t="shared" si="62"/>
        <v>1.7055017338025524</v>
      </c>
      <c r="BC299" s="119">
        <f t="shared" si="63"/>
        <v>24.638781240064397</v>
      </c>
    </row>
    <row r="300" spans="49:55" x14ac:dyDescent="0.3">
      <c r="AW300" s="7">
        <v>45040.260416666664</v>
      </c>
      <c r="AX300" s="51">
        <v>3.1291798156448201E-3</v>
      </c>
      <c r="AY300" s="16">
        <v>71.17580074</v>
      </c>
      <c r="AZ300" s="2">
        <v>35713</v>
      </c>
      <c r="BA300" s="16">
        <f t="shared" si="61"/>
        <v>595.2166666666667</v>
      </c>
      <c r="BB300" s="9">
        <f t="shared" si="62"/>
        <v>1.8625399792687245</v>
      </c>
      <c r="BC300" s="119">
        <f t="shared" si="63"/>
        <v>26.12278672293267</v>
      </c>
    </row>
    <row r="301" spans="49:55" x14ac:dyDescent="0.3">
      <c r="AW301" s="7">
        <v>45040.270833333336</v>
      </c>
      <c r="AX301" s="51">
        <v>2.8403264647270899E-3</v>
      </c>
      <c r="AY301" s="16">
        <v>68.916923760000003</v>
      </c>
      <c r="AZ301" s="2">
        <v>36135</v>
      </c>
      <c r="BA301" s="16">
        <f t="shared" si="61"/>
        <v>602.25</v>
      </c>
      <c r="BB301" s="9">
        <f t="shared" si="62"/>
        <v>1.7105866133818899</v>
      </c>
      <c r="BC301" s="119">
        <f t="shared" si="63"/>
        <v>24.687533921877961</v>
      </c>
    </row>
    <row r="302" spans="49:55" x14ac:dyDescent="0.3">
      <c r="AW302" s="7">
        <v>45040.28125</v>
      </c>
      <c r="AX302" s="51">
        <v>3.23421088398317E-3</v>
      </c>
      <c r="AY302" s="16">
        <v>68.008627450000006</v>
      </c>
      <c r="AZ302" s="2">
        <v>34172</v>
      </c>
      <c r="BA302" s="16">
        <f t="shared" si="61"/>
        <v>569.5333333333333</v>
      </c>
      <c r="BB302" s="9">
        <f t="shared" si="62"/>
        <v>1.8419909054578814</v>
      </c>
      <c r="BC302" s="119">
        <f t="shared" si="63"/>
        <v>25.931060095977195</v>
      </c>
    </row>
    <row r="303" spans="49:55" x14ac:dyDescent="0.3">
      <c r="AW303" s="7">
        <v>45040.291666666664</v>
      </c>
      <c r="AX303" s="51">
        <v>3.1476679810770198E-3</v>
      </c>
      <c r="AY303" s="16">
        <v>71.17580074</v>
      </c>
      <c r="AZ303" s="2">
        <v>34522</v>
      </c>
      <c r="BA303" s="16">
        <f t="shared" si="61"/>
        <v>575.36666666666667</v>
      </c>
      <c r="BB303" s="9">
        <f t="shared" si="62"/>
        <v>1.8110632340456814</v>
      </c>
      <c r="BC303" s="119">
        <f t="shared" si="63"/>
        <v>25.641138450495607</v>
      </c>
    </row>
    <row r="304" spans="49:55" x14ac:dyDescent="0.3">
      <c r="AW304" s="7">
        <v>45040.302083333336</v>
      </c>
      <c r="AX304" s="51">
        <v>2.70725263253498E-3</v>
      </c>
      <c r="AY304" s="16">
        <v>68.916923760000003</v>
      </c>
      <c r="AZ304" s="2">
        <v>35321</v>
      </c>
      <c r="BA304" s="16">
        <f t="shared" si="61"/>
        <v>588.68333333333328</v>
      </c>
      <c r="BB304" s="9">
        <f t="shared" si="62"/>
        <v>1.5937145038961336</v>
      </c>
      <c r="BC304" s="119">
        <f t="shared" si="63"/>
        <v>23.554287544469531</v>
      </c>
    </row>
    <row r="305" spans="49:55" x14ac:dyDescent="0.3">
      <c r="AW305" s="7">
        <v>45040.3125</v>
      </c>
      <c r="AX305" s="51">
        <v>2.88449961590403E-3</v>
      </c>
      <c r="AY305" s="16">
        <v>67.557775419999999</v>
      </c>
      <c r="AZ305" s="2">
        <v>34798</v>
      </c>
      <c r="BA305" s="16">
        <f t="shared" si="61"/>
        <v>579.9666666666667</v>
      </c>
      <c r="BB305" s="9">
        <f t="shared" si="62"/>
        <v>1.6729136272371408</v>
      </c>
      <c r="BC305" s="119">
        <f t="shared" si="63"/>
        <v>24.325165312906755</v>
      </c>
    </row>
    <row r="306" spans="49:55" x14ac:dyDescent="0.3">
      <c r="AW306" s="7">
        <v>45040.322916666664</v>
      </c>
      <c r="AX306" s="51">
        <v>2.6539968520545199E-3</v>
      </c>
      <c r="AY306" s="16">
        <v>68.008627450000006</v>
      </c>
      <c r="AZ306" s="2">
        <v>35003</v>
      </c>
      <c r="BA306" s="16">
        <f t="shared" si="61"/>
        <v>583.38333333333333</v>
      </c>
      <c r="BB306" s="9">
        <f t="shared" si="62"/>
        <v>1.5482975302077393</v>
      </c>
      <c r="BC306" s="119">
        <f t="shared" si="63"/>
        <v>23.106422994722241</v>
      </c>
    </row>
    <row r="307" spans="49:55" x14ac:dyDescent="0.3">
      <c r="AW307" s="7">
        <v>45040.333333333336</v>
      </c>
      <c r="AX307" s="51">
        <v>2.5218096315119702E-3</v>
      </c>
      <c r="AY307" s="16">
        <v>61.92162476</v>
      </c>
      <c r="AZ307" s="2">
        <v>34588</v>
      </c>
      <c r="BA307" s="16">
        <f t="shared" si="61"/>
        <v>576.4666666666667</v>
      </c>
      <c r="BB307" s="9">
        <f t="shared" si="62"/>
        <v>1.4537391922456004</v>
      </c>
      <c r="BC307" s="119">
        <f t="shared" si="63"/>
        <v>22.159523590329165</v>
      </c>
    </row>
    <row r="308" spans="49:55" x14ac:dyDescent="0.3">
      <c r="AW308" s="7">
        <v>45040.34375</v>
      </c>
      <c r="AX308" s="51">
        <v>2.92117077162939E-3</v>
      </c>
      <c r="AY308" s="16">
        <v>66.647934039999996</v>
      </c>
      <c r="AZ308" s="2">
        <v>34366</v>
      </c>
      <c r="BA308" s="16">
        <f t="shared" si="61"/>
        <v>572.76666666666665</v>
      </c>
      <c r="BB308" s="9">
        <f t="shared" si="62"/>
        <v>1.6731492456302601</v>
      </c>
      <c r="BC308" s="119">
        <f t="shared" si="63"/>
        <v>24.327440144625594</v>
      </c>
    </row>
    <row r="309" spans="49:55" x14ac:dyDescent="0.3">
      <c r="AW309" s="7">
        <v>45040.354166666664</v>
      </c>
      <c r="AX309" s="51">
        <v>2.8803527072485901E-3</v>
      </c>
      <c r="AY309" s="16">
        <v>66.655723199999997</v>
      </c>
      <c r="AZ309" s="2">
        <v>33774</v>
      </c>
      <c r="BA309" s="16">
        <f t="shared" si="61"/>
        <v>562.9</v>
      </c>
      <c r="BB309" s="9">
        <f t="shared" si="62"/>
        <v>1.6213505389102312</v>
      </c>
      <c r="BC309" s="119">
        <f t="shared" si="63"/>
        <v>23.824711970357129</v>
      </c>
    </row>
    <row r="310" spans="49:55" x14ac:dyDescent="0.3">
      <c r="AW310" s="7">
        <v>45040.364583333336</v>
      </c>
      <c r="AX310" s="51">
        <v>2.9819046041039102E-3</v>
      </c>
      <c r="AY310" s="16">
        <v>69.822823</v>
      </c>
      <c r="AZ310" s="2">
        <v>34242</v>
      </c>
      <c r="BA310" s="16">
        <f t="shared" si="61"/>
        <v>570.70000000000005</v>
      </c>
      <c r="BB310" s="9">
        <f t="shared" si="62"/>
        <v>1.7017729575621017</v>
      </c>
      <c r="BC310" s="119">
        <f t="shared" si="63"/>
        <v>24.602999529220327</v>
      </c>
    </row>
    <row r="311" spans="49:55" x14ac:dyDescent="0.3">
      <c r="AW311" s="7">
        <v>45040.375</v>
      </c>
      <c r="AX311" s="51">
        <v>2.7276332896940202E-3</v>
      </c>
      <c r="AY311" s="16">
        <v>63.015482910000003</v>
      </c>
      <c r="AZ311" s="2">
        <v>34367</v>
      </c>
      <c r="BA311" s="16">
        <f t="shared" si="61"/>
        <v>572.7833333333333</v>
      </c>
      <c r="BB311" s="9">
        <f t="shared" si="62"/>
        <v>1.5623428877819066</v>
      </c>
      <c r="BC311" s="119">
        <f t="shared" si="63"/>
        <v>23.245392486099483</v>
      </c>
    </row>
    <row r="312" spans="49:55" x14ac:dyDescent="0.3">
      <c r="AW312" s="7">
        <v>45040.385416666664</v>
      </c>
      <c r="AX312" s="51">
        <v>2.5437626874784901E-3</v>
      </c>
      <c r="AY312" s="16">
        <v>71.17580074</v>
      </c>
      <c r="AZ312" s="2">
        <v>34886</v>
      </c>
      <c r="BA312" s="16">
        <f t="shared" si="61"/>
        <v>581.43333333333328</v>
      </c>
      <c r="BB312" s="9">
        <f t="shared" si="62"/>
        <v>1.4790284185895766</v>
      </c>
      <c r="BC312" s="119">
        <f t="shared" si="63"/>
        <v>22.414744475430716</v>
      </c>
    </row>
    <row r="313" spans="49:55" x14ac:dyDescent="0.3">
      <c r="AW313" s="7">
        <v>45040.395833333336</v>
      </c>
      <c r="AX313" s="51">
        <v>2.7050771038739101E-3</v>
      </c>
      <c r="AY313" s="16">
        <v>68.016396760000006</v>
      </c>
      <c r="AZ313" s="2">
        <v>33202</v>
      </c>
      <c r="BA313" s="16">
        <f t="shared" si="61"/>
        <v>553.36666666666667</v>
      </c>
      <c r="BB313" s="9">
        <f t="shared" si="62"/>
        <v>1.496899500047026</v>
      </c>
      <c r="BC313" s="119">
        <f t="shared" si="63"/>
        <v>22.594217184727889</v>
      </c>
    </row>
    <row r="314" spans="49:55" x14ac:dyDescent="0.3">
      <c r="AW314" s="7">
        <v>45040.40625</v>
      </c>
      <c r="AX314" s="51">
        <v>3.2924383482075699E-3</v>
      </c>
      <c r="AY314" s="16">
        <v>68.016396760000006</v>
      </c>
      <c r="AZ314" s="2">
        <v>33592</v>
      </c>
      <c r="BA314" s="16">
        <f t="shared" si="61"/>
        <v>559.86666666666667</v>
      </c>
      <c r="BB314" s="9">
        <f t="shared" si="62"/>
        <v>1.8433264832164782</v>
      </c>
      <c r="BC314" s="119">
        <f t="shared" si="63"/>
        <v>25.943543043909266</v>
      </c>
    </row>
    <row r="315" spans="49:55" x14ac:dyDescent="0.3">
      <c r="AW315" s="7">
        <v>45040.416666666664</v>
      </c>
      <c r="AX315" s="51">
        <v>2.7804650511336101E-3</v>
      </c>
      <c r="AY315" s="16">
        <v>66.655723199999997</v>
      </c>
      <c r="AZ315" s="2">
        <v>34444</v>
      </c>
      <c r="BA315" s="16">
        <f t="shared" si="61"/>
        <v>574.06666666666672</v>
      </c>
      <c r="BB315" s="9">
        <f t="shared" si="62"/>
        <v>1.5961723036874347</v>
      </c>
      <c r="BC315" s="119">
        <f t="shared" si="63"/>
        <v>23.57840111782048</v>
      </c>
    </row>
    <row r="316" spans="49:55" x14ac:dyDescent="0.3">
      <c r="AW316" s="7">
        <v>45040.427083333336</v>
      </c>
      <c r="AX316" s="51">
        <v>3.1172236530924201E-3</v>
      </c>
      <c r="AY316" s="16">
        <v>63.92387093</v>
      </c>
      <c r="AZ316" s="2">
        <v>34556</v>
      </c>
      <c r="BA316" s="16">
        <f t="shared" si="61"/>
        <v>575.93333333333328</v>
      </c>
      <c r="BB316" s="9">
        <f t="shared" si="62"/>
        <v>1.7953130092710277</v>
      </c>
      <c r="BC316" s="119">
        <f t="shared" si="63"/>
        <v>25.492854191812881</v>
      </c>
    </row>
    <row r="317" spans="49:55" x14ac:dyDescent="0.3">
      <c r="AW317" s="7">
        <v>45040.4375</v>
      </c>
      <c r="AX317" s="51">
        <v>2.9439287895791201E-3</v>
      </c>
      <c r="AY317" s="16">
        <v>69.373566690000004</v>
      </c>
      <c r="AZ317" s="2">
        <v>34482</v>
      </c>
      <c r="BA317" s="16">
        <f t="shared" si="61"/>
        <v>574.70000000000005</v>
      </c>
      <c r="BB317" s="9">
        <f t="shared" si="62"/>
        <v>1.6918758753711205</v>
      </c>
      <c r="BC317" s="119">
        <f t="shared" si="63"/>
        <v>24.50789812786487</v>
      </c>
    </row>
    <row r="318" spans="49:55" x14ac:dyDescent="0.3">
      <c r="AW318" s="7">
        <v>45040.447916666664</v>
      </c>
      <c r="AX318" s="51">
        <v>3.1162812296507301E-3</v>
      </c>
      <c r="AY318" s="16">
        <v>66.655723199999997</v>
      </c>
      <c r="AZ318" s="2">
        <v>35173</v>
      </c>
      <c r="BA318" s="16">
        <f t="shared" si="61"/>
        <v>586.2166666666667</v>
      </c>
      <c r="BB318" s="9">
        <f t="shared" si="62"/>
        <v>1.8268159948417522</v>
      </c>
      <c r="BC318" s="119">
        <f t="shared" si="63"/>
        <v>25.789013808227995</v>
      </c>
    </row>
    <row r="319" spans="49:55" x14ac:dyDescent="0.3">
      <c r="AW319" s="7">
        <v>45040.458333333336</v>
      </c>
      <c r="AX319" s="51">
        <v>2.6056934519092701E-3</v>
      </c>
      <c r="AY319" s="16">
        <v>65.290959470000004</v>
      </c>
      <c r="AZ319" s="2">
        <v>35530</v>
      </c>
      <c r="BA319" s="16">
        <f t="shared" si="61"/>
        <v>592.16666666666663</v>
      </c>
      <c r="BB319" s="9">
        <f t="shared" si="62"/>
        <v>1.5430048057722727</v>
      </c>
      <c r="BC319" s="119">
        <f t="shared" si="63"/>
        <v>23.053945223462556</v>
      </c>
    </row>
    <row r="320" spans="49:55" x14ac:dyDescent="0.3">
      <c r="AW320" s="7">
        <v>45040.46875</v>
      </c>
      <c r="AX320" s="51">
        <v>2.6543243347200399E-3</v>
      </c>
      <c r="AY320" s="16">
        <v>63.92387093</v>
      </c>
      <c r="AZ320" s="2">
        <v>34145</v>
      </c>
      <c r="BA320" s="16">
        <f t="shared" si="61"/>
        <v>569.08333333333337</v>
      </c>
      <c r="BB320" s="9">
        <f t="shared" si="62"/>
        <v>1.5105317401502627</v>
      </c>
      <c r="BC320" s="119">
        <f t="shared" si="63"/>
        <v>22.730637069579419</v>
      </c>
    </row>
    <row r="321" spans="49:55" x14ac:dyDescent="0.3">
      <c r="AW321" s="7">
        <v>45040.479166666664</v>
      </c>
      <c r="AX321" s="51">
        <v>2.6159218097610202E-3</v>
      </c>
      <c r="AY321" s="16">
        <v>66.655723199999997</v>
      </c>
      <c r="AZ321" s="2">
        <v>33791</v>
      </c>
      <c r="BA321" s="16">
        <f t="shared" si="61"/>
        <v>563.18333333333328</v>
      </c>
      <c r="BB321" s="9">
        <f t="shared" si="62"/>
        <v>1.473243564560577</v>
      </c>
      <c r="BC321" s="119">
        <f t="shared" si="63"/>
        <v>22.356493455677967</v>
      </c>
    </row>
    <row r="322" spans="49:55" x14ac:dyDescent="0.3">
      <c r="AW322" s="7">
        <v>45040.489583333336</v>
      </c>
      <c r="AX322" s="51">
        <v>2.6050877858411498E-3</v>
      </c>
      <c r="AY322" s="16">
        <v>71.17580074</v>
      </c>
      <c r="AZ322" s="2">
        <v>35391</v>
      </c>
      <c r="BA322" s="16">
        <f t="shared" si="61"/>
        <v>589.85</v>
      </c>
      <c r="BB322" s="9">
        <f t="shared" si="62"/>
        <v>1.5366110304784022</v>
      </c>
      <c r="BC322" s="119">
        <f t="shared" si="63"/>
        <v>22.990469711536161</v>
      </c>
    </row>
    <row r="323" spans="49:55" x14ac:dyDescent="0.3">
      <c r="AW323" s="7">
        <v>45040.5</v>
      </c>
      <c r="AX323" s="51">
        <v>2.74181149205544E-3</v>
      </c>
      <c r="AY323" s="16">
        <v>65.290959470000004</v>
      </c>
      <c r="AZ323" s="2">
        <v>33946</v>
      </c>
      <c r="BA323" s="16">
        <f t="shared" si="61"/>
        <v>565.76666666666665</v>
      </c>
      <c r="BB323" s="9">
        <f t="shared" si="62"/>
        <v>1.5512255484885662</v>
      </c>
      <c r="BC323" s="119">
        <f t="shared" si="63"/>
        <v>23.135428622993185</v>
      </c>
    </row>
    <row r="324" spans="49:55" x14ac:dyDescent="0.3">
      <c r="AW324" s="7">
        <v>45040.510416666664</v>
      </c>
      <c r="AX324" s="51">
        <v>2.77975588123823E-3</v>
      </c>
      <c r="AY324" s="16">
        <v>71.17580074</v>
      </c>
      <c r="AZ324" s="2">
        <v>35994</v>
      </c>
      <c r="BA324" s="16">
        <f t="shared" ref="BA324:BA387" si="64">AZ324/60</f>
        <v>599.9</v>
      </c>
      <c r="BB324" s="9">
        <f t="shared" ref="BB324:BB387" si="65">BA324*AX324</f>
        <v>1.6675755531548142</v>
      </c>
      <c r="BC324" s="119">
        <f t="shared" ref="BC324:BC387" si="66">17.285*BB324^0.664</f>
        <v>24.273598767455329</v>
      </c>
    </row>
    <row r="325" spans="49:55" x14ac:dyDescent="0.3">
      <c r="AW325" s="7">
        <v>45040.520833333336</v>
      </c>
      <c r="AX325" s="51">
        <v>2.7997234210100901E-3</v>
      </c>
      <c r="AY325" s="16">
        <v>70.279402750000003</v>
      </c>
      <c r="AZ325" s="2">
        <v>36798</v>
      </c>
      <c r="BA325" s="16">
        <f t="shared" si="64"/>
        <v>613.29999999999995</v>
      </c>
      <c r="BB325" s="9">
        <f t="shared" si="65"/>
        <v>1.7170703741054882</v>
      </c>
      <c r="BC325" s="119">
        <f t="shared" si="66"/>
        <v>24.749628191937251</v>
      </c>
    </row>
    <row r="326" spans="49:55" x14ac:dyDescent="0.3">
      <c r="AW326" s="7">
        <v>45040.53125</v>
      </c>
      <c r="AX326" s="51">
        <v>2.9504583295811302E-3</v>
      </c>
      <c r="AY326" s="16">
        <v>71.630262669999993</v>
      </c>
      <c r="AZ326" s="2">
        <v>35918</v>
      </c>
      <c r="BA326" s="16">
        <f t="shared" si="64"/>
        <v>598.63333333333333</v>
      </c>
      <c r="BB326" s="9">
        <f t="shared" si="65"/>
        <v>1.7662427046982505</v>
      </c>
      <c r="BC326" s="119">
        <f t="shared" si="66"/>
        <v>25.218011410360702</v>
      </c>
    </row>
    <row r="327" spans="49:55" x14ac:dyDescent="0.3">
      <c r="AW327" s="7">
        <v>45040.541666666664</v>
      </c>
      <c r="AX327" s="51">
        <v>2.7310078180414598E-3</v>
      </c>
      <c r="AY327" s="16">
        <v>77.435049230000004</v>
      </c>
      <c r="AZ327" s="2">
        <v>37318</v>
      </c>
      <c r="BA327" s="16">
        <f t="shared" si="64"/>
        <v>621.9666666666667</v>
      </c>
      <c r="BB327" s="9">
        <f t="shared" si="65"/>
        <v>1.6985958292278533</v>
      </c>
      <c r="BC327" s="119">
        <f t="shared" si="66"/>
        <v>24.572490696982776</v>
      </c>
    </row>
    <row r="328" spans="49:55" x14ac:dyDescent="0.3">
      <c r="AW328" s="7">
        <v>45040.552083333336</v>
      </c>
      <c r="AX328" s="51">
        <v>2.8430230396933398E-3</v>
      </c>
      <c r="AY328" s="16">
        <v>64.377553680000005</v>
      </c>
      <c r="AZ328" s="2">
        <v>37723</v>
      </c>
      <c r="BA328" s="16">
        <f t="shared" si="64"/>
        <v>628.7166666666667</v>
      </c>
      <c r="BB328" s="9">
        <f t="shared" si="65"/>
        <v>1.7874559687725311</v>
      </c>
      <c r="BC328" s="119">
        <f t="shared" si="66"/>
        <v>25.418718871009183</v>
      </c>
    </row>
    <row r="329" spans="49:55" x14ac:dyDescent="0.3">
      <c r="AW329" s="7">
        <v>45040.5625</v>
      </c>
      <c r="AX329" s="51">
        <v>3.0374080387145699E-3</v>
      </c>
      <c r="AY329" s="16">
        <v>72.970159429999995</v>
      </c>
      <c r="AZ329" s="2">
        <v>36986</v>
      </c>
      <c r="BA329" s="16">
        <f t="shared" si="64"/>
        <v>616.43333333333328</v>
      </c>
      <c r="BB329" s="9">
        <f t="shared" si="65"/>
        <v>1.8723595619982845</v>
      </c>
      <c r="BC329" s="119">
        <f t="shared" si="66"/>
        <v>26.214154083892517</v>
      </c>
    </row>
    <row r="330" spans="49:55" x14ac:dyDescent="0.3">
      <c r="AW330" s="7">
        <v>45040.572916666664</v>
      </c>
      <c r="AX330" s="51">
        <v>3.3667971800771098E-3</v>
      </c>
      <c r="AY330" s="16">
        <v>75.208694050000005</v>
      </c>
      <c r="AZ330" s="2">
        <v>37829</v>
      </c>
      <c r="BA330" s="16">
        <f t="shared" si="64"/>
        <v>630.48333333333335</v>
      </c>
      <c r="BB330" s="9">
        <f t="shared" si="65"/>
        <v>2.1227095087522834</v>
      </c>
      <c r="BC330" s="119">
        <f t="shared" si="66"/>
        <v>28.492117013628803</v>
      </c>
    </row>
    <row r="331" spans="49:55" x14ac:dyDescent="0.3">
      <c r="AW331" s="7">
        <v>45040.588888888888</v>
      </c>
      <c r="AX331" s="51">
        <v>3.19424563568823E-3</v>
      </c>
      <c r="AY331" s="16">
        <v>71.620816880000007</v>
      </c>
      <c r="AZ331" s="2">
        <v>38045</v>
      </c>
      <c r="BA331" s="16">
        <f t="shared" si="64"/>
        <v>634.08333333333337</v>
      </c>
      <c r="BB331" s="9">
        <f t="shared" si="65"/>
        <v>2.0254179201626452</v>
      </c>
      <c r="BC331" s="119">
        <f t="shared" si="66"/>
        <v>27.618183463660333</v>
      </c>
    </row>
    <row r="332" spans="49:55" x14ac:dyDescent="0.3">
      <c r="AW332" s="7">
        <v>45040.604166666664</v>
      </c>
      <c r="AX332" s="51">
        <v>3.2721775181167E-3</v>
      </c>
      <c r="AY332" s="16">
        <v>77.435049230000004</v>
      </c>
      <c r="AZ332" s="2">
        <v>38703</v>
      </c>
      <c r="BA332" s="16">
        <f t="shared" si="64"/>
        <v>645.04999999999995</v>
      </c>
      <c r="BB332" s="9">
        <f t="shared" si="65"/>
        <v>2.1107181080611772</v>
      </c>
      <c r="BC332" s="119">
        <f t="shared" si="66"/>
        <v>28.385141308199039</v>
      </c>
    </row>
    <row r="333" spans="49:55" x14ac:dyDescent="0.3">
      <c r="AW333" s="7">
        <v>45040.614583333336</v>
      </c>
      <c r="AX333" s="51">
        <v>3.0089159604369301E-3</v>
      </c>
      <c r="AY333" s="16">
        <v>80.961047410000006</v>
      </c>
      <c r="AZ333" s="2">
        <v>38932</v>
      </c>
      <c r="BA333" s="16">
        <f t="shared" si="64"/>
        <v>648.86666666666667</v>
      </c>
      <c r="BB333" s="9">
        <f t="shared" si="65"/>
        <v>1.9523852695288428</v>
      </c>
      <c r="BC333" s="119">
        <f t="shared" si="66"/>
        <v>26.952862185697612</v>
      </c>
    </row>
    <row r="334" spans="49:55" x14ac:dyDescent="0.3">
      <c r="AW334" s="7">
        <v>45040.625</v>
      </c>
      <c r="AX334" s="51">
        <v>2.9715514661677301E-3</v>
      </c>
      <c r="AY334" s="16">
        <v>83.153095449999995</v>
      </c>
      <c r="AZ334" s="2">
        <v>40552</v>
      </c>
      <c r="BA334" s="16">
        <f t="shared" si="64"/>
        <v>675.86666666666667</v>
      </c>
      <c r="BB334" s="9">
        <f t="shared" si="65"/>
        <v>2.0083725842672298</v>
      </c>
      <c r="BC334" s="119">
        <f t="shared" si="66"/>
        <v>27.463633109779636</v>
      </c>
    </row>
    <row r="335" spans="49:55" x14ac:dyDescent="0.3">
      <c r="AW335" s="7">
        <v>45040.635416666664</v>
      </c>
      <c r="AX335" s="51">
        <v>3.00716488916532E-3</v>
      </c>
      <c r="AY335" s="16">
        <v>84.460540300000005</v>
      </c>
      <c r="AZ335" s="2">
        <v>40445</v>
      </c>
      <c r="BA335" s="16">
        <f t="shared" si="64"/>
        <v>674.08333333333337</v>
      </c>
      <c r="BB335" s="9">
        <f t="shared" si="65"/>
        <v>2.0270797323715231</v>
      </c>
      <c r="BC335" s="119">
        <f t="shared" si="66"/>
        <v>27.63322771710374</v>
      </c>
    </row>
    <row r="336" spans="49:55" x14ac:dyDescent="0.3">
      <c r="AW336" s="7">
        <v>45040.645833333336</v>
      </c>
      <c r="AX336" s="51">
        <v>3.0689054775382301E-3</v>
      </c>
      <c r="AY336" s="16">
        <v>80.961047410000006</v>
      </c>
      <c r="AZ336" s="2">
        <v>40070</v>
      </c>
      <c r="BA336" s="16">
        <f t="shared" si="64"/>
        <v>667.83333333333337</v>
      </c>
      <c r="BB336" s="9">
        <f t="shared" si="65"/>
        <v>2.0495173747492816</v>
      </c>
      <c r="BC336" s="119">
        <f t="shared" si="66"/>
        <v>27.835950094068419</v>
      </c>
    </row>
    <row r="337" spans="49:55" x14ac:dyDescent="0.3">
      <c r="AW337" s="7">
        <v>45040.65625</v>
      </c>
      <c r="AX337" s="51">
        <v>3.1053453321693201E-3</v>
      </c>
      <c r="AY337" s="16">
        <v>85.331044809999995</v>
      </c>
      <c r="AZ337" s="2">
        <v>39707</v>
      </c>
      <c r="BA337" s="16">
        <f t="shared" si="64"/>
        <v>661.7833333333333</v>
      </c>
      <c r="BB337" s="9">
        <f t="shared" si="65"/>
        <v>2.0550657850741199</v>
      </c>
      <c r="BC337" s="119">
        <f t="shared" si="66"/>
        <v>27.885964344981801</v>
      </c>
    </row>
    <row r="338" spans="49:55" x14ac:dyDescent="0.3">
      <c r="AW338" s="7">
        <v>45040.666666666664</v>
      </c>
      <c r="AX338" s="51">
        <v>3.1406252697531701E-3</v>
      </c>
      <c r="AY338" s="16">
        <v>76.101800600000004</v>
      </c>
      <c r="AZ338" s="2">
        <v>40432</v>
      </c>
      <c r="BA338" s="16">
        <f t="shared" si="64"/>
        <v>673.86666666666667</v>
      </c>
      <c r="BB338" s="9">
        <f t="shared" si="65"/>
        <v>2.1163626817776695</v>
      </c>
      <c r="BC338" s="119">
        <f t="shared" si="66"/>
        <v>28.43552211576857</v>
      </c>
    </row>
    <row r="339" spans="49:55" x14ac:dyDescent="0.3">
      <c r="AW339" s="7">
        <v>45040.677083333336</v>
      </c>
      <c r="AX339" s="51">
        <v>3.1012590748917199E-3</v>
      </c>
      <c r="AY339" s="16">
        <v>79.648616399999995</v>
      </c>
      <c r="AZ339" s="2">
        <v>40727</v>
      </c>
      <c r="BA339" s="16">
        <f t="shared" si="64"/>
        <v>678.7833333333333</v>
      </c>
      <c r="BB339" s="9">
        <f t="shared" si="65"/>
        <v>2.1050829723852513</v>
      </c>
      <c r="BC339" s="119">
        <f t="shared" si="66"/>
        <v>28.334799563886161</v>
      </c>
    </row>
    <row r="340" spans="49:55" x14ac:dyDescent="0.3">
      <c r="AW340" s="7">
        <v>45040.6875</v>
      </c>
      <c r="AX340" s="51">
        <v>3.1039738689978501E-3</v>
      </c>
      <c r="AY340" s="16">
        <v>80.086877509999994</v>
      </c>
      <c r="AZ340" s="2">
        <v>40856</v>
      </c>
      <c r="BA340" s="16">
        <f t="shared" si="64"/>
        <v>680.93333333333328</v>
      </c>
      <c r="BB340" s="9">
        <f t="shared" si="65"/>
        <v>2.1135992731962694</v>
      </c>
      <c r="BC340" s="119">
        <f t="shared" si="66"/>
        <v>28.410862880362057</v>
      </c>
    </row>
    <row r="341" spans="49:55" x14ac:dyDescent="0.3">
      <c r="AW341" s="7">
        <v>45040.697916666664</v>
      </c>
      <c r="AX341" s="51">
        <v>3.37123661100661E-3</v>
      </c>
      <c r="AY341" s="16">
        <v>89.209976960000006</v>
      </c>
      <c r="AZ341" s="2">
        <v>40164</v>
      </c>
      <c r="BA341" s="16">
        <f t="shared" si="64"/>
        <v>669.4</v>
      </c>
      <c r="BB341" s="9">
        <f t="shared" si="65"/>
        <v>2.2567057874078245</v>
      </c>
      <c r="BC341" s="119">
        <f t="shared" si="66"/>
        <v>29.674044648910492</v>
      </c>
    </row>
    <row r="342" spans="49:55" x14ac:dyDescent="0.3">
      <c r="AW342" s="7">
        <v>45040.708333333336</v>
      </c>
      <c r="AX342" s="51">
        <v>2.9162760058704198E-3</v>
      </c>
      <c r="AY342" s="16">
        <v>83.153095449999995</v>
      </c>
      <c r="AZ342" s="2">
        <v>40908</v>
      </c>
      <c r="BA342" s="16">
        <f t="shared" si="64"/>
        <v>681.8</v>
      </c>
      <c r="BB342" s="9">
        <f t="shared" si="65"/>
        <v>1.9883169808024521</v>
      </c>
      <c r="BC342" s="119">
        <f t="shared" si="66"/>
        <v>27.281223063196588</v>
      </c>
    </row>
    <row r="343" spans="49:55" x14ac:dyDescent="0.3">
      <c r="AW343" s="7">
        <v>45040.71875</v>
      </c>
      <c r="AX343" s="51">
        <v>2.9458639404261701E-3</v>
      </c>
      <c r="AY343" s="16">
        <v>85.323607859999996</v>
      </c>
      <c r="AZ343" s="2">
        <v>41013</v>
      </c>
      <c r="BA343" s="16">
        <f t="shared" si="64"/>
        <v>683.55</v>
      </c>
      <c r="BB343" s="9">
        <f t="shared" si="65"/>
        <v>2.0136452964783085</v>
      </c>
      <c r="BC343" s="119">
        <f t="shared" si="66"/>
        <v>27.511487797049938</v>
      </c>
    </row>
    <row r="344" spans="49:55" x14ac:dyDescent="0.3">
      <c r="AW344" s="7">
        <v>45040.729166666664</v>
      </c>
      <c r="AX344" s="51">
        <v>2.86585007654227E-3</v>
      </c>
      <c r="AY344" s="16">
        <v>80.968580889999998</v>
      </c>
      <c r="AZ344" s="2">
        <v>41551</v>
      </c>
      <c r="BA344" s="16">
        <f t="shared" si="64"/>
        <v>692.51666666666665</v>
      </c>
      <c r="BB344" s="9">
        <f t="shared" si="65"/>
        <v>1.9846489421734643</v>
      </c>
      <c r="BC344" s="119">
        <f t="shared" si="66"/>
        <v>27.247794717563437</v>
      </c>
    </row>
    <row r="345" spans="49:55" x14ac:dyDescent="0.3">
      <c r="AW345" s="7">
        <v>45040.739583333336</v>
      </c>
      <c r="AX345" s="51">
        <v>2.8896109436377898E-3</v>
      </c>
      <c r="AY345" s="16">
        <v>83.153095449999995</v>
      </c>
      <c r="AZ345" s="2">
        <v>42112</v>
      </c>
      <c r="BA345" s="16">
        <f t="shared" si="64"/>
        <v>701.86666666666667</v>
      </c>
      <c r="BB345" s="9">
        <f t="shared" si="65"/>
        <v>2.0281216009745768</v>
      </c>
      <c r="BC345" s="119">
        <f t="shared" si="66"/>
        <v>27.642657557042813</v>
      </c>
    </row>
    <row r="346" spans="49:55" x14ac:dyDescent="0.3">
      <c r="AW346" s="7">
        <v>45040.75</v>
      </c>
      <c r="AX346" s="51">
        <v>2.6910862997027501E-3</v>
      </c>
      <c r="AY346" s="16">
        <v>85.331044809999995</v>
      </c>
      <c r="AZ346" s="2">
        <v>41897</v>
      </c>
      <c r="BA346" s="16">
        <f t="shared" si="64"/>
        <v>698.2833333333333</v>
      </c>
      <c r="BB346" s="9">
        <f t="shared" si="65"/>
        <v>1.8791407116441019</v>
      </c>
      <c r="BC346" s="119">
        <f t="shared" si="66"/>
        <v>26.277156049937943</v>
      </c>
    </row>
    <row r="347" spans="49:55" x14ac:dyDescent="0.3">
      <c r="AW347" s="7">
        <v>45040.760416666664</v>
      </c>
      <c r="AX347" s="51">
        <v>2.84661304454075E-3</v>
      </c>
      <c r="AY347" s="16">
        <v>89.635700749999998</v>
      </c>
      <c r="AZ347" s="2">
        <v>41489</v>
      </c>
      <c r="BA347" s="16">
        <f t="shared" si="64"/>
        <v>691.48333333333335</v>
      </c>
      <c r="BB347" s="9">
        <f t="shared" si="65"/>
        <v>1.9683854767491864</v>
      </c>
      <c r="BC347" s="119">
        <f t="shared" si="66"/>
        <v>27.099328206666549</v>
      </c>
    </row>
    <row r="348" spans="49:55" x14ac:dyDescent="0.3">
      <c r="AW348" s="7">
        <v>45040.770833333336</v>
      </c>
      <c r="AX348" s="51">
        <v>2.9060742904150898E-3</v>
      </c>
      <c r="AY348" s="16">
        <v>83.153095449999995</v>
      </c>
      <c r="AZ348" s="2">
        <v>41895</v>
      </c>
      <c r="BA348" s="16">
        <f t="shared" si="64"/>
        <v>698.25</v>
      </c>
      <c r="BB348" s="9">
        <f t="shared" si="65"/>
        <v>2.0291663732823366</v>
      </c>
      <c r="BC348" s="119">
        <f t="shared" si="66"/>
        <v>27.652112043774324</v>
      </c>
    </row>
    <row r="349" spans="49:55" x14ac:dyDescent="0.3">
      <c r="AW349" s="7">
        <v>45040.78125</v>
      </c>
      <c r="AX349" s="51">
        <v>2.6124383070197498E-3</v>
      </c>
      <c r="AY349" s="16">
        <v>78.323104580000006</v>
      </c>
      <c r="AZ349" s="2">
        <v>41511</v>
      </c>
      <c r="BA349" s="16">
        <f t="shared" si="64"/>
        <v>691.85</v>
      </c>
      <c r="BB349" s="9">
        <f t="shared" si="65"/>
        <v>1.807415442711614</v>
      </c>
      <c r="BC349" s="119">
        <f t="shared" si="66"/>
        <v>25.606834130084565</v>
      </c>
    </row>
    <row r="350" spans="49:55" x14ac:dyDescent="0.3">
      <c r="AW350" s="7">
        <v>45040.791666666664</v>
      </c>
      <c r="AX350" s="51">
        <v>2.6210085898322999E-3</v>
      </c>
      <c r="AY350" s="16">
        <v>86.192545629999998</v>
      </c>
      <c r="AZ350" s="2">
        <v>41281</v>
      </c>
      <c r="BA350" s="16">
        <f t="shared" si="64"/>
        <v>688.01666666666665</v>
      </c>
      <c r="BB350" s="9">
        <f t="shared" si="65"/>
        <v>1.8032975932811195</v>
      </c>
      <c r="BC350" s="119">
        <f t="shared" si="66"/>
        <v>25.568081355035517</v>
      </c>
    </row>
    <row r="351" spans="49:55" x14ac:dyDescent="0.3">
      <c r="AW351" s="7">
        <v>45040.802083333336</v>
      </c>
      <c r="AX351" s="51">
        <v>2.7774911166538901E-3</v>
      </c>
      <c r="AY351" s="16">
        <v>79.641055789999996</v>
      </c>
      <c r="AZ351" s="2">
        <v>42491</v>
      </c>
      <c r="BA351" s="16">
        <f t="shared" si="64"/>
        <v>708.18333333333328</v>
      </c>
      <c r="BB351" s="9">
        <f t="shared" si="65"/>
        <v>1.966972917295674</v>
      </c>
      <c r="BC351" s="119">
        <f t="shared" si="66"/>
        <v>27.086413767211113</v>
      </c>
    </row>
    <row r="352" spans="49:55" x14ac:dyDescent="0.3">
      <c r="AW352" s="7">
        <v>45040.8125</v>
      </c>
      <c r="AX352" s="51">
        <v>2.8558831439899198E-3</v>
      </c>
      <c r="AY352" s="16">
        <v>78.762941850000004</v>
      </c>
      <c r="AZ352" s="2">
        <v>42145</v>
      </c>
      <c r="BA352" s="16">
        <f t="shared" si="64"/>
        <v>702.41666666666663</v>
      </c>
      <c r="BB352" s="9">
        <f t="shared" si="65"/>
        <v>2.0060199183909195</v>
      </c>
      <c r="BC352" s="119">
        <f t="shared" si="66"/>
        <v>27.442266897323545</v>
      </c>
    </row>
    <row r="353" spans="49:55" x14ac:dyDescent="0.3">
      <c r="AW353" s="7">
        <v>45040.822916666664</v>
      </c>
      <c r="AX353" s="51">
        <v>2.9398387787084E-3</v>
      </c>
      <c r="AY353" s="16">
        <v>84.020316870000002</v>
      </c>
      <c r="AZ353" s="2">
        <v>41756</v>
      </c>
      <c r="BA353" s="16">
        <f t="shared" si="64"/>
        <v>695.93333333333328</v>
      </c>
      <c r="BB353" s="9">
        <f t="shared" si="65"/>
        <v>2.0459318007291323</v>
      </c>
      <c r="BC353" s="119">
        <f t="shared" si="66"/>
        <v>27.803604961052557</v>
      </c>
    </row>
    <row r="354" spans="49:55" x14ac:dyDescent="0.3">
      <c r="AW354" s="7">
        <v>45040.833333333336</v>
      </c>
      <c r="AX354" s="51">
        <v>2.9399884578516998E-3</v>
      </c>
      <c r="AY354" s="16">
        <v>80.961047410000006</v>
      </c>
      <c r="AZ354" s="2">
        <v>41046</v>
      </c>
      <c r="BA354" s="16">
        <f t="shared" si="64"/>
        <v>684.1</v>
      </c>
      <c r="BB354" s="9">
        <f t="shared" si="65"/>
        <v>2.0112461040163478</v>
      </c>
      <c r="BC354" s="119">
        <f t="shared" si="66"/>
        <v>27.489718157336284</v>
      </c>
    </row>
    <row r="355" spans="49:55" x14ac:dyDescent="0.3">
      <c r="AW355" s="7">
        <v>45040.84375</v>
      </c>
      <c r="AX355" s="51">
        <v>2.8856903063811802E-3</v>
      </c>
      <c r="AY355" s="16">
        <v>80.523852189999999</v>
      </c>
      <c r="AZ355" s="2">
        <v>41838</v>
      </c>
      <c r="BA355" s="16">
        <f t="shared" si="64"/>
        <v>697.3</v>
      </c>
      <c r="BB355" s="9">
        <f t="shared" si="65"/>
        <v>2.0121918506395966</v>
      </c>
      <c r="BC355" s="119">
        <f t="shared" si="66"/>
        <v>27.49830065407907</v>
      </c>
    </row>
    <row r="356" spans="49:55" x14ac:dyDescent="0.3">
      <c r="AW356" s="7">
        <v>45040.854166666664</v>
      </c>
      <c r="AX356" s="51">
        <v>2.8117133411259599E-3</v>
      </c>
      <c r="AY356" s="16">
        <v>78.762941850000004</v>
      </c>
      <c r="AZ356" s="2">
        <v>40894</v>
      </c>
      <c r="BA356" s="16">
        <f t="shared" si="64"/>
        <v>681.56666666666672</v>
      </c>
      <c r="BB356" s="9">
        <f t="shared" si="65"/>
        <v>1.9163700895334168</v>
      </c>
      <c r="BC356" s="119">
        <f t="shared" si="66"/>
        <v>26.621694463238001</v>
      </c>
    </row>
    <row r="357" spans="49:55" x14ac:dyDescent="0.3">
      <c r="AW357" s="7">
        <v>45040.864583333336</v>
      </c>
      <c r="AX357" s="51">
        <v>2.6055386499603699E-3</v>
      </c>
      <c r="AY357" s="16">
        <v>78.323104580000006</v>
      </c>
      <c r="AZ357" s="2">
        <v>41064</v>
      </c>
      <c r="BA357" s="16">
        <f t="shared" si="64"/>
        <v>684.4</v>
      </c>
      <c r="BB357" s="9">
        <f t="shared" si="65"/>
        <v>1.7832306520328771</v>
      </c>
      <c r="BC357" s="119">
        <f t="shared" si="66"/>
        <v>25.378805512397605</v>
      </c>
    </row>
    <row r="358" spans="49:55" x14ac:dyDescent="0.3">
      <c r="AW358" s="7">
        <v>45040.875</v>
      </c>
      <c r="AX358" s="51">
        <v>2.71417011766954E-3</v>
      </c>
      <c r="AY358" s="16">
        <v>80.523852189999999</v>
      </c>
      <c r="AZ358" s="2">
        <v>41009</v>
      </c>
      <c r="BA358" s="16">
        <f t="shared" si="64"/>
        <v>683.48333333333335</v>
      </c>
      <c r="BB358" s="9">
        <f t="shared" si="65"/>
        <v>1.8550900392585028</v>
      </c>
      <c r="BC358" s="119">
        <f t="shared" si="66"/>
        <v>26.053359944078434</v>
      </c>
    </row>
    <row r="359" spans="49:55" x14ac:dyDescent="0.3">
      <c r="AW359" s="7">
        <v>45040.885416666664</v>
      </c>
      <c r="AX359" s="51">
        <v>2.8138515094761501E-3</v>
      </c>
      <c r="AY359" s="16">
        <v>79.641055789999996</v>
      </c>
      <c r="AZ359" s="2">
        <v>41821</v>
      </c>
      <c r="BA359" s="16">
        <f t="shared" si="64"/>
        <v>697.01666666666665</v>
      </c>
      <c r="BB359" s="9">
        <f t="shared" si="65"/>
        <v>1.9613013996300346</v>
      </c>
      <c r="BC359" s="119">
        <f t="shared" si="66"/>
        <v>27.034530049072632</v>
      </c>
    </row>
    <row r="360" spans="49:55" x14ac:dyDescent="0.3">
      <c r="AW360" s="7">
        <v>45040.895833333336</v>
      </c>
      <c r="AX360" s="51">
        <v>3.0072982569111298E-3</v>
      </c>
      <c r="AY360" s="16">
        <v>82.718647970000006</v>
      </c>
      <c r="AZ360" s="2">
        <v>41536</v>
      </c>
      <c r="BA360" s="16">
        <f t="shared" si="64"/>
        <v>692.26666666666665</v>
      </c>
      <c r="BB360" s="9">
        <f t="shared" si="65"/>
        <v>2.0818523399843447</v>
      </c>
      <c r="BC360" s="119">
        <f t="shared" si="66"/>
        <v>28.126787542519519</v>
      </c>
    </row>
    <row r="361" spans="49:55" x14ac:dyDescent="0.3">
      <c r="AW361" s="7">
        <v>45040.90625</v>
      </c>
      <c r="AX361" s="51">
        <v>2.6851401262102102E-3</v>
      </c>
      <c r="AY361" s="16">
        <v>79.202259850000004</v>
      </c>
      <c r="AZ361" s="2">
        <v>41109</v>
      </c>
      <c r="BA361" s="16">
        <f t="shared" si="64"/>
        <v>685.15</v>
      </c>
      <c r="BB361" s="9">
        <f t="shared" si="65"/>
        <v>1.8397237574729255</v>
      </c>
      <c r="BC361" s="119">
        <f t="shared" si="66"/>
        <v>25.909863282393417</v>
      </c>
    </row>
    <row r="362" spans="49:55" x14ac:dyDescent="0.3">
      <c r="AW362" s="7">
        <v>45040.916666666664</v>
      </c>
      <c r="AX362" s="51">
        <v>2.8046088589843E-3</v>
      </c>
      <c r="AY362" s="16">
        <v>83.153095449999995</v>
      </c>
      <c r="AZ362" s="2">
        <v>40796</v>
      </c>
      <c r="BA362" s="16">
        <f t="shared" si="64"/>
        <v>679.93333333333328</v>
      </c>
      <c r="BB362" s="9">
        <f t="shared" si="65"/>
        <v>1.9069470501853916</v>
      </c>
      <c r="BC362" s="119">
        <f t="shared" si="66"/>
        <v>26.534703368750204</v>
      </c>
    </row>
    <row r="363" spans="49:55" x14ac:dyDescent="0.3">
      <c r="AW363" s="7">
        <v>45040.927083333336</v>
      </c>
      <c r="AX363" s="51">
        <v>2.9490750466650301E-3</v>
      </c>
      <c r="AY363" s="16">
        <v>86.622428940000006</v>
      </c>
      <c r="AZ363" s="2">
        <v>41544</v>
      </c>
      <c r="BA363" s="16">
        <f t="shared" si="64"/>
        <v>692.4</v>
      </c>
      <c r="BB363" s="9">
        <f t="shared" si="65"/>
        <v>2.0419395623108669</v>
      </c>
      <c r="BC363" s="119">
        <f t="shared" si="66"/>
        <v>27.767568928033633</v>
      </c>
    </row>
    <row r="364" spans="49:55" x14ac:dyDescent="0.3">
      <c r="AW364" s="7">
        <v>45040.9375</v>
      </c>
      <c r="AX364" s="51">
        <v>2.7299712542281601E-3</v>
      </c>
      <c r="AY364" s="16">
        <v>78.315517589999999</v>
      </c>
      <c r="AZ364" s="2">
        <v>41421</v>
      </c>
      <c r="BA364" s="16">
        <f t="shared" si="64"/>
        <v>690.35</v>
      </c>
      <c r="BB364" s="9">
        <f t="shared" si="65"/>
        <v>1.8846356553564103</v>
      </c>
      <c r="BC364" s="119">
        <f t="shared" si="66"/>
        <v>26.328152184525528</v>
      </c>
    </row>
    <row r="365" spans="49:55" x14ac:dyDescent="0.3">
      <c r="AW365" s="7">
        <v>45040.947916666664</v>
      </c>
      <c r="AX365" s="51">
        <v>2.7568023645357198E-3</v>
      </c>
      <c r="AY365" s="16">
        <v>76.986061320000005</v>
      </c>
      <c r="AZ365" s="2">
        <v>40498</v>
      </c>
      <c r="BA365" s="16">
        <f t="shared" si="64"/>
        <v>674.9666666666667</v>
      </c>
      <c r="BB365" s="9">
        <f t="shared" si="65"/>
        <v>1.8607497026494597</v>
      </c>
      <c r="BC365" s="119">
        <f t="shared" si="66"/>
        <v>26.106111475939972</v>
      </c>
    </row>
    <row r="366" spans="49:55" x14ac:dyDescent="0.3">
      <c r="AW366" s="7">
        <v>45040.958333333336</v>
      </c>
      <c r="AX366" s="51">
        <v>2.6560436676888802E-3</v>
      </c>
      <c r="AY366" s="16">
        <v>76.101800600000004</v>
      </c>
      <c r="AZ366" s="2">
        <v>40274</v>
      </c>
      <c r="BA366" s="16">
        <f t="shared" si="64"/>
        <v>671.23333333333335</v>
      </c>
      <c r="BB366" s="9">
        <f t="shared" si="65"/>
        <v>1.7828250445416993</v>
      </c>
      <c r="BC366" s="119">
        <f t="shared" si="66"/>
        <v>25.374972375759445</v>
      </c>
    </row>
    <row r="367" spans="49:55" x14ac:dyDescent="0.3">
      <c r="AW367" s="7">
        <v>45040.96875</v>
      </c>
      <c r="AX367" s="51">
        <v>2.9003429840293599E-3</v>
      </c>
      <c r="AY367" s="16">
        <v>72.523974480000007</v>
      </c>
      <c r="AZ367" s="2">
        <v>40207</v>
      </c>
      <c r="BA367" s="16">
        <f t="shared" si="64"/>
        <v>670.11666666666667</v>
      </c>
      <c r="BB367" s="9">
        <f t="shared" si="65"/>
        <v>1.943568172647808</v>
      </c>
      <c r="BC367" s="119">
        <f t="shared" si="66"/>
        <v>26.871978096730125</v>
      </c>
    </row>
    <row r="368" spans="49:55" x14ac:dyDescent="0.3">
      <c r="AW368" s="7">
        <v>45040.979166666664</v>
      </c>
      <c r="AX368" s="51">
        <v>2.6732502225414998E-3</v>
      </c>
      <c r="AY368" s="16">
        <v>73.423571839999994</v>
      </c>
      <c r="AZ368" s="2">
        <v>40536</v>
      </c>
      <c r="BA368" s="16">
        <f t="shared" si="64"/>
        <v>675.6</v>
      </c>
      <c r="BB368" s="9">
        <f t="shared" si="65"/>
        <v>1.8060478503490374</v>
      </c>
      <c r="BC368" s="119">
        <f t="shared" si="66"/>
        <v>25.593967113293033</v>
      </c>
    </row>
    <row r="369" spans="49:55" x14ac:dyDescent="0.3">
      <c r="AW369" s="7">
        <v>45040.989583333336</v>
      </c>
      <c r="AX369" s="51">
        <v>2.5930104451218402E-3</v>
      </c>
      <c r="AY369" s="16">
        <v>81.841333250000005</v>
      </c>
      <c r="AZ369" s="2">
        <v>39331</v>
      </c>
      <c r="BA369" s="16">
        <f t="shared" si="64"/>
        <v>655.51666666666665</v>
      </c>
      <c r="BB369" s="9">
        <f t="shared" si="65"/>
        <v>1.6997615636181183</v>
      </c>
      <c r="BC369" s="119">
        <f t="shared" si="66"/>
        <v>24.583687054392175</v>
      </c>
    </row>
    <row r="370" spans="49:55" x14ac:dyDescent="0.3">
      <c r="AW370" s="7">
        <v>45041</v>
      </c>
      <c r="AX370" s="51">
        <v>2.7278740077436399E-3</v>
      </c>
      <c r="AY370" s="16">
        <v>77.435049230000004</v>
      </c>
      <c r="AZ370" s="2">
        <v>39518</v>
      </c>
      <c r="BA370" s="16">
        <f t="shared" si="64"/>
        <v>658.63333333333333</v>
      </c>
      <c r="BB370" s="9">
        <f t="shared" si="65"/>
        <v>1.7966687506335526</v>
      </c>
      <c r="BC370" s="119">
        <f t="shared" si="66"/>
        <v>25.505635288711453</v>
      </c>
    </row>
    <row r="371" spans="49:55" x14ac:dyDescent="0.3">
      <c r="AW371" s="7">
        <v>45041.010416666664</v>
      </c>
      <c r="AX371" s="51">
        <v>2.7199768977600601E-3</v>
      </c>
      <c r="AY371" s="16">
        <v>71.17580074</v>
      </c>
      <c r="AZ371" s="2">
        <v>39318</v>
      </c>
      <c r="BA371" s="16">
        <f t="shared" si="64"/>
        <v>655.29999999999995</v>
      </c>
      <c r="BB371" s="9">
        <f t="shared" si="65"/>
        <v>1.7824008611021673</v>
      </c>
      <c r="BC371" s="119">
        <f t="shared" si="66"/>
        <v>25.370963376264275</v>
      </c>
    </row>
    <row r="372" spans="49:55" x14ac:dyDescent="0.3">
      <c r="AW372" s="7">
        <v>45041.020833333336</v>
      </c>
      <c r="AX372" s="51">
        <v>2.6543258842458201E-3</v>
      </c>
      <c r="AY372" s="16">
        <v>73.423571839999994</v>
      </c>
      <c r="AZ372" s="2">
        <v>39439</v>
      </c>
      <c r="BA372" s="16">
        <f t="shared" si="64"/>
        <v>657.31666666666672</v>
      </c>
      <c r="BB372" s="9">
        <f t="shared" si="65"/>
        <v>1.7447326424795151</v>
      </c>
      <c r="BC372" s="119">
        <f t="shared" si="66"/>
        <v>25.013667032286985</v>
      </c>
    </row>
    <row r="373" spans="49:55" x14ac:dyDescent="0.3">
      <c r="AW373" s="7">
        <v>45041.03125</v>
      </c>
      <c r="AX373" s="51">
        <v>2.5795886585194801E-3</v>
      </c>
      <c r="AY373" s="16">
        <v>80.523852189999999</v>
      </c>
      <c r="AZ373" s="2">
        <v>39356</v>
      </c>
      <c r="BA373" s="16">
        <f t="shared" si="64"/>
        <v>655.93333333333328</v>
      </c>
      <c r="BB373" s="9">
        <f t="shared" si="65"/>
        <v>1.6920381874115442</v>
      </c>
      <c r="BC373" s="119">
        <f t="shared" si="66"/>
        <v>24.509459294948638</v>
      </c>
    </row>
    <row r="374" spans="49:55" x14ac:dyDescent="0.3">
      <c r="AW374" s="7">
        <v>45041.041666666664</v>
      </c>
      <c r="AX374" s="51">
        <v>2.6693101262772701E-3</v>
      </c>
      <c r="AY374" s="16">
        <v>76.094169239999999</v>
      </c>
      <c r="AZ374" s="2">
        <v>39360</v>
      </c>
      <c r="BA374" s="16">
        <f t="shared" si="64"/>
        <v>656</v>
      </c>
      <c r="BB374" s="9">
        <f t="shared" si="65"/>
        <v>1.7510674428378892</v>
      </c>
      <c r="BC374" s="119">
        <f t="shared" si="66"/>
        <v>25.073934775243455</v>
      </c>
    </row>
    <row r="375" spans="49:55" x14ac:dyDescent="0.3">
      <c r="AW375" s="7">
        <v>45041.052083333336</v>
      </c>
      <c r="AX375" s="51">
        <v>2.6422792562887099E-3</v>
      </c>
      <c r="AY375" s="16">
        <v>73.868067069999995</v>
      </c>
      <c r="AZ375" s="2">
        <v>39775</v>
      </c>
      <c r="BA375" s="16">
        <f t="shared" si="64"/>
        <v>662.91666666666663</v>
      </c>
      <c r="BB375" s="9">
        <f t="shared" si="65"/>
        <v>1.7516109569813905</v>
      </c>
      <c r="BC375" s="119">
        <f t="shared" si="66"/>
        <v>25.079102220729418</v>
      </c>
    </row>
    <row r="376" spans="49:55" x14ac:dyDescent="0.3">
      <c r="AW376" s="7">
        <v>45041.0625</v>
      </c>
      <c r="AX376" s="51">
        <v>2.5859464732384302E-3</v>
      </c>
      <c r="AY376" s="16">
        <v>80.961047410000006</v>
      </c>
      <c r="AZ376" s="2">
        <v>39109</v>
      </c>
      <c r="BA376" s="16">
        <f t="shared" si="64"/>
        <v>651.81666666666672</v>
      </c>
      <c r="BB376" s="9">
        <f t="shared" si="65"/>
        <v>1.6855630103646964</v>
      </c>
      <c r="BC376" s="119">
        <f t="shared" si="66"/>
        <v>24.447139947599123</v>
      </c>
    </row>
    <row r="377" spans="49:55" x14ac:dyDescent="0.3">
      <c r="AW377" s="7">
        <v>45041.072916666664</v>
      </c>
      <c r="AX377" s="51">
        <v>2.5559084003021599E-3</v>
      </c>
      <c r="AY377" s="16">
        <v>81.841333250000005</v>
      </c>
      <c r="AZ377" s="2">
        <v>38858</v>
      </c>
      <c r="BA377" s="16">
        <f t="shared" si="64"/>
        <v>647.63333333333333</v>
      </c>
      <c r="BB377" s="9">
        <f t="shared" si="65"/>
        <v>1.6552914769823555</v>
      </c>
      <c r="BC377" s="119">
        <f t="shared" si="66"/>
        <v>24.154721686822377</v>
      </c>
    </row>
    <row r="378" spans="49:55" x14ac:dyDescent="0.3">
      <c r="AW378" s="7">
        <v>45041.083333333336</v>
      </c>
      <c r="AX378" s="51">
        <v>2.77878395844583E-3</v>
      </c>
      <c r="AY378" s="16">
        <v>77.427442880000001</v>
      </c>
      <c r="AZ378" s="2">
        <v>38864</v>
      </c>
      <c r="BA378" s="16">
        <f t="shared" si="64"/>
        <v>647.73333333333335</v>
      </c>
      <c r="BB378" s="9">
        <f t="shared" si="65"/>
        <v>1.7999109960173123</v>
      </c>
      <c r="BC378" s="119">
        <f t="shared" si="66"/>
        <v>25.536188053137511</v>
      </c>
    </row>
    <row r="379" spans="49:55" x14ac:dyDescent="0.3">
      <c r="AW379" s="7">
        <v>45041.09375</v>
      </c>
      <c r="AX379" s="51">
        <v>2.62927682320931E-3</v>
      </c>
      <c r="AY379" s="16">
        <v>78.315517589999999</v>
      </c>
      <c r="AZ379" s="2">
        <v>38992</v>
      </c>
      <c r="BA379" s="16">
        <f t="shared" si="64"/>
        <v>649.86666666666667</v>
      </c>
      <c r="BB379" s="9">
        <f t="shared" si="65"/>
        <v>1.708679364842957</v>
      </c>
      <c r="BC379" s="119">
        <f t="shared" si="66"/>
        <v>24.669253366181</v>
      </c>
    </row>
    <row r="380" spans="49:55" x14ac:dyDescent="0.3">
      <c r="AW380" s="7">
        <v>45041.104166666664</v>
      </c>
      <c r="AX380" s="51">
        <v>2.64073767560023E-3</v>
      </c>
      <c r="AY380" s="16">
        <v>77.435049230000004</v>
      </c>
      <c r="AZ380" s="2">
        <v>38405</v>
      </c>
      <c r="BA380" s="16">
        <f t="shared" si="64"/>
        <v>640.08333333333337</v>
      </c>
      <c r="BB380" s="9">
        <f t="shared" si="65"/>
        <v>1.6902921738571139</v>
      </c>
      <c r="BC380" s="119">
        <f t="shared" si="66"/>
        <v>24.492662958044573</v>
      </c>
    </row>
    <row r="381" spans="49:55" x14ac:dyDescent="0.3">
      <c r="AW381" s="7">
        <v>45041.114583333336</v>
      </c>
      <c r="AX381" s="51">
        <v>2.6474247275025298E-3</v>
      </c>
      <c r="AY381" s="16">
        <v>76.544179459999995</v>
      </c>
      <c r="AZ381" s="2">
        <v>38297</v>
      </c>
      <c r="BA381" s="16">
        <f t="shared" si="64"/>
        <v>638.2833333333333</v>
      </c>
      <c r="BB381" s="9">
        <f t="shared" si="65"/>
        <v>1.6898070798194063</v>
      </c>
      <c r="BC381" s="119">
        <f t="shared" si="66"/>
        <v>24.487995405851823</v>
      </c>
    </row>
    <row r="382" spans="49:55" x14ac:dyDescent="0.3">
      <c r="AW382" s="7">
        <v>45041.125</v>
      </c>
      <c r="AX382" s="51">
        <v>2.4621855145532299E-3</v>
      </c>
      <c r="AY382" s="16">
        <v>73.868067069999995</v>
      </c>
      <c r="AZ382" s="2">
        <v>38868</v>
      </c>
      <c r="BA382" s="16">
        <f t="shared" si="64"/>
        <v>647.79999999999995</v>
      </c>
      <c r="BB382" s="9">
        <f t="shared" si="65"/>
        <v>1.5950037763275822</v>
      </c>
      <c r="BC382" s="119">
        <f t="shared" si="66"/>
        <v>23.566938205421096</v>
      </c>
    </row>
    <row r="383" spans="49:55" x14ac:dyDescent="0.3">
      <c r="AW383" s="7">
        <v>45041.135416666664</v>
      </c>
      <c r="AX383" s="51">
        <v>2.5218614750851099E-3</v>
      </c>
      <c r="AY383" s="16">
        <v>78.762941850000004</v>
      </c>
      <c r="AZ383" s="2">
        <v>39200</v>
      </c>
      <c r="BA383" s="16">
        <f t="shared" si="64"/>
        <v>653.33333333333337</v>
      </c>
      <c r="BB383" s="9">
        <f t="shared" si="65"/>
        <v>1.6476161637222719</v>
      </c>
      <c r="BC383" s="119">
        <f t="shared" si="66"/>
        <v>24.080294667482086</v>
      </c>
    </row>
    <row r="384" spans="49:55" x14ac:dyDescent="0.3">
      <c r="AW384" s="7">
        <v>45041.145833333336</v>
      </c>
      <c r="AX384" s="51">
        <v>2.5751249804595198E-3</v>
      </c>
      <c r="AY384" s="16">
        <v>72.523974480000007</v>
      </c>
      <c r="AZ384" s="2">
        <v>38531</v>
      </c>
      <c r="BA384" s="16">
        <f t="shared" si="64"/>
        <v>642.18333333333328</v>
      </c>
      <c r="BB384" s="9">
        <f t="shared" si="65"/>
        <v>1.6537023437014291</v>
      </c>
      <c r="BC384" s="119">
        <f t="shared" si="66"/>
        <v>24.139321498519628</v>
      </c>
    </row>
    <row r="385" spans="49:55" x14ac:dyDescent="0.3">
      <c r="AW385" s="7">
        <v>45041.15625</v>
      </c>
      <c r="AX385" s="51">
        <v>2.73833768848907E-3</v>
      </c>
      <c r="AY385" s="16">
        <v>75.208694050000005</v>
      </c>
      <c r="AZ385" s="2">
        <v>38608</v>
      </c>
      <c r="BA385" s="16">
        <f t="shared" si="64"/>
        <v>643.4666666666667</v>
      </c>
      <c r="BB385" s="9">
        <f t="shared" si="65"/>
        <v>1.762029024619767</v>
      </c>
      <c r="BC385" s="119">
        <f t="shared" si="66"/>
        <v>25.17804783766379</v>
      </c>
    </row>
    <row r="386" spans="49:55" x14ac:dyDescent="0.3">
      <c r="AW386" s="7">
        <v>45041.166666666664</v>
      </c>
      <c r="AX386" s="51">
        <v>2.72169492010184E-3</v>
      </c>
      <c r="AY386" s="16">
        <v>77.435049230000004</v>
      </c>
      <c r="AZ386" s="2">
        <v>38413</v>
      </c>
      <c r="BA386" s="16">
        <f t="shared" si="64"/>
        <v>640.2166666666667</v>
      </c>
      <c r="BB386" s="9">
        <f t="shared" si="65"/>
        <v>1.7424744494311997</v>
      </c>
      <c r="BC386" s="119">
        <f t="shared" si="66"/>
        <v>24.992165366793291</v>
      </c>
    </row>
    <row r="387" spans="49:55" x14ac:dyDescent="0.3">
      <c r="AW387" s="7">
        <v>45041.177083333336</v>
      </c>
      <c r="AX387" s="51">
        <v>2.8224742975989201E-3</v>
      </c>
      <c r="AY387" s="16">
        <v>79.641055789999996</v>
      </c>
      <c r="AZ387" s="2">
        <v>38533</v>
      </c>
      <c r="BA387" s="16">
        <f t="shared" si="64"/>
        <v>642.2166666666667</v>
      </c>
      <c r="BB387" s="9">
        <f t="shared" si="65"/>
        <v>1.8126400351563199</v>
      </c>
      <c r="BC387" s="119">
        <f t="shared" si="66"/>
        <v>25.655959712416234</v>
      </c>
    </row>
    <row r="388" spans="49:55" x14ac:dyDescent="0.3">
      <c r="AW388" s="7">
        <v>45041.1875</v>
      </c>
      <c r="AX388" s="51">
        <v>2.5290991964998502E-3</v>
      </c>
      <c r="AY388" s="16">
        <v>72.970159429999995</v>
      </c>
      <c r="AZ388" s="2">
        <v>37934</v>
      </c>
      <c r="BA388" s="16">
        <f t="shared" ref="BA388:BA451" si="67">AZ388/60</f>
        <v>632.23333333333335</v>
      </c>
      <c r="BB388" s="9">
        <f t="shared" ref="BB388:BB451" si="68">BA388*AX388</f>
        <v>1.5989808153337552</v>
      </c>
      <c r="BC388" s="119">
        <f t="shared" ref="BC388:BC451" si="69">17.285*BB388^0.664</f>
        <v>23.605940271723469</v>
      </c>
    </row>
    <row r="389" spans="49:55" x14ac:dyDescent="0.3">
      <c r="AW389" s="7">
        <v>45041.197916666664</v>
      </c>
      <c r="AX389" s="51">
        <v>2.52021514504365E-3</v>
      </c>
      <c r="AY389" s="16">
        <v>76.101800600000004</v>
      </c>
      <c r="AZ389" s="2">
        <v>38303</v>
      </c>
      <c r="BA389" s="16">
        <f t="shared" si="67"/>
        <v>638.38333333333333</v>
      </c>
      <c r="BB389" s="9">
        <f t="shared" si="68"/>
        <v>1.6088633450101153</v>
      </c>
      <c r="BC389" s="119">
        <f t="shared" si="69"/>
        <v>23.702715526064683</v>
      </c>
    </row>
    <row r="390" spans="49:55" x14ac:dyDescent="0.3">
      <c r="AW390" s="7">
        <v>45041.208333333336</v>
      </c>
      <c r="AX390" s="51">
        <v>2.5018357963305102E-3</v>
      </c>
      <c r="AY390" s="16">
        <v>79.641055789999996</v>
      </c>
      <c r="AZ390" s="2">
        <v>38294</v>
      </c>
      <c r="BA390" s="16">
        <f t="shared" si="67"/>
        <v>638.23333333333335</v>
      </c>
      <c r="BB390" s="9">
        <f t="shared" si="68"/>
        <v>1.5967549997446759</v>
      </c>
      <c r="BC390" s="119">
        <f t="shared" si="69"/>
        <v>23.584116142472244</v>
      </c>
    </row>
    <row r="391" spans="49:55" x14ac:dyDescent="0.3">
      <c r="AW391" s="7">
        <v>45041.21875</v>
      </c>
      <c r="AX391" s="51">
        <v>2.46889035705902E-3</v>
      </c>
      <c r="AY391" s="16">
        <v>76.544179459999995</v>
      </c>
      <c r="AZ391" s="2">
        <v>37295</v>
      </c>
      <c r="BA391" s="16">
        <f t="shared" si="67"/>
        <v>621.58333333333337</v>
      </c>
      <c r="BB391" s="9">
        <f t="shared" si="68"/>
        <v>1.5346210977752692</v>
      </c>
      <c r="BC391" s="119">
        <f t="shared" si="69"/>
        <v>22.970696150125587</v>
      </c>
    </row>
    <row r="392" spans="49:55" x14ac:dyDescent="0.3">
      <c r="AW392" s="7">
        <v>45041.229166666664</v>
      </c>
      <c r="AX392" s="51">
        <v>2.6816262041588798E-3</v>
      </c>
      <c r="AY392" s="16">
        <v>75.208694050000005</v>
      </c>
      <c r="AZ392" s="2">
        <v>37379</v>
      </c>
      <c r="BA392" s="16">
        <f t="shared" si="67"/>
        <v>622.98333333333335</v>
      </c>
      <c r="BB392" s="9">
        <f t="shared" si="68"/>
        <v>1.6706084314209129</v>
      </c>
      <c r="BC392" s="119">
        <f t="shared" si="69"/>
        <v>24.302903590081829</v>
      </c>
    </row>
    <row r="393" spans="49:55" x14ac:dyDescent="0.3">
      <c r="AW393" s="7">
        <v>45041.239583333336</v>
      </c>
      <c r="AX393" s="51">
        <v>2.4645016135521401E-3</v>
      </c>
      <c r="AY393" s="16">
        <v>76.101800600000004</v>
      </c>
      <c r="AZ393" s="2">
        <v>37414</v>
      </c>
      <c r="BA393" s="16">
        <f t="shared" si="67"/>
        <v>623.56666666666672</v>
      </c>
      <c r="BB393" s="9">
        <f t="shared" si="68"/>
        <v>1.5367810561573296</v>
      </c>
      <c r="BC393" s="119">
        <f t="shared" si="69"/>
        <v>22.992158823438132</v>
      </c>
    </row>
    <row r="394" spans="49:55" x14ac:dyDescent="0.3">
      <c r="AW394" s="7">
        <v>45041.25</v>
      </c>
      <c r="AX394" s="51">
        <v>2.6979406988923999E-3</v>
      </c>
      <c r="AY394" s="16">
        <v>77.435049230000004</v>
      </c>
      <c r="AZ394" s="2">
        <v>37399</v>
      </c>
      <c r="BA394" s="16">
        <f t="shared" si="67"/>
        <v>623.31666666666672</v>
      </c>
      <c r="BB394" s="9">
        <f t="shared" si="68"/>
        <v>1.6816714032979478</v>
      </c>
      <c r="BC394" s="119">
        <f t="shared" si="69"/>
        <v>24.409647074449687</v>
      </c>
    </row>
    <row r="395" spans="49:55" x14ac:dyDescent="0.3">
      <c r="AW395" s="7">
        <v>45041.260416666664</v>
      </c>
      <c r="AX395" s="51">
        <v>2.6221553771842098E-3</v>
      </c>
      <c r="AY395" s="16">
        <v>70.271667750000006</v>
      </c>
      <c r="AZ395" s="2">
        <v>37682</v>
      </c>
      <c r="BA395" s="16">
        <f t="shared" si="67"/>
        <v>628.0333333333333</v>
      </c>
      <c r="BB395" s="9">
        <f t="shared" si="68"/>
        <v>1.6468009820509231</v>
      </c>
      <c r="BC395" s="119">
        <f t="shared" si="69"/>
        <v>24.072383067076412</v>
      </c>
    </row>
    <row r="396" spans="49:55" x14ac:dyDescent="0.3">
      <c r="AW396" s="7">
        <v>45041.270833333336</v>
      </c>
      <c r="AX396" s="51">
        <v>2.6554563131508399E-3</v>
      </c>
      <c r="AY396" s="16">
        <v>74.764849499999997</v>
      </c>
      <c r="AZ396" s="2">
        <v>37484</v>
      </c>
      <c r="BA396" s="16">
        <f t="shared" si="67"/>
        <v>624.73333333333335</v>
      </c>
      <c r="BB396" s="9">
        <f t="shared" si="68"/>
        <v>1.6589520740357682</v>
      </c>
      <c r="BC396" s="119">
        <f t="shared" si="69"/>
        <v>24.190177409525536</v>
      </c>
    </row>
    <row r="397" spans="49:55" x14ac:dyDescent="0.3">
      <c r="AW397" s="7">
        <v>45041.28125</v>
      </c>
      <c r="AX397" s="51">
        <v>2.4261248083114902E-3</v>
      </c>
      <c r="AY397" s="16">
        <v>74.764849499999997</v>
      </c>
      <c r="AZ397" s="2">
        <v>37444</v>
      </c>
      <c r="BA397" s="16">
        <f t="shared" si="67"/>
        <v>624.06666666666672</v>
      </c>
      <c r="BB397" s="9">
        <f t="shared" si="68"/>
        <v>1.5140636220402575</v>
      </c>
      <c r="BC397" s="119">
        <f t="shared" si="69"/>
        <v>22.765913574590467</v>
      </c>
    </row>
    <row r="398" spans="49:55" x14ac:dyDescent="0.3">
      <c r="AW398" s="7">
        <v>45041.291666666664</v>
      </c>
      <c r="AX398" s="51">
        <v>2.44192016327381E-3</v>
      </c>
      <c r="AY398" s="16">
        <v>76.544179459999995</v>
      </c>
      <c r="AZ398" s="2">
        <v>37414</v>
      </c>
      <c r="BA398" s="16">
        <f t="shared" si="67"/>
        <v>623.56666666666672</v>
      </c>
      <c r="BB398" s="9">
        <f t="shared" si="68"/>
        <v>1.5227000164787723</v>
      </c>
      <c r="BC398" s="119">
        <f t="shared" si="69"/>
        <v>22.852057802088492</v>
      </c>
    </row>
    <row r="399" spans="49:55" x14ac:dyDescent="0.3">
      <c r="AW399" s="7">
        <v>45041.302083333336</v>
      </c>
      <c r="AX399" s="51">
        <v>2.6220844572009501E-3</v>
      </c>
      <c r="AY399" s="16">
        <v>77.435049230000004</v>
      </c>
      <c r="AZ399" s="2">
        <v>37502</v>
      </c>
      <c r="BA399" s="16">
        <f t="shared" si="67"/>
        <v>625.0333333333333</v>
      </c>
      <c r="BB399" s="9">
        <f t="shared" si="68"/>
        <v>1.6388901885658338</v>
      </c>
      <c r="BC399" s="119">
        <f t="shared" si="69"/>
        <v>23.995537787944357</v>
      </c>
    </row>
    <row r="400" spans="49:55" x14ac:dyDescent="0.3">
      <c r="AW400" s="7">
        <v>45041.3125</v>
      </c>
      <c r="AX400" s="51">
        <v>2.64022318555409E-3</v>
      </c>
      <c r="AY400" s="16">
        <v>71.622551369999996</v>
      </c>
      <c r="AZ400" s="2">
        <v>37072</v>
      </c>
      <c r="BA400" s="16">
        <f t="shared" si="67"/>
        <v>617.86666666666667</v>
      </c>
      <c r="BB400" s="9">
        <f t="shared" si="68"/>
        <v>1.6313058989143538</v>
      </c>
      <c r="BC400" s="119">
        <f t="shared" si="69"/>
        <v>23.921747053598445</v>
      </c>
    </row>
    <row r="401" spans="49:55" x14ac:dyDescent="0.3">
      <c r="AW401" s="7">
        <v>45041.322916666664</v>
      </c>
      <c r="AX401" s="51">
        <v>2.6655453868402101E-3</v>
      </c>
      <c r="AY401" s="16">
        <v>73.868067069999995</v>
      </c>
      <c r="AZ401" s="2">
        <v>37285</v>
      </c>
      <c r="BA401" s="16">
        <f t="shared" si="67"/>
        <v>621.41666666666663</v>
      </c>
      <c r="BB401" s="9">
        <f t="shared" si="68"/>
        <v>1.6564143291389537</v>
      </c>
      <c r="BC401" s="119">
        <f t="shared" si="69"/>
        <v>24.165600179785706</v>
      </c>
    </row>
    <row r="402" spans="49:55" x14ac:dyDescent="0.3">
      <c r="AW402" s="7">
        <v>45041.333333333336</v>
      </c>
      <c r="AX402" s="51">
        <v>2.5148844594755598E-3</v>
      </c>
      <c r="AY402" s="16">
        <v>68.916923760000003</v>
      </c>
      <c r="AZ402" s="2">
        <v>37636</v>
      </c>
      <c r="BA402" s="16">
        <f t="shared" si="67"/>
        <v>627.26666666666665</v>
      </c>
      <c r="BB402" s="9">
        <f t="shared" si="68"/>
        <v>1.5775031919470361</v>
      </c>
      <c r="BC402" s="119">
        <f t="shared" si="69"/>
        <v>23.394923406145391</v>
      </c>
    </row>
    <row r="403" spans="49:55" x14ac:dyDescent="0.3">
      <c r="AW403" s="7">
        <v>45041.34375</v>
      </c>
      <c r="AX403" s="51">
        <v>2.6183681380871301E-3</v>
      </c>
      <c r="AY403" s="16">
        <v>74.757192930000002</v>
      </c>
      <c r="AZ403" s="2">
        <v>37263</v>
      </c>
      <c r="BA403" s="16">
        <f t="shared" si="67"/>
        <v>621.04999999999995</v>
      </c>
      <c r="BB403" s="9">
        <f t="shared" si="68"/>
        <v>1.6261375321590121</v>
      </c>
      <c r="BC403" s="119">
        <f t="shared" si="69"/>
        <v>23.871395796790193</v>
      </c>
    </row>
    <row r="404" spans="49:55" x14ac:dyDescent="0.3">
      <c r="AW404" s="7">
        <v>45041.354166666664</v>
      </c>
      <c r="AX404" s="51">
        <v>2.54744993476621E-3</v>
      </c>
      <c r="AY404" s="16">
        <v>68.916923760000003</v>
      </c>
      <c r="AZ404" s="2">
        <v>37113</v>
      </c>
      <c r="BA404" s="16">
        <f t="shared" si="67"/>
        <v>618.54999999999995</v>
      </c>
      <c r="BB404" s="9">
        <f t="shared" si="68"/>
        <v>1.5757251571496391</v>
      </c>
      <c r="BC404" s="119">
        <f t="shared" si="69"/>
        <v>23.37741115461796</v>
      </c>
    </row>
    <row r="405" spans="49:55" x14ac:dyDescent="0.3">
      <c r="AW405" s="7">
        <v>45041.364583333336</v>
      </c>
      <c r="AX405" s="51">
        <v>2.5939352844780899E-3</v>
      </c>
      <c r="AY405" s="16">
        <v>66.655723199999997</v>
      </c>
      <c r="AZ405" s="2">
        <v>37052</v>
      </c>
      <c r="BA405" s="16">
        <f t="shared" si="67"/>
        <v>617.5333333333333</v>
      </c>
      <c r="BB405" s="9">
        <f t="shared" si="68"/>
        <v>1.601841502674703</v>
      </c>
      <c r="BC405" s="119">
        <f t="shared" si="69"/>
        <v>23.633974336695761</v>
      </c>
    </row>
    <row r="406" spans="49:55" x14ac:dyDescent="0.3">
      <c r="AW406" s="7">
        <v>45041.375</v>
      </c>
      <c r="AX406" s="51">
        <v>2.5753933048523999E-3</v>
      </c>
      <c r="AY406" s="16">
        <v>65.283151739999994</v>
      </c>
      <c r="AZ406" s="2">
        <v>37447</v>
      </c>
      <c r="BA406" s="16">
        <f t="shared" si="67"/>
        <v>624.11666666666667</v>
      </c>
      <c r="BB406" s="9">
        <f t="shared" si="68"/>
        <v>1.6073458847801303</v>
      </c>
      <c r="BC406" s="119">
        <f t="shared" si="69"/>
        <v>23.68786871492604</v>
      </c>
    </row>
    <row r="407" spans="49:55" x14ac:dyDescent="0.3">
      <c r="AW407" s="7">
        <v>45041.385416666664</v>
      </c>
      <c r="AX407" s="51">
        <v>2.57553430473525E-3</v>
      </c>
      <c r="AY407" s="16">
        <v>70.271667750000006</v>
      </c>
      <c r="AZ407" s="2">
        <v>37378</v>
      </c>
      <c r="BA407" s="16">
        <f t="shared" si="67"/>
        <v>622.9666666666667</v>
      </c>
      <c r="BB407" s="9">
        <f t="shared" si="68"/>
        <v>1.6044720207065697</v>
      </c>
      <c r="BC407" s="119">
        <f t="shared" si="69"/>
        <v>23.659737953751478</v>
      </c>
    </row>
    <row r="408" spans="49:55" x14ac:dyDescent="0.3">
      <c r="AW408" s="7">
        <v>45041.395833333336</v>
      </c>
      <c r="AX408" s="51">
        <v>2.7177729015350999E-3</v>
      </c>
      <c r="AY408" s="16">
        <v>70.271667750000006</v>
      </c>
      <c r="AZ408" s="2">
        <v>37158</v>
      </c>
      <c r="BA408" s="16">
        <f t="shared" si="67"/>
        <v>619.29999999999995</v>
      </c>
      <c r="BB408" s="9">
        <f t="shared" si="68"/>
        <v>1.6831167579206872</v>
      </c>
      <c r="BC408" s="119">
        <f t="shared" si="69"/>
        <v>24.423575440349424</v>
      </c>
    </row>
    <row r="409" spans="49:55" x14ac:dyDescent="0.3">
      <c r="AW409" s="7">
        <v>45041.40625</v>
      </c>
      <c r="AX409" s="51">
        <v>2.5005633722962601E-3</v>
      </c>
      <c r="AY409" s="16">
        <v>69.373566690000004</v>
      </c>
      <c r="AZ409" s="2">
        <v>36931</v>
      </c>
      <c r="BA409" s="16">
        <f t="shared" si="67"/>
        <v>615.51666666666665</v>
      </c>
      <c r="BB409" s="9">
        <f t="shared" si="68"/>
        <v>1.5391384317045531</v>
      </c>
      <c r="BC409" s="119">
        <f t="shared" si="69"/>
        <v>23.015571590670394</v>
      </c>
    </row>
    <row r="410" spans="49:55" x14ac:dyDescent="0.3">
      <c r="AW410" s="7">
        <v>45041.416666666664</v>
      </c>
      <c r="AX410" s="51">
        <v>2.56320822101931E-3</v>
      </c>
      <c r="AY410" s="16">
        <v>68.016396760000006</v>
      </c>
      <c r="AZ410" s="2">
        <v>37693</v>
      </c>
      <c r="BA410" s="16">
        <f t="shared" si="67"/>
        <v>628.2166666666667</v>
      </c>
      <c r="BB410" s="9">
        <f t="shared" si="68"/>
        <v>1.6102501245813476</v>
      </c>
      <c r="BC410" s="119">
        <f t="shared" si="69"/>
        <v>23.716279645068372</v>
      </c>
    </row>
    <row r="411" spans="49:55" x14ac:dyDescent="0.3">
      <c r="AW411" s="7">
        <v>45041.427083333336</v>
      </c>
      <c r="AX411" s="51">
        <v>2.62981554461193E-3</v>
      </c>
      <c r="AY411" s="16">
        <v>67.106545600000004</v>
      </c>
      <c r="AZ411" s="2">
        <v>37754</v>
      </c>
      <c r="BA411" s="16">
        <f t="shared" si="67"/>
        <v>629.23333333333335</v>
      </c>
      <c r="BB411" s="9">
        <f t="shared" si="68"/>
        <v>1.6547676011879802</v>
      </c>
      <c r="BC411" s="119">
        <f t="shared" si="69"/>
        <v>24.149645389342165</v>
      </c>
    </row>
    <row r="412" spans="49:55" x14ac:dyDescent="0.3">
      <c r="AW412" s="7">
        <v>45041.4375</v>
      </c>
      <c r="AX412" s="51">
        <v>2.6373280620847102E-3</v>
      </c>
      <c r="AY412" s="16">
        <v>68.016396760000006</v>
      </c>
      <c r="AZ412" s="2">
        <v>37414</v>
      </c>
      <c r="BA412" s="16">
        <f t="shared" si="67"/>
        <v>623.56666666666672</v>
      </c>
      <c r="BB412" s="9">
        <f t="shared" si="68"/>
        <v>1.6445498685806226</v>
      </c>
      <c r="BC412" s="119">
        <f t="shared" si="69"/>
        <v>24.050528449097389</v>
      </c>
    </row>
    <row r="413" spans="49:55" x14ac:dyDescent="0.3">
      <c r="AW413" s="7">
        <v>45041.447916666664</v>
      </c>
      <c r="AX413" s="51">
        <v>2.86377677508407E-3</v>
      </c>
      <c r="AY413" s="16">
        <v>65.743635260000005</v>
      </c>
      <c r="AZ413" s="2">
        <v>37571</v>
      </c>
      <c r="BA413" s="16">
        <f t="shared" si="67"/>
        <v>626.18333333333328</v>
      </c>
      <c r="BB413" s="9">
        <f t="shared" si="68"/>
        <v>1.7932492869447265</v>
      </c>
      <c r="BC413" s="119">
        <f t="shared" si="69"/>
        <v>25.473392457895688</v>
      </c>
    </row>
    <row r="414" spans="49:55" x14ac:dyDescent="0.3">
      <c r="AW414" s="7">
        <v>45041.458333333336</v>
      </c>
      <c r="AX414" s="51">
        <v>2.58174937951915E-3</v>
      </c>
      <c r="AY414" s="16">
        <v>65.290959470000004</v>
      </c>
      <c r="AZ414" s="2">
        <v>38312</v>
      </c>
      <c r="BA414" s="16">
        <f t="shared" si="67"/>
        <v>638.5333333333333</v>
      </c>
      <c r="BB414" s="9">
        <f t="shared" si="68"/>
        <v>1.6485330371356279</v>
      </c>
      <c r="BC414" s="119">
        <f t="shared" si="69"/>
        <v>24.089191647565155</v>
      </c>
    </row>
    <row r="415" spans="49:55" x14ac:dyDescent="0.3">
      <c r="AW415" s="7">
        <v>45041.46875</v>
      </c>
      <c r="AX415" s="51">
        <v>2.7033433411781898E-3</v>
      </c>
      <c r="AY415" s="16">
        <v>69.373566690000004</v>
      </c>
      <c r="AZ415" s="2">
        <v>38101</v>
      </c>
      <c r="BA415" s="16">
        <f t="shared" si="67"/>
        <v>635.01666666666665</v>
      </c>
      <c r="BB415" s="9">
        <f t="shared" si="68"/>
        <v>1.7166680773705034</v>
      </c>
      <c r="BC415" s="119">
        <f t="shared" si="69"/>
        <v>24.745777735033137</v>
      </c>
    </row>
    <row r="416" spans="49:55" x14ac:dyDescent="0.3">
      <c r="AW416" s="7">
        <v>45041.479166666664</v>
      </c>
      <c r="AX416" s="51">
        <v>2.9458185170692899E-3</v>
      </c>
      <c r="AY416" s="16">
        <v>70.279402750000003</v>
      </c>
      <c r="AZ416" s="2">
        <v>37276</v>
      </c>
      <c r="BA416" s="16">
        <f t="shared" si="67"/>
        <v>621.26666666666665</v>
      </c>
      <c r="BB416" s="9">
        <f t="shared" si="68"/>
        <v>1.8301388507045808</v>
      </c>
      <c r="BC416" s="119">
        <f t="shared" si="69"/>
        <v>25.820151533805262</v>
      </c>
    </row>
    <row r="417" spans="49:55" x14ac:dyDescent="0.3">
      <c r="AW417" s="7">
        <v>45041.489583333336</v>
      </c>
      <c r="AX417" s="51">
        <v>2.6111651873454299E-3</v>
      </c>
      <c r="AY417" s="16">
        <v>68.924680609999996</v>
      </c>
      <c r="AZ417" s="2">
        <v>37766</v>
      </c>
      <c r="BA417" s="16">
        <f t="shared" si="67"/>
        <v>629.43333333333328</v>
      </c>
      <c r="BB417" s="9">
        <f t="shared" si="68"/>
        <v>1.6435544077547917</v>
      </c>
      <c r="BC417" s="119">
        <f t="shared" si="69"/>
        <v>24.040860953048998</v>
      </c>
    </row>
    <row r="418" spans="49:55" x14ac:dyDescent="0.3">
      <c r="AW418" s="7">
        <v>45041.5</v>
      </c>
      <c r="AX418" s="51">
        <v>2.6675558700192999E-3</v>
      </c>
      <c r="AY418" s="16">
        <v>68.466857000000005</v>
      </c>
      <c r="AZ418" s="2">
        <v>37425</v>
      </c>
      <c r="BA418" s="16">
        <f t="shared" si="67"/>
        <v>623.75</v>
      </c>
      <c r="BB418" s="9">
        <f t="shared" si="68"/>
        <v>1.6638879739245382</v>
      </c>
      <c r="BC418" s="119">
        <f t="shared" si="69"/>
        <v>24.237943839712536</v>
      </c>
    </row>
    <row r="419" spans="49:55" x14ac:dyDescent="0.3">
      <c r="AW419" s="7">
        <v>45041.510416666664</v>
      </c>
      <c r="AX419" s="51">
        <v>2.6988690623426302E-3</v>
      </c>
      <c r="AY419" s="16">
        <v>71.622551369999996</v>
      </c>
      <c r="AZ419" s="2">
        <v>38069</v>
      </c>
      <c r="BA419" s="16">
        <f t="shared" si="67"/>
        <v>634.48333333333335</v>
      </c>
      <c r="BB419" s="9">
        <f t="shared" si="68"/>
        <v>1.7123874389053599</v>
      </c>
      <c r="BC419" s="119">
        <f t="shared" si="69"/>
        <v>24.704788151611695</v>
      </c>
    </row>
    <row r="420" spans="49:55" x14ac:dyDescent="0.3">
      <c r="AW420" s="7">
        <v>45041.520833333336</v>
      </c>
      <c r="AX420" s="51">
        <v>2.7478177543768601E-3</v>
      </c>
      <c r="AY420" s="16">
        <v>63.015482910000003</v>
      </c>
      <c r="AZ420" s="2">
        <v>38160</v>
      </c>
      <c r="BA420" s="16">
        <f t="shared" si="67"/>
        <v>636</v>
      </c>
      <c r="BB420" s="9">
        <f t="shared" si="68"/>
        <v>1.747612091783683</v>
      </c>
      <c r="BC420" s="119">
        <f t="shared" si="69"/>
        <v>25.041070508170186</v>
      </c>
    </row>
    <row r="421" spans="49:55" x14ac:dyDescent="0.3">
      <c r="AW421" s="7">
        <v>45041.53125</v>
      </c>
      <c r="AX421" s="51">
        <v>2.6472926702314301E-3</v>
      </c>
      <c r="AY421" s="16">
        <v>64.377553680000005</v>
      </c>
      <c r="AZ421" s="2">
        <v>37592</v>
      </c>
      <c r="BA421" s="16">
        <f t="shared" si="67"/>
        <v>626.5333333333333</v>
      </c>
      <c r="BB421" s="9">
        <f t="shared" si="68"/>
        <v>1.6586171009889985</v>
      </c>
      <c r="BC421" s="119">
        <f t="shared" si="69"/>
        <v>24.186934029110933</v>
      </c>
    </row>
    <row r="422" spans="49:55" x14ac:dyDescent="0.3">
      <c r="AW422" s="7">
        <v>45041.541666666664</v>
      </c>
      <c r="AX422" s="51">
        <v>2.7080429820111099E-3</v>
      </c>
      <c r="AY422" s="16">
        <v>65.743635260000005</v>
      </c>
      <c r="AZ422" s="2">
        <v>38264</v>
      </c>
      <c r="BA422" s="16">
        <f t="shared" si="67"/>
        <v>637.73333333333335</v>
      </c>
      <c r="BB422" s="9">
        <f t="shared" si="68"/>
        <v>1.7270092777278852</v>
      </c>
      <c r="BC422" s="119">
        <f t="shared" si="69"/>
        <v>24.844659279798297</v>
      </c>
    </row>
    <row r="423" spans="49:55" x14ac:dyDescent="0.3">
      <c r="AW423" s="7">
        <v>45041.552083333336</v>
      </c>
      <c r="AX423" s="51">
        <v>2.86311021549422E-3</v>
      </c>
      <c r="AY423" s="16">
        <v>70.727821939999998</v>
      </c>
      <c r="AZ423" s="2">
        <v>37918</v>
      </c>
      <c r="BA423" s="16">
        <f t="shared" si="67"/>
        <v>631.9666666666667</v>
      </c>
      <c r="BB423" s="9">
        <f t="shared" si="68"/>
        <v>1.8093902191851641</v>
      </c>
      <c r="BC423" s="119">
        <f t="shared" si="69"/>
        <v>25.625408078611336</v>
      </c>
    </row>
    <row r="424" spans="49:55" x14ac:dyDescent="0.3">
      <c r="AW424" s="7">
        <v>45041.5625</v>
      </c>
      <c r="AX424" s="51">
        <v>2.7430154027033998E-3</v>
      </c>
      <c r="AY424" s="16">
        <v>67.106545600000004</v>
      </c>
      <c r="AZ424" s="2">
        <v>38136</v>
      </c>
      <c r="BA424" s="16">
        <f t="shared" si="67"/>
        <v>635.6</v>
      </c>
      <c r="BB424" s="9">
        <f t="shared" si="68"/>
        <v>1.7434605899582809</v>
      </c>
      <c r="BC424" s="119">
        <f t="shared" si="69"/>
        <v>25.001556177150139</v>
      </c>
    </row>
    <row r="425" spans="49:55" x14ac:dyDescent="0.3">
      <c r="AW425" s="7">
        <v>45041.572916666664</v>
      </c>
      <c r="AX425" s="51">
        <v>2.7058521231383501E-3</v>
      </c>
      <c r="AY425" s="16">
        <v>69.36581735</v>
      </c>
      <c r="AZ425" s="2">
        <v>38191</v>
      </c>
      <c r="BA425" s="16">
        <f t="shared" si="67"/>
        <v>636.51666666666665</v>
      </c>
      <c r="BB425" s="9">
        <f t="shared" si="68"/>
        <v>1.7223199739129456</v>
      </c>
      <c r="BC425" s="119">
        <f t="shared" si="69"/>
        <v>24.799845339619832</v>
      </c>
    </row>
    <row r="426" spans="49:55" x14ac:dyDescent="0.3">
      <c r="AW426" s="7">
        <v>45041.583333333336</v>
      </c>
      <c r="AX426" s="51">
        <v>3.0420848162164E-3</v>
      </c>
      <c r="AY426" s="16">
        <v>67.106545600000004</v>
      </c>
      <c r="AZ426" s="2">
        <v>39204</v>
      </c>
      <c r="BA426" s="16">
        <f t="shared" si="67"/>
        <v>653.4</v>
      </c>
      <c r="BB426" s="9">
        <f t="shared" si="68"/>
        <v>1.9876982189157957</v>
      </c>
      <c r="BC426" s="119">
        <f t="shared" si="69"/>
        <v>27.275585485277468</v>
      </c>
    </row>
    <row r="427" spans="49:55" x14ac:dyDescent="0.3">
      <c r="AW427" s="7">
        <v>45041.59375</v>
      </c>
      <c r="AX427" s="51">
        <v>2.8843619188720099E-3</v>
      </c>
      <c r="AY427" s="16">
        <v>68.016396760000006</v>
      </c>
      <c r="AZ427" s="2">
        <v>39234</v>
      </c>
      <c r="BA427" s="16">
        <f t="shared" si="67"/>
        <v>653.9</v>
      </c>
      <c r="BB427" s="9">
        <f t="shared" si="68"/>
        <v>1.8860842587504072</v>
      </c>
      <c r="BC427" s="119">
        <f t="shared" si="69"/>
        <v>26.341587704802823</v>
      </c>
    </row>
    <row r="428" spans="49:55" x14ac:dyDescent="0.3">
      <c r="AW428" s="7">
        <v>45041.604166666664</v>
      </c>
      <c r="AX428" s="51">
        <v>2.73969319411181E-3</v>
      </c>
      <c r="AY428" s="16">
        <v>71.630262669999993</v>
      </c>
      <c r="AZ428" s="2">
        <v>38497</v>
      </c>
      <c r="BA428" s="16">
        <f t="shared" si="67"/>
        <v>641.61666666666667</v>
      </c>
      <c r="BB428" s="9">
        <f t="shared" si="68"/>
        <v>1.7578328148953726</v>
      </c>
      <c r="BC428" s="119">
        <f t="shared" si="69"/>
        <v>25.13821803391625</v>
      </c>
    </row>
    <row r="429" spans="49:55" x14ac:dyDescent="0.3">
      <c r="AW429" s="7">
        <v>45041.614583333336</v>
      </c>
      <c r="AX429" s="51">
        <v>2.6955656654973599E-3</v>
      </c>
      <c r="AY429" s="16">
        <v>72.523974480000007</v>
      </c>
      <c r="AZ429" s="2">
        <v>38386</v>
      </c>
      <c r="BA429" s="16">
        <f t="shared" si="67"/>
        <v>639.76666666666665</v>
      </c>
      <c r="BB429" s="9">
        <f t="shared" si="68"/>
        <v>1.7245330605963609</v>
      </c>
      <c r="BC429" s="119">
        <f t="shared" si="69"/>
        <v>24.821000091238584</v>
      </c>
    </row>
    <row r="430" spans="49:55" x14ac:dyDescent="0.3">
      <c r="AW430" s="7">
        <v>45041.625</v>
      </c>
      <c r="AX430" s="51">
        <v>2.5275417402130101E-3</v>
      </c>
      <c r="AY430" s="16">
        <v>68.008627450000006</v>
      </c>
      <c r="AZ430" s="2">
        <v>38460</v>
      </c>
      <c r="BA430" s="16">
        <f t="shared" si="67"/>
        <v>641</v>
      </c>
      <c r="BB430" s="9">
        <f t="shared" si="68"/>
        <v>1.6201542554765396</v>
      </c>
      <c r="BC430" s="119">
        <f t="shared" si="69"/>
        <v>23.813038318041606</v>
      </c>
    </row>
    <row r="431" spans="49:55" x14ac:dyDescent="0.3">
      <c r="AW431" s="7">
        <v>45041.635416666664</v>
      </c>
      <c r="AX431" s="51">
        <v>2.6560046516034001E-3</v>
      </c>
      <c r="AY431" s="16">
        <v>70.727821939999998</v>
      </c>
      <c r="AZ431" s="2">
        <v>38279</v>
      </c>
      <c r="BA431" s="16">
        <f t="shared" si="67"/>
        <v>637.98333333333335</v>
      </c>
      <c r="BB431" s="9">
        <f t="shared" si="68"/>
        <v>1.6944867009787759</v>
      </c>
      <c r="BC431" s="119">
        <f t="shared" si="69"/>
        <v>24.533003749748094</v>
      </c>
    </row>
    <row r="432" spans="49:55" x14ac:dyDescent="0.3">
      <c r="AW432" s="7">
        <v>45041.645833333336</v>
      </c>
      <c r="AX432" s="51">
        <v>2.8854623662327599E-3</v>
      </c>
      <c r="AY432" s="16">
        <v>68.008627450000006</v>
      </c>
      <c r="AZ432" s="2">
        <v>38001</v>
      </c>
      <c r="BA432" s="16">
        <f t="shared" si="67"/>
        <v>633.35</v>
      </c>
      <c r="BB432" s="9">
        <f t="shared" si="68"/>
        <v>1.8275075896535187</v>
      </c>
      <c r="BC432" s="119">
        <f t="shared" si="69"/>
        <v>25.795496152872524</v>
      </c>
    </row>
    <row r="433" spans="49:55" x14ac:dyDescent="0.3">
      <c r="AW433" s="7">
        <v>45041.65625</v>
      </c>
      <c r="AX433" s="51">
        <v>2.6983657700046398E-3</v>
      </c>
      <c r="AY433" s="16">
        <v>69.822823</v>
      </c>
      <c r="AZ433" s="2">
        <v>37563</v>
      </c>
      <c r="BA433" s="16">
        <f t="shared" si="67"/>
        <v>626.04999999999995</v>
      </c>
      <c r="BB433" s="9">
        <f t="shared" si="68"/>
        <v>1.6893118903114046</v>
      </c>
      <c r="BC433" s="119">
        <f t="shared" si="69"/>
        <v>24.483230251127388</v>
      </c>
    </row>
    <row r="434" spans="49:55" x14ac:dyDescent="0.3">
      <c r="AW434" s="7">
        <v>45041.666666666664</v>
      </c>
      <c r="AX434" s="51">
        <v>2.5562951394346098E-3</v>
      </c>
      <c r="AY434" s="16">
        <v>69.373566690000004</v>
      </c>
      <c r="AZ434" s="2">
        <v>37817</v>
      </c>
      <c r="BA434" s="16">
        <f t="shared" si="67"/>
        <v>630.2833333333333</v>
      </c>
      <c r="BB434" s="9">
        <f t="shared" si="68"/>
        <v>1.6111902214666438</v>
      </c>
      <c r="BC434" s="119">
        <f t="shared" si="69"/>
        <v>23.725472519476995</v>
      </c>
    </row>
    <row r="435" spans="49:55" x14ac:dyDescent="0.3">
      <c r="AW435" s="7">
        <v>45041.677083333336</v>
      </c>
      <c r="AX435" s="51">
        <v>2.6048523927635599E-3</v>
      </c>
      <c r="AY435" s="16">
        <v>70.727821939999998</v>
      </c>
      <c r="AZ435" s="2">
        <v>38024</v>
      </c>
      <c r="BA435" s="16">
        <f t="shared" si="67"/>
        <v>633.73333333333335</v>
      </c>
      <c r="BB435" s="9">
        <f t="shared" si="68"/>
        <v>1.65078178970736</v>
      </c>
      <c r="BC435" s="119">
        <f t="shared" si="69"/>
        <v>24.11100562436852</v>
      </c>
    </row>
    <row r="436" spans="49:55" x14ac:dyDescent="0.3">
      <c r="AW436" s="7">
        <v>45041.6875</v>
      </c>
      <c r="AX436" s="51">
        <v>2.7015355497492098E-3</v>
      </c>
      <c r="AY436" s="16">
        <v>62.648273320000001</v>
      </c>
      <c r="AZ436" s="2">
        <v>38158</v>
      </c>
      <c r="BA436" s="16">
        <f t="shared" si="67"/>
        <v>635.9666666666667</v>
      </c>
      <c r="BB436" s="9">
        <f t="shared" si="68"/>
        <v>1.7180865584555058</v>
      </c>
      <c r="BC436" s="119">
        <f t="shared" si="69"/>
        <v>24.75935293185395</v>
      </c>
    </row>
    <row r="437" spans="49:55" x14ac:dyDescent="0.3">
      <c r="AW437" s="7">
        <v>45041.697916666664</v>
      </c>
      <c r="AX437" s="51">
        <v>2.7374946558889699E-3</v>
      </c>
      <c r="AY437" s="16">
        <v>69.822823</v>
      </c>
      <c r="AZ437" s="2">
        <v>37685</v>
      </c>
      <c r="BA437" s="16">
        <f t="shared" si="67"/>
        <v>628.08333333333337</v>
      </c>
      <c r="BB437" s="9">
        <f t="shared" si="68"/>
        <v>1.7193747684529306</v>
      </c>
      <c r="BC437" s="119">
        <f t="shared" si="69"/>
        <v>24.771678141178111</v>
      </c>
    </row>
    <row r="438" spans="49:55" x14ac:dyDescent="0.3">
      <c r="AW438" s="7">
        <v>45041.708333333336</v>
      </c>
      <c r="AX438" s="51">
        <v>2.74340825621033E-3</v>
      </c>
      <c r="AY438" s="16">
        <v>72.523974480000007</v>
      </c>
      <c r="AZ438" s="2">
        <v>37792</v>
      </c>
      <c r="BA438" s="16">
        <f t="shared" si="67"/>
        <v>629.86666666666667</v>
      </c>
      <c r="BB438" s="9">
        <f t="shared" si="68"/>
        <v>1.7279814136450131</v>
      </c>
      <c r="BC438" s="119">
        <f t="shared" si="69"/>
        <v>24.853944503712825</v>
      </c>
    </row>
    <row r="439" spans="49:55" x14ac:dyDescent="0.3">
      <c r="AW439" s="7">
        <v>45041.71875</v>
      </c>
      <c r="AX439" s="51">
        <v>2.4871467282148699E-3</v>
      </c>
      <c r="AY439" s="16">
        <v>69.36581735</v>
      </c>
      <c r="AZ439" s="2">
        <v>37694</v>
      </c>
      <c r="BA439" s="16">
        <f t="shared" si="67"/>
        <v>628.23333333333335</v>
      </c>
      <c r="BB439" s="9">
        <f t="shared" si="68"/>
        <v>1.5625084795555217</v>
      </c>
      <c r="BC439" s="119">
        <f t="shared" si="69"/>
        <v>23.247028396950181</v>
      </c>
    </row>
    <row r="440" spans="49:55" x14ac:dyDescent="0.3">
      <c r="AW440" s="7">
        <v>45041.729166666664</v>
      </c>
      <c r="AX440" s="51">
        <v>2.6939491424910599E-3</v>
      </c>
      <c r="AY440" s="16">
        <v>70.271667750000006</v>
      </c>
      <c r="AZ440" s="2">
        <v>38096</v>
      </c>
      <c r="BA440" s="16">
        <f t="shared" si="67"/>
        <v>634.93333333333328</v>
      </c>
      <c r="BB440" s="9">
        <f t="shared" si="68"/>
        <v>1.7104781088723235</v>
      </c>
      <c r="BC440" s="119">
        <f t="shared" si="69"/>
        <v>24.686494113920933</v>
      </c>
    </row>
    <row r="441" spans="49:55" x14ac:dyDescent="0.3">
      <c r="AW441" s="7">
        <v>45041.739583333336</v>
      </c>
      <c r="AX441" s="51">
        <v>2.99323782478022E-3</v>
      </c>
      <c r="AY441" s="16">
        <v>69.373566690000004</v>
      </c>
      <c r="AZ441" s="2">
        <v>37902</v>
      </c>
      <c r="BA441" s="16">
        <f t="shared" si="67"/>
        <v>631.70000000000005</v>
      </c>
      <c r="BB441" s="9">
        <f t="shared" si="68"/>
        <v>1.8908283339136651</v>
      </c>
      <c r="BC441" s="119">
        <f t="shared" si="69"/>
        <v>26.385563848628852</v>
      </c>
    </row>
    <row r="442" spans="49:55" x14ac:dyDescent="0.3">
      <c r="AW442" s="7">
        <v>45041.75</v>
      </c>
      <c r="AX442" s="51">
        <v>2.6934928436884802E-3</v>
      </c>
      <c r="AY442" s="16">
        <v>69.373566690000004</v>
      </c>
      <c r="AZ442" s="2">
        <v>38195</v>
      </c>
      <c r="BA442" s="16">
        <f t="shared" si="67"/>
        <v>636.58333333333337</v>
      </c>
      <c r="BB442" s="9">
        <f t="shared" si="68"/>
        <v>1.7146326527446918</v>
      </c>
      <c r="BC442" s="119">
        <f t="shared" si="69"/>
        <v>24.726291657473691</v>
      </c>
    </row>
    <row r="443" spans="49:55" x14ac:dyDescent="0.3">
      <c r="AW443" s="7">
        <v>45041.760416666664</v>
      </c>
      <c r="AX443" s="51">
        <v>2.6363896956905302E-3</v>
      </c>
      <c r="AY443" s="16">
        <v>70.271667750000006</v>
      </c>
      <c r="AZ443" s="2">
        <v>38123</v>
      </c>
      <c r="BA443" s="16">
        <f t="shared" si="67"/>
        <v>635.38333333333333</v>
      </c>
      <c r="BB443" s="9">
        <f t="shared" si="68"/>
        <v>1.6751180728135013</v>
      </c>
      <c r="BC443" s="119">
        <f t="shared" si="69"/>
        <v>24.346444431972422</v>
      </c>
    </row>
    <row r="444" spans="49:55" x14ac:dyDescent="0.3">
      <c r="AW444" s="7">
        <v>45041.770833333336</v>
      </c>
      <c r="AX444" s="51">
        <v>2.6992999600605199E-3</v>
      </c>
      <c r="AY444" s="16">
        <v>72.523974480000007</v>
      </c>
      <c r="AZ444" s="2">
        <v>37664</v>
      </c>
      <c r="BA444" s="16">
        <f t="shared" si="67"/>
        <v>627.73333333333335</v>
      </c>
      <c r="BB444" s="9">
        <f t="shared" si="68"/>
        <v>1.6944405615953237</v>
      </c>
      <c r="BC444" s="119">
        <f t="shared" si="69"/>
        <v>24.532560187665915</v>
      </c>
    </row>
    <row r="445" spans="49:55" x14ac:dyDescent="0.3">
      <c r="AW445" s="7">
        <v>45041.78125</v>
      </c>
      <c r="AX445" s="51">
        <v>2.6767500040492599E-3</v>
      </c>
      <c r="AY445" s="16">
        <v>70.727821939999998</v>
      </c>
      <c r="AZ445" s="2">
        <v>37837</v>
      </c>
      <c r="BA445" s="16">
        <f t="shared" si="67"/>
        <v>630.61666666666667</v>
      </c>
      <c r="BB445" s="9">
        <f t="shared" si="68"/>
        <v>1.6880031650535308</v>
      </c>
      <c r="BC445" s="119">
        <f t="shared" si="69"/>
        <v>24.470634270577964</v>
      </c>
    </row>
    <row r="446" spans="49:55" x14ac:dyDescent="0.3">
      <c r="AW446" s="7">
        <v>45041.791666666664</v>
      </c>
      <c r="AX446" s="51">
        <v>2.5590612110913198E-3</v>
      </c>
      <c r="AY446" s="16">
        <v>68.008627450000006</v>
      </c>
      <c r="AZ446" s="2">
        <v>38133</v>
      </c>
      <c r="BA446" s="16">
        <f t="shared" si="67"/>
        <v>635.54999999999995</v>
      </c>
      <c r="BB446" s="9">
        <f t="shared" si="68"/>
        <v>1.6264113527090882</v>
      </c>
      <c r="BC446" s="119">
        <f t="shared" si="69"/>
        <v>23.874064758681925</v>
      </c>
    </row>
    <row r="447" spans="49:55" x14ac:dyDescent="0.3">
      <c r="AW447" s="7">
        <v>45041.802083333336</v>
      </c>
      <c r="AX447" s="51">
        <v>2.5856559400024601E-3</v>
      </c>
      <c r="AY447" s="16">
        <v>68.466857000000005</v>
      </c>
      <c r="AZ447" s="2">
        <v>37655</v>
      </c>
      <c r="BA447" s="16">
        <f t="shared" si="67"/>
        <v>627.58333333333337</v>
      </c>
      <c r="BB447" s="9">
        <f t="shared" si="68"/>
        <v>1.6227145736798774</v>
      </c>
      <c r="BC447" s="119">
        <f t="shared" si="69"/>
        <v>23.838019054263839</v>
      </c>
    </row>
    <row r="448" spans="49:55" x14ac:dyDescent="0.3">
      <c r="AW448" s="7">
        <v>45041.8125</v>
      </c>
      <c r="AX448" s="51">
        <v>2.72152149698729E-3</v>
      </c>
      <c r="AY448" s="16">
        <v>68.008627450000006</v>
      </c>
      <c r="AZ448" s="2">
        <v>37246</v>
      </c>
      <c r="BA448" s="16">
        <f t="shared" si="67"/>
        <v>620.76666666666665</v>
      </c>
      <c r="BB448" s="9">
        <f t="shared" si="68"/>
        <v>1.6894298279464768</v>
      </c>
      <c r="BC448" s="119">
        <f t="shared" si="69"/>
        <v>24.484365194723431</v>
      </c>
    </row>
    <row r="449" spans="49:55" x14ac:dyDescent="0.3">
      <c r="AW449" s="7">
        <v>45041.822916666664</v>
      </c>
      <c r="AX449" s="51">
        <v>2.59432155408904E-3</v>
      </c>
      <c r="AY449" s="16">
        <v>69.36581735</v>
      </c>
      <c r="AZ449" s="2">
        <v>37878</v>
      </c>
      <c r="BA449" s="16">
        <f t="shared" si="67"/>
        <v>631.29999999999995</v>
      </c>
      <c r="BB449" s="9">
        <f t="shared" si="68"/>
        <v>1.6377951970964109</v>
      </c>
      <c r="BC449" s="119">
        <f t="shared" si="69"/>
        <v>23.984891254880349</v>
      </c>
    </row>
    <row r="450" spans="49:55" x14ac:dyDescent="0.3">
      <c r="AW450" s="7">
        <v>45041.833333333336</v>
      </c>
      <c r="AX450" s="51">
        <v>2.8767038954313801E-3</v>
      </c>
      <c r="AY450" s="16">
        <v>64.377553680000005</v>
      </c>
      <c r="AZ450" s="2">
        <v>37783</v>
      </c>
      <c r="BA450" s="16">
        <f t="shared" si="67"/>
        <v>629.7166666666667</v>
      </c>
      <c r="BB450" s="9">
        <f t="shared" si="68"/>
        <v>1.811508388018064</v>
      </c>
      <c r="BC450" s="119">
        <f t="shared" si="69"/>
        <v>25.645323148192528</v>
      </c>
    </row>
    <row r="451" spans="49:55" x14ac:dyDescent="0.3">
      <c r="AW451" s="7">
        <v>45041.84375</v>
      </c>
      <c r="AX451" s="51">
        <v>2.6378774849823501E-3</v>
      </c>
      <c r="AY451" s="16">
        <v>68.016396760000006</v>
      </c>
      <c r="AZ451" s="2">
        <v>37872</v>
      </c>
      <c r="BA451" s="16">
        <f t="shared" si="67"/>
        <v>631.20000000000005</v>
      </c>
      <c r="BB451" s="9">
        <f t="shared" si="68"/>
        <v>1.6650282685208595</v>
      </c>
      <c r="BC451" s="119">
        <f t="shared" si="69"/>
        <v>24.248972095948574</v>
      </c>
    </row>
    <row r="452" spans="49:55" x14ac:dyDescent="0.3">
      <c r="AW452" s="7">
        <v>45041.854166666664</v>
      </c>
      <c r="AX452" s="51">
        <v>2.4416021911970801E-3</v>
      </c>
      <c r="AY452" s="16">
        <v>69.373566690000004</v>
      </c>
      <c r="AZ452" s="2">
        <v>37958</v>
      </c>
      <c r="BA452" s="16">
        <f t="shared" ref="BA452:BA515" si="70">AZ452/60</f>
        <v>632.63333333333333</v>
      </c>
      <c r="BB452" s="9">
        <f t="shared" ref="BB452:BB515" si="71">BA452*AX452</f>
        <v>1.5446389328909793</v>
      </c>
      <c r="BC452" s="119">
        <f t="shared" ref="BC452:BC515" si="72">17.285*BB452^0.664</f>
        <v>23.070154164938714</v>
      </c>
    </row>
    <row r="453" spans="49:55" x14ac:dyDescent="0.3">
      <c r="AW453" s="7">
        <v>45041.864583333336</v>
      </c>
      <c r="AX453" s="51">
        <v>2.57150658887084E-3</v>
      </c>
      <c r="AY453" s="16">
        <v>68.016396760000006</v>
      </c>
      <c r="AZ453" s="2">
        <v>37717</v>
      </c>
      <c r="BA453" s="16">
        <f t="shared" si="70"/>
        <v>628.61666666666667</v>
      </c>
      <c r="BB453" s="9">
        <f t="shared" si="71"/>
        <v>1.6164919002073579</v>
      </c>
      <c r="BC453" s="119">
        <f t="shared" si="72"/>
        <v>23.777282060271464</v>
      </c>
    </row>
    <row r="454" spans="49:55" x14ac:dyDescent="0.3">
      <c r="AW454" s="7">
        <v>45041.875</v>
      </c>
      <c r="AX454" s="51">
        <v>2.5252690845188998E-3</v>
      </c>
      <c r="AY454" s="16">
        <v>66.655723199999997</v>
      </c>
      <c r="AZ454" s="2">
        <v>37587</v>
      </c>
      <c r="BA454" s="16">
        <f t="shared" si="70"/>
        <v>626.45000000000005</v>
      </c>
      <c r="BB454" s="9">
        <f t="shared" si="71"/>
        <v>1.581954817996865</v>
      </c>
      <c r="BC454" s="119">
        <f t="shared" si="72"/>
        <v>23.438739378298759</v>
      </c>
    </row>
    <row r="455" spans="49:55" x14ac:dyDescent="0.3">
      <c r="AW455" s="7">
        <v>45041.885416666664</v>
      </c>
      <c r="AX455" s="51">
        <v>2.42257613810661E-3</v>
      </c>
      <c r="AY455" s="16">
        <v>69.36581735</v>
      </c>
      <c r="AZ455" s="2">
        <v>37541</v>
      </c>
      <c r="BA455" s="16">
        <f t="shared" si="70"/>
        <v>625.68333333333328</v>
      </c>
      <c r="BB455" s="9">
        <f t="shared" si="71"/>
        <v>1.5157655133443373</v>
      </c>
      <c r="BC455" s="119">
        <f t="shared" si="72"/>
        <v>22.782902224901825</v>
      </c>
    </row>
    <row r="456" spans="49:55" x14ac:dyDescent="0.3">
      <c r="AW456" s="7">
        <v>45041.895833333336</v>
      </c>
      <c r="AX456" s="51">
        <v>2.5329086188349702E-3</v>
      </c>
      <c r="AY456" s="16">
        <v>70.271667750000006</v>
      </c>
      <c r="AZ456" s="2">
        <v>37641</v>
      </c>
      <c r="BA456" s="16">
        <f t="shared" si="70"/>
        <v>627.35</v>
      </c>
      <c r="BB456" s="9">
        <f t="shared" si="71"/>
        <v>1.5890202220261187</v>
      </c>
      <c r="BC456" s="119">
        <f t="shared" si="72"/>
        <v>23.508197001200482</v>
      </c>
    </row>
    <row r="457" spans="49:55" x14ac:dyDescent="0.3">
      <c r="AW457" s="7">
        <v>45041.90625</v>
      </c>
      <c r="AX457" s="51">
        <v>2.4910982266094202E-3</v>
      </c>
      <c r="AY457" s="16">
        <v>70.271667750000006</v>
      </c>
      <c r="AZ457" s="2">
        <v>37896</v>
      </c>
      <c r="BA457" s="16">
        <f t="shared" si="70"/>
        <v>631.6</v>
      </c>
      <c r="BB457" s="9">
        <f t="shared" si="71"/>
        <v>1.5733776399265098</v>
      </c>
      <c r="BC457" s="119">
        <f t="shared" si="72"/>
        <v>23.354279773210052</v>
      </c>
    </row>
    <row r="458" spans="49:55" x14ac:dyDescent="0.3">
      <c r="AW458" s="7">
        <v>45041.916666666664</v>
      </c>
      <c r="AX458" s="51">
        <v>2.69068573940341E-3</v>
      </c>
      <c r="AY458" s="16">
        <v>66.647934039999996</v>
      </c>
      <c r="AZ458" s="2">
        <v>37050</v>
      </c>
      <c r="BA458" s="16">
        <f t="shared" si="70"/>
        <v>617.5</v>
      </c>
      <c r="BB458" s="9">
        <f t="shared" si="71"/>
        <v>1.6614984440816056</v>
      </c>
      <c r="BC458" s="119">
        <f t="shared" si="72"/>
        <v>24.214825477412248</v>
      </c>
    </row>
    <row r="459" spans="49:55" x14ac:dyDescent="0.3">
      <c r="AW459" s="7">
        <v>45041.927083333336</v>
      </c>
      <c r="AX459" s="51">
        <v>2.60759751800198E-3</v>
      </c>
      <c r="AY459" s="16">
        <v>65.743635260000005</v>
      </c>
      <c r="AZ459" s="2">
        <v>37355</v>
      </c>
      <c r="BA459" s="16">
        <f t="shared" si="70"/>
        <v>622.58333333333337</v>
      </c>
      <c r="BB459" s="9">
        <f t="shared" si="71"/>
        <v>1.6234467547493994</v>
      </c>
      <c r="BC459" s="119">
        <f t="shared" si="72"/>
        <v>23.845160426750038</v>
      </c>
    </row>
    <row r="460" spans="49:55" x14ac:dyDescent="0.3">
      <c r="AW460" s="7">
        <v>45041.9375</v>
      </c>
      <c r="AX460" s="51">
        <v>2.6201506816081101E-3</v>
      </c>
      <c r="AY460" s="16">
        <v>68.916923760000003</v>
      </c>
      <c r="AZ460" s="2">
        <v>37008</v>
      </c>
      <c r="BA460" s="16">
        <f t="shared" si="70"/>
        <v>616.79999999999995</v>
      </c>
      <c r="BB460" s="9">
        <f t="shared" si="71"/>
        <v>1.6161089404158822</v>
      </c>
      <c r="BC460" s="119">
        <f t="shared" si="72"/>
        <v>23.773541581271445</v>
      </c>
    </row>
    <row r="461" spans="49:55" x14ac:dyDescent="0.3">
      <c r="AW461" s="7">
        <v>45041.947916666664</v>
      </c>
      <c r="AX461" s="51">
        <v>2.5316421421283999E-3</v>
      </c>
      <c r="AY461" s="16">
        <v>62.292408569999999</v>
      </c>
      <c r="AZ461" s="2">
        <v>37841</v>
      </c>
      <c r="BA461" s="16">
        <f t="shared" si="70"/>
        <v>630.68333333333328</v>
      </c>
      <c r="BB461" s="9">
        <f t="shared" si="71"/>
        <v>1.5966645050046795</v>
      </c>
      <c r="BC461" s="119">
        <f t="shared" si="72"/>
        <v>23.583228625082402</v>
      </c>
    </row>
    <row r="462" spans="49:55" x14ac:dyDescent="0.3">
      <c r="AW462" s="7">
        <v>45041.958333333336</v>
      </c>
      <c r="AX462" s="51">
        <v>2.42737510178104E-3</v>
      </c>
      <c r="AY462" s="16">
        <v>61.92162476</v>
      </c>
      <c r="AZ462" s="2">
        <v>36485</v>
      </c>
      <c r="BA462" s="16">
        <f t="shared" si="70"/>
        <v>608.08333333333337</v>
      </c>
      <c r="BB462" s="9">
        <f t="shared" si="71"/>
        <v>1.4760463431413542</v>
      </c>
      <c r="BC462" s="119">
        <f t="shared" si="72"/>
        <v>22.384725822807638</v>
      </c>
    </row>
    <row r="463" spans="49:55" x14ac:dyDescent="0.3">
      <c r="AW463" s="7">
        <v>45041.96875</v>
      </c>
      <c r="AX463" s="51">
        <v>2.7375902388027899E-3</v>
      </c>
      <c r="AY463" s="16">
        <v>68.916923760000003</v>
      </c>
      <c r="AZ463" s="2">
        <v>36561</v>
      </c>
      <c r="BA463" s="16">
        <f t="shared" si="70"/>
        <v>609.35</v>
      </c>
      <c r="BB463" s="9">
        <f t="shared" si="71"/>
        <v>1.66815061201448</v>
      </c>
      <c r="BC463" s="119">
        <f t="shared" si="72"/>
        <v>24.279156579684134</v>
      </c>
    </row>
    <row r="464" spans="49:55" x14ac:dyDescent="0.3">
      <c r="AW464" s="7">
        <v>45041.979166666664</v>
      </c>
      <c r="AX464" s="51">
        <v>2.5485831385697799E-3</v>
      </c>
      <c r="AY464" s="16">
        <v>69.36581735</v>
      </c>
      <c r="AZ464" s="2">
        <v>36355</v>
      </c>
      <c r="BA464" s="16">
        <f t="shared" si="70"/>
        <v>605.91666666666663</v>
      </c>
      <c r="BB464" s="9">
        <f t="shared" si="71"/>
        <v>1.5442290000450725</v>
      </c>
      <c r="BC464" s="119">
        <f t="shared" si="72"/>
        <v>23.066088573981965</v>
      </c>
    </row>
    <row r="465" spans="49:55" x14ac:dyDescent="0.3">
      <c r="AW465" s="7">
        <v>45041.989583333336</v>
      </c>
      <c r="AX465" s="51">
        <v>2.7024324827879002E-3</v>
      </c>
      <c r="AY465" s="16">
        <v>66.647934039999996</v>
      </c>
      <c r="AZ465" s="2">
        <v>37056</v>
      </c>
      <c r="BA465" s="16">
        <f t="shared" si="70"/>
        <v>617.6</v>
      </c>
      <c r="BB465" s="9">
        <f t="shared" si="71"/>
        <v>1.6690223013698073</v>
      </c>
      <c r="BC465" s="119">
        <f t="shared" si="72"/>
        <v>24.287580030416688</v>
      </c>
    </row>
    <row r="466" spans="49:55" x14ac:dyDescent="0.3">
      <c r="AW466" s="7">
        <v>45042</v>
      </c>
      <c r="AX466" s="51">
        <v>2.3557041317087001E-3</v>
      </c>
      <c r="AY466" s="16">
        <v>70.271667750000006</v>
      </c>
      <c r="AZ466" s="2">
        <v>36349</v>
      </c>
      <c r="BA466" s="16">
        <f t="shared" si="70"/>
        <v>605.81666666666672</v>
      </c>
      <c r="BB466" s="9">
        <f t="shared" si="71"/>
        <v>1.4271248247246591</v>
      </c>
      <c r="BC466" s="119">
        <f t="shared" si="72"/>
        <v>21.889312719115988</v>
      </c>
    </row>
    <row r="467" spans="49:55" x14ac:dyDescent="0.3">
      <c r="AW467" s="7">
        <v>45042.010416666664</v>
      </c>
      <c r="AX467" s="51">
        <v>2.4904029366114898E-3</v>
      </c>
      <c r="AY467" s="16">
        <v>71.17580074</v>
      </c>
      <c r="AZ467" s="2">
        <v>36003</v>
      </c>
      <c r="BA467" s="16">
        <f t="shared" si="70"/>
        <v>600.04999999999995</v>
      </c>
      <c r="BB467" s="9">
        <f t="shared" si="71"/>
        <v>1.4943662821137245</v>
      </c>
      <c r="BC467" s="119">
        <f t="shared" si="72"/>
        <v>22.568820978917387</v>
      </c>
    </row>
    <row r="468" spans="49:55" x14ac:dyDescent="0.3">
      <c r="AW468" s="7">
        <v>45042.020833333336</v>
      </c>
      <c r="AX468" s="51">
        <v>2.4101030805139499E-3</v>
      </c>
      <c r="AY468" s="16">
        <v>65.743635260000005</v>
      </c>
      <c r="AZ468" s="2">
        <v>35733</v>
      </c>
      <c r="BA468" s="16">
        <f t="shared" si="70"/>
        <v>595.54999999999995</v>
      </c>
      <c r="BB468" s="9">
        <f t="shared" si="71"/>
        <v>1.4353368896000827</v>
      </c>
      <c r="BC468" s="119">
        <f t="shared" si="72"/>
        <v>21.97286756570173</v>
      </c>
    </row>
    <row r="469" spans="49:55" x14ac:dyDescent="0.3">
      <c r="AW469" s="7">
        <v>45042.03125</v>
      </c>
      <c r="AX469" s="51">
        <v>2.39504237515446E-3</v>
      </c>
      <c r="AY469" s="16">
        <v>66.655723199999997</v>
      </c>
      <c r="AZ469" s="2">
        <v>34785</v>
      </c>
      <c r="BA469" s="16">
        <f t="shared" si="70"/>
        <v>579.75</v>
      </c>
      <c r="BB469" s="9">
        <f t="shared" si="71"/>
        <v>1.3885258169957981</v>
      </c>
      <c r="BC469" s="119">
        <f t="shared" si="72"/>
        <v>21.494394360953919</v>
      </c>
    </row>
    <row r="470" spans="49:55" x14ac:dyDescent="0.3">
      <c r="AW470" s="7">
        <v>45042.041666666664</v>
      </c>
      <c r="AX470" s="51">
        <v>2.1751213430054998E-3</v>
      </c>
      <c r="AY470" s="16">
        <v>68.916923760000003</v>
      </c>
      <c r="AZ470" s="2">
        <v>35249</v>
      </c>
      <c r="BA470" s="16">
        <f t="shared" si="70"/>
        <v>587.48333333333335</v>
      </c>
      <c r="BB470" s="9">
        <f t="shared" si="71"/>
        <v>1.2778475369933477</v>
      </c>
      <c r="BC470" s="119">
        <f t="shared" si="72"/>
        <v>20.340960974316861</v>
      </c>
    </row>
    <row r="471" spans="49:55" x14ac:dyDescent="0.3">
      <c r="AW471" s="7">
        <v>45042.052083333336</v>
      </c>
      <c r="AX471" s="51">
        <v>2.4086652159328102E-3</v>
      </c>
      <c r="AY471" s="16">
        <v>70.271667750000006</v>
      </c>
      <c r="AZ471" s="2">
        <v>35298</v>
      </c>
      <c r="BA471" s="16">
        <f t="shared" si="70"/>
        <v>588.29999999999995</v>
      </c>
      <c r="BB471" s="9">
        <f t="shared" si="71"/>
        <v>1.4170177465332721</v>
      </c>
      <c r="BC471" s="119">
        <f t="shared" si="72"/>
        <v>21.786254669361945</v>
      </c>
    </row>
    <row r="472" spans="49:55" x14ac:dyDescent="0.3">
      <c r="AW472" s="7">
        <v>45042.0625</v>
      </c>
      <c r="AX472" s="51">
        <v>2.2575886978424701E-3</v>
      </c>
      <c r="AY472" s="16">
        <v>67.106545600000004</v>
      </c>
      <c r="AZ472" s="2">
        <v>35367</v>
      </c>
      <c r="BA472" s="16">
        <f t="shared" si="70"/>
        <v>589.45000000000005</v>
      </c>
      <c r="BB472" s="9">
        <f t="shared" si="71"/>
        <v>1.3307356579432441</v>
      </c>
      <c r="BC472" s="119">
        <f t="shared" si="72"/>
        <v>20.896152796928185</v>
      </c>
    </row>
    <row r="473" spans="49:55" x14ac:dyDescent="0.3">
      <c r="AW473" s="7">
        <v>45042.072916666664</v>
      </c>
      <c r="AX473" s="51">
        <v>2.3462430828276501E-3</v>
      </c>
      <c r="AY473" s="16">
        <v>67.106545600000004</v>
      </c>
      <c r="AZ473" s="2">
        <v>35724</v>
      </c>
      <c r="BA473" s="16">
        <f t="shared" si="70"/>
        <v>595.4</v>
      </c>
      <c r="BB473" s="9">
        <f t="shared" si="71"/>
        <v>1.3969531315155828</v>
      </c>
      <c r="BC473" s="119">
        <f t="shared" si="72"/>
        <v>21.580928341583888</v>
      </c>
    </row>
    <row r="474" spans="49:55" x14ac:dyDescent="0.3">
      <c r="AW474" s="7">
        <v>45042.083333333336</v>
      </c>
      <c r="AX474" s="51">
        <v>2.3249353558484499E-3</v>
      </c>
      <c r="AY474" s="16">
        <v>70.279402750000003</v>
      </c>
      <c r="AZ474" s="2">
        <v>35167</v>
      </c>
      <c r="BA474" s="16">
        <f t="shared" si="70"/>
        <v>586.11666666666667</v>
      </c>
      <c r="BB474" s="9">
        <f t="shared" si="71"/>
        <v>1.3626833609853739</v>
      </c>
      <c r="BC474" s="119">
        <f t="shared" si="72"/>
        <v>21.227929306929774</v>
      </c>
    </row>
    <row r="475" spans="49:55" x14ac:dyDescent="0.3">
      <c r="AW475" s="7">
        <v>45042.09375</v>
      </c>
      <c r="AX475" s="51">
        <v>2.3708345893675899E-3</v>
      </c>
      <c r="AY475" s="16">
        <v>70.279402750000003</v>
      </c>
      <c r="AZ475" s="2">
        <v>34979</v>
      </c>
      <c r="BA475" s="16">
        <f t="shared" si="70"/>
        <v>582.98333333333335</v>
      </c>
      <c r="BB475" s="9">
        <f t="shared" si="71"/>
        <v>1.3821570516914823</v>
      </c>
      <c r="BC475" s="119">
        <f t="shared" si="72"/>
        <v>21.42888101402724</v>
      </c>
    </row>
    <row r="476" spans="49:55" x14ac:dyDescent="0.3">
      <c r="AW476" s="7">
        <v>45042.104166666664</v>
      </c>
      <c r="AX476" s="51">
        <v>2.4469825701175299E-3</v>
      </c>
      <c r="AY476" s="16">
        <v>64.837941950000001</v>
      </c>
      <c r="AZ476" s="2">
        <v>34822</v>
      </c>
      <c r="BA476" s="16">
        <f t="shared" si="70"/>
        <v>580.36666666666667</v>
      </c>
      <c r="BB476" s="9">
        <f t="shared" si="71"/>
        <v>1.4201471176105438</v>
      </c>
      <c r="BC476" s="119">
        <f t="shared" si="72"/>
        <v>21.818190000901865</v>
      </c>
    </row>
    <row r="477" spans="49:55" x14ac:dyDescent="0.3">
      <c r="AW477" s="7">
        <v>45042.114583333336</v>
      </c>
      <c r="AX477" s="51">
        <v>2.6165114304110199E-3</v>
      </c>
      <c r="AY477" s="16">
        <v>67.106545600000004</v>
      </c>
      <c r="AZ477" s="2">
        <v>35272</v>
      </c>
      <c r="BA477" s="16">
        <f t="shared" si="70"/>
        <v>587.86666666666667</v>
      </c>
      <c r="BB477" s="9">
        <f t="shared" si="71"/>
        <v>1.5381598528909584</v>
      </c>
      <c r="BC477" s="119">
        <f t="shared" si="72"/>
        <v>23.005854094677581</v>
      </c>
    </row>
    <row r="478" spans="49:55" x14ac:dyDescent="0.3">
      <c r="AW478" s="7">
        <v>45042.125</v>
      </c>
      <c r="AX478" s="51">
        <v>2.3938989950040598E-3</v>
      </c>
      <c r="AY478" s="16">
        <v>66.655723199999997</v>
      </c>
      <c r="AZ478" s="2">
        <v>35351</v>
      </c>
      <c r="BA478" s="16">
        <f t="shared" si="70"/>
        <v>589.18333333333328</v>
      </c>
      <c r="BB478" s="9">
        <f t="shared" si="71"/>
        <v>1.4104453895398086</v>
      </c>
      <c r="BC478" s="119">
        <f t="shared" si="72"/>
        <v>21.719106297500844</v>
      </c>
    </row>
    <row r="479" spans="49:55" x14ac:dyDescent="0.3">
      <c r="AW479" s="7">
        <v>45042.135416666664</v>
      </c>
      <c r="AX479" s="51">
        <v>2.3590292093533601E-3</v>
      </c>
      <c r="AY479" s="16">
        <v>67.106545600000004</v>
      </c>
      <c r="AZ479" s="2">
        <v>34618</v>
      </c>
      <c r="BA479" s="16">
        <f t="shared" si="70"/>
        <v>576.9666666666667</v>
      </c>
      <c r="BB479" s="9">
        <f t="shared" si="71"/>
        <v>1.3610812194899105</v>
      </c>
      <c r="BC479" s="119">
        <f t="shared" si="72"/>
        <v>21.211353776045954</v>
      </c>
    </row>
    <row r="480" spans="49:55" x14ac:dyDescent="0.3">
      <c r="AW480" s="7">
        <v>45042.145833333336</v>
      </c>
      <c r="AX480" s="51">
        <v>2.34144397919112E-3</v>
      </c>
      <c r="AY480" s="16">
        <v>65.743635260000005</v>
      </c>
      <c r="AZ480" s="2">
        <v>34372</v>
      </c>
      <c r="BA480" s="16">
        <f t="shared" si="70"/>
        <v>572.86666666666667</v>
      </c>
      <c r="BB480" s="9">
        <f t="shared" si="71"/>
        <v>1.341335207545953</v>
      </c>
      <c r="BC480" s="119">
        <f t="shared" si="72"/>
        <v>21.00652267076515</v>
      </c>
    </row>
    <row r="481" spans="49:55" x14ac:dyDescent="0.3">
      <c r="AW481" s="7">
        <v>45042.15625</v>
      </c>
      <c r="AX481" s="51">
        <v>2.3140634007858701E-3</v>
      </c>
      <c r="AY481" s="16">
        <v>64.377553680000005</v>
      </c>
      <c r="AZ481" s="2">
        <v>34293</v>
      </c>
      <c r="BA481" s="16">
        <f t="shared" si="70"/>
        <v>571.54999999999995</v>
      </c>
      <c r="BB481" s="9">
        <f t="shared" si="71"/>
        <v>1.3226029367191638</v>
      </c>
      <c r="BC481" s="119">
        <f t="shared" si="72"/>
        <v>20.811268883415067</v>
      </c>
    </row>
    <row r="482" spans="49:55" x14ac:dyDescent="0.3">
      <c r="AW482" s="7">
        <v>45042.166666666664</v>
      </c>
      <c r="AX482" s="51">
        <v>2.3724516276996299E-3</v>
      </c>
      <c r="AY482" s="16">
        <v>64.377553680000005</v>
      </c>
      <c r="AZ482" s="2">
        <v>34123</v>
      </c>
      <c r="BA482" s="16">
        <f t="shared" si="70"/>
        <v>568.7166666666667</v>
      </c>
      <c r="BB482" s="9">
        <f t="shared" si="71"/>
        <v>1.3492527815332414</v>
      </c>
      <c r="BC482" s="119">
        <f t="shared" si="72"/>
        <v>21.088774827545169</v>
      </c>
    </row>
    <row r="483" spans="49:55" x14ac:dyDescent="0.3">
      <c r="AW483" s="7">
        <v>45042.177083333336</v>
      </c>
      <c r="AX483" s="51">
        <v>2.3487222547868901E-3</v>
      </c>
      <c r="AY483" s="16">
        <v>65.743635260000005</v>
      </c>
      <c r="AZ483" s="2">
        <v>34228</v>
      </c>
      <c r="BA483" s="16">
        <f t="shared" si="70"/>
        <v>570.4666666666667</v>
      </c>
      <c r="BB483" s="9">
        <f t="shared" si="71"/>
        <v>1.3398677556140945</v>
      </c>
      <c r="BC483" s="119">
        <f t="shared" si="72"/>
        <v>20.991260065939052</v>
      </c>
    </row>
    <row r="484" spans="49:55" x14ac:dyDescent="0.3">
      <c r="AW484" s="7">
        <v>45042.1875</v>
      </c>
      <c r="AX484" s="51">
        <v>2.6001841430089E-3</v>
      </c>
      <c r="AY484" s="16">
        <v>66.655723199999997</v>
      </c>
      <c r="AZ484" s="2">
        <v>34849</v>
      </c>
      <c r="BA484" s="16">
        <f t="shared" si="70"/>
        <v>580.81666666666672</v>
      </c>
      <c r="BB484" s="9">
        <f t="shared" si="71"/>
        <v>1.5102302866619528</v>
      </c>
      <c r="BC484" s="119">
        <f t="shared" si="72"/>
        <v>22.727624863314947</v>
      </c>
    </row>
    <row r="485" spans="49:55" x14ac:dyDescent="0.3">
      <c r="AW485" s="7">
        <v>45042.197916666664</v>
      </c>
      <c r="AX485" s="51">
        <v>2.35821225263634E-3</v>
      </c>
      <c r="AY485" s="16">
        <v>63.015482910000003</v>
      </c>
      <c r="AZ485" s="2">
        <v>34673</v>
      </c>
      <c r="BA485" s="16">
        <f t="shared" si="70"/>
        <v>577.88333333333333</v>
      </c>
      <c r="BB485" s="9">
        <f t="shared" si="71"/>
        <v>1.3627715572609969</v>
      </c>
      <c r="BC485" s="119">
        <f t="shared" si="72"/>
        <v>21.228841582999589</v>
      </c>
    </row>
    <row r="486" spans="49:55" x14ac:dyDescent="0.3">
      <c r="AW486" s="7">
        <v>45042.208333333336</v>
      </c>
      <c r="AX486" s="51">
        <v>2.45132870148873E-3</v>
      </c>
      <c r="AY486" s="16">
        <v>65.290959470000004</v>
      </c>
      <c r="AZ486" s="2">
        <v>34328</v>
      </c>
      <c r="BA486" s="16">
        <f t="shared" si="70"/>
        <v>572.13333333333333</v>
      </c>
      <c r="BB486" s="9">
        <f t="shared" si="71"/>
        <v>1.4024868610784187</v>
      </c>
      <c r="BC486" s="119">
        <f t="shared" si="72"/>
        <v>21.63765480247109</v>
      </c>
    </row>
    <row r="487" spans="49:55" x14ac:dyDescent="0.3">
      <c r="AW487" s="7">
        <v>45042.21875</v>
      </c>
      <c r="AX487" s="51">
        <v>2.3894390964013801E-3</v>
      </c>
      <c r="AY487" s="16">
        <v>66.655723199999997</v>
      </c>
      <c r="AZ487" s="2">
        <v>33475</v>
      </c>
      <c r="BA487" s="16">
        <f t="shared" si="70"/>
        <v>557.91666666666663</v>
      </c>
      <c r="BB487" s="9">
        <f t="shared" si="71"/>
        <v>1.33310789586727</v>
      </c>
      <c r="BC487" s="119">
        <f t="shared" si="72"/>
        <v>20.920879765891343</v>
      </c>
    </row>
    <row r="488" spans="49:55" x14ac:dyDescent="0.3">
      <c r="AW488" s="7">
        <v>45042.229166666664</v>
      </c>
      <c r="AX488" s="51">
        <v>2.2300693470741302E-3</v>
      </c>
      <c r="AY488" s="16">
        <v>65.290959470000004</v>
      </c>
      <c r="AZ488" s="2">
        <v>35404</v>
      </c>
      <c r="BA488" s="16">
        <f t="shared" si="70"/>
        <v>590.06666666666672</v>
      </c>
      <c r="BB488" s="9">
        <f t="shared" si="71"/>
        <v>1.3158895860635418</v>
      </c>
      <c r="BC488" s="119">
        <f t="shared" si="72"/>
        <v>20.741067202236344</v>
      </c>
    </row>
    <row r="489" spans="49:55" x14ac:dyDescent="0.3">
      <c r="AW489" s="7">
        <v>45042.239583333336</v>
      </c>
      <c r="AX489" s="51">
        <v>2.3826626085034701E-3</v>
      </c>
      <c r="AY489" s="16">
        <v>66.655723199999997</v>
      </c>
      <c r="AZ489" s="2">
        <v>34344</v>
      </c>
      <c r="BA489" s="16">
        <f t="shared" si="70"/>
        <v>572.4</v>
      </c>
      <c r="BB489" s="9">
        <f t="shared" si="71"/>
        <v>1.3638360771073863</v>
      </c>
      <c r="BC489" s="119">
        <f t="shared" si="72"/>
        <v>21.239851095785983</v>
      </c>
    </row>
    <row r="490" spans="49:55" x14ac:dyDescent="0.3">
      <c r="AW490" s="7">
        <v>45042.25</v>
      </c>
      <c r="AX490" s="51">
        <v>2.3380722972839202E-3</v>
      </c>
      <c r="AY490" s="16">
        <v>68.008627450000006</v>
      </c>
      <c r="AZ490" s="2">
        <v>35473</v>
      </c>
      <c r="BA490" s="16">
        <f t="shared" si="70"/>
        <v>591.2166666666667</v>
      </c>
      <c r="BB490" s="9">
        <f t="shared" si="71"/>
        <v>1.3823073100258751</v>
      </c>
      <c r="BC490" s="119">
        <f t="shared" si="72"/>
        <v>21.430427837727869</v>
      </c>
    </row>
    <row r="491" spans="49:55" x14ac:dyDescent="0.3">
      <c r="AW491" s="7">
        <v>45042.260416666664</v>
      </c>
      <c r="AX491" s="51">
        <v>2.2550349514192298E-3</v>
      </c>
      <c r="AY491" s="16">
        <v>68.016396760000006</v>
      </c>
      <c r="AZ491" s="2">
        <v>34784</v>
      </c>
      <c r="BA491" s="16">
        <f t="shared" si="70"/>
        <v>579.73333333333335</v>
      </c>
      <c r="BB491" s="9">
        <f t="shared" si="71"/>
        <v>1.3073189291694416</v>
      </c>
      <c r="BC491" s="119">
        <f t="shared" si="72"/>
        <v>20.651268476737325</v>
      </c>
    </row>
    <row r="492" spans="49:55" x14ac:dyDescent="0.3">
      <c r="AW492" s="7">
        <v>45042.270833333336</v>
      </c>
      <c r="AX492" s="51">
        <v>2.3956408812552399E-3</v>
      </c>
      <c r="AY492" s="16">
        <v>68.008627450000006</v>
      </c>
      <c r="AZ492" s="2">
        <v>34488</v>
      </c>
      <c r="BA492" s="16">
        <f t="shared" si="70"/>
        <v>574.79999999999995</v>
      </c>
      <c r="BB492" s="9">
        <f t="shared" si="71"/>
        <v>1.3770143785455118</v>
      </c>
      <c r="BC492" s="119">
        <f t="shared" si="72"/>
        <v>21.375906017206113</v>
      </c>
    </row>
    <row r="493" spans="49:55" x14ac:dyDescent="0.3">
      <c r="AW493" s="7">
        <v>45042.28125</v>
      </c>
      <c r="AX493" s="51">
        <v>2.2019196406569E-3</v>
      </c>
      <c r="AY493" s="16">
        <v>70.271667750000006</v>
      </c>
      <c r="AZ493" s="2">
        <v>34699</v>
      </c>
      <c r="BA493" s="16">
        <f t="shared" si="70"/>
        <v>578.31666666666672</v>
      </c>
      <c r="BB493" s="9">
        <f t="shared" si="71"/>
        <v>1.2734068268525631</v>
      </c>
      <c r="BC493" s="119">
        <f t="shared" si="72"/>
        <v>20.293996787926528</v>
      </c>
    </row>
    <row r="494" spans="49:55" x14ac:dyDescent="0.3">
      <c r="AW494" s="7">
        <v>45042.291666666664</v>
      </c>
      <c r="AX494" s="51">
        <v>2.37593404849011E-3</v>
      </c>
      <c r="AY494" s="16">
        <v>63.015482910000003</v>
      </c>
      <c r="AZ494" s="2">
        <v>35308</v>
      </c>
      <c r="BA494" s="16">
        <f t="shared" si="70"/>
        <v>588.4666666666667</v>
      </c>
      <c r="BB494" s="9">
        <f t="shared" si="71"/>
        <v>1.3981579897348135</v>
      </c>
      <c r="BC494" s="119">
        <f t="shared" si="72"/>
        <v>21.59328580695712</v>
      </c>
    </row>
    <row r="495" spans="49:55" x14ac:dyDescent="0.3">
      <c r="AW495" s="7">
        <v>45042.302083333336</v>
      </c>
      <c r="AX495" s="51">
        <v>2.4109838563504201E-3</v>
      </c>
      <c r="AY495" s="16">
        <v>63.015482910000003</v>
      </c>
      <c r="AZ495" s="2">
        <v>34420</v>
      </c>
      <c r="BA495" s="16">
        <f t="shared" si="70"/>
        <v>573.66666666666663</v>
      </c>
      <c r="BB495" s="9">
        <f t="shared" si="71"/>
        <v>1.3831010722596908</v>
      </c>
      <c r="BC495" s="119">
        <f t="shared" si="72"/>
        <v>21.43859822909435</v>
      </c>
    </row>
    <row r="496" spans="49:55" x14ac:dyDescent="0.3">
      <c r="AW496" s="7">
        <v>45042.3125</v>
      </c>
      <c r="AX496" s="51">
        <v>2.2600979599160498E-3</v>
      </c>
      <c r="AY496" s="16">
        <v>65.290959470000004</v>
      </c>
      <c r="AZ496" s="2">
        <v>34237</v>
      </c>
      <c r="BA496" s="16">
        <f t="shared" si="70"/>
        <v>570.61666666666667</v>
      </c>
      <c r="BB496" s="9">
        <f t="shared" si="71"/>
        <v>1.2896495642274299</v>
      </c>
      <c r="BC496" s="119">
        <f t="shared" si="72"/>
        <v>20.465511479559851</v>
      </c>
    </row>
    <row r="497" spans="49:55" x14ac:dyDescent="0.3">
      <c r="AW497" s="7">
        <v>45042.322916666664</v>
      </c>
      <c r="AX497" s="51">
        <v>2.2262045936436502E-3</v>
      </c>
      <c r="AY497" s="16">
        <v>66.655723199999997</v>
      </c>
      <c r="AZ497" s="2">
        <v>34399</v>
      </c>
      <c r="BA497" s="16">
        <f t="shared" si="70"/>
        <v>573.31666666666672</v>
      </c>
      <c r="BB497" s="9">
        <f t="shared" si="71"/>
        <v>1.2763201969457989</v>
      </c>
      <c r="BC497" s="119">
        <f t="shared" si="72"/>
        <v>20.32481428497973</v>
      </c>
    </row>
    <row r="498" spans="49:55" x14ac:dyDescent="0.3">
      <c r="AW498" s="7">
        <v>45042.333333333336</v>
      </c>
      <c r="AX498" s="51">
        <v>2.39115688204027E-3</v>
      </c>
      <c r="AY498" s="16">
        <v>63.015482910000003</v>
      </c>
      <c r="AZ498" s="2">
        <v>34243</v>
      </c>
      <c r="BA498" s="16">
        <f t="shared" si="70"/>
        <v>570.7166666666667</v>
      </c>
      <c r="BB498" s="9">
        <f t="shared" si="71"/>
        <v>1.3646730851950828</v>
      </c>
      <c r="BC498" s="119">
        <f t="shared" si="72"/>
        <v>21.248505601307713</v>
      </c>
    </row>
    <row r="499" spans="49:55" x14ac:dyDescent="0.3">
      <c r="AW499" s="7">
        <v>45042.34375</v>
      </c>
      <c r="AX499" s="51">
        <v>2.42348656050258E-3</v>
      </c>
      <c r="AY499" s="16">
        <v>60.060669519999998</v>
      </c>
      <c r="AZ499" s="2">
        <v>34333</v>
      </c>
      <c r="BA499" s="16">
        <f t="shared" si="70"/>
        <v>572.2166666666667</v>
      </c>
      <c r="BB499" s="9">
        <f t="shared" si="71"/>
        <v>1.3867594013622513</v>
      </c>
      <c r="BC499" s="119">
        <f t="shared" si="72"/>
        <v>21.476233974188741</v>
      </c>
    </row>
    <row r="500" spans="49:55" x14ac:dyDescent="0.3">
      <c r="AW500" s="7">
        <v>45042.354166666664</v>
      </c>
      <c r="AX500" s="51">
        <v>2.1846914160568399E-3</v>
      </c>
      <c r="AY500" s="16">
        <v>65.283151739999994</v>
      </c>
      <c r="AZ500" s="2">
        <v>33595</v>
      </c>
      <c r="BA500" s="16">
        <f t="shared" si="70"/>
        <v>559.91666666666663</v>
      </c>
      <c r="BB500" s="9">
        <f t="shared" si="71"/>
        <v>1.2232451353738256</v>
      </c>
      <c r="BC500" s="119">
        <f t="shared" si="72"/>
        <v>19.75960897794409</v>
      </c>
    </row>
    <row r="501" spans="49:55" x14ac:dyDescent="0.3">
      <c r="AW501" s="7">
        <v>45042.364583333336</v>
      </c>
      <c r="AX501" s="51">
        <v>2.2485097342930999E-3</v>
      </c>
      <c r="AY501" s="16">
        <v>64.377553680000005</v>
      </c>
      <c r="AZ501" s="2">
        <v>33939</v>
      </c>
      <c r="BA501" s="16">
        <f t="shared" si="70"/>
        <v>565.65</v>
      </c>
      <c r="BB501" s="9">
        <f t="shared" si="71"/>
        <v>1.271869531202892</v>
      </c>
      <c r="BC501" s="119">
        <f t="shared" si="72"/>
        <v>20.277725796703841</v>
      </c>
    </row>
    <row r="502" spans="49:55" x14ac:dyDescent="0.3">
      <c r="AW502" s="7">
        <v>45042.375</v>
      </c>
      <c r="AX502" s="51">
        <v>2.3711539729668399E-3</v>
      </c>
      <c r="AY502" s="16">
        <v>60.060669519999998</v>
      </c>
      <c r="AZ502" s="2">
        <v>33308</v>
      </c>
      <c r="BA502" s="16">
        <f t="shared" si="70"/>
        <v>555.13333333333333</v>
      </c>
      <c r="BB502" s="9">
        <f t="shared" si="71"/>
        <v>1.3163066088596584</v>
      </c>
      <c r="BC502" s="119">
        <f t="shared" si="72"/>
        <v>20.745431520405194</v>
      </c>
    </row>
    <row r="503" spans="49:55" x14ac:dyDescent="0.3">
      <c r="AW503" s="7">
        <v>45042.385416666664</v>
      </c>
      <c r="AX503" s="51">
        <v>2.1972848332461898E-3</v>
      </c>
      <c r="AY503" s="16">
        <v>62.648273320000001</v>
      </c>
      <c r="AZ503" s="2">
        <v>33191</v>
      </c>
      <c r="BA503" s="16">
        <f t="shared" si="70"/>
        <v>553.18333333333328</v>
      </c>
      <c r="BB503" s="9">
        <f t="shared" si="71"/>
        <v>1.2155013483379047</v>
      </c>
      <c r="BC503" s="119">
        <f t="shared" si="72"/>
        <v>19.676461463026271</v>
      </c>
    </row>
    <row r="504" spans="49:55" x14ac:dyDescent="0.3">
      <c r="AW504" s="7">
        <v>45042.395833333336</v>
      </c>
      <c r="AX504" s="51">
        <v>2.1527410611161101E-3</v>
      </c>
      <c r="AY504" s="16">
        <v>60.811216330000001</v>
      </c>
      <c r="AZ504" s="2">
        <v>32451</v>
      </c>
      <c r="BA504" s="16">
        <f t="shared" si="70"/>
        <v>540.85</v>
      </c>
      <c r="BB504" s="9">
        <f t="shared" si="71"/>
        <v>1.1643100029046483</v>
      </c>
      <c r="BC504" s="119">
        <f t="shared" si="72"/>
        <v>19.122248305605694</v>
      </c>
    </row>
    <row r="505" spans="49:55" x14ac:dyDescent="0.3">
      <c r="AW505" s="7">
        <v>45042.40625</v>
      </c>
      <c r="AX505" s="51">
        <v>2.0128537768570902E-3</v>
      </c>
      <c r="AY505" s="16">
        <v>65.290959470000004</v>
      </c>
      <c r="AZ505" s="2">
        <v>33065</v>
      </c>
      <c r="BA505" s="16">
        <f t="shared" si="70"/>
        <v>551.08333333333337</v>
      </c>
      <c r="BB505" s="9">
        <f t="shared" si="71"/>
        <v>1.1092501688629948</v>
      </c>
      <c r="BC505" s="119">
        <f t="shared" si="72"/>
        <v>18.516929548274302</v>
      </c>
    </row>
    <row r="506" spans="49:55" x14ac:dyDescent="0.3">
      <c r="AW506" s="7">
        <v>45042.416666666664</v>
      </c>
      <c r="AX506" s="51">
        <v>2.2564327760989798E-3</v>
      </c>
      <c r="AY506" s="16">
        <v>64.377553680000005</v>
      </c>
      <c r="AZ506" s="2">
        <v>33448</v>
      </c>
      <c r="BA506" s="16">
        <f t="shared" si="70"/>
        <v>557.4666666666667</v>
      </c>
      <c r="BB506" s="9">
        <f t="shared" si="71"/>
        <v>1.2578860582493114</v>
      </c>
      <c r="BC506" s="119">
        <f t="shared" si="72"/>
        <v>20.129417589934246</v>
      </c>
    </row>
    <row r="507" spans="49:55" x14ac:dyDescent="0.3">
      <c r="AW507" s="7">
        <v>45042.427083333336</v>
      </c>
      <c r="AX507" s="51">
        <v>2.2946145978530999E-3</v>
      </c>
      <c r="AY507" s="16">
        <v>59.302493679999998</v>
      </c>
      <c r="AZ507" s="2">
        <v>33611</v>
      </c>
      <c r="BA507" s="16">
        <f t="shared" si="70"/>
        <v>560.18333333333328</v>
      </c>
      <c r="BB507" s="9">
        <f t="shared" si="71"/>
        <v>1.2854048541406755</v>
      </c>
      <c r="BC507" s="119">
        <f t="shared" si="72"/>
        <v>20.420759996828338</v>
      </c>
    </row>
    <row r="508" spans="49:55" x14ac:dyDescent="0.3">
      <c r="AW508" s="7">
        <v>45042.4375</v>
      </c>
      <c r="AX508" s="51">
        <v>2.39005706808122E-3</v>
      </c>
      <c r="AY508" s="16">
        <v>56.227261830000003</v>
      </c>
      <c r="AZ508" s="2">
        <v>33114</v>
      </c>
      <c r="BA508" s="16">
        <f t="shared" si="70"/>
        <v>551.9</v>
      </c>
      <c r="BB508" s="9">
        <f t="shared" si="71"/>
        <v>1.3190724958740252</v>
      </c>
      <c r="BC508" s="119">
        <f t="shared" si="72"/>
        <v>20.774365937121491</v>
      </c>
    </row>
    <row r="509" spans="49:55" x14ac:dyDescent="0.3">
      <c r="AW509" s="7">
        <v>45042.447916666664</v>
      </c>
      <c r="AX509" s="51">
        <v>2.2701157023795999E-3</v>
      </c>
      <c r="AY509" s="16">
        <v>63.015482910000003</v>
      </c>
      <c r="AZ509" s="2">
        <v>34349</v>
      </c>
      <c r="BA509" s="16">
        <f t="shared" si="70"/>
        <v>572.48333333333335</v>
      </c>
      <c r="BB509" s="9">
        <f t="shared" si="71"/>
        <v>1.2996034043506146</v>
      </c>
      <c r="BC509" s="119">
        <f t="shared" si="72"/>
        <v>20.570260038427623</v>
      </c>
    </row>
    <row r="510" spans="49:55" x14ac:dyDescent="0.3">
      <c r="AW510" s="7">
        <v>45042.458333333336</v>
      </c>
      <c r="AX510" s="51">
        <v>2.1347767065318401E-3</v>
      </c>
      <c r="AY510" s="16">
        <v>61.92162476</v>
      </c>
      <c r="AZ510" s="2">
        <v>33088</v>
      </c>
      <c r="BA510" s="16">
        <f t="shared" si="70"/>
        <v>551.4666666666667</v>
      </c>
      <c r="BB510" s="9">
        <f t="shared" si="71"/>
        <v>1.1772581944287588</v>
      </c>
      <c r="BC510" s="119">
        <f t="shared" si="72"/>
        <v>19.26318995887064</v>
      </c>
    </row>
    <row r="511" spans="49:55" x14ac:dyDescent="0.3">
      <c r="AW511" s="7">
        <v>45042.46875</v>
      </c>
      <c r="AX511" s="51">
        <v>2.2981604425489602E-3</v>
      </c>
      <c r="AY511" s="16">
        <v>59.685691249999998</v>
      </c>
      <c r="AZ511" s="2">
        <v>33927</v>
      </c>
      <c r="BA511" s="16">
        <f t="shared" si="70"/>
        <v>565.45000000000005</v>
      </c>
      <c r="BB511" s="9">
        <f t="shared" si="71"/>
        <v>1.2994948222393097</v>
      </c>
      <c r="BC511" s="119">
        <f t="shared" si="72"/>
        <v>20.5691188393841</v>
      </c>
    </row>
    <row r="512" spans="49:55" x14ac:dyDescent="0.3">
      <c r="AW512" s="7">
        <v>45042.479166666664</v>
      </c>
      <c r="AX512" s="51">
        <v>2.2195550229862902E-3</v>
      </c>
      <c r="AY512" s="16">
        <v>61.92162476</v>
      </c>
      <c r="AZ512" s="2">
        <v>34232</v>
      </c>
      <c r="BA512" s="16">
        <f t="shared" si="70"/>
        <v>570.5333333333333</v>
      </c>
      <c r="BB512" s="9">
        <f t="shared" si="71"/>
        <v>1.2663301257811113</v>
      </c>
      <c r="BC512" s="119">
        <f t="shared" si="72"/>
        <v>20.219040921434761</v>
      </c>
    </row>
    <row r="513" spans="49:55" x14ac:dyDescent="0.3">
      <c r="AW513" s="7">
        <v>45042.489583333336</v>
      </c>
      <c r="AX513" s="51">
        <v>2.3904382256601199E-3</v>
      </c>
      <c r="AY513" s="16">
        <v>62.654512349999997</v>
      </c>
      <c r="AZ513" s="2">
        <v>34542</v>
      </c>
      <c r="BA513" s="16">
        <f t="shared" si="70"/>
        <v>575.70000000000005</v>
      </c>
      <c r="BB513" s="9">
        <f t="shared" si="71"/>
        <v>1.3761752865125312</v>
      </c>
      <c r="BC513" s="119">
        <f t="shared" si="72"/>
        <v>21.36725617465104</v>
      </c>
    </row>
    <row r="514" spans="49:55" x14ac:dyDescent="0.3">
      <c r="AW514" s="7">
        <v>45042.5</v>
      </c>
      <c r="AX514" s="51">
        <v>2.4632821049238702E-3</v>
      </c>
      <c r="AY514" s="16">
        <v>63.92387093</v>
      </c>
      <c r="AZ514" s="2">
        <v>33803</v>
      </c>
      <c r="BA514" s="16">
        <f t="shared" si="70"/>
        <v>563.38333333333333</v>
      </c>
      <c r="BB514" s="9">
        <f t="shared" si="71"/>
        <v>1.3877720832123597</v>
      </c>
      <c r="BC514" s="119">
        <f t="shared" si="72"/>
        <v>21.486646230435092</v>
      </c>
    </row>
    <row r="515" spans="49:55" x14ac:dyDescent="0.3">
      <c r="AW515" s="7">
        <v>45042.510416666664</v>
      </c>
      <c r="AX515" s="51">
        <v>2.3618615766181701E-3</v>
      </c>
      <c r="AY515" s="16">
        <v>61.92162476</v>
      </c>
      <c r="AZ515" s="2">
        <v>33986</v>
      </c>
      <c r="BA515" s="16">
        <f t="shared" si="70"/>
        <v>566.43333333333328</v>
      </c>
      <c r="BB515" s="9">
        <f t="shared" si="71"/>
        <v>1.337837125715752</v>
      </c>
      <c r="BC515" s="119">
        <f t="shared" si="72"/>
        <v>20.97013071939217</v>
      </c>
    </row>
    <row r="516" spans="49:55" x14ac:dyDescent="0.3">
      <c r="AW516" s="7">
        <v>45042.520833333336</v>
      </c>
      <c r="AX516" s="51">
        <v>2.3001920641180802E-3</v>
      </c>
      <c r="AY516" s="16">
        <v>61.92162476</v>
      </c>
      <c r="AZ516" s="2">
        <v>33078</v>
      </c>
      <c r="BA516" s="16">
        <f t="shared" ref="BA516:BA579" si="73">AZ516/60</f>
        <v>551.29999999999995</v>
      </c>
      <c r="BB516" s="9">
        <f t="shared" ref="BB516:BB579" si="74">BA516*AX516</f>
        <v>1.2680958849482975</v>
      </c>
      <c r="BC516" s="119">
        <f t="shared" ref="BC516:BC579" si="75">17.285*BB516^0.664</f>
        <v>20.237756854177587</v>
      </c>
    </row>
    <row r="517" spans="49:55" x14ac:dyDescent="0.3">
      <c r="AW517" s="7">
        <v>45042.53125</v>
      </c>
      <c r="AX517" s="51">
        <v>2.2861673827908099E-3</v>
      </c>
      <c r="AY517" s="16">
        <v>60.811216330000001</v>
      </c>
      <c r="AZ517" s="2">
        <v>33364</v>
      </c>
      <c r="BA517" s="16">
        <f t="shared" si="73"/>
        <v>556.06666666666672</v>
      </c>
      <c r="BB517" s="9">
        <f t="shared" si="74"/>
        <v>1.2712614759905432</v>
      </c>
      <c r="BC517" s="119">
        <f t="shared" si="75"/>
        <v>20.271288216319377</v>
      </c>
    </row>
    <row r="518" spans="49:55" x14ac:dyDescent="0.3">
      <c r="AW518" s="7">
        <v>45042.541666666664</v>
      </c>
      <c r="AX518" s="51">
        <v>2.3063865412321499E-3</v>
      </c>
      <c r="AY518" s="16">
        <v>60.060669519999998</v>
      </c>
      <c r="AZ518" s="2">
        <v>32644</v>
      </c>
      <c r="BA518" s="16">
        <f t="shared" si="73"/>
        <v>544.06666666666672</v>
      </c>
      <c r="BB518" s="9">
        <f t="shared" si="74"/>
        <v>1.2548280375330385</v>
      </c>
      <c r="BC518" s="119">
        <f t="shared" si="75"/>
        <v>20.096910661170956</v>
      </c>
    </row>
    <row r="519" spans="49:55" x14ac:dyDescent="0.3">
      <c r="AW519" s="7">
        <v>45042.552083333336</v>
      </c>
      <c r="AX519" s="51">
        <v>2.2499247265496299E-3</v>
      </c>
      <c r="AY519" s="16">
        <v>60.060669519999998</v>
      </c>
      <c r="AZ519" s="2">
        <v>32822</v>
      </c>
      <c r="BA519" s="16">
        <f t="shared" si="73"/>
        <v>547.0333333333333</v>
      </c>
      <c r="BB519" s="9">
        <f t="shared" si="74"/>
        <v>1.2307838229135324</v>
      </c>
      <c r="BC519" s="119">
        <f t="shared" si="75"/>
        <v>19.840384545479441</v>
      </c>
    </row>
    <row r="520" spans="49:55" x14ac:dyDescent="0.3">
      <c r="AW520" s="7">
        <v>45042.5625</v>
      </c>
      <c r="AX520" s="51">
        <v>2.1794034085476101E-3</v>
      </c>
      <c r="AY520" s="16">
        <v>57.774288900000002</v>
      </c>
      <c r="AZ520" s="2">
        <v>32864</v>
      </c>
      <c r="BA520" s="16">
        <f t="shared" si="73"/>
        <v>547.73333333333335</v>
      </c>
      <c r="BB520" s="9">
        <f t="shared" si="74"/>
        <v>1.1937318936418111</v>
      </c>
      <c r="BC520" s="119">
        <f t="shared" si="75"/>
        <v>19.441756402982818</v>
      </c>
    </row>
    <row r="521" spans="49:55" x14ac:dyDescent="0.3">
      <c r="AW521" s="7">
        <v>45042.572916666664</v>
      </c>
      <c r="AX521" s="51">
        <v>2.3997037697320298E-3</v>
      </c>
      <c r="AY521" s="16">
        <v>59.685691249999998</v>
      </c>
      <c r="AZ521" s="2">
        <v>33827</v>
      </c>
      <c r="BA521" s="16">
        <f t="shared" si="73"/>
        <v>563.7833333333333</v>
      </c>
      <c r="BB521" s="9">
        <f t="shared" si="74"/>
        <v>1.3529129903120896</v>
      </c>
      <c r="BC521" s="119">
        <f t="shared" si="75"/>
        <v>21.126744271014761</v>
      </c>
    </row>
    <row r="522" spans="49:55" x14ac:dyDescent="0.3">
      <c r="AW522" s="7">
        <v>45042.583333333336</v>
      </c>
      <c r="AX522" s="51">
        <v>2.4041736520383698E-3</v>
      </c>
      <c r="AY522" s="16">
        <v>58.924071830000003</v>
      </c>
      <c r="AZ522" s="2">
        <v>33730</v>
      </c>
      <c r="BA522" s="16">
        <f t="shared" si="73"/>
        <v>562.16666666666663</v>
      </c>
      <c r="BB522" s="9">
        <f t="shared" si="74"/>
        <v>1.3515462880542368</v>
      </c>
      <c r="BC522" s="119">
        <f t="shared" si="75"/>
        <v>21.112570727808581</v>
      </c>
    </row>
    <row r="523" spans="49:55" x14ac:dyDescent="0.3">
      <c r="AW523" s="7">
        <v>45042.59375</v>
      </c>
      <c r="AX523" s="51">
        <v>2.4807549869595201E-3</v>
      </c>
      <c r="AY523" s="16">
        <v>59.685691249999998</v>
      </c>
      <c r="AZ523" s="2">
        <v>34459</v>
      </c>
      <c r="BA523" s="16">
        <f t="shared" si="73"/>
        <v>574.31666666666672</v>
      </c>
      <c r="BB523" s="9">
        <f t="shared" si="74"/>
        <v>1.4247389349273019</v>
      </c>
      <c r="BC523" s="119">
        <f t="shared" si="75"/>
        <v>21.865006876784847</v>
      </c>
    </row>
    <row r="524" spans="49:55" x14ac:dyDescent="0.3">
      <c r="AW524" s="7">
        <v>45042.604166666664</v>
      </c>
      <c r="AX524" s="51">
        <v>3.1516076949211001E-3</v>
      </c>
      <c r="AY524" s="16">
        <v>59.685691249999998</v>
      </c>
      <c r="AZ524" s="2">
        <v>40297</v>
      </c>
      <c r="BA524" s="16">
        <f t="shared" si="73"/>
        <v>671.61666666666667</v>
      </c>
      <c r="BB524" s="9">
        <f t="shared" si="74"/>
        <v>2.1166722547039263</v>
      </c>
      <c r="BC524" s="119">
        <f t="shared" si="75"/>
        <v>28.438283911104143</v>
      </c>
    </row>
    <row r="525" spans="49:55" x14ac:dyDescent="0.3">
      <c r="AW525" s="7">
        <v>45042.614583333336</v>
      </c>
      <c r="AX525" s="51">
        <v>3.2551899785261199E-3</v>
      </c>
      <c r="AY525" s="16">
        <v>60.811216330000001</v>
      </c>
      <c r="AZ525" s="2">
        <v>40246</v>
      </c>
      <c r="BA525" s="16">
        <f t="shared" si="73"/>
        <v>670.76666666666665</v>
      </c>
      <c r="BB525" s="9">
        <f t="shared" si="74"/>
        <v>2.1834729312627035</v>
      </c>
      <c r="BC525" s="119">
        <f t="shared" si="75"/>
        <v>29.03110264103077</v>
      </c>
    </row>
    <row r="526" spans="49:55" x14ac:dyDescent="0.3">
      <c r="AW526" s="7">
        <v>45042.625</v>
      </c>
      <c r="AX526" s="51">
        <v>5.3341505180157303E-3</v>
      </c>
      <c r="AY526" s="16">
        <v>58.924071830000003</v>
      </c>
      <c r="AZ526" s="2">
        <v>37840</v>
      </c>
      <c r="BA526" s="16">
        <f t="shared" si="73"/>
        <v>630.66666666666663</v>
      </c>
      <c r="BB526" s="9">
        <f t="shared" si="74"/>
        <v>3.3640709266952538</v>
      </c>
      <c r="BC526" s="119">
        <f t="shared" si="75"/>
        <v>38.681903690856494</v>
      </c>
    </row>
    <row r="527" spans="49:55" x14ac:dyDescent="0.3">
      <c r="AW527" s="7">
        <v>45042.635416666664</v>
      </c>
      <c r="AX527" s="51">
        <v>2.4525869390104702E-3</v>
      </c>
      <c r="AY527" s="16">
        <v>58.924071830000003</v>
      </c>
      <c r="AZ527" s="2">
        <v>34487</v>
      </c>
      <c r="BA527" s="16">
        <f t="shared" si="73"/>
        <v>574.7833333333333</v>
      </c>
      <c r="BB527" s="9">
        <f t="shared" si="74"/>
        <v>1.4097060960942347</v>
      </c>
      <c r="BC527" s="119">
        <f t="shared" si="75"/>
        <v>21.711546522656228</v>
      </c>
    </row>
    <row r="528" spans="49:55" x14ac:dyDescent="0.3">
      <c r="AW528" s="7">
        <v>45042.645833333336</v>
      </c>
      <c r="AX528" s="51">
        <v>3.0342586094929801E-3</v>
      </c>
      <c r="AY528" s="16">
        <v>60.811216330000001</v>
      </c>
      <c r="AZ528" s="2">
        <v>35169</v>
      </c>
      <c r="BA528" s="16">
        <f t="shared" si="73"/>
        <v>586.15</v>
      </c>
      <c r="BB528" s="9">
        <f t="shared" si="74"/>
        <v>1.7785306839543102</v>
      </c>
      <c r="BC528" s="119">
        <f t="shared" si="75"/>
        <v>25.334371131990451</v>
      </c>
    </row>
    <row r="529" spans="49:55" x14ac:dyDescent="0.3">
      <c r="AW529" s="7">
        <v>45042.65625</v>
      </c>
      <c r="AX529" s="51">
        <v>2.4777159746089102E-3</v>
      </c>
      <c r="AY529" s="16">
        <v>60.060669519999998</v>
      </c>
      <c r="AZ529" s="2">
        <v>35119</v>
      </c>
      <c r="BA529" s="16">
        <f t="shared" si="73"/>
        <v>585.31666666666672</v>
      </c>
      <c r="BB529" s="9">
        <f t="shared" si="74"/>
        <v>1.4502484552048387</v>
      </c>
      <c r="BC529" s="119">
        <f t="shared" si="75"/>
        <v>22.124178061633177</v>
      </c>
    </row>
    <row r="530" spans="49:55" x14ac:dyDescent="0.3">
      <c r="AW530" s="7">
        <v>45042.666666666664</v>
      </c>
      <c r="AX530" s="51">
        <v>2.54824075086029E-3</v>
      </c>
      <c r="AY530" s="16">
        <v>61.92162476</v>
      </c>
      <c r="AZ530" s="2">
        <v>36148</v>
      </c>
      <c r="BA530" s="16">
        <f t="shared" si="73"/>
        <v>602.4666666666667</v>
      </c>
      <c r="BB530" s="9">
        <f t="shared" si="74"/>
        <v>1.5352301110349629</v>
      </c>
      <c r="BC530" s="119">
        <f t="shared" si="75"/>
        <v>22.976748706870296</v>
      </c>
    </row>
    <row r="531" spans="49:55" x14ac:dyDescent="0.3">
      <c r="AW531" s="7">
        <v>45042.677083333336</v>
      </c>
      <c r="AX531" s="51">
        <v>4.5512580203391304E-3</v>
      </c>
      <c r="AY531" s="16">
        <v>60.060669519999998</v>
      </c>
      <c r="AZ531" s="2">
        <v>36527</v>
      </c>
      <c r="BA531" s="16">
        <f t="shared" si="73"/>
        <v>608.7833333333333</v>
      </c>
      <c r="BB531" s="9">
        <f t="shared" si="74"/>
        <v>2.7707300284821237</v>
      </c>
      <c r="BC531" s="119">
        <f t="shared" si="75"/>
        <v>34.005717319222072</v>
      </c>
    </row>
    <row r="532" spans="49:55" x14ac:dyDescent="0.3">
      <c r="AW532" s="7">
        <v>45042.6875</v>
      </c>
      <c r="AX532" s="51">
        <v>2.7338573046220699E-3</v>
      </c>
      <c r="AY532" s="16">
        <v>57.774288900000002</v>
      </c>
      <c r="AZ532" s="2">
        <v>37580</v>
      </c>
      <c r="BA532" s="16">
        <f t="shared" si="73"/>
        <v>626.33333333333337</v>
      </c>
      <c r="BB532" s="9">
        <f t="shared" si="74"/>
        <v>1.7123059584616231</v>
      </c>
      <c r="BC532" s="119">
        <f t="shared" si="75"/>
        <v>24.704007595664102</v>
      </c>
    </row>
    <row r="533" spans="49:55" x14ac:dyDescent="0.3">
      <c r="AW533" s="7">
        <v>45042.697916666664</v>
      </c>
      <c r="AX533" s="51">
        <v>2.7112268223082902E-3</v>
      </c>
      <c r="AY533" s="16">
        <v>61.92162476</v>
      </c>
      <c r="AZ533" s="2">
        <v>36952</v>
      </c>
      <c r="BA533" s="16">
        <f t="shared" si="73"/>
        <v>615.86666666666667</v>
      </c>
      <c r="BB533" s="9">
        <f t="shared" si="74"/>
        <v>1.6697542256322657</v>
      </c>
      <c r="BC533" s="119">
        <f t="shared" si="75"/>
        <v>24.294651738696722</v>
      </c>
    </row>
    <row r="534" spans="49:55" x14ac:dyDescent="0.3">
      <c r="AW534" s="7">
        <v>45042.708333333336</v>
      </c>
      <c r="AX534" s="51">
        <v>2.5473303542012798E-3</v>
      </c>
      <c r="AY534" s="16">
        <v>57.774288900000002</v>
      </c>
      <c r="AZ534" s="2">
        <v>36442</v>
      </c>
      <c r="BA534" s="16">
        <f t="shared" si="73"/>
        <v>607.36666666666667</v>
      </c>
      <c r="BB534" s="9">
        <f t="shared" si="74"/>
        <v>1.5471635461300506</v>
      </c>
      <c r="BC534" s="119">
        <f t="shared" si="75"/>
        <v>23.095184535190345</v>
      </c>
    </row>
    <row r="535" spans="49:55" x14ac:dyDescent="0.3">
      <c r="AW535" s="7">
        <v>45042.71875</v>
      </c>
      <c r="AX535" s="51">
        <v>2.88738381621893E-3</v>
      </c>
      <c r="AY535" s="16">
        <v>60.811216330000001</v>
      </c>
      <c r="AZ535" s="2">
        <v>37039</v>
      </c>
      <c r="BA535" s="16">
        <f t="shared" si="73"/>
        <v>617.31666666666672</v>
      </c>
      <c r="BB535" s="9">
        <f t="shared" si="74"/>
        <v>1.7824301528155493</v>
      </c>
      <c r="BC535" s="119">
        <f t="shared" si="75"/>
        <v>25.371240225437802</v>
      </c>
    </row>
    <row r="536" spans="49:55" x14ac:dyDescent="0.3">
      <c r="AW536" s="7">
        <v>45042.729166666664</v>
      </c>
      <c r="AX536" s="51">
        <v>2.8152378743890902E-3</v>
      </c>
      <c r="AY536" s="16">
        <v>58.924071830000003</v>
      </c>
      <c r="AZ536" s="2">
        <v>36816</v>
      </c>
      <c r="BA536" s="16">
        <f t="shared" si="73"/>
        <v>613.6</v>
      </c>
      <c r="BB536" s="9">
        <f t="shared" si="74"/>
        <v>1.7274299597251457</v>
      </c>
      <c r="BC536" s="119">
        <f t="shared" si="75"/>
        <v>24.848677582135114</v>
      </c>
    </row>
    <row r="537" spans="49:55" x14ac:dyDescent="0.3">
      <c r="AW537" s="7">
        <v>45042.739583333336</v>
      </c>
      <c r="AX537" s="51">
        <v>2.4776951288757198E-3</v>
      </c>
      <c r="AY537" s="16">
        <v>57.774288900000002</v>
      </c>
      <c r="AZ537" s="2">
        <v>35991</v>
      </c>
      <c r="BA537" s="16">
        <f t="shared" si="73"/>
        <v>599.85</v>
      </c>
      <c r="BB537" s="9">
        <f t="shared" si="74"/>
        <v>1.4862454230561006</v>
      </c>
      <c r="BC537" s="119">
        <f t="shared" si="75"/>
        <v>22.487309430947985</v>
      </c>
    </row>
    <row r="538" spans="49:55" x14ac:dyDescent="0.3">
      <c r="AW538" s="7">
        <v>45042.75</v>
      </c>
      <c r="AX538" s="51">
        <v>2.5432823262975099E-3</v>
      </c>
      <c r="AY538" s="16">
        <v>56.614200629999999</v>
      </c>
      <c r="AZ538" s="2">
        <v>36537</v>
      </c>
      <c r="BA538" s="16">
        <f t="shared" si="73"/>
        <v>608.95000000000005</v>
      </c>
      <c r="BB538" s="9">
        <f t="shared" si="74"/>
        <v>1.5487317725988687</v>
      </c>
      <c r="BC538" s="119">
        <f t="shared" si="75"/>
        <v>23.110725863820214</v>
      </c>
    </row>
    <row r="539" spans="49:55" x14ac:dyDescent="0.3">
      <c r="AW539" s="7">
        <v>45042.760416666664</v>
      </c>
      <c r="AX539" s="51">
        <v>2.7216333073802799E-3</v>
      </c>
      <c r="AY539" s="16">
        <v>56.614200629999999</v>
      </c>
      <c r="AZ539" s="2">
        <v>36617</v>
      </c>
      <c r="BA539" s="16">
        <f t="shared" si="73"/>
        <v>610.2833333333333</v>
      </c>
      <c r="BB539" s="9">
        <f t="shared" si="74"/>
        <v>1.6609674469390616</v>
      </c>
      <c r="BC539" s="119">
        <f t="shared" si="75"/>
        <v>24.209686638687348</v>
      </c>
    </row>
    <row r="540" spans="49:55" x14ac:dyDescent="0.3">
      <c r="AW540" s="7">
        <v>45042.770833333336</v>
      </c>
      <c r="AX540" s="51">
        <v>2.5638455197135499E-3</v>
      </c>
      <c r="AY540" s="16">
        <v>58.924071830000003</v>
      </c>
      <c r="AZ540" s="2">
        <v>36334</v>
      </c>
      <c r="BA540" s="16">
        <f t="shared" si="73"/>
        <v>605.56666666666672</v>
      </c>
      <c r="BB540" s="9">
        <f t="shared" si="74"/>
        <v>1.5525793852212022</v>
      </c>
      <c r="BC540" s="119">
        <f t="shared" si="75"/>
        <v>23.148833823566992</v>
      </c>
    </row>
    <row r="541" spans="49:55" x14ac:dyDescent="0.3">
      <c r="AW541" s="7">
        <v>45042.78125</v>
      </c>
      <c r="AX541" s="51">
        <v>2.5515293977366699E-3</v>
      </c>
      <c r="AY541" s="16">
        <v>60.811216330000001</v>
      </c>
      <c r="AZ541" s="2">
        <v>36637</v>
      </c>
      <c r="BA541" s="16">
        <f t="shared" si="73"/>
        <v>610.61666666666667</v>
      </c>
      <c r="BB541" s="9">
        <f t="shared" si="74"/>
        <v>1.558006375747973</v>
      </c>
      <c r="BC541" s="119">
        <f t="shared" si="75"/>
        <v>23.202530540311567</v>
      </c>
    </row>
    <row r="542" spans="49:55" x14ac:dyDescent="0.3">
      <c r="AW542" s="7">
        <v>45042.791666666664</v>
      </c>
      <c r="AX542" s="51">
        <v>2.4134755159069899E-3</v>
      </c>
      <c r="AY542" s="16">
        <v>63.92387093</v>
      </c>
      <c r="AZ542" s="2">
        <v>36459</v>
      </c>
      <c r="BA542" s="16">
        <f t="shared" si="73"/>
        <v>607.65</v>
      </c>
      <c r="BB542" s="9">
        <f t="shared" si="74"/>
        <v>1.4665483972408824</v>
      </c>
      <c r="BC542" s="119">
        <f t="shared" si="75"/>
        <v>22.288979933089692</v>
      </c>
    </row>
    <row r="543" spans="49:55" x14ac:dyDescent="0.3">
      <c r="AW543" s="7">
        <v>45042.802083333336</v>
      </c>
      <c r="AX543" s="51">
        <v>2.6463458774294902E-3</v>
      </c>
      <c r="AY543" s="16">
        <v>58.930610829999999</v>
      </c>
      <c r="AZ543" s="2">
        <v>36574</v>
      </c>
      <c r="BA543" s="16">
        <f t="shared" si="73"/>
        <v>609.56666666666672</v>
      </c>
      <c r="BB543" s="9">
        <f t="shared" si="74"/>
        <v>1.6131242353517696</v>
      </c>
      <c r="BC543" s="119">
        <f t="shared" si="75"/>
        <v>23.744378890572992</v>
      </c>
    </row>
    <row r="544" spans="49:55" x14ac:dyDescent="0.3">
      <c r="AW544" s="7">
        <v>45042.8125</v>
      </c>
      <c r="AX544" s="51">
        <v>2.4834482794280398E-3</v>
      </c>
      <c r="AY544" s="16">
        <v>59.685691249999998</v>
      </c>
      <c r="AZ544" s="2">
        <v>36183</v>
      </c>
      <c r="BA544" s="16">
        <f t="shared" si="73"/>
        <v>603.04999999999995</v>
      </c>
      <c r="BB544" s="9">
        <f t="shared" si="74"/>
        <v>1.4976434849090794</v>
      </c>
      <c r="BC544" s="119">
        <f t="shared" si="75"/>
        <v>22.601673093362287</v>
      </c>
    </row>
    <row r="545" spans="49:55" x14ac:dyDescent="0.3">
      <c r="AW545" s="7">
        <v>45042.822916666664</v>
      </c>
      <c r="AX545" s="51">
        <v>2.5901299479148799E-3</v>
      </c>
      <c r="AY545" s="16">
        <v>61.92162476</v>
      </c>
      <c r="AZ545" s="2">
        <v>35736</v>
      </c>
      <c r="BA545" s="16">
        <f t="shared" si="73"/>
        <v>595.6</v>
      </c>
      <c r="BB545" s="9">
        <f t="shared" si="74"/>
        <v>1.5426813969781026</v>
      </c>
      <c r="BC545" s="119">
        <f t="shared" si="75"/>
        <v>23.050736641214545</v>
      </c>
    </row>
    <row r="546" spans="49:55" x14ac:dyDescent="0.3">
      <c r="AW546" s="7">
        <v>45042.833333333336</v>
      </c>
      <c r="AX546" s="51">
        <v>2.78415865824853E-3</v>
      </c>
      <c r="AY546" s="16">
        <v>63.92387093</v>
      </c>
      <c r="AZ546" s="2">
        <v>35358</v>
      </c>
      <c r="BA546" s="16">
        <f t="shared" si="73"/>
        <v>589.29999999999995</v>
      </c>
      <c r="BB546" s="9">
        <f t="shared" si="74"/>
        <v>1.6407046973058586</v>
      </c>
      <c r="BC546" s="119">
        <f t="shared" si="75"/>
        <v>24.01317488191297</v>
      </c>
    </row>
    <row r="547" spans="49:55" x14ac:dyDescent="0.3">
      <c r="AW547" s="7">
        <v>45042.84375</v>
      </c>
      <c r="AX547" s="51">
        <v>2.5661343325237801E-3</v>
      </c>
      <c r="AY547" s="16">
        <v>62.654512349999997</v>
      </c>
      <c r="AZ547" s="2">
        <v>35529</v>
      </c>
      <c r="BA547" s="16">
        <f t="shared" si="73"/>
        <v>592.15</v>
      </c>
      <c r="BB547" s="9">
        <f t="shared" si="74"/>
        <v>1.5195364450039563</v>
      </c>
      <c r="BC547" s="119">
        <f t="shared" si="75"/>
        <v>22.820521672544064</v>
      </c>
    </row>
    <row r="548" spans="49:55" x14ac:dyDescent="0.3">
      <c r="AW548" s="7">
        <v>45042.854166666664</v>
      </c>
      <c r="AX548" s="51">
        <v>2.4440406502180098E-3</v>
      </c>
      <c r="AY548" s="16">
        <v>60.811216330000001</v>
      </c>
      <c r="AZ548" s="2">
        <v>35741</v>
      </c>
      <c r="BA548" s="16">
        <f t="shared" si="73"/>
        <v>595.68333333333328</v>
      </c>
      <c r="BB548" s="9">
        <f t="shared" si="74"/>
        <v>1.4558742813240313</v>
      </c>
      <c r="BC548" s="119">
        <f t="shared" si="75"/>
        <v>22.181128422539111</v>
      </c>
    </row>
    <row r="549" spans="49:55" x14ac:dyDescent="0.3">
      <c r="AW549" s="7">
        <v>45042.864583333336</v>
      </c>
      <c r="AX549" s="51">
        <v>2.6116971788530301E-3</v>
      </c>
      <c r="AY549" s="16">
        <v>61.555361079999997</v>
      </c>
      <c r="AZ549" s="2">
        <v>34927</v>
      </c>
      <c r="BA549" s="16">
        <f t="shared" si="73"/>
        <v>582.11666666666667</v>
      </c>
      <c r="BB549" s="9">
        <f t="shared" si="74"/>
        <v>1.520312456096663</v>
      </c>
      <c r="BC549" s="119">
        <f t="shared" si="75"/>
        <v>22.828259395966551</v>
      </c>
    </row>
    <row r="550" spans="49:55" x14ac:dyDescent="0.3">
      <c r="AW550" s="7">
        <v>45042.875</v>
      </c>
      <c r="AX550" s="51">
        <v>2.3904219442476798E-3</v>
      </c>
      <c r="AY550" s="16">
        <v>63.469872090000003</v>
      </c>
      <c r="AZ550" s="2">
        <v>35678</v>
      </c>
      <c r="BA550" s="16">
        <f t="shared" si="73"/>
        <v>594.63333333333333</v>
      </c>
      <c r="BB550" s="9">
        <f t="shared" si="74"/>
        <v>1.4214245687811453</v>
      </c>
      <c r="BC550" s="119">
        <f t="shared" si="75"/>
        <v>21.831219633254804</v>
      </c>
    </row>
    <row r="551" spans="49:55" x14ac:dyDescent="0.3">
      <c r="AW551" s="7">
        <v>45042.885416666664</v>
      </c>
      <c r="AX551" s="51">
        <v>2.60699386233331E-3</v>
      </c>
      <c r="AY551" s="16">
        <v>61.555361079999997</v>
      </c>
      <c r="AZ551" s="2">
        <v>34683</v>
      </c>
      <c r="BA551" s="16">
        <f t="shared" si="73"/>
        <v>578.04999999999995</v>
      </c>
      <c r="BB551" s="9">
        <f t="shared" si="74"/>
        <v>1.5069728021217697</v>
      </c>
      <c r="BC551" s="119">
        <f t="shared" si="75"/>
        <v>22.69506228266777</v>
      </c>
    </row>
    <row r="552" spans="49:55" x14ac:dyDescent="0.3">
      <c r="AW552" s="7">
        <v>45042.895833333336</v>
      </c>
      <c r="AX552" s="51">
        <v>2.48861621373949E-3</v>
      </c>
      <c r="AY552" s="16">
        <v>60.440350530000003</v>
      </c>
      <c r="AZ552" s="2">
        <v>34978</v>
      </c>
      <c r="BA552" s="16">
        <f t="shared" si="73"/>
        <v>582.9666666666667</v>
      </c>
      <c r="BB552" s="9">
        <f t="shared" si="74"/>
        <v>1.4507802987363314</v>
      </c>
      <c r="BC552" s="119">
        <f t="shared" si="75"/>
        <v>22.129565098419313</v>
      </c>
    </row>
    <row r="553" spans="49:55" x14ac:dyDescent="0.3">
      <c r="AW553" s="7">
        <v>45042.90625</v>
      </c>
      <c r="AX553" s="51">
        <v>2.5446070137509201E-3</v>
      </c>
      <c r="AY553" s="16">
        <v>62.654512349999997</v>
      </c>
      <c r="AZ553" s="2">
        <v>34643</v>
      </c>
      <c r="BA553" s="16">
        <f t="shared" si="73"/>
        <v>577.38333333333333</v>
      </c>
      <c r="BB553" s="9">
        <f t="shared" si="74"/>
        <v>1.4692136796228854</v>
      </c>
      <c r="BC553" s="119">
        <f t="shared" si="75"/>
        <v>22.31586880544225</v>
      </c>
    </row>
    <row r="554" spans="49:55" x14ac:dyDescent="0.3">
      <c r="AW554" s="7">
        <v>45042.916666666664</v>
      </c>
      <c r="AX554" s="51">
        <v>2.43898194926662E-3</v>
      </c>
      <c r="AY554" s="16">
        <v>60.811216330000001</v>
      </c>
      <c r="AZ554" s="2">
        <v>34425</v>
      </c>
      <c r="BA554" s="16">
        <f t="shared" si="73"/>
        <v>573.75</v>
      </c>
      <c r="BB554" s="9">
        <f t="shared" si="74"/>
        <v>1.3993658933917232</v>
      </c>
      <c r="BC554" s="119">
        <f t="shared" si="75"/>
        <v>21.605670916329192</v>
      </c>
    </row>
    <row r="555" spans="49:55" x14ac:dyDescent="0.3">
      <c r="AW555" s="7">
        <v>45042.927083333336</v>
      </c>
      <c r="AX555" s="51">
        <v>2.61283023067018E-3</v>
      </c>
      <c r="AY555" s="16">
        <v>59.685691249999998</v>
      </c>
      <c r="AZ555" s="2">
        <v>34426</v>
      </c>
      <c r="BA555" s="16">
        <f t="shared" si="73"/>
        <v>573.76666666666665</v>
      </c>
      <c r="BB555" s="9">
        <f t="shared" si="74"/>
        <v>1.4991548920175268</v>
      </c>
      <c r="BC555" s="119">
        <f t="shared" si="75"/>
        <v>22.616815959463537</v>
      </c>
    </row>
    <row r="556" spans="49:55" x14ac:dyDescent="0.3">
      <c r="AW556" s="7">
        <v>45042.9375</v>
      </c>
      <c r="AX556" s="51">
        <v>2.5359391488433101E-3</v>
      </c>
      <c r="AY556" s="16">
        <v>59.309003199999999</v>
      </c>
      <c r="AZ556" s="2">
        <v>34522</v>
      </c>
      <c r="BA556" s="16">
        <f t="shared" si="73"/>
        <v>575.36666666666667</v>
      </c>
      <c r="BB556" s="9">
        <f t="shared" si="74"/>
        <v>1.4590948549394793</v>
      </c>
      <c r="BC556" s="119">
        <f t="shared" si="75"/>
        <v>22.213697075856356</v>
      </c>
    </row>
    <row r="557" spans="49:55" x14ac:dyDescent="0.3">
      <c r="AW557" s="7">
        <v>45042.947916666664</v>
      </c>
      <c r="AX557" s="51">
        <v>2.4856691980887601E-3</v>
      </c>
      <c r="AY557" s="16">
        <v>61.555361079999997</v>
      </c>
      <c r="AZ557" s="2">
        <v>33448</v>
      </c>
      <c r="BA557" s="16">
        <f t="shared" si="73"/>
        <v>557.4666666666667</v>
      </c>
      <c r="BB557" s="9">
        <f t="shared" si="74"/>
        <v>1.3856777222945476</v>
      </c>
      <c r="BC557" s="119">
        <f t="shared" si="75"/>
        <v>21.465109475756854</v>
      </c>
    </row>
    <row r="558" spans="49:55" x14ac:dyDescent="0.3">
      <c r="AW558" s="7">
        <v>45042.958333333336</v>
      </c>
      <c r="AX558" s="51">
        <v>2.4642262067432401E-3</v>
      </c>
      <c r="AY558" s="16">
        <v>61.555361079999997</v>
      </c>
      <c r="AZ558" s="2">
        <v>34128</v>
      </c>
      <c r="BA558" s="16">
        <f t="shared" si="73"/>
        <v>568.79999999999995</v>
      </c>
      <c r="BB558" s="9">
        <f t="shared" si="74"/>
        <v>1.4016518663955548</v>
      </c>
      <c r="BC558" s="119">
        <f t="shared" si="75"/>
        <v>21.629100066225654</v>
      </c>
    </row>
    <row r="559" spans="49:55" x14ac:dyDescent="0.3">
      <c r="AW559" s="7">
        <v>45042.96875</v>
      </c>
      <c r="AX559" s="51">
        <v>2.3626160337877301E-3</v>
      </c>
      <c r="AY559" s="16">
        <v>60.811216330000001</v>
      </c>
      <c r="AZ559" s="2">
        <v>33532</v>
      </c>
      <c r="BA559" s="16">
        <f t="shared" si="73"/>
        <v>558.86666666666667</v>
      </c>
      <c r="BB559" s="9">
        <f t="shared" si="74"/>
        <v>1.3203873474161694</v>
      </c>
      <c r="BC559" s="119">
        <f t="shared" si="75"/>
        <v>20.788113673956349</v>
      </c>
    </row>
    <row r="560" spans="49:55" x14ac:dyDescent="0.3">
      <c r="AW560" s="7">
        <v>45042.979166666664</v>
      </c>
      <c r="AX560" s="51">
        <v>2.41319053319818E-3</v>
      </c>
      <c r="AY560" s="16">
        <v>63.469872090000003</v>
      </c>
      <c r="AZ560" s="2">
        <v>33654</v>
      </c>
      <c r="BA560" s="16">
        <f t="shared" si="73"/>
        <v>560.9</v>
      </c>
      <c r="BB560" s="9">
        <f t="shared" si="74"/>
        <v>1.353558570070859</v>
      </c>
      <c r="BC560" s="119">
        <f t="shared" si="75"/>
        <v>21.133437657210145</v>
      </c>
    </row>
    <row r="561" spans="49:55" x14ac:dyDescent="0.3">
      <c r="AW561" s="7">
        <v>45042.989583333336</v>
      </c>
      <c r="AX561" s="51">
        <v>2.40514834828138E-3</v>
      </c>
      <c r="AY561" s="16">
        <v>61.555361079999997</v>
      </c>
      <c r="AZ561" s="2">
        <v>33351</v>
      </c>
      <c r="BA561" s="16">
        <f t="shared" si="73"/>
        <v>555.85</v>
      </c>
      <c r="BB561" s="9">
        <f t="shared" si="74"/>
        <v>1.3369017093922051</v>
      </c>
      <c r="BC561" s="119">
        <f t="shared" si="75"/>
        <v>20.960393791691189</v>
      </c>
    </row>
    <row r="562" spans="49:55" x14ac:dyDescent="0.3">
      <c r="AW562" s="7">
        <v>45043</v>
      </c>
      <c r="AX562" s="51">
        <v>2.30614319751197E-3</v>
      </c>
      <c r="AY562" s="16">
        <v>61.555361079999997</v>
      </c>
      <c r="AZ562" s="2">
        <v>32873</v>
      </c>
      <c r="BA562" s="16">
        <f t="shared" si="73"/>
        <v>547.88333333333333</v>
      </c>
      <c r="BB562" s="9">
        <f t="shared" si="74"/>
        <v>1.2634974221968498</v>
      </c>
      <c r="BC562" s="119">
        <f t="shared" si="75"/>
        <v>20.188997722996799</v>
      </c>
    </row>
    <row r="563" spans="49:55" x14ac:dyDescent="0.3">
      <c r="AW563" s="7">
        <v>45043.010416666664</v>
      </c>
      <c r="AX563" s="51">
        <v>2.4378609222765798E-3</v>
      </c>
      <c r="AY563" s="16">
        <v>60.440350530000003</v>
      </c>
      <c r="AZ563" s="2">
        <v>32760</v>
      </c>
      <c r="BA563" s="16">
        <f t="shared" si="73"/>
        <v>546</v>
      </c>
      <c r="BB563" s="9">
        <f t="shared" si="74"/>
        <v>1.3310720635630127</v>
      </c>
      <c r="BC563" s="119">
        <f t="shared" si="75"/>
        <v>20.899660214067477</v>
      </c>
    </row>
    <row r="564" spans="49:55" x14ac:dyDescent="0.3">
      <c r="AW564" s="7">
        <v>45043.020833333336</v>
      </c>
      <c r="AX564" s="51">
        <v>2.4576045538622199E-3</v>
      </c>
      <c r="AY564" s="16">
        <v>59.685691249999998</v>
      </c>
      <c r="AZ564" s="2">
        <v>34157</v>
      </c>
      <c r="BA564" s="16">
        <f t="shared" si="73"/>
        <v>569.2833333333333</v>
      </c>
      <c r="BB564" s="9">
        <f t="shared" si="74"/>
        <v>1.399073312437864</v>
      </c>
      <c r="BC564" s="119">
        <f t="shared" si="75"/>
        <v>21.602671298964502</v>
      </c>
    </row>
    <row r="565" spans="49:55" x14ac:dyDescent="0.3">
      <c r="AW565" s="7">
        <v>45043.03125</v>
      </c>
      <c r="AX565" s="51">
        <v>2.6368539627259898E-3</v>
      </c>
      <c r="AY565" s="16">
        <v>63.469872090000003</v>
      </c>
      <c r="AZ565" s="2">
        <v>33444</v>
      </c>
      <c r="BA565" s="16">
        <f t="shared" si="73"/>
        <v>557.4</v>
      </c>
      <c r="BB565" s="9">
        <f t="shared" si="74"/>
        <v>1.4697823988234666</v>
      </c>
      <c r="BC565" s="119">
        <f t="shared" si="75"/>
        <v>22.32160424315358</v>
      </c>
    </row>
    <row r="566" spans="49:55" x14ac:dyDescent="0.3">
      <c r="AW566" s="7">
        <v>45043.041666666664</v>
      </c>
      <c r="AX566" s="51">
        <v>2.5573841618528699E-3</v>
      </c>
      <c r="AY566" s="16">
        <v>63.469872090000003</v>
      </c>
      <c r="AZ566" s="2">
        <v>33540</v>
      </c>
      <c r="BA566" s="16">
        <f t="shared" si="73"/>
        <v>559</v>
      </c>
      <c r="BB566" s="9">
        <f t="shared" si="74"/>
        <v>1.4295777464757542</v>
      </c>
      <c r="BC566" s="119">
        <f t="shared" si="75"/>
        <v>21.914287208143875</v>
      </c>
    </row>
    <row r="567" spans="49:55" x14ac:dyDescent="0.3">
      <c r="AW567" s="7">
        <v>45043.052083333336</v>
      </c>
      <c r="AX567" s="51">
        <v>2.4696653586036201E-3</v>
      </c>
      <c r="AY567" s="16">
        <v>65.743635260000005</v>
      </c>
      <c r="AZ567" s="2">
        <v>32878</v>
      </c>
      <c r="BA567" s="16">
        <f t="shared" si="73"/>
        <v>547.9666666666667</v>
      </c>
      <c r="BB567" s="9">
        <f t="shared" si="74"/>
        <v>1.3532942943361639</v>
      </c>
      <c r="BC567" s="119">
        <f t="shared" si="75"/>
        <v>21.130697769851032</v>
      </c>
    </row>
    <row r="568" spans="49:55" x14ac:dyDescent="0.3">
      <c r="AW568" s="7">
        <v>45043.0625</v>
      </c>
      <c r="AX568" s="51">
        <v>2.41065344768781E-3</v>
      </c>
      <c r="AY568" s="16">
        <v>59.685691249999998</v>
      </c>
      <c r="AZ568" s="2">
        <v>32544</v>
      </c>
      <c r="BA568" s="16">
        <f t="shared" si="73"/>
        <v>542.4</v>
      </c>
      <c r="BB568" s="9">
        <f t="shared" si="74"/>
        <v>1.3075384300258681</v>
      </c>
      <c r="BC568" s="119">
        <f t="shared" si="75"/>
        <v>20.653570751920075</v>
      </c>
    </row>
    <row r="569" spans="49:55" x14ac:dyDescent="0.3">
      <c r="AW569" s="7">
        <v>45043.072916666664</v>
      </c>
      <c r="AX569" s="51">
        <v>2.3743364702560801E-3</v>
      </c>
      <c r="AY569" s="16">
        <v>61.92162476</v>
      </c>
      <c r="AZ569" s="2">
        <v>32868</v>
      </c>
      <c r="BA569" s="16">
        <f t="shared" si="73"/>
        <v>547.79999999999995</v>
      </c>
      <c r="BB569" s="9">
        <f t="shared" si="74"/>
        <v>1.3006615184062806</v>
      </c>
      <c r="BC569" s="119">
        <f t="shared" si="75"/>
        <v>20.581379150762995</v>
      </c>
    </row>
    <row r="570" spans="49:55" x14ac:dyDescent="0.3">
      <c r="AW570" s="7">
        <v>45043.083333333336</v>
      </c>
      <c r="AX570" s="51">
        <v>2.3723701182977301E-3</v>
      </c>
      <c r="AY570" s="16">
        <v>60.433929669999998</v>
      </c>
      <c r="AZ570" s="2">
        <v>33860</v>
      </c>
      <c r="BA570" s="16">
        <f t="shared" si="73"/>
        <v>564.33333333333337</v>
      </c>
      <c r="BB570" s="9">
        <f t="shared" si="74"/>
        <v>1.3388075367593524</v>
      </c>
      <c r="BC570" s="119">
        <f t="shared" si="75"/>
        <v>20.980229496672798</v>
      </c>
    </row>
    <row r="571" spans="49:55" x14ac:dyDescent="0.3">
      <c r="AW571" s="7">
        <v>45043.09375</v>
      </c>
      <c r="AX571" s="51">
        <v>2.7233341139645401E-3</v>
      </c>
      <c r="AY571" s="16">
        <v>63.916046000000001</v>
      </c>
      <c r="AZ571" s="2">
        <v>32837</v>
      </c>
      <c r="BA571" s="16">
        <f t="shared" si="73"/>
        <v>547.2833333333333</v>
      </c>
      <c r="BB571" s="9">
        <f t="shared" si="74"/>
        <v>1.4904353716708933</v>
      </c>
      <c r="BC571" s="119">
        <f t="shared" si="75"/>
        <v>22.529383862953907</v>
      </c>
    </row>
    <row r="572" spans="49:55" x14ac:dyDescent="0.3">
      <c r="AW572" s="7">
        <v>45043.104166666664</v>
      </c>
      <c r="AX572" s="51">
        <v>2.2343239111423498E-3</v>
      </c>
      <c r="AY572" s="16">
        <v>63.916046000000001</v>
      </c>
      <c r="AZ572" s="2">
        <v>32749</v>
      </c>
      <c r="BA572" s="16">
        <f t="shared" si="73"/>
        <v>545.81666666666672</v>
      </c>
      <c r="BB572" s="9">
        <f t="shared" si="74"/>
        <v>1.2195312294333469</v>
      </c>
      <c r="BC572" s="119">
        <f t="shared" si="75"/>
        <v>19.719753723047027</v>
      </c>
    </row>
    <row r="573" spans="49:55" x14ac:dyDescent="0.3">
      <c r="AW573" s="7">
        <v>45043.114583333336</v>
      </c>
      <c r="AX573" s="51">
        <v>2.34436797974139E-3</v>
      </c>
      <c r="AY573" s="16">
        <v>61.92162476</v>
      </c>
      <c r="AZ573" s="2">
        <v>33151</v>
      </c>
      <c r="BA573" s="16">
        <f t="shared" si="73"/>
        <v>552.51666666666665</v>
      </c>
      <c r="BB573" s="9">
        <f t="shared" si="74"/>
        <v>1.2953023816067804</v>
      </c>
      <c r="BC573" s="119">
        <f t="shared" si="75"/>
        <v>20.525031712365386</v>
      </c>
    </row>
    <row r="574" spans="49:55" x14ac:dyDescent="0.3">
      <c r="AW574" s="7">
        <v>45043.125</v>
      </c>
      <c r="AX574" s="51">
        <v>2.41203850023385E-3</v>
      </c>
      <c r="AY574" s="16">
        <v>64.83012798</v>
      </c>
      <c r="AZ574" s="2">
        <v>32676</v>
      </c>
      <c r="BA574" s="16">
        <f t="shared" si="73"/>
        <v>544.6</v>
      </c>
      <c r="BB574" s="9">
        <f t="shared" si="74"/>
        <v>1.3135961672273548</v>
      </c>
      <c r="BC574" s="119">
        <f t="shared" si="75"/>
        <v>20.717057302560402</v>
      </c>
    </row>
    <row r="575" spans="49:55" x14ac:dyDescent="0.3">
      <c r="AW575" s="7">
        <v>45043.135416666664</v>
      </c>
      <c r="AX575" s="51">
        <v>2.3144479284804998E-3</v>
      </c>
      <c r="AY575" s="16">
        <v>61.555361079999997</v>
      </c>
      <c r="AZ575" s="2">
        <v>32294</v>
      </c>
      <c r="BA575" s="16">
        <f t="shared" si="73"/>
        <v>538.23333333333335</v>
      </c>
      <c r="BB575" s="9">
        <f t="shared" si="74"/>
        <v>1.2457130233724878</v>
      </c>
      <c r="BC575" s="119">
        <f t="shared" si="75"/>
        <v>19.999859239756859</v>
      </c>
    </row>
    <row r="576" spans="49:55" x14ac:dyDescent="0.3">
      <c r="AW576" s="7">
        <v>45043.145833333336</v>
      </c>
      <c r="AX576" s="51">
        <v>2.2960495946870402E-3</v>
      </c>
      <c r="AY576" s="16">
        <v>63.92387093</v>
      </c>
      <c r="AZ576" s="2">
        <v>32357</v>
      </c>
      <c r="BA576" s="16">
        <f t="shared" si="73"/>
        <v>539.2833333333333</v>
      </c>
      <c r="BB576" s="9">
        <f t="shared" si="74"/>
        <v>1.2382212789214759</v>
      </c>
      <c r="BC576" s="119">
        <f t="shared" si="75"/>
        <v>19.919912691612037</v>
      </c>
    </row>
    <row r="577" spans="49:55" x14ac:dyDescent="0.3">
      <c r="AW577" s="7">
        <v>45043.15625</v>
      </c>
      <c r="AX577" s="51">
        <v>2.84134438703311E-3</v>
      </c>
      <c r="AY577" s="16">
        <v>61.555361079999997</v>
      </c>
      <c r="AZ577" s="2">
        <v>31110</v>
      </c>
      <c r="BA577" s="16">
        <f t="shared" si="73"/>
        <v>518.5</v>
      </c>
      <c r="BB577" s="9">
        <f t="shared" si="74"/>
        <v>1.4732370646766675</v>
      </c>
      <c r="BC577" s="119">
        <f t="shared" si="75"/>
        <v>22.35642796143366</v>
      </c>
    </row>
    <row r="578" spans="49:55" x14ac:dyDescent="0.3">
      <c r="AW578" s="7">
        <v>45043.166666666664</v>
      </c>
      <c r="AX578" s="51">
        <v>2.2931002279049598E-3</v>
      </c>
      <c r="AY578" s="16">
        <v>59.685691249999998</v>
      </c>
      <c r="AZ578" s="2">
        <v>32042</v>
      </c>
      <c r="BA578" s="16">
        <f t="shared" si="73"/>
        <v>534.0333333333333</v>
      </c>
      <c r="BB578" s="9">
        <f t="shared" si="74"/>
        <v>1.224591958375512</v>
      </c>
      <c r="BC578" s="119">
        <f t="shared" si="75"/>
        <v>19.774052168880331</v>
      </c>
    </row>
    <row r="579" spans="49:55" x14ac:dyDescent="0.3">
      <c r="AW579" s="7">
        <v>45043.177083333336</v>
      </c>
      <c r="AX579" s="51">
        <v>2.24590465967343E-3</v>
      </c>
      <c r="AY579" s="16">
        <v>61.555361079999997</v>
      </c>
      <c r="AZ579" s="2">
        <v>30810</v>
      </c>
      <c r="BA579" s="16">
        <f t="shared" si="73"/>
        <v>513.5</v>
      </c>
      <c r="BB579" s="9">
        <f t="shared" si="74"/>
        <v>1.1532720427423062</v>
      </c>
      <c r="BC579" s="119">
        <f t="shared" si="75"/>
        <v>19.001683291423003</v>
      </c>
    </row>
    <row r="580" spans="49:55" x14ac:dyDescent="0.3">
      <c r="AW580" s="7">
        <v>45043.1875</v>
      </c>
      <c r="AX580" s="51">
        <v>2.2801668755278799E-3</v>
      </c>
      <c r="AY580" s="16">
        <v>60.811216330000001</v>
      </c>
      <c r="AZ580" s="2">
        <v>31291</v>
      </c>
      <c r="BA580" s="16">
        <f t="shared" ref="BA580:BA643" si="76">AZ580/60</f>
        <v>521.51666666666665</v>
      </c>
      <c r="BB580" s="9">
        <f t="shared" ref="BB580:BB643" si="77">BA580*AX580</f>
        <v>1.1891450283690481</v>
      </c>
      <c r="BC580" s="119">
        <f t="shared" ref="BC580:BC643" si="78">17.285*BB580^0.664</f>
        <v>19.392120776829184</v>
      </c>
    </row>
    <row r="581" spans="49:55" x14ac:dyDescent="0.3">
      <c r="AW581" s="7">
        <v>45043.197916666664</v>
      </c>
      <c r="AX581" s="51">
        <v>2.17798718469101E-3</v>
      </c>
      <c r="AY581" s="16">
        <v>61.92162476</v>
      </c>
      <c r="AZ581" s="2">
        <v>31394</v>
      </c>
      <c r="BA581" s="16">
        <f t="shared" si="76"/>
        <v>523.23333333333335</v>
      </c>
      <c r="BB581" s="9">
        <f t="shared" si="77"/>
        <v>1.1395954946031595</v>
      </c>
      <c r="BC581" s="119">
        <f t="shared" si="78"/>
        <v>18.851758358267865</v>
      </c>
    </row>
    <row r="582" spans="49:55" x14ac:dyDescent="0.3">
      <c r="AW582" s="7">
        <v>45043.208333333336</v>
      </c>
      <c r="AX582" s="51">
        <v>2.3713627967277798E-3</v>
      </c>
      <c r="AY582" s="16">
        <v>63.469872090000003</v>
      </c>
      <c r="AZ582" s="2">
        <v>31233</v>
      </c>
      <c r="BA582" s="16">
        <f t="shared" si="76"/>
        <v>520.54999999999995</v>
      </c>
      <c r="BB582" s="9">
        <f t="shared" si="77"/>
        <v>1.2344129038366456</v>
      </c>
      <c r="BC582" s="119">
        <f t="shared" si="78"/>
        <v>19.879210141637735</v>
      </c>
    </row>
    <row r="583" spans="49:55" x14ac:dyDescent="0.3">
      <c r="AW583" s="7">
        <v>45043.21875</v>
      </c>
      <c r="AX583" s="51">
        <v>2.4480823795886499E-3</v>
      </c>
      <c r="AY583" s="16">
        <v>61.92162476</v>
      </c>
      <c r="AZ583" s="2">
        <v>31975</v>
      </c>
      <c r="BA583" s="16">
        <f t="shared" si="76"/>
        <v>532.91666666666663</v>
      </c>
      <c r="BB583" s="9">
        <f t="shared" si="77"/>
        <v>1.3046239014557846</v>
      </c>
      <c r="BC583" s="119">
        <f t="shared" si="78"/>
        <v>20.62299058549905</v>
      </c>
    </row>
    <row r="584" spans="49:55" x14ac:dyDescent="0.3">
      <c r="AW584" s="7">
        <v>45043.229166666664</v>
      </c>
      <c r="AX584" s="51">
        <v>2.2831863853940001E-3</v>
      </c>
      <c r="AY584" s="16">
        <v>60.811216330000001</v>
      </c>
      <c r="AZ584" s="2">
        <v>31680</v>
      </c>
      <c r="BA584" s="16">
        <f t="shared" si="76"/>
        <v>528</v>
      </c>
      <c r="BB584" s="9">
        <f t="shared" si="77"/>
        <v>1.2055224114880321</v>
      </c>
      <c r="BC584" s="119">
        <f t="shared" si="78"/>
        <v>19.56905147040845</v>
      </c>
    </row>
    <row r="585" spans="49:55" x14ac:dyDescent="0.3">
      <c r="AW585" s="7">
        <v>45043.239583333336</v>
      </c>
      <c r="AX585" s="51">
        <v>2.2911096817020298E-3</v>
      </c>
      <c r="AY585" s="16">
        <v>63.92387093</v>
      </c>
      <c r="AZ585" s="2">
        <v>30886</v>
      </c>
      <c r="BA585" s="16">
        <f t="shared" si="76"/>
        <v>514.76666666666665</v>
      </c>
      <c r="BB585" s="9">
        <f t="shared" si="77"/>
        <v>1.1793868938174816</v>
      </c>
      <c r="BC585" s="119">
        <f t="shared" si="78"/>
        <v>19.286310982546468</v>
      </c>
    </row>
    <row r="586" spans="49:55" x14ac:dyDescent="0.3">
      <c r="AW586" s="7">
        <v>45043.25</v>
      </c>
      <c r="AX586" s="51">
        <v>2.1805999302815099E-3</v>
      </c>
      <c r="AY586" s="16">
        <v>62.654512349999997</v>
      </c>
      <c r="AZ586" s="2">
        <v>30652</v>
      </c>
      <c r="BA586" s="16">
        <f t="shared" si="76"/>
        <v>510.86666666666667</v>
      </c>
      <c r="BB586" s="9">
        <f t="shared" si="77"/>
        <v>1.1139958177164806</v>
      </c>
      <c r="BC586" s="119">
        <f t="shared" si="78"/>
        <v>18.569493920774423</v>
      </c>
    </row>
    <row r="587" spans="49:55" x14ac:dyDescent="0.3">
      <c r="AW587" s="7">
        <v>45043.260416666664</v>
      </c>
      <c r="AX587" s="51">
        <v>2.3610112181231299E-3</v>
      </c>
      <c r="AY587" s="16">
        <v>59.685691249999998</v>
      </c>
      <c r="AZ587" s="2">
        <v>29814</v>
      </c>
      <c r="BA587" s="16">
        <f t="shared" si="76"/>
        <v>496.9</v>
      </c>
      <c r="BB587" s="9">
        <f t="shared" si="77"/>
        <v>1.1731864742853833</v>
      </c>
      <c r="BC587" s="119">
        <f t="shared" si="78"/>
        <v>19.218925501051721</v>
      </c>
    </row>
    <row r="588" spans="49:55" x14ac:dyDescent="0.3">
      <c r="AW588" s="7">
        <v>45043.270833333336</v>
      </c>
      <c r="AX588" s="51">
        <v>2.2998931275014199E-3</v>
      </c>
      <c r="AY588" s="16">
        <v>63.015482910000003</v>
      </c>
      <c r="AZ588" s="2">
        <v>30662</v>
      </c>
      <c r="BA588" s="16">
        <f t="shared" si="76"/>
        <v>511.03333333333336</v>
      </c>
      <c r="BB588" s="9">
        <f t="shared" si="77"/>
        <v>1.1753220512574756</v>
      </c>
      <c r="BC588" s="119">
        <f t="shared" si="78"/>
        <v>19.242148197129062</v>
      </c>
    </row>
    <row r="589" spans="49:55" x14ac:dyDescent="0.3">
      <c r="AW589" s="7">
        <v>45043.28125</v>
      </c>
      <c r="AX589" s="51">
        <v>2.3390218572779502E-3</v>
      </c>
      <c r="AY589" s="16">
        <v>61.92162476</v>
      </c>
      <c r="AZ589" s="2">
        <v>30886</v>
      </c>
      <c r="BA589" s="16">
        <f t="shared" si="76"/>
        <v>514.76666666666665</v>
      </c>
      <c r="BB589" s="9">
        <f t="shared" si="77"/>
        <v>1.2040504847314462</v>
      </c>
      <c r="BC589" s="119">
        <f t="shared" si="78"/>
        <v>19.553182896807137</v>
      </c>
    </row>
    <row r="590" spans="49:55" x14ac:dyDescent="0.3">
      <c r="AW590" s="7">
        <v>45043.291666666664</v>
      </c>
      <c r="AX590" s="51">
        <v>2.3098693776587602E-3</v>
      </c>
      <c r="AY590" s="16">
        <v>59.685691249999998</v>
      </c>
      <c r="AZ590" s="2">
        <v>31181</v>
      </c>
      <c r="BA590" s="16">
        <f t="shared" si="76"/>
        <v>519.68333333333328</v>
      </c>
      <c r="BB590" s="9">
        <f t="shared" si="77"/>
        <v>1.2004006177462965</v>
      </c>
      <c r="BC590" s="119">
        <f t="shared" si="78"/>
        <v>19.513806198789183</v>
      </c>
    </row>
    <row r="591" spans="49:55" x14ac:dyDescent="0.3">
      <c r="AW591" s="7">
        <v>45043.302083333336</v>
      </c>
      <c r="AX591" s="51">
        <v>2.2798696546534598E-3</v>
      </c>
      <c r="AY591" s="16">
        <v>59.685691249999998</v>
      </c>
      <c r="AZ591" s="2">
        <v>31121</v>
      </c>
      <c r="BA591" s="16">
        <f t="shared" si="76"/>
        <v>518.68333333333328</v>
      </c>
      <c r="BB591" s="9">
        <f t="shared" si="77"/>
        <v>1.1825303920411718</v>
      </c>
      <c r="BC591" s="119">
        <f t="shared" si="78"/>
        <v>19.320428693427683</v>
      </c>
    </row>
    <row r="592" spans="49:55" x14ac:dyDescent="0.3">
      <c r="AW592" s="7">
        <v>45043.3125</v>
      </c>
      <c r="AX592" s="51">
        <v>2.3048156896005902E-3</v>
      </c>
      <c r="AY592" s="16">
        <v>55.839219309999997</v>
      </c>
      <c r="AZ592" s="2">
        <v>31058</v>
      </c>
      <c r="BA592" s="16">
        <f t="shared" si="76"/>
        <v>517.63333333333333</v>
      </c>
      <c r="BB592" s="9">
        <f t="shared" si="77"/>
        <v>1.1930494281269188</v>
      </c>
      <c r="BC592" s="119">
        <f t="shared" si="78"/>
        <v>19.43437533488968</v>
      </c>
    </row>
    <row r="593" spans="49:55" x14ac:dyDescent="0.3">
      <c r="AW593" s="7">
        <v>45043.322916666664</v>
      </c>
      <c r="AX593" s="51">
        <v>2.1185071000656198E-3</v>
      </c>
      <c r="AY593" s="16">
        <v>54.662424110000003</v>
      </c>
      <c r="AZ593" s="2">
        <v>30150</v>
      </c>
      <c r="BA593" s="16">
        <f t="shared" si="76"/>
        <v>502.5</v>
      </c>
      <c r="BB593" s="9">
        <f t="shared" si="77"/>
        <v>1.064549817782974</v>
      </c>
      <c r="BC593" s="119">
        <f t="shared" si="78"/>
        <v>18.018042260564425</v>
      </c>
    </row>
    <row r="594" spans="49:55" x14ac:dyDescent="0.3">
      <c r="AW594" s="7">
        <v>45043.333333333336</v>
      </c>
      <c r="AX594" s="51">
        <v>2.2515675326876699E-3</v>
      </c>
      <c r="AY594" s="16">
        <v>57.390707069999998</v>
      </c>
      <c r="AZ594" s="2">
        <v>30443</v>
      </c>
      <c r="BA594" s="16">
        <f t="shared" si="76"/>
        <v>507.38333333333333</v>
      </c>
      <c r="BB594" s="9">
        <f t="shared" si="77"/>
        <v>1.1424078399601789</v>
      </c>
      <c r="BC594" s="119">
        <f t="shared" si="78"/>
        <v>18.882636984737395</v>
      </c>
    </row>
    <row r="595" spans="49:55" x14ac:dyDescent="0.3">
      <c r="AW595" s="7">
        <v>45043.34375</v>
      </c>
      <c r="AX595" s="51">
        <v>2.5263293471831198E-3</v>
      </c>
      <c r="AY595" s="16">
        <v>55.44335564</v>
      </c>
      <c r="AZ595" s="2">
        <v>30691</v>
      </c>
      <c r="BA595" s="16">
        <f t="shared" si="76"/>
        <v>511.51666666666665</v>
      </c>
      <c r="BB595" s="9">
        <f t="shared" si="77"/>
        <v>1.2922595665732854</v>
      </c>
      <c r="BC595" s="119">
        <f t="shared" si="78"/>
        <v>20.493003857928642</v>
      </c>
    </row>
    <row r="596" spans="49:55" x14ac:dyDescent="0.3">
      <c r="AW596" s="7">
        <v>45043.354166666664</v>
      </c>
      <c r="AX596" s="51">
        <v>2.58444684397241E-3</v>
      </c>
      <c r="AY596" s="16">
        <v>58.544650400000002</v>
      </c>
      <c r="AZ596" s="2">
        <v>30883</v>
      </c>
      <c r="BA596" s="16">
        <f t="shared" si="76"/>
        <v>514.7166666666667</v>
      </c>
      <c r="BB596" s="9">
        <f t="shared" si="77"/>
        <v>1.3302578647066656</v>
      </c>
      <c r="BC596" s="119">
        <f t="shared" si="78"/>
        <v>20.891170738483243</v>
      </c>
    </row>
    <row r="597" spans="49:55" x14ac:dyDescent="0.3">
      <c r="AW597" s="7">
        <v>45043.364583333336</v>
      </c>
      <c r="AX597" s="51">
        <v>2.3634844724220801E-3</v>
      </c>
      <c r="AY597" s="16">
        <v>60.060669519999998</v>
      </c>
      <c r="AZ597" s="2">
        <v>30945</v>
      </c>
      <c r="BA597" s="16">
        <f t="shared" si="76"/>
        <v>515.75</v>
      </c>
      <c r="BB597" s="9">
        <f t="shared" si="77"/>
        <v>1.2189671166516878</v>
      </c>
      <c r="BC597" s="119">
        <f t="shared" si="78"/>
        <v>19.713696461378209</v>
      </c>
    </row>
    <row r="598" spans="49:55" x14ac:dyDescent="0.3">
      <c r="AW598" s="7">
        <v>45043.375</v>
      </c>
      <c r="AX598" s="51">
        <v>2.1848685092929498E-3</v>
      </c>
      <c r="AY598" s="16">
        <v>58.924071830000003</v>
      </c>
      <c r="AZ598" s="2">
        <v>30418</v>
      </c>
      <c r="BA598" s="16">
        <f t="shared" si="76"/>
        <v>506.96666666666664</v>
      </c>
      <c r="BB598" s="9">
        <f t="shared" si="77"/>
        <v>1.1076555052612158</v>
      </c>
      <c r="BC598" s="119">
        <f t="shared" si="78"/>
        <v>18.499249576149751</v>
      </c>
    </row>
    <row r="599" spans="49:55" x14ac:dyDescent="0.3">
      <c r="AW599" s="7">
        <v>45043.385416666664</v>
      </c>
      <c r="AX599" s="51">
        <v>2.1492907460052002E-3</v>
      </c>
      <c r="AY599" s="16">
        <v>58.924071830000003</v>
      </c>
      <c r="AZ599" s="2">
        <v>29653</v>
      </c>
      <c r="BA599" s="16">
        <f t="shared" si="76"/>
        <v>494.21666666666664</v>
      </c>
      <c r="BB599" s="9">
        <f t="shared" si="77"/>
        <v>1.0622153081882033</v>
      </c>
      <c r="BC599" s="119">
        <f t="shared" si="78"/>
        <v>17.991796118092715</v>
      </c>
    </row>
    <row r="600" spans="49:55" x14ac:dyDescent="0.3">
      <c r="AW600" s="7">
        <v>45043.395833333336</v>
      </c>
      <c r="AX600" s="51">
        <v>2.1120032645872899E-3</v>
      </c>
      <c r="AY600" s="16">
        <v>54.655667649999998</v>
      </c>
      <c r="AZ600" s="2">
        <v>29981</v>
      </c>
      <c r="BA600" s="16">
        <f t="shared" si="76"/>
        <v>499.68333333333334</v>
      </c>
      <c r="BB600" s="9">
        <f t="shared" si="77"/>
        <v>1.0553328312598589</v>
      </c>
      <c r="BC600" s="119">
        <f t="shared" si="78"/>
        <v>17.91430558242001</v>
      </c>
    </row>
    <row r="601" spans="49:55" x14ac:dyDescent="0.3">
      <c r="AW601" s="7">
        <v>45043.40625</v>
      </c>
      <c r="AX601" s="51">
        <v>2.4419639328024001E-3</v>
      </c>
      <c r="AY601" s="16">
        <v>60.811216330000001</v>
      </c>
      <c r="AZ601" s="2">
        <v>30597</v>
      </c>
      <c r="BA601" s="16">
        <f t="shared" si="76"/>
        <v>509.95</v>
      </c>
      <c r="BB601" s="9">
        <f t="shared" si="77"/>
        <v>1.245279507532584</v>
      </c>
      <c r="BC601" s="119">
        <f t="shared" si="78"/>
        <v>19.995237479876575</v>
      </c>
    </row>
    <row r="602" spans="49:55" x14ac:dyDescent="0.3">
      <c r="AW602" s="7">
        <v>45043.416666666664</v>
      </c>
      <c r="AX602" s="51">
        <v>2.2662637284513901E-3</v>
      </c>
      <c r="AY602" s="16">
        <v>57.774288900000002</v>
      </c>
      <c r="AZ602" s="2">
        <v>31125</v>
      </c>
      <c r="BA602" s="16">
        <f t="shared" si="76"/>
        <v>518.75</v>
      </c>
      <c r="BB602" s="9">
        <f t="shared" si="77"/>
        <v>1.1756243091341585</v>
      </c>
      <c r="BC602" s="119">
        <f t="shared" si="78"/>
        <v>19.245433864655475</v>
      </c>
    </row>
    <row r="603" spans="49:55" x14ac:dyDescent="0.3">
      <c r="AW603" s="7">
        <v>45043.427083333336</v>
      </c>
      <c r="AX603" s="51">
        <v>2.3248186645073599E-3</v>
      </c>
      <c r="AY603" s="16">
        <v>55.839219309999997</v>
      </c>
      <c r="AZ603" s="2">
        <v>30700</v>
      </c>
      <c r="BA603" s="16">
        <f t="shared" si="76"/>
        <v>511.66666666666669</v>
      </c>
      <c r="BB603" s="9">
        <f t="shared" si="77"/>
        <v>1.1895322166729325</v>
      </c>
      <c r="BC603" s="119">
        <f t="shared" si="78"/>
        <v>19.396313122056618</v>
      </c>
    </row>
    <row r="604" spans="49:55" x14ac:dyDescent="0.3">
      <c r="AW604" s="7">
        <v>45043.4375</v>
      </c>
      <c r="AX604" s="51">
        <v>2.5479428640259399E-3</v>
      </c>
      <c r="AY604" s="16">
        <v>57.780893030000001</v>
      </c>
      <c r="AZ604" s="2">
        <v>30791</v>
      </c>
      <c r="BA604" s="16">
        <f t="shared" si="76"/>
        <v>513.18333333333328</v>
      </c>
      <c r="BB604" s="9">
        <f t="shared" si="77"/>
        <v>1.3075618121037118</v>
      </c>
      <c r="BC604" s="119">
        <f t="shared" si="78"/>
        <v>20.653815991498721</v>
      </c>
    </row>
    <row r="605" spans="49:55" x14ac:dyDescent="0.3">
      <c r="AW605" s="7">
        <v>45043.447916666664</v>
      </c>
      <c r="AX605" s="51">
        <v>2.3570166432882399E-3</v>
      </c>
      <c r="AY605" s="16">
        <v>57.780893030000001</v>
      </c>
      <c r="AZ605" s="2">
        <v>30693</v>
      </c>
      <c r="BA605" s="16">
        <f t="shared" si="76"/>
        <v>511.55</v>
      </c>
      <c r="BB605" s="9">
        <f t="shared" si="77"/>
        <v>1.2057318638740993</v>
      </c>
      <c r="BC605" s="119">
        <f t="shared" si="78"/>
        <v>19.57130900910143</v>
      </c>
    </row>
    <row r="606" spans="49:55" x14ac:dyDescent="0.3">
      <c r="AW606" s="7">
        <v>45043.458333333336</v>
      </c>
      <c r="AX606" s="51">
        <v>2.51182524503508E-3</v>
      </c>
      <c r="AY606" s="16">
        <v>53.869685959999998</v>
      </c>
      <c r="AZ606" s="2">
        <v>30084</v>
      </c>
      <c r="BA606" s="16">
        <f t="shared" si="76"/>
        <v>501.4</v>
      </c>
      <c r="BB606" s="9">
        <f t="shared" si="77"/>
        <v>1.2594291778605891</v>
      </c>
      <c r="BC606" s="119">
        <f t="shared" si="78"/>
        <v>20.145810954972088</v>
      </c>
    </row>
    <row r="607" spans="49:55" x14ac:dyDescent="0.3">
      <c r="AW607" s="7">
        <v>45043.46875</v>
      </c>
      <c r="AX607" s="51">
        <v>2.3403883846867799E-3</v>
      </c>
      <c r="AY607" s="16">
        <v>55.832518540000002</v>
      </c>
      <c r="AZ607" s="2">
        <v>31061</v>
      </c>
      <c r="BA607" s="16">
        <f t="shared" si="76"/>
        <v>517.68333333333328</v>
      </c>
      <c r="BB607" s="9">
        <f t="shared" si="77"/>
        <v>1.2115800602792677</v>
      </c>
      <c r="BC607" s="119">
        <f t="shared" si="78"/>
        <v>19.634289478936996</v>
      </c>
    </row>
    <row r="608" spans="49:55" x14ac:dyDescent="0.3">
      <c r="AW608" s="7">
        <v>45043.479166666664</v>
      </c>
      <c r="AX608" s="51">
        <v>2.36781008592138E-3</v>
      </c>
      <c r="AY608" s="16">
        <v>56.614200629999999</v>
      </c>
      <c r="AZ608" s="2">
        <v>31265</v>
      </c>
      <c r="BA608" s="16">
        <f t="shared" si="76"/>
        <v>521.08333333333337</v>
      </c>
      <c r="BB608" s="9">
        <f t="shared" si="77"/>
        <v>1.2338263722721992</v>
      </c>
      <c r="BC608" s="119">
        <f t="shared" si="78"/>
        <v>19.872937755107746</v>
      </c>
    </row>
    <row r="609" spans="49:55" x14ac:dyDescent="0.3">
      <c r="AW609" s="7">
        <v>45043.489583333336</v>
      </c>
      <c r="AX609" s="51">
        <v>2.3256998324407401E-3</v>
      </c>
      <c r="AY609" s="16">
        <v>59.685691249999998</v>
      </c>
      <c r="AZ609" s="2">
        <v>31091</v>
      </c>
      <c r="BA609" s="16">
        <f t="shared" si="76"/>
        <v>518.18333333333328</v>
      </c>
      <c r="BB609" s="9">
        <f t="shared" si="77"/>
        <v>1.2051388915069174</v>
      </c>
      <c r="BC609" s="119">
        <f t="shared" si="78"/>
        <v>19.564917438961576</v>
      </c>
    </row>
    <row r="610" spans="49:55" x14ac:dyDescent="0.3">
      <c r="AW610" s="7">
        <v>45043.5</v>
      </c>
      <c r="AX610" s="51">
        <v>2.37880949180462E-3</v>
      </c>
      <c r="AY610" s="16">
        <v>57.774288900000002</v>
      </c>
      <c r="AZ610" s="2">
        <v>31092</v>
      </c>
      <c r="BA610" s="16">
        <f t="shared" si="76"/>
        <v>518.20000000000005</v>
      </c>
      <c r="BB610" s="9">
        <f t="shared" si="77"/>
        <v>1.2326990786531542</v>
      </c>
      <c r="BC610" s="119">
        <f t="shared" si="78"/>
        <v>19.860879628617365</v>
      </c>
    </row>
    <row r="611" spans="49:55" x14ac:dyDescent="0.3">
      <c r="AW611" s="7">
        <v>45043.510416666664</v>
      </c>
      <c r="AX611" s="51">
        <v>2.4028927773032099E-3</v>
      </c>
      <c r="AY611" s="16">
        <v>60.811216330000001</v>
      </c>
      <c r="AZ611" s="2">
        <v>31383</v>
      </c>
      <c r="BA611" s="16">
        <f t="shared" si="76"/>
        <v>523.04999999999995</v>
      </c>
      <c r="BB611" s="9">
        <f t="shared" si="77"/>
        <v>1.2568330671684438</v>
      </c>
      <c r="BC611" s="119">
        <f t="shared" si="78"/>
        <v>20.118227237278809</v>
      </c>
    </row>
    <row r="612" spans="49:55" x14ac:dyDescent="0.3">
      <c r="AW612" s="7">
        <v>45043.520833333336</v>
      </c>
      <c r="AX612" s="51">
        <v>2.47046029730753E-3</v>
      </c>
      <c r="AY612" s="16">
        <v>57.774288900000002</v>
      </c>
      <c r="AZ612" s="2">
        <v>31078</v>
      </c>
      <c r="BA612" s="16">
        <f t="shared" si="76"/>
        <v>517.9666666666667</v>
      </c>
      <c r="BB612" s="9">
        <f t="shared" si="77"/>
        <v>1.2796160853287237</v>
      </c>
      <c r="BC612" s="119">
        <f t="shared" si="78"/>
        <v>20.35964956322205</v>
      </c>
    </row>
    <row r="613" spans="49:55" x14ac:dyDescent="0.3">
      <c r="AW613" s="7">
        <v>45043.53125</v>
      </c>
      <c r="AX613" s="51">
        <v>2.3568068092691798E-3</v>
      </c>
      <c r="AY613" s="16">
        <v>61.92162476</v>
      </c>
      <c r="AZ613" s="2">
        <v>31847</v>
      </c>
      <c r="BA613" s="16">
        <f t="shared" si="76"/>
        <v>530.7833333333333</v>
      </c>
      <c r="BB613" s="9">
        <f t="shared" si="77"/>
        <v>1.2509537742465928</v>
      </c>
      <c r="BC613" s="119">
        <f t="shared" si="78"/>
        <v>20.055688778989357</v>
      </c>
    </row>
    <row r="614" spans="49:55" x14ac:dyDescent="0.3">
      <c r="AW614" s="7">
        <v>45043.541666666664</v>
      </c>
      <c r="AX614" s="51">
        <v>2.53997913375092E-3</v>
      </c>
      <c r="AY614" s="16">
        <v>57.780893030000001</v>
      </c>
      <c r="AZ614" s="2">
        <v>32506</v>
      </c>
      <c r="BA614" s="16">
        <f t="shared" si="76"/>
        <v>541.76666666666665</v>
      </c>
      <c r="BB614" s="9">
        <f t="shared" si="77"/>
        <v>1.3760760286951235</v>
      </c>
      <c r="BC614" s="119">
        <f t="shared" si="78"/>
        <v>21.366232850873118</v>
      </c>
    </row>
    <row r="615" spans="49:55" x14ac:dyDescent="0.3">
      <c r="AW615" s="7">
        <v>45043.552083333336</v>
      </c>
      <c r="AX615" s="51">
        <v>2.6958286121036902E-3</v>
      </c>
      <c r="AY615" s="16">
        <v>58.930610829999999</v>
      </c>
      <c r="AZ615" s="2">
        <v>32535</v>
      </c>
      <c r="BA615" s="16">
        <f t="shared" si="76"/>
        <v>542.25</v>
      </c>
      <c r="BB615" s="9">
        <f t="shared" si="77"/>
        <v>1.4618130649132259</v>
      </c>
      <c r="BC615" s="119">
        <f t="shared" si="78"/>
        <v>22.241166690597794</v>
      </c>
    </row>
    <row r="616" spans="49:55" x14ac:dyDescent="0.3">
      <c r="AW616" s="7">
        <v>45043.5625</v>
      </c>
      <c r="AX616" s="51">
        <v>2.5520476915115099E-3</v>
      </c>
      <c r="AY616" s="16">
        <v>54.263216800000002</v>
      </c>
      <c r="AZ616" s="2">
        <v>33560</v>
      </c>
      <c r="BA616" s="16">
        <f t="shared" si="76"/>
        <v>559.33333333333337</v>
      </c>
      <c r="BB616" s="9">
        <f t="shared" si="77"/>
        <v>1.4274453421187714</v>
      </c>
      <c r="BC616" s="119">
        <f t="shared" si="78"/>
        <v>21.892576894328709</v>
      </c>
    </row>
    <row r="617" spans="49:55" x14ac:dyDescent="0.3">
      <c r="AW617" s="7">
        <v>45043.572916666664</v>
      </c>
      <c r="AX617" s="51">
        <v>2.8185544210836198E-3</v>
      </c>
      <c r="AY617" s="16">
        <v>60.811216330000001</v>
      </c>
      <c r="AZ617" s="2">
        <v>34351</v>
      </c>
      <c r="BA617" s="16">
        <f t="shared" si="76"/>
        <v>572.51666666666665</v>
      </c>
      <c r="BB617" s="9">
        <f t="shared" si="77"/>
        <v>1.6136693819773904</v>
      </c>
      <c r="BC617" s="119">
        <f t="shared" si="78"/>
        <v>23.749706713119078</v>
      </c>
    </row>
    <row r="618" spans="49:55" x14ac:dyDescent="0.3">
      <c r="AW618" s="7">
        <v>45043.583333333336</v>
      </c>
      <c r="AX618" s="51">
        <v>2.6793133826531401E-3</v>
      </c>
      <c r="AY618" s="16">
        <v>59.309003199999999</v>
      </c>
      <c r="AZ618" s="2">
        <v>35093</v>
      </c>
      <c r="BA618" s="16">
        <f t="shared" si="76"/>
        <v>584.88333333333333</v>
      </c>
      <c r="BB618" s="9">
        <f t="shared" si="77"/>
        <v>1.5670857422907774</v>
      </c>
      <c r="BC618" s="119">
        <f t="shared" si="78"/>
        <v>23.2922249666718</v>
      </c>
    </row>
    <row r="619" spans="49:55" x14ac:dyDescent="0.3">
      <c r="AW619" s="7">
        <v>45043.59375</v>
      </c>
      <c r="AX619" s="51">
        <v>2.8896952616305101E-3</v>
      </c>
      <c r="AY619" s="16">
        <v>59.309003199999999</v>
      </c>
      <c r="AZ619" s="2">
        <v>35410</v>
      </c>
      <c r="BA619" s="16">
        <f t="shared" si="76"/>
        <v>590.16666666666663</v>
      </c>
      <c r="BB619" s="9">
        <f t="shared" si="77"/>
        <v>1.7054018202389392</v>
      </c>
      <c r="BC619" s="119">
        <f t="shared" si="78"/>
        <v>24.637822802428293</v>
      </c>
    </row>
    <row r="620" spans="49:55" x14ac:dyDescent="0.3">
      <c r="AW620" s="7">
        <v>45043.604166666664</v>
      </c>
      <c r="AX620" s="51">
        <v>2.7476608973446598E-3</v>
      </c>
      <c r="AY620" s="16">
        <v>58.163333729999998</v>
      </c>
      <c r="AZ620" s="2">
        <v>36785</v>
      </c>
      <c r="BA620" s="16">
        <f t="shared" si="76"/>
        <v>613.08333333333337</v>
      </c>
      <c r="BB620" s="9">
        <f t="shared" si="77"/>
        <v>1.6845451018137219</v>
      </c>
      <c r="BC620" s="119">
        <f t="shared" si="78"/>
        <v>24.437335932317918</v>
      </c>
    </row>
    <row r="621" spans="49:55" x14ac:dyDescent="0.3">
      <c r="AW621" s="7">
        <v>45043.614583333336</v>
      </c>
      <c r="AX621" s="51">
        <v>2.7167456113096101E-3</v>
      </c>
      <c r="AY621" s="16">
        <v>58.156749089999998</v>
      </c>
      <c r="AZ621" s="2">
        <v>37490</v>
      </c>
      <c r="BA621" s="16">
        <f t="shared" si="76"/>
        <v>624.83333333333337</v>
      </c>
      <c r="BB621" s="9">
        <f t="shared" si="77"/>
        <v>1.6975132161332882</v>
      </c>
      <c r="BC621" s="119">
        <f t="shared" si="78"/>
        <v>24.562090369982794</v>
      </c>
    </row>
    <row r="622" spans="49:55" x14ac:dyDescent="0.3">
      <c r="AW622" s="7">
        <v>45043.625</v>
      </c>
      <c r="AX622" s="51">
        <v>3.0378401069255001E-3</v>
      </c>
      <c r="AY622" s="16">
        <v>60.811216330000001</v>
      </c>
      <c r="AZ622" s="2">
        <v>37734</v>
      </c>
      <c r="BA622" s="16">
        <f t="shared" si="76"/>
        <v>628.9</v>
      </c>
      <c r="BB622" s="9">
        <f t="shared" si="77"/>
        <v>1.910497643245447</v>
      </c>
      <c r="BC622" s="119">
        <f t="shared" si="78"/>
        <v>26.567498458555324</v>
      </c>
    </row>
    <row r="623" spans="49:55" x14ac:dyDescent="0.3">
      <c r="AW623" s="7">
        <v>45043.635416666664</v>
      </c>
      <c r="AX623" s="51">
        <v>2.8887468433351601E-3</v>
      </c>
      <c r="AY623" s="16">
        <v>60.060669519999998</v>
      </c>
      <c r="AZ623" s="2">
        <v>38699</v>
      </c>
      <c r="BA623" s="16">
        <f t="shared" si="76"/>
        <v>644.98333333333335</v>
      </c>
      <c r="BB623" s="9">
        <f t="shared" si="77"/>
        <v>1.8631935681704561</v>
      </c>
      <c r="BC623" s="119">
        <f t="shared" si="78"/>
        <v>26.128873130762518</v>
      </c>
    </row>
    <row r="624" spans="49:55" x14ac:dyDescent="0.3">
      <c r="AW624" s="7">
        <v>45043.645833333336</v>
      </c>
      <c r="AX624" s="51">
        <v>4.7166785057846097E-3</v>
      </c>
      <c r="AY624" s="16">
        <v>60.060669519999998</v>
      </c>
      <c r="AZ624" s="2">
        <v>39648</v>
      </c>
      <c r="BA624" s="16">
        <f t="shared" si="76"/>
        <v>660.8</v>
      </c>
      <c r="BB624" s="9">
        <f t="shared" si="77"/>
        <v>3.1167811566224697</v>
      </c>
      <c r="BC624" s="119">
        <f t="shared" si="78"/>
        <v>36.769724290718429</v>
      </c>
    </row>
    <row r="625" spans="49:55" x14ac:dyDescent="0.3">
      <c r="AW625" s="7">
        <v>45043.65625</v>
      </c>
      <c r="AX625" s="51">
        <v>5.4090645055792702E-3</v>
      </c>
      <c r="AY625" s="16">
        <v>60.440350530000003</v>
      </c>
      <c r="AZ625" s="2">
        <v>34904</v>
      </c>
      <c r="BA625" s="16">
        <f t="shared" si="76"/>
        <v>581.73333333333335</v>
      </c>
      <c r="BB625" s="9">
        <f t="shared" si="77"/>
        <v>3.1466331250456476</v>
      </c>
      <c r="BC625" s="119">
        <f t="shared" si="78"/>
        <v>37.003193015396974</v>
      </c>
    </row>
    <row r="626" spans="49:55" x14ac:dyDescent="0.3">
      <c r="AW626" s="7">
        <v>45043.666666666664</v>
      </c>
      <c r="AX626" s="51">
        <v>5.1732754145887398E-3</v>
      </c>
      <c r="AY626" s="16">
        <v>61.187353479999999</v>
      </c>
      <c r="AZ626" s="2">
        <v>35739</v>
      </c>
      <c r="BA626" s="16">
        <f t="shared" si="76"/>
        <v>595.65</v>
      </c>
      <c r="BB626" s="9">
        <f t="shared" si="77"/>
        <v>3.081461500699783</v>
      </c>
      <c r="BC626" s="119">
        <f t="shared" si="78"/>
        <v>36.492520720198669</v>
      </c>
    </row>
    <row r="627" spans="49:55" x14ac:dyDescent="0.3">
      <c r="AW627" s="7">
        <v>45043.677083333336</v>
      </c>
      <c r="AX627" s="51">
        <v>5.1331192954907701E-3</v>
      </c>
      <c r="AY627" s="16">
        <v>59.309003199999999</v>
      </c>
      <c r="AZ627" s="2">
        <v>35555</v>
      </c>
      <c r="BA627" s="16">
        <f t="shared" si="76"/>
        <v>592.58333333333337</v>
      </c>
      <c r="BB627" s="9">
        <f t="shared" si="77"/>
        <v>3.0418009425195724</v>
      </c>
      <c r="BC627" s="119">
        <f t="shared" si="78"/>
        <v>36.179972175187366</v>
      </c>
    </row>
    <row r="628" spans="49:55" x14ac:dyDescent="0.3">
      <c r="AW628" s="7">
        <v>45043.6875</v>
      </c>
      <c r="AX628" s="51">
        <v>4.8913059204954796E-3</v>
      </c>
      <c r="AY628" s="16">
        <v>61.187353479999999</v>
      </c>
      <c r="AZ628" s="2">
        <v>35974</v>
      </c>
      <c r="BA628" s="16">
        <f t="shared" si="76"/>
        <v>599.56666666666672</v>
      </c>
      <c r="BB628" s="9">
        <f t="shared" si="77"/>
        <v>2.9326639863984068</v>
      </c>
      <c r="BC628" s="119">
        <f t="shared" si="78"/>
        <v>35.31275124089332</v>
      </c>
    </row>
    <row r="629" spans="49:55" x14ac:dyDescent="0.3">
      <c r="AW629" s="7">
        <v>45043.697916666664</v>
      </c>
      <c r="AX629" s="51">
        <v>5.6817373996226701E-3</v>
      </c>
      <c r="AY629" s="16">
        <v>63.469872090000003</v>
      </c>
      <c r="AZ629" s="2">
        <v>35312</v>
      </c>
      <c r="BA629" s="16">
        <f t="shared" si="76"/>
        <v>588.5333333333333</v>
      </c>
      <c r="BB629" s="9">
        <f t="shared" si="77"/>
        <v>3.3438918509245954</v>
      </c>
      <c r="BC629" s="119">
        <f t="shared" si="78"/>
        <v>38.527680156916951</v>
      </c>
    </row>
    <row r="630" spans="49:55" x14ac:dyDescent="0.3">
      <c r="AW630" s="7">
        <v>45043.708333333336</v>
      </c>
      <c r="AX630" s="51">
        <v>5.0632251169852403E-3</v>
      </c>
      <c r="AY630" s="16">
        <v>63.916046000000001</v>
      </c>
      <c r="AZ630" s="2">
        <v>35847</v>
      </c>
      <c r="BA630" s="16">
        <f t="shared" si="76"/>
        <v>597.45000000000005</v>
      </c>
      <c r="BB630" s="9">
        <f t="shared" si="77"/>
        <v>3.0250238461428318</v>
      </c>
      <c r="BC630" s="119">
        <f t="shared" si="78"/>
        <v>36.047347131014853</v>
      </c>
    </row>
    <row r="631" spans="49:55" x14ac:dyDescent="0.3">
      <c r="AW631" s="7">
        <v>45043.71875</v>
      </c>
      <c r="AX631" s="51">
        <v>5.22566604566258E-3</v>
      </c>
      <c r="AY631" s="16">
        <v>61.187353479999999</v>
      </c>
      <c r="AZ631" s="2">
        <v>36071</v>
      </c>
      <c r="BA631" s="16">
        <f t="shared" si="76"/>
        <v>601.18333333333328</v>
      </c>
      <c r="BB631" s="9">
        <f t="shared" si="77"/>
        <v>3.1415833322182483</v>
      </c>
      <c r="BC631" s="119">
        <f t="shared" si="78"/>
        <v>36.963751654674709</v>
      </c>
    </row>
    <row r="632" spans="49:55" x14ac:dyDescent="0.3">
      <c r="AW632" s="7">
        <v>45043.729166666664</v>
      </c>
      <c r="AX632" s="51">
        <v>5.1719459804055699E-3</v>
      </c>
      <c r="AY632" s="16">
        <v>62.292408569999999</v>
      </c>
      <c r="AZ632" s="2">
        <v>36120</v>
      </c>
      <c r="BA632" s="16">
        <f t="shared" si="76"/>
        <v>602</v>
      </c>
      <c r="BB632" s="9">
        <f t="shared" si="77"/>
        <v>3.1135114802041532</v>
      </c>
      <c r="BC632" s="119">
        <f t="shared" si="78"/>
        <v>36.744106982830786</v>
      </c>
    </row>
    <row r="633" spans="49:55" x14ac:dyDescent="0.3">
      <c r="AW633" s="7">
        <v>45043.739583333336</v>
      </c>
      <c r="AX633" s="51">
        <v>4.8592620379686504E-3</v>
      </c>
      <c r="AY633" s="16">
        <v>62.292408569999999</v>
      </c>
      <c r="AZ633" s="2">
        <v>36348</v>
      </c>
      <c r="BA633" s="16">
        <f t="shared" si="76"/>
        <v>605.79999999999995</v>
      </c>
      <c r="BB633" s="9">
        <f t="shared" si="77"/>
        <v>2.9437409426014081</v>
      </c>
      <c r="BC633" s="119">
        <f t="shared" si="78"/>
        <v>35.401259247538057</v>
      </c>
    </row>
    <row r="634" spans="49:55" x14ac:dyDescent="0.3">
      <c r="AW634" s="7">
        <v>45043.75</v>
      </c>
      <c r="AX634" s="51">
        <v>5.2634889861644099E-3</v>
      </c>
      <c r="AY634" s="16">
        <v>60.440350530000003</v>
      </c>
      <c r="AZ634" s="2">
        <v>36053</v>
      </c>
      <c r="BA634" s="16">
        <f t="shared" si="76"/>
        <v>600.88333333333333</v>
      </c>
      <c r="BB634" s="9">
        <f t="shared" si="77"/>
        <v>3.1627428069697578</v>
      </c>
      <c r="BC634" s="119">
        <f t="shared" si="78"/>
        <v>37.128875653262945</v>
      </c>
    </row>
    <row r="635" spans="49:55" x14ac:dyDescent="0.3">
      <c r="AW635" s="7">
        <v>45043.760416666664</v>
      </c>
      <c r="AX635" s="51">
        <v>5.7033170158070903E-3</v>
      </c>
      <c r="AY635" s="16">
        <v>63.469872090000003</v>
      </c>
      <c r="AZ635" s="2">
        <v>35606</v>
      </c>
      <c r="BA635" s="16">
        <f t="shared" si="76"/>
        <v>593.43333333333328</v>
      </c>
      <c r="BB635" s="9">
        <f t="shared" si="77"/>
        <v>3.3845384277471204</v>
      </c>
      <c r="BC635" s="119">
        <f t="shared" si="78"/>
        <v>38.838014387129881</v>
      </c>
    </row>
    <row r="636" spans="49:55" x14ac:dyDescent="0.3">
      <c r="AW636" s="7">
        <v>45043.770833333336</v>
      </c>
      <c r="AX636" s="51">
        <v>5.6333712717502697E-3</v>
      </c>
      <c r="AY636" s="16">
        <v>63.015482910000003</v>
      </c>
      <c r="AZ636" s="2">
        <v>34915</v>
      </c>
      <c r="BA636" s="16">
        <f t="shared" si="76"/>
        <v>581.91666666666663</v>
      </c>
      <c r="BB636" s="9">
        <f t="shared" si="77"/>
        <v>3.2781526325526777</v>
      </c>
      <c r="BC636" s="119">
        <f t="shared" si="78"/>
        <v>38.023067735686233</v>
      </c>
    </row>
    <row r="637" spans="49:55" x14ac:dyDescent="0.3">
      <c r="AW637" s="7">
        <v>45043.78125</v>
      </c>
      <c r="AX637" s="51">
        <v>5.27306443640205E-3</v>
      </c>
      <c r="AY637" s="16">
        <v>64.377553680000005</v>
      </c>
      <c r="AZ637" s="2">
        <v>35808</v>
      </c>
      <c r="BA637" s="16">
        <f t="shared" si="76"/>
        <v>596.79999999999995</v>
      </c>
      <c r="BB637" s="9">
        <f t="shared" si="77"/>
        <v>3.1469648556447432</v>
      </c>
      <c r="BC637" s="119">
        <f t="shared" si="78"/>
        <v>37.005783249468088</v>
      </c>
    </row>
    <row r="638" spans="49:55" x14ac:dyDescent="0.3">
      <c r="AW638" s="7">
        <v>45043.791666666664</v>
      </c>
      <c r="AX638" s="51">
        <v>5.4356753523088297E-3</v>
      </c>
      <c r="AY638" s="16">
        <v>64.377553680000005</v>
      </c>
      <c r="AZ638" s="2">
        <v>35665</v>
      </c>
      <c r="BA638" s="16">
        <f t="shared" si="76"/>
        <v>594.41666666666663</v>
      </c>
      <c r="BB638" s="9">
        <f t="shared" si="77"/>
        <v>3.2310560240015733</v>
      </c>
      <c r="BC638" s="119">
        <f t="shared" si="78"/>
        <v>37.659463105992835</v>
      </c>
    </row>
    <row r="639" spans="49:55" x14ac:dyDescent="0.3">
      <c r="AW639" s="7">
        <v>45043.802083333336</v>
      </c>
      <c r="AX639" s="51">
        <v>5.4830729733275898E-3</v>
      </c>
      <c r="AY639" s="16">
        <v>63.015482910000003</v>
      </c>
      <c r="AZ639" s="2">
        <v>35887</v>
      </c>
      <c r="BA639" s="16">
        <f t="shared" si="76"/>
        <v>598.11666666666667</v>
      </c>
      <c r="BB639" s="9">
        <f t="shared" si="77"/>
        <v>3.279517329896787</v>
      </c>
      <c r="BC639" s="119">
        <f t="shared" si="78"/>
        <v>38.033577477301122</v>
      </c>
    </row>
    <row r="640" spans="49:55" x14ac:dyDescent="0.3">
      <c r="AW640" s="7">
        <v>45043.8125</v>
      </c>
      <c r="AX640" s="51">
        <v>5.0717221572506204E-3</v>
      </c>
      <c r="AY640" s="16">
        <v>66.647934039999996</v>
      </c>
      <c r="AZ640" s="2">
        <v>36241</v>
      </c>
      <c r="BA640" s="16">
        <f t="shared" si="76"/>
        <v>604.01666666666665</v>
      </c>
      <c r="BB640" s="9">
        <f t="shared" si="77"/>
        <v>3.0634047116819954</v>
      </c>
      <c r="BC640" s="119">
        <f t="shared" si="78"/>
        <v>36.350391239613096</v>
      </c>
    </row>
    <row r="641" spans="49:55" x14ac:dyDescent="0.3">
      <c r="AW641" s="7">
        <v>45043.822916666664</v>
      </c>
      <c r="AX641" s="51">
        <v>5.3260374316388198E-3</v>
      </c>
      <c r="AY641" s="16">
        <v>64.377553680000005</v>
      </c>
      <c r="AZ641" s="2">
        <v>35325</v>
      </c>
      <c r="BA641" s="16">
        <f t="shared" si="76"/>
        <v>588.75</v>
      </c>
      <c r="BB641" s="9">
        <f t="shared" si="77"/>
        <v>3.1357045378773551</v>
      </c>
      <c r="BC641" s="119">
        <f t="shared" si="78"/>
        <v>36.917808540425064</v>
      </c>
    </row>
    <row r="642" spans="49:55" x14ac:dyDescent="0.3">
      <c r="AW642" s="7">
        <v>45043.833333333336</v>
      </c>
      <c r="AX642" s="51">
        <v>5.6794500265443396E-3</v>
      </c>
      <c r="AY642" s="16">
        <v>68.016396760000006</v>
      </c>
      <c r="AZ642" s="2">
        <v>35980</v>
      </c>
      <c r="BA642" s="16">
        <f t="shared" si="76"/>
        <v>599.66666666666663</v>
      </c>
      <c r="BB642" s="9">
        <f t="shared" si="77"/>
        <v>3.4057768659177556</v>
      </c>
      <c r="BC642" s="119">
        <f t="shared" si="78"/>
        <v>38.999670233684256</v>
      </c>
    </row>
    <row r="643" spans="49:55" x14ac:dyDescent="0.3">
      <c r="AW643" s="7">
        <v>45043.84375</v>
      </c>
      <c r="AX643" s="51">
        <v>5.08455039289556E-3</v>
      </c>
      <c r="AY643" s="16">
        <v>70.271667750000006</v>
      </c>
      <c r="AZ643" s="2">
        <v>36330</v>
      </c>
      <c r="BA643" s="16">
        <f t="shared" si="76"/>
        <v>605.5</v>
      </c>
      <c r="BB643" s="9">
        <f t="shared" si="77"/>
        <v>3.0786952628982616</v>
      </c>
      <c r="BC643" s="119">
        <f t="shared" si="78"/>
        <v>36.470765162171794</v>
      </c>
    </row>
    <row r="644" spans="49:55" x14ac:dyDescent="0.3">
      <c r="AW644" s="7">
        <v>45043.854166666664</v>
      </c>
      <c r="AX644" s="51">
        <v>5.5752591234965003E-3</v>
      </c>
      <c r="AY644" s="16">
        <v>67.565551839999998</v>
      </c>
      <c r="AZ644" s="2">
        <v>35338</v>
      </c>
      <c r="BA644" s="16">
        <f t="shared" ref="BA644:BA707" si="79">AZ644/60</f>
        <v>588.9666666666667</v>
      </c>
      <c r="BB644" s="9">
        <f t="shared" ref="BB644:BB707" si="80">BA644*AX644</f>
        <v>3.2836417817686558</v>
      </c>
      <c r="BC644" s="119">
        <f t="shared" ref="BC644:BC707" si="81">17.285*BB644^0.664</f>
        <v>38.065331580312353</v>
      </c>
    </row>
    <row r="645" spans="49:55" x14ac:dyDescent="0.3">
      <c r="AW645" s="7">
        <v>45043.864583333336</v>
      </c>
      <c r="AX645" s="51">
        <v>5.0497027877303502E-3</v>
      </c>
      <c r="AY645" s="16">
        <v>67.565551839999998</v>
      </c>
      <c r="AZ645" s="2">
        <v>36286</v>
      </c>
      <c r="BA645" s="16">
        <f t="shared" si="79"/>
        <v>604.76666666666665</v>
      </c>
      <c r="BB645" s="9">
        <f t="shared" si="80"/>
        <v>3.0538919225930581</v>
      </c>
      <c r="BC645" s="119">
        <f t="shared" si="81"/>
        <v>36.275400526624665</v>
      </c>
    </row>
    <row r="646" spans="49:55" x14ac:dyDescent="0.3">
      <c r="AW646" s="7">
        <v>45043.875</v>
      </c>
      <c r="AX646" s="51">
        <v>5.1431086435913898E-3</v>
      </c>
      <c r="AY646" s="16">
        <v>70.279402750000003</v>
      </c>
      <c r="AZ646" s="2">
        <v>36108</v>
      </c>
      <c r="BA646" s="16">
        <f t="shared" si="79"/>
        <v>601.79999999999995</v>
      </c>
      <c r="BB646" s="9">
        <f t="shared" si="80"/>
        <v>3.095122781713298</v>
      </c>
      <c r="BC646" s="119">
        <f t="shared" si="81"/>
        <v>36.599866178041729</v>
      </c>
    </row>
    <row r="647" spans="49:55" x14ac:dyDescent="0.3">
      <c r="AW647" s="7">
        <v>45043.885416666664</v>
      </c>
      <c r="AX647" s="51">
        <v>5.36699345251991E-3</v>
      </c>
      <c r="AY647" s="16">
        <v>70.279402750000003</v>
      </c>
      <c r="AZ647" s="2">
        <v>36313</v>
      </c>
      <c r="BA647" s="16">
        <f t="shared" si="79"/>
        <v>605.2166666666667</v>
      </c>
      <c r="BB647" s="9">
        <f t="shared" si="80"/>
        <v>3.2481938873559248</v>
      </c>
      <c r="BC647" s="119">
        <f t="shared" si="81"/>
        <v>37.791979050114548</v>
      </c>
    </row>
    <row r="648" spans="49:55" x14ac:dyDescent="0.3">
      <c r="AW648" s="7">
        <v>45043.895833333336</v>
      </c>
      <c r="AX648" s="51">
        <v>5.1249112679805399E-3</v>
      </c>
      <c r="AY648" s="16">
        <v>67.565551839999998</v>
      </c>
      <c r="AZ648" s="2">
        <v>36440</v>
      </c>
      <c r="BA648" s="16">
        <f t="shared" si="79"/>
        <v>607.33333333333337</v>
      </c>
      <c r="BB648" s="9">
        <f t="shared" si="80"/>
        <v>3.1125294434201813</v>
      </c>
      <c r="BC648" s="119">
        <f t="shared" si="81"/>
        <v>36.736411142019371</v>
      </c>
    </row>
    <row r="649" spans="49:55" x14ac:dyDescent="0.3">
      <c r="AW649" s="7">
        <v>45043.90625</v>
      </c>
      <c r="AX649" s="51">
        <v>5.4798053252183201E-3</v>
      </c>
      <c r="AY649" s="16">
        <v>68.016396760000006</v>
      </c>
      <c r="AZ649" s="2">
        <v>35452</v>
      </c>
      <c r="BA649" s="16">
        <f t="shared" si="79"/>
        <v>590.86666666666667</v>
      </c>
      <c r="BB649" s="9">
        <f t="shared" si="80"/>
        <v>3.2378343064939981</v>
      </c>
      <c r="BC649" s="119">
        <f t="shared" si="81"/>
        <v>37.711903317314722</v>
      </c>
    </row>
    <row r="650" spans="49:55" x14ac:dyDescent="0.3">
      <c r="AW650" s="7">
        <v>45043.916666666664</v>
      </c>
      <c r="AX650" s="51">
        <v>5.3260086174532397E-3</v>
      </c>
      <c r="AY650" s="16">
        <v>66.655723199999997</v>
      </c>
      <c r="AZ650" s="2">
        <v>36265</v>
      </c>
      <c r="BA650" s="16">
        <f t="shared" si="79"/>
        <v>604.41666666666663</v>
      </c>
      <c r="BB650" s="9">
        <f t="shared" si="80"/>
        <v>3.2191283751990287</v>
      </c>
      <c r="BC650" s="119">
        <f t="shared" si="81"/>
        <v>37.567094952824156</v>
      </c>
    </row>
    <row r="651" spans="49:55" x14ac:dyDescent="0.3">
      <c r="AW651" s="7">
        <v>45043.927083333336</v>
      </c>
      <c r="AX651" s="51">
        <v>5.4364708645023496E-3</v>
      </c>
      <c r="AY651" s="16">
        <v>65.290959470000004</v>
      </c>
      <c r="AZ651" s="2">
        <v>36235</v>
      </c>
      <c r="BA651" s="16">
        <f t="shared" si="79"/>
        <v>603.91666666666663</v>
      </c>
      <c r="BB651" s="9">
        <f t="shared" si="80"/>
        <v>3.2831753629207103</v>
      </c>
      <c r="BC651" s="119">
        <f t="shared" si="81"/>
        <v>38.061741299817989</v>
      </c>
    </row>
    <row r="652" spans="49:55" x14ac:dyDescent="0.3">
      <c r="AW652" s="7">
        <v>45043.9375</v>
      </c>
      <c r="AX652" s="51">
        <v>5.4186984773209696E-3</v>
      </c>
      <c r="AY652" s="16">
        <v>65.283151739999994</v>
      </c>
      <c r="AZ652" s="2">
        <v>37002</v>
      </c>
      <c r="BA652" s="16">
        <f t="shared" si="79"/>
        <v>616.70000000000005</v>
      </c>
      <c r="BB652" s="9">
        <f t="shared" si="80"/>
        <v>3.3417113509638421</v>
      </c>
      <c r="BC652" s="119">
        <f t="shared" si="81"/>
        <v>38.510996456307268</v>
      </c>
    </row>
    <row r="653" spans="49:55" x14ac:dyDescent="0.3">
      <c r="AW653" s="7">
        <v>45043.947916666664</v>
      </c>
      <c r="AX653" s="51">
        <v>5.2050197252072597E-3</v>
      </c>
      <c r="AY653" s="16">
        <v>66.655723199999997</v>
      </c>
      <c r="AZ653" s="2">
        <v>36406</v>
      </c>
      <c r="BA653" s="16">
        <f t="shared" si="79"/>
        <v>606.76666666666665</v>
      </c>
      <c r="BB653" s="9">
        <f t="shared" si="80"/>
        <v>3.1582324685982583</v>
      </c>
      <c r="BC653" s="119">
        <f t="shared" si="81"/>
        <v>37.093709146675053</v>
      </c>
    </row>
    <row r="654" spans="49:55" x14ac:dyDescent="0.3">
      <c r="AW654" s="7">
        <v>45043.958333333336</v>
      </c>
      <c r="AX654" s="51">
        <v>5.1977322925245498E-3</v>
      </c>
      <c r="AY654" s="16">
        <v>65.283151739999994</v>
      </c>
      <c r="AZ654" s="2">
        <v>36689</v>
      </c>
      <c r="BA654" s="16">
        <f t="shared" si="79"/>
        <v>611.48333333333335</v>
      </c>
      <c r="BB654" s="9">
        <f t="shared" si="80"/>
        <v>3.17832666800722</v>
      </c>
      <c r="BC654" s="119">
        <f t="shared" si="81"/>
        <v>37.250251480004607</v>
      </c>
    </row>
    <row r="655" spans="49:55" x14ac:dyDescent="0.3">
      <c r="AW655" s="7">
        <v>45043.96875</v>
      </c>
      <c r="AX655" s="51">
        <v>4.9975081928256603E-3</v>
      </c>
      <c r="AY655" s="16">
        <v>70.271667750000006</v>
      </c>
      <c r="AZ655" s="2">
        <v>36859</v>
      </c>
      <c r="BA655" s="16">
        <f t="shared" si="79"/>
        <v>614.31666666666672</v>
      </c>
      <c r="BB655" s="9">
        <f t="shared" si="80"/>
        <v>3.070052574656017</v>
      </c>
      <c r="BC655" s="119">
        <f t="shared" si="81"/>
        <v>36.402750878560681</v>
      </c>
    </row>
    <row r="656" spans="49:55" x14ac:dyDescent="0.3">
      <c r="AW656" s="7">
        <v>45043.979166666664</v>
      </c>
      <c r="AX656" s="51">
        <v>5.0846451867268697E-3</v>
      </c>
      <c r="AY656" s="16">
        <v>67.557775419999999</v>
      </c>
      <c r="AZ656" s="2">
        <v>36125</v>
      </c>
      <c r="BA656" s="16">
        <f t="shared" si="79"/>
        <v>602.08333333333337</v>
      </c>
      <c r="BB656" s="9">
        <f t="shared" si="80"/>
        <v>3.0613801228418032</v>
      </c>
      <c r="BC656" s="119">
        <f t="shared" si="81"/>
        <v>36.334437670322302</v>
      </c>
    </row>
    <row r="657" spans="49:56" x14ac:dyDescent="0.3">
      <c r="AW657" s="7">
        <v>45043.989583333336</v>
      </c>
      <c r="AX657" s="51">
        <v>5.0842728768793503E-3</v>
      </c>
      <c r="AY657" s="16">
        <v>68.008627450000006</v>
      </c>
      <c r="AZ657" s="2">
        <v>36352</v>
      </c>
      <c r="BA657" s="16">
        <f t="shared" si="79"/>
        <v>605.86666666666667</v>
      </c>
      <c r="BB657" s="9">
        <f t="shared" si="80"/>
        <v>3.0803914603386358</v>
      </c>
      <c r="BC657" s="119">
        <f t="shared" si="81"/>
        <v>36.484105980327953</v>
      </c>
    </row>
    <row r="658" spans="49:56" x14ac:dyDescent="0.3">
      <c r="AW658" s="7">
        <v>45044</v>
      </c>
      <c r="AX658" s="51">
        <v>4.9944666424450602E-3</v>
      </c>
      <c r="AY658" s="16">
        <v>66.647934039999996</v>
      </c>
      <c r="AZ658" s="2">
        <v>37434</v>
      </c>
      <c r="BA658" s="16">
        <f t="shared" si="79"/>
        <v>623.9</v>
      </c>
      <c r="BB658" s="9">
        <f t="shared" si="80"/>
        <v>3.1160477382214729</v>
      </c>
      <c r="BC658" s="119">
        <f t="shared" si="81"/>
        <v>36.763978879535223</v>
      </c>
    </row>
    <row r="659" spans="49:56" x14ac:dyDescent="0.3">
      <c r="AW659" s="7">
        <v>45044.010416666664</v>
      </c>
      <c r="AX659" s="51">
        <v>5.1900348293913096E-3</v>
      </c>
      <c r="AY659" s="16">
        <v>69.36581735</v>
      </c>
      <c r="AZ659" s="2">
        <v>36265</v>
      </c>
      <c r="BA659" s="16">
        <f t="shared" si="79"/>
        <v>604.41666666666663</v>
      </c>
      <c r="BB659" s="9">
        <f t="shared" si="80"/>
        <v>3.1369435514645971</v>
      </c>
      <c r="BC659" s="119">
        <f t="shared" si="81"/>
        <v>36.92749390787219</v>
      </c>
    </row>
    <row r="660" spans="49:56" x14ac:dyDescent="0.3">
      <c r="AW660" s="7">
        <v>45044.020833333336</v>
      </c>
      <c r="AX660" s="51">
        <v>5.35910386909792E-3</v>
      </c>
      <c r="AY660" s="16">
        <v>66.655723199999997</v>
      </c>
      <c r="AZ660" s="2">
        <v>36407</v>
      </c>
      <c r="BA660" s="16">
        <f t="shared" si="79"/>
        <v>606.7833333333333</v>
      </c>
      <c r="BB660" s="9">
        <f t="shared" si="80"/>
        <v>3.2518149093707995</v>
      </c>
      <c r="BC660" s="119">
        <f t="shared" si="81"/>
        <v>37.819947965932251</v>
      </c>
    </row>
    <row r="661" spans="49:56" x14ac:dyDescent="0.3">
      <c r="AW661" s="7">
        <v>45044.03125</v>
      </c>
      <c r="AX661" s="51">
        <v>5.0150034136164801E-3</v>
      </c>
      <c r="AY661" s="16">
        <v>65.743635260000005</v>
      </c>
      <c r="AZ661" s="2">
        <v>36417</v>
      </c>
      <c r="BA661" s="16">
        <f t="shared" si="79"/>
        <v>606.95000000000005</v>
      </c>
      <c r="BB661" s="9">
        <f t="shared" si="80"/>
        <v>3.0438563218945229</v>
      </c>
      <c r="BC661" s="119">
        <f t="shared" si="81"/>
        <v>36.196203285265632</v>
      </c>
    </row>
    <row r="662" spans="49:56" x14ac:dyDescent="0.3">
      <c r="AW662" s="7">
        <v>45044.041666666664</v>
      </c>
      <c r="AX662" s="51">
        <v>5.22960374859652E-3</v>
      </c>
      <c r="AY662" s="16">
        <v>66.647934039999996</v>
      </c>
      <c r="AZ662" s="2">
        <v>36868</v>
      </c>
      <c r="BA662" s="16">
        <f t="shared" si="79"/>
        <v>614.4666666666667</v>
      </c>
      <c r="BB662" s="9">
        <f t="shared" si="80"/>
        <v>3.2134171833876084</v>
      </c>
      <c r="BC662" s="119">
        <f t="shared" si="81"/>
        <v>37.52282656876622</v>
      </c>
    </row>
    <row r="663" spans="49:56" x14ac:dyDescent="0.3">
      <c r="AW663" s="7">
        <v>45044.052083333336</v>
      </c>
      <c r="AX663" s="51">
        <v>4.8704130368305001E-3</v>
      </c>
      <c r="AY663" s="16">
        <v>67.565551839999998</v>
      </c>
      <c r="AZ663" s="2">
        <v>37346</v>
      </c>
      <c r="BA663" s="16">
        <f t="shared" si="79"/>
        <v>622.43333333333328</v>
      </c>
      <c r="BB663" s="9">
        <f t="shared" si="80"/>
        <v>3.0315074212245308</v>
      </c>
      <c r="BC663" s="119">
        <f t="shared" si="81"/>
        <v>36.098629829748987</v>
      </c>
    </row>
    <row r="664" spans="49:56" x14ac:dyDescent="0.3">
      <c r="AW664" s="7">
        <v>45044.0625</v>
      </c>
      <c r="AX664" s="51">
        <v>4.9733671428610696E-3</v>
      </c>
      <c r="AY664" s="16">
        <v>68.924680609999996</v>
      </c>
      <c r="AZ664" s="2">
        <v>37083</v>
      </c>
      <c r="BA664" s="16">
        <f t="shared" si="79"/>
        <v>618.04999999999995</v>
      </c>
      <c r="BB664" s="9">
        <f t="shared" si="80"/>
        <v>3.0737895626452838</v>
      </c>
      <c r="BC664" s="119">
        <f t="shared" si="81"/>
        <v>36.432167270247142</v>
      </c>
    </row>
    <row r="665" spans="49:56" x14ac:dyDescent="0.3">
      <c r="AW665" s="7">
        <v>45044.072916666664</v>
      </c>
      <c r="AX665" s="51">
        <v>4.9789175172595098E-3</v>
      </c>
      <c r="AY665" s="16">
        <v>65.743635260000005</v>
      </c>
      <c r="AZ665" s="2">
        <v>36729</v>
      </c>
      <c r="BA665" s="16">
        <f t="shared" si="79"/>
        <v>612.15</v>
      </c>
      <c r="BB665" s="9">
        <f t="shared" si="80"/>
        <v>3.0478443581904089</v>
      </c>
      <c r="BC665" s="119">
        <f t="shared" si="81"/>
        <v>36.227685878864882</v>
      </c>
    </row>
    <row r="666" spans="49:56" x14ac:dyDescent="0.3">
      <c r="AW666" s="7">
        <v>45044.083333333336</v>
      </c>
      <c r="AX666" s="51">
        <v>4.6809313923706301E-3</v>
      </c>
      <c r="AY666" s="16">
        <v>68.016396760000006</v>
      </c>
      <c r="AZ666" s="2">
        <v>37097</v>
      </c>
      <c r="BA666" s="16">
        <f t="shared" si="79"/>
        <v>618.2833333333333</v>
      </c>
      <c r="BB666" s="9">
        <f t="shared" si="80"/>
        <v>2.8941418643795545</v>
      </c>
      <c r="BC666" s="119">
        <f t="shared" si="81"/>
        <v>35.004069813021331</v>
      </c>
    </row>
    <row r="667" spans="49:56" x14ac:dyDescent="0.3">
      <c r="AW667" s="7">
        <v>45044.09375</v>
      </c>
      <c r="AX667" s="51">
        <v>4.7677369551825197E-3</v>
      </c>
      <c r="AY667" s="16">
        <v>68.016396760000006</v>
      </c>
      <c r="AZ667" s="2">
        <v>37188</v>
      </c>
      <c r="BA667" s="16">
        <f t="shared" si="79"/>
        <v>619.79999999999995</v>
      </c>
      <c r="BB667" s="9">
        <f t="shared" si="80"/>
        <v>2.9550433648221257</v>
      </c>
      <c r="BC667" s="119">
        <f t="shared" si="81"/>
        <v>35.491453524763322</v>
      </c>
    </row>
    <row r="668" spans="49:56" x14ac:dyDescent="0.3">
      <c r="AW668" s="7">
        <v>45044.104166666664</v>
      </c>
      <c r="AX668" s="51">
        <v>5.0663164949575701E-3</v>
      </c>
      <c r="AY668" s="16">
        <v>66.655723199999997</v>
      </c>
      <c r="AZ668" s="2">
        <v>36596</v>
      </c>
      <c r="BA668" s="16">
        <f t="shared" si="79"/>
        <v>609.93333333333328</v>
      </c>
      <c r="BB668" s="9">
        <f t="shared" si="80"/>
        <v>3.0901153074911205</v>
      </c>
      <c r="BC668" s="119">
        <f t="shared" si="81"/>
        <v>36.5605377554607</v>
      </c>
    </row>
    <row r="669" spans="49:56" x14ac:dyDescent="0.3">
      <c r="AW669" s="81">
        <v>45044.114583333336</v>
      </c>
      <c r="AX669" s="49">
        <v>5.1483289569655604E-3</v>
      </c>
      <c r="AY669" s="85">
        <v>67.565551839999998</v>
      </c>
      <c r="AZ669" s="39">
        <v>37481</v>
      </c>
      <c r="BA669" s="120">
        <f t="shared" si="79"/>
        <v>624.68333333333328</v>
      </c>
      <c r="BB669" s="40">
        <f t="shared" si="80"/>
        <v>3.2160752939337693</v>
      </c>
      <c r="BC669" s="72">
        <f t="shared" si="81"/>
        <v>37.543433305238331</v>
      </c>
      <c r="BD669" t="s">
        <v>33</v>
      </c>
    </row>
    <row r="670" spans="49:56" x14ac:dyDescent="0.3">
      <c r="AW670" s="81">
        <v>45044.125</v>
      </c>
      <c r="AX670" s="49">
        <v>1.8111308452651399E-2</v>
      </c>
      <c r="AY670" s="85">
        <v>66.655723199999997</v>
      </c>
      <c r="AZ670" s="39">
        <v>37450</v>
      </c>
      <c r="BA670" s="120">
        <f t="shared" si="79"/>
        <v>624.16666666666663</v>
      </c>
      <c r="BB670" s="40">
        <f t="shared" si="80"/>
        <v>11.304475025863248</v>
      </c>
      <c r="BC670" s="72">
        <f t="shared" si="81"/>
        <v>86.50229872740951</v>
      </c>
    </row>
    <row r="671" spans="49:56" x14ac:dyDescent="0.3">
      <c r="AW671" s="74">
        <v>45044.135416666664</v>
      </c>
      <c r="AX671" s="48">
        <v>5.3214397937699697E-3</v>
      </c>
      <c r="AY671" s="88">
        <v>68.016396760000006</v>
      </c>
      <c r="AZ671" s="28">
        <v>37053</v>
      </c>
      <c r="BA671" s="121">
        <f t="shared" si="79"/>
        <v>617.54999999999995</v>
      </c>
      <c r="BB671" s="29">
        <f t="shared" si="80"/>
        <v>3.2862551446426447</v>
      </c>
      <c r="BC671" s="71">
        <f t="shared" si="81"/>
        <v>38.085444892253754</v>
      </c>
    </row>
    <row r="672" spans="49:56" x14ac:dyDescent="0.3">
      <c r="AW672" s="7">
        <v>45044.145833333336</v>
      </c>
      <c r="AX672" s="51">
        <v>4.6962028078312802E-3</v>
      </c>
      <c r="AY672" s="16">
        <v>66.655723199999997</v>
      </c>
      <c r="AZ672" s="2">
        <v>37657</v>
      </c>
      <c r="BA672" s="16">
        <f t="shared" si="79"/>
        <v>627.61666666666667</v>
      </c>
      <c r="BB672" s="9">
        <f t="shared" si="80"/>
        <v>2.9474151522417085</v>
      </c>
      <c r="BC672" s="119">
        <f t="shared" si="81"/>
        <v>35.430592492471241</v>
      </c>
    </row>
    <row r="673" spans="49:55" x14ac:dyDescent="0.3">
      <c r="AW673" s="7">
        <v>45044.15625</v>
      </c>
      <c r="AX673" s="51">
        <v>5.0259382724087698E-3</v>
      </c>
      <c r="AY673" s="16">
        <v>66.655723199999997</v>
      </c>
      <c r="AZ673" s="2">
        <v>36930</v>
      </c>
      <c r="BA673" s="16">
        <f t="shared" si="79"/>
        <v>615.5</v>
      </c>
      <c r="BB673" s="9">
        <f t="shared" si="80"/>
        <v>3.0934650066675977</v>
      </c>
      <c r="BC673" s="119">
        <f t="shared" si="81"/>
        <v>36.586848474429964</v>
      </c>
    </row>
    <row r="674" spans="49:55" x14ac:dyDescent="0.3">
      <c r="AW674" s="7">
        <v>45044.166666666664</v>
      </c>
      <c r="AX674" s="51">
        <v>5.1517146028118603E-3</v>
      </c>
      <c r="AY674" s="16">
        <v>65.290959470000004</v>
      </c>
      <c r="AZ674" s="2">
        <v>37556</v>
      </c>
      <c r="BA674" s="16">
        <f t="shared" si="79"/>
        <v>625.93333333333328</v>
      </c>
      <c r="BB674" s="9">
        <f t="shared" si="80"/>
        <v>3.2246298937200368</v>
      </c>
      <c r="BC674" s="119">
        <f t="shared" si="81"/>
        <v>37.609713178052637</v>
      </c>
    </row>
    <row r="675" spans="49:55" x14ac:dyDescent="0.3">
      <c r="AW675" s="7">
        <v>45044.177083333336</v>
      </c>
      <c r="AX675" s="51">
        <v>4.9190579053159898E-3</v>
      </c>
      <c r="AY675" s="16">
        <v>67.565551839999998</v>
      </c>
      <c r="AZ675" s="2">
        <v>37791</v>
      </c>
      <c r="BA675" s="16">
        <f t="shared" si="79"/>
        <v>629.85</v>
      </c>
      <c r="BB675" s="9">
        <f t="shared" si="80"/>
        <v>3.0982686216632764</v>
      </c>
      <c r="BC675" s="119">
        <f t="shared" si="81"/>
        <v>36.624562494894136</v>
      </c>
    </row>
    <row r="676" spans="49:55" x14ac:dyDescent="0.3">
      <c r="AW676" s="7">
        <v>45044.1875</v>
      </c>
      <c r="AX676" s="51">
        <v>4.93681171650998E-3</v>
      </c>
      <c r="AY676" s="16">
        <v>67.565551839999998</v>
      </c>
      <c r="AZ676" s="2">
        <v>37230</v>
      </c>
      <c r="BA676" s="16">
        <f t="shared" si="79"/>
        <v>620.5</v>
      </c>
      <c r="BB676" s="9">
        <f t="shared" si="80"/>
        <v>3.0632916700944426</v>
      </c>
      <c r="BC676" s="119">
        <f t="shared" si="81"/>
        <v>36.349500575952348</v>
      </c>
    </row>
    <row r="677" spans="49:55" x14ac:dyDescent="0.3">
      <c r="AW677" s="7">
        <v>45044.197916666664</v>
      </c>
      <c r="AX677" s="51">
        <v>5.3081790596542899E-3</v>
      </c>
      <c r="AY677" s="16">
        <v>67.565551839999998</v>
      </c>
      <c r="AZ677" s="2">
        <v>36316</v>
      </c>
      <c r="BA677" s="16">
        <f t="shared" si="79"/>
        <v>605.26666666666665</v>
      </c>
      <c r="BB677" s="9">
        <f t="shared" si="80"/>
        <v>3.2128638455067531</v>
      </c>
      <c r="BC677" s="119">
        <f t="shared" si="81"/>
        <v>37.518536152004067</v>
      </c>
    </row>
    <row r="678" spans="49:55" x14ac:dyDescent="0.3">
      <c r="AW678" s="7">
        <v>45044.208333333336</v>
      </c>
      <c r="AX678" s="51">
        <v>5.0471080334104799E-3</v>
      </c>
      <c r="AY678" s="16">
        <v>66.655723199999997</v>
      </c>
      <c r="AZ678" s="2">
        <v>36947</v>
      </c>
      <c r="BA678" s="16">
        <f t="shared" si="79"/>
        <v>615.7833333333333</v>
      </c>
      <c r="BB678" s="9">
        <f t="shared" si="80"/>
        <v>3.1079250085069501</v>
      </c>
      <c r="BC678" s="119">
        <f t="shared" si="81"/>
        <v>36.700317087710275</v>
      </c>
    </row>
    <row r="679" spans="49:55" x14ac:dyDescent="0.3">
      <c r="AW679" s="7">
        <v>45044.21875</v>
      </c>
      <c r="AX679" s="51">
        <v>4.6878839482952803E-3</v>
      </c>
      <c r="AY679" s="16">
        <v>66.655723199999997</v>
      </c>
      <c r="AZ679" s="2">
        <v>38063</v>
      </c>
      <c r="BA679" s="16">
        <f t="shared" si="79"/>
        <v>634.38333333333333</v>
      </c>
      <c r="BB679" s="9">
        <f t="shared" si="80"/>
        <v>2.9739154453993875</v>
      </c>
      <c r="BC679" s="119">
        <f t="shared" si="81"/>
        <v>35.641796416593387</v>
      </c>
    </row>
    <row r="680" spans="49:55" x14ac:dyDescent="0.3">
      <c r="AW680" s="7">
        <v>45044.229166666664</v>
      </c>
      <c r="AX680" s="51">
        <v>4.7076022613188901E-3</v>
      </c>
      <c r="AY680" s="16">
        <v>68.016396760000006</v>
      </c>
      <c r="AZ680" s="2">
        <v>37832</v>
      </c>
      <c r="BA680" s="16">
        <f t="shared" si="79"/>
        <v>630.5333333333333</v>
      </c>
      <c r="BB680" s="9">
        <f t="shared" si="80"/>
        <v>2.9683001458369374</v>
      </c>
      <c r="BC680" s="119">
        <f t="shared" si="81"/>
        <v>35.597096178472881</v>
      </c>
    </row>
    <row r="681" spans="49:55" x14ac:dyDescent="0.3">
      <c r="AW681" s="7">
        <v>45044.239583333336</v>
      </c>
      <c r="AX681" s="51">
        <v>4.7120835609245704E-3</v>
      </c>
      <c r="AY681" s="16">
        <v>66.655723199999997</v>
      </c>
      <c r="AZ681" s="2">
        <v>37953</v>
      </c>
      <c r="BA681" s="16">
        <f t="shared" si="79"/>
        <v>632.54999999999995</v>
      </c>
      <c r="BB681" s="9">
        <f t="shared" si="80"/>
        <v>2.9806284564628367</v>
      </c>
      <c r="BC681" s="119">
        <f t="shared" si="81"/>
        <v>35.695197719036599</v>
      </c>
    </row>
    <row r="682" spans="49:55" x14ac:dyDescent="0.3">
      <c r="AW682" s="7">
        <v>45044.25</v>
      </c>
      <c r="AX682" s="51">
        <v>5.11770436978149E-3</v>
      </c>
      <c r="AY682" s="16">
        <v>66.655723199999997</v>
      </c>
      <c r="AZ682" s="2">
        <v>36848</v>
      </c>
      <c r="BA682" s="16">
        <f t="shared" si="79"/>
        <v>614.13333333333333</v>
      </c>
      <c r="BB682" s="9">
        <f t="shared" si="80"/>
        <v>3.1429528436284722</v>
      </c>
      <c r="BC682" s="119">
        <f t="shared" si="81"/>
        <v>36.974450314843544</v>
      </c>
    </row>
    <row r="683" spans="49:55" x14ac:dyDescent="0.3">
      <c r="AW683" s="7">
        <v>45044.260416666664</v>
      </c>
      <c r="AX683" s="51">
        <v>4.7967368006153902E-3</v>
      </c>
      <c r="AY683" s="16">
        <v>70.271667750000006</v>
      </c>
      <c r="AZ683" s="2">
        <v>37025</v>
      </c>
      <c r="BA683" s="16">
        <f t="shared" si="79"/>
        <v>617.08333333333337</v>
      </c>
      <c r="BB683" s="9">
        <f t="shared" si="80"/>
        <v>2.9599863340464139</v>
      </c>
      <c r="BC683" s="119">
        <f t="shared" si="81"/>
        <v>35.53086239117431</v>
      </c>
    </row>
    <row r="684" spans="49:55" x14ac:dyDescent="0.3">
      <c r="AW684" s="7">
        <v>45044.270833333336</v>
      </c>
      <c r="AX684" s="51">
        <v>5.2984226309860704E-3</v>
      </c>
      <c r="AY684" s="16">
        <v>67.557775419999999</v>
      </c>
      <c r="AZ684" s="2">
        <v>37108</v>
      </c>
      <c r="BA684" s="16">
        <f t="shared" si="79"/>
        <v>618.4666666666667</v>
      </c>
      <c r="BB684" s="9">
        <f t="shared" si="80"/>
        <v>3.2768977831771853</v>
      </c>
      <c r="BC684" s="119">
        <f t="shared" si="81"/>
        <v>38.013402652558597</v>
      </c>
    </row>
    <row r="685" spans="49:55" x14ac:dyDescent="0.3">
      <c r="AW685" s="7">
        <v>45044.28125</v>
      </c>
      <c r="AX685" s="51">
        <v>4.8292771583007101E-3</v>
      </c>
      <c r="AY685" s="16">
        <v>68.916923760000003</v>
      </c>
      <c r="AZ685" s="2">
        <v>37740</v>
      </c>
      <c r="BA685" s="16">
        <f t="shared" si="79"/>
        <v>629</v>
      </c>
      <c r="BB685" s="9">
        <f t="shared" si="80"/>
        <v>3.0376153325711468</v>
      </c>
      <c r="BC685" s="119">
        <f t="shared" si="81"/>
        <v>36.146907465076382</v>
      </c>
    </row>
    <row r="686" spans="49:55" x14ac:dyDescent="0.3">
      <c r="AW686" s="7">
        <v>45044.291666666664</v>
      </c>
      <c r="AX686" s="51">
        <v>5.3735573341693304E-3</v>
      </c>
      <c r="AY686" s="16">
        <v>71.17580074</v>
      </c>
      <c r="AZ686" s="2">
        <v>36447</v>
      </c>
      <c r="BA686" s="16">
        <f t="shared" si="79"/>
        <v>607.45000000000005</v>
      </c>
      <c r="BB686" s="9">
        <f t="shared" si="80"/>
        <v>3.26416740264116</v>
      </c>
      <c r="BC686" s="119">
        <f t="shared" si="81"/>
        <v>37.915280478467608</v>
      </c>
    </row>
    <row r="687" spans="49:55" x14ac:dyDescent="0.3">
      <c r="AW687" s="7">
        <v>45044.302083333336</v>
      </c>
      <c r="AX687" s="51">
        <v>5.1129605197308301E-3</v>
      </c>
      <c r="AY687" s="16">
        <v>68.924680609999996</v>
      </c>
      <c r="AZ687" s="2">
        <v>37359</v>
      </c>
      <c r="BA687" s="16">
        <f t="shared" si="79"/>
        <v>622.65</v>
      </c>
      <c r="BB687" s="9">
        <f t="shared" si="80"/>
        <v>3.1835848676104015</v>
      </c>
      <c r="BC687" s="119">
        <f t="shared" si="81"/>
        <v>37.291160133952467</v>
      </c>
    </row>
    <row r="688" spans="49:55" x14ac:dyDescent="0.3">
      <c r="AW688" s="7">
        <v>45044.3125</v>
      </c>
      <c r="AX688" s="51">
        <v>5.3600269219133898E-3</v>
      </c>
      <c r="AY688" s="16">
        <v>67.565551839999998</v>
      </c>
      <c r="AZ688" s="2">
        <v>36476</v>
      </c>
      <c r="BA688" s="16">
        <f t="shared" si="79"/>
        <v>607.93333333333328</v>
      </c>
      <c r="BB688" s="9">
        <f t="shared" si="80"/>
        <v>3.2585390333952131</v>
      </c>
      <c r="BC688" s="119">
        <f t="shared" si="81"/>
        <v>37.871857621360554</v>
      </c>
    </row>
    <row r="689" spans="49:55" x14ac:dyDescent="0.3">
      <c r="AW689" s="7">
        <v>45044.322916666664</v>
      </c>
      <c r="AX689" s="51">
        <v>5.17308557518257E-3</v>
      </c>
      <c r="AY689" s="16">
        <v>63.916046000000001</v>
      </c>
      <c r="AZ689" s="2">
        <v>37025</v>
      </c>
      <c r="BA689" s="16">
        <f t="shared" si="79"/>
        <v>617.08333333333337</v>
      </c>
      <c r="BB689" s="9">
        <f t="shared" si="80"/>
        <v>3.1922248903522443</v>
      </c>
      <c r="BC689" s="119">
        <f t="shared" si="81"/>
        <v>37.358330019678156</v>
      </c>
    </row>
    <row r="690" spans="49:55" x14ac:dyDescent="0.3">
      <c r="AW690" s="7">
        <v>45044.333333333336</v>
      </c>
      <c r="AX690" s="51">
        <v>4.9376987349071203E-3</v>
      </c>
      <c r="AY690" s="16">
        <v>65.283151739999994</v>
      </c>
      <c r="AZ690" s="2">
        <v>36800</v>
      </c>
      <c r="BA690" s="16">
        <f t="shared" si="79"/>
        <v>613.33333333333337</v>
      </c>
      <c r="BB690" s="9">
        <f t="shared" si="80"/>
        <v>3.0284552240763674</v>
      </c>
      <c r="BC690" s="119">
        <f t="shared" si="81"/>
        <v>36.07449266637277</v>
      </c>
    </row>
    <row r="691" spans="49:55" x14ac:dyDescent="0.3">
      <c r="AW691" s="7">
        <v>45044.34375</v>
      </c>
      <c r="AX691" s="51">
        <v>5.0038755715653797E-3</v>
      </c>
      <c r="AY691" s="16">
        <v>65.290959470000004</v>
      </c>
      <c r="AZ691" s="2">
        <v>37211</v>
      </c>
      <c r="BA691" s="16">
        <f t="shared" si="79"/>
        <v>620.18333333333328</v>
      </c>
      <c r="BB691" s="9">
        <f t="shared" si="80"/>
        <v>3.1033202315586554</v>
      </c>
      <c r="BC691" s="119">
        <f t="shared" si="81"/>
        <v>36.664202378498288</v>
      </c>
    </row>
    <row r="692" spans="49:55" x14ac:dyDescent="0.3">
      <c r="AW692" s="7">
        <v>45044.354166666664</v>
      </c>
      <c r="AX692" s="51">
        <v>4.8102504907470596E-3</v>
      </c>
      <c r="AY692" s="16">
        <v>64.837941950000001</v>
      </c>
      <c r="AZ692" s="2">
        <v>37070</v>
      </c>
      <c r="BA692" s="16">
        <f t="shared" si="79"/>
        <v>617.83333333333337</v>
      </c>
      <c r="BB692" s="9">
        <f t="shared" si="80"/>
        <v>2.9719330948665585</v>
      </c>
      <c r="BC692" s="119">
        <f t="shared" si="81"/>
        <v>35.626019281424774</v>
      </c>
    </row>
    <row r="693" spans="49:55" x14ac:dyDescent="0.3">
      <c r="AW693" s="7">
        <v>45044.364583333336</v>
      </c>
      <c r="AX693" s="51">
        <v>4.7213014247104099E-3</v>
      </c>
      <c r="AY693" s="16">
        <v>68.466857000000005</v>
      </c>
      <c r="AZ693" s="2">
        <v>36962</v>
      </c>
      <c r="BA693" s="16">
        <f t="shared" si="79"/>
        <v>616.0333333333333</v>
      </c>
      <c r="BB693" s="9">
        <f t="shared" si="80"/>
        <v>2.9084790543357695</v>
      </c>
      <c r="BC693" s="119">
        <f t="shared" si="81"/>
        <v>35.119115422315296</v>
      </c>
    </row>
    <row r="694" spans="49:55" x14ac:dyDescent="0.3">
      <c r="AW694" s="7">
        <v>45044.375</v>
      </c>
      <c r="AX694" s="51">
        <v>4.6730913085609701E-3</v>
      </c>
      <c r="AY694" s="16">
        <v>68.466857000000005</v>
      </c>
      <c r="AZ694" s="2">
        <v>37634</v>
      </c>
      <c r="BA694" s="16">
        <f t="shared" si="79"/>
        <v>627.23333333333335</v>
      </c>
      <c r="BB694" s="9">
        <f t="shared" si="80"/>
        <v>2.9311186384397256</v>
      </c>
      <c r="BC694" s="119">
        <f t="shared" si="81"/>
        <v>35.300394553348013</v>
      </c>
    </row>
    <row r="695" spans="49:55" x14ac:dyDescent="0.3">
      <c r="AW695" s="7">
        <v>45044.385416666664</v>
      </c>
      <c r="AX695" s="51">
        <v>4.8635028620175099E-3</v>
      </c>
      <c r="AY695" s="16">
        <v>67.106545600000004</v>
      </c>
      <c r="AZ695" s="2">
        <v>36561</v>
      </c>
      <c r="BA695" s="16">
        <f t="shared" si="79"/>
        <v>609.35</v>
      </c>
      <c r="BB695" s="9">
        <f t="shared" si="80"/>
        <v>2.9635754689703697</v>
      </c>
      <c r="BC695" s="119">
        <f t="shared" si="81"/>
        <v>35.559463671595104</v>
      </c>
    </row>
    <row r="696" spans="49:55" x14ac:dyDescent="0.3">
      <c r="AW696" s="7">
        <v>45044.395833333336</v>
      </c>
      <c r="AX696" s="51">
        <v>4.6166315425227597E-3</v>
      </c>
      <c r="AY696" s="16">
        <v>64.837941950000001</v>
      </c>
      <c r="AZ696" s="2">
        <v>37144</v>
      </c>
      <c r="BA696" s="16">
        <f t="shared" si="79"/>
        <v>619.06666666666672</v>
      </c>
      <c r="BB696" s="9">
        <f t="shared" si="80"/>
        <v>2.8580027002577566</v>
      </c>
      <c r="BC696" s="119">
        <f t="shared" si="81"/>
        <v>34.713225807264259</v>
      </c>
    </row>
    <row r="697" spans="49:55" x14ac:dyDescent="0.3">
      <c r="AW697" s="7">
        <v>45044.40625</v>
      </c>
      <c r="AX697" s="51">
        <v>4.9680235413545196E-3</v>
      </c>
      <c r="AY697" s="16">
        <v>63.92387093</v>
      </c>
      <c r="AZ697" s="2">
        <v>36918</v>
      </c>
      <c r="BA697" s="16">
        <f t="shared" si="79"/>
        <v>615.29999999999995</v>
      </c>
      <c r="BB697" s="9">
        <f t="shared" si="80"/>
        <v>3.0568248849954358</v>
      </c>
      <c r="BC697" s="119">
        <f t="shared" si="81"/>
        <v>36.29852985809832</v>
      </c>
    </row>
    <row r="698" spans="49:55" x14ac:dyDescent="0.3">
      <c r="AW698" s="7">
        <v>45044.416666666664</v>
      </c>
      <c r="AX698" s="51">
        <v>5.0222709962895002E-3</v>
      </c>
      <c r="AY698" s="16">
        <v>66.195962919999999</v>
      </c>
      <c r="AZ698" s="2">
        <v>36877</v>
      </c>
      <c r="BA698" s="16">
        <f t="shared" si="79"/>
        <v>614.61666666666667</v>
      </c>
      <c r="BB698" s="9">
        <f t="shared" si="80"/>
        <v>3.0867714588361319</v>
      </c>
      <c r="BC698" s="119">
        <f t="shared" si="81"/>
        <v>36.534263430618481</v>
      </c>
    </row>
    <row r="699" spans="49:55" x14ac:dyDescent="0.3">
      <c r="AW699" s="7">
        <v>45044.427083333336</v>
      </c>
      <c r="AX699" s="51">
        <v>5.2230519367131804E-3</v>
      </c>
      <c r="AY699" s="16">
        <v>67.557775419999999</v>
      </c>
      <c r="AZ699" s="2">
        <v>36862</v>
      </c>
      <c r="BA699" s="16">
        <f t="shared" si="79"/>
        <v>614.36666666666667</v>
      </c>
      <c r="BB699" s="9">
        <f t="shared" si="80"/>
        <v>3.2088690081853541</v>
      </c>
      <c r="BC699" s="119">
        <f t="shared" si="81"/>
        <v>37.487554005585139</v>
      </c>
    </row>
    <row r="700" spans="49:55" x14ac:dyDescent="0.3">
      <c r="AW700" s="7">
        <v>45044.4375</v>
      </c>
      <c r="AX700" s="51">
        <v>5.08750832695658E-3</v>
      </c>
      <c r="AY700" s="16">
        <v>60.433929669999998</v>
      </c>
      <c r="AZ700" s="2">
        <v>36535</v>
      </c>
      <c r="BA700" s="16">
        <f t="shared" si="79"/>
        <v>608.91666666666663</v>
      </c>
      <c r="BB700" s="9">
        <f t="shared" si="80"/>
        <v>3.0978686120893109</v>
      </c>
      <c r="BC700" s="119">
        <f t="shared" si="81"/>
        <v>36.621422700118458</v>
      </c>
    </row>
    <row r="701" spans="49:55" x14ac:dyDescent="0.3">
      <c r="AW701" s="7">
        <v>45044.447916666664</v>
      </c>
      <c r="AX701" s="51">
        <v>5.0346022471066797E-3</v>
      </c>
      <c r="AY701" s="16">
        <v>62.654512349999997</v>
      </c>
      <c r="AZ701" s="2">
        <v>36788</v>
      </c>
      <c r="BA701" s="16">
        <f t="shared" si="79"/>
        <v>613.13333333333333</v>
      </c>
      <c r="BB701" s="9">
        <f t="shared" si="80"/>
        <v>3.0868824577760088</v>
      </c>
      <c r="BC701" s="119">
        <f t="shared" si="81"/>
        <v>36.535135759329457</v>
      </c>
    </row>
    <row r="702" spans="49:55" x14ac:dyDescent="0.3">
      <c r="AW702" s="7">
        <v>45044.458333333336</v>
      </c>
      <c r="AX702" s="51">
        <v>5.0722579938885801E-3</v>
      </c>
      <c r="AY702" s="16">
        <v>64.837941950000001</v>
      </c>
      <c r="AZ702" s="2">
        <v>36071</v>
      </c>
      <c r="BA702" s="16">
        <f t="shared" si="79"/>
        <v>601.18333333333328</v>
      </c>
      <c r="BB702" s="9">
        <f t="shared" si="80"/>
        <v>3.0493569682925825</v>
      </c>
      <c r="BC702" s="119">
        <f t="shared" si="81"/>
        <v>36.23962319458871</v>
      </c>
    </row>
    <row r="703" spans="49:55" x14ac:dyDescent="0.3">
      <c r="AW703" s="7">
        <v>45044.46875</v>
      </c>
      <c r="AX703" s="51">
        <v>4.8968450278604296E-3</v>
      </c>
      <c r="AY703" s="16">
        <v>61.555361079999997</v>
      </c>
      <c r="AZ703" s="2">
        <v>36609</v>
      </c>
      <c r="BA703" s="16">
        <f t="shared" si="79"/>
        <v>610.15</v>
      </c>
      <c r="BB703" s="9">
        <f t="shared" si="80"/>
        <v>2.9878099937490412</v>
      </c>
      <c r="BC703" s="119">
        <f t="shared" si="81"/>
        <v>35.752281378507654</v>
      </c>
    </row>
    <row r="704" spans="49:55" x14ac:dyDescent="0.3">
      <c r="AW704" s="7">
        <v>45044.479166666664</v>
      </c>
      <c r="AX704" s="51">
        <v>5.2866842298067698E-3</v>
      </c>
      <c r="AY704" s="16">
        <v>63.92387093</v>
      </c>
      <c r="AZ704" s="2">
        <v>35979</v>
      </c>
      <c r="BA704" s="16">
        <f t="shared" si="79"/>
        <v>599.65</v>
      </c>
      <c r="BB704" s="9">
        <f t="shared" si="80"/>
        <v>3.1701601984036292</v>
      </c>
      <c r="BC704" s="119">
        <f t="shared" si="81"/>
        <v>37.186671446898551</v>
      </c>
    </row>
    <row r="705" spans="49:55" x14ac:dyDescent="0.3">
      <c r="AW705" s="7">
        <v>45044.489583333336</v>
      </c>
      <c r="AX705" s="51">
        <v>4.9894318769951301E-3</v>
      </c>
      <c r="AY705" s="16">
        <v>64.837941950000001</v>
      </c>
      <c r="AZ705" s="2">
        <v>36108</v>
      </c>
      <c r="BA705" s="16">
        <f t="shared" si="79"/>
        <v>601.79999999999995</v>
      </c>
      <c r="BB705" s="9">
        <f t="shared" si="80"/>
        <v>3.0026401035756689</v>
      </c>
      <c r="BC705" s="119">
        <f t="shared" si="81"/>
        <v>35.870015332977196</v>
      </c>
    </row>
    <row r="706" spans="49:55" x14ac:dyDescent="0.3">
      <c r="AW706" s="7">
        <v>45044.5</v>
      </c>
      <c r="AX706" s="51">
        <v>5.4484164651937899E-3</v>
      </c>
      <c r="AY706" s="16">
        <v>62.654512349999997</v>
      </c>
      <c r="AZ706" s="2">
        <v>35944</v>
      </c>
      <c r="BA706" s="16">
        <f t="shared" si="79"/>
        <v>599.06666666666672</v>
      </c>
      <c r="BB706" s="9">
        <f t="shared" si="80"/>
        <v>3.2639646904154267</v>
      </c>
      <c r="BC706" s="119">
        <f t="shared" si="81"/>
        <v>37.91371699100776</v>
      </c>
    </row>
    <row r="707" spans="49:55" x14ac:dyDescent="0.3">
      <c r="AW707" s="7">
        <v>45044.510416666664</v>
      </c>
      <c r="AX707" s="51">
        <v>5.6194007620392998E-3</v>
      </c>
      <c r="AY707" s="16">
        <v>62.654512349999997</v>
      </c>
      <c r="AZ707" s="2">
        <v>35836</v>
      </c>
      <c r="BA707" s="16">
        <f t="shared" si="79"/>
        <v>597.26666666666665</v>
      </c>
      <c r="BB707" s="9">
        <f t="shared" si="80"/>
        <v>3.3562807618073389</v>
      </c>
      <c r="BC707" s="119">
        <f t="shared" si="81"/>
        <v>38.622402381431591</v>
      </c>
    </row>
    <row r="708" spans="49:55" x14ac:dyDescent="0.3">
      <c r="AW708" s="7">
        <v>45044.520833333336</v>
      </c>
      <c r="AX708" s="51">
        <v>4.8620923402668999E-3</v>
      </c>
      <c r="AY708" s="16">
        <v>62.654512349999997</v>
      </c>
      <c r="AZ708" s="2">
        <v>36884</v>
      </c>
      <c r="BA708" s="16">
        <f t="shared" ref="BA708:BA771" si="82">AZ708/60</f>
        <v>614.73333333333335</v>
      </c>
      <c r="BB708" s="9">
        <f t="shared" ref="BB708:BB771" si="83">BA708*AX708</f>
        <v>2.9888902313067391</v>
      </c>
      <c r="BC708" s="119">
        <f t="shared" ref="BC708:BC771" si="84">17.285*BB708^0.664</f>
        <v>35.76086383796541</v>
      </c>
    </row>
    <row r="709" spans="49:55" x14ac:dyDescent="0.3">
      <c r="AW709" s="7">
        <v>45044.53125</v>
      </c>
      <c r="AX709" s="51">
        <v>5.2197278394701804E-3</v>
      </c>
      <c r="AY709" s="16">
        <v>64.837941950000001</v>
      </c>
      <c r="AZ709" s="2">
        <v>35970</v>
      </c>
      <c r="BA709" s="16">
        <f t="shared" si="82"/>
        <v>599.5</v>
      </c>
      <c r="BB709" s="9">
        <f t="shared" si="83"/>
        <v>3.129226839762373</v>
      </c>
      <c r="BC709" s="119">
        <f t="shared" si="84"/>
        <v>36.867151431778609</v>
      </c>
    </row>
    <row r="710" spans="49:55" x14ac:dyDescent="0.3">
      <c r="AW710" s="7">
        <v>45044.541666666664</v>
      </c>
      <c r="AX710" s="51">
        <v>5.3730856508205603E-3</v>
      </c>
      <c r="AY710" s="16">
        <v>64.837941950000001</v>
      </c>
      <c r="AZ710" s="2">
        <v>35302</v>
      </c>
      <c r="BA710" s="16">
        <f t="shared" si="82"/>
        <v>588.36666666666667</v>
      </c>
      <c r="BB710" s="9">
        <f t="shared" si="83"/>
        <v>3.1613444940877904</v>
      </c>
      <c r="BC710" s="119">
        <f t="shared" si="84"/>
        <v>37.117974997572063</v>
      </c>
    </row>
    <row r="711" spans="49:55" x14ac:dyDescent="0.3">
      <c r="AW711" s="7">
        <v>45044.552083333336</v>
      </c>
      <c r="AX711" s="51">
        <v>5.1785058184156104E-3</v>
      </c>
      <c r="AY711" s="16">
        <v>63.92387093</v>
      </c>
      <c r="AZ711" s="2">
        <v>35236</v>
      </c>
      <c r="BA711" s="16">
        <f t="shared" si="82"/>
        <v>587.26666666666665</v>
      </c>
      <c r="BB711" s="9">
        <f t="shared" si="83"/>
        <v>3.0411638502948741</v>
      </c>
      <c r="BC711" s="119">
        <f t="shared" si="84"/>
        <v>36.174940378264282</v>
      </c>
    </row>
    <row r="712" spans="49:55" x14ac:dyDescent="0.3">
      <c r="AW712" s="7">
        <v>45044.5625</v>
      </c>
      <c r="AX712" s="51">
        <v>5.0156335758433099E-3</v>
      </c>
      <c r="AY712" s="16">
        <v>64.83012798</v>
      </c>
      <c r="AZ712" s="2">
        <v>35682</v>
      </c>
      <c r="BA712" s="16">
        <f t="shared" si="82"/>
        <v>594.70000000000005</v>
      </c>
      <c r="BB712" s="9">
        <f t="shared" si="83"/>
        <v>2.9827972875540167</v>
      </c>
      <c r="BC712" s="119">
        <f t="shared" si="84"/>
        <v>35.71244190439257</v>
      </c>
    </row>
    <row r="713" spans="49:55" x14ac:dyDescent="0.3">
      <c r="AW713" s="7">
        <v>45044.572916666664</v>
      </c>
      <c r="AX713" s="51">
        <v>5.2167346632561199E-3</v>
      </c>
      <c r="AY713" s="16">
        <v>63.92387093</v>
      </c>
      <c r="AZ713" s="2">
        <v>35558</v>
      </c>
      <c r="BA713" s="16">
        <f t="shared" si="82"/>
        <v>592.63333333333333</v>
      </c>
      <c r="BB713" s="9">
        <f t="shared" si="83"/>
        <v>3.0916108526010184</v>
      </c>
      <c r="BC713" s="119">
        <f t="shared" si="84"/>
        <v>36.5722859243321</v>
      </c>
    </row>
    <row r="714" spans="49:55" x14ac:dyDescent="0.3">
      <c r="AW714" s="7">
        <v>45044.583333333336</v>
      </c>
      <c r="AX714" s="51">
        <v>5.1537533435344497E-3</v>
      </c>
      <c r="AY714" s="16">
        <v>66.203758769999993</v>
      </c>
      <c r="AZ714" s="2">
        <v>35613</v>
      </c>
      <c r="BA714" s="16">
        <f t="shared" si="82"/>
        <v>593.54999999999995</v>
      </c>
      <c r="BB714" s="9">
        <f t="shared" si="83"/>
        <v>3.0590102970548725</v>
      </c>
      <c r="BC714" s="119">
        <f t="shared" si="84"/>
        <v>36.315759162398564</v>
      </c>
    </row>
    <row r="715" spans="49:55" x14ac:dyDescent="0.3">
      <c r="AW715" s="7">
        <v>45044.59375</v>
      </c>
      <c r="AX715" s="51">
        <v>5.1745613439101498E-3</v>
      </c>
      <c r="AY715" s="16">
        <v>64.837941950000001</v>
      </c>
      <c r="AZ715" s="2">
        <v>35410</v>
      </c>
      <c r="BA715" s="16">
        <f t="shared" si="82"/>
        <v>590.16666666666663</v>
      </c>
      <c r="BB715" s="9">
        <f t="shared" si="83"/>
        <v>3.05385361979764</v>
      </c>
      <c r="BC715" s="119">
        <f t="shared" si="84"/>
        <v>36.27509842155149</v>
      </c>
    </row>
    <row r="716" spans="49:55" x14ac:dyDescent="0.3">
      <c r="AW716" s="7">
        <v>45044.604166666664</v>
      </c>
      <c r="AX716" s="51">
        <v>4.9373460459415496E-3</v>
      </c>
      <c r="AY716" s="16">
        <v>62.654512349999997</v>
      </c>
      <c r="AZ716" s="2">
        <v>36021</v>
      </c>
      <c r="BA716" s="16">
        <f t="shared" si="82"/>
        <v>600.35</v>
      </c>
      <c r="BB716" s="9">
        <f t="shared" si="83"/>
        <v>2.9641356986810092</v>
      </c>
      <c r="BC716" s="119">
        <f t="shared" si="84"/>
        <v>35.563927008148625</v>
      </c>
    </row>
    <row r="717" spans="49:55" x14ac:dyDescent="0.3">
      <c r="AW717" s="7">
        <v>45044.614583333336</v>
      </c>
      <c r="AX717" s="51">
        <v>4.9969718650329899E-3</v>
      </c>
      <c r="AY717" s="16">
        <v>63.469872090000003</v>
      </c>
      <c r="AZ717" s="2">
        <v>35652</v>
      </c>
      <c r="BA717" s="16">
        <f t="shared" si="82"/>
        <v>594.20000000000005</v>
      </c>
      <c r="BB717" s="9">
        <f t="shared" si="83"/>
        <v>2.9692006822026027</v>
      </c>
      <c r="BC717" s="119">
        <f t="shared" si="84"/>
        <v>35.604266753103722</v>
      </c>
    </row>
    <row r="718" spans="49:55" x14ac:dyDescent="0.3">
      <c r="AW718" s="7">
        <v>45044.625</v>
      </c>
      <c r="AX718" s="51">
        <v>4.9699346131940004E-3</v>
      </c>
      <c r="AY718" s="16">
        <v>67.106545600000004</v>
      </c>
      <c r="AZ718" s="2">
        <v>35431</v>
      </c>
      <c r="BA718" s="16">
        <f t="shared" si="82"/>
        <v>590.51666666666665</v>
      </c>
      <c r="BB718" s="9">
        <f t="shared" si="83"/>
        <v>2.9348292213346103</v>
      </c>
      <c r="BC718" s="119">
        <f t="shared" si="84"/>
        <v>35.330060899398944</v>
      </c>
    </row>
    <row r="719" spans="49:55" x14ac:dyDescent="0.3">
      <c r="AW719" s="7">
        <v>45044.635416666664</v>
      </c>
      <c r="AX719" s="51">
        <v>5.1746452337290702E-3</v>
      </c>
      <c r="AY719" s="16">
        <v>64.837941950000001</v>
      </c>
      <c r="AZ719" s="2">
        <v>35752</v>
      </c>
      <c r="BA719" s="16">
        <f t="shared" si="82"/>
        <v>595.86666666666667</v>
      </c>
      <c r="BB719" s="9">
        <f t="shared" si="83"/>
        <v>3.0833986066046952</v>
      </c>
      <c r="BC719" s="119">
        <f t="shared" si="84"/>
        <v>36.507751519873267</v>
      </c>
    </row>
    <row r="720" spans="49:55" x14ac:dyDescent="0.3">
      <c r="AW720" s="7">
        <v>45044.645833333336</v>
      </c>
      <c r="AX720" s="51">
        <v>5.0834702788493703E-3</v>
      </c>
      <c r="AY720" s="16">
        <v>64.837941950000001</v>
      </c>
      <c r="AZ720" s="2">
        <v>35288</v>
      </c>
      <c r="BA720" s="16">
        <f t="shared" si="82"/>
        <v>588.13333333333333</v>
      </c>
      <c r="BB720" s="9">
        <f t="shared" si="83"/>
        <v>2.9897583200006097</v>
      </c>
      <c r="BC720" s="119">
        <f t="shared" si="84"/>
        <v>35.767760024912128</v>
      </c>
    </row>
    <row r="721" spans="49:55" x14ac:dyDescent="0.3">
      <c r="AW721" s="7">
        <v>45044.65625</v>
      </c>
      <c r="AX721" s="51">
        <v>5.1541166498075804E-3</v>
      </c>
      <c r="AY721" s="16">
        <v>66.203758769999993</v>
      </c>
      <c r="AZ721" s="2">
        <v>35669</v>
      </c>
      <c r="BA721" s="16">
        <f t="shared" si="82"/>
        <v>594.48333333333335</v>
      </c>
      <c r="BB721" s="9">
        <f t="shared" si="83"/>
        <v>3.0640364463664431</v>
      </c>
      <c r="BC721" s="119">
        <f t="shared" si="84"/>
        <v>36.355368524161058</v>
      </c>
    </row>
    <row r="722" spans="49:55" x14ac:dyDescent="0.3">
      <c r="AW722" s="7">
        <v>45044.666666666664</v>
      </c>
      <c r="AX722" s="51">
        <v>5.1840137084837199E-3</v>
      </c>
      <c r="AY722" s="16">
        <v>63.469872090000003</v>
      </c>
      <c r="AZ722" s="2">
        <v>36612</v>
      </c>
      <c r="BA722" s="16">
        <f t="shared" si="82"/>
        <v>610.20000000000005</v>
      </c>
      <c r="BB722" s="9">
        <f t="shared" si="83"/>
        <v>3.1632851649167661</v>
      </c>
      <c r="BC722" s="119">
        <f t="shared" si="84"/>
        <v>37.13310321051614</v>
      </c>
    </row>
    <row r="723" spans="49:55" x14ac:dyDescent="0.3">
      <c r="AW723" s="7">
        <v>45044.677083333336</v>
      </c>
      <c r="AX723" s="51">
        <v>5.1130867804901198E-3</v>
      </c>
      <c r="AY723" s="16">
        <v>60.440350530000003</v>
      </c>
      <c r="AZ723" s="2">
        <v>35776</v>
      </c>
      <c r="BA723" s="16">
        <f t="shared" si="82"/>
        <v>596.26666666666665</v>
      </c>
      <c r="BB723" s="9">
        <f t="shared" si="83"/>
        <v>3.0487632109802418</v>
      </c>
      <c r="BC723" s="119">
        <f t="shared" si="84"/>
        <v>36.234937578909133</v>
      </c>
    </row>
    <row r="724" spans="49:55" x14ac:dyDescent="0.3">
      <c r="AW724" s="7">
        <v>45044.6875</v>
      </c>
      <c r="AX724" s="51">
        <v>4.9668336577327298E-3</v>
      </c>
      <c r="AY724" s="16">
        <v>66.203758769999993</v>
      </c>
      <c r="AZ724" s="2">
        <v>36252</v>
      </c>
      <c r="BA724" s="16">
        <f t="shared" si="82"/>
        <v>604.20000000000005</v>
      </c>
      <c r="BB724" s="9">
        <f t="shared" si="83"/>
        <v>3.0009608960021157</v>
      </c>
      <c r="BC724" s="119">
        <f t="shared" si="84"/>
        <v>35.856694187942672</v>
      </c>
    </row>
    <row r="725" spans="49:55" x14ac:dyDescent="0.3">
      <c r="AW725" s="7">
        <v>45044.697916666664</v>
      </c>
      <c r="AX725" s="51">
        <v>4.7321025930187203E-3</v>
      </c>
      <c r="AY725" s="16">
        <v>63.469872090000003</v>
      </c>
      <c r="AZ725" s="2">
        <v>36489</v>
      </c>
      <c r="BA725" s="16">
        <f t="shared" si="82"/>
        <v>608.15</v>
      </c>
      <c r="BB725" s="9">
        <f t="shared" si="83"/>
        <v>2.8778281919443347</v>
      </c>
      <c r="BC725" s="119">
        <f t="shared" si="84"/>
        <v>34.872931180145954</v>
      </c>
    </row>
    <row r="726" spans="49:55" x14ac:dyDescent="0.3">
      <c r="AW726" s="7">
        <v>45044.708333333336</v>
      </c>
      <c r="AX726" s="51">
        <v>5.2355687488621697E-3</v>
      </c>
      <c r="AY726" s="16">
        <v>64.837941950000001</v>
      </c>
      <c r="AZ726" s="2">
        <v>36238</v>
      </c>
      <c r="BA726" s="16">
        <f t="shared" si="82"/>
        <v>603.9666666666667</v>
      </c>
      <c r="BB726" s="9">
        <f t="shared" si="83"/>
        <v>3.1621090053544552</v>
      </c>
      <c r="BC726" s="119">
        <f t="shared" si="84"/>
        <v>37.123935004679758</v>
      </c>
    </row>
    <row r="727" spans="49:55" x14ac:dyDescent="0.3">
      <c r="AW727" s="7">
        <v>45044.71875</v>
      </c>
      <c r="AX727" s="51">
        <v>4.8579405685042704E-3</v>
      </c>
      <c r="AY727" s="16">
        <v>64.837941950000001</v>
      </c>
      <c r="AZ727" s="2">
        <v>36455</v>
      </c>
      <c r="BA727" s="16">
        <f t="shared" si="82"/>
        <v>607.58333333333337</v>
      </c>
      <c r="BB727" s="9">
        <f t="shared" si="83"/>
        <v>2.9516037237470529</v>
      </c>
      <c r="BC727" s="119">
        <f t="shared" si="84"/>
        <v>35.464017189858737</v>
      </c>
    </row>
    <row r="728" spans="49:55" x14ac:dyDescent="0.3">
      <c r="AW728" s="7">
        <v>45044.729166666664</v>
      </c>
      <c r="AX728" s="51">
        <v>4.8337931370939502E-3</v>
      </c>
      <c r="AY728" s="16">
        <v>63.462041390000003</v>
      </c>
      <c r="AZ728" s="2">
        <v>36218</v>
      </c>
      <c r="BA728" s="16">
        <f t="shared" si="82"/>
        <v>603.63333333333333</v>
      </c>
      <c r="BB728" s="9">
        <f t="shared" si="83"/>
        <v>2.9178386639878116</v>
      </c>
      <c r="BC728" s="119">
        <f t="shared" si="84"/>
        <v>35.194116745137315</v>
      </c>
    </row>
    <row r="729" spans="49:55" x14ac:dyDescent="0.3">
      <c r="AW729" s="7">
        <v>45044.739583333336</v>
      </c>
      <c r="AX729" s="51">
        <v>5.1409754603138399E-3</v>
      </c>
      <c r="AY729" s="16">
        <v>66.195962919999999</v>
      </c>
      <c r="AZ729" s="2">
        <v>35648</v>
      </c>
      <c r="BA729" s="16">
        <f t="shared" si="82"/>
        <v>594.13333333333333</v>
      </c>
      <c r="BB729" s="9">
        <f t="shared" si="83"/>
        <v>3.0544248868211294</v>
      </c>
      <c r="BC729" s="119">
        <f t="shared" si="84"/>
        <v>36.279604035421762</v>
      </c>
    </row>
    <row r="730" spans="49:55" x14ac:dyDescent="0.3">
      <c r="AW730" s="7">
        <v>45044.75</v>
      </c>
      <c r="AX730" s="51">
        <v>4.8593938059570997E-3</v>
      </c>
      <c r="AY730" s="16">
        <v>66.195962919999999</v>
      </c>
      <c r="AZ730" s="2">
        <v>36329</v>
      </c>
      <c r="BA730" s="16">
        <f t="shared" si="82"/>
        <v>605.48333333333335</v>
      </c>
      <c r="BB730" s="9">
        <f t="shared" si="83"/>
        <v>2.9422819596102578</v>
      </c>
      <c r="BC730" s="119">
        <f t="shared" si="84"/>
        <v>35.389607968635552</v>
      </c>
    </row>
    <row r="731" spans="49:55" x14ac:dyDescent="0.3">
      <c r="AW731" s="7">
        <v>45044.760416666664</v>
      </c>
      <c r="AX731" s="51">
        <v>5.0693430515764103E-3</v>
      </c>
      <c r="AY731" s="16">
        <v>65.743635260000005</v>
      </c>
      <c r="AZ731" s="2">
        <v>36339</v>
      </c>
      <c r="BA731" s="16">
        <f t="shared" si="82"/>
        <v>605.65</v>
      </c>
      <c r="BB731" s="9">
        <f t="shared" si="83"/>
        <v>3.0702476191872528</v>
      </c>
      <c r="BC731" s="119">
        <f t="shared" si="84"/>
        <v>36.40428650511263</v>
      </c>
    </row>
    <row r="732" spans="49:55" x14ac:dyDescent="0.3">
      <c r="AW732" s="7">
        <v>45044.770833333336</v>
      </c>
      <c r="AX732" s="51">
        <v>4.69145183944027E-3</v>
      </c>
      <c r="AY732" s="16">
        <v>65.743635260000005</v>
      </c>
      <c r="AZ732" s="2">
        <v>36446</v>
      </c>
      <c r="BA732" s="16">
        <f t="shared" si="82"/>
        <v>607.43333333333328</v>
      </c>
      <c r="BB732" s="9">
        <f t="shared" si="83"/>
        <v>2.8497442290040009</v>
      </c>
      <c r="BC732" s="119">
        <f t="shared" si="84"/>
        <v>34.646589468253637</v>
      </c>
    </row>
    <row r="733" spans="49:55" x14ac:dyDescent="0.3">
      <c r="AW733" s="7">
        <v>45044.78125</v>
      </c>
      <c r="AX733" s="51">
        <v>4.8612771087582201E-3</v>
      </c>
      <c r="AY733" s="16">
        <v>64.377553680000005</v>
      </c>
      <c r="AZ733" s="2">
        <v>36405</v>
      </c>
      <c r="BA733" s="16">
        <f t="shared" si="82"/>
        <v>606.75</v>
      </c>
      <c r="BB733" s="9">
        <f t="shared" si="83"/>
        <v>2.9495798857390501</v>
      </c>
      <c r="BC733" s="119">
        <f t="shared" si="84"/>
        <v>35.447869003731093</v>
      </c>
    </row>
    <row r="734" spans="49:55" x14ac:dyDescent="0.3">
      <c r="AW734" s="7">
        <v>45044.791666666664</v>
      </c>
      <c r="AX734" s="51">
        <v>4.75153518052681E-3</v>
      </c>
      <c r="AY734" s="16">
        <v>64.377553680000005</v>
      </c>
      <c r="AZ734" s="2">
        <v>36656</v>
      </c>
      <c r="BA734" s="16">
        <f t="shared" si="82"/>
        <v>610.93333333333328</v>
      </c>
      <c r="BB734" s="9">
        <f t="shared" si="83"/>
        <v>2.9028712262898457</v>
      </c>
      <c r="BC734" s="119">
        <f t="shared" si="84"/>
        <v>35.074139386884795</v>
      </c>
    </row>
    <row r="735" spans="49:55" x14ac:dyDescent="0.3">
      <c r="AW735" s="7">
        <v>45044.802083333336</v>
      </c>
      <c r="AX735" s="51">
        <v>4.7257410725566598E-3</v>
      </c>
      <c r="AY735" s="16">
        <v>64.377553680000005</v>
      </c>
      <c r="AZ735" s="2">
        <v>37112</v>
      </c>
      <c r="BA735" s="16">
        <f t="shared" si="82"/>
        <v>618.5333333333333</v>
      </c>
      <c r="BB735" s="9">
        <f t="shared" si="83"/>
        <v>2.9230283780787123</v>
      </c>
      <c r="BC735" s="119">
        <f t="shared" si="84"/>
        <v>35.23566861961865</v>
      </c>
    </row>
    <row r="736" spans="49:55" x14ac:dyDescent="0.3">
      <c r="AW736" s="7">
        <v>45044.8125</v>
      </c>
      <c r="AX736" s="51">
        <v>4.7536759662357396E-3</v>
      </c>
      <c r="AY736" s="16">
        <v>65.743635260000005</v>
      </c>
      <c r="AZ736" s="2">
        <v>37602</v>
      </c>
      <c r="BA736" s="16">
        <f t="shared" si="82"/>
        <v>626.70000000000005</v>
      </c>
      <c r="BB736" s="9">
        <f t="shared" si="83"/>
        <v>2.9791287280399383</v>
      </c>
      <c r="BC736" s="119">
        <f t="shared" si="84"/>
        <v>35.683271044501417</v>
      </c>
    </row>
    <row r="737" spans="49:55" x14ac:dyDescent="0.3">
      <c r="AW737" s="7">
        <v>45044.822916666664</v>
      </c>
      <c r="AX737" s="51">
        <v>5.1011638098839096E-3</v>
      </c>
      <c r="AY737" s="16">
        <v>63.462041390000003</v>
      </c>
      <c r="AZ737" s="2">
        <v>37100</v>
      </c>
      <c r="BA737" s="16">
        <f t="shared" si="82"/>
        <v>618.33333333333337</v>
      </c>
      <c r="BB737" s="9">
        <f t="shared" si="83"/>
        <v>3.1542196224448844</v>
      </c>
      <c r="BC737" s="119">
        <f t="shared" si="84"/>
        <v>37.062407332793086</v>
      </c>
    </row>
    <row r="738" spans="49:55" x14ac:dyDescent="0.3">
      <c r="AW738" s="7">
        <v>45044.833333333336</v>
      </c>
      <c r="AX738" s="51">
        <v>5.0019618070454601E-3</v>
      </c>
      <c r="AY738" s="16">
        <v>67.106545600000004</v>
      </c>
      <c r="AZ738" s="2">
        <v>37849</v>
      </c>
      <c r="BA738" s="16">
        <f t="shared" si="82"/>
        <v>630.81666666666672</v>
      </c>
      <c r="BB738" s="9">
        <f t="shared" si="83"/>
        <v>3.1553208739143939</v>
      </c>
      <c r="BC738" s="119">
        <f t="shared" si="84"/>
        <v>37.07099886862548</v>
      </c>
    </row>
    <row r="739" spans="49:55" x14ac:dyDescent="0.3">
      <c r="AW739" s="7">
        <v>45044.84375</v>
      </c>
      <c r="AX739" s="51">
        <v>5.0931281580955598E-3</v>
      </c>
      <c r="AY739" s="16">
        <v>65.743635260000005</v>
      </c>
      <c r="AZ739" s="2">
        <v>36893</v>
      </c>
      <c r="BA739" s="16">
        <f t="shared" si="82"/>
        <v>614.88333333333333</v>
      </c>
      <c r="BB739" s="9">
        <f t="shared" si="83"/>
        <v>3.1316796189436582</v>
      </c>
      <c r="BC739" s="119">
        <f t="shared" si="84"/>
        <v>36.886336877521067</v>
      </c>
    </row>
    <row r="740" spans="49:55" x14ac:dyDescent="0.3">
      <c r="AW740" s="7">
        <v>45044.854166666664</v>
      </c>
      <c r="AX740" s="51">
        <v>4.9072262966516397E-3</v>
      </c>
      <c r="AY740" s="16">
        <v>68.008627450000006</v>
      </c>
      <c r="AZ740" s="2">
        <v>37058</v>
      </c>
      <c r="BA740" s="16">
        <f t="shared" si="82"/>
        <v>617.63333333333333</v>
      </c>
      <c r="BB740" s="9">
        <f t="shared" si="83"/>
        <v>3.030866535021941</v>
      </c>
      <c r="BC740" s="119">
        <f t="shared" si="84"/>
        <v>36.09356229763717</v>
      </c>
    </row>
    <row r="741" spans="49:55" x14ac:dyDescent="0.3">
      <c r="AW741" s="7">
        <v>45044.864583333336</v>
      </c>
      <c r="AX741" s="51">
        <v>4.7609699301170904E-3</v>
      </c>
      <c r="AY741" s="16">
        <v>66.647934039999996</v>
      </c>
      <c r="AZ741" s="2">
        <v>37383</v>
      </c>
      <c r="BA741" s="16">
        <f t="shared" si="82"/>
        <v>623.04999999999995</v>
      </c>
      <c r="BB741" s="9">
        <f t="shared" si="83"/>
        <v>2.9663223149594531</v>
      </c>
      <c r="BC741" s="119">
        <f t="shared" si="84"/>
        <v>35.581345015759666</v>
      </c>
    </row>
    <row r="742" spans="49:55" x14ac:dyDescent="0.3">
      <c r="AW742" s="7">
        <v>45044.875</v>
      </c>
      <c r="AX742" s="51">
        <v>4.8176194871620897E-3</v>
      </c>
      <c r="AY742" s="16">
        <v>65.743635260000005</v>
      </c>
      <c r="AZ742" s="2">
        <v>36846</v>
      </c>
      <c r="BA742" s="16">
        <f t="shared" si="82"/>
        <v>614.1</v>
      </c>
      <c r="BB742" s="9">
        <f t="shared" si="83"/>
        <v>2.9585001270662392</v>
      </c>
      <c r="BC742" s="119">
        <f t="shared" si="84"/>
        <v>35.519015618381204</v>
      </c>
    </row>
    <row r="743" spans="49:55" x14ac:dyDescent="0.3">
      <c r="AW743" s="7">
        <v>45044.885416666664</v>
      </c>
      <c r="AX743" s="51">
        <v>4.8942914482030496E-3</v>
      </c>
      <c r="AY743" s="16">
        <v>65.743635260000005</v>
      </c>
      <c r="AZ743" s="2">
        <v>36556</v>
      </c>
      <c r="BA743" s="16">
        <f t="shared" si="82"/>
        <v>609.26666666666665</v>
      </c>
      <c r="BB743" s="9">
        <f t="shared" si="83"/>
        <v>2.9819286363418445</v>
      </c>
      <c r="BC743" s="119">
        <f t="shared" si="84"/>
        <v>35.705535840898605</v>
      </c>
    </row>
    <row r="744" spans="49:55" x14ac:dyDescent="0.3">
      <c r="AW744" s="7">
        <v>45044.895833333336</v>
      </c>
      <c r="AX744" s="51">
        <v>4.8582724568335001E-3</v>
      </c>
      <c r="AY744" s="16">
        <v>66.655723199999997</v>
      </c>
      <c r="AZ744" s="2">
        <v>36888</v>
      </c>
      <c r="BA744" s="16">
        <f t="shared" si="82"/>
        <v>614.79999999999995</v>
      </c>
      <c r="BB744" s="9">
        <f t="shared" si="83"/>
        <v>2.9868659064612357</v>
      </c>
      <c r="BC744" s="119">
        <f t="shared" si="84"/>
        <v>35.744779775617886</v>
      </c>
    </row>
    <row r="745" spans="49:55" x14ac:dyDescent="0.3">
      <c r="AW745" s="7">
        <v>45044.90625</v>
      </c>
      <c r="AX745" s="51">
        <v>4.7754038830413702E-3</v>
      </c>
      <c r="AY745" s="16">
        <v>68.916923760000003</v>
      </c>
      <c r="AZ745" s="2">
        <v>36595</v>
      </c>
      <c r="BA745" s="16">
        <f t="shared" si="82"/>
        <v>609.91666666666663</v>
      </c>
      <c r="BB745" s="9">
        <f t="shared" si="83"/>
        <v>2.9125984183316489</v>
      </c>
      <c r="BC745" s="119">
        <f t="shared" si="84"/>
        <v>35.152135081888368</v>
      </c>
    </row>
    <row r="746" spans="49:55" x14ac:dyDescent="0.3">
      <c r="AW746" s="7">
        <v>45044.916666666664</v>
      </c>
      <c r="AX746" s="51">
        <v>4.7921244976654896E-3</v>
      </c>
      <c r="AY746" s="16">
        <v>68.016396760000006</v>
      </c>
      <c r="AZ746" s="2">
        <v>36895</v>
      </c>
      <c r="BA746" s="16">
        <f t="shared" si="82"/>
        <v>614.91666666666663</v>
      </c>
      <c r="BB746" s="9">
        <f t="shared" si="83"/>
        <v>2.9467572223561369</v>
      </c>
      <c r="BC746" s="119">
        <f t="shared" si="84"/>
        <v>35.425340778260264</v>
      </c>
    </row>
    <row r="747" spans="49:55" x14ac:dyDescent="0.3">
      <c r="AW747" s="7">
        <v>45044.927083333336</v>
      </c>
      <c r="AX747" s="51">
        <v>4.8721166359660699E-3</v>
      </c>
      <c r="AY747" s="16">
        <v>66.655723199999997</v>
      </c>
      <c r="AZ747" s="2">
        <v>37384</v>
      </c>
      <c r="BA747" s="16">
        <f t="shared" si="82"/>
        <v>623.06666666666672</v>
      </c>
      <c r="BB747" s="9">
        <f t="shared" si="83"/>
        <v>3.0356534719825929</v>
      </c>
      <c r="BC747" s="119">
        <f t="shared" si="84"/>
        <v>36.131404251615209</v>
      </c>
    </row>
    <row r="748" spans="49:55" x14ac:dyDescent="0.3">
      <c r="AW748" s="7">
        <v>45044.9375</v>
      </c>
      <c r="AX748" s="51">
        <v>5.2217470163776099E-3</v>
      </c>
      <c r="AY748" s="16">
        <v>65.743635260000005</v>
      </c>
      <c r="AZ748" s="2">
        <v>37195</v>
      </c>
      <c r="BA748" s="16">
        <f t="shared" si="82"/>
        <v>619.91666666666663</v>
      </c>
      <c r="BB748" s="9">
        <f t="shared" si="83"/>
        <v>3.2370480045694197</v>
      </c>
      <c r="BC748" s="119">
        <f t="shared" si="84"/>
        <v>37.70582198173058</v>
      </c>
    </row>
    <row r="749" spans="49:55" x14ac:dyDescent="0.3">
      <c r="AW749" s="7">
        <v>45044.947916666664</v>
      </c>
      <c r="AX749" s="51">
        <v>4.9443130229936396E-3</v>
      </c>
      <c r="AY749" s="16">
        <v>68.016396760000006</v>
      </c>
      <c r="AZ749" s="2">
        <v>36613</v>
      </c>
      <c r="BA749" s="16">
        <f t="shared" si="82"/>
        <v>610.2166666666667</v>
      </c>
      <c r="BB749" s="9">
        <f t="shared" si="83"/>
        <v>3.0171022118477691</v>
      </c>
      <c r="BC749" s="119">
        <f t="shared" si="84"/>
        <v>35.984639756155481</v>
      </c>
    </row>
    <row r="750" spans="49:55" x14ac:dyDescent="0.3">
      <c r="AW750" s="7">
        <v>45044.958333333336</v>
      </c>
      <c r="AX750" s="51">
        <v>4.74922120795625E-3</v>
      </c>
      <c r="AY750" s="16">
        <v>68.016396760000006</v>
      </c>
      <c r="AZ750" s="2">
        <v>36945</v>
      </c>
      <c r="BA750" s="16">
        <f t="shared" si="82"/>
        <v>615.75</v>
      </c>
      <c r="BB750" s="9">
        <f t="shared" si="83"/>
        <v>2.9243329587990607</v>
      </c>
      <c r="BC750" s="119">
        <f t="shared" si="84"/>
        <v>35.246109952994772</v>
      </c>
    </row>
    <row r="751" spans="49:55" x14ac:dyDescent="0.3">
      <c r="AW751" s="7">
        <v>45044.96875</v>
      </c>
      <c r="AX751" s="51">
        <v>4.9534602446123198E-3</v>
      </c>
      <c r="AY751" s="16">
        <v>64.377553680000005</v>
      </c>
      <c r="AZ751" s="2">
        <v>36840</v>
      </c>
      <c r="BA751" s="16">
        <f t="shared" si="82"/>
        <v>614</v>
      </c>
      <c r="BB751" s="9">
        <f t="shared" si="83"/>
        <v>3.0414245901919643</v>
      </c>
      <c r="BC751" s="119">
        <f t="shared" si="84"/>
        <v>36.176999762189084</v>
      </c>
    </row>
    <row r="752" spans="49:55" x14ac:dyDescent="0.3">
      <c r="AW752" s="7">
        <v>45044.979166666664</v>
      </c>
      <c r="AX752" s="51">
        <v>5.1683812192844601E-3</v>
      </c>
      <c r="AY752" s="16">
        <v>68.016396760000006</v>
      </c>
      <c r="AZ752" s="2">
        <v>36839</v>
      </c>
      <c r="BA752" s="16">
        <f t="shared" si="82"/>
        <v>613.98333333333335</v>
      </c>
      <c r="BB752" s="9">
        <f t="shared" si="83"/>
        <v>3.1732999289536705</v>
      </c>
      <c r="BC752" s="119">
        <f t="shared" si="84"/>
        <v>37.211122317115965</v>
      </c>
    </row>
    <row r="753" spans="49:55" x14ac:dyDescent="0.3">
      <c r="AW753" s="7">
        <v>45044.989583333336</v>
      </c>
      <c r="AX753" s="51">
        <v>4.6859055752506099E-3</v>
      </c>
      <c r="AY753" s="16">
        <v>68.916923760000003</v>
      </c>
      <c r="AZ753" s="2">
        <v>37195</v>
      </c>
      <c r="BA753" s="16">
        <f t="shared" si="82"/>
        <v>619.91666666666663</v>
      </c>
      <c r="BB753" s="9">
        <f t="shared" si="83"/>
        <v>2.9048709645241071</v>
      </c>
      <c r="BC753" s="119">
        <f t="shared" si="84"/>
        <v>35.090181081083088</v>
      </c>
    </row>
    <row r="754" spans="49:55" x14ac:dyDescent="0.3">
      <c r="AW754" s="7">
        <v>45045</v>
      </c>
      <c r="AX754" s="51">
        <v>4.4308471136090899E-3</v>
      </c>
      <c r="AY754" s="16">
        <v>66.655723199999997</v>
      </c>
      <c r="AZ754" s="2">
        <v>37184</v>
      </c>
      <c r="BA754" s="16">
        <f t="shared" si="82"/>
        <v>619.73333333333335</v>
      </c>
      <c r="BB754" s="9">
        <f t="shared" si="83"/>
        <v>2.7459436512073401</v>
      </c>
      <c r="BC754" s="119">
        <f t="shared" si="84"/>
        <v>33.803418344245706</v>
      </c>
    </row>
    <row r="755" spans="49:55" x14ac:dyDescent="0.3">
      <c r="AW755" s="7">
        <v>45045.010416666664</v>
      </c>
      <c r="AX755" s="51">
        <v>4.7014793476614601E-3</v>
      </c>
      <c r="AY755" s="16">
        <v>65.290959470000004</v>
      </c>
      <c r="AZ755" s="2">
        <v>37277</v>
      </c>
      <c r="BA755" s="16">
        <f t="shared" si="82"/>
        <v>621.2833333333333</v>
      </c>
      <c r="BB755" s="9">
        <f t="shared" si="83"/>
        <v>2.9209507607129375</v>
      </c>
      <c r="BC755" s="119">
        <f t="shared" si="84"/>
        <v>35.219036982378405</v>
      </c>
    </row>
    <row r="756" spans="49:55" x14ac:dyDescent="0.3">
      <c r="AW756" s="7">
        <v>45045.020833333336</v>
      </c>
      <c r="AX756" s="51">
        <v>4.6023804583671599E-3</v>
      </c>
      <c r="AY756" s="16">
        <v>64.377553680000005</v>
      </c>
      <c r="AZ756" s="2">
        <v>37176</v>
      </c>
      <c r="BA756" s="16">
        <f t="shared" si="82"/>
        <v>619.6</v>
      </c>
      <c r="BB756" s="9">
        <f t="shared" si="83"/>
        <v>2.8516349320042922</v>
      </c>
      <c r="BC756" s="119">
        <f t="shared" si="84"/>
        <v>34.661850981721194</v>
      </c>
    </row>
    <row r="757" spans="49:55" x14ac:dyDescent="0.3">
      <c r="AW757" s="7">
        <v>45045.03125</v>
      </c>
      <c r="AX757" s="51">
        <v>4.7054449665234598E-3</v>
      </c>
      <c r="AY757" s="16">
        <v>64.377553680000005</v>
      </c>
      <c r="AZ757" s="2">
        <v>37061</v>
      </c>
      <c r="BA757" s="16">
        <f t="shared" si="82"/>
        <v>617.68333333333328</v>
      </c>
      <c r="BB757" s="9">
        <f t="shared" si="83"/>
        <v>2.9064749317387655</v>
      </c>
      <c r="BC757" s="119">
        <f t="shared" si="84"/>
        <v>35.103045259399103</v>
      </c>
    </row>
    <row r="758" spans="49:55" x14ac:dyDescent="0.3">
      <c r="AW758" s="7">
        <v>45045.041666666664</v>
      </c>
      <c r="AX758" s="51">
        <v>4.9699064362637704E-3</v>
      </c>
      <c r="AY758" s="16">
        <v>66.647934039999996</v>
      </c>
      <c r="AZ758" s="2">
        <v>37432</v>
      </c>
      <c r="BA758" s="16">
        <f t="shared" si="82"/>
        <v>623.86666666666667</v>
      </c>
      <c r="BB758" s="9">
        <f t="shared" si="83"/>
        <v>3.1005589620370908</v>
      </c>
      <c r="BC758" s="119">
        <f t="shared" si="84"/>
        <v>36.64253743963539</v>
      </c>
    </row>
    <row r="759" spans="49:55" x14ac:dyDescent="0.3">
      <c r="AW759" s="7">
        <v>45045.052083333336</v>
      </c>
      <c r="AX759" s="51">
        <v>4.4500469787164699E-3</v>
      </c>
      <c r="AY759" s="16">
        <v>66.655723199999997</v>
      </c>
      <c r="AZ759" s="2">
        <v>38056</v>
      </c>
      <c r="BA759" s="16">
        <f t="shared" si="82"/>
        <v>634.26666666666665</v>
      </c>
      <c r="BB759" s="9">
        <f t="shared" si="83"/>
        <v>2.8225164637005662</v>
      </c>
      <c r="BC759" s="119">
        <f t="shared" si="84"/>
        <v>34.426431599894663</v>
      </c>
    </row>
    <row r="760" spans="49:55" x14ac:dyDescent="0.3">
      <c r="AW760" s="7">
        <v>45045.0625</v>
      </c>
      <c r="AX760" s="51">
        <v>4.9959043248437498E-3</v>
      </c>
      <c r="AY760" s="16">
        <v>63.462041390000003</v>
      </c>
      <c r="AZ760" s="2">
        <v>37597</v>
      </c>
      <c r="BA760" s="16">
        <f t="shared" si="82"/>
        <v>626.61666666666667</v>
      </c>
      <c r="BB760" s="9">
        <f t="shared" si="83"/>
        <v>3.1305169150191743</v>
      </c>
      <c r="BC760" s="119">
        <f t="shared" si="84"/>
        <v>36.877242928564009</v>
      </c>
    </row>
    <row r="761" spans="49:55" x14ac:dyDescent="0.3">
      <c r="AW761" s="7">
        <v>45045.072916666664</v>
      </c>
      <c r="AX761" s="51">
        <v>4.5066845931397703E-3</v>
      </c>
      <c r="AY761" s="16">
        <v>68.008627450000006</v>
      </c>
      <c r="AZ761" s="2">
        <v>37732</v>
      </c>
      <c r="BA761" s="16">
        <f t="shared" si="82"/>
        <v>628.86666666666667</v>
      </c>
      <c r="BB761" s="9">
        <f t="shared" si="83"/>
        <v>2.8341037178058301</v>
      </c>
      <c r="BC761" s="119">
        <f t="shared" si="84"/>
        <v>34.520210481887617</v>
      </c>
    </row>
    <row r="762" spans="49:55" x14ac:dyDescent="0.3">
      <c r="AW762" s="7">
        <v>45045.083333333336</v>
      </c>
      <c r="AX762" s="51">
        <v>4.6003959994710304E-3</v>
      </c>
      <c r="AY762" s="16">
        <v>66.647934039999996</v>
      </c>
      <c r="AZ762" s="2">
        <v>37796</v>
      </c>
      <c r="BA762" s="16">
        <f t="shared" si="82"/>
        <v>629.93333333333328</v>
      </c>
      <c r="BB762" s="9">
        <f t="shared" si="83"/>
        <v>2.8979427866001175</v>
      </c>
      <c r="BC762" s="119">
        <f t="shared" si="84"/>
        <v>35.034588090108649</v>
      </c>
    </row>
    <row r="763" spans="49:55" x14ac:dyDescent="0.3">
      <c r="AW763" s="7">
        <v>45045.09375</v>
      </c>
      <c r="AX763" s="51">
        <v>4.6493415868894298E-3</v>
      </c>
      <c r="AY763" s="16">
        <v>66.647934039999996</v>
      </c>
      <c r="AZ763" s="2">
        <v>37657</v>
      </c>
      <c r="BA763" s="16">
        <f t="shared" si="82"/>
        <v>627.61666666666667</v>
      </c>
      <c r="BB763" s="9">
        <f t="shared" si="83"/>
        <v>2.9180042689582542</v>
      </c>
      <c r="BC763" s="119">
        <f t="shared" si="84"/>
        <v>35.19544305836655</v>
      </c>
    </row>
    <row r="764" spans="49:55" x14ac:dyDescent="0.3">
      <c r="AW764" s="7">
        <v>45045.104166666664</v>
      </c>
      <c r="AX764" s="51">
        <v>4.7100350071017103E-3</v>
      </c>
      <c r="AY764" s="16">
        <v>65.283151739999994</v>
      </c>
      <c r="AZ764" s="2">
        <v>38254</v>
      </c>
      <c r="BA764" s="16">
        <f t="shared" si="82"/>
        <v>637.56666666666672</v>
      </c>
      <c r="BB764" s="9">
        <f t="shared" si="83"/>
        <v>3.0029613193611473</v>
      </c>
      <c r="BC764" s="119">
        <f t="shared" si="84"/>
        <v>35.872563250910581</v>
      </c>
    </row>
    <row r="765" spans="49:55" x14ac:dyDescent="0.3">
      <c r="AW765" s="7">
        <v>45045.114583333336</v>
      </c>
      <c r="AX765" s="51">
        <v>4.5922925260093502E-3</v>
      </c>
      <c r="AY765" s="16">
        <v>66.647934039999996</v>
      </c>
      <c r="AZ765" s="2">
        <v>37930</v>
      </c>
      <c r="BA765" s="16">
        <f t="shared" si="82"/>
        <v>632.16666666666663</v>
      </c>
      <c r="BB765" s="9">
        <f t="shared" si="83"/>
        <v>2.9030942585255772</v>
      </c>
      <c r="BC765" s="119">
        <f t="shared" si="84"/>
        <v>35.075928712440145</v>
      </c>
    </row>
    <row r="766" spans="49:55" x14ac:dyDescent="0.3">
      <c r="AW766" s="7">
        <v>45045.125</v>
      </c>
      <c r="AX766" s="51">
        <v>4.6078266208937502E-3</v>
      </c>
      <c r="AY766" s="16">
        <v>65.743635260000005</v>
      </c>
      <c r="AZ766" s="2">
        <v>38230</v>
      </c>
      <c r="BA766" s="16">
        <f t="shared" si="82"/>
        <v>637.16666666666663</v>
      </c>
      <c r="BB766" s="9">
        <f t="shared" si="83"/>
        <v>2.9359535286128011</v>
      </c>
      <c r="BC766" s="119">
        <f t="shared" si="84"/>
        <v>35.339047319263123</v>
      </c>
    </row>
    <row r="767" spans="49:55" x14ac:dyDescent="0.3">
      <c r="AW767" s="7">
        <v>45045.135416666664</v>
      </c>
      <c r="AX767" s="51">
        <v>4.33042175265143E-3</v>
      </c>
      <c r="AY767" s="16">
        <v>68.008627450000006</v>
      </c>
      <c r="AZ767" s="2">
        <v>38210</v>
      </c>
      <c r="BA767" s="16">
        <f t="shared" si="82"/>
        <v>636.83333333333337</v>
      </c>
      <c r="BB767" s="9">
        <f t="shared" si="83"/>
        <v>2.7577569194801859</v>
      </c>
      <c r="BC767" s="119">
        <f t="shared" si="84"/>
        <v>33.899910885890193</v>
      </c>
    </row>
    <row r="768" spans="49:55" x14ac:dyDescent="0.3">
      <c r="AW768" s="7">
        <v>45045.145833333336</v>
      </c>
      <c r="AX768" s="51">
        <v>4.6603328535969497E-3</v>
      </c>
      <c r="AY768" s="16">
        <v>67.106545600000004</v>
      </c>
      <c r="AZ768" s="2">
        <v>37891</v>
      </c>
      <c r="BA768" s="16">
        <f t="shared" si="82"/>
        <v>631.51666666666665</v>
      </c>
      <c r="BB768" s="9">
        <f t="shared" si="83"/>
        <v>2.9430778692607005</v>
      </c>
      <c r="BC768" s="119">
        <f t="shared" si="84"/>
        <v>35.395964256802465</v>
      </c>
    </row>
    <row r="769" spans="49:55" x14ac:dyDescent="0.3">
      <c r="AW769" s="7">
        <v>45045.15625</v>
      </c>
      <c r="AX769" s="51">
        <v>4.5108632733698601E-3</v>
      </c>
      <c r="AY769" s="16">
        <v>65.743635260000005</v>
      </c>
      <c r="AZ769" s="2">
        <v>37947</v>
      </c>
      <c r="BA769" s="16">
        <f t="shared" si="82"/>
        <v>632.45000000000005</v>
      </c>
      <c r="BB769" s="9">
        <f t="shared" si="83"/>
        <v>2.8528954772427682</v>
      </c>
      <c r="BC769" s="119">
        <f t="shared" si="84"/>
        <v>34.67202405313909</v>
      </c>
    </row>
    <row r="770" spans="49:55" x14ac:dyDescent="0.3">
      <c r="AW770" s="7">
        <v>45045.166666666664</v>
      </c>
      <c r="AX770" s="51">
        <v>4.68024431858894E-3</v>
      </c>
      <c r="AY770" s="16">
        <v>64.377553680000005</v>
      </c>
      <c r="AZ770" s="2">
        <v>37932</v>
      </c>
      <c r="BA770" s="16">
        <f t="shared" si="82"/>
        <v>632.20000000000005</v>
      </c>
      <c r="BB770" s="9">
        <f t="shared" si="83"/>
        <v>2.9588504582119279</v>
      </c>
      <c r="BC770" s="119">
        <f t="shared" si="84"/>
        <v>35.521808339172232</v>
      </c>
    </row>
    <row r="771" spans="49:55" x14ac:dyDescent="0.3">
      <c r="AW771" s="7">
        <v>45045.177083333336</v>
      </c>
      <c r="AX771" s="51">
        <v>4.56372193810522E-3</v>
      </c>
      <c r="AY771" s="16">
        <v>65.290959470000004</v>
      </c>
      <c r="AZ771" s="2">
        <v>38087</v>
      </c>
      <c r="BA771" s="16">
        <f t="shared" si="82"/>
        <v>634.7833333333333</v>
      </c>
      <c r="BB771" s="9">
        <f t="shared" si="83"/>
        <v>2.8969746242768917</v>
      </c>
      <c r="BC771" s="119">
        <f t="shared" si="84"/>
        <v>35.026815820733745</v>
      </c>
    </row>
    <row r="772" spans="49:55" x14ac:dyDescent="0.3">
      <c r="AW772" s="7">
        <v>45045.1875</v>
      </c>
      <c r="AX772" s="51">
        <v>4.6503948705618097E-3</v>
      </c>
      <c r="AY772" s="16">
        <v>65.743635260000005</v>
      </c>
      <c r="AZ772" s="2">
        <v>37888</v>
      </c>
      <c r="BA772" s="16">
        <f t="shared" ref="BA772:BA835" si="85">AZ772/60</f>
        <v>631.4666666666667</v>
      </c>
      <c r="BB772" s="9">
        <f t="shared" ref="BB772:BB835" si="86">BA772*AX772</f>
        <v>2.9365693475974308</v>
      </c>
      <c r="BC772" s="119">
        <f t="shared" ref="BC772:BC835" si="87">17.285*BB772^0.664</f>
        <v>35.343968978154457</v>
      </c>
    </row>
    <row r="773" spans="49:55" x14ac:dyDescent="0.3">
      <c r="AW773" s="7">
        <v>45045.197916666664</v>
      </c>
      <c r="AX773" s="51">
        <v>4.7571791844268699E-3</v>
      </c>
      <c r="AY773" s="16">
        <v>67.106545600000004</v>
      </c>
      <c r="AZ773" s="2">
        <v>38173</v>
      </c>
      <c r="BA773" s="16">
        <f t="shared" si="85"/>
        <v>636.2166666666667</v>
      </c>
      <c r="BB773" s="9">
        <f t="shared" si="86"/>
        <v>3.0265966834521154</v>
      </c>
      <c r="BC773" s="119">
        <f t="shared" si="87"/>
        <v>36.05979108680436</v>
      </c>
    </row>
    <row r="774" spans="49:55" x14ac:dyDescent="0.3">
      <c r="AW774" s="7">
        <v>45045.208333333336</v>
      </c>
      <c r="AX774" s="51">
        <v>4.33946681757281E-3</v>
      </c>
      <c r="AY774" s="16">
        <v>65.743635260000005</v>
      </c>
      <c r="AZ774" s="2">
        <v>38235</v>
      </c>
      <c r="BA774" s="16">
        <f t="shared" si="85"/>
        <v>637.25</v>
      </c>
      <c r="BB774" s="9">
        <f t="shared" si="86"/>
        <v>2.7653252294982731</v>
      </c>
      <c r="BC774" s="119">
        <f t="shared" si="87"/>
        <v>33.961656985821008</v>
      </c>
    </row>
    <row r="775" spans="49:55" x14ac:dyDescent="0.3">
      <c r="AW775" s="7">
        <v>45045.21875</v>
      </c>
      <c r="AX775" s="51">
        <v>4.4585040110323802E-3</v>
      </c>
      <c r="AY775" s="16">
        <v>65.743635260000005</v>
      </c>
      <c r="AZ775" s="2">
        <v>38354</v>
      </c>
      <c r="BA775" s="16">
        <f t="shared" si="85"/>
        <v>639.23333333333335</v>
      </c>
      <c r="BB775" s="9">
        <f t="shared" si="86"/>
        <v>2.8500243806522652</v>
      </c>
      <c r="BC775" s="119">
        <f t="shared" si="87"/>
        <v>34.648851031284053</v>
      </c>
    </row>
    <row r="776" spans="49:55" x14ac:dyDescent="0.3">
      <c r="AW776" s="7">
        <v>45045.229166666664</v>
      </c>
      <c r="AX776" s="51">
        <v>4.3754950871122897E-3</v>
      </c>
      <c r="AY776" s="16">
        <v>65.743635260000005</v>
      </c>
      <c r="AZ776" s="2">
        <v>38176</v>
      </c>
      <c r="BA776" s="16">
        <f t="shared" si="85"/>
        <v>636.26666666666665</v>
      </c>
      <c r="BB776" s="9">
        <f t="shared" si="86"/>
        <v>2.783981674093313</v>
      </c>
      <c r="BC776" s="119">
        <f t="shared" si="87"/>
        <v>34.113623735161404</v>
      </c>
    </row>
    <row r="777" spans="49:55" x14ac:dyDescent="0.3">
      <c r="AW777" s="7">
        <v>45045.239583333336</v>
      </c>
      <c r="AX777" s="51">
        <v>4.74226760342129E-3</v>
      </c>
      <c r="AY777" s="16">
        <v>65.743635260000005</v>
      </c>
      <c r="AZ777" s="2">
        <v>38437</v>
      </c>
      <c r="BA777" s="16">
        <f t="shared" si="85"/>
        <v>640.61666666666667</v>
      </c>
      <c r="BB777" s="9">
        <f t="shared" si="86"/>
        <v>3.0379756645450686</v>
      </c>
      <c r="BC777" s="119">
        <f t="shared" si="87"/>
        <v>36.149754551147609</v>
      </c>
    </row>
    <row r="778" spans="49:55" x14ac:dyDescent="0.3">
      <c r="AW778" s="7">
        <v>45045.25</v>
      </c>
      <c r="AX778" s="51">
        <v>4.70948017973762E-3</v>
      </c>
      <c r="AY778" s="16">
        <v>65.283151739999994</v>
      </c>
      <c r="AZ778" s="2">
        <v>37978</v>
      </c>
      <c r="BA778" s="16">
        <f t="shared" si="85"/>
        <v>632.9666666666667</v>
      </c>
      <c r="BB778" s="9">
        <f t="shared" si="86"/>
        <v>2.9809439711012558</v>
      </c>
      <c r="BC778" s="119">
        <f t="shared" si="87"/>
        <v>35.697706610178301</v>
      </c>
    </row>
    <row r="779" spans="49:55" x14ac:dyDescent="0.3">
      <c r="AW779" s="7">
        <v>45045.260416666664</v>
      </c>
      <c r="AX779" s="51">
        <v>4.6365320686266396E-3</v>
      </c>
      <c r="AY779" s="16">
        <v>64.377553680000005</v>
      </c>
      <c r="AZ779" s="2">
        <v>38014</v>
      </c>
      <c r="BA779" s="16">
        <f t="shared" si="85"/>
        <v>633.56666666666672</v>
      </c>
      <c r="BB779" s="9">
        <f t="shared" si="86"/>
        <v>2.9375521676128851</v>
      </c>
      <c r="BC779" s="119">
        <f t="shared" si="87"/>
        <v>35.351823010977313</v>
      </c>
    </row>
    <row r="780" spans="49:55" x14ac:dyDescent="0.3">
      <c r="AW780" s="7">
        <v>45045.270833333336</v>
      </c>
      <c r="AX780" s="51">
        <v>4.68344764975606E-3</v>
      </c>
      <c r="AY780" s="16">
        <v>65.743635260000005</v>
      </c>
      <c r="AZ780" s="2">
        <v>38157</v>
      </c>
      <c r="BA780" s="16">
        <f t="shared" si="85"/>
        <v>635.95000000000005</v>
      </c>
      <c r="BB780" s="9">
        <f t="shared" si="86"/>
        <v>2.9784385328623664</v>
      </c>
      <c r="BC780" s="119">
        <f t="shared" si="87"/>
        <v>35.677781550761814</v>
      </c>
    </row>
    <row r="781" spans="49:55" x14ac:dyDescent="0.3">
      <c r="AW781" s="7">
        <v>45045.28125</v>
      </c>
      <c r="AX781" s="51">
        <v>4.4881816120268397E-3</v>
      </c>
      <c r="AY781" s="16">
        <v>63.015482910000003</v>
      </c>
      <c r="AZ781" s="2">
        <v>38582</v>
      </c>
      <c r="BA781" s="16">
        <f t="shared" si="85"/>
        <v>643.0333333333333</v>
      </c>
      <c r="BB781" s="9">
        <f t="shared" si="86"/>
        <v>2.8860503825869919</v>
      </c>
      <c r="BC781" s="119">
        <f t="shared" si="87"/>
        <v>34.939056984770531</v>
      </c>
    </row>
    <row r="782" spans="49:55" x14ac:dyDescent="0.3">
      <c r="AW782" s="7">
        <v>45045.291666666664</v>
      </c>
      <c r="AX782" s="51">
        <v>4.4054019652943702E-3</v>
      </c>
      <c r="AY782" s="16">
        <v>64.377553680000005</v>
      </c>
      <c r="AZ782" s="2">
        <v>38370</v>
      </c>
      <c r="BA782" s="16">
        <f t="shared" si="85"/>
        <v>639.5</v>
      </c>
      <c r="BB782" s="9">
        <f t="shared" si="86"/>
        <v>2.8172545568057497</v>
      </c>
      <c r="BC782" s="119">
        <f t="shared" si="87"/>
        <v>34.383802822715843</v>
      </c>
    </row>
    <row r="783" spans="49:55" x14ac:dyDescent="0.3">
      <c r="AW783" s="7">
        <v>45045.302083333336</v>
      </c>
      <c r="AX783" s="51">
        <v>4.41791117372078E-3</v>
      </c>
      <c r="AY783" s="16">
        <v>61.180993239999999</v>
      </c>
      <c r="AZ783" s="2">
        <v>38203</v>
      </c>
      <c r="BA783" s="16">
        <f t="shared" si="85"/>
        <v>636.7166666666667</v>
      </c>
      <c r="BB783" s="9">
        <f t="shared" si="86"/>
        <v>2.8129576761609161</v>
      </c>
      <c r="BC783" s="119">
        <f t="shared" si="87"/>
        <v>34.348972256887464</v>
      </c>
    </row>
    <row r="784" spans="49:55" x14ac:dyDescent="0.3">
      <c r="AW784" s="7">
        <v>45045.3125</v>
      </c>
      <c r="AX784" s="51">
        <v>4.5104237880577696E-3</v>
      </c>
      <c r="AY784" s="16">
        <v>63.92387093</v>
      </c>
      <c r="AZ784" s="2">
        <v>38405</v>
      </c>
      <c r="BA784" s="16">
        <f t="shared" si="85"/>
        <v>640.08333333333337</v>
      </c>
      <c r="BB784" s="9">
        <f t="shared" si="86"/>
        <v>2.8870470930059775</v>
      </c>
      <c r="BC784" s="119">
        <f t="shared" si="87"/>
        <v>34.947068582848971</v>
      </c>
    </row>
    <row r="785" spans="49:55" x14ac:dyDescent="0.3">
      <c r="AW785" s="7">
        <v>45045.322916666664</v>
      </c>
      <c r="AX785" s="51">
        <v>4.5831510740447596E-3</v>
      </c>
      <c r="AY785" s="16">
        <v>63.015482910000003</v>
      </c>
      <c r="AZ785" s="2">
        <v>37986</v>
      </c>
      <c r="BA785" s="16">
        <f t="shared" si="85"/>
        <v>633.1</v>
      </c>
      <c r="BB785" s="9">
        <f t="shared" si="86"/>
        <v>2.9015929449777373</v>
      </c>
      <c r="BC785" s="119">
        <f t="shared" si="87"/>
        <v>35.063883200471516</v>
      </c>
    </row>
    <row r="786" spans="49:55" x14ac:dyDescent="0.3">
      <c r="AW786" s="7">
        <v>45045.333333333336</v>
      </c>
      <c r="AX786" s="51">
        <v>4.67921584190149E-3</v>
      </c>
      <c r="AY786" s="16">
        <v>63.015482910000003</v>
      </c>
      <c r="AZ786" s="2">
        <v>38142</v>
      </c>
      <c r="BA786" s="16">
        <f t="shared" si="85"/>
        <v>635.70000000000005</v>
      </c>
      <c r="BB786" s="9">
        <f t="shared" si="86"/>
        <v>2.9745775106967773</v>
      </c>
      <c r="BC786" s="119">
        <f t="shared" si="87"/>
        <v>35.647064875913884</v>
      </c>
    </row>
    <row r="787" spans="49:55" x14ac:dyDescent="0.3">
      <c r="AW787" s="7">
        <v>45045.34375</v>
      </c>
      <c r="AX787" s="51">
        <v>4.7605728384767796E-3</v>
      </c>
      <c r="AY787" s="16">
        <v>61.92162476</v>
      </c>
      <c r="AZ787" s="2">
        <v>38056</v>
      </c>
      <c r="BA787" s="16">
        <f t="shared" si="85"/>
        <v>634.26666666666665</v>
      </c>
      <c r="BB787" s="9">
        <f t="shared" si="86"/>
        <v>3.0194726656845385</v>
      </c>
      <c r="BC787" s="119">
        <f t="shared" si="87"/>
        <v>36.003409978191648</v>
      </c>
    </row>
    <row r="788" spans="49:55" x14ac:dyDescent="0.3">
      <c r="AW788" s="7">
        <v>45045.354166666664</v>
      </c>
      <c r="AX788" s="51">
        <v>4.5233332321117604E-3</v>
      </c>
      <c r="AY788" s="16">
        <v>63.015482910000003</v>
      </c>
      <c r="AZ788" s="2">
        <v>37793</v>
      </c>
      <c r="BA788" s="16">
        <f t="shared" si="85"/>
        <v>629.88333333333333</v>
      </c>
      <c r="BB788" s="9">
        <f t="shared" si="86"/>
        <v>2.8491722140199958</v>
      </c>
      <c r="BC788" s="119">
        <f t="shared" si="87"/>
        <v>34.641971565976945</v>
      </c>
    </row>
    <row r="789" spans="49:55" x14ac:dyDescent="0.3">
      <c r="AW789" s="7">
        <v>45045.364583333336</v>
      </c>
      <c r="AX789" s="51">
        <v>4.3514662641830999E-3</v>
      </c>
      <c r="AY789" s="16">
        <v>63.916046000000001</v>
      </c>
      <c r="AZ789" s="2">
        <v>37425</v>
      </c>
      <c r="BA789" s="16">
        <f t="shared" si="85"/>
        <v>623.75</v>
      </c>
      <c r="BB789" s="9">
        <f t="shared" si="86"/>
        <v>2.7142270822842085</v>
      </c>
      <c r="BC789" s="119">
        <f t="shared" si="87"/>
        <v>33.543659976422632</v>
      </c>
    </row>
    <row r="790" spans="49:55" x14ac:dyDescent="0.3">
      <c r="AW790" s="7">
        <v>45045.375</v>
      </c>
      <c r="AX790" s="51">
        <v>4.6653073846297903E-3</v>
      </c>
      <c r="AY790" s="16">
        <v>61.187353479999999</v>
      </c>
      <c r="AZ790" s="2">
        <v>37936</v>
      </c>
      <c r="BA790" s="16">
        <f t="shared" si="85"/>
        <v>632.26666666666665</v>
      </c>
      <c r="BB790" s="9">
        <f t="shared" si="86"/>
        <v>2.9497183490552619</v>
      </c>
      <c r="BC790" s="119">
        <f t="shared" si="87"/>
        <v>35.448973919959442</v>
      </c>
    </row>
    <row r="791" spans="49:55" x14ac:dyDescent="0.3">
      <c r="AW791" s="7">
        <v>45045.385416666664</v>
      </c>
      <c r="AX791" s="51">
        <v>4.4357153440427602E-3</v>
      </c>
      <c r="AY791" s="16">
        <v>65.290959470000004</v>
      </c>
      <c r="AZ791" s="2">
        <v>37807</v>
      </c>
      <c r="BA791" s="16">
        <f t="shared" si="85"/>
        <v>630.11666666666667</v>
      </c>
      <c r="BB791" s="9">
        <f t="shared" si="86"/>
        <v>2.7950181668704106</v>
      </c>
      <c r="BC791" s="119">
        <f t="shared" si="87"/>
        <v>34.203360791475042</v>
      </c>
    </row>
    <row r="792" spans="49:55" x14ac:dyDescent="0.3">
      <c r="AW792" s="7">
        <v>45045.395833333336</v>
      </c>
      <c r="AX792" s="51">
        <v>4.8692435288498403E-3</v>
      </c>
      <c r="AY792" s="16">
        <v>60.811216330000001</v>
      </c>
      <c r="AZ792" s="2">
        <v>37629</v>
      </c>
      <c r="BA792" s="16">
        <f t="shared" si="85"/>
        <v>627.15</v>
      </c>
      <c r="BB792" s="9">
        <f t="shared" si="86"/>
        <v>3.0537460791181772</v>
      </c>
      <c r="BC792" s="119">
        <f t="shared" si="87"/>
        <v>36.27425021073163</v>
      </c>
    </row>
    <row r="793" spans="49:55" x14ac:dyDescent="0.3">
      <c r="AW793" s="7">
        <v>45045.40625</v>
      </c>
      <c r="AX793" s="51">
        <v>4.6642183073604699E-3</v>
      </c>
      <c r="AY793" s="16">
        <v>60.060669519999998</v>
      </c>
      <c r="AZ793" s="2">
        <v>37390</v>
      </c>
      <c r="BA793" s="16">
        <f t="shared" si="85"/>
        <v>623.16666666666663</v>
      </c>
      <c r="BB793" s="9">
        <f t="shared" si="86"/>
        <v>2.9065853752034658</v>
      </c>
      <c r="BC793" s="119">
        <f t="shared" si="87"/>
        <v>35.10393095307105</v>
      </c>
    </row>
    <row r="794" spans="49:55" x14ac:dyDescent="0.3">
      <c r="AW794" s="7">
        <v>45045.416666666664</v>
      </c>
      <c r="AX794" s="51">
        <v>4.7995496176722703E-3</v>
      </c>
      <c r="AY794" s="16">
        <v>60.811216330000001</v>
      </c>
      <c r="AZ794" s="2">
        <v>37352</v>
      </c>
      <c r="BA794" s="16">
        <f t="shared" si="85"/>
        <v>622.5333333333333</v>
      </c>
      <c r="BB794" s="9">
        <f t="shared" si="86"/>
        <v>2.987879621988244</v>
      </c>
      <c r="BC794" s="119">
        <f t="shared" si="87"/>
        <v>35.752834604499142</v>
      </c>
    </row>
    <row r="795" spans="49:55" x14ac:dyDescent="0.3">
      <c r="AW795" s="7">
        <v>45045.427083333336</v>
      </c>
      <c r="AX795" s="51">
        <v>4.7175856476582801E-3</v>
      </c>
      <c r="AY795" s="16">
        <v>61.92162476</v>
      </c>
      <c r="AZ795" s="2">
        <v>37222</v>
      </c>
      <c r="BA795" s="16">
        <f t="shared" si="85"/>
        <v>620.36666666666667</v>
      </c>
      <c r="BB795" s="9">
        <f t="shared" si="86"/>
        <v>2.926632882952275</v>
      </c>
      <c r="BC795" s="119">
        <f t="shared" si="87"/>
        <v>35.264513799390919</v>
      </c>
    </row>
    <row r="796" spans="49:55" x14ac:dyDescent="0.3">
      <c r="AW796" s="7">
        <v>45045.4375</v>
      </c>
      <c r="AX796" s="51">
        <v>4.7636694671722704E-3</v>
      </c>
      <c r="AY796" s="16">
        <v>60.440350530000003</v>
      </c>
      <c r="AZ796" s="2">
        <v>36695</v>
      </c>
      <c r="BA796" s="16">
        <f t="shared" si="85"/>
        <v>611.58333333333337</v>
      </c>
      <c r="BB796" s="9">
        <f t="shared" si="86"/>
        <v>2.913380851631441</v>
      </c>
      <c r="BC796" s="119">
        <f t="shared" si="87"/>
        <v>35.158405072718146</v>
      </c>
    </row>
    <row r="797" spans="49:55" x14ac:dyDescent="0.3">
      <c r="AW797" s="7">
        <v>45045.447916666664</v>
      </c>
      <c r="AX797" s="51">
        <v>4.8086134814801897E-3</v>
      </c>
      <c r="AY797" s="16">
        <v>61.92162476</v>
      </c>
      <c r="AZ797" s="2">
        <v>37188</v>
      </c>
      <c r="BA797" s="16">
        <f t="shared" si="85"/>
        <v>619.79999999999995</v>
      </c>
      <c r="BB797" s="9">
        <f t="shared" si="86"/>
        <v>2.9803786358214213</v>
      </c>
      <c r="BC797" s="119">
        <f t="shared" si="87"/>
        <v>35.693211146339422</v>
      </c>
    </row>
    <row r="798" spans="49:55" x14ac:dyDescent="0.3">
      <c r="AW798" s="7">
        <v>45045.458333333336</v>
      </c>
      <c r="AX798" s="51">
        <v>4.52748073101424E-3</v>
      </c>
      <c r="AY798" s="16">
        <v>63.015482910000003</v>
      </c>
      <c r="AZ798" s="2">
        <v>37252</v>
      </c>
      <c r="BA798" s="16">
        <f t="shared" si="85"/>
        <v>620.86666666666667</v>
      </c>
      <c r="BB798" s="9">
        <f t="shared" si="86"/>
        <v>2.8109618698623744</v>
      </c>
      <c r="BC798" s="119">
        <f t="shared" si="87"/>
        <v>34.332788147787319</v>
      </c>
    </row>
    <row r="799" spans="49:55" x14ac:dyDescent="0.3">
      <c r="AW799" s="7">
        <v>45045.46875</v>
      </c>
      <c r="AX799" s="51">
        <v>4.6222702070738697E-3</v>
      </c>
      <c r="AY799" s="16">
        <v>58.930610829999999</v>
      </c>
      <c r="AZ799" s="2">
        <v>36637</v>
      </c>
      <c r="BA799" s="16">
        <f t="shared" si="85"/>
        <v>610.61666666666667</v>
      </c>
      <c r="BB799" s="9">
        <f t="shared" si="86"/>
        <v>2.8224352262760894</v>
      </c>
      <c r="BC799" s="119">
        <f t="shared" si="87"/>
        <v>34.425773666620444</v>
      </c>
    </row>
    <row r="800" spans="49:55" x14ac:dyDescent="0.3">
      <c r="AW800" s="7">
        <v>45045.479166666664</v>
      </c>
      <c r="AX800" s="51">
        <v>5.0116969995764897E-3</v>
      </c>
      <c r="AY800" s="16">
        <v>63.015482910000003</v>
      </c>
      <c r="AZ800" s="2">
        <v>36186</v>
      </c>
      <c r="BA800" s="16">
        <f t="shared" si="85"/>
        <v>603.1</v>
      </c>
      <c r="BB800" s="9">
        <f t="shared" si="86"/>
        <v>3.0225544604445811</v>
      </c>
      <c r="BC800" s="119">
        <f t="shared" si="87"/>
        <v>36.027805487270093</v>
      </c>
    </row>
    <row r="801" spans="49:55" x14ac:dyDescent="0.3">
      <c r="AW801" s="7">
        <v>45045.489583333336</v>
      </c>
      <c r="AX801" s="51">
        <v>4.4700166883562802E-3</v>
      </c>
      <c r="AY801" s="16">
        <v>60.067120299999999</v>
      </c>
      <c r="AZ801" s="2">
        <v>36784</v>
      </c>
      <c r="BA801" s="16">
        <f t="shared" si="85"/>
        <v>613.06666666666672</v>
      </c>
      <c r="BB801" s="9">
        <f t="shared" si="86"/>
        <v>2.740418231074957</v>
      </c>
      <c r="BC801" s="119">
        <f t="shared" si="87"/>
        <v>33.758238023978699</v>
      </c>
    </row>
    <row r="802" spans="49:55" x14ac:dyDescent="0.3">
      <c r="AW802" s="7">
        <v>45045.5</v>
      </c>
      <c r="AX802" s="51">
        <v>5.2719370212949597E-3</v>
      </c>
      <c r="AY802" s="16">
        <v>63.916046000000001</v>
      </c>
      <c r="AZ802" s="2">
        <v>35716</v>
      </c>
      <c r="BA802" s="16">
        <f t="shared" si="85"/>
        <v>595.26666666666665</v>
      </c>
      <c r="BB802" s="9">
        <f t="shared" si="86"/>
        <v>3.1382083775428464</v>
      </c>
      <c r="BC802" s="119">
        <f t="shared" si="87"/>
        <v>36.937379725811695</v>
      </c>
    </row>
    <row r="803" spans="49:55" x14ac:dyDescent="0.3">
      <c r="AW803" s="7">
        <v>45045.510416666664</v>
      </c>
      <c r="AX803" s="51">
        <v>5.1280675164508101E-3</v>
      </c>
      <c r="AY803" s="16">
        <v>61.180993239999999</v>
      </c>
      <c r="AZ803" s="2">
        <v>36320</v>
      </c>
      <c r="BA803" s="16">
        <f t="shared" si="85"/>
        <v>605.33333333333337</v>
      </c>
      <c r="BB803" s="9">
        <f t="shared" si="86"/>
        <v>3.1041902032915574</v>
      </c>
      <c r="BC803" s="119">
        <f t="shared" si="87"/>
        <v>36.671026840472223</v>
      </c>
    </row>
    <row r="804" spans="49:55" x14ac:dyDescent="0.3">
      <c r="AW804" s="7">
        <v>45045.520833333336</v>
      </c>
      <c r="AX804" s="51">
        <v>5.0696419983675897E-3</v>
      </c>
      <c r="AY804" s="16">
        <v>61.180993239999999</v>
      </c>
      <c r="AZ804" s="2">
        <v>35984</v>
      </c>
      <c r="BA804" s="16">
        <f t="shared" si="85"/>
        <v>599.73333333333335</v>
      </c>
      <c r="BB804" s="9">
        <f t="shared" si="86"/>
        <v>3.0404332944876558</v>
      </c>
      <c r="BC804" s="119">
        <f t="shared" si="87"/>
        <v>36.169169963774245</v>
      </c>
    </row>
    <row r="805" spans="49:55" x14ac:dyDescent="0.3">
      <c r="AW805" s="7">
        <v>45045.53125</v>
      </c>
      <c r="AX805" s="51">
        <v>5.0797222637092498E-3</v>
      </c>
      <c r="AY805" s="16">
        <v>61.180993239999999</v>
      </c>
      <c r="AZ805" s="2">
        <v>35551</v>
      </c>
      <c r="BA805" s="16">
        <f t="shared" si="85"/>
        <v>592.51666666666665</v>
      </c>
      <c r="BB805" s="9">
        <f t="shared" si="86"/>
        <v>3.0098201032854588</v>
      </c>
      <c r="BC805" s="119">
        <f t="shared" si="87"/>
        <v>35.926946026001282</v>
      </c>
    </row>
    <row r="806" spans="49:55" x14ac:dyDescent="0.3">
      <c r="AW806" s="7">
        <v>45045.541666666664</v>
      </c>
      <c r="AX806" s="51">
        <v>5.1531233802045596E-3</v>
      </c>
      <c r="AY806" s="16">
        <v>65.290959470000004</v>
      </c>
      <c r="AZ806" s="2">
        <v>35310</v>
      </c>
      <c r="BA806" s="16">
        <f t="shared" si="85"/>
        <v>588.5</v>
      </c>
      <c r="BB806" s="9">
        <f t="shared" si="86"/>
        <v>3.0326131092503834</v>
      </c>
      <c r="BC806" s="119">
        <f t="shared" si="87"/>
        <v>36.107371736309496</v>
      </c>
    </row>
    <row r="807" spans="49:55" x14ac:dyDescent="0.3">
      <c r="AW807" s="7">
        <v>45045.552083333336</v>
      </c>
      <c r="AX807" s="51">
        <v>5.2212253810122603E-3</v>
      </c>
      <c r="AY807" s="16">
        <v>62.286138950000002</v>
      </c>
      <c r="AZ807" s="2">
        <v>34776</v>
      </c>
      <c r="BA807" s="16">
        <f t="shared" si="85"/>
        <v>579.6</v>
      </c>
      <c r="BB807" s="9">
        <f t="shared" si="86"/>
        <v>3.0262222308347062</v>
      </c>
      <c r="BC807" s="119">
        <f t="shared" si="87"/>
        <v>36.056828694084814</v>
      </c>
    </row>
    <row r="808" spans="49:55" x14ac:dyDescent="0.3">
      <c r="AW808" s="7">
        <v>45045.5625</v>
      </c>
      <c r="AX808" s="51">
        <v>5.4877824118319801E-3</v>
      </c>
      <c r="AY808" s="16">
        <v>65.290959470000004</v>
      </c>
      <c r="AZ808" s="2">
        <v>34430</v>
      </c>
      <c r="BA808" s="16">
        <f t="shared" si="85"/>
        <v>573.83333333333337</v>
      </c>
      <c r="BB808" s="9">
        <f t="shared" si="86"/>
        <v>3.1490724739895848</v>
      </c>
      <c r="BC808" s="119">
        <f t="shared" si="87"/>
        <v>37.022237909150469</v>
      </c>
    </row>
    <row r="809" spans="49:55" x14ac:dyDescent="0.3">
      <c r="AW809" s="7">
        <v>45045.572916666664</v>
      </c>
      <c r="AX809" s="51">
        <v>5.0815935471676E-3</v>
      </c>
      <c r="AY809" s="16">
        <v>64.377553680000005</v>
      </c>
      <c r="AZ809" s="2">
        <v>34239</v>
      </c>
      <c r="BA809" s="16">
        <f t="shared" si="85"/>
        <v>570.65</v>
      </c>
      <c r="BB809" s="9">
        <f t="shared" si="86"/>
        <v>2.899811357691191</v>
      </c>
      <c r="BC809" s="119">
        <f t="shared" si="87"/>
        <v>35.049586246560004</v>
      </c>
    </row>
    <row r="810" spans="49:55" x14ac:dyDescent="0.3">
      <c r="AW810" s="7">
        <v>45045.583333333336</v>
      </c>
      <c r="AX810" s="51">
        <v>5.7924310369972896E-3</v>
      </c>
      <c r="AY810" s="16">
        <v>64.377553680000005</v>
      </c>
      <c r="AZ810" s="2">
        <v>33828</v>
      </c>
      <c r="BA810" s="16">
        <f t="shared" si="85"/>
        <v>563.79999999999995</v>
      </c>
      <c r="BB810" s="9">
        <f t="shared" si="86"/>
        <v>3.2657726186590716</v>
      </c>
      <c r="BC810" s="119">
        <f t="shared" si="87"/>
        <v>37.927660104909066</v>
      </c>
    </row>
    <row r="811" spans="49:55" x14ac:dyDescent="0.3">
      <c r="AW811" s="7">
        <v>45045.59375</v>
      </c>
      <c r="AX811" s="51">
        <v>5.5612994557697601E-3</v>
      </c>
      <c r="AY811" s="16">
        <v>64.377553680000005</v>
      </c>
      <c r="AZ811" s="2">
        <v>33735</v>
      </c>
      <c r="BA811" s="16">
        <f t="shared" si="85"/>
        <v>562.25</v>
      </c>
      <c r="BB811" s="9">
        <f t="shared" si="86"/>
        <v>3.1268406190065474</v>
      </c>
      <c r="BC811" s="119">
        <f t="shared" si="87"/>
        <v>36.848481751212312</v>
      </c>
    </row>
    <row r="812" spans="49:55" x14ac:dyDescent="0.3">
      <c r="AW812" s="7">
        <v>45045.604166666664</v>
      </c>
      <c r="AX812" s="51">
        <v>5.7306764923971097E-3</v>
      </c>
      <c r="AY812" s="16">
        <v>68.016396760000006</v>
      </c>
      <c r="AZ812" s="2">
        <v>33709</v>
      </c>
      <c r="BA812" s="16">
        <f t="shared" si="85"/>
        <v>561.81666666666672</v>
      </c>
      <c r="BB812" s="9">
        <f t="shared" si="86"/>
        <v>3.2195895647035697</v>
      </c>
      <c r="BC812" s="119">
        <f t="shared" si="87"/>
        <v>37.570668556274263</v>
      </c>
    </row>
    <row r="813" spans="49:55" x14ac:dyDescent="0.3">
      <c r="AW813" s="7">
        <v>45045.614583333336</v>
      </c>
      <c r="AX813" s="51">
        <v>5.5469050284189698E-3</v>
      </c>
      <c r="AY813" s="16">
        <v>65.743635260000005</v>
      </c>
      <c r="AZ813" s="2">
        <v>33238</v>
      </c>
      <c r="BA813" s="16">
        <f t="shared" si="85"/>
        <v>553.9666666666667</v>
      </c>
      <c r="BB813" s="9">
        <f t="shared" si="86"/>
        <v>3.072800488909829</v>
      </c>
      <c r="BC813" s="119">
        <f t="shared" si="87"/>
        <v>36.424382763408055</v>
      </c>
    </row>
    <row r="814" spans="49:55" x14ac:dyDescent="0.3">
      <c r="AW814" s="7">
        <v>45045.625</v>
      </c>
      <c r="AX814" s="51">
        <v>5.3820987400734904E-3</v>
      </c>
      <c r="AY814" s="16">
        <v>69.373566690000004</v>
      </c>
      <c r="AZ814" s="2">
        <v>33153</v>
      </c>
      <c r="BA814" s="16">
        <f t="shared" si="85"/>
        <v>552.54999999999995</v>
      </c>
      <c r="BB814" s="9">
        <f t="shared" si="86"/>
        <v>2.9738786588276067</v>
      </c>
      <c r="BC814" s="119">
        <f t="shared" si="87"/>
        <v>35.641503671740786</v>
      </c>
    </row>
    <row r="815" spans="49:55" x14ac:dyDescent="0.3">
      <c r="AW815" s="7">
        <v>45045.635416666664</v>
      </c>
      <c r="AX815" s="51">
        <v>5.5651522879812997E-3</v>
      </c>
      <c r="AY815" s="16">
        <v>70.727821939999998</v>
      </c>
      <c r="AZ815" s="2">
        <v>33303</v>
      </c>
      <c r="BA815" s="16">
        <f t="shared" si="85"/>
        <v>555.04999999999995</v>
      </c>
      <c r="BB815" s="9">
        <f t="shared" si="86"/>
        <v>3.0889377774440203</v>
      </c>
      <c r="BC815" s="119">
        <f t="shared" si="87"/>
        <v>36.551286391359653</v>
      </c>
    </row>
    <row r="816" spans="49:55" x14ac:dyDescent="0.3">
      <c r="AW816" s="7">
        <v>45045.645833333336</v>
      </c>
      <c r="AX816" s="51">
        <v>5.5822266383630196E-3</v>
      </c>
      <c r="AY816" s="16">
        <v>71.630262669999993</v>
      </c>
      <c r="AZ816" s="2">
        <v>34231</v>
      </c>
      <c r="BA816" s="16">
        <f t="shared" si="85"/>
        <v>570.51666666666665</v>
      </c>
      <c r="BB816" s="9">
        <f t="shared" si="86"/>
        <v>3.184753334296742</v>
      </c>
      <c r="BC816" s="119">
        <f t="shared" si="87"/>
        <v>37.300247689985795</v>
      </c>
    </row>
    <row r="817" spans="49:55" x14ac:dyDescent="0.3">
      <c r="AW817" s="7">
        <v>45045.65625</v>
      </c>
      <c r="AX817" s="51">
        <v>5.2857521275319602E-3</v>
      </c>
      <c r="AY817" s="16">
        <v>68.466857000000005</v>
      </c>
      <c r="AZ817" s="2">
        <v>34404</v>
      </c>
      <c r="BA817" s="16">
        <f t="shared" si="85"/>
        <v>573.4</v>
      </c>
      <c r="BB817" s="9">
        <f t="shared" si="86"/>
        <v>3.0308502699268258</v>
      </c>
      <c r="BC817" s="119">
        <f t="shared" si="87"/>
        <v>36.093433683705953</v>
      </c>
    </row>
    <row r="818" spans="49:55" x14ac:dyDescent="0.3">
      <c r="AW818" s="7">
        <v>45045.666666666664</v>
      </c>
      <c r="AX818" s="51">
        <v>5.9756590398879596E-3</v>
      </c>
      <c r="AY818" s="16">
        <v>68.466857000000005</v>
      </c>
      <c r="AZ818" s="2">
        <v>34189</v>
      </c>
      <c r="BA818" s="16">
        <f t="shared" si="85"/>
        <v>569.81666666666672</v>
      </c>
      <c r="BB818" s="9">
        <f t="shared" si="86"/>
        <v>3.4050301152454914</v>
      </c>
      <c r="BC818" s="119">
        <f t="shared" si="87"/>
        <v>38.993992115285785</v>
      </c>
    </row>
    <row r="819" spans="49:55" x14ac:dyDescent="0.3">
      <c r="AW819" s="7">
        <v>45045.677083333336</v>
      </c>
      <c r="AX819" s="51">
        <v>5.2334251639586304E-3</v>
      </c>
      <c r="AY819" s="16">
        <v>71.622551369999996</v>
      </c>
      <c r="AZ819" s="2">
        <v>34576</v>
      </c>
      <c r="BA819" s="16">
        <f t="shared" si="85"/>
        <v>576.26666666666665</v>
      </c>
      <c r="BB819" s="9">
        <f t="shared" si="86"/>
        <v>3.0158484744838931</v>
      </c>
      <c r="BC819" s="119">
        <f t="shared" si="87"/>
        <v>35.974710148069526</v>
      </c>
    </row>
    <row r="820" spans="49:55" x14ac:dyDescent="0.3">
      <c r="AW820" s="7">
        <v>45045.6875</v>
      </c>
      <c r="AX820" s="51">
        <v>5.3588513019794896E-3</v>
      </c>
      <c r="AY820" s="16">
        <v>70.720093730000002</v>
      </c>
      <c r="AZ820" s="2">
        <v>34227</v>
      </c>
      <c r="BA820" s="16">
        <f t="shared" si="85"/>
        <v>570.45000000000005</v>
      </c>
      <c r="BB820" s="9">
        <f t="shared" si="86"/>
        <v>3.0569567252142003</v>
      </c>
      <c r="BC820" s="119">
        <f t="shared" si="87"/>
        <v>36.299569374445277</v>
      </c>
    </row>
    <row r="821" spans="49:55" x14ac:dyDescent="0.3">
      <c r="AW821" s="7">
        <v>45045.697916666664</v>
      </c>
      <c r="AX821" s="51">
        <v>5.2967208332475001E-3</v>
      </c>
      <c r="AY821" s="16">
        <v>70.720093730000002</v>
      </c>
      <c r="AZ821" s="2">
        <v>34486</v>
      </c>
      <c r="BA821" s="16">
        <f t="shared" si="85"/>
        <v>574.76666666666665</v>
      </c>
      <c r="BB821" s="9">
        <f t="shared" si="86"/>
        <v>3.0443785775895549</v>
      </c>
      <c r="BC821" s="119">
        <f t="shared" si="87"/>
        <v>36.200326895568686</v>
      </c>
    </row>
    <row r="822" spans="49:55" x14ac:dyDescent="0.3">
      <c r="AW822" s="7">
        <v>45045.708333333336</v>
      </c>
      <c r="AX822" s="51">
        <v>5.40267804557248E-3</v>
      </c>
      <c r="AY822" s="16">
        <v>71.622551369999996</v>
      </c>
      <c r="AZ822" s="2">
        <v>35176</v>
      </c>
      <c r="BA822" s="16">
        <f t="shared" si="85"/>
        <v>586.26666666666665</v>
      </c>
      <c r="BB822" s="9">
        <f t="shared" si="86"/>
        <v>3.1674100488509591</v>
      </c>
      <c r="BC822" s="119">
        <f t="shared" si="87"/>
        <v>37.165247780202463</v>
      </c>
    </row>
    <row r="823" spans="49:55" x14ac:dyDescent="0.3">
      <c r="AW823" s="7">
        <v>45045.71875</v>
      </c>
      <c r="AX823" s="51">
        <v>5.6039263088507596E-3</v>
      </c>
      <c r="AY823" s="16">
        <v>73.868067069999995</v>
      </c>
      <c r="AZ823" s="2">
        <v>34981</v>
      </c>
      <c r="BA823" s="16">
        <f t="shared" si="85"/>
        <v>583.01666666666665</v>
      </c>
      <c r="BB823" s="9">
        <f t="shared" si="86"/>
        <v>3.2671824368318068</v>
      </c>
      <c r="BC823" s="119">
        <f t="shared" si="87"/>
        <v>37.93853111248567</v>
      </c>
    </row>
    <row r="824" spans="49:55" x14ac:dyDescent="0.3">
      <c r="AW824" s="7">
        <v>45045.729166666664</v>
      </c>
      <c r="AX824" s="51">
        <v>5.0806825154256002E-3</v>
      </c>
      <c r="AY824" s="16">
        <v>76.544179459999995</v>
      </c>
      <c r="AZ824" s="2">
        <v>35853</v>
      </c>
      <c r="BA824" s="16">
        <f t="shared" si="85"/>
        <v>597.54999999999995</v>
      </c>
      <c r="BB824" s="9">
        <f t="shared" si="86"/>
        <v>3.0359618370925672</v>
      </c>
      <c r="BC824" s="119">
        <f t="shared" si="87"/>
        <v>36.133841268558406</v>
      </c>
    </row>
    <row r="825" spans="49:55" x14ac:dyDescent="0.3">
      <c r="AW825" s="7">
        <v>45045.739583333336</v>
      </c>
      <c r="AX825" s="51">
        <v>5.3925327937153602E-3</v>
      </c>
      <c r="AY825" s="16">
        <v>74.764849499999997</v>
      </c>
      <c r="AZ825" s="2">
        <v>35784</v>
      </c>
      <c r="BA825" s="16">
        <f t="shared" si="85"/>
        <v>596.4</v>
      </c>
      <c r="BB825" s="9">
        <f t="shared" si="86"/>
        <v>3.2161065581718407</v>
      </c>
      <c r="BC825" s="119">
        <f t="shared" si="87"/>
        <v>37.543675644063022</v>
      </c>
    </row>
    <row r="826" spans="49:55" x14ac:dyDescent="0.3">
      <c r="AW826" s="7">
        <v>45045.75</v>
      </c>
      <c r="AX826" s="51">
        <v>5.3667707794677298E-3</v>
      </c>
      <c r="AY826" s="16">
        <v>78.755362430000005</v>
      </c>
      <c r="AZ826" s="2">
        <v>35775</v>
      </c>
      <c r="BA826" s="16">
        <f t="shared" si="85"/>
        <v>596.25</v>
      </c>
      <c r="BB826" s="9">
        <f t="shared" si="86"/>
        <v>3.1999370772576339</v>
      </c>
      <c r="BC826" s="119">
        <f t="shared" si="87"/>
        <v>37.41823507647679</v>
      </c>
    </row>
    <row r="827" spans="49:55" x14ac:dyDescent="0.3">
      <c r="AW827" s="7">
        <v>45045.760416666664</v>
      </c>
      <c r="AX827" s="51">
        <v>5.2193287458945801E-3</v>
      </c>
      <c r="AY827" s="16">
        <v>77.435049230000004</v>
      </c>
      <c r="AZ827" s="2">
        <v>35456</v>
      </c>
      <c r="BA827" s="16">
        <f t="shared" si="85"/>
        <v>590.93333333333328</v>
      </c>
      <c r="BB827" s="9">
        <f t="shared" si="86"/>
        <v>3.0842753335739701</v>
      </c>
      <c r="BC827" s="119">
        <f t="shared" si="87"/>
        <v>36.51464386658737</v>
      </c>
    </row>
    <row r="828" spans="49:55" x14ac:dyDescent="0.3">
      <c r="AW828" s="7">
        <v>45045.770833333336</v>
      </c>
      <c r="AX828" s="51">
        <v>5.6014583945361296E-3</v>
      </c>
      <c r="AY828" s="16">
        <v>75.208694050000005</v>
      </c>
      <c r="AZ828" s="2">
        <v>35864</v>
      </c>
      <c r="BA828" s="16">
        <f t="shared" si="85"/>
        <v>597.73333333333335</v>
      </c>
      <c r="BB828" s="9">
        <f t="shared" si="86"/>
        <v>3.3481783976940624</v>
      </c>
      <c r="BC828" s="119">
        <f t="shared" si="87"/>
        <v>38.560467241166002</v>
      </c>
    </row>
    <row r="829" spans="49:55" x14ac:dyDescent="0.3">
      <c r="AW829" s="7">
        <v>45045.78125</v>
      </c>
      <c r="AX829" s="51">
        <v>5.2468140694194301E-3</v>
      </c>
      <c r="AY829" s="16">
        <v>78.762941850000004</v>
      </c>
      <c r="AZ829" s="2">
        <v>35888</v>
      </c>
      <c r="BA829" s="16">
        <f t="shared" si="85"/>
        <v>598.13333333333333</v>
      </c>
      <c r="BB829" s="9">
        <f t="shared" si="86"/>
        <v>3.1382943887220751</v>
      </c>
      <c r="BC829" s="119">
        <f t="shared" si="87"/>
        <v>36.938051936306103</v>
      </c>
    </row>
    <row r="830" spans="49:55" x14ac:dyDescent="0.3">
      <c r="AW830" s="7">
        <v>45045.791666666664</v>
      </c>
      <c r="AX830" s="51">
        <v>5.4858747368049399E-3</v>
      </c>
      <c r="AY830" s="16">
        <v>76.101800600000004</v>
      </c>
      <c r="AZ830" s="2">
        <v>35730</v>
      </c>
      <c r="BA830" s="16">
        <f t="shared" si="85"/>
        <v>595.5</v>
      </c>
      <c r="BB830" s="9">
        <f t="shared" si="86"/>
        <v>3.2668384057673419</v>
      </c>
      <c r="BC830" s="119">
        <f t="shared" si="87"/>
        <v>37.935878458842566</v>
      </c>
    </row>
    <row r="831" spans="49:55" x14ac:dyDescent="0.3">
      <c r="AW831" s="7">
        <v>45045.802083333336</v>
      </c>
      <c r="AX831" s="51">
        <v>5.2073018462577801E-3</v>
      </c>
      <c r="AY831" s="16">
        <v>77.435049230000004</v>
      </c>
      <c r="AZ831" s="2">
        <v>35874</v>
      </c>
      <c r="BA831" s="16">
        <f t="shared" si="85"/>
        <v>597.9</v>
      </c>
      <c r="BB831" s="9">
        <f t="shared" si="86"/>
        <v>3.1134457738775265</v>
      </c>
      <c r="BC831" s="119">
        <f t="shared" si="87"/>
        <v>36.743592093333895</v>
      </c>
    </row>
    <row r="832" spans="49:55" x14ac:dyDescent="0.3">
      <c r="AW832" s="7">
        <v>45045.8125</v>
      </c>
      <c r="AX832" s="51">
        <v>5.3119785010621303E-3</v>
      </c>
      <c r="AY832" s="16">
        <v>78.315517589999999</v>
      </c>
      <c r="AZ832" s="2">
        <v>35259</v>
      </c>
      <c r="BA832" s="16">
        <f t="shared" si="85"/>
        <v>587.65</v>
      </c>
      <c r="BB832" s="9">
        <f t="shared" si="86"/>
        <v>3.1215841661491606</v>
      </c>
      <c r="BC832" s="119">
        <f t="shared" si="87"/>
        <v>36.807338611073185</v>
      </c>
    </row>
    <row r="833" spans="49:55" x14ac:dyDescent="0.3">
      <c r="AW833" s="7">
        <v>45045.822916666664</v>
      </c>
      <c r="AX833" s="51">
        <v>5.37170706812837E-3</v>
      </c>
      <c r="AY833" s="16">
        <v>76.101800600000004</v>
      </c>
      <c r="AZ833" s="2">
        <v>35330</v>
      </c>
      <c r="BA833" s="16">
        <f t="shared" si="85"/>
        <v>588.83333333333337</v>
      </c>
      <c r="BB833" s="9">
        <f t="shared" si="86"/>
        <v>3.1630401786162552</v>
      </c>
      <c r="BC833" s="119">
        <f t="shared" si="87"/>
        <v>37.131193627999465</v>
      </c>
    </row>
    <row r="834" spans="49:55" x14ac:dyDescent="0.3">
      <c r="AW834" s="7">
        <v>45045.833333333336</v>
      </c>
      <c r="AX834" s="51">
        <v>5.3419380288735902E-3</v>
      </c>
      <c r="AY834" s="16">
        <v>79.641055789999996</v>
      </c>
      <c r="AZ834" s="2">
        <v>36047</v>
      </c>
      <c r="BA834" s="16">
        <f t="shared" si="85"/>
        <v>600.7833333333333</v>
      </c>
      <c r="BB834" s="9">
        <f t="shared" si="86"/>
        <v>3.2093473354467714</v>
      </c>
      <c r="BC834" s="119">
        <f t="shared" si="87"/>
        <v>37.49126437757787</v>
      </c>
    </row>
    <row r="835" spans="49:55" x14ac:dyDescent="0.3">
      <c r="AW835" s="7">
        <v>45045.84375</v>
      </c>
      <c r="AX835" s="51">
        <v>5.1951582001182502E-3</v>
      </c>
      <c r="AY835" s="16">
        <v>79.641055789999996</v>
      </c>
      <c r="AZ835" s="2">
        <v>35771</v>
      </c>
      <c r="BA835" s="16">
        <f t="shared" si="85"/>
        <v>596.18333333333328</v>
      </c>
      <c r="BB835" s="9">
        <f t="shared" si="86"/>
        <v>3.0972667329404984</v>
      </c>
      <c r="BC835" s="119">
        <f t="shared" si="87"/>
        <v>36.616698113976057</v>
      </c>
    </row>
    <row r="836" spans="49:55" x14ac:dyDescent="0.3">
      <c r="AW836" s="7">
        <v>45045.854166666664</v>
      </c>
      <c r="AX836" s="51">
        <v>5.1042175486448399E-3</v>
      </c>
      <c r="AY836" s="16">
        <v>76.094169239999999</v>
      </c>
      <c r="AZ836" s="2">
        <v>35889</v>
      </c>
      <c r="BA836" s="16">
        <f t="shared" ref="BA836:BA899" si="88">AZ836/60</f>
        <v>598.15</v>
      </c>
      <c r="BB836" s="9">
        <f t="shared" ref="BB836:BB899" si="89">BA836*AX836</f>
        <v>3.0530877267219108</v>
      </c>
      <c r="BC836" s="119">
        <f t="shared" ref="BC836:BC899" si="90">17.285*BB836^0.664</f>
        <v>36.269057337115918</v>
      </c>
    </row>
    <row r="837" spans="49:55" x14ac:dyDescent="0.3">
      <c r="AW837" s="7">
        <v>45045.864583333336</v>
      </c>
      <c r="AX837" s="51">
        <v>4.8632309140440302E-3</v>
      </c>
      <c r="AY837" s="16">
        <v>79.641055789999996</v>
      </c>
      <c r="AZ837" s="2">
        <v>36074</v>
      </c>
      <c r="BA837" s="16">
        <f t="shared" si="88"/>
        <v>601.23333333333335</v>
      </c>
      <c r="BB837" s="9">
        <f t="shared" si="89"/>
        <v>2.9239365332204059</v>
      </c>
      <c r="BC837" s="119">
        <f t="shared" si="90"/>
        <v>35.242937289496233</v>
      </c>
    </row>
    <row r="838" spans="49:55" x14ac:dyDescent="0.3">
      <c r="AW838" s="7">
        <v>45045.875</v>
      </c>
      <c r="AX838" s="51">
        <v>5.01596007520638E-3</v>
      </c>
      <c r="AY838" s="16">
        <v>76.094169239999999</v>
      </c>
      <c r="AZ838" s="2">
        <v>35972</v>
      </c>
      <c r="BA838" s="16">
        <f t="shared" si="88"/>
        <v>599.5333333333333</v>
      </c>
      <c r="BB838" s="9">
        <f t="shared" si="89"/>
        <v>3.0072352637553981</v>
      </c>
      <c r="BC838" s="119">
        <f t="shared" si="90"/>
        <v>35.906455924586524</v>
      </c>
    </row>
    <row r="839" spans="49:55" x14ac:dyDescent="0.3">
      <c r="AW839" s="7">
        <v>45045.885416666664</v>
      </c>
      <c r="AX839" s="51">
        <v>4.8692796548241903E-3</v>
      </c>
      <c r="AY839" s="16">
        <v>72.977848870000003</v>
      </c>
      <c r="AZ839" s="2">
        <v>37062</v>
      </c>
      <c r="BA839" s="16">
        <f t="shared" si="88"/>
        <v>617.70000000000005</v>
      </c>
      <c r="BB839" s="9">
        <f t="shared" si="89"/>
        <v>3.0077540427849025</v>
      </c>
      <c r="BC839" s="119">
        <f t="shared" si="90"/>
        <v>35.910568776205587</v>
      </c>
    </row>
    <row r="840" spans="49:55" x14ac:dyDescent="0.3">
      <c r="AW840" s="7">
        <v>45045.895833333336</v>
      </c>
      <c r="AX840" s="51">
        <v>4.9167149621176503E-3</v>
      </c>
      <c r="AY840" s="16">
        <v>75.208694050000005</v>
      </c>
      <c r="AZ840" s="2">
        <v>36051</v>
      </c>
      <c r="BA840" s="16">
        <f t="shared" si="88"/>
        <v>600.85</v>
      </c>
      <c r="BB840" s="9">
        <f t="shared" si="89"/>
        <v>2.9542081849883903</v>
      </c>
      <c r="BC840" s="119">
        <f t="shared" si="90"/>
        <v>35.484792690474656</v>
      </c>
    </row>
    <row r="841" spans="49:55" x14ac:dyDescent="0.3">
      <c r="AW841" s="7">
        <v>45045.90625</v>
      </c>
      <c r="AX841" s="51">
        <v>4.82526135613122E-3</v>
      </c>
      <c r="AY841" s="16">
        <v>75.208694050000005</v>
      </c>
      <c r="AZ841" s="2">
        <v>36684</v>
      </c>
      <c r="BA841" s="16">
        <f t="shared" si="88"/>
        <v>611.4</v>
      </c>
      <c r="BB841" s="9">
        <f t="shared" si="89"/>
        <v>2.9501647931386277</v>
      </c>
      <c r="BC841" s="119">
        <f t="shared" si="90"/>
        <v>35.45253635724842</v>
      </c>
    </row>
    <row r="842" spans="49:55" x14ac:dyDescent="0.3">
      <c r="AW842" s="7">
        <v>45045.916666666664</v>
      </c>
      <c r="AX842" s="51">
        <v>4.9058034221984804E-3</v>
      </c>
      <c r="AY842" s="16">
        <v>77.435049230000004</v>
      </c>
      <c r="AZ842" s="2">
        <v>36378</v>
      </c>
      <c r="BA842" s="16">
        <f t="shared" si="88"/>
        <v>606.29999999999995</v>
      </c>
      <c r="BB842" s="9">
        <f t="shared" si="89"/>
        <v>2.9743886148789382</v>
      </c>
      <c r="BC842" s="119">
        <f t="shared" si="90"/>
        <v>35.645561756299827</v>
      </c>
    </row>
    <row r="843" spans="49:55" x14ac:dyDescent="0.3">
      <c r="AW843" s="7">
        <v>45045.927083333336</v>
      </c>
      <c r="AX843" s="51">
        <v>4.7631272967767497E-3</v>
      </c>
      <c r="AY843" s="16">
        <v>75.208694050000005</v>
      </c>
      <c r="AZ843" s="2">
        <v>36357</v>
      </c>
      <c r="BA843" s="16">
        <f t="shared" si="88"/>
        <v>605.95000000000005</v>
      </c>
      <c r="BB843" s="9">
        <f t="shared" si="89"/>
        <v>2.8862169854818718</v>
      </c>
      <c r="BC843" s="119">
        <f t="shared" si="90"/>
        <v>34.940396210182953</v>
      </c>
    </row>
    <row r="844" spans="49:55" x14ac:dyDescent="0.3">
      <c r="AW844" s="7">
        <v>45045.9375</v>
      </c>
      <c r="AX844" s="51">
        <v>4.8783723542985503E-3</v>
      </c>
      <c r="AY844" s="16">
        <v>76.544179459999995</v>
      </c>
      <c r="AZ844" s="2">
        <v>36834</v>
      </c>
      <c r="BA844" s="16">
        <f t="shared" si="88"/>
        <v>613.9</v>
      </c>
      <c r="BB844" s="9">
        <f t="shared" si="89"/>
        <v>2.9948327883038801</v>
      </c>
      <c r="BC844" s="119">
        <f t="shared" si="90"/>
        <v>35.80805867726982</v>
      </c>
    </row>
    <row r="845" spans="49:55" x14ac:dyDescent="0.3">
      <c r="AW845" s="7">
        <v>45045.947916666664</v>
      </c>
      <c r="AX845" s="51">
        <v>4.7553678902546503E-3</v>
      </c>
      <c r="AY845" s="16">
        <v>75.208694050000005</v>
      </c>
      <c r="AZ845" s="2">
        <v>37486</v>
      </c>
      <c r="BA845" s="16">
        <f t="shared" si="88"/>
        <v>624.76666666666665</v>
      </c>
      <c r="BB845" s="9">
        <f t="shared" si="89"/>
        <v>2.9709953455680971</v>
      </c>
      <c r="BC845" s="119">
        <f t="shared" si="90"/>
        <v>35.618554688613528</v>
      </c>
    </row>
    <row r="846" spans="49:55" x14ac:dyDescent="0.3">
      <c r="AW846" s="7">
        <v>45045.958333333336</v>
      </c>
      <c r="AX846" s="51">
        <v>5.31052376020713E-3</v>
      </c>
      <c r="AY846" s="16">
        <v>72.523974480000007</v>
      </c>
      <c r="AZ846" s="2">
        <v>36599</v>
      </c>
      <c r="BA846" s="16">
        <f t="shared" si="88"/>
        <v>609.98333333333335</v>
      </c>
      <c r="BB846" s="9">
        <f t="shared" si="89"/>
        <v>3.2393309849970127</v>
      </c>
      <c r="BC846" s="119">
        <f t="shared" si="90"/>
        <v>37.723477403477332</v>
      </c>
    </row>
    <row r="847" spans="49:55" x14ac:dyDescent="0.3">
      <c r="AW847" s="7">
        <v>45045.96875</v>
      </c>
      <c r="AX847" s="51">
        <v>5.0924884619591203E-3</v>
      </c>
      <c r="AY847" s="16">
        <v>76.094169239999999</v>
      </c>
      <c r="AZ847" s="2">
        <v>36612</v>
      </c>
      <c r="BA847" s="16">
        <f t="shared" si="88"/>
        <v>610.20000000000005</v>
      </c>
      <c r="BB847" s="9">
        <f t="shared" si="89"/>
        <v>3.1074364594874555</v>
      </c>
      <c r="BC847" s="119">
        <f t="shared" si="90"/>
        <v>36.696486309745765</v>
      </c>
    </row>
    <row r="848" spans="49:55" x14ac:dyDescent="0.3">
      <c r="AW848" s="7">
        <v>45045.979166666664</v>
      </c>
      <c r="AX848" s="51">
        <v>4.72431831297173E-3</v>
      </c>
      <c r="AY848" s="16">
        <v>76.101800600000004</v>
      </c>
      <c r="AZ848" s="2">
        <v>37450</v>
      </c>
      <c r="BA848" s="16">
        <f t="shared" si="88"/>
        <v>624.16666666666663</v>
      </c>
      <c r="BB848" s="9">
        <f t="shared" si="89"/>
        <v>2.9487620136798545</v>
      </c>
      <c r="BC848" s="119">
        <f t="shared" si="90"/>
        <v>35.441342153408854</v>
      </c>
    </row>
    <row r="849" spans="49:55" x14ac:dyDescent="0.3">
      <c r="AW849" s="7">
        <v>45045.989583333336</v>
      </c>
      <c r="AX849" s="51">
        <v>4.7057121222787799E-3</v>
      </c>
      <c r="AY849" s="16">
        <v>76.986061320000005</v>
      </c>
      <c r="AZ849" s="2">
        <v>37906</v>
      </c>
      <c r="BA849" s="16">
        <f t="shared" si="88"/>
        <v>631.76666666666665</v>
      </c>
      <c r="BB849" s="9">
        <f t="shared" si="89"/>
        <v>2.9729120617849905</v>
      </c>
      <c r="BC849" s="119">
        <f t="shared" si="90"/>
        <v>35.633811126969036</v>
      </c>
    </row>
    <row r="850" spans="49:55" x14ac:dyDescent="0.3">
      <c r="AW850" s="7">
        <v>45046</v>
      </c>
      <c r="AX850" s="51">
        <v>4.7453899348293901E-3</v>
      </c>
      <c r="AY850" s="16">
        <v>73.868067069999995</v>
      </c>
      <c r="AZ850" s="2">
        <v>37843</v>
      </c>
      <c r="BA850" s="16">
        <f t="shared" si="88"/>
        <v>630.7166666666667</v>
      </c>
      <c r="BB850" s="9">
        <f t="shared" si="89"/>
        <v>2.9929965217291437</v>
      </c>
      <c r="BC850" s="119">
        <f t="shared" si="90"/>
        <v>35.793478703207192</v>
      </c>
    </row>
    <row r="851" spans="49:55" x14ac:dyDescent="0.3">
      <c r="AW851" s="7">
        <v>45046.010416666664</v>
      </c>
      <c r="AX851" s="51">
        <v>4.8974904693242297E-3</v>
      </c>
      <c r="AY851" s="16">
        <v>74.764849499999997</v>
      </c>
      <c r="AZ851" s="2">
        <v>37599</v>
      </c>
      <c r="BA851" s="16">
        <f t="shared" si="88"/>
        <v>626.65</v>
      </c>
      <c r="BB851" s="9">
        <f t="shared" si="89"/>
        <v>3.0690124026020285</v>
      </c>
      <c r="BC851" s="119">
        <f t="shared" si="90"/>
        <v>36.39456083192082</v>
      </c>
    </row>
    <row r="852" spans="49:55" x14ac:dyDescent="0.3">
      <c r="AW852" s="7">
        <v>45046.020833333336</v>
      </c>
      <c r="AX852" s="51">
        <v>4.9011037918633002E-3</v>
      </c>
      <c r="AY852" s="16">
        <v>76.544179459999995</v>
      </c>
      <c r="AZ852" s="2">
        <v>37418</v>
      </c>
      <c r="BA852" s="16">
        <f t="shared" si="88"/>
        <v>623.63333333333333</v>
      </c>
      <c r="BB852" s="9">
        <f t="shared" si="89"/>
        <v>3.0564916947323493</v>
      </c>
      <c r="BC852" s="119">
        <f t="shared" si="90"/>
        <v>36.295902696366142</v>
      </c>
    </row>
    <row r="853" spans="49:55" x14ac:dyDescent="0.3">
      <c r="AW853" s="7">
        <v>45046.03125</v>
      </c>
      <c r="AX853" s="51">
        <v>4.9028029229956803E-3</v>
      </c>
      <c r="AY853" s="16">
        <v>77.435049230000004</v>
      </c>
      <c r="AZ853" s="2">
        <v>37566</v>
      </c>
      <c r="BA853" s="16">
        <f t="shared" si="88"/>
        <v>626.1</v>
      </c>
      <c r="BB853" s="9">
        <f t="shared" si="89"/>
        <v>3.0696449100875953</v>
      </c>
      <c r="BC853" s="119">
        <f t="shared" si="90"/>
        <v>36.399541143944774</v>
      </c>
    </row>
    <row r="854" spans="49:55" x14ac:dyDescent="0.3">
      <c r="AW854" s="7">
        <v>45046.041666666664</v>
      </c>
      <c r="AX854" s="51">
        <v>4.7272406882572296E-3</v>
      </c>
      <c r="AY854" s="16">
        <v>78.323104580000006</v>
      </c>
      <c r="AZ854" s="2">
        <v>37533</v>
      </c>
      <c r="BA854" s="16">
        <f t="shared" si="88"/>
        <v>625.54999999999995</v>
      </c>
      <c r="BB854" s="9">
        <f t="shared" si="89"/>
        <v>2.9571254125393098</v>
      </c>
      <c r="BC854" s="119">
        <f t="shared" si="90"/>
        <v>35.50805578785468</v>
      </c>
    </row>
    <row r="855" spans="49:55" x14ac:dyDescent="0.3">
      <c r="AW855" s="7">
        <v>45046.052083333336</v>
      </c>
      <c r="AX855" s="51">
        <v>4.9007032531980998E-3</v>
      </c>
      <c r="AY855" s="16">
        <v>77.435049230000004</v>
      </c>
      <c r="AZ855" s="2">
        <v>37985</v>
      </c>
      <c r="BA855" s="16">
        <f t="shared" si="88"/>
        <v>633.08333333333337</v>
      </c>
      <c r="BB855" s="9">
        <f t="shared" si="89"/>
        <v>3.1025535512121638</v>
      </c>
      <c r="BC855" s="119">
        <f t="shared" si="90"/>
        <v>36.658187649209054</v>
      </c>
    </row>
    <row r="856" spans="49:55" x14ac:dyDescent="0.3">
      <c r="AW856" s="7">
        <v>45046.0625</v>
      </c>
      <c r="AX856" s="51">
        <v>4.6769159313643999E-3</v>
      </c>
      <c r="AY856" s="16">
        <v>77.435049230000004</v>
      </c>
      <c r="AZ856" s="2">
        <v>37831</v>
      </c>
      <c r="BA856" s="16">
        <f t="shared" si="88"/>
        <v>630.51666666666665</v>
      </c>
      <c r="BB856" s="9">
        <f t="shared" si="89"/>
        <v>2.9488734433241102</v>
      </c>
      <c r="BC856" s="119">
        <f t="shared" si="90"/>
        <v>35.442231429268674</v>
      </c>
    </row>
    <row r="857" spans="49:55" x14ac:dyDescent="0.3">
      <c r="AW857" s="7">
        <v>45046.072916666664</v>
      </c>
      <c r="AX857" s="51">
        <v>4.6735766709237103E-3</v>
      </c>
      <c r="AY857" s="16">
        <v>78.755362430000005</v>
      </c>
      <c r="AZ857" s="2">
        <v>37853</v>
      </c>
      <c r="BA857" s="16">
        <f t="shared" si="88"/>
        <v>630.88333333333333</v>
      </c>
      <c r="BB857" s="9">
        <f t="shared" si="89"/>
        <v>2.9484816287412534</v>
      </c>
      <c r="BC857" s="119">
        <f t="shared" si="90"/>
        <v>35.439104462306332</v>
      </c>
    </row>
    <row r="858" spans="49:55" x14ac:dyDescent="0.3">
      <c r="AW858" s="7">
        <v>45046.083333333336</v>
      </c>
      <c r="AX858" s="51">
        <v>4.6597884569125197E-3</v>
      </c>
      <c r="AY858" s="16">
        <v>76.094169239999999</v>
      </c>
      <c r="AZ858" s="2">
        <v>38218</v>
      </c>
      <c r="BA858" s="16">
        <f t="shared" si="88"/>
        <v>636.9666666666667</v>
      </c>
      <c r="BB858" s="9">
        <f t="shared" si="89"/>
        <v>2.968129920771378</v>
      </c>
      <c r="BC858" s="119">
        <f t="shared" si="90"/>
        <v>35.595740669076967</v>
      </c>
    </row>
    <row r="859" spans="49:55" x14ac:dyDescent="0.3">
      <c r="AW859" s="7">
        <v>45046.09375</v>
      </c>
      <c r="AX859" s="51">
        <v>4.8196413759241897E-3</v>
      </c>
      <c r="AY859" s="16">
        <v>77.427442880000001</v>
      </c>
      <c r="AZ859" s="2">
        <v>38191</v>
      </c>
      <c r="BA859" s="16">
        <f t="shared" si="88"/>
        <v>636.51666666666665</v>
      </c>
      <c r="BB859" s="9">
        <f t="shared" si="89"/>
        <v>3.0677820631320123</v>
      </c>
      <c r="BC859" s="119">
        <f t="shared" si="90"/>
        <v>36.384872251923774</v>
      </c>
    </row>
    <row r="860" spans="49:55" x14ac:dyDescent="0.3">
      <c r="AW860" s="7">
        <v>45046.104166666664</v>
      </c>
      <c r="AX860" s="51">
        <v>4.5334471719564798E-3</v>
      </c>
      <c r="AY860" s="16">
        <v>74.312865549999998</v>
      </c>
      <c r="AZ860" s="2">
        <v>37951</v>
      </c>
      <c r="BA860" s="16">
        <f t="shared" si="88"/>
        <v>632.51666666666665</v>
      </c>
      <c r="BB860" s="9">
        <f t="shared" si="89"/>
        <v>2.8674808937153395</v>
      </c>
      <c r="BC860" s="119">
        <f t="shared" si="90"/>
        <v>34.789624215290829</v>
      </c>
    </row>
    <row r="861" spans="49:55" x14ac:dyDescent="0.3">
      <c r="AW861" s="7">
        <v>45046.114583333336</v>
      </c>
      <c r="AX861" s="51">
        <v>4.6297787213468097E-3</v>
      </c>
      <c r="AY861" s="16">
        <v>73.868067069999995</v>
      </c>
      <c r="AZ861" s="2">
        <v>38107</v>
      </c>
      <c r="BA861" s="16">
        <f t="shared" si="88"/>
        <v>635.11666666666667</v>
      </c>
      <c r="BB861" s="9">
        <f t="shared" si="89"/>
        <v>2.9404496289060482</v>
      </c>
      <c r="BC861" s="119">
        <f t="shared" si="90"/>
        <v>35.374972425337965</v>
      </c>
    </row>
    <row r="862" spans="49:55" x14ac:dyDescent="0.3">
      <c r="AW862" s="7">
        <v>45046.125</v>
      </c>
      <c r="AX862" s="51">
        <v>4.82214870033317E-3</v>
      </c>
      <c r="AY862" s="16">
        <v>72.970159429999995</v>
      </c>
      <c r="AZ862" s="2">
        <v>37830</v>
      </c>
      <c r="BA862" s="16">
        <f t="shared" si="88"/>
        <v>630.5</v>
      </c>
      <c r="BB862" s="9">
        <f t="shared" si="89"/>
        <v>3.0403647555600637</v>
      </c>
      <c r="BC862" s="119">
        <f t="shared" si="90"/>
        <v>36.168628573946236</v>
      </c>
    </row>
    <row r="863" spans="49:55" x14ac:dyDescent="0.3">
      <c r="AW863" s="7">
        <v>45046.135416666664</v>
      </c>
      <c r="AX863" s="51">
        <v>4.5170080980239799E-3</v>
      </c>
      <c r="AY863" s="16">
        <v>71.622551369999996</v>
      </c>
      <c r="AZ863" s="2">
        <v>37459</v>
      </c>
      <c r="BA863" s="16">
        <f t="shared" si="88"/>
        <v>624.31666666666672</v>
      </c>
      <c r="BB863" s="9">
        <f t="shared" si="89"/>
        <v>2.8200434390646714</v>
      </c>
      <c r="BC863" s="119">
        <f t="shared" si="90"/>
        <v>34.406399983500414</v>
      </c>
    </row>
    <row r="864" spans="49:55" x14ac:dyDescent="0.3">
      <c r="AW864" s="7">
        <v>45046.145833333336</v>
      </c>
      <c r="AX864" s="51">
        <v>4.7656112855513598E-3</v>
      </c>
      <c r="AY864" s="16">
        <v>70.720093730000002</v>
      </c>
      <c r="AZ864" s="2">
        <v>37700</v>
      </c>
      <c r="BA864" s="16">
        <f t="shared" si="88"/>
        <v>628.33333333333337</v>
      </c>
      <c r="BB864" s="9">
        <f t="shared" si="89"/>
        <v>2.9943924244214379</v>
      </c>
      <c r="BC864" s="119">
        <f t="shared" si="90"/>
        <v>35.80456245771515</v>
      </c>
    </row>
    <row r="865" spans="49:55" x14ac:dyDescent="0.3">
      <c r="AW865" s="7">
        <v>45046.15625</v>
      </c>
      <c r="AX865" s="51">
        <v>4.7501552030628303E-3</v>
      </c>
      <c r="AY865" s="16">
        <v>72.069636250000002</v>
      </c>
      <c r="AZ865" s="2">
        <v>37565</v>
      </c>
      <c r="BA865" s="16">
        <f t="shared" si="88"/>
        <v>626.08333333333337</v>
      </c>
      <c r="BB865" s="9">
        <f t="shared" si="89"/>
        <v>2.9739930033842539</v>
      </c>
      <c r="BC865" s="119">
        <f t="shared" si="90"/>
        <v>35.642413613388044</v>
      </c>
    </row>
    <row r="866" spans="49:55" x14ac:dyDescent="0.3">
      <c r="AW866" s="7">
        <v>45046.166666666664</v>
      </c>
      <c r="AX866" s="51">
        <v>5.1043174696541599E-3</v>
      </c>
      <c r="AY866" s="16">
        <v>73.868067069999995</v>
      </c>
      <c r="AZ866" s="2">
        <v>37698</v>
      </c>
      <c r="BA866" s="16">
        <f t="shared" si="88"/>
        <v>628.29999999999995</v>
      </c>
      <c r="BB866" s="9">
        <f t="shared" si="89"/>
        <v>3.2070426661837086</v>
      </c>
      <c r="BC866" s="119">
        <f t="shared" si="90"/>
        <v>37.473385408939095</v>
      </c>
    </row>
    <row r="867" spans="49:55" x14ac:dyDescent="0.3">
      <c r="AW867" s="7">
        <v>45046.177083333336</v>
      </c>
      <c r="AX867" s="51">
        <v>4.5385763949810001E-3</v>
      </c>
      <c r="AY867" s="16">
        <v>72.069636250000002</v>
      </c>
      <c r="AZ867" s="2">
        <v>37807</v>
      </c>
      <c r="BA867" s="16">
        <f t="shared" si="88"/>
        <v>630.11666666666667</v>
      </c>
      <c r="BB867" s="9">
        <f t="shared" si="89"/>
        <v>2.8598326294174443</v>
      </c>
      <c r="BC867" s="119">
        <f t="shared" si="90"/>
        <v>34.72798246452485</v>
      </c>
    </row>
    <row r="868" spans="49:55" x14ac:dyDescent="0.3">
      <c r="AW868" s="7">
        <v>45046.1875</v>
      </c>
      <c r="AX868" s="51">
        <v>4.9461486205364599E-3</v>
      </c>
      <c r="AY868" s="16">
        <v>72.069636250000002</v>
      </c>
      <c r="AZ868" s="2">
        <v>37766</v>
      </c>
      <c r="BA868" s="16">
        <f t="shared" si="88"/>
        <v>629.43333333333328</v>
      </c>
      <c r="BB868" s="9">
        <f t="shared" si="89"/>
        <v>3.113270813386332</v>
      </c>
      <c r="BC868" s="119">
        <f t="shared" si="90"/>
        <v>36.742221045920246</v>
      </c>
    </row>
    <row r="869" spans="49:55" x14ac:dyDescent="0.3">
      <c r="AW869" s="7">
        <v>45046.197916666664</v>
      </c>
      <c r="AX869" s="51">
        <v>4.7226528089649202E-3</v>
      </c>
      <c r="AY869" s="16">
        <v>71.622551369999996</v>
      </c>
      <c r="AZ869" s="2">
        <v>37942</v>
      </c>
      <c r="BA869" s="16">
        <f t="shared" si="88"/>
        <v>632.36666666666667</v>
      </c>
      <c r="BB869" s="9">
        <f t="shared" si="89"/>
        <v>2.9864482146291169</v>
      </c>
      <c r="BC869" s="119">
        <f t="shared" si="90"/>
        <v>35.741460592859347</v>
      </c>
    </row>
    <row r="870" spans="49:55" x14ac:dyDescent="0.3">
      <c r="AW870" s="7">
        <v>45046.208333333336</v>
      </c>
      <c r="AX870" s="51">
        <v>5.0392072439155496E-3</v>
      </c>
      <c r="AY870" s="16">
        <v>72.970159429999995</v>
      </c>
      <c r="AZ870" s="2">
        <v>37193</v>
      </c>
      <c r="BA870" s="16">
        <f t="shared" si="88"/>
        <v>619.88333333333333</v>
      </c>
      <c r="BB870" s="9">
        <f t="shared" si="89"/>
        <v>3.1237205837158504</v>
      </c>
      <c r="BC870" s="119">
        <f t="shared" si="90"/>
        <v>36.824063516259095</v>
      </c>
    </row>
    <row r="871" spans="49:55" x14ac:dyDescent="0.3">
      <c r="AW871" s="7">
        <v>45046.21875</v>
      </c>
      <c r="AX871" s="51">
        <v>4.5988150089072196E-3</v>
      </c>
      <c r="AY871" s="16">
        <v>71.622551369999996</v>
      </c>
      <c r="AZ871" s="2">
        <v>37557</v>
      </c>
      <c r="BA871" s="16">
        <f t="shared" si="88"/>
        <v>625.95000000000005</v>
      </c>
      <c r="BB871" s="9">
        <f t="shared" si="89"/>
        <v>2.8786282548254745</v>
      </c>
      <c r="BC871" s="119">
        <f t="shared" si="90"/>
        <v>34.879368358011156</v>
      </c>
    </row>
    <row r="872" spans="49:55" x14ac:dyDescent="0.3">
      <c r="AW872" s="7">
        <v>45046.229166666664</v>
      </c>
      <c r="AX872" s="51">
        <v>5.1889183954853899E-3</v>
      </c>
      <c r="AY872" s="16">
        <v>72.970159429999995</v>
      </c>
      <c r="AZ872" s="2">
        <v>36777</v>
      </c>
      <c r="BA872" s="16">
        <f t="shared" si="88"/>
        <v>612.95000000000005</v>
      </c>
      <c r="BB872" s="9">
        <f t="shared" si="89"/>
        <v>3.1805475305127699</v>
      </c>
      <c r="BC872" s="119">
        <f t="shared" si="90"/>
        <v>37.267532503451726</v>
      </c>
    </row>
    <row r="873" spans="49:55" x14ac:dyDescent="0.3">
      <c r="AW873" s="7">
        <v>45046.239583333336</v>
      </c>
      <c r="AX873" s="51">
        <v>4.9295936907678998E-3</v>
      </c>
      <c r="AY873" s="16">
        <v>70.727821939999998</v>
      </c>
      <c r="AZ873" s="2">
        <v>37030</v>
      </c>
      <c r="BA873" s="16">
        <f t="shared" si="88"/>
        <v>617.16666666666663</v>
      </c>
      <c r="BB873" s="9">
        <f t="shared" si="89"/>
        <v>3.0423809061522555</v>
      </c>
      <c r="BC873" s="119">
        <f t="shared" si="90"/>
        <v>36.184552458784438</v>
      </c>
    </row>
    <row r="874" spans="49:55" x14ac:dyDescent="0.3">
      <c r="AW874" s="7">
        <v>45046.25</v>
      </c>
      <c r="AX874" s="51">
        <v>4.7610268009242104E-3</v>
      </c>
      <c r="AY874" s="16">
        <v>72.970159429999995</v>
      </c>
      <c r="AZ874" s="2">
        <v>37308</v>
      </c>
      <c r="BA874" s="16">
        <f t="shared" si="88"/>
        <v>621.79999999999995</v>
      </c>
      <c r="BB874" s="9">
        <f t="shared" si="89"/>
        <v>2.9604064648146737</v>
      </c>
      <c r="BC874" s="119">
        <f t="shared" si="90"/>
        <v>35.534210952483562</v>
      </c>
    </row>
    <row r="875" spans="49:55" x14ac:dyDescent="0.3">
      <c r="AW875" s="7">
        <v>45046.260416666664</v>
      </c>
      <c r="AX875" s="51">
        <v>5.0097544302137604E-3</v>
      </c>
      <c r="AY875" s="16">
        <v>72.970159429999995</v>
      </c>
      <c r="AZ875" s="2">
        <v>37014</v>
      </c>
      <c r="BA875" s="16">
        <f t="shared" si="88"/>
        <v>616.9</v>
      </c>
      <c r="BB875" s="9">
        <f t="shared" si="89"/>
        <v>3.0905175079988685</v>
      </c>
      <c r="BC875" s="119">
        <f t="shared" si="90"/>
        <v>36.563697406259173</v>
      </c>
    </row>
    <row r="876" spans="49:55" x14ac:dyDescent="0.3">
      <c r="AW876" s="7">
        <v>45046.270833333336</v>
      </c>
      <c r="AX876" s="51">
        <v>5.1517567202716301E-3</v>
      </c>
      <c r="AY876" s="16">
        <v>70.271667750000006</v>
      </c>
      <c r="AZ876" s="2">
        <v>36655</v>
      </c>
      <c r="BA876" s="16">
        <f t="shared" si="88"/>
        <v>610.91666666666663</v>
      </c>
      <c r="BB876" s="9">
        <f t="shared" si="89"/>
        <v>3.1472940430259433</v>
      </c>
      <c r="BC876" s="119">
        <f t="shared" si="90"/>
        <v>37.008353534779765</v>
      </c>
    </row>
    <row r="877" spans="49:55" x14ac:dyDescent="0.3">
      <c r="AW877" s="7">
        <v>45046.28125</v>
      </c>
      <c r="AX877" s="51">
        <v>4.6395078134675296E-3</v>
      </c>
      <c r="AY877" s="16">
        <v>72.970159429999995</v>
      </c>
      <c r="AZ877" s="2">
        <v>39655</v>
      </c>
      <c r="BA877" s="16">
        <f t="shared" si="88"/>
        <v>660.91666666666663</v>
      </c>
      <c r="BB877" s="9">
        <f t="shared" si="89"/>
        <v>3.0663280390509144</v>
      </c>
      <c r="BC877" s="119">
        <f t="shared" si="90"/>
        <v>36.373420534677088</v>
      </c>
    </row>
    <row r="878" spans="49:55" x14ac:dyDescent="0.3">
      <c r="AW878" s="7">
        <v>45046.291666666664</v>
      </c>
      <c r="AX878" s="51">
        <v>4.3724349647941601E-3</v>
      </c>
      <c r="AY878" s="16">
        <v>70.720093730000002</v>
      </c>
      <c r="AZ878" s="2">
        <v>40358</v>
      </c>
      <c r="BA878" s="16">
        <f t="shared" si="88"/>
        <v>672.63333333333333</v>
      </c>
      <c r="BB878" s="9">
        <f t="shared" si="89"/>
        <v>2.941045505152712</v>
      </c>
      <c r="BC878" s="119">
        <f t="shared" si="90"/>
        <v>35.379732258542795</v>
      </c>
    </row>
    <row r="879" spans="49:55" x14ac:dyDescent="0.3">
      <c r="AW879" s="7">
        <v>45046.302083333336</v>
      </c>
      <c r="AX879" s="51">
        <v>4.5607827033439701E-3</v>
      </c>
      <c r="AY879" s="16">
        <v>69.822823</v>
      </c>
      <c r="AZ879" s="2">
        <v>40156</v>
      </c>
      <c r="BA879" s="16">
        <f t="shared" si="88"/>
        <v>669.26666666666665</v>
      </c>
      <c r="BB879" s="9">
        <f t="shared" si="89"/>
        <v>3.0523798372580075</v>
      </c>
      <c r="BC879" s="119">
        <f t="shared" si="90"/>
        <v>36.263473311129225</v>
      </c>
    </row>
    <row r="880" spans="49:55" x14ac:dyDescent="0.3">
      <c r="AW880" s="7">
        <v>45046.3125</v>
      </c>
      <c r="AX880" s="51">
        <v>4.4181532589907899E-3</v>
      </c>
      <c r="AY880" s="16">
        <v>69.36581735</v>
      </c>
      <c r="AZ880" s="2">
        <v>40517</v>
      </c>
      <c r="BA880" s="16">
        <f t="shared" si="88"/>
        <v>675.2833333333333</v>
      </c>
      <c r="BB880" s="9">
        <f t="shared" si="89"/>
        <v>2.9835052599088305</v>
      </c>
      <c r="BC880" s="119">
        <f t="shared" si="90"/>
        <v>35.718070018192471</v>
      </c>
    </row>
    <row r="881" spans="49:55" x14ac:dyDescent="0.3">
      <c r="AW881" s="7">
        <v>45046.322916666664</v>
      </c>
      <c r="AX881" s="51">
        <v>4.4685277508916899E-3</v>
      </c>
      <c r="AY881" s="16">
        <v>69.36581735</v>
      </c>
      <c r="AZ881" s="2">
        <v>40964</v>
      </c>
      <c r="BA881" s="16">
        <f t="shared" si="88"/>
        <v>682.73333333333335</v>
      </c>
      <c r="BB881" s="9">
        <f t="shared" si="89"/>
        <v>3.0508128464587867</v>
      </c>
      <c r="BC881" s="119">
        <f t="shared" si="90"/>
        <v>36.251110910574297</v>
      </c>
    </row>
    <row r="882" spans="49:55" x14ac:dyDescent="0.3">
      <c r="AW882" s="7">
        <v>45046.333333333336</v>
      </c>
      <c r="AX882" s="51">
        <v>4.3158729692746997E-3</v>
      </c>
      <c r="AY882" s="16">
        <v>66.647934039999996</v>
      </c>
      <c r="AZ882" s="2">
        <v>40586</v>
      </c>
      <c r="BA882" s="16">
        <f t="shared" si="88"/>
        <v>676.43333333333328</v>
      </c>
      <c r="BB882" s="9">
        <f t="shared" si="89"/>
        <v>2.9194003388497158</v>
      </c>
      <c r="BC882" s="119">
        <f t="shared" si="90"/>
        <v>35.206623033894445</v>
      </c>
    </row>
    <row r="883" spans="49:55" x14ac:dyDescent="0.3">
      <c r="AW883" s="7">
        <v>45046.34375</v>
      </c>
      <c r="AX883" s="51">
        <v>4.6175011036047398E-3</v>
      </c>
      <c r="AY883" s="16">
        <v>70.271667750000006</v>
      </c>
      <c r="AZ883" s="2">
        <v>40626</v>
      </c>
      <c r="BA883" s="16">
        <f t="shared" si="88"/>
        <v>677.1</v>
      </c>
      <c r="BB883" s="9">
        <f t="shared" si="89"/>
        <v>3.1265099972507695</v>
      </c>
      <c r="BC883" s="119">
        <f t="shared" si="90"/>
        <v>36.845894604390601</v>
      </c>
    </row>
    <row r="884" spans="49:55" x14ac:dyDescent="0.3">
      <c r="AW884" s="7">
        <v>45046.354166666664</v>
      </c>
      <c r="AX884" s="51">
        <v>4.3780889098494202E-3</v>
      </c>
      <c r="AY884" s="16">
        <v>68.466857000000005</v>
      </c>
      <c r="AZ884" s="2">
        <v>40053</v>
      </c>
      <c r="BA884" s="16">
        <f t="shared" si="88"/>
        <v>667.55</v>
      </c>
      <c r="BB884" s="9">
        <f t="shared" si="89"/>
        <v>2.9225932517699804</v>
      </c>
      <c r="BC884" s="119">
        <f t="shared" si="90"/>
        <v>35.232185697455797</v>
      </c>
    </row>
    <row r="885" spans="49:55" x14ac:dyDescent="0.3">
      <c r="AW885" s="7">
        <v>45046.364583333336</v>
      </c>
      <c r="AX885" s="51">
        <v>4.5429720023840801E-3</v>
      </c>
      <c r="AY885" s="16">
        <v>69.36581735</v>
      </c>
      <c r="AZ885" s="2">
        <v>40003</v>
      </c>
      <c r="BA885" s="16">
        <f t="shared" si="88"/>
        <v>666.7166666666667</v>
      </c>
      <c r="BB885" s="9">
        <f t="shared" si="89"/>
        <v>3.0288751501895059</v>
      </c>
      <c r="BC885" s="119">
        <f t="shared" si="90"/>
        <v>36.077813980251527</v>
      </c>
    </row>
    <row r="886" spans="49:55" x14ac:dyDescent="0.3">
      <c r="AW886" s="7">
        <v>45046.375</v>
      </c>
      <c r="AX886" s="51">
        <v>4.5407740815365102E-3</v>
      </c>
      <c r="AY886" s="16">
        <v>69.36581735</v>
      </c>
      <c r="AZ886" s="2">
        <v>39592</v>
      </c>
      <c r="BA886" s="16">
        <f t="shared" si="88"/>
        <v>659.86666666666667</v>
      </c>
      <c r="BB886" s="9">
        <f t="shared" si="89"/>
        <v>2.9963054572698917</v>
      </c>
      <c r="BC886" s="119">
        <f t="shared" si="90"/>
        <v>35.819749512511279</v>
      </c>
    </row>
    <row r="887" spans="49:55" x14ac:dyDescent="0.3">
      <c r="AW887" s="7">
        <v>45046.385416666664</v>
      </c>
      <c r="AX887" s="51">
        <v>4.8196578432497797E-3</v>
      </c>
      <c r="AY887" s="16">
        <v>67.106545600000004</v>
      </c>
      <c r="AZ887" s="2">
        <v>39651</v>
      </c>
      <c r="BA887" s="16">
        <f t="shared" si="88"/>
        <v>660.85</v>
      </c>
      <c r="BB887" s="9">
        <f t="shared" si="89"/>
        <v>3.185070885711617</v>
      </c>
      <c r="BC887" s="119">
        <f t="shared" si="90"/>
        <v>37.302717199885649</v>
      </c>
    </row>
    <row r="888" spans="49:55" x14ac:dyDescent="0.3">
      <c r="AW888" s="7">
        <v>45046.395833333336</v>
      </c>
      <c r="AX888" s="51">
        <v>4.6062123775444802E-3</v>
      </c>
      <c r="AY888" s="16">
        <v>68.466857000000005</v>
      </c>
      <c r="AZ888" s="2">
        <v>39451</v>
      </c>
      <c r="BA888" s="16">
        <f t="shared" si="88"/>
        <v>657.51666666666665</v>
      </c>
      <c r="BB888" s="9">
        <f t="shared" si="89"/>
        <v>3.028661408441788</v>
      </c>
      <c r="BC888" s="119">
        <f t="shared" si="90"/>
        <v>36.076123455914619</v>
      </c>
    </row>
    <row r="889" spans="49:55" x14ac:dyDescent="0.3">
      <c r="AW889" s="7">
        <v>45046.40625</v>
      </c>
      <c r="AX889" s="51">
        <v>4.75045723101353E-3</v>
      </c>
      <c r="AY889" s="16">
        <v>68.466857000000005</v>
      </c>
      <c r="AZ889" s="2">
        <v>39221</v>
      </c>
      <c r="BA889" s="16">
        <f t="shared" si="88"/>
        <v>653.68333333333328</v>
      </c>
      <c r="BB889" s="9">
        <f t="shared" si="89"/>
        <v>3.1052947176263608</v>
      </c>
      <c r="BC889" s="119">
        <f t="shared" si="90"/>
        <v>36.679690237657923</v>
      </c>
    </row>
    <row r="890" spans="49:55" x14ac:dyDescent="0.3">
      <c r="AW890" s="7">
        <v>45046.416666666664</v>
      </c>
      <c r="AX890" s="51">
        <v>4.4925233944526901E-3</v>
      </c>
      <c r="AY890" s="16">
        <v>67.106545600000004</v>
      </c>
      <c r="AZ890" s="2">
        <v>40243</v>
      </c>
      <c r="BA890" s="16">
        <f t="shared" si="88"/>
        <v>670.7166666666667</v>
      </c>
      <c r="BB890" s="9">
        <f t="shared" si="89"/>
        <v>3.0132103160493271</v>
      </c>
      <c r="BC890" s="119">
        <f t="shared" si="90"/>
        <v>35.953811384958421</v>
      </c>
    </row>
    <row r="891" spans="49:55" x14ac:dyDescent="0.3">
      <c r="AW891" s="7">
        <v>45046.427083333336</v>
      </c>
      <c r="AX891" s="51">
        <v>4.9847590959359702E-3</v>
      </c>
      <c r="AY891" s="16">
        <v>68.008627450000006</v>
      </c>
      <c r="AZ891" s="2">
        <v>38930</v>
      </c>
      <c r="BA891" s="16">
        <f t="shared" si="88"/>
        <v>648.83333333333337</v>
      </c>
      <c r="BB891" s="9">
        <f t="shared" si="89"/>
        <v>3.2342778600797888</v>
      </c>
      <c r="BC891" s="119">
        <f t="shared" si="90"/>
        <v>37.684393459027021</v>
      </c>
    </row>
    <row r="892" spans="49:55" x14ac:dyDescent="0.3">
      <c r="AW892" s="7">
        <v>45046.4375</v>
      </c>
      <c r="AX892" s="51">
        <v>5.0083872584520302E-3</v>
      </c>
      <c r="AY892" s="16">
        <v>68.466857000000005</v>
      </c>
      <c r="AZ892" s="2">
        <v>38638</v>
      </c>
      <c r="BA892" s="16">
        <f t="shared" si="88"/>
        <v>643.9666666666667</v>
      </c>
      <c r="BB892" s="9">
        <f t="shared" si="89"/>
        <v>3.2252344482011592</v>
      </c>
      <c r="BC892" s="119">
        <f t="shared" si="90"/>
        <v>37.614394947160932</v>
      </c>
    </row>
    <row r="893" spans="49:55" x14ac:dyDescent="0.3">
      <c r="AW893" s="7">
        <v>45046.447916666664</v>
      </c>
      <c r="AX893" s="51">
        <v>4.8771572929324899E-3</v>
      </c>
      <c r="AY893" s="16">
        <v>69.822823</v>
      </c>
      <c r="AZ893" s="2">
        <v>37919</v>
      </c>
      <c r="BA893" s="16">
        <f t="shared" si="88"/>
        <v>631.98333333333335</v>
      </c>
      <c r="BB893" s="9">
        <f t="shared" si="89"/>
        <v>3.0822821231784516</v>
      </c>
      <c r="BC893" s="119">
        <f t="shared" si="90"/>
        <v>36.498973386068577</v>
      </c>
    </row>
    <row r="894" spans="49:55" x14ac:dyDescent="0.3">
      <c r="AW894" s="7">
        <v>45046.458333333336</v>
      </c>
      <c r="AX894" s="51">
        <v>4.7814300979729801E-3</v>
      </c>
      <c r="AY894" s="16">
        <v>68.466857000000005</v>
      </c>
      <c r="AZ894" s="2">
        <v>38443</v>
      </c>
      <c r="BA894" s="16">
        <f t="shared" si="88"/>
        <v>640.7166666666667</v>
      </c>
      <c r="BB894" s="9">
        <f t="shared" si="89"/>
        <v>3.0635419542729214</v>
      </c>
      <c r="BC894" s="119">
        <f t="shared" si="90"/>
        <v>36.351472570062391</v>
      </c>
    </row>
    <row r="895" spans="49:55" x14ac:dyDescent="0.3">
      <c r="AW895" s="7">
        <v>45046.46875</v>
      </c>
      <c r="AX895" s="51">
        <v>5.1642269886818604E-3</v>
      </c>
      <c r="AY895" s="16">
        <v>68.466857000000005</v>
      </c>
      <c r="AZ895" s="2">
        <v>37925</v>
      </c>
      <c r="BA895" s="16">
        <f t="shared" si="88"/>
        <v>632.08333333333337</v>
      </c>
      <c r="BB895" s="9">
        <f t="shared" si="89"/>
        <v>3.2642218090959929</v>
      </c>
      <c r="BC895" s="119">
        <f t="shared" si="90"/>
        <v>37.915700101328859</v>
      </c>
    </row>
    <row r="896" spans="49:55" x14ac:dyDescent="0.3">
      <c r="AW896" s="7">
        <v>45046.479166666664</v>
      </c>
      <c r="AX896" s="51">
        <v>4.7977522217360503E-3</v>
      </c>
      <c r="AY896" s="16">
        <v>68.008627450000006</v>
      </c>
      <c r="AZ896" s="2">
        <v>37476</v>
      </c>
      <c r="BA896" s="16">
        <f t="shared" si="88"/>
        <v>624.6</v>
      </c>
      <c r="BB896" s="9">
        <f t="shared" si="89"/>
        <v>2.9966760376963371</v>
      </c>
      <c r="BC896" s="119">
        <f t="shared" si="90"/>
        <v>35.822691074412262</v>
      </c>
    </row>
    <row r="897" spans="49:55" x14ac:dyDescent="0.3">
      <c r="AW897" s="7">
        <v>45046.489583333336</v>
      </c>
      <c r="AX897" s="51">
        <v>4.9853899387145902E-3</v>
      </c>
      <c r="AY897" s="16">
        <v>69.822823</v>
      </c>
      <c r="AZ897" s="2">
        <v>37052</v>
      </c>
      <c r="BA897" s="16">
        <f t="shared" si="88"/>
        <v>617.5333333333333</v>
      </c>
      <c r="BB897" s="9">
        <f t="shared" si="89"/>
        <v>3.078644466820883</v>
      </c>
      <c r="BC897" s="119">
        <f t="shared" si="90"/>
        <v>36.470365606195642</v>
      </c>
    </row>
    <row r="898" spans="49:55" x14ac:dyDescent="0.3">
      <c r="AW898" s="7">
        <v>45046.5</v>
      </c>
      <c r="AX898" s="51">
        <v>4.92991468720793E-3</v>
      </c>
      <c r="AY898" s="16">
        <v>64.837941950000001</v>
      </c>
      <c r="AZ898" s="2">
        <v>38098</v>
      </c>
      <c r="BA898" s="16">
        <f t="shared" si="88"/>
        <v>634.9666666666667</v>
      </c>
      <c r="BB898" s="9">
        <f t="shared" si="89"/>
        <v>3.1303314958874622</v>
      </c>
      <c r="BC898" s="119">
        <f t="shared" si="90"/>
        <v>36.875792590205151</v>
      </c>
    </row>
    <row r="899" spans="49:55" x14ac:dyDescent="0.3">
      <c r="AW899" s="7">
        <v>45046.510416666664</v>
      </c>
      <c r="AX899" s="51">
        <v>5.1389856933664897E-3</v>
      </c>
      <c r="AY899" s="16">
        <v>69.36581735</v>
      </c>
      <c r="AZ899" s="2">
        <v>37062</v>
      </c>
      <c r="BA899" s="16">
        <f t="shared" si="88"/>
        <v>617.70000000000005</v>
      </c>
      <c r="BB899" s="9">
        <f t="shared" si="89"/>
        <v>3.1743514627924809</v>
      </c>
      <c r="BC899" s="119">
        <f t="shared" si="90"/>
        <v>37.219309392796688</v>
      </c>
    </row>
    <row r="900" spans="49:55" x14ac:dyDescent="0.3">
      <c r="AW900" s="7">
        <v>45046.520833333336</v>
      </c>
      <c r="AX900" s="51">
        <v>5.1651776167480198E-3</v>
      </c>
      <c r="AY900" s="16">
        <v>70.720093730000002</v>
      </c>
      <c r="AZ900" s="2">
        <v>36453</v>
      </c>
      <c r="BA900" s="16">
        <f t="shared" ref="BA900:BA963" si="91">AZ900/60</f>
        <v>607.54999999999995</v>
      </c>
      <c r="BB900" s="9">
        <f t="shared" ref="BB900:BB963" si="92">BA900*AX900</f>
        <v>3.1381036610552591</v>
      </c>
      <c r="BC900" s="119">
        <f t="shared" ref="BC900:BC963" si="93">17.285*BB900^0.664</f>
        <v>36.936561317771549</v>
      </c>
    </row>
    <row r="901" spans="49:55" x14ac:dyDescent="0.3">
      <c r="AW901" s="7">
        <v>45046.53125</v>
      </c>
      <c r="AX901" s="51">
        <v>5.4376509950437501E-3</v>
      </c>
      <c r="AY901" s="16">
        <v>70.720093730000002</v>
      </c>
      <c r="AZ901" s="2">
        <v>36633</v>
      </c>
      <c r="BA901" s="16">
        <f t="shared" si="91"/>
        <v>610.54999999999995</v>
      </c>
      <c r="BB901" s="9">
        <f t="shared" si="92"/>
        <v>3.3199578150239613</v>
      </c>
      <c r="BC901" s="119">
        <f t="shared" si="93"/>
        <v>38.344352395705833</v>
      </c>
    </row>
    <row r="902" spans="49:55" x14ac:dyDescent="0.3">
      <c r="AW902" s="7">
        <v>45046.541666666664</v>
      </c>
      <c r="AX902" s="51">
        <v>5.3581326645412196E-3</v>
      </c>
      <c r="AY902" s="16">
        <v>72.069636250000002</v>
      </c>
      <c r="AZ902" s="2">
        <v>36052</v>
      </c>
      <c r="BA902" s="16">
        <f t="shared" si="91"/>
        <v>600.86666666666667</v>
      </c>
      <c r="BB902" s="9">
        <f t="shared" si="92"/>
        <v>3.2195233137006674</v>
      </c>
      <c r="BC902" s="119">
        <f t="shared" si="93"/>
        <v>37.570155209958045</v>
      </c>
    </row>
    <row r="903" spans="49:55" x14ac:dyDescent="0.3">
      <c r="AW903" s="7">
        <v>45046.552083333336</v>
      </c>
      <c r="AX903" s="51">
        <v>5.4965340461605398E-3</v>
      </c>
      <c r="AY903" s="16">
        <v>75.208694050000005</v>
      </c>
      <c r="AZ903" s="2">
        <v>36203</v>
      </c>
      <c r="BA903" s="16">
        <f t="shared" si="91"/>
        <v>603.38333333333333</v>
      </c>
      <c r="BB903" s="9">
        <f t="shared" si="92"/>
        <v>3.3165170345525001</v>
      </c>
      <c r="BC903" s="119">
        <f t="shared" si="93"/>
        <v>38.317960564129734</v>
      </c>
    </row>
    <row r="904" spans="49:55" x14ac:dyDescent="0.3">
      <c r="AW904" s="7">
        <v>45046.5625</v>
      </c>
      <c r="AX904" s="51">
        <v>5.6582181347322796E-3</v>
      </c>
      <c r="AY904" s="16">
        <v>72.069636250000002</v>
      </c>
      <c r="AZ904" s="2">
        <v>35602</v>
      </c>
      <c r="BA904" s="16">
        <f t="shared" si="91"/>
        <v>593.36666666666667</v>
      </c>
      <c r="BB904" s="9">
        <f t="shared" si="92"/>
        <v>3.3573980338789768</v>
      </c>
      <c r="BC904" s="119">
        <f t="shared" si="93"/>
        <v>38.630938957952075</v>
      </c>
    </row>
    <row r="905" spans="49:55" x14ac:dyDescent="0.3">
      <c r="AW905" s="7">
        <v>45046.572916666664</v>
      </c>
      <c r="AX905" s="51">
        <v>5.42010825253129E-3</v>
      </c>
      <c r="AY905" s="16">
        <v>76.544179459999995</v>
      </c>
      <c r="AZ905" s="2">
        <v>36199</v>
      </c>
      <c r="BA905" s="16">
        <f t="shared" si="91"/>
        <v>603.31666666666672</v>
      </c>
      <c r="BB905" s="9">
        <f t="shared" si="92"/>
        <v>3.2700416438896696</v>
      </c>
      <c r="BC905" s="119">
        <f t="shared" si="93"/>
        <v>37.960573416208611</v>
      </c>
    </row>
    <row r="906" spans="49:55" x14ac:dyDescent="0.3">
      <c r="AW906" s="7">
        <v>45046.583333333336</v>
      </c>
      <c r="AX906" s="51">
        <v>5.3994673024192101E-3</v>
      </c>
      <c r="AY906" s="16">
        <v>78.762941850000004</v>
      </c>
      <c r="AZ906" s="2">
        <v>36226</v>
      </c>
      <c r="BA906" s="16">
        <f t="shared" si="91"/>
        <v>603.76666666666665</v>
      </c>
      <c r="BB906" s="9">
        <f t="shared" si="92"/>
        <v>3.2600183749573048</v>
      </c>
      <c r="BC906" s="119">
        <f t="shared" si="93"/>
        <v>37.883273178183778</v>
      </c>
    </row>
    <row r="907" spans="49:55" x14ac:dyDescent="0.3">
      <c r="AW907" s="7">
        <v>45046.59375</v>
      </c>
      <c r="AX907" s="51">
        <v>5.32556928353938E-3</v>
      </c>
      <c r="AY907" s="16">
        <v>76.544179459999995</v>
      </c>
      <c r="AZ907" s="2">
        <v>36586</v>
      </c>
      <c r="BA907" s="16">
        <f t="shared" si="91"/>
        <v>609.76666666666665</v>
      </c>
      <c r="BB907" s="9">
        <f t="shared" si="92"/>
        <v>3.2473546301261957</v>
      </c>
      <c r="BC907" s="119">
        <f t="shared" si="93"/>
        <v>37.785495099262704</v>
      </c>
    </row>
    <row r="908" spans="49:55" x14ac:dyDescent="0.3">
      <c r="AW908" s="7">
        <v>45046.604166666664</v>
      </c>
      <c r="AX908" s="51">
        <v>5.3829624697307402E-3</v>
      </c>
      <c r="AY908" s="16">
        <v>80.523852189999999</v>
      </c>
      <c r="AZ908" s="2">
        <v>36014</v>
      </c>
      <c r="BA908" s="16">
        <f t="shared" si="91"/>
        <v>600.23333333333335</v>
      </c>
      <c r="BB908" s="9">
        <f t="shared" si="92"/>
        <v>3.2310335064147147</v>
      </c>
      <c r="BC908" s="119">
        <f t="shared" si="93"/>
        <v>37.659288837020455</v>
      </c>
    </row>
    <row r="909" spans="49:55" x14ac:dyDescent="0.3">
      <c r="AW909" s="7">
        <v>45046.614583333336</v>
      </c>
      <c r="AX909" s="51">
        <v>5.7257254148225098E-3</v>
      </c>
      <c r="AY909" s="16">
        <v>79.202259850000004</v>
      </c>
      <c r="AZ909" s="2">
        <v>35002</v>
      </c>
      <c r="BA909" s="16">
        <f t="shared" si="91"/>
        <v>583.36666666666667</v>
      </c>
      <c r="BB909" s="9">
        <f t="shared" si="92"/>
        <v>3.340197349493625</v>
      </c>
      <c r="BC909" s="119">
        <f t="shared" si="93"/>
        <v>38.499410196578609</v>
      </c>
    </row>
    <row r="910" spans="49:55" x14ac:dyDescent="0.3">
      <c r="AW910" s="7">
        <v>45046.625</v>
      </c>
      <c r="AX910" s="51">
        <v>4.7304048052046101E-3</v>
      </c>
      <c r="AY910" s="16">
        <v>83.594462070000006</v>
      </c>
      <c r="AZ910" s="2">
        <v>37823</v>
      </c>
      <c r="BA910" s="16">
        <f t="shared" si="91"/>
        <v>630.38333333333333</v>
      </c>
      <c r="BB910" s="9">
        <f t="shared" si="92"/>
        <v>2.9819683491208995</v>
      </c>
      <c r="BC910" s="119">
        <f t="shared" si="93"/>
        <v>35.705851585327586</v>
      </c>
    </row>
    <row r="911" spans="49:55" x14ac:dyDescent="0.3">
      <c r="AW911" s="7">
        <v>45046.635416666664</v>
      </c>
      <c r="AX911" s="51">
        <v>4.6692551703002103E-3</v>
      </c>
      <c r="AY911" s="16">
        <v>83.594462070000006</v>
      </c>
      <c r="AZ911" s="2">
        <v>38320</v>
      </c>
      <c r="BA911" s="16">
        <f t="shared" si="91"/>
        <v>638.66666666666663</v>
      </c>
      <c r="BB911" s="9">
        <f t="shared" si="92"/>
        <v>2.9820976354317343</v>
      </c>
      <c r="BC911" s="119">
        <f t="shared" si="93"/>
        <v>35.706879492331311</v>
      </c>
    </row>
    <row r="912" spans="49:55" x14ac:dyDescent="0.3">
      <c r="AW912" s="7">
        <v>45046.645833333336</v>
      </c>
      <c r="AX912" s="51">
        <v>4.74970630075967E-3</v>
      </c>
      <c r="AY912" s="16">
        <v>84.027783200000002</v>
      </c>
      <c r="AZ912" s="2">
        <v>38061</v>
      </c>
      <c r="BA912" s="16">
        <f t="shared" si="91"/>
        <v>634.35</v>
      </c>
      <c r="BB912" s="9">
        <f t="shared" si="92"/>
        <v>3.0129761918868967</v>
      </c>
      <c r="BC912" s="119">
        <f t="shared" si="93"/>
        <v>35.951956421001412</v>
      </c>
    </row>
    <row r="913" spans="49:55" x14ac:dyDescent="0.3">
      <c r="AW913" s="7">
        <v>45046.65625</v>
      </c>
      <c r="AX913" s="51">
        <v>4.8886384372151398E-3</v>
      </c>
      <c r="AY913" s="16">
        <v>82.718647970000006</v>
      </c>
      <c r="AZ913" s="2">
        <v>38474</v>
      </c>
      <c r="BA913" s="16">
        <f t="shared" si="91"/>
        <v>641.23333333333335</v>
      </c>
      <c r="BB913" s="9">
        <f t="shared" si="92"/>
        <v>3.1347579205569214</v>
      </c>
      <c r="BC913" s="119">
        <f t="shared" si="93"/>
        <v>36.910407967663858</v>
      </c>
    </row>
    <row r="914" spans="49:55" x14ac:dyDescent="0.3">
      <c r="AW914" s="7">
        <v>45046.666666666664</v>
      </c>
      <c r="AX914" s="51">
        <v>4.8649390746616401E-3</v>
      </c>
      <c r="AY914" s="16">
        <v>81.405228940000001</v>
      </c>
      <c r="AZ914" s="2">
        <v>38024</v>
      </c>
      <c r="BA914" s="16">
        <f t="shared" si="91"/>
        <v>633.73333333333335</v>
      </c>
      <c r="BB914" s="9">
        <f t="shared" si="92"/>
        <v>3.0830740562489036</v>
      </c>
      <c r="BC914" s="119">
        <f t="shared" si="93"/>
        <v>36.505199915939002</v>
      </c>
    </row>
    <row r="915" spans="49:55" x14ac:dyDescent="0.3">
      <c r="AW915" s="7">
        <v>45046.677083333336</v>
      </c>
      <c r="AX915" s="51">
        <v>5.3084579057015302E-3</v>
      </c>
      <c r="AY915" s="16">
        <v>80.079324720000002</v>
      </c>
      <c r="AZ915" s="2">
        <v>37213</v>
      </c>
      <c r="BA915" s="16">
        <f t="shared" si="91"/>
        <v>620.2166666666667</v>
      </c>
      <c r="BB915" s="9">
        <f t="shared" si="92"/>
        <v>3.2923940674145173</v>
      </c>
      <c r="BC915" s="119">
        <f t="shared" si="93"/>
        <v>38.132670961430264</v>
      </c>
    </row>
    <row r="916" spans="49:55" x14ac:dyDescent="0.3">
      <c r="AW916" s="7">
        <v>45046.6875</v>
      </c>
      <c r="AX916" s="51">
        <v>4.9343808408268399E-3</v>
      </c>
      <c r="AY916" s="16">
        <v>84.891986889999998</v>
      </c>
      <c r="AZ916" s="2">
        <v>37219</v>
      </c>
      <c r="BA916" s="16">
        <f t="shared" si="91"/>
        <v>620.31666666666672</v>
      </c>
      <c r="BB916" s="9">
        <f t="shared" si="92"/>
        <v>3.0608786752455694</v>
      </c>
      <c r="BC916" s="119">
        <f t="shared" si="93"/>
        <v>36.330485762829369</v>
      </c>
    </row>
    <row r="917" spans="49:55" x14ac:dyDescent="0.3">
      <c r="AW917" s="7">
        <v>45046.697916666664</v>
      </c>
      <c r="AX917" s="51">
        <v>5.1609804102366597E-3</v>
      </c>
      <c r="AY917" s="16">
        <v>82.276892649999994</v>
      </c>
      <c r="AZ917" s="2">
        <v>37603</v>
      </c>
      <c r="BA917" s="16">
        <f t="shared" si="91"/>
        <v>626.7166666666667</v>
      </c>
      <c r="BB917" s="9">
        <f t="shared" si="92"/>
        <v>3.2344724394354856</v>
      </c>
      <c r="BC917" s="119">
        <f t="shared" si="93"/>
        <v>37.685898833865281</v>
      </c>
    </row>
    <row r="918" spans="49:55" x14ac:dyDescent="0.3">
      <c r="AW918" s="7">
        <v>45046.708333333336</v>
      </c>
      <c r="AX918" s="51">
        <v>5.0325943165746602E-3</v>
      </c>
      <c r="AY918" s="16">
        <v>82.276892649999994</v>
      </c>
      <c r="AZ918" s="2">
        <v>38285</v>
      </c>
      <c r="BA918" s="16">
        <f t="shared" si="91"/>
        <v>638.08333333333337</v>
      </c>
      <c r="BB918" s="9">
        <f t="shared" si="92"/>
        <v>3.211214556834348</v>
      </c>
      <c r="BC918" s="119">
        <f t="shared" si="93"/>
        <v>37.505746586801294</v>
      </c>
    </row>
    <row r="919" spans="49:55" x14ac:dyDescent="0.3">
      <c r="AW919" s="7">
        <v>45046.71875</v>
      </c>
      <c r="AX919" s="51">
        <v>4.6630489944559901E-3</v>
      </c>
      <c r="AY919" s="16">
        <v>79.202259850000004</v>
      </c>
      <c r="AZ919" s="2">
        <v>38387</v>
      </c>
      <c r="BA919" s="16">
        <f t="shared" si="91"/>
        <v>639.7833333333333</v>
      </c>
      <c r="BB919" s="9">
        <f t="shared" si="92"/>
        <v>2.9833410291697016</v>
      </c>
      <c r="BC919" s="119">
        <f t="shared" si="93"/>
        <v>35.716764485596414</v>
      </c>
    </row>
    <row r="920" spans="49:55" x14ac:dyDescent="0.3">
      <c r="AW920" s="7">
        <v>45046.729166666664</v>
      </c>
      <c r="AX920" s="51">
        <v>5.2723122078212302E-3</v>
      </c>
      <c r="AY920" s="16">
        <v>80.523852189999999</v>
      </c>
      <c r="AZ920" s="2">
        <v>37742</v>
      </c>
      <c r="BA920" s="16">
        <f t="shared" si="91"/>
        <v>629.0333333333333</v>
      </c>
      <c r="BB920" s="9">
        <f t="shared" si="92"/>
        <v>3.3164601224598145</v>
      </c>
      <c r="BC920" s="119">
        <f t="shared" si="93"/>
        <v>38.317523953765892</v>
      </c>
    </row>
    <row r="921" spans="49:55" x14ac:dyDescent="0.3">
      <c r="AW921" s="7">
        <v>45046.739583333336</v>
      </c>
      <c r="AX921" s="51">
        <v>5.2388881238369196E-3</v>
      </c>
      <c r="AY921" s="16">
        <v>80.523852189999999</v>
      </c>
      <c r="AZ921" s="2">
        <v>39457</v>
      </c>
      <c r="BA921" s="16">
        <f t="shared" si="91"/>
        <v>657.61666666666667</v>
      </c>
      <c r="BB921" s="9">
        <f t="shared" si="92"/>
        <v>3.4451801450372224</v>
      </c>
      <c r="BC921" s="119">
        <f t="shared" si="93"/>
        <v>39.298693213007759</v>
      </c>
    </row>
    <row r="922" spans="49:55" x14ac:dyDescent="0.3">
      <c r="AW922" s="7">
        <v>45046.75</v>
      </c>
      <c r="AX922" s="51">
        <v>4.5099527038312904E-3</v>
      </c>
      <c r="AY922" s="16">
        <v>81.397704649999994</v>
      </c>
      <c r="AZ922" s="2">
        <v>39461</v>
      </c>
      <c r="BA922" s="16">
        <f t="shared" si="91"/>
        <v>657.68333333333328</v>
      </c>
      <c r="BB922" s="9">
        <f t="shared" si="92"/>
        <v>2.9661207274314423</v>
      </c>
      <c r="BC922" s="119">
        <f t="shared" si="93"/>
        <v>35.579739403338699</v>
      </c>
    </row>
    <row r="923" spans="49:55" x14ac:dyDescent="0.3">
      <c r="AW923" s="7">
        <v>45046.760416666664</v>
      </c>
      <c r="AX923" s="51">
        <v>4.5543738366102104E-3</v>
      </c>
      <c r="AY923" s="16">
        <v>82.276892649999994</v>
      </c>
      <c r="AZ923" s="2">
        <v>39524</v>
      </c>
      <c r="BA923" s="16">
        <f t="shared" si="91"/>
        <v>658.73333333333335</v>
      </c>
      <c r="BB923" s="9">
        <f t="shared" si="92"/>
        <v>3.0001178586363659</v>
      </c>
      <c r="BC923" s="119">
        <f t="shared" si="93"/>
        <v>35.850005432567265</v>
      </c>
    </row>
    <row r="924" spans="49:55" x14ac:dyDescent="0.3">
      <c r="AW924" s="7">
        <v>45046.770833333336</v>
      </c>
      <c r="AX924" s="51">
        <v>4.68009162820198E-3</v>
      </c>
      <c r="AY924" s="16">
        <v>85.762083380000007</v>
      </c>
      <c r="AZ924" s="2">
        <v>40480</v>
      </c>
      <c r="BA924" s="16">
        <f t="shared" si="91"/>
        <v>674.66666666666663</v>
      </c>
      <c r="BB924" s="9">
        <f t="shared" si="92"/>
        <v>3.1575018184936021</v>
      </c>
      <c r="BC924" s="119">
        <f t="shared" si="93"/>
        <v>37.088010777535253</v>
      </c>
    </row>
    <row r="925" spans="49:55" x14ac:dyDescent="0.3">
      <c r="AW925" s="7">
        <v>45046.78125</v>
      </c>
      <c r="AX925" s="51">
        <v>5.5833732504031496E-3</v>
      </c>
      <c r="AY925" s="16">
        <v>85.762083380000007</v>
      </c>
      <c r="AZ925" s="2">
        <v>39928</v>
      </c>
      <c r="BA925" s="16">
        <f t="shared" si="91"/>
        <v>665.4666666666667</v>
      </c>
      <c r="BB925" s="9">
        <f t="shared" si="92"/>
        <v>3.7155487857016163</v>
      </c>
      <c r="BC925" s="119">
        <f t="shared" si="93"/>
        <v>41.320411190488763</v>
      </c>
    </row>
    <row r="926" spans="49:55" x14ac:dyDescent="0.3">
      <c r="AW926" s="7">
        <v>45046.791666666664</v>
      </c>
      <c r="AX926" s="51">
        <v>5.3593811732028998E-3</v>
      </c>
      <c r="AY926" s="16">
        <v>84.891986889999998</v>
      </c>
      <c r="AZ926" s="2">
        <v>34339</v>
      </c>
      <c r="BA926" s="16">
        <f t="shared" si="91"/>
        <v>572.31666666666672</v>
      </c>
      <c r="BB926" s="9">
        <f t="shared" si="92"/>
        <v>3.0672631684435734</v>
      </c>
      <c r="BC926" s="119">
        <f t="shared" si="93"/>
        <v>36.380785709641529</v>
      </c>
    </row>
    <row r="927" spans="49:55" x14ac:dyDescent="0.3">
      <c r="AW927" s="7">
        <v>45046.802083333336</v>
      </c>
      <c r="AX927" s="51">
        <v>6.0157151932478201E-3</v>
      </c>
      <c r="AY927" s="16">
        <v>83.586986100000004</v>
      </c>
      <c r="AZ927" s="2">
        <v>33042</v>
      </c>
      <c r="BA927" s="16">
        <f t="shared" si="91"/>
        <v>550.70000000000005</v>
      </c>
      <c r="BB927" s="9">
        <f t="shared" si="92"/>
        <v>3.3128543569215747</v>
      </c>
      <c r="BC927" s="119">
        <f t="shared" si="93"/>
        <v>38.28985660286061</v>
      </c>
    </row>
    <row r="928" spans="49:55" x14ac:dyDescent="0.3">
      <c r="AW928" s="7">
        <v>45046.8125</v>
      </c>
      <c r="AX928" s="51">
        <v>6.1900783513770298E-3</v>
      </c>
      <c r="AY928" s="16">
        <v>85.762083380000007</v>
      </c>
      <c r="AZ928" s="2">
        <v>34924</v>
      </c>
      <c r="BA928" s="16">
        <f t="shared" si="91"/>
        <v>582.06666666666672</v>
      </c>
      <c r="BB928" s="9">
        <f t="shared" si="92"/>
        <v>3.6030382723915233</v>
      </c>
      <c r="BC928" s="119">
        <f t="shared" si="93"/>
        <v>40.485314478293759</v>
      </c>
    </row>
    <row r="929" spans="49:55" x14ac:dyDescent="0.3">
      <c r="AW929" s="7">
        <v>45046.822916666664</v>
      </c>
      <c r="AX929" s="51">
        <v>6.0496282291291701E-3</v>
      </c>
      <c r="AY929" s="16">
        <v>84.891986889999998</v>
      </c>
      <c r="AZ929" s="2">
        <v>35608</v>
      </c>
      <c r="BA929" s="16">
        <f t="shared" si="91"/>
        <v>593.4666666666667</v>
      </c>
      <c r="BB929" s="9">
        <f t="shared" si="92"/>
        <v>3.5902526997138584</v>
      </c>
      <c r="BC929" s="119">
        <f t="shared" si="93"/>
        <v>40.389864431276337</v>
      </c>
    </row>
    <row r="930" spans="49:55" x14ac:dyDescent="0.3">
      <c r="AW930" s="7">
        <v>45046.833333333336</v>
      </c>
      <c r="AX930" s="51">
        <v>5.5291662333603504E-3</v>
      </c>
      <c r="AY930" s="16">
        <v>83.586986100000004</v>
      </c>
      <c r="AZ930" s="2">
        <v>35802</v>
      </c>
      <c r="BA930" s="16">
        <f t="shared" si="91"/>
        <v>596.70000000000005</v>
      </c>
      <c r="BB930" s="9">
        <f t="shared" si="92"/>
        <v>3.2992534914461213</v>
      </c>
      <c r="BC930" s="119">
        <f t="shared" si="93"/>
        <v>38.185404783661404</v>
      </c>
    </row>
    <row r="931" spans="49:55" x14ac:dyDescent="0.3">
      <c r="AW931" s="7">
        <v>45046.84375</v>
      </c>
      <c r="AX931" s="51">
        <v>5.7425570471073897E-3</v>
      </c>
      <c r="AY931" s="16">
        <v>85.762083380000007</v>
      </c>
      <c r="AZ931" s="2">
        <v>35672</v>
      </c>
      <c r="BA931" s="16">
        <f t="shared" si="91"/>
        <v>594.5333333333333</v>
      </c>
      <c r="BB931" s="9">
        <f t="shared" si="92"/>
        <v>3.41414158307358</v>
      </c>
      <c r="BC931" s="119">
        <f t="shared" si="93"/>
        <v>39.063245040039789</v>
      </c>
    </row>
    <row r="932" spans="49:55" x14ac:dyDescent="0.3">
      <c r="AW932" s="7">
        <v>45046.854166666664</v>
      </c>
      <c r="AX932" s="51">
        <v>5.8809060513743197E-3</v>
      </c>
      <c r="AY932" s="16">
        <v>86.192545629999998</v>
      </c>
      <c r="AZ932" s="2">
        <v>34441</v>
      </c>
      <c r="BA932" s="16">
        <f t="shared" si="91"/>
        <v>574.01666666666665</v>
      </c>
      <c r="BB932" s="9">
        <f t="shared" si="92"/>
        <v>3.3757380885897157</v>
      </c>
      <c r="BC932" s="119">
        <f t="shared" si="93"/>
        <v>38.770931005344885</v>
      </c>
    </row>
    <row r="933" spans="49:55" x14ac:dyDescent="0.3">
      <c r="AW933" s="7">
        <v>45046.864583333336</v>
      </c>
      <c r="AX933" s="51">
        <v>5.7920852316323901E-3</v>
      </c>
      <c r="AY933" s="16">
        <v>84.891986889999998</v>
      </c>
      <c r="AZ933" s="2">
        <v>34483</v>
      </c>
      <c r="BA933" s="16">
        <f t="shared" si="91"/>
        <v>574.7166666666667</v>
      </c>
      <c r="BB933" s="9">
        <f t="shared" si="92"/>
        <v>3.3288079173729952</v>
      </c>
      <c r="BC933" s="119">
        <f t="shared" si="93"/>
        <v>38.41219318720254</v>
      </c>
    </row>
    <row r="934" spans="49:55" x14ac:dyDescent="0.3">
      <c r="AW934" s="7">
        <v>45046.875</v>
      </c>
      <c r="AX934" s="51">
        <v>6.13647031086954E-3</v>
      </c>
      <c r="AY934" s="16">
        <v>87.058386479999996</v>
      </c>
      <c r="AZ934" s="2">
        <v>34764</v>
      </c>
      <c r="BA934" s="16">
        <f t="shared" si="91"/>
        <v>579.4</v>
      </c>
      <c r="BB934" s="9">
        <f t="shared" si="92"/>
        <v>3.5554708981178114</v>
      </c>
      <c r="BC934" s="119">
        <f t="shared" si="93"/>
        <v>40.129622749186737</v>
      </c>
    </row>
    <row r="935" spans="49:55" x14ac:dyDescent="0.3">
      <c r="AW935" s="7">
        <v>45046.885416666664</v>
      </c>
      <c r="AX935" s="51">
        <v>5.8517756737119803E-3</v>
      </c>
      <c r="AY935" s="16">
        <v>82.276892649999994</v>
      </c>
      <c r="AZ935" s="2">
        <v>34718</v>
      </c>
      <c r="BA935" s="16">
        <f t="shared" si="91"/>
        <v>578.63333333333333</v>
      </c>
      <c r="BB935" s="9">
        <f t="shared" si="92"/>
        <v>3.3860324639988755</v>
      </c>
      <c r="BC935" s="119">
        <f t="shared" si="93"/>
        <v>38.849397330663116</v>
      </c>
    </row>
    <row r="936" spans="49:55" x14ac:dyDescent="0.3">
      <c r="AW936" s="7">
        <v>45046.895833333336</v>
      </c>
      <c r="AX936" s="51">
        <v>5.8161575502617101E-3</v>
      </c>
      <c r="AY936" s="16">
        <v>84.891986889999998</v>
      </c>
      <c r="AZ936" s="2">
        <v>34842</v>
      </c>
      <c r="BA936" s="16">
        <f t="shared" si="91"/>
        <v>580.70000000000005</v>
      </c>
      <c r="BB936" s="9">
        <f t="shared" si="92"/>
        <v>3.3774426894369753</v>
      </c>
      <c r="BC936" s="119">
        <f t="shared" si="93"/>
        <v>38.783929451204337</v>
      </c>
    </row>
    <row r="937" spans="49:55" x14ac:dyDescent="0.3">
      <c r="AW937" s="7">
        <v>45046.90625</v>
      </c>
      <c r="AX937" s="51">
        <v>6.0223969420180696E-3</v>
      </c>
      <c r="AY937" s="16">
        <v>82.276892649999994</v>
      </c>
      <c r="AZ937" s="2">
        <v>34695</v>
      </c>
      <c r="BA937" s="16">
        <f t="shared" si="91"/>
        <v>578.25</v>
      </c>
      <c r="BB937" s="9">
        <f t="shared" si="92"/>
        <v>3.4824510317219488</v>
      </c>
      <c r="BC937" s="119">
        <f t="shared" si="93"/>
        <v>39.58047812051673</v>
      </c>
    </row>
    <row r="938" spans="49:55" x14ac:dyDescent="0.3">
      <c r="AW938" s="7">
        <v>45046.916666666664</v>
      </c>
      <c r="AX938" s="51">
        <v>5.7498023345617204E-3</v>
      </c>
      <c r="AY938" s="16">
        <v>82.711152870000006</v>
      </c>
      <c r="AZ938" s="2">
        <v>34756</v>
      </c>
      <c r="BA938" s="16">
        <f t="shared" si="91"/>
        <v>579.26666666666665</v>
      </c>
      <c r="BB938" s="9">
        <f t="shared" si="92"/>
        <v>3.3306688323337856</v>
      </c>
      <c r="BC938" s="119">
        <f t="shared" si="93"/>
        <v>38.426450385687374</v>
      </c>
    </row>
    <row r="939" spans="49:55" x14ac:dyDescent="0.3">
      <c r="AW939" s="7">
        <v>45046.927083333336</v>
      </c>
      <c r="AX939" s="51">
        <v>5.9869003521069398E-3</v>
      </c>
      <c r="AY939" s="16">
        <v>81.397704649999994</v>
      </c>
      <c r="AZ939" s="2">
        <v>34554</v>
      </c>
      <c r="BA939" s="16">
        <f t="shared" si="91"/>
        <v>575.9</v>
      </c>
      <c r="BB939" s="9">
        <f t="shared" si="92"/>
        <v>3.4478559127783863</v>
      </c>
      <c r="BC939" s="119">
        <f t="shared" si="93"/>
        <v>39.318957252137054</v>
      </c>
    </row>
    <row r="940" spans="49:55" x14ac:dyDescent="0.3">
      <c r="AW940" s="7">
        <v>45046.9375</v>
      </c>
      <c r="AX940" s="51">
        <v>4.7326301390401204E-3</v>
      </c>
      <c r="AY940" s="16">
        <v>85.762083380000007</v>
      </c>
      <c r="AZ940" s="2">
        <v>41422</v>
      </c>
      <c r="BA940" s="16">
        <f t="shared" si="91"/>
        <v>690.36666666666667</v>
      </c>
      <c r="BB940" s="9">
        <f t="shared" si="92"/>
        <v>3.2672500936553313</v>
      </c>
      <c r="BC940" s="119">
        <f t="shared" si="93"/>
        <v>37.939052769796966</v>
      </c>
    </row>
    <row r="941" spans="49:55" x14ac:dyDescent="0.3">
      <c r="AW941" s="7">
        <v>45046.947916666664</v>
      </c>
      <c r="AX941" s="51">
        <v>4.6052133714728797E-3</v>
      </c>
      <c r="AY941" s="16">
        <v>82.276892649999994</v>
      </c>
      <c r="AZ941" s="2">
        <v>41742</v>
      </c>
      <c r="BA941" s="16">
        <f t="shared" si="91"/>
        <v>695.7</v>
      </c>
      <c r="BB941" s="9">
        <f t="shared" si="92"/>
        <v>3.2038469425336826</v>
      </c>
      <c r="BC941" s="119">
        <f t="shared" si="93"/>
        <v>37.448586748716046</v>
      </c>
    </row>
    <row r="942" spans="49:55" x14ac:dyDescent="0.3">
      <c r="AW942" s="7">
        <v>45046.958333333336</v>
      </c>
      <c r="AX942" s="51">
        <v>4.5697502903638302E-3</v>
      </c>
      <c r="AY942" s="16">
        <v>81.405228940000001</v>
      </c>
      <c r="AZ942" s="2">
        <v>42104</v>
      </c>
      <c r="BA942" s="16">
        <f t="shared" si="91"/>
        <v>701.73333333333335</v>
      </c>
      <c r="BB942" s="9">
        <f t="shared" si="92"/>
        <v>3.2067461037579785</v>
      </c>
      <c r="BC942" s="119">
        <f t="shared" si="93"/>
        <v>37.471084448542292</v>
      </c>
    </row>
    <row r="943" spans="49:55" x14ac:dyDescent="0.3">
      <c r="AW943" s="7">
        <v>45046.96875</v>
      </c>
      <c r="AX943" s="51">
        <v>4.64153249548386E-3</v>
      </c>
      <c r="AY943" s="16">
        <v>77.875916610000004</v>
      </c>
      <c r="AZ943" s="2">
        <v>42204</v>
      </c>
      <c r="BA943" s="16">
        <f t="shared" si="91"/>
        <v>703.4</v>
      </c>
      <c r="BB943" s="9">
        <f t="shared" si="92"/>
        <v>3.2648539573233468</v>
      </c>
      <c r="BC943" s="119">
        <f t="shared" si="93"/>
        <v>37.920575524224695</v>
      </c>
    </row>
    <row r="944" spans="49:55" x14ac:dyDescent="0.3">
      <c r="AW944" s="7">
        <v>45046.979166666664</v>
      </c>
      <c r="AX944" s="51">
        <v>4.7020570350283101E-3</v>
      </c>
      <c r="AY944" s="16">
        <v>77.875916610000004</v>
      </c>
      <c r="AZ944" s="2">
        <v>42279</v>
      </c>
      <c r="BA944" s="16">
        <f t="shared" si="91"/>
        <v>704.65</v>
      </c>
      <c r="BB944" s="9">
        <f t="shared" si="92"/>
        <v>3.3133044897326984</v>
      </c>
      <c r="BC944" s="119">
        <f t="shared" si="93"/>
        <v>38.293311063379328</v>
      </c>
    </row>
    <row r="945" spans="49:55" x14ac:dyDescent="0.3">
      <c r="AW945" s="7">
        <v>45046.989583333336</v>
      </c>
      <c r="AX945" s="51">
        <v>4.8040427221665198E-3</v>
      </c>
      <c r="AY945" s="16">
        <v>80.961047410000006</v>
      </c>
      <c r="AZ945" s="2">
        <v>42059</v>
      </c>
      <c r="BA945" s="16">
        <f t="shared" si="91"/>
        <v>700.98333333333335</v>
      </c>
      <c r="BB945" s="9">
        <f t="shared" si="92"/>
        <v>3.3675538808600276</v>
      </c>
      <c r="BC945" s="119">
        <f t="shared" si="93"/>
        <v>38.708491528772377</v>
      </c>
    </row>
    <row r="946" spans="49:55" x14ac:dyDescent="0.3">
      <c r="AW946" s="7">
        <v>45047</v>
      </c>
      <c r="AX946" s="51">
        <v>4.6308288178703904E-3</v>
      </c>
      <c r="AY946" s="16">
        <v>82.276892649999994</v>
      </c>
      <c r="AZ946" s="2">
        <v>41980</v>
      </c>
      <c r="BA946" s="16">
        <f t="shared" si="91"/>
        <v>699.66666666666663</v>
      </c>
      <c r="BB946" s="9">
        <f t="shared" si="92"/>
        <v>3.2400365629033163</v>
      </c>
      <c r="BC946" s="119">
        <f t="shared" si="93"/>
        <v>37.728933142109035</v>
      </c>
    </row>
    <row r="947" spans="49:55" x14ac:dyDescent="0.3">
      <c r="AW947" s="7">
        <v>45047.010416666664</v>
      </c>
      <c r="AX947" s="51">
        <v>4.6671964064055804E-3</v>
      </c>
      <c r="AY947" s="16">
        <v>82.276892649999994</v>
      </c>
      <c r="AZ947" s="2">
        <v>42315</v>
      </c>
      <c r="BA947" s="16">
        <f t="shared" si="91"/>
        <v>705.25</v>
      </c>
      <c r="BB947" s="9">
        <f t="shared" si="92"/>
        <v>3.2915402656175354</v>
      </c>
      <c r="BC947" s="119">
        <f t="shared" si="93"/>
        <v>38.126104528964589</v>
      </c>
    </row>
    <row r="948" spans="49:55" x14ac:dyDescent="0.3">
      <c r="AW948" s="7">
        <v>45047.020833333336</v>
      </c>
      <c r="AX948" s="51">
        <v>4.5473284602968603E-3</v>
      </c>
      <c r="AY948" s="16">
        <v>81.405228940000001</v>
      </c>
      <c r="AZ948" s="2">
        <v>42294</v>
      </c>
      <c r="BA948" s="16">
        <f t="shared" si="91"/>
        <v>704.9</v>
      </c>
      <c r="BB948" s="9">
        <f t="shared" si="92"/>
        <v>3.2054118316632567</v>
      </c>
      <c r="BC948" s="119">
        <f t="shared" si="93"/>
        <v>37.460731250260999</v>
      </c>
    </row>
    <row r="949" spans="49:55" x14ac:dyDescent="0.3">
      <c r="AW949" s="7">
        <v>45047.03125</v>
      </c>
      <c r="AX949" s="51">
        <v>4.3185192521699896E-3</v>
      </c>
      <c r="AY949" s="16">
        <v>82.276892649999994</v>
      </c>
      <c r="AZ949" s="2">
        <v>42362</v>
      </c>
      <c r="BA949" s="16">
        <f t="shared" si="91"/>
        <v>706.0333333333333</v>
      </c>
      <c r="BB949" s="9">
        <f t="shared" si="92"/>
        <v>3.0490185426737515</v>
      </c>
      <c r="BC949" s="119">
        <f t="shared" si="93"/>
        <v>36.236952557875725</v>
      </c>
    </row>
    <row r="950" spans="49:55" x14ac:dyDescent="0.3">
      <c r="AW950" s="7">
        <v>45047.041666666664</v>
      </c>
      <c r="AX950" s="51">
        <v>4.3656907910663602E-3</v>
      </c>
      <c r="AY950" s="16">
        <v>80.961047410000006</v>
      </c>
      <c r="AZ950" s="2">
        <v>42426</v>
      </c>
      <c r="BA950" s="16">
        <f t="shared" si="91"/>
        <v>707.1</v>
      </c>
      <c r="BB950" s="9">
        <f t="shared" si="92"/>
        <v>3.0869799583630235</v>
      </c>
      <c r="BC950" s="119">
        <f t="shared" si="93"/>
        <v>36.535901997244586</v>
      </c>
    </row>
    <row r="951" spans="49:55" x14ac:dyDescent="0.3">
      <c r="AW951" s="7">
        <v>45047.052083333336</v>
      </c>
      <c r="AX951" s="51">
        <v>4.4022700419621402E-3</v>
      </c>
      <c r="AY951" s="16">
        <v>83.586986100000004</v>
      </c>
      <c r="AZ951" s="2">
        <v>42577</v>
      </c>
      <c r="BA951" s="16">
        <f t="shared" si="91"/>
        <v>709.61666666666667</v>
      </c>
      <c r="BB951" s="9">
        <f t="shared" si="92"/>
        <v>3.1239241929437007</v>
      </c>
      <c r="BC951" s="119">
        <f t="shared" si="93"/>
        <v>36.825657266679279</v>
      </c>
    </row>
    <row r="952" spans="49:55" x14ac:dyDescent="0.3">
      <c r="AW952" s="7">
        <v>45047.0625</v>
      </c>
      <c r="AX952" s="51">
        <v>4.2835881515574702E-3</v>
      </c>
      <c r="AY952" s="16">
        <v>83.153095449999995</v>
      </c>
      <c r="AZ952" s="2">
        <v>42435</v>
      </c>
      <c r="BA952" s="16">
        <f t="shared" si="91"/>
        <v>707.25</v>
      </c>
      <c r="BB952" s="9">
        <f t="shared" si="92"/>
        <v>3.029567720189021</v>
      </c>
      <c r="BC952" s="119">
        <f t="shared" si="93"/>
        <v>36.08329137341665</v>
      </c>
    </row>
    <row r="953" spans="49:55" x14ac:dyDescent="0.3">
      <c r="AW953" s="7">
        <v>45047.072916666664</v>
      </c>
      <c r="AX953" s="51">
        <v>4.29405301584953E-3</v>
      </c>
      <c r="AY953" s="16">
        <v>82.276892649999994</v>
      </c>
      <c r="AZ953" s="2">
        <v>43100</v>
      </c>
      <c r="BA953" s="16">
        <f t="shared" si="91"/>
        <v>718.33333333333337</v>
      </c>
      <c r="BB953" s="9">
        <f t="shared" si="92"/>
        <v>3.0845614163852457</v>
      </c>
      <c r="BC953" s="119">
        <f t="shared" si="93"/>
        <v>36.516892750333177</v>
      </c>
    </row>
    <row r="954" spans="49:55" x14ac:dyDescent="0.3">
      <c r="AW954" s="7">
        <v>45047.083333333336</v>
      </c>
      <c r="AX954" s="51">
        <v>4.2091255061176896E-3</v>
      </c>
      <c r="AY954" s="16">
        <v>82.276892649999994</v>
      </c>
      <c r="AZ954" s="2">
        <v>43010</v>
      </c>
      <c r="BA954" s="16">
        <f t="shared" si="91"/>
        <v>716.83333333333337</v>
      </c>
      <c r="BB954" s="9">
        <f t="shared" si="92"/>
        <v>3.0172414669686973</v>
      </c>
      <c r="BC954" s="119">
        <f t="shared" si="93"/>
        <v>35.985742572064936</v>
      </c>
    </row>
    <row r="955" spans="49:55" x14ac:dyDescent="0.3">
      <c r="AW955" s="7">
        <v>45047.09375</v>
      </c>
      <c r="AX955" s="51">
        <v>4.4194842479952498E-3</v>
      </c>
      <c r="AY955" s="16">
        <v>82.284398269999997</v>
      </c>
      <c r="AZ955" s="2">
        <v>43274</v>
      </c>
      <c r="BA955" s="16">
        <f t="shared" si="91"/>
        <v>721.23333333333335</v>
      </c>
      <c r="BB955" s="9">
        <f t="shared" si="92"/>
        <v>3.1874793557957739</v>
      </c>
      <c r="BC955" s="119">
        <f t="shared" si="93"/>
        <v>37.321444516139003</v>
      </c>
    </row>
    <row r="956" spans="49:55" x14ac:dyDescent="0.3">
      <c r="AW956" s="7">
        <v>45047.104166666664</v>
      </c>
      <c r="AX956" s="51">
        <v>4.1876580548710603E-3</v>
      </c>
      <c r="AY956" s="16">
        <v>82.284398269999997</v>
      </c>
      <c r="AZ956" s="2">
        <v>42993</v>
      </c>
      <c r="BA956" s="16">
        <f t="shared" si="91"/>
        <v>716.55</v>
      </c>
      <c r="BB956" s="9">
        <f t="shared" si="92"/>
        <v>3.0006663792178583</v>
      </c>
      <c r="BC956" s="119">
        <f t="shared" si="93"/>
        <v>35.854357529682169</v>
      </c>
    </row>
    <row r="957" spans="49:55" x14ac:dyDescent="0.3">
      <c r="AW957" s="7">
        <v>45047.114583333336</v>
      </c>
      <c r="AX957" s="51">
        <v>4.2232041875133403E-3</v>
      </c>
      <c r="AY957" s="16">
        <v>81.405228940000001</v>
      </c>
      <c r="AZ957" s="2">
        <v>43202</v>
      </c>
      <c r="BA957" s="16">
        <f t="shared" si="91"/>
        <v>720.0333333333333</v>
      </c>
      <c r="BB957" s="9">
        <f t="shared" si="92"/>
        <v>3.0408477884825218</v>
      </c>
      <c r="BC957" s="119">
        <f t="shared" si="93"/>
        <v>36.172443969532182</v>
      </c>
    </row>
    <row r="958" spans="49:55" x14ac:dyDescent="0.3">
      <c r="AW958" s="7">
        <v>45047.125</v>
      </c>
      <c r="AX958" s="51">
        <v>4.1833385217963101E-3</v>
      </c>
      <c r="AY958" s="16">
        <v>81.405228940000001</v>
      </c>
      <c r="AZ958" s="2">
        <v>42525</v>
      </c>
      <c r="BA958" s="16">
        <f t="shared" si="91"/>
        <v>708.75</v>
      </c>
      <c r="BB958" s="9">
        <f t="shared" si="92"/>
        <v>2.9649411773231349</v>
      </c>
      <c r="BC958" s="119">
        <f t="shared" si="93"/>
        <v>35.570343740315387</v>
      </c>
    </row>
    <row r="959" spans="49:55" x14ac:dyDescent="0.3">
      <c r="AW959" s="7">
        <v>45047.135416666664</v>
      </c>
      <c r="AX959" s="51">
        <v>4.3308382055542204E-3</v>
      </c>
      <c r="AY959" s="16">
        <v>82.276892649999994</v>
      </c>
      <c r="AZ959" s="2">
        <v>43089</v>
      </c>
      <c r="BA959" s="16">
        <f t="shared" si="91"/>
        <v>718.15</v>
      </c>
      <c r="BB959" s="9">
        <f t="shared" si="92"/>
        <v>3.1101914573187632</v>
      </c>
      <c r="BC959" s="119">
        <f t="shared" si="93"/>
        <v>36.718085969029673</v>
      </c>
    </row>
    <row r="960" spans="49:55" x14ac:dyDescent="0.3">
      <c r="AW960" s="7">
        <v>45047.145833333336</v>
      </c>
      <c r="AX960" s="51">
        <v>4.14868785679132E-3</v>
      </c>
      <c r="AY960" s="16">
        <v>82.284398269999997</v>
      </c>
      <c r="AZ960" s="2">
        <v>42839</v>
      </c>
      <c r="BA960" s="16">
        <f t="shared" si="91"/>
        <v>713.98333333333335</v>
      </c>
      <c r="BB960" s="9">
        <f t="shared" si="92"/>
        <v>2.9620939849513892</v>
      </c>
      <c r="BC960" s="119">
        <f t="shared" si="93"/>
        <v>35.547659357930463</v>
      </c>
    </row>
    <row r="961" spans="49:55" x14ac:dyDescent="0.3">
      <c r="AW961" s="7">
        <v>45047.15625</v>
      </c>
      <c r="AX961" s="51">
        <v>4.1185561161129801E-3</v>
      </c>
      <c r="AY961" s="16">
        <v>82.284398269999997</v>
      </c>
      <c r="AZ961" s="2">
        <v>43156</v>
      </c>
      <c r="BA961" s="16">
        <f t="shared" si="91"/>
        <v>719.26666666666665</v>
      </c>
      <c r="BB961" s="9">
        <f t="shared" si="92"/>
        <v>2.9623401291161962</v>
      </c>
      <c r="BC961" s="119">
        <f t="shared" si="93"/>
        <v>35.5496207469373</v>
      </c>
    </row>
    <row r="962" spans="49:55" x14ac:dyDescent="0.3">
      <c r="AW962" s="7">
        <v>45047.166666666664</v>
      </c>
      <c r="AX962" s="51">
        <v>4.41136834095487E-3</v>
      </c>
      <c r="AY962" s="16">
        <v>80.086877509999994</v>
      </c>
      <c r="AZ962" s="2">
        <v>43251</v>
      </c>
      <c r="BA962" s="16">
        <f t="shared" si="91"/>
        <v>720.85</v>
      </c>
      <c r="BB962" s="9">
        <f t="shared" si="92"/>
        <v>3.1799348685773179</v>
      </c>
      <c r="BC962" s="119">
        <f t="shared" si="93"/>
        <v>37.262765650202262</v>
      </c>
    </row>
    <row r="963" spans="49:55" x14ac:dyDescent="0.3">
      <c r="AW963" s="7">
        <v>45047.177083333336</v>
      </c>
      <c r="AX963" s="51">
        <v>4.3892365606211297E-3</v>
      </c>
      <c r="AY963" s="16">
        <v>83.594462070000006</v>
      </c>
      <c r="AZ963" s="2">
        <v>43101</v>
      </c>
      <c r="BA963" s="16">
        <f t="shared" si="91"/>
        <v>718.35</v>
      </c>
      <c r="BB963" s="9">
        <f t="shared" si="92"/>
        <v>3.1530080833221885</v>
      </c>
      <c r="BC963" s="119">
        <f t="shared" si="93"/>
        <v>37.052954211152333</v>
      </c>
    </row>
    <row r="964" spans="49:55" x14ac:dyDescent="0.3">
      <c r="AW964" s="7">
        <v>45047.1875</v>
      </c>
      <c r="AX964" s="51">
        <v>4.0666108658419702E-3</v>
      </c>
      <c r="AY964" s="16">
        <v>82.276892649999994</v>
      </c>
      <c r="AZ964" s="2">
        <v>43266</v>
      </c>
      <c r="BA964" s="16">
        <f t="shared" ref="BA964:BA1027" si="94">AZ964/60</f>
        <v>721.1</v>
      </c>
      <c r="BB964" s="9">
        <f t="shared" ref="BB964:BB1027" si="95">BA964*AX964</f>
        <v>2.9324330953586446</v>
      </c>
      <c r="BC964" s="119">
        <f t="shared" ref="BC964:BC1027" si="96">17.285*BB964^0.664</f>
        <v>35.310905162444357</v>
      </c>
    </row>
    <row r="965" spans="49:55" x14ac:dyDescent="0.3">
      <c r="AW965" s="7">
        <v>45047.197916666664</v>
      </c>
      <c r="AX965" s="51">
        <v>4.3271099714080998E-3</v>
      </c>
      <c r="AY965" s="16">
        <v>82.718647970000006</v>
      </c>
      <c r="AZ965" s="2">
        <v>42396</v>
      </c>
      <c r="BA965" s="16">
        <f t="shared" si="94"/>
        <v>706.6</v>
      </c>
      <c r="BB965" s="9">
        <f t="shared" si="95"/>
        <v>3.0575359057969633</v>
      </c>
      <c r="BC965" s="119">
        <f t="shared" si="96"/>
        <v>36.304135842591343</v>
      </c>
    </row>
    <row r="966" spans="49:55" x14ac:dyDescent="0.3">
      <c r="AW966" s="7">
        <v>45047.208333333336</v>
      </c>
      <c r="AX966" s="51">
        <v>4.3216687727889299E-3</v>
      </c>
      <c r="AY966" s="16">
        <v>81.405228940000001</v>
      </c>
      <c r="AZ966" s="2">
        <v>43094</v>
      </c>
      <c r="BA966" s="16">
        <f t="shared" si="94"/>
        <v>718.23333333333335</v>
      </c>
      <c r="BB966" s="9">
        <f t="shared" si="95"/>
        <v>3.1039665682427691</v>
      </c>
      <c r="BC966" s="119">
        <f t="shared" si="96"/>
        <v>36.669272604746126</v>
      </c>
    </row>
    <row r="967" spans="49:55" x14ac:dyDescent="0.3">
      <c r="AW967" s="7">
        <v>45047.21875</v>
      </c>
      <c r="AX967" s="51">
        <v>4.03935214145294E-3</v>
      </c>
      <c r="AY967" s="16">
        <v>78.755362430000005</v>
      </c>
      <c r="AZ967" s="2">
        <v>43158</v>
      </c>
      <c r="BA967" s="16">
        <f t="shared" si="94"/>
        <v>719.3</v>
      </c>
      <c r="BB967" s="9">
        <f t="shared" si="95"/>
        <v>2.9055059953470996</v>
      </c>
      <c r="BC967" s="119">
        <f t="shared" si="96"/>
        <v>35.09527445664056</v>
      </c>
    </row>
    <row r="968" spans="49:55" x14ac:dyDescent="0.3">
      <c r="AW968" s="7">
        <v>45047.229166666664</v>
      </c>
      <c r="AX968" s="51">
        <v>3.64363127337267E-3</v>
      </c>
      <c r="AY968" s="16">
        <v>80.079324720000002</v>
      </c>
      <c r="AZ968" s="2">
        <v>43446</v>
      </c>
      <c r="BA968" s="16">
        <f t="shared" si="94"/>
        <v>724.1</v>
      </c>
      <c r="BB968" s="9">
        <f t="shared" si="95"/>
        <v>2.6383534050491506</v>
      </c>
      <c r="BC968" s="119">
        <f t="shared" si="96"/>
        <v>32.918078376525017</v>
      </c>
    </row>
    <row r="969" spans="49:55" x14ac:dyDescent="0.3">
      <c r="AW969" s="7">
        <v>45047.239583333336</v>
      </c>
      <c r="AX969" s="51">
        <v>3.7859228914413402E-3</v>
      </c>
      <c r="AY969" s="16">
        <v>81.397704649999994</v>
      </c>
      <c r="AZ969" s="2">
        <v>43264</v>
      </c>
      <c r="BA969" s="16">
        <f t="shared" si="94"/>
        <v>721.06666666666672</v>
      </c>
      <c r="BB969" s="9">
        <f t="shared" si="95"/>
        <v>2.7299027995886358</v>
      </c>
      <c r="BC969" s="119">
        <f t="shared" si="96"/>
        <v>33.672170669403158</v>
      </c>
    </row>
    <row r="970" spans="49:55" x14ac:dyDescent="0.3">
      <c r="AW970" s="7">
        <v>45047.25</v>
      </c>
      <c r="AX970" s="51">
        <v>3.7008813012609598E-3</v>
      </c>
      <c r="AY970" s="16">
        <v>80.961047410000006</v>
      </c>
      <c r="AZ970" s="2">
        <v>43048</v>
      </c>
      <c r="BA970" s="16">
        <f t="shared" si="94"/>
        <v>717.4666666666667</v>
      </c>
      <c r="BB970" s="9">
        <f t="shared" si="95"/>
        <v>2.6552589709446965</v>
      </c>
      <c r="BC970" s="119">
        <f t="shared" si="96"/>
        <v>33.0579832580462</v>
      </c>
    </row>
    <row r="971" spans="49:55" x14ac:dyDescent="0.3">
      <c r="AW971" s="7">
        <v>45047.260416666664</v>
      </c>
      <c r="AX971" s="51">
        <v>3.7641397840739699E-3</v>
      </c>
      <c r="AY971" s="16">
        <v>82.276892649999994</v>
      </c>
      <c r="AZ971" s="2">
        <v>43241</v>
      </c>
      <c r="BA971" s="16">
        <f t="shared" si="94"/>
        <v>720.68333333333328</v>
      </c>
      <c r="BB971" s="9">
        <f t="shared" si="95"/>
        <v>2.7127528067190418</v>
      </c>
      <c r="BC971" s="119">
        <f t="shared" si="96"/>
        <v>33.531560943668666</v>
      </c>
    </row>
    <row r="972" spans="49:55" x14ac:dyDescent="0.3">
      <c r="AW972" s="7">
        <v>45047.270833333336</v>
      </c>
      <c r="AX972" s="51">
        <v>3.6382144119694601E-3</v>
      </c>
      <c r="AY972" s="16">
        <v>82.718647970000006</v>
      </c>
      <c r="AZ972" s="2">
        <v>43543</v>
      </c>
      <c r="BA972" s="16">
        <f t="shared" si="94"/>
        <v>725.7166666666667</v>
      </c>
      <c r="BB972" s="9">
        <f t="shared" si="95"/>
        <v>2.6403128356731034</v>
      </c>
      <c r="BC972" s="119">
        <f t="shared" si="96"/>
        <v>32.934309377554989</v>
      </c>
    </row>
    <row r="973" spans="49:55" x14ac:dyDescent="0.3">
      <c r="AW973" s="7">
        <v>45047.28125</v>
      </c>
      <c r="AX973" s="51">
        <v>3.6485131858491602E-3</v>
      </c>
      <c r="AY973" s="16">
        <v>84.460540300000005</v>
      </c>
      <c r="AZ973" s="2">
        <v>43885</v>
      </c>
      <c r="BA973" s="16">
        <f t="shared" si="94"/>
        <v>731.41666666666663</v>
      </c>
      <c r="BB973" s="9">
        <f t="shared" si="95"/>
        <v>2.6685833526831733</v>
      </c>
      <c r="BC973" s="119">
        <f t="shared" si="96"/>
        <v>33.168040632981459</v>
      </c>
    </row>
    <row r="974" spans="49:55" x14ac:dyDescent="0.3">
      <c r="AW974" s="7">
        <v>45047.291666666664</v>
      </c>
      <c r="AX974" s="51">
        <v>3.8164064231375099E-3</v>
      </c>
      <c r="AY974" s="16">
        <v>82.284398269999997</v>
      </c>
      <c r="AZ974" s="2">
        <v>43462</v>
      </c>
      <c r="BA974" s="16">
        <f t="shared" si="94"/>
        <v>724.36666666666667</v>
      </c>
      <c r="BB974" s="9">
        <f t="shared" si="95"/>
        <v>2.7644775993733743</v>
      </c>
      <c r="BC974" s="119">
        <f t="shared" si="96"/>
        <v>33.954744416738194</v>
      </c>
    </row>
    <row r="975" spans="49:55" x14ac:dyDescent="0.3">
      <c r="AW975" s="7">
        <v>45047.302083333336</v>
      </c>
      <c r="AX975" s="51">
        <v>3.7565090755761498E-3</v>
      </c>
      <c r="AY975" s="16">
        <v>82.284398269999997</v>
      </c>
      <c r="AZ975" s="2">
        <v>43666</v>
      </c>
      <c r="BA975" s="16">
        <f t="shared" si="94"/>
        <v>727.76666666666665</v>
      </c>
      <c r="BB975" s="9">
        <f t="shared" si="95"/>
        <v>2.7338620882351359</v>
      </c>
      <c r="BC975" s="119">
        <f t="shared" si="96"/>
        <v>33.704589952767037</v>
      </c>
    </row>
    <row r="976" spans="49:55" x14ac:dyDescent="0.3">
      <c r="AW976" s="7">
        <v>45047.3125</v>
      </c>
      <c r="AX976" s="51">
        <v>3.4976633876071198E-3</v>
      </c>
      <c r="AY976" s="16">
        <v>81.405228940000001</v>
      </c>
      <c r="AZ976" s="2">
        <v>43317</v>
      </c>
      <c r="BA976" s="16">
        <f t="shared" si="94"/>
        <v>721.95</v>
      </c>
      <c r="BB976" s="9">
        <f t="shared" si="95"/>
        <v>2.5251380826829601</v>
      </c>
      <c r="BC976" s="119">
        <f t="shared" si="96"/>
        <v>31.973244691376525</v>
      </c>
    </row>
    <row r="977" spans="49:55" x14ac:dyDescent="0.3">
      <c r="AW977" s="7">
        <v>45047.322916666664</v>
      </c>
      <c r="AX977" s="51">
        <v>3.7139131401085399E-3</v>
      </c>
      <c r="AY977" s="16">
        <v>82.284398269999997</v>
      </c>
      <c r="AZ977" s="2">
        <v>43324</v>
      </c>
      <c r="BA977" s="16">
        <f t="shared" si="94"/>
        <v>722.06666666666672</v>
      </c>
      <c r="BB977" s="9">
        <f t="shared" si="95"/>
        <v>2.6816928813677068</v>
      </c>
      <c r="BC977" s="119">
        <f t="shared" si="96"/>
        <v>33.276143300361554</v>
      </c>
    </row>
    <row r="978" spans="49:55" x14ac:dyDescent="0.3">
      <c r="AW978" s="7">
        <v>45047.333333333336</v>
      </c>
      <c r="AX978" s="51">
        <v>3.5722181251755499E-3</v>
      </c>
      <c r="AY978" s="16">
        <v>78.762941850000004</v>
      </c>
      <c r="AZ978" s="2">
        <v>43390</v>
      </c>
      <c r="BA978" s="16">
        <f t="shared" si="94"/>
        <v>723.16666666666663</v>
      </c>
      <c r="BB978" s="9">
        <f t="shared" si="95"/>
        <v>2.5833090741894518</v>
      </c>
      <c r="BC978" s="119">
        <f t="shared" si="96"/>
        <v>32.460446788819858</v>
      </c>
    </row>
    <row r="979" spans="49:55" x14ac:dyDescent="0.3">
      <c r="AW979" s="7">
        <v>45047.34375</v>
      </c>
      <c r="AX979" s="51">
        <v>4.0823698638586597E-3</v>
      </c>
      <c r="AY979" s="16">
        <v>80.968580889999998</v>
      </c>
      <c r="AZ979" s="2">
        <v>42933</v>
      </c>
      <c r="BA979" s="16">
        <f t="shared" si="94"/>
        <v>715.55</v>
      </c>
      <c r="BB979" s="9">
        <f t="shared" si="95"/>
        <v>2.921139756084064</v>
      </c>
      <c r="BC979" s="119">
        <f t="shared" si="96"/>
        <v>35.220550082850487</v>
      </c>
    </row>
    <row r="980" spans="49:55" x14ac:dyDescent="0.3">
      <c r="AW980" s="7">
        <v>45047.354166666664</v>
      </c>
      <c r="AX980" s="51">
        <v>3.5360082733969299E-3</v>
      </c>
      <c r="AY980" s="16">
        <v>78.762941850000004</v>
      </c>
      <c r="AZ980" s="2">
        <v>43119</v>
      </c>
      <c r="BA980" s="16">
        <f t="shared" si="94"/>
        <v>718.65</v>
      </c>
      <c r="BB980" s="9">
        <f t="shared" si="95"/>
        <v>2.5411523456767036</v>
      </c>
      <c r="BC980" s="119">
        <f t="shared" si="96"/>
        <v>32.10774242157121</v>
      </c>
    </row>
    <row r="981" spans="49:55" x14ac:dyDescent="0.3">
      <c r="AW981" s="7">
        <v>45047.364583333336</v>
      </c>
      <c r="AX981" s="51">
        <v>3.6804814983201102E-3</v>
      </c>
      <c r="AY981" s="16">
        <v>78.762941850000004</v>
      </c>
      <c r="AZ981" s="2">
        <v>43012</v>
      </c>
      <c r="BA981" s="16">
        <f t="shared" si="94"/>
        <v>716.86666666666667</v>
      </c>
      <c r="BB981" s="9">
        <f t="shared" si="95"/>
        <v>2.6384145034290762</v>
      </c>
      <c r="BC981" s="119">
        <f t="shared" si="96"/>
        <v>32.918584547911259</v>
      </c>
    </row>
    <row r="982" spans="49:55" x14ac:dyDescent="0.3">
      <c r="AW982" s="7">
        <v>45047.375</v>
      </c>
      <c r="AX982" s="51">
        <v>3.8840214442819902E-3</v>
      </c>
      <c r="AY982" s="16">
        <v>80.086877509999994</v>
      </c>
      <c r="AZ982" s="2">
        <v>43213</v>
      </c>
      <c r="BA982" s="16">
        <f t="shared" si="94"/>
        <v>720.2166666666667</v>
      </c>
      <c r="BB982" s="9">
        <f t="shared" si="95"/>
        <v>2.7973369778626274</v>
      </c>
      <c r="BC982" s="119">
        <f t="shared" si="96"/>
        <v>34.222199757546342</v>
      </c>
    </row>
    <row r="983" spans="49:55" x14ac:dyDescent="0.3">
      <c r="AW983" s="7">
        <v>45047.385416666664</v>
      </c>
      <c r="AX983" s="51">
        <v>3.84115487659413E-3</v>
      </c>
      <c r="AY983" s="16">
        <v>75.208694050000005</v>
      </c>
      <c r="AZ983" s="2">
        <v>43070</v>
      </c>
      <c r="BA983" s="16">
        <f t="shared" si="94"/>
        <v>717.83333333333337</v>
      </c>
      <c r="BB983" s="9">
        <f t="shared" si="95"/>
        <v>2.7573090089151533</v>
      </c>
      <c r="BC983" s="119">
        <f t="shared" si="96"/>
        <v>33.896254821714543</v>
      </c>
    </row>
    <row r="984" spans="49:55" x14ac:dyDescent="0.3">
      <c r="AW984" s="7">
        <v>45047.395833333336</v>
      </c>
      <c r="AX984" s="51">
        <v>3.7477238514334599E-3</v>
      </c>
      <c r="AY984" s="16">
        <v>76.544179459999995</v>
      </c>
      <c r="AZ984" s="2">
        <v>42351</v>
      </c>
      <c r="BA984" s="16">
        <f t="shared" si="94"/>
        <v>705.85</v>
      </c>
      <c r="BB984" s="9">
        <f t="shared" si="95"/>
        <v>2.6453308805343076</v>
      </c>
      <c r="BC984" s="119">
        <f t="shared" si="96"/>
        <v>32.97585805661938</v>
      </c>
    </row>
    <row r="985" spans="49:55" x14ac:dyDescent="0.3">
      <c r="AW985" s="7">
        <v>45047.40625</v>
      </c>
      <c r="AX985" s="51">
        <v>3.8683724686259602E-3</v>
      </c>
      <c r="AY985" s="16">
        <v>76.986061320000005</v>
      </c>
      <c r="AZ985" s="2">
        <v>42190</v>
      </c>
      <c r="BA985" s="16">
        <f t="shared" si="94"/>
        <v>703.16666666666663</v>
      </c>
      <c r="BB985" s="9">
        <f t="shared" si="95"/>
        <v>2.720110574188821</v>
      </c>
      <c r="BC985" s="119">
        <f t="shared" si="96"/>
        <v>33.591922438791627</v>
      </c>
    </row>
    <row r="986" spans="49:55" x14ac:dyDescent="0.3">
      <c r="AW986" s="7">
        <v>45047.416666666664</v>
      </c>
      <c r="AX986" s="51">
        <v>3.7887314735206199E-3</v>
      </c>
      <c r="AY986" s="16">
        <v>77.875916610000004</v>
      </c>
      <c r="AZ986" s="2">
        <v>42172</v>
      </c>
      <c r="BA986" s="16">
        <f t="shared" si="94"/>
        <v>702.86666666666667</v>
      </c>
      <c r="BB986" s="9">
        <f t="shared" si="95"/>
        <v>2.6629730616885263</v>
      </c>
      <c r="BC986" s="119">
        <f t="shared" si="96"/>
        <v>33.121723036099162</v>
      </c>
    </row>
    <row r="987" spans="49:55" x14ac:dyDescent="0.3">
      <c r="AW987" s="7">
        <v>45047.427083333336</v>
      </c>
      <c r="AX987" s="51">
        <v>3.7195053478567899E-3</v>
      </c>
      <c r="AY987" s="16">
        <v>75.652056590000001</v>
      </c>
      <c r="AZ987" s="2">
        <v>41544</v>
      </c>
      <c r="BA987" s="16">
        <f t="shared" si="94"/>
        <v>692.4</v>
      </c>
      <c r="BB987" s="9">
        <f t="shared" si="95"/>
        <v>2.5753855028560411</v>
      </c>
      <c r="BC987" s="119">
        <f t="shared" si="96"/>
        <v>32.394302673464807</v>
      </c>
    </row>
    <row r="988" spans="49:55" x14ac:dyDescent="0.3">
      <c r="AW988" s="7">
        <v>45047.4375</v>
      </c>
      <c r="AX988" s="51">
        <v>3.7901507800383598E-3</v>
      </c>
      <c r="AY988" s="16">
        <v>76.986061320000005</v>
      </c>
      <c r="AZ988" s="2">
        <v>42562</v>
      </c>
      <c r="BA988" s="16">
        <f t="shared" si="94"/>
        <v>709.36666666666667</v>
      </c>
      <c r="BB988" s="9">
        <f t="shared" si="95"/>
        <v>2.6886066249998777</v>
      </c>
      <c r="BC988" s="119">
        <f t="shared" si="96"/>
        <v>33.333083288015324</v>
      </c>
    </row>
    <row r="989" spans="49:55" x14ac:dyDescent="0.3">
      <c r="AW989" s="7">
        <v>45047.447916666664</v>
      </c>
      <c r="AX989" s="51">
        <v>3.61827419259523E-3</v>
      </c>
      <c r="AY989" s="16">
        <v>80.523852189999999</v>
      </c>
      <c r="AZ989" s="2">
        <v>41663</v>
      </c>
      <c r="BA989" s="16">
        <f t="shared" si="94"/>
        <v>694.38333333333333</v>
      </c>
      <c r="BB989" s="9">
        <f t="shared" si="95"/>
        <v>2.512469294768251</v>
      </c>
      <c r="BC989" s="119">
        <f t="shared" si="96"/>
        <v>31.866641196499497</v>
      </c>
    </row>
    <row r="990" spans="49:55" x14ac:dyDescent="0.3">
      <c r="AW990" s="7">
        <v>45047.458333333336</v>
      </c>
      <c r="AX990" s="51">
        <v>3.81949849708059E-3</v>
      </c>
      <c r="AY990" s="16">
        <v>75.652056590000001</v>
      </c>
      <c r="AZ990" s="2">
        <v>41651</v>
      </c>
      <c r="BA990" s="16">
        <f t="shared" si="94"/>
        <v>694.18333333333328</v>
      </c>
      <c r="BB990" s="9">
        <f t="shared" si="95"/>
        <v>2.6514321983650606</v>
      </c>
      <c r="BC990" s="119">
        <f t="shared" si="96"/>
        <v>33.026340421300006</v>
      </c>
    </row>
    <row r="991" spans="49:55" x14ac:dyDescent="0.3">
      <c r="AW991" s="7">
        <v>45047.46875</v>
      </c>
      <c r="AX991" s="51">
        <v>3.8822128169692699E-3</v>
      </c>
      <c r="AY991" s="16">
        <v>76.986061320000005</v>
      </c>
      <c r="AZ991" s="2">
        <v>41349</v>
      </c>
      <c r="BA991" s="16">
        <f t="shared" si="94"/>
        <v>689.15</v>
      </c>
      <c r="BB991" s="9">
        <f t="shared" si="95"/>
        <v>2.6754269628143721</v>
      </c>
      <c r="BC991" s="119">
        <f t="shared" si="96"/>
        <v>33.224496027535757</v>
      </c>
    </row>
    <row r="992" spans="49:55" x14ac:dyDescent="0.3">
      <c r="AW992" s="7">
        <v>45047.479166666664</v>
      </c>
      <c r="AX992" s="51">
        <v>3.7187959104278199E-3</v>
      </c>
      <c r="AY992" s="16">
        <v>76.986061320000005</v>
      </c>
      <c r="AZ992" s="2">
        <v>41656</v>
      </c>
      <c r="BA992" s="16">
        <f t="shared" si="94"/>
        <v>694.26666666666665</v>
      </c>
      <c r="BB992" s="9">
        <f t="shared" si="95"/>
        <v>2.5818360407463543</v>
      </c>
      <c r="BC992" s="119">
        <f t="shared" si="96"/>
        <v>32.448155415141308</v>
      </c>
    </row>
    <row r="993" spans="49:55" x14ac:dyDescent="0.3">
      <c r="AW993" s="7">
        <v>45047.489583333336</v>
      </c>
      <c r="AX993" s="51">
        <v>3.8045817136925699E-3</v>
      </c>
      <c r="AY993" s="16">
        <v>72.970159429999995</v>
      </c>
      <c r="AZ993" s="2">
        <v>41332</v>
      </c>
      <c r="BA993" s="16">
        <f t="shared" si="94"/>
        <v>688.86666666666667</v>
      </c>
      <c r="BB993" s="9">
        <f t="shared" si="95"/>
        <v>2.620849523172355</v>
      </c>
      <c r="BC993" s="119">
        <f t="shared" si="96"/>
        <v>32.772904264067861</v>
      </c>
    </row>
    <row r="994" spans="49:55" x14ac:dyDescent="0.3">
      <c r="AW994" s="7">
        <v>45047.5</v>
      </c>
      <c r="AX994" s="51">
        <v>3.8920032899187598E-3</v>
      </c>
      <c r="AY994" s="16">
        <v>77.875916610000004</v>
      </c>
      <c r="AZ994" s="2">
        <v>41055</v>
      </c>
      <c r="BA994" s="16">
        <f t="shared" si="94"/>
        <v>684.25</v>
      </c>
      <c r="BB994" s="9">
        <f t="shared" si="95"/>
        <v>2.6631032511269113</v>
      </c>
      <c r="BC994" s="119">
        <f t="shared" si="96"/>
        <v>33.122798229063982</v>
      </c>
    </row>
    <row r="995" spans="49:55" x14ac:dyDescent="0.3">
      <c r="AW995" s="7">
        <v>45047.510416666664</v>
      </c>
      <c r="AX995" s="51">
        <v>3.7812199313482899E-3</v>
      </c>
      <c r="AY995" s="16">
        <v>79.202259850000004</v>
      </c>
      <c r="AZ995" s="2">
        <v>41063</v>
      </c>
      <c r="BA995" s="16">
        <f t="shared" si="94"/>
        <v>684.38333333333333</v>
      </c>
      <c r="BB995" s="9">
        <f t="shared" si="95"/>
        <v>2.5878039006825806</v>
      </c>
      <c r="BC995" s="119">
        <f t="shared" si="96"/>
        <v>32.497938241261615</v>
      </c>
    </row>
    <row r="996" spans="49:55" x14ac:dyDescent="0.3">
      <c r="AW996" s="7">
        <v>45047.520833333336</v>
      </c>
      <c r="AX996" s="51">
        <v>4.0069179414019404E-3</v>
      </c>
      <c r="AY996" s="16">
        <v>76.544179459999995</v>
      </c>
      <c r="AZ996" s="2">
        <v>40576</v>
      </c>
      <c r="BA996" s="16">
        <f t="shared" si="94"/>
        <v>676.26666666666665</v>
      </c>
      <c r="BB996" s="9">
        <f t="shared" si="95"/>
        <v>2.7097450398387521</v>
      </c>
      <c r="BC996" s="119">
        <f t="shared" si="96"/>
        <v>33.506870054491557</v>
      </c>
    </row>
    <row r="997" spans="49:55" x14ac:dyDescent="0.3">
      <c r="AW997" s="7">
        <v>45047.53125</v>
      </c>
      <c r="AX997" s="51">
        <v>3.9352127525143603E-3</v>
      </c>
      <c r="AY997" s="16">
        <v>78.323104580000006</v>
      </c>
      <c r="AZ997" s="2">
        <v>40394</v>
      </c>
      <c r="BA997" s="16">
        <f t="shared" si="94"/>
        <v>673.23333333333335</v>
      </c>
      <c r="BB997" s="9">
        <f t="shared" si="95"/>
        <v>2.6493163987510844</v>
      </c>
      <c r="BC997" s="119">
        <f t="shared" si="96"/>
        <v>33.008838699389244</v>
      </c>
    </row>
    <row r="998" spans="49:55" x14ac:dyDescent="0.3">
      <c r="AW998" s="7">
        <v>45047.541666666664</v>
      </c>
      <c r="AX998" s="51">
        <v>4.0188191250631498E-3</v>
      </c>
      <c r="AY998" s="16">
        <v>77.875916610000004</v>
      </c>
      <c r="AZ998" s="2">
        <v>40077</v>
      </c>
      <c r="BA998" s="16">
        <f t="shared" si="94"/>
        <v>667.95</v>
      </c>
      <c r="BB998" s="9">
        <f t="shared" si="95"/>
        <v>2.684370234585931</v>
      </c>
      <c r="BC998" s="119">
        <f t="shared" si="96"/>
        <v>33.298199205213727</v>
      </c>
    </row>
    <row r="999" spans="49:55" x14ac:dyDescent="0.3">
      <c r="AW999" s="7">
        <v>45047.552083333336</v>
      </c>
      <c r="AX999" s="51">
        <v>4.3483746751573999E-3</v>
      </c>
      <c r="AY999" s="16">
        <v>75.659696060000002</v>
      </c>
      <c r="AZ999" s="2">
        <v>40155</v>
      </c>
      <c r="BA999" s="16">
        <f t="shared" si="94"/>
        <v>669.25</v>
      </c>
      <c r="BB999" s="9">
        <f t="shared" si="95"/>
        <v>2.9101497513490897</v>
      </c>
      <c r="BC999" s="119">
        <f t="shared" si="96"/>
        <v>35.132509151128772</v>
      </c>
    </row>
    <row r="1000" spans="49:55" x14ac:dyDescent="0.3">
      <c r="AW1000" s="7">
        <v>45047.5625</v>
      </c>
      <c r="AX1000" s="51">
        <v>4.0831283241059097E-3</v>
      </c>
      <c r="AY1000" s="16">
        <v>78.323104580000006</v>
      </c>
      <c r="AZ1000" s="2">
        <v>40195</v>
      </c>
      <c r="BA1000" s="16">
        <f t="shared" si="94"/>
        <v>669.91666666666663</v>
      </c>
      <c r="BB1000" s="9">
        <f t="shared" si="95"/>
        <v>2.7353557164572839</v>
      </c>
      <c r="BC1000" s="119">
        <f t="shared" si="96"/>
        <v>33.716815918710012</v>
      </c>
    </row>
    <row r="1001" spans="49:55" x14ac:dyDescent="0.3">
      <c r="AW1001" s="7">
        <v>45047.572916666664</v>
      </c>
      <c r="AX1001" s="51">
        <v>4.0659492653387398E-3</v>
      </c>
      <c r="AY1001" s="16">
        <v>76.101800600000004</v>
      </c>
      <c r="AZ1001" s="2">
        <v>40250</v>
      </c>
      <c r="BA1001" s="16">
        <f t="shared" si="94"/>
        <v>670.83333333333337</v>
      </c>
      <c r="BB1001" s="9">
        <f t="shared" si="95"/>
        <v>2.7275742988314047</v>
      </c>
      <c r="BC1001" s="119">
        <f t="shared" si="96"/>
        <v>33.65309715834659</v>
      </c>
    </row>
    <row r="1002" spans="49:55" x14ac:dyDescent="0.3">
      <c r="AW1002" s="7">
        <v>45047.583333333336</v>
      </c>
      <c r="AX1002" s="51">
        <v>4.3082883051283501E-3</v>
      </c>
      <c r="AY1002" s="16">
        <v>79.202259850000004</v>
      </c>
      <c r="AZ1002" s="2">
        <v>40245</v>
      </c>
      <c r="BA1002" s="16">
        <f t="shared" si="94"/>
        <v>670.75</v>
      </c>
      <c r="BB1002" s="9">
        <f t="shared" si="95"/>
        <v>2.8897843806648407</v>
      </c>
      <c r="BC1002" s="119">
        <f t="shared" si="96"/>
        <v>34.969066230929251</v>
      </c>
    </row>
    <row r="1003" spans="49:55" x14ac:dyDescent="0.3">
      <c r="AW1003" s="7">
        <v>45047.59375</v>
      </c>
      <c r="AX1003" s="51">
        <v>4.3529014171915497E-3</v>
      </c>
      <c r="AY1003" s="16">
        <v>80.523852189999999</v>
      </c>
      <c r="AZ1003" s="2">
        <v>40284</v>
      </c>
      <c r="BA1003" s="16">
        <f t="shared" si="94"/>
        <v>671.4</v>
      </c>
      <c r="BB1003" s="9">
        <f t="shared" si="95"/>
        <v>2.9225380115024064</v>
      </c>
      <c r="BC1003" s="119">
        <f t="shared" si="96"/>
        <v>35.23174352015819</v>
      </c>
    </row>
    <row r="1004" spans="49:55" x14ac:dyDescent="0.3">
      <c r="AW1004" s="7">
        <v>45047.604166666664</v>
      </c>
      <c r="AX1004" s="51">
        <v>4.4452404963988999E-3</v>
      </c>
      <c r="AY1004" s="16">
        <v>80.523852189999999</v>
      </c>
      <c r="AZ1004" s="2">
        <v>40270</v>
      </c>
      <c r="BA1004" s="16">
        <f t="shared" si="94"/>
        <v>671.16666666666663</v>
      </c>
      <c r="BB1004" s="9">
        <f t="shared" si="95"/>
        <v>2.983497246499728</v>
      </c>
      <c r="BC1004" s="119">
        <f t="shared" si="96"/>
        <v>35.718006317116682</v>
      </c>
    </row>
    <row r="1005" spans="49:55" x14ac:dyDescent="0.3">
      <c r="AW1005" s="7">
        <v>45047.614583333336</v>
      </c>
      <c r="AX1005" s="51">
        <v>4.3992265163571402E-3</v>
      </c>
      <c r="AY1005" s="16">
        <v>82.718647970000006</v>
      </c>
      <c r="AZ1005" s="2">
        <v>40558</v>
      </c>
      <c r="BA1005" s="16">
        <f t="shared" si="94"/>
        <v>675.9666666666667</v>
      </c>
      <c r="BB1005" s="9">
        <f t="shared" si="95"/>
        <v>2.9737304841735481</v>
      </c>
      <c r="BC1005" s="119">
        <f t="shared" si="96"/>
        <v>35.640324496340291</v>
      </c>
    </row>
    <row r="1006" spans="49:55" x14ac:dyDescent="0.3">
      <c r="AW1006" s="7">
        <v>45047.625</v>
      </c>
      <c r="AX1006" s="51">
        <v>4.1927669487985403E-3</v>
      </c>
      <c r="AY1006" s="16">
        <v>81.405228940000001</v>
      </c>
      <c r="AZ1006" s="2">
        <v>39878</v>
      </c>
      <c r="BA1006" s="16">
        <f t="shared" si="94"/>
        <v>664.63333333333333</v>
      </c>
      <c r="BB1006" s="9">
        <f t="shared" si="95"/>
        <v>2.7866526730698031</v>
      </c>
      <c r="BC1006" s="119">
        <f t="shared" si="96"/>
        <v>34.13535241333598</v>
      </c>
    </row>
    <row r="1007" spans="49:55" x14ac:dyDescent="0.3">
      <c r="AW1007" s="7">
        <v>45047.635416666664</v>
      </c>
      <c r="AX1007" s="51">
        <v>4.4246756516019402E-3</v>
      </c>
      <c r="AY1007" s="16">
        <v>84.027783200000002</v>
      </c>
      <c r="AZ1007" s="2">
        <v>39840</v>
      </c>
      <c r="BA1007" s="16">
        <f t="shared" si="94"/>
        <v>664</v>
      </c>
      <c r="BB1007" s="9">
        <f t="shared" si="95"/>
        <v>2.9379846326636883</v>
      </c>
      <c r="BC1007" s="119">
        <f t="shared" si="96"/>
        <v>35.355278699424517</v>
      </c>
    </row>
    <row r="1008" spans="49:55" x14ac:dyDescent="0.3">
      <c r="AW1008" s="7">
        <v>45047.645833333336</v>
      </c>
      <c r="AX1008" s="51">
        <v>4.5181998244443302E-3</v>
      </c>
      <c r="AY1008" s="16">
        <v>82.718647970000006</v>
      </c>
      <c r="AZ1008" s="2">
        <v>40374</v>
      </c>
      <c r="BA1008" s="16">
        <f t="shared" si="94"/>
        <v>672.9</v>
      </c>
      <c r="BB1008" s="9">
        <f t="shared" si="95"/>
        <v>3.0402966618685898</v>
      </c>
      <c r="BC1008" s="119">
        <f t="shared" si="96"/>
        <v>36.168090696982901</v>
      </c>
    </row>
    <row r="1009" spans="49:55" x14ac:dyDescent="0.3">
      <c r="AW1009" s="7">
        <v>45047.65625</v>
      </c>
      <c r="AX1009" s="51">
        <v>4.4398978845525397E-3</v>
      </c>
      <c r="AY1009" s="16">
        <v>87.494480339999996</v>
      </c>
      <c r="AZ1009" s="2">
        <v>40008</v>
      </c>
      <c r="BA1009" s="16">
        <f t="shared" si="94"/>
        <v>666.8</v>
      </c>
      <c r="BB1009" s="9">
        <f t="shared" si="95"/>
        <v>2.9605239094196332</v>
      </c>
      <c r="BC1009" s="119">
        <f t="shared" si="96"/>
        <v>35.535146990717749</v>
      </c>
    </row>
    <row r="1010" spans="49:55" x14ac:dyDescent="0.3">
      <c r="AW1010" s="7">
        <v>45047.708333333336</v>
      </c>
      <c r="AX1010" s="51">
        <v>4.4246568765643202E-3</v>
      </c>
      <c r="AY1010" s="16">
        <v>85.323607859999996</v>
      </c>
      <c r="AZ1010" s="2">
        <v>38985</v>
      </c>
      <c r="BA1010" s="16">
        <f t="shared" si="94"/>
        <v>649.75</v>
      </c>
      <c r="BB1010" s="9">
        <f t="shared" si="95"/>
        <v>2.8749208055476672</v>
      </c>
      <c r="BC1010" s="119">
        <f t="shared" si="96"/>
        <v>34.849533749897759</v>
      </c>
    </row>
    <row r="1011" spans="49:55" x14ac:dyDescent="0.3">
      <c r="AW1011" s="7">
        <v>45047.71875</v>
      </c>
      <c r="AX1011" s="51">
        <v>4.5912188146378001E-3</v>
      </c>
      <c r="AY1011" s="16">
        <v>84.020316870000002</v>
      </c>
      <c r="AZ1011" s="2">
        <v>38685</v>
      </c>
      <c r="BA1011" s="16">
        <f t="shared" si="94"/>
        <v>644.75</v>
      </c>
      <c r="BB1011" s="9">
        <f t="shared" si="95"/>
        <v>2.9601883307377217</v>
      </c>
      <c r="BC1011" s="119">
        <f t="shared" si="96"/>
        <v>35.532472381991155</v>
      </c>
    </row>
    <row r="1012" spans="49:55" x14ac:dyDescent="0.3">
      <c r="AW1012" s="7">
        <v>45047.729166666664</v>
      </c>
      <c r="AX1012" s="51">
        <v>4.4228308223058302E-3</v>
      </c>
      <c r="AY1012" s="16">
        <v>85.323607859999996</v>
      </c>
      <c r="AZ1012" s="2">
        <v>38548</v>
      </c>
      <c r="BA1012" s="16">
        <f t="shared" si="94"/>
        <v>642.4666666666667</v>
      </c>
      <c r="BB1012" s="9">
        <f t="shared" si="95"/>
        <v>2.8415213756374191</v>
      </c>
      <c r="BC1012" s="119">
        <f t="shared" si="96"/>
        <v>34.580176027552511</v>
      </c>
    </row>
    <row r="1013" spans="49:55" x14ac:dyDescent="0.3">
      <c r="AW1013" s="7">
        <v>45047.739583333336</v>
      </c>
      <c r="AX1013" s="51">
        <v>4.4141340499358099E-3</v>
      </c>
      <c r="AY1013" s="16">
        <v>85.323607859999996</v>
      </c>
      <c r="AZ1013" s="2">
        <v>39249</v>
      </c>
      <c r="BA1013" s="16">
        <f t="shared" si="94"/>
        <v>654.15</v>
      </c>
      <c r="BB1013" s="9">
        <f t="shared" si="95"/>
        <v>2.8875057887655098</v>
      </c>
      <c r="BC1013" s="119">
        <f t="shared" si="96"/>
        <v>34.950755285382037</v>
      </c>
    </row>
    <row r="1014" spans="49:55" x14ac:dyDescent="0.3">
      <c r="AW1014" s="7">
        <v>45047.75</v>
      </c>
      <c r="AX1014" s="51">
        <v>4.4892472265843997E-3</v>
      </c>
      <c r="AY1014" s="16">
        <v>86.192545629999998</v>
      </c>
      <c r="AZ1014" s="2">
        <v>39003</v>
      </c>
      <c r="BA1014" s="16">
        <f t="shared" si="94"/>
        <v>650.04999999999995</v>
      </c>
      <c r="BB1014" s="9">
        <f t="shared" si="95"/>
        <v>2.9182351596411888</v>
      </c>
      <c r="BC1014" s="119">
        <f t="shared" si="96"/>
        <v>35.1972921959619</v>
      </c>
    </row>
    <row r="1015" spans="49:55" x14ac:dyDescent="0.3">
      <c r="AW1015" s="7">
        <v>45047.760416666664</v>
      </c>
      <c r="AX1015" s="51">
        <v>4.4018670025823999E-3</v>
      </c>
      <c r="AY1015" s="16">
        <v>82.711152870000006</v>
      </c>
      <c r="AZ1015" s="2">
        <v>38906</v>
      </c>
      <c r="BA1015" s="16">
        <f t="shared" si="94"/>
        <v>648.43333333333328</v>
      </c>
      <c r="BB1015" s="9">
        <f t="shared" si="95"/>
        <v>2.854317293374514</v>
      </c>
      <c r="BC1015" s="119">
        <f t="shared" si="96"/>
        <v>34.683496828649112</v>
      </c>
    </row>
    <row r="1016" spans="49:55" x14ac:dyDescent="0.3">
      <c r="AW1016" s="7">
        <v>45047.770833333336</v>
      </c>
      <c r="AX1016" s="51">
        <v>4.2563285081804901E-3</v>
      </c>
      <c r="AY1016" s="16">
        <v>90.484855949999996</v>
      </c>
      <c r="AZ1016" s="2">
        <v>39448</v>
      </c>
      <c r="BA1016" s="16">
        <f t="shared" si="94"/>
        <v>657.4666666666667</v>
      </c>
      <c r="BB1016" s="9">
        <f t="shared" si="95"/>
        <v>2.7983941165117332</v>
      </c>
      <c r="BC1016" s="119">
        <f t="shared" si="96"/>
        <v>34.230786641564748</v>
      </c>
    </row>
    <row r="1017" spans="49:55" x14ac:dyDescent="0.3">
      <c r="AW1017" s="7">
        <v>45047.78125</v>
      </c>
      <c r="AX1017" s="51">
        <v>4.3946932682797602E-3</v>
      </c>
      <c r="AY1017" s="16">
        <v>87.058386479999996</v>
      </c>
      <c r="AZ1017" s="2">
        <v>39227</v>
      </c>
      <c r="BA1017" s="16">
        <f t="shared" si="94"/>
        <v>653.7833333333333</v>
      </c>
      <c r="BB1017" s="9">
        <f t="shared" si="95"/>
        <v>2.8731772139135026</v>
      </c>
      <c r="BC1017" s="119">
        <f t="shared" si="96"/>
        <v>34.835498239773202</v>
      </c>
    </row>
    <row r="1018" spans="49:55" x14ac:dyDescent="0.3">
      <c r="AW1018" s="7">
        <v>45047.791666666664</v>
      </c>
      <c r="AX1018" s="51">
        <v>4.7991825396695E-3</v>
      </c>
      <c r="AY1018" s="16">
        <v>86.192545629999998</v>
      </c>
      <c r="AZ1018" s="2">
        <v>38181</v>
      </c>
      <c r="BA1018" s="16">
        <f t="shared" si="94"/>
        <v>636.35</v>
      </c>
      <c r="BB1018" s="9">
        <f t="shared" si="95"/>
        <v>3.0539598091186866</v>
      </c>
      <c r="BC1018" s="119">
        <f t="shared" si="96"/>
        <v>36.275935963888806</v>
      </c>
    </row>
    <row r="1019" spans="49:55" x14ac:dyDescent="0.3">
      <c r="AW1019" s="7">
        <v>45047.802083333336</v>
      </c>
      <c r="AX1019" s="51">
        <v>4.5755482942434703E-3</v>
      </c>
      <c r="AY1019" s="16">
        <v>87.487093729999998</v>
      </c>
      <c r="AZ1019" s="2">
        <v>39265</v>
      </c>
      <c r="BA1019" s="16">
        <f t="shared" si="94"/>
        <v>654.41666666666663</v>
      </c>
      <c r="BB1019" s="9">
        <f t="shared" si="95"/>
        <v>2.9943150628911641</v>
      </c>
      <c r="BC1019" s="119">
        <f t="shared" si="96"/>
        <v>35.803948236699576</v>
      </c>
    </row>
    <row r="1020" spans="49:55" x14ac:dyDescent="0.3">
      <c r="AW1020" s="7">
        <v>45047.8125</v>
      </c>
      <c r="AX1020" s="51">
        <v>4.5929487435089197E-3</v>
      </c>
      <c r="AY1020" s="16">
        <v>89.635700749999998</v>
      </c>
      <c r="AZ1020" s="2">
        <v>38843</v>
      </c>
      <c r="BA1020" s="16">
        <f t="shared" si="94"/>
        <v>647.38333333333333</v>
      </c>
      <c r="BB1020" s="9">
        <f t="shared" si="95"/>
        <v>2.9733984674019496</v>
      </c>
      <c r="BC1020" s="119">
        <f t="shared" si="96"/>
        <v>35.637682231822325</v>
      </c>
    </row>
    <row r="1021" spans="49:55" x14ac:dyDescent="0.3">
      <c r="AW1021" s="7">
        <v>45047.822916666664</v>
      </c>
      <c r="AX1021" s="51">
        <v>4.5063824834134002E-3</v>
      </c>
      <c r="AY1021" s="16">
        <v>84.891986889999998</v>
      </c>
      <c r="AZ1021" s="2">
        <v>38485</v>
      </c>
      <c r="BA1021" s="16">
        <f t="shared" si="94"/>
        <v>641.41666666666663</v>
      </c>
      <c r="BB1021" s="9">
        <f t="shared" si="95"/>
        <v>2.8904688312360785</v>
      </c>
      <c r="BC1021" s="119">
        <f t="shared" si="96"/>
        <v>34.974565582519432</v>
      </c>
    </row>
    <row r="1022" spans="49:55" x14ac:dyDescent="0.3">
      <c r="AW1022" s="7">
        <v>45047.833333333336</v>
      </c>
      <c r="AX1022" s="51">
        <v>4.5407776883427502E-3</v>
      </c>
      <c r="AY1022" s="16">
        <v>87.494480339999996</v>
      </c>
      <c r="AZ1022" s="2">
        <v>38782</v>
      </c>
      <c r="BA1022" s="16">
        <f t="shared" si="94"/>
        <v>646.36666666666667</v>
      </c>
      <c r="BB1022" s="9">
        <f t="shared" si="95"/>
        <v>2.9350073384884756</v>
      </c>
      <c r="BC1022" s="119">
        <f t="shared" si="96"/>
        <v>35.331484640261245</v>
      </c>
    </row>
    <row r="1023" spans="49:55" x14ac:dyDescent="0.3">
      <c r="AW1023" s="7">
        <v>45047.84375</v>
      </c>
      <c r="AX1023" s="51">
        <v>4.3387664840812698E-3</v>
      </c>
      <c r="AY1023" s="16">
        <v>84.891986889999998</v>
      </c>
      <c r="AZ1023" s="2">
        <v>39284</v>
      </c>
      <c r="BA1023" s="16">
        <f t="shared" si="94"/>
        <v>654.73333333333335</v>
      </c>
      <c r="BB1023" s="9">
        <f t="shared" si="95"/>
        <v>2.8407350426774767</v>
      </c>
      <c r="BC1023" s="119">
        <f t="shared" si="96"/>
        <v>34.573821679133644</v>
      </c>
    </row>
    <row r="1024" spans="49:55" x14ac:dyDescent="0.3">
      <c r="AW1024" s="7">
        <v>45047.854166666664</v>
      </c>
      <c r="AX1024" s="51">
        <v>4.3927161221697601E-3</v>
      </c>
      <c r="AY1024" s="16">
        <v>84.027783200000002</v>
      </c>
      <c r="AZ1024" s="2">
        <v>39449</v>
      </c>
      <c r="BA1024" s="16">
        <f t="shared" si="94"/>
        <v>657.48333333333335</v>
      </c>
      <c r="BB1024" s="9">
        <f t="shared" si="95"/>
        <v>2.8881376383912478</v>
      </c>
      <c r="BC1024" s="119">
        <f t="shared" si="96"/>
        <v>34.95583336550952</v>
      </c>
    </row>
    <row r="1025" spans="49:55" x14ac:dyDescent="0.3">
      <c r="AW1025" s="7">
        <v>45047.864583333336</v>
      </c>
      <c r="AX1025" s="51">
        <v>4.4702711189862597E-3</v>
      </c>
      <c r="AY1025" s="16">
        <v>84.027783200000002</v>
      </c>
      <c r="AZ1025" s="2">
        <v>39518</v>
      </c>
      <c r="BA1025" s="16">
        <f t="shared" si="94"/>
        <v>658.63333333333333</v>
      </c>
      <c r="BB1025" s="9">
        <f t="shared" si="95"/>
        <v>2.94426956800165</v>
      </c>
      <c r="BC1025" s="119">
        <f t="shared" si="96"/>
        <v>35.405480313387599</v>
      </c>
    </row>
    <row r="1026" spans="49:55" x14ac:dyDescent="0.3">
      <c r="AW1026" s="7">
        <v>45047.875</v>
      </c>
      <c r="AX1026" s="51">
        <v>4.3679293220472998E-3</v>
      </c>
      <c r="AY1026" s="16">
        <v>84.899432570000002</v>
      </c>
      <c r="AZ1026" s="2">
        <v>39883</v>
      </c>
      <c r="BA1026" s="16">
        <f t="shared" si="94"/>
        <v>664.7166666666667</v>
      </c>
      <c r="BB1026" s="9">
        <f t="shared" si="95"/>
        <v>2.9034354191868745</v>
      </c>
      <c r="BC1026" s="119">
        <f t="shared" si="96"/>
        <v>35.078665660117593</v>
      </c>
    </row>
    <row r="1027" spans="49:55" x14ac:dyDescent="0.3">
      <c r="AW1027" s="7">
        <v>45047.885416666664</v>
      </c>
      <c r="AX1027" s="51">
        <v>4.4187480362974096E-3</v>
      </c>
      <c r="AY1027" s="16">
        <v>82.718647970000006</v>
      </c>
      <c r="AZ1027" s="2">
        <v>39550</v>
      </c>
      <c r="BA1027" s="16">
        <f t="shared" si="94"/>
        <v>659.16666666666663</v>
      </c>
      <c r="BB1027" s="9">
        <f t="shared" si="95"/>
        <v>2.9126914139260425</v>
      </c>
      <c r="BC1027" s="119">
        <f t="shared" si="96"/>
        <v>35.152880327150307</v>
      </c>
    </row>
    <row r="1028" spans="49:55" x14ac:dyDescent="0.3">
      <c r="AW1028" s="7">
        <v>45047.895833333336</v>
      </c>
      <c r="AX1028" s="51">
        <v>4.4210525924364402E-3</v>
      </c>
      <c r="AY1028" s="16">
        <v>86.199962600000006</v>
      </c>
      <c r="AZ1028" s="2">
        <v>39560</v>
      </c>
      <c r="BA1028" s="16">
        <f t="shared" ref="BA1028:BA1091" si="97">AZ1028/60</f>
        <v>659.33333333333337</v>
      </c>
      <c r="BB1028" s="9">
        <f t="shared" ref="BB1028:BB1091" si="98">BA1028*AX1028</f>
        <v>2.9149473426130932</v>
      </c>
      <c r="BC1028" s="119">
        <f t="shared" ref="BC1028:BC1091" si="99">17.285*BB1028^0.664</f>
        <v>35.170956371252458</v>
      </c>
    </row>
    <row r="1029" spans="49:55" x14ac:dyDescent="0.3">
      <c r="AW1029" s="7">
        <v>45047.90625</v>
      </c>
      <c r="AX1029" s="51">
        <v>4.1776443724414998E-3</v>
      </c>
      <c r="AY1029" s="16">
        <v>86.199962600000006</v>
      </c>
      <c r="AZ1029" s="2">
        <v>40365</v>
      </c>
      <c r="BA1029" s="16">
        <f t="shared" si="97"/>
        <v>672.75</v>
      </c>
      <c r="BB1029" s="9">
        <f t="shared" si="98"/>
        <v>2.8105102515600189</v>
      </c>
      <c r="BC1029" s="119">
        <f t="shared" si="99"/>
        <v>34.329125413151083</v>
      </c>
    </row>
    <row r="1030" spans="49:55" x14ac:dyDescent="0.3">
      <c r="AW1030" s="7">
        <v>45047.916666666664</v>
      </c>
      <c r="AX1030" s="51">
        <v>6.0697963696350696E-3</v>
      </c>
      <c r="AY1030" s="16">
        <v>87.494480339999996</v>
      </c>
      <c r="AZ1030" s="2">
        <v>30906</v>
      </c>
      <c r="BA1030" s="16">
        <f t="shared" si="97"/>
        <v>515.1</v>
      </c>
      <c r="BB1030" s="9">
        <f t="shared" si="98"/>
        <v>3.1265521099990243</v>
      </c>
      <c r="BC1030" s="119">
        <f t="shared" si="99"/>
        <v>36.846224145777072</v>
      </c>
    </row>
    <row r="1031" spans="49:55" x14ac:dyDescent="0.3">
      <c r="AW1031" s="7">
        <v>45047.927083333336</v>
      </c>
      <c r="AX1031" s="51">
        <v>5.8632837780433402E-3</v>
      </c>
      <c r="AY1031" s="16">
        <v>86.199962600000006</v>
      </c>
      <c r="AZ1031" s="2">
        <v>30646</v>
      </c>
      <c r="BA1031" s="16">
        <f t="shared" si="97"/>
        <v>510.76666666666665</v>
      </c>
      <c r="BB1031" s="9">
        <f t="shared" si="98"/>
        <v>2.9947699110319368</v>
      </c>
      <c r="BC1031" s="119">
        <f t="shared" si="99"/>
        <v>35.807559480807242</v>
      </c>
    </row>
    <row r="1032" spans="49:55" x14ac:dyDescent="0.3">
      <c r="AW1032" s="7">
        <v>45047.9375</v>
      </c>
      <c r="AX1032" s="51">
        <v>6.2427276800137701E-3</v>
      </c>
      <c r="AY1032" s="16">
        <v>82.718647970000006</v>
      </c>
      <c r="AZ1032" s="2">
        <v>30119</v>
      </c>
      <c r="BA1032" s="16">
        <f t="shared" si="97"/>
        <v>501.98333333333335</v>
      </c>
      <c r="BB1032" s="9">
        <f t="shared" si="98"/>
        <v>3.1337452499055791</v>
      </c>
      <c r="BC1032" s="119">
        <f t="shared" si="99"/>
        <v>36.90249016428573</v>
      </c>
    </row>
    <row r="1033" spans="49:55" x14ac:dyDescent="0.3">
      <c r="AW1033" s="7">
        <v>45047.947916666664</v>
      </c>
      <c r="AX1033" s="51">
        <v>6.08088931141006E-3</v>
      </c>
      <c r="AY1033" s="16">
        <v>88.350109630000006</v>
      </c>
      <c r="AZ1033" s="2">
        <v>30346</v>
      </c>
      <c r="BA1033" s="16">
        <f t="shared" si="97"/>
        <v>505.76666666666665</v>
      </c>
      <c r="BB1033" s="9">
        <f t="shared" si="98"/>
        <v>3.0755111174008278</v>
      </c>
      <c r="BC1033" s="119">
        <f t="shared" si="99"/>
        <v>36.445714763385915</v>
      </c>
    </row>
    <row r="1034" spans="49:55" x14ac:dyDescent="0.3">
      <c r="AW1034" s="7">
        <v>45047.958333333336</v>
      </c>
      <c r="AX1034" s="51">
        <v>5.82185277371611E-3</v>
      </c>
      <c r="AY1034" s="16">
        <v>89.209976960000006</v>
      </c>
      <c r="AZ1034" s="2">
        <v>30062</v>
      </c>
      <c r="BA1034" s="16">
        <f t="shared" si="97"/>
        <v>501.03333333333336</v>
      </c>
      <c r="BB1034" s="9">
        <f t="shared" si="98"/>
        <v>2.9169423013908951</v>
      </c>
      <c r="BC1034" s="119">
        <f t="shared" si="99"/>
        <v>35.186937429996448</v>
      </c>
    </row>
    <row r="1035" spans="49:55" x14ac:dyDescent="0.3">
      <c r="AW1035" s="7">
        <v>45047.96875</v>
      </c>
      <c r="AX1035" s="51">
        <v>6.0450438635987801E-3</v>
      </c>
      <c r="AY1035" s="16">
        <v>82.718647970000006</v>
      </c>
      <c r="AZ1035" s="2">
        <v>29878</v>
      </c>
      <c r="BA1035" s="16">
        <f t="shared" si="97"/>
        <v>497.96666666666664</v>
      </c>
      <c r="BB1035" s="9">
        <f t="shared" si="98"/>
        <v>3.0102303426100723</v>
      </c>
      <c r="BC1035" s="119">
        <f t="shared" si="99"/>
        <v>35.930197461826538</v>
      </c>
    </row>
    <row r="1036" spans="49:55" x14ac:dyDescent="0.3">
      <c r="AW1036" s="7">
        <v>45047.979166666664</v>
      </c>
      <c r="AX1036" s="51">
        <v>6.2253716736953299E-3</v>
      </c>
      <c r="AY1036" s="16">
        <v>84.891986889999998</v>
      </c>
      <c r="AZ1036" s="2">
        <v>30226</v>
      </c>
      <c r="BA1036" s="16">
        <f t="shared" si="97"/>
        <v>503.76666666666665</v>
      </c>
      <c r="BB1036" s="9">
        <f t="shared" si="98"/>
        <v>3.1361347368185841</v>
      </c>
      <c r="BC1036" s="119">
        <f t="shared" si="99"/>
        <v>36.921171550635663</v>
      </c>
    </row>
    <row r="1037" spans="49:55" x14ac:dyDescent="0.3">
      <c r="AW1037" s="7">
        <v>45047.989583333336</v>
      </c>
      <c r="AX1037" s="51">
        <v>6.0366775086801803E-3</v>
      </c>
      <c r="AY1037" s="16">
        <v>88.350109630000006</v>
      </c>
      <c r="AZ1037" s="2">
        <v>29859</v>
      </c>
      <c r="BA1037" s="16">
        <f t="shared" si="97"/>
        <v>497.65</v>
      </c>
      <c r="BB1037" s="9">
        <f t="shared" si="98"/>
        <v>3.0041525621946916</v>
      </c>
      <c r="BC1037" s="119">
        <f t="shared" si="99"/>
        <v>35.882011516947259</v>
      </c>
    </row>
    <row r="1038" spans="49:55" x14ac:dyDescent="0.3">
      <c r="AW1038" s="7">
        <v>45048</v>
      </c>
      <c r="AX1038" s="51">
        <v>6.1749695699751797E-3</v>
      </c>
      <c r="AY1038" s="16">
        <v>89.635700749999998</v>
      </c>
      <c r="AZ1038" s="2">
        <v>30352</v>
      </c>
      <c r="BA1038" s="16">
        <f t="shared" si="97"/>
        <v>505.86666666666667</v>
      </c>
      <c r="BB1038" s="9">
        <f t="shared" si="98"/>
        <v>3.1237112731314443</v>
      </c>
      <c r="BC1038" s="119">
        <f t="shared" si="99"/>
        <v>36.823990636862199</v>
      </c>
    </row>
    <row r="1039" spans="49:55" x14ac:dyDescent="0.3">
      <c r="AW1039" s="7">
        <v>45048.010416666664</v>
      </c>
      <c r="AX1039" s="51">
        <v>6.1068616698593797E-3</v>
      </c>
      <c r="AY1039" s="16">
        <v>89.635700749999998</v>
      </c>
      <c r="AZ1039" s="2">
        <v>30211</v>
      </c>
      <c r="BA1039" s="16">
        <f t="shared" si="97"/>
        <v>503.51666666666665</v>
      </c>
      <c r="BB1039" s="9">
        <f t="shared" si="98"/>
        <v>3.0749066318020284</v>
      </c>
      <c r="BC1039" s="119">
        <f t="shared" si="99"/>
        <v>36.440958153324132</v>
      </c>
    </row>
    <row r="1040" spans="49:55" x14ac:dyDescent="0.3">
      <c r="AW1040" s="7">
        <v>45048.020833333336</v>
      </c>
      <c r="AX1040" s="51">
        <v>6.1160094109484501E-3</v>
      </c>
      <c r="AY1040" s="16">
        <v>88.350109630000006</v>
      </c>
      <c r="AZ1040" s="2">
        <v>29969</v>
      </c>
      <c r="BA1040" s="16">
        <f t="shared" si="97"/>
        <v>499.48333333333335</v>
      </c>
      <c r="BB1040" s="9">
        <f t="shared" si="98"/>
        <v>3.0548447672785684</v>
      </c>
      <c r="BC1040" s="119">
        <f t="shared" si="99"/>
        <v>36.282915474736576</v>
      </c>
    </row>
    <row r="1041" spans="49:55" x14ac:dyDescent="0.3">
      <c r="AW1041" s="7">
        <v>45048.03125</v>
      </c>
      <c r="AX1041" s="51">
        <v>5.9269431526073899E-3</v>
      </c>
      <c r="AY1041" s="16">
        <v>87.058386479999996</v>
      </c>
      <c r="AZ1041" s="2">
        <v>30540</v>
      </c>
      <c r="BA1041" s="16">
        <f t="shared" si="97"/>
        <v>509</v>
      </c>
      <c r="BB1041" s="9">
        <f t="shared" si="98"/>
        <v>3.0168140646771615</v>
      </c>
      <c r="BC1041" s="119">
        <f t="shared" si="99"/>
        <v>35.982357751409381</v>
      </c>
    </row>
    <row r="1042" spans="49:55" x14ac:dyDescent="0.3">
      <c r="AW1042" s="7">
        <v>45048.041666666664</v>
      </c>
      <c r="AX1042" s="51">
        <v>5.6460921855170402E-3</v>
      </c>
      <c r="AY1042" s="16">
        <v>89.635700749999998</v>
      </c>
      <c r="AZ1042" s="2">
        <v>30582</v>
      </c>
      <c r="BA1042" s="16">
        <f t="shared" si="97"/>
        <v>509.7</v>
      </c>
      <c r="BB1042" s="9">
        <f t="shared" si="98"/>
        <v>2.8778131869580355</v>
      </c>
      <c r="BC1042" s="119">
        <f t="shared" si="99"/>
        <v>34.872810446684248</v>
      </c>
    </row>
    <row r="1043" spans="49:55" x14ac:dyDescent="0.3">
      <c r="AW1043" s="7">
        <v>45048.052083333336</v>
      </c>
      <c r="AX1043" s="51">
        <v>5.8165481270299503E-3</v>
      </c>
      <c r="AY1043" s="16">
        <v>93.038532979999999</v>
      </c>
      <c r="AZ1043" s="2">
        <v>30470</v>
      </c>
      <c r="BA1043" s="16">
        <f t="shared" si="97"/>
        <v>507.83333333333331</v>
      </c>
      <c r="BB1043" s="9">
        <f t="shared" si="98"/>
        <v>2.9538370238433762</v>
      </c>
      <c r="BC1043" s="119">
        <f t="shared" si="99"/>
        <v>35.481832355012713</v>
      </c>
    </row>
    <row r="1044" spans="49:55" x14ac:dyDescent="0.3">
      <c r="AW1044" s="7">
        <v>45048.0625</v>
      </c>
      <c r="AX1044" s="51">
        <v>5.6806919163816397E-3</v>
      </c>
      <c r="AY1044" s="16">
        <v>87.058386479999996</v>
      </c>
      <c r="AZ1044" s="2">
        <v>30504</v>
      </c>
      <c r="BA1044" s="16">
        <f t="shared" si="97"/>
        <v>508.4</v>
      </c>
      <c r="BB1044" s="9">
        <f t="shared" si="98"/>
        <v>2.8880637702884253</v>
      </c>
      <c r="BC1044" s="119">
        <f t="shared" si="99"/>
        <v>34.955239717980305</v>
      </c>
    </row>
    <row r="1045" spans="49:55" x14ac:dyDescent="0.3">
      <c r="AW1045" s="7">
        <v>45048.072916666664</v>
      </c>
      <c r="AX1045" s="51">
        <v>5.8167575666011198E-3</v>
      </c>
      <c r="AY1045" s="16">
        <v>89.635700749999998</v>
      </c>
      <c r="AZ1045" s="2">
        <v>30794</v>
      </c>
      <c r="BA1045" s="16">
        <f t="shared" si="97"/>
        <v>513.23333333333335</v>
      </c>
      <c r="BB1045" s="9">
        <f t="shared" si="98"/>
        <v>2.9853538750985815</v>
      </c>
      <c r="BC1045" s="119">
        <f t="shared" si="99"/>
        <v>35.732763698120067</v>
      </c>
    </row>
    <row r="1046" spans="49:55" x14ac:dyDescent="0.3">
      <c r="AW1046" s="7">
        <v>45048.083333333336</v>
      </c>
      <c r="AX1046" s="51">
        <v>5.6254256031947102E-3</v>
      </c>
      <c r="AY1046" s="16">
        <v>84.891986889999998</v>
      </c>
      <c r="AZ1046" s="2">
        <v>30757</v>
      </c>
      <c r="BA1046" s="16">
        <f t="shared" si="97"/>
        <v>512.61666666666667</v>
      </c>
      <c r="BB1046" s="9">
        <f t="shared" si="98"/>
        <v>2.883686921290995</v>
      </c>
      <c r="BC1046" s="119">
        <f t="shared" si="99"/>
        <v>34.920055671749139</v>
      </c>
    </row>
    <row r="1047" spans="49:55" x14ac:dyDescent="0.3">
      <c r="AW1047" s="7">
        <v>45048.09375</v>
      </c>
      <c r="AX1047" s="51">
        <v>5.8524776856478302E-3</v>
      </c>
      <c r="AY1047" s="16">
        <v>86.192545629999998</v>
      </c>
      <c r="AZ1047" s="2">
        <v>30581</v>
      </c>
      <c r="BA1047" s="16">
        <f t="shared" si="97"/>
        <v>509.68333333333334</v>
      </c>
      <c r="BB1047" s="9">
        <f t="shared" si="98"/>
        <v>2.9829103350799384</v>
      </c>
      <c r="BC1047" s="119">
        <f t="shared" si="99"/>
        <v>35.713340619792731</v>
      </c>
    </row>
    <row r="1048" spans="49:55" x14ac:dyDescent="0.3">
      <c r="AW1048" s="7">
        <v>45048.104166666664</v>
      </c>
      <c r="AX1048" s="51">
        <v>5.8123195395125404E-3</v>
      </c>
      <c r="AY1048" s="16">
        <v>89.635700749999998</v>
      </c>
      <c r="AZ1048" s="2">
        <v>30569</v>
      </c>
      <c r="BA1048" s="16">
        <f t="shared" si="97"/>
        <v>509.48333333333335</v>
      </c>
      <c r="BB1048" s="9">
        <f t="shared" si="98"/>
        <v>2.9612799333893141</v>
      </c>
      <c r="BC1048" s="119">
        <f t="shared" si="99"/>
        <v>35.541172233587368</v>
      </c>
    </row>
    <row r="1049" spans="49:55" x14ac:dyDescent="0.3">
      <c r="AW1049" s="7">
        <v>45048.114583333336</v>
      </c>
      <c r="AX1049" s="51">
        <v>5.9119848035881703E-3</v>
      </c>
      <c r="AY1049" s="16">
        <v>93.038532979999999</v>
      </c>
      <c r="AZ1049" s="2">
        <v>30684</v>
      </c>
      <c r="BA1049" s="16">
        <f t="shared" si="97"/>
        <v>511.4</v>
      </c>
      <c r="BB1049" s="9">
        <f t="shared" si="98"/>
        <v>3.0233890285549903</v>
      </c>
      <c r="BC1049" s="119">
        <f t="shared" si="99"/>
        <v>36.034410496004412</v>
      </c>
    </row>
    <row r="1050" spans="49:55" x14ac:dyDescent="0.3">
      <c r="AW1050" s="7">
        <v>45048.125</v>
      </c>
      <c r="AX1050" s="51">
        <v>5.8287871566745399E-3</v>
      </c>
      <c r="AY1050" s="16">
        <v>89.635700749999998</v>
      </c>
      <c r="AZ1050" s="2">
        <v>30217</v>
      </c>
      <c r="BA1050" s="16">
        <f t="shared" si="97"/>
        <v>503.61666666666667</v>
      </c>
      <c r="BB1050" s="9">
        <f t="shared" si="98"/>
        <v>2.9354743585539094</v>
      </c>
      <c r="BC1050" s="119">
        <f t="shared" si="99"/>
        <v>35.335217526082594</v>
      </c>
    </row>
    <row r="1051" spans="49:55" x14ac:dyDescent="0.3">
      <c r="AW1051" s="7">
        <v>45048.135416666664</v>
      </c>
      <c r="AX1051" s="51">
        <v>5.7299739257896803E-3</v>
      </c>
      <c r="AY1051" s="16">
        <v>85.762083380000007</v>
      </c>
      <c r="AZ1051" s="2">
        <v>31077</v>
      </c>
      <c r="BA1051" s="16">
        <f t="shared" si="97"/>
        <v>517.95000000000005</v>
      </c>
      <c r="BB1051" s="9">
        <f t="shared" si="98"/>
        <v>2.9678399948627652</v>
      </c>
      <c r="BC1051" s="119">
        <f t="shared" si="99"/>
        <v>35.593431916673737</v>
      </c>
    </row>
    <row r="1052" spans="49:55" x14ac:dyDescent="0.3">
      <c r="AW1052" s="7">
        <v>45048.145833333336</v>
      </c>
      <c r="AX1052" s="51">
        <v>5.6436742424542698E-3</v>
      </c>
      <c r="AY1052" s="16">
        <v>87.058386479999996</v>
      </c>
      <c r="AZ1052" s="2">
        <v>31070</v>
      </c>
      <c r="BA1052" s="16">
        <f t="shared" si="97"/>
        <v>517.83333333333337</v>
      </c>
      <c r="BB1052" s="9">
        <f t="shared" si="98"/>
        <v>2.9224826452175696</v>
      </c>
      <c r="BC1052" s="119">
        <f t="shared" si="99"/>
        <v>35.231300331322572</v>
      </c>
    </row>
    <row r="1053" spans="49:55" x14ac:dyDescent="0.3">
      <c r="AW1053" s="7">
        <v>45048.15625</v>
      </c>
      <c r="AX1053" s="51">
        <v>5.8740581068172596E-3</v>
      </c>
      <c r="AY1053" s="16">
        <v>87.922589900000006</v>
      </c>
      <c r="AZ1053" s="2">
        <v>30937</v>
      </c>
      <c r="BA1053" s="16">
        <f t="shared" si="97"/>
        <v>515.61666666666667</v>
      </c>
      <c r="BB1053" s="9">
        <f t="shared" si="98"/>
        <v>3.0287622608434259</v>
      </c>
      <c r="BC1053" s="119">
        <f t="shared" si="99"/>
        <v>36.076921121830679</v>
      </c>
    </row>
    <row r="1054" spans="49:55" x14ac:dyDescent="0.3">
      <c r="AW1054" s="7">
        <v>45048.166666666664</v>
      </c>
      <c r="AX1054" s="51">
        <v>5.8449084945842002E-3</v>
      </c>
      <c r="AY1054" s="16">
        <v>84.899432570000002</v>
      </c>
      <c r="AZ1054" s="2">
        <v>30947</v>
      </c>
      <c r="BA1054" s="16">
        <f t="shared" si="97"/>
        <v>515.7833333333333</v>
      </c>
      <c r="BB1054" s="9">
        <f t="shared" si="98"/>
        <v>3.0147063863649537</v>
      </c>
      <c r="BC1054" s="119">
        <f t="shared" si="99"/>
        <v>35.965663595463631</v>
      </c>
    </row>
    <row r="1055" spans="49:55" x14ac:dyDescent="0.3">
      <c r="AW1055" s="7">
        <v>45048.177083333336</v>
      </c>
      <c r="AX1055" s="51">
        <v>5.7855624210757604E-3</v>
      </c>
      <c r="AY1055" s="16">
        <v>92.610732819999996</v>
      </c>
      <c r="AZ1055" s="2">
        <v>30476</v>
      </c>
      <c r="BA1055" s="16">
        <f t="shared" si="97"/>
        <v>507.93333333333334</v>
      </c>
      <c r="BB1055" s="9">
        <f t="shared" si="98"/>
        <v>2.938680005745081</v>
      </c>
      <c r="BC1055" s="119">
        <f t="shared" si="99"/>
        <v>35.360834842644309</v>
      </c>
    </row>
    <row r="1056" spans="49:55" x14ac:dyDescent="0.3">
      <c r="AW1056" s="7">
        <v>45048.1875</v>
      </c>
      <c r="AX1056" s="51">
        <v>6.0145943276031901E-3</v>
      </c>
      <c r="AY1056" s="16">
        <v>84.891986889999998</v>
      </c>
      <c r="AZ1056" s="2">
        <v>30847</v>
      </c>
      <c r="BA1056" s="16">
        <f t="shared" si="97"/>
        <v>514.11666666666667</v>
      </c>
      <c r="BB1056" s="9">
        <f t="shared" si="98"/>
        <v>3.0922031870595936</v>
      </c>
      <c r="BC1056" s="119">
        <f t="shared" si="99"/>
        <v>36.576938445767865</v>
      </c>
    </row>
    <row r="1057" spans="49:55" x14ac:dyDescent="0.3">
      <c r="AW1057" s="7">
        <v>45048.197916666664</v>
      </c>
      <c r="AX1057" s="51">
        <v>5.8102268786890702E-3</v>
      </c>
      <c r="AY1057" s="16">
        <v>84.891986889999998</v>
      </c>
      <c r="AZ1057" s="2">
        <v>30704</v>
      </c>
      <c r="BA1057" s="16">
        <f t="shared" si="97"/>
        <v>511.73333333333335</v>
      </c>
      <c r="BB1057" s="9">
        <f t="shared" si="98"/>
        <v>2.973286768054487</v>
      </c>
      <c r="BC1057" s="119">
        <f t="shared" si="99"/>
        <v>35.636793280881029</v>
      </c>
    </row>
    <row r="1058" spans="49:55" x14ac:dyDescent="0.3">
      <c r="AW1058" s="7">
        <v>45048.208333333336</v>
      </c>
      <c r="AX1058" s="51">
        <v>5.6342720049882798E-3</v>
      </c>
      <c r="AY1058" s="16">
        <v>85.762083380000007</v>
      </c>
      <c r="AZ1058" s="2">
        <v>31230</v>
      </c>
      <c r="BA1058" s="16">
        <f t="shared" si="97"/>
        <v>520.5</v>
      </c>
      <c r="BB1058" s="9">
        <f t="shared" si="98"/>
        <v>2.9326385785963995</v>
      </c>
      <c r="BC1058" s="119">
        <f t="shared" si="99"/>
        <v>35.312548096398736</v>
      </c>
    </row>
    <row r="1059" spans="49:55" x14ac:dyDescent="0.3">
      <c r="AW1059" s="7">
        <v>45048.21875</v>
      </c>
      <c r="AX1059" s="51">
        <v>5.6683164137052303E-3</v>
      </c>
      <c r="AY1059" s="16">
        <v>87.915213519999995</v>
      </c>
      <c r="AZ1059" s="2">
        <v>30742</v>
      </c>
      <c r="BA1059" s="16">
        <f t="shared" si="97"/>
        <v>512.36666666666667</v>
      </c>
      <c r="BB1059" s="9">
        <f t="shared" si="98"/>
        <v>2.9042563865021034</v>
      </c>
      <c r="BC1059" s="119">
        <f t="shared" si="99"/>
        <v>35.08525139453247</v>
      </c>
    </row>
    <row r="1060" spans="49:55" x14ac:dyDescent="0.3">
      <c r="AW1060" s="7">
        <v>45048.229166666664</v>
      </c>
      <c r="AX1060" s="51">
        <v>5.3775665015704296E-3</v>
      </c>
      <c r="AY1060" s="16">
        <v>87.058386479999996</v>
      </c>
      <c r="AZ1060" s="2">
        <v>31514</v>
      </c>
      <c r="BA1060" s="16">
        <f t="shared" si="97"/>
        <v>525.23333333333335</v>
      </c>
      <c r="BB1060" s="9">
        <f t="shared" si="98"/>
        <v>2.8244771788415086</v>
      </c>
      <c r="BC1060" s="119">
        <f t="shared" si="99"/>
        <v>34.442309294187929</v>
      </c>
    </row>
    <row r="1061" spans="49:55" x14ac:dyDescent="0.3">
      <c r="AW1061" s="7">
        <v>45048.239583333336</v>
      </c>
      <c r="AX1061" s="51">
        <v>5.6550184055385597E-3</v>
      </c>
      <c r="AY1061" s="16">
        <v>86.199962600000006</v>
      </c>
      <c r="AZ1061" s="2">
        <v>31582</v>
      </c>
      <c r="BA1061" s="16">
        <f t="shared" si="97"/>
        <v>526.36666666666667</v>
      </c>
      <c r="BB1061" s="9">
        <f t="shared" si="98"/>
        <v>2.9766131880619797</v>
      </c>
      <c r="BC1061" s="119">
        <f t="shared" si="99"/>
        <v>35.663261540703992</v>
      </c>
    </row>
    <row r="1062" spans="49:55" x14ac:dyDescent="0.3">
      <c r="AW1062" s="7">
        <v>45048.25</v>
      </c>
      <c r="AX1062" s="51">
        <v>5.5269642540271896E-3</v>
      </c>
      <c r="AY1062" s="16">
        <v>87.915213519999995</v>
      </c>
      <c r="AZ1062" s="2">
        <v>31762</v>
      </c>
      <c r="BA1062" s="16">
        <f t="shared" si="97"/>
        <v>529.36666666666667</v>
      </c>
      <c r="BB1062" s="9">
        <f t="shared" si="98"/>
        <v>2.9257906439401933</v>
      </c>
      <c r="BC1062" s="119">
        <f t="shared" si="99"/>
        <v>35.257774820668367</v>
      </c>
    </row>
    <row r="1063" spans="49:55" x14ac:dyDescent="0.3">
      <c r="AW1063" s="7">
        <v>45048.260416666664</v>
      </c>
      <c r="AX1063" s="51">
        <v>5.7255407613893104E-3</v>
      </c>
      <c r="AY1063" s="16">
        <v>84.460540300000005</v>
      </c>
      <c r="AZ1063" s="2">
        <v>31695</v>
      </c>
      <c r="BA1063" s="16">
        <f t="shared" si="97"/>
        <v>528.25</v>
      </c>
      <c r="BB1063" s="9">
        <f t="shared" si="98"/>
        <v>3.0245169072039033</v>
      </c>
      <c r="BC1063" s="119">
        <f t="shared" si="99"/>
        <v>36.043335874228745</v>
      </c>
    </row>
    <row r="1064" spans="49:55" x14ac:dyDescent="0.3">
      <c r="AW1064" s="7">
        <v>45048.270833333336</v>
      </c>
      <c r="AX1064" s="51">
        <v>5.4053060674102999E-3</v>
      </c>
      <c r="AY1064" s="16">
        <v>88.350109630000006</v>
      </c>
      <c r="AZ1064" s="2">
        <v>31812</v>
      </c>
      <c r="BA1064" s="16">
        <f t="shared" si="97"/>
        <v>530.20000000000005</v>
      </c>
      <c r="BB1064" s="9">
        <f t="shared" si="98"/>
        <v>2.8658932769409411</v>
      </c>
      <c r="BC1064" s="119">
        <f t="shared" si="99"/>
        <v>34.776833248621685</v>
      </c>
    </row>
    <row r="1065" spans="49:55" x14ac:dyDescent="0.3">
      <c r="AW1065" s="7">
        <v>45048.28125</v>
      </c>
      <c r="AX1065" s="51">
        <v>5.3493818243972001E-3</v>
      </c>
      <c r="AY1065" s="16">
        <v>84.891986889999998</v>
      </c>
      <c r="AZ1065" s="2">
        <v>31987</v>
      </c>
      <c r="BA1065" s="16">
        <f t="shared" si="97"/>
        <v>533.11666666666667</v>
      </c>
      <c r="BB1065" s="9">
        <f t="shared" si="98"/>
        <v>2.8518446069498875</v>
      </c>
      <c r="BC1065" s="119">
        <f t="shared" si="99"/>
        <v>34.663543241679804</v>
      </c>
    </row>
    <row r="1066" spans="49:55" x14ac:dyDescent="0.3">
      <c r="AW1066" s="7">
        <v>45048.291666666664</v>
      </c>
      <c r="AX1066" s="51">
        <v>5.4333287434441503E-3</v>
      </c>
      <c r="AY1066" s="16">
        <v>84.891986889999998</v>
      </c>
      <c r="AZ1066" s="2">
        <v>32371</v>
      </c>
      <c r="BA1066" s="16">
        <f t="shared" si="97"/>
        <v>539.51666666666665</v>
      </c>
      <c r="BB1066" s="9">
        <f t="shared" si="98"/>
        <v>2.9313714125671764</v>
      </c>
      <c r="BC1066" s="119">
        <f t="shared" si="99"/>
        <v>35.302415898931415</v>
      </c>
    </row>
    <row r="1067" spans="49:55" x14ac:dyDescent="0.3">
      <c r="AW1067" s="7">
        <v>45048.302083333336</v>
      </c>
      <c r="AX1067" s="51">
        <v>5.0376016118609604E-3</v>
      </c>
      <c r="AY1067" s="16">
        <v>83.586986100000004</v>
      </c>
      <c r="AZ1067" s="2">
        <v>32333</v>
      </c>
      <c r="BA1067" s="16">
        <f t="shared" si="97"/>
        <v>538.88333333333333</v>
      </c>
      <c r="BB1067" s="9">
        <f t="shared" si="98"/>
        <v>2.714679548605007</v>
      </c>
      <c r="BC1067" s="119">
        <f t="shared" si="99"/>
        <v>33.547372818207165</v>
      </c>
    </row>
    <row r="1068" spans="49:55" x14ac:dyDescent="0.3">
      <c r="AW1068" s="7">
        <v>45048.3125</v>
      </c>
      <c r="AX1068" s="51">
        <v>5.3945442040762102E-3</v>
      </c>
      <c r="AY1068" s="16">
        <v>84.891986889999998</v>
      </c>
      <c r="AZ1068" s="2">
        <v>31785</v>
      </c>
      <c r="BA1068" s="16">
        <f t="shared" si="97"/>
        <v>529.75</v>
      </c>
      <c r="BB1068" s="9">
        <f t="shared" si="98"/>
        <v>2.8577597921093725</v>
      </c>
      <c r="BC1068" s="119">
        <f t="shared" si="99"/>
        <v>34.711266742908897</v>
      </c>
    </row>
    <row r="1069" spans="49:55" x14ac:dyDescent="0.3">
      <c r="AW1069" s="7">
        <v>45048.322916666664</v>
      </c>
      <c r="AX1069" s="51">
        <v>5.49471768100359E-3</v>
      </c>
      <c r="AY1069" s="16">
        <v>84.460540300000005</v>
      </c>
      <c r="AZ1069" s="2">
        <v>32152</v>
      </c>
      <c r="BA1069" s="16">
        <f t="shared" si="97"/>
        <v>535.86666666666667</v>
      </c>
      <c r="BB1069" s="9">
        <f t="shared" si="98"/>
        <v>2.9444360479937903</v>
      </c>
      <c r="BC1069" s="119">
        <f t="shared" si="99"/>
        <v>35.406809600887875</v>
      </c>
    </row>
    <row r="1070" spans="49:55" x14ac:dyDescent="0.3">
      <c r="AW1070" s="7">
        <v>45048.333333333336</v>
      </c>
      <c r="AX1070" s="51">
        <v>5.6276111964325103E-3</v>
      </c>
      <c r="AY1070" s="16">
        <v>82.711152870000006</v>
      </c>
      <c r="AZ1070" s="2">
        <v>31696</v>
      </c>
      <c r="BA1070" s="16">
        <f t="shared" si="97"/>
        <v>528.26666666666665</v>
      </c>
      <c r="BB1070" s="9">
        <f t="shared" si="98"/>
        <v>2.9728794080354142</v>
      </c>
      <c r="BC1070" s="119">
        <f t="shared" si="99"/>
        <v>35.633551241409172</v>
      </c>
    </row>
    <row r="1071" spans="49:55" x14ac:dyDescent="0.3">
      <c r="AW1071" s="7">
        <v>45048.34375</v>
      </c>
      <c r="AX1071" s="51">
        <v>5.3812612791275397E-3</v>
      </c>
      <c r="AY1071" s="16">
        <v>89.635700749999998</v>
      </c>
      <c r="AZ1071" s="2">
        <v>31710</v>
      </c>
      <c r="BA1071" s="16">
        <f t="shared" si="97"/>
        <v>528.5</v>
      </c>
      <c r="BB1071" s="9">
        <f t="shared" si="98"/>
        <v>2.8439965860189047</v>
      </c>
      <c r="BC1071" s="119">
        <f t="shared" si="99"/>
        <v>34.600174320861491</v>
      </c>
    </row>
    <row r="1072" spans="49:55" x14ac:dyDescent="0.3">
      <c r="AW1072" s="7">
        <v>45048.354166666664</v>
      </c>
      <c r="AX1072" s="51">
        <v>5.7178765610942503E-3</v>
      </c>
      <c r="AY1072" s="16">
        <v>85.762083380000007</v>
      </c>
      <c r="AZ1072" s="2">
        <v>31861</v>
      </c>
      <c r="BA1072" s="16">
        <f t="shared" si="97"/>
        <v>531.01666666666665</v>
      </c>
      <c r="BB1072" s="9">
        <f t="shared" si="98"/>
        <v>3.0362877518837319</v>
      </c>
      <c r="BC1072" s="119">
        <f t="shared" si="99"/>
        <v>36.136416890654729</v>
      </c>
    </row>
    <row r="1073" spans="49:55" x14ac:dyDescent="0.3">
      <c r="AW1073" s="7">
        <v>45048.364583333336</v>
      </c>
      <c r="AX1073" s="51">
        <v>5.4134655715270697E-3</v>
      </c>
      <c r="AY1073" s="16">
        <v>85.762083380000007</v>
      </c>
      <c r="AZ1073" s="2">
        <v>31919</v>
      </c>
      <c r="BA1073" s="16">
        <f t="shared" si="97"/>
        <v>531.98333333333335</v>
      </c>
      <c r="BB1073" s="9">
        <f t="shared" si="98"/>
        <v>2.879873459626209</v>
      </c>
      <c r="BC1073" s="119">
        <f t="shared" si="99"/>
        <v>34.889385880764273</v>
      </c>
    </row>
    <row r="1074" spans="49:55" x14ac:dyDescent="0.3">
      <c r="AW1074" s="7">
        <v>45048.375</v>
      </c>
      <c r="AX1074" s="51">
        <v>5.41109462150442E-3</v>
      </c>
      <c r="AY1074" s="16">
        <v>84.891986889999998</v>
      </c>
      <c r="AZ1074" s="2">
        <v>32157</v>
      </c>
      <c r="BA1074" s="16">
        <f t="shared" si="97"/>
        <v>535.95000000000005</v>
      </c>
      <c r="BB1074" s="9">
        <f t="shared" si="98"/>
        <v>2.900076162395294</v>
      </c>
      <c r="BC1074" s="119">
        <f t="shared" si="99"/>
        <v>35.051711448784239</v>
      </c>
    </row>
    <row r="1075" spans="49:55" x14ac:dyDescent="0.3">
      <c r="AW1075" s="7">
        <v>45048.385416666664</v>
      </c>
      <c r="AX1075" s="51">
        <v>5.5626841160121999E-3</v>
      </c>
      <c r="AY1075" s="16">
        <v>85.762083380000007</v>
      </c>
      <c r="AZ1075" s="2">
        <v>32040</v>
      </c>
      <c r="BA1075" s="16">
        <f t="shared" si="97"/>
        <v>534</v>
      </c>
      <c r="BB1075" s="9">
        <f t="shared" si="98"/>
        <v>2.9704733179505149</v>
      </c>
      <c r="BC1075" s="119">
        <f t="shared" si="99"/>
        <v>35.614398945429102</v>
      </c>
    </row>
    <row r="1076" spans="49:55" x14ac:dyDescent="0.3">
      <c r="AW1076" s="7">
        <v>45048.395833333336</v>
      </c>
      <c r="AX1076" s="51">
        <v>5.59157766299754E-3</v>
      </c>
      <c r="AY1076" s="16">
        <v>80.079324720000002</v>
      </c>
      <c r="AZ1076" s="2">
        <v>31713</v>
      </c>
      <c r="BA1076" s="16">
        <f t="shared" si="97"/>
        <v>528.54999999999995</v>
      </c>
      <c r="BB1076" s="9">
        <f t="shared" si="98"/>
        <v>2.9554283737773495</v>
      </c>
      <c r="BC1076" s="119">
        <f t="shared" si="99"/>
        <v>35.494523884995743</v>
      </c>
    </row>
    <row r="1077" spans="49:55" x14ac:dyDescent="0.3">
      <c r="AW1077" s="7">
        <v>45048.40625</v>
      </c>
      <c r="AX1077" s="51">
        <v>5.32622838274051E-3</v>
      </c>
      <c r="AY1077" s="16">
        <v>85.762083380000007</v>
      </c>
      <c r="AZ1077" s="2">
        <v>32102</v>
      </c>
      <c r="BA1077" s="16">
        <f t="shared" si="97"/>
        <v>535.0333333333333</v>
      </c>
      <c r="BB1077" s="9">
        <f t="shared" si="98"/>
        <v>2.8497097257122639</v>
      </c>
      <c r="BC1077" s="119">
        <f t="shared" si="99"/>
        <v>34.646310930479771</v>
      </c>
    </row>
    <row r="1078" spans="49:55" x14ac:dyDescent="0.3">
      <c r="AW1078" s="7">
        <v>45048.416666666664</v>
      </c>
      <c r="AX1078" s="51">
        <v>5.4862888046480797E-3</v>
      </c>
      <c r="AY1078" s="16">
        <v>84.899432570000002</v>
      </c>
      <c r="AZ1078" s="2">
        <v>31649</v>
      </c>
      <c r="BA1078" s="16">
        <f t="shared" si="97"/>
        <v>527.48333333333335</v>
      </c>
      <c r="BB1078" s="9">
        <f t="shared" si="98"/>
        <v>2.8939259063051179</v>
      </c>
      <c r="BC1078" s="119">
        <f t="shared" si="99"/>
        <v>35.002335443247297</v>
      </c>
    </row>
    <row r="1079" spans="49:55" x14ac:dyDescent="0.3">
      <c r="AW1079" s="7">
        <v>45048.427083333336</v>
      </c>
      <c r="AX1079" s="51">
        <v>5.5011923974152598E-3</v>
      </c>
      <c r="AY1079" s="16">
        <v>83.594462070000006</v>
      </c>
      <c r="AZ1079" s="2">
        <v>31646</v>
      </c>
      <c r="BA1079" s="16">
        <f t="shared" si="97"/>
        <v>527.43333333333328</v>
      </c>
      <c r="BB1079" s="9">
        <f t="shared" si="98"/>
        <v>2.9015122434767218</v>
      </c>
      <c r="BC1079" s="119">
        <f t="shared" si="99"/>
        <v>35.063235647582154</v>
      </c>
    </row>
    <row r="1080" spans="49:55" x14ac:dyDescent="0.3">
      <c r="AW1080" s="7">
        <v>45048.4375</v>
      </c>
      <c r="AX1080" s="51">
        <v>5.3908829487163204E-3</v>
      </c>
      <c r="AY1080" s="16">
        <v>80.086877509999994</v>
      </c>
      <c r="AZ1080" s="2">
        <v>31830</v>
      </c>
      <c r="BA1080" s="16">
        <f t="shared" si="97"/>
        <v>530.5</v>
      </c>
      <c r="BB1080" s="9">
        <f t="shared" si="98"/>
        <v>2.8598634042940079</v>
      </c>
      <c r="BC1080" s="119">
        <f t="shared" si="99"/>
        <v>34.728230607823122</v>
      </c>
    </row>
    <row r="1081" spans="49:55" x14ac:dyDescent="0.3">
      <c r="AW1081" s="7">
        <v>45048.447916666664</v>
      </c>
      <c r="AX1081" s="51">
        <v>5.7880136727212301E-3</v>
      </c>
      <c r="AY1081" s="16">
        <v>85.762083380000007</v>
      </c>
      <c r="AZ1081" s="2">
        <v>31482</v>
      </c>
      <c r="BA1081" s="16">
        <f t="shared" si="97"/>
        <v>524.70000000000005</v>
      </c>
      <c r="BB1081" s="9">
        <f t="shared" si="98"/>
        <v>3.0369707740768299</v>
      </c>
      <c r="BC1081" s="119">
        <f t="shared" si="99"/>
        <v>36.141814340845116</v>
      </c>
    </row>
    <row r="1082" spans="49:55" x14ac:dyDescent="0.3">
      <c r="AW1082" s="7">
        <v>45048.458333333336</v>
      </c>
      <c r="AX1082" s="51">
        <v>5.8896919132825198E-3</v>
      </c>
      <c r="AY1082" s="16">
        <v>80.086877509999994</v>
      </c>
      <c r="AZ1082" s="2">
        <v>31302</v>
      </c>
      <c r="BA1082" s="16">
        <f t="shared" si="97"/>
        <v>521.70000000000005</v>
      </c>
      <c r="BB1082" s="9">
        <f t="shared" si="98"/>
        <v>3.072652271159491</v>
      </c>
      <c r="BC1082" s="119">
        <f t="shared" si="99"/>
        <v>36.423216142773306</v>
      </c>
    </row>
    <row r="1083" spans="49:55" x14ac:dyDescent="0.3">
      <c r="AW1083" s="7">
        <v>45048.46875</v>
      </c>
      <c r="AX1083" s="51">
        <v>5.26446760797667E-3</v>
      </c>
      <c r="AY1083" s="16">
        <v>81.405228940000001</v>
      </c>
      <c r="AZ1083" s="2">
        <v>31573</v>
      </c>
      <c r="BA1083" s="16">
        <f t="shared" si="97"/>
        <v>526.2166666666667</v>
      </c>
      <c r="BB1083" s="9">
        <f t="shared" si="98"/>
        <v>2.7702505964441233</v>
      </c>
      <c r="BC1083" s="119">
        <f t="shared" si="99"/>
        <v>34.00181012062631</v>
      </c>
    </row>
    <row r="1084" spans="49:55" x14ac:dyDescent="0.3">
      <c r="AW1084" s="7">
        <v>45048.479166666664</v>
      </c>
      <c r="AX1084" s="51">
        <v>5.4971725284653598E-3</v>
      </c>
      <c r="AY1084" s="16">
        <v>79.202259850000004</v>
      </c>
      <c r="AZ1084" s="2">
        <v>31274</v>
      </c>
      <c r="BA1084" s="16">
        <f t="shared" si="97"/>
        <v>521.23333333333335</v>
      </c>
      <c r="BB1084" s="9">
        <f t="shared" si="98"/>
        <v>2.8653095609204278</v>
      </c>
      <c r="BC1084" s="119">
        <f t="shared" si="99"/>
        <v>34.772129819830276</v>
      </c>
    </row>
    <row r="1085" spans="49:55" x14ac:dyDescent="0.3">
      <c r="AW1085" s="7">
        <v>45048.489583333336</v>
      </c>
      <c r="AX1085" s="51">
        <v>5.6890526469157701E-3</v>
      </c>
      <c r="AY1085" s="16">
        <v>81.405228940000001</v>
      </c>
      <c r="AZ1085" s="2">
        <v>31190</v>
      </c>
      <c r="BA1085" s="16">
        <f t="shared" si="97"/>
        <v>519.83333333333337</v>
      </c>
      <c r="BB1085" s="9">
        <f t="shared" si="98"/>
        <v>2.957359200955048</v>
      </c>
      <c r="BC1085" s="119">
        <f t="shared" si="99"/>
        <v>35.509919773009855</v>
      </c>
    </row>
    <row r="1086" spans="49:55" x14ac:dyDescent="0.3">
      <c r="AW1086" s="7">
        <v>45048.5</v>
      </c>
      <c r="AX1086" s="51">
        <v>5.4656949897016202E-3</v>
      </c>
      <c r="AY1086" s="16">
        <v>83.594462070000006</v>
      </c>
      <c r="AZ1086" s="2">
        <v>31175</v>
      </c>
      <c r="BA1086" s="16">
        <f t="shared" si="97"/>
        <v>519.58333333333337</v>
      </c>
      <c r="BB1086" s="9">
        <f t="shared" si="98"/>
        <v>2.839884021732467</v>
      </c>
      <c r="BC1086" s="119">
        <f t="shared" si="99"/>
        <v>34.566943921820894</v>
      </c>
    </row>
    <row r="1087" spans="49:55" x14ac:dyDescent="0.3">
      <c r="AW1087" s="7">
        <v>45048.510416666664</v>
      </c>
      <c r="AX1087" s="51">
        <v>5.4658925951325396E-3</v>
      </c>
      <c r="AY1087" s="16">
        <v>83.586986100000004</v>
      </c>
      <c r="AZ1087" s="2">
        <v>30790</v>
      </c>
      <c r="BA1087" s="16">
        <f t="shared" si="97"/>
        <v>513.16666666666663</v>
      </c>
      <c r="BB1087" s="9">
        <f t="shared" si="98"/>
        <v>2.8049138834021812</v>
      </c>
      <c r="BC1087" s="119">
        <f t="shared" si="99"/>
        <v>34.283721079191352</v>
      </c>
    </row>
    <row r="1088" spans="49:55" x14ac:dyDescent="0.3">
      <c r="AW1088" s="7">
        <v>45048.520833333336</v>
      </c>
      <c r="AX1088" s="51">
        <v>5.6602834710746302E-3</v>
      </c>
      <c r="AY1088" s="16">
        <v>84.020316870000002</v>
      </c>
      <c r="AZ1088" s="2">
        <v>31074</v>
      </c>
      <c r="BA1088" s="16">
        <f t="shared" si="97"/>
        <v>517.9</v>
      </c>
      <c r="BB1088" s="9">
        <f t="shared" si="98"/>
        <v>2.9314608096695509</v>
      </c>
      <c r="BC1088" s="119">
        <f t="shared" si="99"/>
        <v>35.303130762023741</v>
      </c>
    </row>
    <row r="1089" spans="49:55" x14ac:dyDescent="0.3">
      <c r="AW1089" s="7">
        <v>45048.53125</v>
      </c>
      <c r="AX1089" s="51">
        <v>5.9071560910219801E-3</v>
      </c>
      <c r="AY1089" s="16">
        <v>80.079324720000002</v>
      </c>
      <c r="AZ1089" s="2">
        <v>30832</v>
      </c>
      <c r="BA1089" s="16">
        <f t="shared" si="97"/>
        <v>513.86666666666667</v>
      </c>
      <c r="BB1089" s="9">
        <f t="shared" si="98"/>
        <v>3.0354906099731616</v>
      </c>
      <c r="BC1089" s="119">
        <f t="shared" si="99"/>
        <v>36.130117115638697</v>
      </c>
    </row>
    <row r="1090" spans="49:55" x14ac:dyDescent="0.3">
      <c r="AW1090" s="7">
        <v>45048.541666666664</v>
      </c>
      <c r="AX1090" s="51">
        <v>5.9281873133425096E-3</v>
      </c>
      <c r="AY1090" s="16">
        <v>81.397704649999994</v>
      </c>
      <c r="AZ1090" s="2">
        <v>31045</v>
      </c>
      <c r="BA1090" s="16">
        <f t="shared" si="97"/>
        <v>517.41666666666663</v>
      </c>
      <c r="BB1090" s="9">
        <f t="shared" si="98"/>
        <v>3.0673429190453034</v>
      </c>
      <c r="BC1090" s="119">
        <f t="shared" si="99"/>
        <v>36.381413798638611</v>
      </c>
    </row>
    <row r="1091" spans="49:55" x14ac:dyDescent="0.3">
      <c r="AW1091" s="7">
        <v>45048.552083333336</v>
      </c>
      <c r="AX1091" s="51">
        <v>5.8413923662009801E-3</v>
      </c>
      <c r="AY1091" s="16">
        <v>85.762083380000007</v>
      </c>
      <c r="AZ1091" s="2">
        <v>30893</v>
      </c>
      <c r="BA1091" s="16">
        <f t="shared" si="97"/>
        <v>514.88333333333333</v>
      </c>
      <c r="BB1091" s="9">
        <f t="shared" si="98"/>
        <v>3.0076355728174478</v>
      </c>
      <c r="BC1091" s="119">
        <f t="shared" si="99"/>
        <v>35.909629573820041</v>
      </c>
    </row>
    <row r="1092" spans="49:55" x14ac:dyDescent="0.3">
      <c r="AW1092" s="7">
        <v>45048.5625</v>
      </c>
      <c r="AX1092" s="51">
        <v>5.8757318011073596E-3</v>
      </c>
      <c r="AY1092" s="16">
        <v>81.405228940000001</v>
      </c>
      <c r="AZ1092" s="2">
        <v>30115</v>
      </c>
      <c r="BA1092" s="16">
        <f t="shared" ref="BA1092:BA1155" si="100">AZ1092/60</f>
        <v>501.91666666666669</v>
      </c>
      <c r="BB1092" s="9">
        <f t="shared" ref="BB1092:BB1155" si="101">BA1092*AX1092</f>
        <v>2.9491277198391357</v>
      </c>
      <c r="BC1092" s="119">
        <f t="shared" ref="BC1092:BC1155" si="102">17.285*BB1092^0.664</f>
        <v>35.444260667152435</v>
      </c>
    </row>
    <row r="1093" spans="49:55" x14ac:dyDescent="0.3">
      <c r="AW1093" s="7">
        <v>45048.572916666664</v>
      </c>
      <c r="AX1093" s="51">
        <v>5.8010400252603003E-3</v>
      </c>
      <c r="AY1093" s="16">
        <v>81.405228940000001</v>
      </c>
      <c r="AZ1093" s="2">
        <v>30188</v>
      </c>
      <c r="BA1093" s="16">
        <f t="shared" si="100"/>
        <v>503.13333333333333</v>
      </c>
      <c r="BB1093" s="9">
        <f t="shared" si="101"/>
        <v>2.9186966047092993</v>
      </c>
      <c r="BC1093" s="119">
        <f t="shared" si="102"/>
        <v>35.200987630551765</v>
      </c>
    </row>
    <row r="1094" spans="49:55" x14ac:dyDescent="0.3">
      <c r="AW1094" s="7">
        <v>45048.583333333336</v>
      </c>
      <c r="AX1094" s="51">
        <v>5.6978918273991796E-3</v>
      </c>
      <c r="AY1094" s="16">
        <v>86.192545629999998</v>
      </c>
      <c r="AZ1094" s="2">
        <v>29876</v>
      </c>
      <c r="BA1094" s="16">
        <f t="shared" si="100"/>
        <v>497.93333333333334</v>
      </c>
      <c r="BB1094" s="9">
        <f t="shared" si="101"/>
        <v>2.8371702705896316</v>
      </c>
      <c r="BC1094" s="119">
        <f t="shared" si="102"/>
        <v>34.545007376961564</v>
      </c>
    </row>
    <row r="1095" spans="49:55" x14ac:dyDescent="0.3">
      <c r="AW1095" s="7">
        <v>45048.59375</v>
      </c>
      <c r="AX1095" s="51">
        <v>5.78079142455727E-3</v>
      </c>
      <c r="AY1095" s="16">
        <v>83.586986100000004</v>
      </c>
      <c r="AZ1095" s="2">
        <v>30051</v>
      </c>
      <c r="BA1095" s="16">
        <f t="shared" si="100"/>
        <v>500.85</v>
      </c>
      <c r="BB1095" s="9">
        <f t="shared" si="101"/>
        <v>2.8953093849895088</v>
      </c>
      <c r="BC1095" s="119">
        <f t="shared" si="102"/>
        <v>35.013445474800868</v>
      </c>
    </row>
    <row r="1096" spans="49:55" x14ac:dyDescent="0.3">
      <c r="AW1096" s="7">
        <v>45048.604166666664</v>
      </c>
      <c r="AX1096" s="51">
        <v>5.7446514145295001E-3</v>
      </c>
      <c r="AY1096" s="16">
        <v>84.891986889999998</v>
      </c>
      <c r="AZ1096" s="2">
        <v>29326</v>
      </c>
      <c r="BA1096" s="16">
        <f t="shared" si="100"/>
        <v>488.76666666666665</v>
      </c>
      <c r="BB1096" s="9">
        <f t="shared" si="101"/>
        <v>2.8077941230415351</v>
      </c>
      <c r="BC1096" s="119">
        <f t="shared" si="102"/>
        <v>34.307092775286051</v>
      </c>
    </row>
    <row r="1097" spans="49:55" x14ac:dyDescent="0.3">
      <c r="AW1097" s="7">
        <v>45048.614583333336</v>
      </c>
      <c r="AX1097" s="51">
        <v>5.9541278035899203E-3</v>
      </c>
      <c r="AY1097" s="16">
        <v>80.523852189999999</v>
      </c>
      <c r="AZ1097" s="2">
        <v>29282</v>
      </c>
      <c r="BA1097" s="16">
        <f t="shared" si="100"/>
        <v>488.03333333333336</v>
      </c>
      <c r="BB1097" s="9">
        <f t="shared" si="101"/>
        <v>2.9058128390786675</v>
      </c>
      <c r="BC1097" s="119">
        <f t="shared" si="102"/>
        <v>35.097735416313853</v>
      </c>
    </row>
    <row r="1098" spans="49:55" x14ac:dyDescent="0.3">
      <c r="AW1098" s="7">
        <v>45048.625</v>
      </c>
      <c r="AX1098" s="51">
        <v>5.9193807489283396E-3</v>
      </c>
      <c r="AY1098" s="16">
        <v>84.027783200000002</v>
      </c>
      <c r="AZ1098" s="2">
        <v>28908</v>
      </c>
      <c r="BA1098" s="16">
        <f t="shared" si="100"/>
        <v>481.8</v>
      </c>
      <c r="BB1098" s="9">
        <f t="shared" si="101"/>
        <v>2.8519576448336741</v>
      </c>
      <c r="BC1098" s="119">
        <f t="shared" si="102"/>
        <v>34.664455538794861</v>
      </c>
    </row>
    <row r="1099" spans="49:55" x14ac:dyDescent="0.3">
      <c r="AW1099" s="7">
        <v>45048.635416666664</v>
      </c>
      <c r="AX1099" s="51">
        <v>6.3654208463798101E-3</v>
      </c>
      <c r="AY1099" s="16">
        <v>93.884261949999996</v>
      </c>
      <c r="AZ1099" s="2">
        <v>28745</v>
      </c>
      <c r="BA1099" s="16">
        <f t="shared" si="100"/>
        <v>479.08333333333331</v>
      </c>
      <c r="BB1099" s="9">
        <f t="shared" si="101"/>
        <v>3.0495670371531274</v>
      </c>
      <c r="BC1099" s="119">
        <f t="shared" si="102"/>
        <v>36.24128087245613</v>
      </c>
    </row>
    <row r="1100" spans="49:55" x14ac:dyDescent="0.3">
      <c r="AW1100" s="7">
        <v>45048.645833333336</v>
      </c>
      <c r="AX1100" s="51">
        <v>6.3012833670538998E-3</v>
      </c>
      <c r="AY1100" s="16">
        <v>89.635700749999998</v>
      </c>
      <c r="AZ1100" s="2">
        <v>27334</v>
      </c>
      <c r="BA1100" s="16">
        <f t="shared" si="100"/>
        <v>455.56666666666666</v>
      </c>
      <c r="BB1100" s="9">
        <f t="shared" si="101"/>
        <v>2.8706546592508548</v>
      </c>
      <c r="BC1100" s="119">
        <f t="shared" si="102"/>
        <v>34.815187190657262</v>
      </c>
    </row>
    <row r="1101" spans="49:55" x14ac:dyDescent="0.3">
      <c r="AW1101" s="7">
        <v>45048.65625</v>
      </c>
      <c r="AX1101" s="51">
        <v>6.6722286776007998E-3</v>
      </c>
      <c r="AY1101" s="16">
        <v>86.199962600000006</v>
      </c>
      <c r="AZ1101" s="2">
        <v>27831</v>
      </c>
      <c r="BA1101" s="16">
        <f t="shared" si="100"/>
        <v>463.85</v>
      </c>
      <c r="BB1101" s="9">
        <f t="shared" si="101"/>
        <v>3.0949132721051313</v>
      </c>
      <c r="BC1101" s="119">
        <f t="shared" si="102"/>
        <v>36.598221130026872</v>
      </c>
    </row>
    <row r="1102" spans="49:55" x14ac:dyDescent="0.3">
      <c r="AW1102" s="7">
        <v>45048.666666666664</v>
      </c>
      <c r="AX1102" s="51">
        <v>6.5444617256661397E-3</v>
      </c>
      <c r="AY1102" s="16">
        <v>90.915794009999999</v>
      </c>
      <c r="AZ1102" s="2">
        <v>27655</v>
      </c>
      <c r="BA1102" s="16">
        <f t="shared" si="100"/>
        <v>460.91666666666669</v>
      </c>
      <c r="BB1102" s="9">
        <f t="shared" si="101"/>
        <v>3.0164514837216183</v>
      </c>
      <c r="BC1102" s="119">
        <f t="shared" si="102"/>
        <v>35.979486158244242</v>
      </c>
    </row>
    <row r="1103" spans="49:55" x14ac:dyDescent="0.3">
      <c r="AW1103" s="7">
        <v>45048.677083333336</v>
      </c>
      <c r="AX1103" s="51">
        <v>6.1054548161287399E-3</v>
      </c>
      <c r="AY1103" s="16">
        <v>88.350109630000006</v>
      </c>
      <c r="AZ1103" s="2">
        <v>28246</v>
      </c>
      <c r="BA1103" s="16">
        <f t="shared" si="100"/>
        <v>470.76666666666665</v>
      </c>
      <c r="BB1103" s="9">
        <f t="shared" si="101"/>
        <v>2.8742446122728729</v>
      </c>
      <c r="BC1103" s="119">
        <f t="shared" si="102"/>
        <v>34.844090889755343</v>
      </c>
    </row>
    <row r="1104" spans="49:55" x14ac:dyDescent="0.3">
      <c r="AW1104" s="7">
        <v>45048.6875</v>
      </c>
      <c r="AX1104" s="51">
        <v>6.1582650809219302E-3</v>
      </c>
      <c r="AY1104" s="16">
        <v>91.767774239999994</v>
      </c>
      <c r="AZ1104" s="2">
        <v>27991</v>
      </c>
      <c r="BA1104" s="16">
        <f t="shared" si="100"/>
        <v>466.51666666666665</v>
      </c>
      <c r="BB1104" s="9">
        <f t="shared" si="101"/>
        <v>2.872933298001429</v>
      </c>
      <c r="BC1104" s="119">
        <f t="shared" si="102"/>
        <v>34.833534544841037</v>
      </c>
    </row>
    <row r="1105" spans="49:55" x14ac:dyDescent="0.3">
      <c r="AW1105" s="7">
        <v>45048.697916666664</v>
      </c>
      <c r="AX1105" s="51">
        <v>6.4239089035888104E-3</v>
      </c>
      <c r="AY1105" s="16">
        <v>96.393321510000007</v>
      </c>
      <c r="AZ1105" s="2">
        <v>27631</v>
      </c>
      <c r="BA1105" s="16">
        <f t="shared" si="100"/>
        <v>460.51666666666665</v>
      </c>
      <c r="BB1105" s="9">
        <f t="shared" si="101"/>
        <v>2.9583171152510404</v>
      </c>
      <c r="BC1105" s="119">
        <f t="shared" si="102"/>
        <v>35.51755666622465</v>
      </c>
    </row>
    <row r="1106" spans="49:55" x14ac:dyDescent="0.3">
      <c r="AW1106" s="7">
        <v>45048.708333333336</v>
      </c>
      <c r="AX1106" s="51">
        <v>6.4805359629209599E-3</v>
      </c>
      <c r="AY1106" s="16">
        <v>102.9873886</v>
      </c>
      <c r="AZ1106" s="2">
        <v>27443</v>
      </c>
      <c r="BA1106" s="16">
        <f t="shared" si="100"/>
        <v>457.38333333333333</v>
      </c>
      <c r="BB1106" s="9">
        <f t="shared" si="101"/>
        <v>2.9640891405073315</v>
      </c>
      <c r="BC1106" s="119">
        <f t="shared" si="102"/>
        <v>35.563556091104822</v>
      </c>
    </row>
    <row r="1107" spans="49:55" x14ac:dyDescent="0.3">
      <c r="AW1107" s="7">
        <v>45048.71875</v>
      </c>
      <c r="AX1107" s="51">
        <v>6.6626169820303699E-3</v>
      </c>
      <c r="AY1107" s="16">
        <v>99.297599469999994</v>
      </c>
      <c r="AZ1107" s="2">
        <v>27409</v>
      </c>
      <c r="BA1107" s="16">
        <f t="shared" si="100"/>
        <v>456.81666666666666</v>
      </c>
      <c r="BB1107" s="9">
        <f t="shared" si="101"/>
        <v>3.0435944810078399</v>
      </c>
      <c r="BC1107" s="119">
        <f t="shared" si="102"/>
        <v>36.194135760650525</v>
      </c>
    </row>
    <row r="1108" spans="49:55" x14ac:dyDescent="0.3">
      <c r="AW1108" s="7">
        <v>45048.729166666664</v>
      </c>
      <c r="AX1108" s="51">
        <v>6.09870418552817E-3</v>
      </c>
      <c r="AY1108" s="16">
        <v>110.9974619</v>
      </c>
      <c r="AZ1108" s="2">
        <v>28373</v>
      </c>
      <c r="BA1108" s="16">
        <f t="shared" si="100"/>
        <v>472.88333333333333</v>
      </c>
      <c r="BB1108" s="9">
        <f t="shared" si="101"/>
        <v>2.8839755642665126</v>
      </c>
      <c r="BC1108" s="119">
        <f t="shared" si="102"/>
        <v>34.922376529855043</v>
      </c>
    </row>
    <row r="1109" spans="49:55" x14ac:dyDescent="0.3">
      <c r="AW1109" s="7">
        <v>45048.739583333336</v>
      </c>
      <c r="AX1109" s="51">
        <v>6.23239266308292E-3</v>
      </c>
      <c r="AY1109" s="16">
        <v>122.1341827</v>
      </c>
      <c r="AZ1109" s="2">
        <v>27924</v>
      </c>
      <c r="BA1109" s="16">
        <f t="shared" si="100"/>
        <v>465.4</v>
      </c>
      <c r="BB1109" s="9">
        <f t="shared" si="101"/>
        <v>2.9005555453987908</v>
      </c>
      <c r="BC1109" s="119">
        <f t="shared" si="102"/>
        <v>35.055558593080903</v>
      </c>
    </row>
    <row r="1110" spans="49:55" x14ac:dyDescent="0.3">
      <c r="AW1110" s="7">
        <v>45048.75</v>
      </c>
      <c r="AX1110" s="51">
        <v>6.2583306619772901E-3</v>
      </c>
      <c r="AY1110" s="16">
        <v>113.3544048</v>
      </c>
      <c r="AZ1110" s="2">
        <v>28124</v>
      </c>
      <c r="BA1110" s="16">
        <f t="shared" si="100"/>
        <v>468.73333333333335</v>
      </c>
      <c r="BB1110" s="9">
        <f t="shared" si="101"/>
        <v>2.933488192290822</v>
      </c>
      <c r="BC1110" s="119">
        <f t="shared" si="102"/>
        <v>35.319340742075418</v>
      </c>
    </row>
    <row r="1111" spans="49:55" x14ac:dyDescent="0.3">
      <c r="AW1111" s="7">
        <v>45048.760416666664</v>
      </c>
      <c r="AX1111" s="51">
        <v>6.78087238416021E-3</v>
      </c>
      <c r="AY1111" s="16">
        <v>118.36070239999999</v>
      </c>
      <c r="AZ1111" s="2">
        <v>28075</v>
      </c>
      <c r="BA1111" s="16">
        <f t="shared" si="100"/>
        <v>467.91666666666669</v>
      </c>
      <c r="BB1111" s="9">
        <f t="shared" si="101"/>
        <v>3.1728832030882983</v>
      </c>
      <c r="BC1111" s="119">
        <f t="shared" si="102"/>
        <v>37.207877503428314</v>
      </c>
    </row>
    <row r="1112" spans="49:55" x14ac:dyDescent="0.3">
      <c r="AW1112" s="7">
        <v>45048.770833333336</v>
      </c>
      <c r="AX1112" s="51">
        <v>6.2373178247972999E-3</v>
      </c>
      <c r="AY1112" s="16">
        <v>114.9053189</v>
      </c>
      <c r="AZ1112" s="2">
        <v>28244</v>
      </c>
      <c r="BA1112" s="16">
        <f t="shared" si="100"/>
        <v>470.73333333333335</v>
      </c>
      <c r="BB1112" s="9">
        <f t="shared" si="101"/>
        <v>2.9361134107262492</v>
      </c>
      <c r="BC1112" s="119">
        <f t="shared" si="102"/>
        <v>35.340325139162417</v>
      </c>
    </row>
    <row r="1113" spans="49:55" x14ac:dyDescent="0.3">
      <c r="AW1113" s="7">
        <v>45048.78125</v>
      </c>
      <c r="AX1113" s="51">
        <v>6.3909244291819999E-3</v>
      </c>
      <c r="AY1113" s="16">
        <v>119.12362779999999</v>
      </c>
      <c r="AZ1113" s="2">
        <v>29006</v>
      </c>
      <c r="BA1113" s="16">
        <f t="shared" si="100"/>
        <v>483.43333333333334</v>
      </c>
      <c r="BB1113" s="9">
        <f t="shared" si="101"/>
        <v>3.0895858998808849</v>
      </c>
      <c r="BC1113" s="119">
        <f t="shared" si="102"/>
        <v>36.556378566519456</v>
      </c>
    </row>
    <row r="1114" spans="49:55" x14ac:dyDescent="0.3">
      <c r="AW1114" s="7">
        <v>45048.791666666664</v>
      </c>
      <c r="AX1114" s="51">
        <v>6.1350326724342596E-3</v>
      </c>
      <c r="AY1114" s="16">
        <v>116.4455014</v>
      </c>
      <c r="AZ1114" s="2">
        <v>28325</v>
      </c>
      <c r="BA1114" s="16">
        <f t="shared" si="100"/>
        <v>472.08333333333331</v>
      </c>
      <c r="BB1114" s="9">
        <f t="shared" si="101"/>
        <v>2.8962466741116732</v>
      </c>
      <c r="BC1114" s="119">
        <f t="shared" si="102"/>
        <v>35.020971365568421</v>
      </c>
    </row>
    <row r="1115" spans="49:55" x14ac:dyDescent="0.3">
      <c r="AW1115" s="7">
        <v>45048.802083333336</v>
      </c>
      <c r="AX1115" s="51">
        <v>6.0469540605587501E-3</v>
      </c>
      <c r="AY1115" s="16">
        <v>112.18199679999999</v>
      </c>
      <c r="AZ1115" s="2">
        <v>28443</v>
      </c>
      <c r="BA1115" s="16">
        <f t="shared" si="100"/>
        <v>474.05</v>
      </c>
      <c r="BB1115" s="9">
        <f t="shared" si="101"/>
        <v>2.8665585724078757</v>
      </c>
      <c r="BC1115" s="119">
        <f t="shared" si="102"/>
        <v>34.782193630458629</v>
      </c>
    </row>
    <row r="1116" spans="49:55" x14ac:dyDescent="0.3">
      <c r="AW1116" s="7">
        <v>45048.8125</v>
      </c>
      <c r="AX1116" s="51">
        <v>6.1931071567662603E-3</v>
      </c>
      <c r="AY1116" s="16">
        <v>129.48707379999999</v>
      </c>
      <c r="AZ1116" s="2">
        <v>28879</v>
      </c>
      <c r="BA1116" s="16">
        <f t="shared" si="100"/>
        <v>481.31666666666666</v>
      </c>
      <c r="BB1116" s="9">
        <f t="shared" si="101"/>
        <v>2.980845693004214</v>
      </c>
      <c r="BC1116" s="119">
        <f t="shared" si="102"/>
        <v>35.696925137630963</v>
      </c>
    </row>
    <row r="1117" spans="49:55" x14ac:dyDescent="0.3">
      <c r="AW1117" s="7">
        <v>45048.822916666664</v>
      </c>
      <c r="AX1117" s="51">
        <v>6.26368842324129E-3</v>
      </c>
      <c r="AY1117" s="16">
        <v>125.108964</v>
      </c>
      <c r="AZ1117" s="2">
        <v>28873</v>
      </c>
      <c r="BA1117" s="16">
        <f t="shared" si="100"/>
        <v>481.21666666666664</v>
      </c>
      <c r="BB1117" s="9">
        <f t="shared" si="101"/>
        <v>3.0141912640707624</v>
      </c>
      <c r="BC1117" s="119">
        <f t="shared" si="102"/>
        <v>35.961582902208391</v>
      </c>
    </row>
    <row r="1118" spans="49:55" x14ac:dyDescent="0.3">
      <c r="AW1118" s="7">
        <v>45048.833333333336</v>
      </c>
      <c r="AX1118" s="51">
        <v>6.1468145881372702E-3</v>
      </c>
      <c r="AY1118" s="16">
        <v>117.9749527</v>
      </c>
      <c r="AZ1118" s="2">
        <v>28639</v>
      </c>
      <c r="BA1118" s="16">
        <f t="shared" si="100"/>
        <v>477.31666666666666</v>
      </c>
      <c r="BB1118" s="9">
        <f t="shared" si="101"/>
        <v>2.9339770498277216</v>
      </c>
      <c r="BC1118" s="119">
        <f t="shared" si="102"/>
        <v>35.323248849389635</v>
      </c>
    </row>
    <row r="1119" spans="49:55" x14ac:dyDescent="0.3">
      <c r="AW1119" s="7">
        <v>45048.84375</v>
      </c>
      <c r="AX1119" s="51">
        <v>6.0041596262324802E-3</v>
      </c>
      <c r="AY1119" s="16">
        <v>104.61473460000001</v>
      </c>
      <c r="AZ1119" s="2">
        <v>29092</v>
      </c>
      <c r="BA1119" s="16">
        <f t="shared" si="100"/>
        <v>484.86666666666667</v>
      </c>
      <c r="BB1119" s="9">
        <f t="shared" si="101"/>
        <v>2.911216864105922</v>
      </c>
      <c r="BC1119" s="119">
        <f t="shared" si="102"/>
        <v>35.141062682864977</v>
      </c>
    </row>
    <row r="1120" spans="49:55" x14ac:dyDescent="0.3">
      <c r="AW1120" s="7">
        <v>45048.854166666664</v>
      </c>
      <c r="AX1120" s="51">
        <v>5.95144052642518E-3</v>
      </c>
      <c r="AY1120" s="16">
        <v>100.12409340000001</v>
      </c>
      <c r="AZ1120" s="2">
        <v>28944</v>
      </c>
      <c r="BA1120" s="16">
        <f t="shared" si="100"/>
        <v>482.4</v>
      </c>
      <c r="BB1120" s="9">
        <f t="shared" si="101"/>
        <v>2.8709749099475066</v>
      </c>
      <c r="BC1120" s="119">
        <f t="shared" si="102"/>
        <v>34.817766110287714</v>
      </c>
    </row>
    <row r="1121" spans="49:55" x14ac:dyDescent="0.3">
      <c r="AW1121" s="7">
        <v>45048.864583333336</v>
      </c>
      <c r="AX1121" s="51">
        <v>5.8646078651078898E-3</v>
      </c>
      <c r="AY1121" s="16">
        <v>103.80204430000001</v>
      </c>
      <c r="AZ1121" s="2">
        <v>29306</v>
      </c>
      <c r="BA1121" s="16">
        <f t="shared" si="100"/>
        <v>488.43333333333334</v>
      </c>
      <c r="BB1121" s="9">
        <f t="shared" si="101"/>
        <v>2.8644699682475303</v>
      </c>
      <c r="BC1121" s="119">
        <f t="shared" si="102"/>
        <v>34.76536404026384</v>
      </c>
    </row>
    <row r="1122" spans="49:55" x14ac:dyDescent="0.3">
      <c r="AW1122" s="7">
        <v>45048.875</v>
      </c>
      <c r="AX1122" s="51">
        <v>5.8535116292950402E-3</v>
      </c>
      <c r="AY1122" s="16">
        <v>102.5822131</v>
      </c>
      <c r="AZ1122" s="2">
        <v>29895</v>
      </c>
      <c r="BA1122" s="16">
        <f t="shared" si="100"/>
        <v>498.25</v>
      </c>
      <c r="BB1122" s="9">
        <f t="shared" si="101"/>
        <v>2.9165121692962539</v>
      </c>
      <c r="BC1122" s="119">
        <f t="shared" si="102"/>
        <v>35.183492072292452</v>
      </c>
    </row>
    <row r="1123" spans="49:55" x14ac:dyDescent="0.3">
      <c r="AW1123" s="7">
        <v>45048.885416666664</v>
      </c>
      <c r="AX1123" s="51">
        <v>5.9663185629263097E-3</v>
      </c>
      <c r="AY1123" s="16">
        <v>101.36348099999999</v>
      </c>
      <c r="AZ1123" s="2">
        <v>29608</v>
      </c>
      <c r="BA1123" s="16">
        <f t="shared" si="100"/>
        <v>493.46666666666664</v>
      </c>
      <c r="BB1123" s="9">
        <f t="shared" si="101"/>
        <v>2.944179333518703</v>
      </c>
      <c r="BC1123" s="119">
        <f t="shared" si="102"/>
        <v>35.404759810426633</v>
      </c>
    </row>
    <row r="1124" spans="49:55" x14ac:dyDescent="0.3">
      <c r="AW1124" s="7">
        <v>45048.895833333336</v>
      </c>
      <c r="AX1124" s="51">
        <v>5.8028073350870303E-3</v>
      </c>
      <c r="AY1124" s="16">
        <v>101.36348099999999</v>
      </c>
      <c r="AZ1124" s="2">
        <v>29721</v>
      </c>
      <c r="BA1124" s="16">
        <f t="shared" si="100"/>
        <v>495.35</v>
      </c>
      <c r="BB1124" s="9">
        <f t="shared" si="101"/>
        <v>2.8744206134353605</v>
      </c>
      <c r="BC1124" s="119">
        <f t="shared" si="102"/>
        <v>34.845507611500949</v>
      </c>
    </row>
    <row r="1125" spans="49:55" x14ac:dyDescent="0.3">
      <c r="AW1125" s="7">
        <v>45048.90625</v>
      </c>
      <c r="AX1125" s="51">
        <v>6.1126315785790704E-3</v>
      </c>
      <c r="AY1125" s="16">
        <v>96.815355729999993</v>
      </c>
      <c r="AZ1125" s="2">
        <v>30702</v>
      </c>
      <c r="BA1125" s="16">
        <f t="shared" si="100"/>
        <v>511.7</v>
      </c>
      <c r="BB1125" s="9">
        <f t="shared" si="101"/>
        <v>3.1278335787589104</v>
      </c>
      <c r="BC1125" s="119">
        <f t="shared" si="102"/>
        <v>36.856251203634287</v>
      </c>
    </row>
    <row r="1126" spans="49:55" x14ac:dyDescent="0.3">
      <c r="AW1126" s="7">
        <v>45048.916666666664</v>
      </c>
      <c r="AX1126" s="51">
        <v>6.0855514592145698E-3</v>
      </c>
      <c r="AY1126" s="16">
        <v>94.720978599999995</v>
      </c>
      <c r="AZ1126" s="2">
        <v>30601</v>
      </c>
      <c r="BA1126" s="16">
        <f t="shared" si="100"/>
        <v>510.01666666666665</v>
      </c>
      <c r="BB1126" s="9">
        <f t="shared" si="101"/>
        <v>3.103732670057084</v>
      </c>
      <c r="BC1126" s="119">
        <f t="shared" si="102"/>
        <v>36.667437817592678</v>
      </c>
    </row>
    <row r="1127" spans="49:55" x14ac:dyDescent="0.3">
      <c r="AW1127" s="7">
        <v>45048.927083333336</v>
      </c>
      <c r="AX1127" s="51">
        <v>5.8320222296823002E-3</v>
      </c>
      <c r="AY1127" s="16">
        <v>100.9486689</v>
      </c>
      <c r="AZ1127" s="2">
        <v>30448</v>
      </c>
      <c r="BA1127" s="16">
        <f t="shared" si="100"/>
        <v>507.46666666666664</v>
      </c>
      <c r="BB1127" s="9">
        <f t="shared" si="101"/>
        <v>2.9595568808227779</v>
      </c>
      <c r="BC1127" s="119">
        <f t="shared" si="102"/>
        <v>35.527439362199082</v>
      </c>
    </row>
    <row r="1128" spans="49:55" x14ac:dyDescent="0.3">
      <c r="AW1128" s="7">
        <v>45048.9375</v>
      </c>
      <c r="AX1128" s="51">
        <v>5.7174510670388702E-3</v>
      </c>
      <c r="AY1128" s="16">
        <v>97.229596529999995</v>
      </c>
      <c r="AZ1128" s="2">
        <v>31136</v>
      </c>
      <c r="BA1128" s="16">
        <f t="shared" si="100"/>
        <v>518.93333333333328</v>
      </c>
      <c r="BB1128" s="9">
        <f t="shared" si="101"/>
        <v>2.9669759403887039</v>
      </c>
      <c r="BC1128" s="119">
        <f t="shared" si="102"/>
        <v>35.586550785633023</v>
      </c>
    </row>
    <row r="1129" spans="49:55" x14ac:dyDescent="0.3">
      <c r="AW1129" s="7">
        <v>45048.947916666664</v>
      </c>
      <c r="AX1129" s="51">
        <v>5.7778601534865604E-3</v>
      </c>
      <c r="AY1129" s="16">
        <v>102.9943694</v>
      </c>
      <c r="AZ1129" s="2">
        <v>29929</v>
      </c>
      <c r="BA1129" s="16">
        <f t="shared" si="100"/>
        <v>498.81666666666666</v>
      </c>
      <c r="BB1129" s="9">
        <f t="shared" si="101"/>
        <v>2.8820929422283212</v>
      </c>
      <c r="BC1129" s="119">
        <f t="shared" si="102"/>
        <v>34.907237743104062</v>
      </c>
    </row>
    <row r="1130" spans="49:55" x14ac:dyDescent="0.3">
      <c r="AW1130" s="7">
        <v>45048.958333333336</v>
      </c>
      <c r="AX1130" s="51">
        <v>5.9214696551187999E-3</v>
      </c>
      <c r="AY1130" s="16">
        <v>95.561650760000006</v>
      </c>
      <c r="AZ1130" s="2">
        <v>31252</v>
      </c>
      <c r="BA1130" s="16">
        <f t="shared" si="100"/>
        <v>520.86666666666667</v>
      </c>
      <c r="BB1130" s="9">
        <f t="shared" si="101"/>
        <v>3.0842961610295454</v>
      </c>
      <c r="BC1130" s="119">
        <f t="shared" si="102"/>
        <v>36.514807592617693</v>
      </c>
    </row>
    <row r="1131" spans="49:55" x14ac:dyDescent="0.3">
      <c r="AW1131" s="7">
        <v>45048.96875</v>
      </c>
      <c r="AX1131" s="51">
        <v>5.4614935643049096E-3</v>
      </c>
      <c r="AY1131" s="16">
        <v>93.877037450000003</v>
      </c>
      <c r="AZ1131" s="2">
        <v>31469</v>
      </c>
      <c r="BA1131" s="16">
        <f t="shared" si="100"/>
        <v>524.48333333333335</v>
      </c>
      <c r="BB1131" s="9">
        <f t="shared" si="101"/>
        <v>2.8644623495851866</v>
      </c>
      <c r="BC1131" s="119">
        <f t="shared" si="102"/>
        <v>34.765302642930671</v>
      </c>
    </row>
    <row r="1132" spans="49:55" x14ac:dyDescent="0.3">
      <c r="AW1132" s="7">
        <v>45048.979166666664</v>
      </c>
      <c r="AX1132" s="51">
        <v>5.7510698588573404E-3</v>
      </c>
      <c r="AY1132" s="16">
        <v>93.877037450000003</v>
      </c>
      <c r="AZ1132" s="2">
        <v>30288</v>
      </c>
      <c r="BA1132" s="16">
        <f t="shared" si="100"/>
        <v>504.8</v>
      </c>
      <c r="BB1132" s="9">
        <f t="shared" si="101"/>
        <v>2.9031400647511854</v>
      </c>
      <c r="BC1132" s="119">
        <f t="shared" si="102"/>
        <v>35.076296197322584</v>
      </c>
    </row>
    <row r="1133" spans="49:55" x14ac:dyDescent="0.3">
      <c r="AW1133" s="7">
        <v>45048.989583333336</v>
      </c>
      <c r="AX1133" s="51">
        <v>5.5400259245742102E-3</v>
      </c>
      <c r="AY1133" s="16">
        <v>92.610732819999996</v>
      </c>
      <c r="AZ1133" s="2">
        <v>32262</v>
      </c>
      <c r="BA1133" s="16">
        <f t="shared" si="100"/>
        <v>537.70000000000005</v>
      </c>
      <c r="BB1133" s="9">
        <f t="shared" si="101"/>
        <v>2.978871939643553</v>
      </c>
      <c r="BC1133" s="119">
        <f t="shared" si="102"/>
        <v>35.68122871809301</v>
      </c>
    </row>
    <row r="1134" spans="49:55" x14ac:dyDescent="0.3">
      <c r="AW1134" s="7">
        <v>45049</v>
      </c>
      <c r="AX1134" s="51">
        <v>5.6128781029064299E-3</v>
      </c>
      <c r="AY1134" s="16">
        <v>93.457733590000004</v>
      </c>
      <c r="AZ1134" s="2">
        <v>32741</v>
      </c>
      <c r="BA1134" s="16">
        <f t="shared" si="100"/>
        <v>545.68333333333328</v>
      </c>
      <c r="BB1134" s="9">
        <f t="shared" si="101"/>
        <v>3.0628540327876568</v>
      </c>
      <c r="BC1134" s="119">
        <f t="shared" si="102"/>
        <v>36.34605229265474</v>
      </c>
    </row>
    <row r="1135" spans="49:55" x14ac:dyDescent="0.3">
      <c r="AW1135" s="7">
        <v>45049.010416666664</v>
      </c>
      <c r="AX1135" s="51">
        <v>5.28521226796092E-3</v>
      </c>
      <c r="AY1135" s="16">
        <v>92.610732819999996</v>
      </c>
      <c r="AZ1135" s="2">
        <v>32709</v>
      </c>
      <c r="BA1135" s="16">
        <f t="shared" si="100"/>
        <v>545.15</v>
      </c>
      <c r="BB1135" s="9">
        <f t="shared" si="101"/>
        <v>2.8812334678788956</v>
      </c>
      <c r="BC1135" s="119">
        <f t="shared" si="102"/>
        <v>34.900325320820428</v>
      </c>
    </row>
    <row r="1136" spans="49:55" x14ac:dyDescent="0.3">
      <c r="AW1136" s="7">
        <v>45049.020833333336</v>
      </c>
      <c r="AX1136" s="51">
        <v>5.7157009120652096E-3</v>
      </c>
      <c r="AY1136" s="16">
        <v>98.886564129999996</v>
      </c>
      <c r="AZ1136" s="2">
        <v>31545</v>
      </c>
      <c r="BA1136" s="16">
        <f t="shared" si="100"/>
        <v>525.75</v>
      </c>
      <c r="BB1136" s="9">
        <f t="shared" si="101"/>
        <v>3.0050297545182838</v>
      </c>
      <c r="BC1136" s="119">
        <f t="shared" si="102"/>
        <v>35.888968106770101</v>
      </c>
    </row>
    <row r="1137" spans="49:55" x14ac:dyDescent="0.3">
      <c r="AW1137" s="7">
        <v>45049.03125</v>
      </c>
      <c r="AX1137" s="51">
        <v>5.5527350949287997E-3</v>
      </c>
      <c r="AY1137" s="16">
        <v>102.17638460000001</v>
      </c>
      <c r="AZ1137" s="2">
        <v>31944</v>
      </c>
      <c r="BA1137" s="16">
        <f t="shared" si="100"/>
        <v>532.4</v>
      </c>
      <c r="BB1137" s="9">
        <f t="shared" si="101"/>
        <v>2.956276164540093</v>
      </c>
      <c r="BC1137" s="119">
        <f t="shared" si="102"/>
        <v>35.501284352798457</v>
      </c>
    </row>
    <row r="1138" spans="49:55" x14ac:dyDescent="0.3">
      <c r="AW1138" s="7">
        <v>45049.041666666664</v>
      </c>
      <c r="AX1138" s="51">
        <v>7.6216022093034399E-3</v>
      </c>
      <c r="AY1138" s="16">
        <v>97.229596529999995</v>
      </c>
      <c r="AZ1138" s="2">
        <v>30427</v>
      </c>
      <c r="BA1138" s="16">
        <f t="shared" si="100"/>
        <v>507.11666666666667</v>
      </c>
      <c r="BB1138" s="9">
        <f t="shared" si="101"/>
        <v>3.8650415070412629</v>
      </c>
      <c r="BC1138" s="119">
        <f t="shared" si="102"/>
        <v>42.416980308597417</v>
      </c>
    </row>
    <row r="1139" spans="49:55" x14ac:dyDescent="0.3">
      <c r="AW1139" s="7">
        <v>45049.052083333336</v>
      </c>
      <c r="AX1139" s="51">
        <v>6.1987079823816998E-3</v>
      </c>
      <c r="AY1139" s="16">
        <v>95.561650760000006</v>
      </c>
      <c r="AZ1139" s="2">
        <v>30784</v>
      </c>
      <c r="BA1139" s="16">
        <f t="shared" si="100"/>
        <v>513.06666666666672</v>
      </c>
      <c r="BB1139" s="9">
        <f t="shared" si="101"/>
        <v>3.1803504421606377</v>
      </c>
      <c r="BC1139" s="119">
        <f t="shared" si="102"/>
        <v>37.265999079269584</v>
      </c>
    </row>
    <row r="1140" spans="49:55" x14ac:dyDescent="0.3">
      <c r="AW1140" s="7">
        <v>45049.0625</v>
      </c>
      <c r="AX1140" s="51">
        <v>5.2227900416339703E-3</v>
      </c>
      <c r="AY1140" s="16">
        <v>98.886564129999996</v>
      </c>
      <c r="AZ1140" s="2">
        <v>38472</v>
      </c>
      <c r="BA1140" s="16">
        <f t="shared" si="100"/>
        <v>641.20000000000005</v>
      </c>
      <c r="BB1140" s="9">
        <f t="shared" si="101"/>
        <v>3.3488529746957019</v>
      </c>
      <c r="BC1140" s="119">
        <f t="shared" si="102"/>
        <v>38.565625683842669</v>
      </c>
    </row>
    <row r="1141" spans="49:55" x14ac:dyDescent="0.3">
      <c r="AW1141" s="7">
        <v>45049.072916666664</v>
      </c>
      <c r="AX1141" s="51">
        <v>2.8667402801939401E-3</v>
      </c>
      <c r="AY1141" s="16">
        <v>95.977802339999997</v>
      </c>
      <c r="AZ1141" s="2">
        <v>43844</v>
      </c>
      <c r="BA1141" s="16">
        <f t="shared" si="100"/>
        <v>730.73333333333335</v>
      </c>
      <c r="BB1141" s="9">
        <f t="shared" si="101"/>
        <v>2.0948226807470518</v>
      </c>
      <c r="BC1141" s="119">
        <f t="shared" si="102"/>
        <v>28.243022331421191</v>
      </c>
    </row>
    <row r="1142" spans="49:55" x14ac:dyDescent="0.3">
      <c r="AW1142" s="7">
        <v>45049.083333333336</v>
      </c>
      <c r="AX1142" s="51">
        <v>2.7872271173557399E-3</v>
      </c>
      <c r="AY1142" s="16">
        <v>95.561650760000006</v>
      </c>
      <c r="AZ1142" s="2">
        <v>43607</v>
      </c>
      <c r="BA1142" s="16">
        <f t="shared" si="100"/>
        <v>726.7833333333333</v>
      </c>
      <c r="BB1142" s="9">
        <f t="shared" si="101"/>
        <v>2.0257102151088624</v>
      </c>
      <c r="BC1142" s="119">
        <f t="shared" si="102"/>
        <v>27.620829887006671</v>
      </c>
    </row>
    <row r="1143" spans="49:55" x14ac:dyDescent="0.3">
      <c r="AW1143" s="7">
        <v>45049.09375</v>
      </c>
      <c r="AX1143" s="51">
        <v>2.7776558104277899E-3</v>
      </c>
      <c r="AY1143" s="16">
        <v>93.457733590000004</v>
      </c>
      <c r="AZ1143" s="2">
        <v>43298</v>
      </c>
      <c r="BA1143" s="16">
        <f t="shared" si="100"/>
        <v>721.63333333333333</v>
      </c>
      <c r="BB1143" s="9">
        <f t="shared" si="101"/>
        <v>2.0044490213317077</v>
      </c>
      <c r="BC1143" s="119">
        <f t="shared" si="102"/>
        <v>27.42799578906493</v>
      </c>
    </row>
    <row r="1144" spans="49:55" x14ac:dyDescent="0.3">
      <c r="AW1144" s="7">
        <v>45049.104166666664</v>
      </c>
      <c r="AX1144" s="51">
        <v>3.1408220827664102E-3</v>
      </c>
      <c r="AY1144" s="16">
        <v>96.815355729999993</v>
      </c>
      <c r="AZ1144" s="2">
        <v>43241</v>
      </c>
      <c r="BA1144" s="16">
        <f t="shared" si="100"/>
        <v>720.68333333333328</v>
      </c>
      <c r="BB1144" s="9">
        <f t="shared" si="101"/>
        <v>2.2635381280150391</v>
      </c>
      <c r="BC1144" s="119">
        <f t="shared" si="102"/>
        <v>29.733668323281144</v>
      </c>
    </row>
    <row r="1145" spans="49:55" x14ac:dyDescent="0.3">
      <c r="AW1145" s="7">
        <v>45049.114583333336</v>
      </c>
      <c r="AX1145" s="51">
        <v>2.8129246360103898E-3</v>
      </c>
      <c r="AY1145" s="16">
        <v>100.1311515</v>
      </c>
      <c r="AZ1145" s="2">
        <v>42410</v>
      </c>
      <c r="BA1145" s="16">
        <f t="shared" si="100"/>
        <v>706.83333333333337</v>
      </c>
      <c r="BB1145" s="9">
        <f t="shared" si="101"/>
        <v>1.9882688968866773</v>
      </c>
      <c r="BC1145" s="119">
        <f t="shared" si="102"/>
        <v>27.280784988784664</v>
      </c>
    </row>
    <row r="1146" spans="49:55" x14ac:dyDescent="0.3">
      <c r="AW1146" s="7">
        <v>45049.125</v>
      </c>
      <c r="AX1146" s="51">
        <v>2.8013842523237202E-3</v>
      </c>
      <c r="AY1146" s="16">
        <v>103.3988808</v>
      </c>
      <c r="AZ1146" s="2">
        <v>42527</v>
      </c>
      <c r="BA1146" s="16">
        <f t="shared" si="100"/>
        <v>708.7833333333333</v>
      </c>
      <c r="BB1146" s="9">
        <f t="shared" si="101"/>
        <v>1.985574468309514</v>
      </c>
      <c r="BC1146" s="119">
        <f t="shared" si="102"/>
        <v>27.256231374879665</v>
      </c>
    </row>
    <row r="1147" spans="49:55" x14ac:dyDescent="0.3">
      <c r="AW1147" s="7">
        <v>45049.135416666664</v>
      </c>
      <c r="AX1147" s="51">
        <v>2.8638760779803999E-3</v>
      </c>
      <c r="AY1147" s="16">
        <v>102.17638460000001</v>
      </c>
      <c r="AZ1147" s="2">
        <v>42437</v>
      </c>
      <c r="BA1147" s="16">
        <f t="shared" si="100"/>
        <v>707.2833333333333</v>
      </c>
      <c r="BB1147" s="9">
        <f t="shared" si="101"/>
        <v>2.0255718186875704</v>
      </c>
      <c r="BC1147" s="119">
        <f t="shared" si="102"/>
        <v>27.619576868950418</v>
      </c>
    </row>
    <row r="1148" spans="49:55" x14ac:dyDescent="0.3">
      <c r="AW1148" s="7">
        <v>45049.145833333336</v>
      </c>
      <c r="AX1148" s="51">
        <v>2.95147228922824E-3</v>
      </c>
      <c r="AY1148" s="16">
        <v>96.808208239999999</v>
      </c>
      <c r="AZ1148" s="2">
        <v>42182</v>
      </c>
      <c r="BA1148" s="16">
        <f t="shared" si="100"/>
        <v>703.0333333333333</v>
      </c>
      <c r="BB1148" s="9">
        <f t="shared" si="101"/>
        <v>2.0749834017370934</v>
      </c>
      <c r="BC1148" s="119">
        <f t="shared" si="102"/>
        <v>28.06513245474541</v>
      </c>
    </row>
    <row r="1149" spans="49:55" x14ac:dyDescent="0.3">
      <c r="AW1149" s="7">
        <v>45049.15625</v>
      </c>
      <c r="AX1149" s="51">
        <v>2.8129859415091398E-3</v>
      </c>
      <c r="AY1149" s="16">
        <v>100.12409340000001</v>
      </c>
      <c r="AZ1149" s="2">
        <v>42017</v>
      </c>
      <c r="BA1149" s="16">
        <f t="shared" si="100"/>
        <v>700.2833333333333</v>
      </c>
      <c r="BB1149" s="9">
        <f t="shared" si="101"/>
        <v>1.9698871717398254</v>
      </c>
      <c r="BC1149" s="119">
        <f t="shared" si="102"/>
        <v>27.113054160591663</v>
      </c>
    </row>
    <row r="1150" spans="49:55" x14ac:dyDescent="0.3">
      <c r="AW1150" s="7">
        <v>45049.166666666664</v>
      </c>
      <c r="AX1150" s="51">
        <v>2.86027452679531E-3</v>
      </c>
      <c r="AY1150" s="16">
        <v>98.055454810000001</v>
      </c>
      <c r="AZ1150" s="2">
        <v>42353</v>
      </c>
      <c r="BA1150" s="16">
        <f t="shared" si="100"/>
        <v>705.88333333333333</v>
      </c>
      <c r="BB1150" s="9">
        <f t="shared" si="101"/>
        <v>2.0190201172226958</v>
      </c>
      <c r="BC1150" s="119">
        <f t="shared" si="102"/>
        <v>27.560225898562251</v>
      </c>
    </row>
    <row r="1151" spans="49:55" x14ac:dyDescent="0.3">
      <c r="AW1151" s="7">
        <v>45049.177083333336</v>
      </c>
      <c r="AX1151" s="51">
        <v>2.8971548868292102E-3</v>
      </c>
      <c r="AY1151" s="16">
        <v>103.3988808</v>
      </c>
      <c r="AZ1151" s="2">
        <v>42174</v>
      </c>
      <c r="BA1151" s="16">
        <f t="shared" si="100"/>
        <v>702.9</v>
      </c>
      <c r="BB1151" s="9">
        <f t="shared" si="101"/>
        <v>2.0364101699522519</v>
      </c>
      <c r="BC1151" s="119">
        <f t="shared" si="102"/>
        <v>27.717618613280294</v>
      </c>
    </row>
    <row r="1152" spans="49:55" x14ac:dyDescent="0.3">
      <c r="AW1152" s="7">
        <v>45049.1875</v>
      </c>
      <c r="AX1152" s="51">
        <v>2.9655517530506898E-3</v>
      </c>
      <c r="AY1152" s="16">
        <v>98.055454810000001</v>
      </c>
      <c r="AZ1152" s="2">
        <v>42814</v>
      </c>
      <c r="BA1152" s="16">
        <f t="shared" si="100"/>
        <v>713.56666666666672</v>
      </c>
      <c r="BB1152" s="9">
        <f t="shared" si="101"/>
        <v>2.1161188792518706</v>
      </c>
      <c r="BC1152" s="119">
        <f t="shared" si="102"/>
        <v>28.43334698286851</v>
      </c>
    </row>
    <row r="1153" spans="49:55" x14ac:dyDescent="0.3">
      <c r="AW1153" s="7">
        <v>45049.197916666664</v>
      </c>
      <c r="AX1153" s="51">
        <v>2.8216441595196201E-3</v>
      </c>
      <c r="AY1153" s="16">
        <v>93.457733590000004</v>
      </c>
      <c r="AZ1153" s="2">
        <v>42252</v>
      </c>
      <c r="BA1153" s="16">
        <f t="shared" si="100"/>
        <v>704.2</v>
      </c>
      <c r="BB1153" s="9">
        <f t="shared" si="101"/>
        <v>1.9870018171337165</v>
      </c>
      <c r="BC1153" s="119">
        <f t="shared" si="102"/>
        <v>27.269239820117832</v>
      </c>
    </row>
    <row r="1154" spans="49:55" x14ac:dyDescent="0.3">
      <c r="AW1154" s="7">
        <v>45049.208333333336</v>
      </c>
      <c r="AX1154" s="51">
        <v>2.78933896504594E-3</v>
      </c>
      <c r="AY1154" s="16">
        <v>95.977802339999997</v>
      </c>
      <c r="AZ1154" s="2">
        <v>41724</v>
      </c>
      <c r="BA1154" s="16">
        <f t="shared" si="100"/>
        <v>695.4</v>
      </c>
      <c r="BB1154" s="9">
        <f t="shared" si="101"/>
        <v>1.9397063162929467</v>
      </c>
      <c r="BC1154" s="119">
        <f t="shared" si="102"/>
        <v>26.836512348103209</v>
      </c>
    </row>
    <row r="1155" spans="49:55" x14ac:dyDescent="0.3">
      <c r="AW1155" s="7">
        <v>45049.21875</v>
      </c>
      <c r="AX1155" s="51">
        <v>2.7041724054431499E-3</v>
      </c>
      <c r="AY1155" s="16">
        <v>98.886564129999996</v>
      </c>
      <c r="AZ1155" s="2">
        <v>41855</v>
      </c>
      <c r="BA1155" s="16">
        <f t="shared" si="100"/>
        <v>697.58333333333337</v>
      </c>
      <c r="BB1155" s="9">
        <f t="shared" si="101"/>
        <v>1.8863856004970507</v>
      </c>
      <c r="BC1155" s="119">
        <f t="shared" si="102"/>
        <v>26.344382156335755</v>
      </c>
    </row>
    <row r="1156" spans="49:55" x14ac:dyDescent="0.3">
      <c r="AW1156" s="7">
        <v>45049.229166666664</v>
      </c>
      <c r="AX1156" s="51">
        <v>2.80531559097754E-3</v>
      </c>
      <c r="AY1156" s="16">
        <v>94.720978599999995</v>
      </c>
      <c r="AZ1156" s="2">
        <v>41430</v>
      </c>
      <c r="BA1156" s="16">
        <f t="shared" ref="BA1156:BA1219" si="103">AZ1156/60</f>
        <v>690.5</v>
      </c>
      <c r="BB1156" s="9">
        <f t="shared" ref="BB1156:BB1219" si="104">BA1156*AX1156</f>
        <v>1.9370704155699914</v>
      </c>
      <c r="BC1156" s="119">
        <f t="shared" ref="BC1156:BC1219" si="105">17.285*BB1156^0.664</f>
        <v>26.812291663159595</v>
      </c>
    </row>
    <row r="1157" spans="49:55" x14ac:dyDescent="0.3">
      <c r="AW1157" s="7">
        <v>45049.239583333336</v>
      </c>
      <c r="AX1157" s="51">
        <v>2.72209352379005E-3</v>
      </c>
      <c r="AY1157" s="16">
        <v>100.12409340000001</v>
      </c>
      <c r="AZ1157" s="2">
        <v>41397</v>
      </c>
      <c r="BA1157" s="16">
        <f t="shared" si="103"/>
        <v>689.95</v>
      </c>
      <c r="BB1157" s="9">
        <f t="shared" si="104"/>
        <v>1.8781084267389452</v>
      </c>
      <c r="BC1157" s="119">
        <f t="shared" si="105"/>
        <v>26.267570284377491</v>
      </c>
    </row>
    <row r="1158" spans="49:55" x14ac:dyDescent="0.3">
      <c r="AW1158" s="7">
        <v>45049.25</v>
      </c>
      <c r="AX1158" s="51">
        <v>2.5992559728735699E-3</v>
      </c>
      <c r="AY1158" s="16">
        <v>98.886564129999996</v>
      </c>
      <c r="AZ1158" s="2">
        <v>41006</v>
      </c>
      <c r="BA1158" s="16">
        <f t="shared" si="103"/>
        <v>683.43333333333328</v>
      </c>
      <c r="BB1158" s="9">
        <f t="shared" si="104"/>
        <v>1.7764181737275599</v>
      </c>
      <c r="BC1158" s="119">
        <f t="shared" si="105"/>
        <v>25.31438621423694</v>
      </c>
    </row>
    <row r="1159" spans="49:55" x14ac:dyDescent="0.3">
      <c r="AW1159" s="7">
        <v>45049.260416666664</v>
      </c>
      <c r="AX1159" s="51">
        <v>2.8144433216669598E-3</v>
      </c>
      <c r="AY1159" s="16">
        <v>94.720978599999995</v>
      </c>
      <c r="AZ1159" s="2">
        <v>41003</v>
      </c>
      <c r="BA1159" s="16">
        <f t="shared" si="103"/>
        <v>683.38333333333333</v>
      </c>
      <c r="BB1159" s="9">
        <f t="shared" si="104"/>
        <v>1.9233436586385058</v>
      </c>
      <c r="BC1159" s="119">
        <f t="shared" si="105"/>
        <v>26.68598015842025</v>
      </c>
    </row>
    <row r="1160" spans="49:55" x14ac:dyDescent="0.3">
      <c r="AW1160" s="7">
        <v>45049.270833333336</v>
      </c>
      <c r="AX1160" s="51">
        <v>2.6121165873810299E-3</v>
      </c>
      <c r="AY1160" s="16">
        <v>100.9486689</v>
      </c>
      <c r="AZ1160" s="2">
        <v>41431</v>
      </c>
      <c r="BA1160" s="16">
        <f t="shared" si="103"/>
        <v>690.51666666666665</v>
      </c>
      <c r="BB1160" s="9">
        <f t="shared" si="104"/>
        <v>1.8037100388630576</v>
      </c>
      <c r="BC1160" s="119">
        <f t="shared" si="105"/>
        <v>25.571964188692466</v>
      </c>
    </row>
    <row r="1161" spans="49:55" x14ac:dyDescent="0.3">
      <c r="AW1161" s="7">
        <v>45049.28125</v>
      </c>
      <c r="AX1161" s="51">
        <v>2.6394525734351202E-3</v>
      </c>
      <c r="AY1161" s="16">
        <v>103.3988808</v>
      </c>
      <c r="AZ1161" s="2">
        <v>41080</v>
      </c>
      <c r="BA1161" s="16">
        <f t="shared" si="103"/>
        <v>684.66666666666663</v>
      </c>
      <c r="BB1161" s="9">
        <f t="shared" si="104"/>
        <v>1.8071451952785789</v>
      </c>
      <c r="BC1161" s="119">
        <f t="shared" si="105"/>
        <v>25.604291761775059</v>
      </c>
    </row>
    <row r="1162" spans="49:55" x14ac:dyDescent="0.3">
      <c r="AW1162" s="7">
        <v>45049.291666666664</v>
      </c>
      <c r="AX1162" s="51">
        <v>2.6759961981875201E-3</v>
      </c>
      <c r="AY1162" s="16">
        <v>108.62303609999999</v>
      </c>
      <c r="AZ1162" s="2">
        <v>40293</v>
      </c>
      <c r="BA1162" s="16">
        <f t="shared" si="103"/>
        <v>671.55</v>
      </c>
      <c r="BB1162" s="9">
        <f t="shared" si="104"/>
        <v>1.797065246892829</v>
      </c>
      <c r="BC1162" s="119">
        <f t="shared" si="105"/>
        <v>25.509372599414846</v>
      </c>
    </row>
    <row r="1163" spans="49:55" x14ac:dyDescent="0.3">
      <c r="AW1163" s="7">
        <v>45049.302083333336</v>
      </c>
      <c r="AX1163" s="51">
        <v>2.59248057414025E-3</v>
      </c>
      <c r="AY1163" s="16">
        <v>93.457733590000004</v>
      </c>
      <c r="AZ1163" s="2">
        <v>41474</v>
      </c>
      <c r="BA1163" s="16">
        <f t="shared" si="103"/>
        <v>691.23333333333335</v>
      </c>
      <c r="BB1163" s="9">
        <f t="shared" si="104"/>
        <v>1.7920089888648789</v>
      </c>
      <c r="BC1163" s="119">
        <f t="shared" si="105"/>
        <v>25.461692326288951</v>
      </c>
    </row>
    <row r="1164" spans="49:55" x14ac:dyDescent="0.3">
      <c r="AW1164" s="7">
        <v>45049.3125</v>
      </c>
      <c r="AX1164" s="51">
        <v>2.6501327787081998E-3</v>
      </c>
      <c r="AY1164" s="16">
        <v>98.893656829999998</v>
      </c>
      <c r="AZ1164" s="2">
        <v>40956</v>
      </c>
      <c r="BA1164" s="16">
        <f t="shared" si="103"/>
        <v>682.6</v>
      </c>
      <c r="BB1164" s="9">
        <f t="shared" si="104"/>
        <v>1.8089806347462172</v>
      </c>
      <c r="BC1164" s="119">
        <f t="shared" si="105"/>
        <v>25.621556253173704</v>
      </c>
    </row>
    <row r="1165" spans="49:55" x14ac:dyDescent="0.3">
      <c r="AW1165" s="7">
        <v>45049.322916666664</v>
      </c>
      <c r="AX1165" s="51">
        <v>2.6695045504579701E-3</v>
      </c>
      <c r="AY1165" s="16">
        <v>91.345373739999999</v>
      </c>
      <c r="AZ1165" s="2">
        <v>40193</v>
      </c>
      <c r="BA1165" s="16">
        <f t="shared" si="103"/>
        <v>669.88333333333333</v>
      </c>
      <c r="BB1165" s="9">
        <f t="shared" si="104"/>
        <v>1.7882566066092864</v>
      </c>
      <c r="BC1165" s="119">
        <f t="shared" si="105"/>
        <v>25.426278314405188</v>
      </c>
    </row>
    <row r="1166" spans="49:55" x14ac:dyDescent="0.3">
      <c r="AW1166" s="7">
        <v>45049.333333333336</v>
      </c>
      <c r="AX1166" s="51">
        <v>2.6432586177433199E-3</v>
      </c>
      <c r="AY1166" s="16">
        <v>94.720978599999995</v>
      </c>
      <c r="AZ1166" s="2">
        <v>40752</v>
      </c>
      <c r="BA1166" s="16">
        <f t="shared" si="103"/>
        <v>679.2</v>
      </c>
      <c r="BB1166" s="9">
        <f t="shared" si="104"/>
        <v>1.7953012531712631</v>
      </c>
      <c r="BC1166" s="119">
        <f t="shared" si="105"/>
        <v>25.492743348345158</v>
      </c>
    </row>
    <row r="1167" spans="49:55" x14ac:dyDescent="0.3">
      <c r="AW1167" s="7">
        <v>45049.34375</v>
      </c>
      <c r="AX1167" s="51">
        <v>2.5888069350957499E-3</v>
      </c>
      <c r="AY1167" s="16">
        <v>97.229596529999995</v>
      </c>
      <c r="AZ1167" s="2">
        <v>39467</v>
      </c>
      <c r="BA1167" s="16">
        <f t="shared" si="103"/>
        <v>657.7833333333333</v>
      </c>
      <c r="BB1167" s="9">
        <f t="shared" si="104"/>
        <v>1.7028740551237327</v>
      </c>
      <c r="BC1167" s="119">
        <f t="shared" si="105"/>
        <v>24.613568510368552</v>
      </c>
    </row>
    <row r="1168" spans="49:55" x14ac:dyDescent="0.3">
      <c r="AW1168" s="7">
        <v>45049.354166666664</v>
      </c>
      <c r="AX1168" s="51">
        <v>2.5986875171784001E-3</v>
      </c>
      <c r="AY1168" s="16">
        <v>91.338086169999997</v>
      </c>
      <c r="AZ1168" s="2">
        <v>39256</v>
      </c>
      <c r="BA1168" s="16">
        <f t="shared" si="103"/>
        <v>654.26666666666665</v>
      </c>
      <c r="BB1168" s="9">
        <f t="shared" si="104"/>
        <v>1.7002346195725879</v>
      </c>
      <c r="BC1168" s="119">
        <f t="shared" si="105"/>
        <v>24.58822980927151</v>
      </c>
    </row>
    <row r="1169" spans="49:55" x14ac:dyDescent="0.3">
      <c r="AW1169" s="7">
        <v>45049.364583333336</v>
      </c>
      <c r="AX1169" s="51">
        <v>2.5783105252500799E-3</v>
      </c>
      <c r="AY1169" s="16">
        <v>90.492164919999993</v>
      </c>
      <c r="AZ1169" s="2">
        <v>39564</v>
      </c>
      <c r="BA1169" s="16">
        <f t="shared" si="103"/>
        <v>659.4</v>
      </c>
      <c r="BB1169" s="9">
        <f t="shared" si="104"/>
        <v>1.7001379603499025</v>
      </c>
      <c r="BC1169" s="119">
        <f t="shared" si="105"/>
        <v>24.587301625578206</v>
      </c>
    </row>
    <row r="1170" spans="49:55" x14ac:dyDescent="0.3">
      <c r="AW1170" s="7">
        <v>45049.375</v>
      </c>
      <c r="AX1170" s="51">
        <v>2.69019456286458E-3</v>
      </c>
      <c r="AY1170" s="16">
        <v>92.610732819999996</v>
      </c>
      <c r="AZ1170" s="2">
        <v>39564</v>
      </c>
      <c r="BA1170" s="16">
        <f t="shared" si="103"/>
        <v>659.4</v>
      </c>
      <c r="BB1170" s="9">
        <f t="shared" si="104"/>
        <v>1.7739142947529039</v>
      </c>
      <c r="BC1170" s="119">
        <f t="shared" si="105"/>
        <v>25.290688497760947</v>
      </c>
    </row>
    <row r="1171" spans="49:55" x14ac:dyDescent="0.3">
      <c r="AW1171" s="7">
        <v>45049.385416666664</v>
      </c>
      <c r="AX1171" s="51">
        <v>2.5546887105061299E-3</v>
      </c>
      <c r="AY1171" s="16">
        <v>87.058386479999996</v>
      </c>
      <c r="AZ1171" s="2">
        <v>39777</v>
      </c>
      <c r="BA1171" s="16">
        <f t="shared" si="103"/>
        <v>662.95</v>
      </c>
      <c r="BB1171" s="9">
        <f t="shared" si="104"/>
        <v>1.6936308806300389</v>
      </c>
      <c r="BC1171" s="119">
        <f t="shared" si="105"/>
        <v>24.524775639443639</v>
      </c>
    </row>
    <row r="1172" spans="49:55" x14ac:dyDescent="0.3">
      <c r="AW1172" s="7">
        <v>45049.395833333336</v>
      </c>
      <c r="AX1172" s="51">
        <v>2.78172589177013E-3</v>
      </c>
      <c r="AY1172" s="16">
        <v>90.492164919999993</v>
      </c>
      <c r="AZ1172" s="2">
        <v>39561</v>
      </c>
      <c r="BA1172" s="16">
        <f t="shared" si="103"/>
        <v>659.35</v>
      </c>
      <c r="BB1172" s="9">
        <f t="shared" si="104"/>
        <v>1.8341309667386354</v>
      </c>
      <c r="BC1172" s="119">
        <f t="shared" si="105"/>
        <v>25.857535635950164</v>
      </c>
    </row>
    <row r="1173" spans="49:55" x14ac:dyDescent="0.3">
      <c r="AW1173" s="7">
        <v>45049.40625</v>
      </c>
      <c r="AX1173" s="51">
        <v>2.5896703611965298E-3</v>
      </c>
      <c r="AY1173" s="16">
        <v>90.492164919999993</v>
      </c>
      <c r="AZ1173" s="2">
        <v>39797</v>
      </c>
      <c r="BA1173" s="16">
        <f t="shared" si="103"/>
        <v>663.2833333333333</v>
      </c>
      <c r="BB1173" s="9">
        <f t="shared" si="104"/>
        <v>1.7176851894089715</v>
      </c>
      <c r="BC1173" s="119">
        <f t="shared" si="105"/>
        <v>24.755512118059048</v>
      </c>
    </row>
    <row r="1174" spans="49:55" x14ac:dyDescent="0.3">
      <c r="AW1174" s="7">
        <v>45049.416666666664</v>
      </c>
      <c r="AX1174" s="51">
        <v>2.8139300088016999E-3</v>
      </c>
      <c r="AY1174" s="16">
        <v>90.060609240000005</v>
      </c>
      <c r="AZ1174" s="2">
        <v>39000</v>
      </c>
      <c r="BA1174" s="16">
        <f t="shared" si="103"/>
        <v>650</v>
      </c>
      <c r="BB1174" s="9">
        <f t="shared" si="104"/>
        <v>1.829054505721105</v>
      </c>
      <c r="BC1174" s="119">
        <f t="shared" si="105"/>
        <v>25.809992473491327</v>
      </c>
    </row>
    <row r="1175" spans="49:55" x14ac:dyDescent="0.3">
      <c r="AW1175" s="7">
        <v>45049.427083333336</v>
      </c>
      <c r="AX1175" s="51">
        <v>2.7308104502718799E-3</v>
      </c>
      <c r="AY1175" s="16">
        <v>91.338086169999997</v>
      </c>
      <c r="AZ1175" s="2">
        <v>38991</v>
      </c>
      <c r="BA1175" s="16">
        <f t="shared" si="103"/>
        <v>649.85</v>
      </c>
      <c r="BB1175" s="9">
        <f t="shared" si="104"/>
        <v>1.7746171711091812</v>
      </c>
      <c r="BC1175" s="119">
        <f t="shared" si="105"/>
        <v>25.297341935965857</v>
      </c>
    </row>
    <row r="1176" spans="49:55" x14ac:dyDescent="0.3">
      <c r="AW1176" s="7">
        <v>45049.4375</v>
      </c>
      <c r="AX1176" s="51">
        <v>2.5581164902856801E-3</v>
      </c>
      <c r="AY1176" s="16">
        <v>87.058386479999996</v>
      </c>
      <c r="AZ1176" s="2">
        <v>38882</v>
      </c>
      <c r="BA1176" s="16">
        <f t="shared" si="103"/>
        <v>648.0333333333333</v>
      </c>
      <c r="BB1176" s="9">
        <f t="shared" si="104"/>
        <v>1.6577447562547969</v>
      </c>
      <c r="BC1176" s="119">
        <f t="shared" si="105"/>
        <v>24.17848650800315</v>
      </c>
    </row>
    <row r="1177" spans="49:55" x14ac:dyDescent="0.3">
      <c r="AW1177" s="7">
        <v>45049.447916666664</v>
      </c>
      <c r="AX1177" s="51">
        <v>2.6920398314612699E-3</v>
      </c>
      <c r="AY1177" s="16">
        <v>93.877037450000003</v>
      </c>
      <c r="AZ1177" s="2">
        <v>40005</v>
      </c>
      <c r="BA1177" s="16">
        <f t="shared" si="103"/>
        <v>666.75</v>
      </c>
      <c r="BB1177" s="9">
        <f t="shared" si="104"/>
        <v>1.7949175576268017</v>
      </c>
      <c r="BC1177" s="119">
        <f t="shared" si="105"/>
        <v>25.489125505732186</v>
      </c>
    </row>
    <row r="1178" spans="49:55" x14ac:dyDescent="0.3">
      <c r="AW1178" s="7">
        <v>45049.458333333336</v>
      </c>
      <c r="AX1178" s="51">
        <v>2.6996018934697802E-3</v>
      </c>
      <c r="AY1178" s="16">
        <v>89.209976960000006</v>
      </c>
      <c r="AZ1178" s="2">
        <v>38451</v>
      </c>
      <c r="BA1178" s="16">
        <f t="shared" si="103"/>
        <v>640.85</v>
      </c>
      <c r="BB1178" s="9">
        <f t="shared" si="104"/>
        <v>1.7300398734301088</v>
      </c>
      <c r="BC1178" s="119">
        <f t="shared" si="105"/>
        <v>24.873599811349266</v>
      </c>
    </row>
    <row r="1179" spans="49:55" x14ac:dyDescent="0.3">
      <c r="AW1179" s="7">
        <v>45049.46875</v>
      </c>
      <c r="AX1179" s="51">
        <v>2.5771906301166299E-3</v>
      </c>
      <c r="AY1179" s="16">
        <v>91.338086169999997</v>
      </c>
      <c r="AZ1179" s="2">
        <v>38781</v>
      </c>
      <c r="BA1179" s="16">
        <f t="shared" si="103"/>
        <v>646.35</v>
      </c>
      <c r="BB1179" s="9">
        <f t="shared" si="104"/>
        <v>1.6657671637758837</v>
      </c>
      <c r="BC1179" s="119">
        <f t="shared" si="105"/>
        <v>24.256116899732135</v>
      </c>
    </row>
    <row r="1180" spans="49:55" x14ac:dyDescent="0.3">
      <c r="AW1180" s="7">
        <v>45049.479166666664</v>
      </c>
      <c r="AX1180" s="51">
        <v>2.4430697276989102E-3</v>
      </c>
      <c r="AY1180" s="16">
        <v>84.891986889999998</v>
      </c>
      <c r="AZ1180" s="2">
        <v>38053</v>
      </c>
      <c r="BA1180" s="16">
        <f t="shared" si="103"/>
        <v>634.2166666666667</v>
      </c>
      <c r="BB1180" s="9">
        <f t="shared" si="104"/>
        <v>1.549435539135444</v>
      </c>
      <c r="BC1180" s="119">
        <f t="shared" si="105"/>
        <v>23.117698562866384</v>
      </c>
    </row>
    <row r="1181" spans="49:55" x14ac:dyDescent="0.3">
      <c r="AW1181" s="7">
        <v>45049.489583333336</v>
      </c>
      <c r="AX1181" s="51">
        <v>2.66517919852875E-3</v>
      </c>
      <c r="AY1181" s="16">
        <v>87.058386479999996</v>
      </c>
      <c r="AZ1181" s="2">
        <v>38811</v>
      </c>
      <c r="BA1181" s="16">
        <f t="shared" si="103"/>
        <v>646.85</v>
      </c>
      <c r="BB1181" s="9">
        <f t="shared" si="104"/>
        <v>1.723971164568322</v>
      </c>
      <c r="BC1181" s="119">
        <f t="shared" si="105"/>
        <v>24.815629828071376</v>
      </c>
    </row>
    <row r="1182" spans="49:55" x14ac:dyDescent="0.3">
      <c r="AW1182" s="7">
        <v>45049.5</v>
      </c>
      <c r="AX1182" s="51">
        <v>2.7468809415676899E-3</v>
      </c>
      <c r="AY1182" s="16">
        <v>87.922589900000006</v>
      </c>
      <c r="AZ1182" s="2">
        <v>39304</v>
      </c>
      <c r="BA1182" s="16">
        <f t="shared" si="103"/>
        <v>655.06666666666672</v>
      </c>
      <c r="BB1182" s="9">
        <f t="shared" si="104"/>
        <v>1.7993901421229415</v>
      </c>
      <c r="BC1182" s="119">
        <f t="shared" si="105"/>
        <v>25.53128111990792</v>
      </c>
    </row>
    <row r="1183" spans="49:55" x14ac:dyDescent="0.3">
      <c r="AW1183" s="7">
        <v>45049.510416666664</v>
      </c>
      <c r="AX1183" s="51">
        <v>2.5506388604910201E-3</v>
      </c>
      <c r="AY1183" s="16">
        <v>95.977802339999997</v>
      </c>
      <c r="AZ1183" s="2">
        <v>39263</v>
      </c>
      <c r="BA1183" s="16">
        <f t="shared" si="103"/>
        <v>654.38333333333333</v>
      </c>
      <c r="BB1183" s="9">
        <f t="shared" si="104"/>
        <v>1.6690955596576487</v>
      </c>
      <c r="BC1183" s="119">
        <f t="shared" si="105"/>
        <v>24.288287884507341</v>
      </c>
    </row>
    <row r="1184" spans="49:55" x14ac:dyDescent="0.3">
      <c r="AW1184" s="7">
        <v>45049.520833333336</v>
      </c>
      <c r="AX1184" s="51">
        <v>2.6723707584595299E-3</v>
      </c>
      <c r="AY1184" s="16">
        <v>92.617989059999999</v>
      </c>
      <c r="AZ1184" s="2">
        <v>39412</v>
      </c>
      <c r="BA1184" s="16">
        <f t="shared" si="103"/>
        <v>656.86666666666667</v>
      </c>
      <c r="BB1184" s="9">
        <f t="shared" si="104"/>
        <v>1.7553912722067833</v>
      </c>
      <c r="BC1184" s="119">
        <f t="shared" si="105"/>
        <v>25.115028569764878</v>
      </c>
    </row>
    <row r="1185" spans="49:55" x14ac:dyDescent="0.3">
      <c r="AW1185" s="7">
        <v>45049.53125</v>
      </c>
      <c r="AX1185" s="51">
        <v>2.5946024317556301E-3</v>
      </c>
      <c r="AY1185" s="16">
        <v>91.767774239999994</v>
      </c>
      <c r="AZ1185" s="2">
        <v>39153</v>
      </c>
      <c r="BA1185" s="16">
        <f t="shared" si="103"/>
        <v>652.54999999999995</v>
      </c>
      <c r="BB1185" s="9">
        <f t="shared" si="104"/>
        <v>1.6931078168421363</v>
      </c>
      <c r="BC1185" s="119">
        <f t="shared" si="105"/>
        <v>24.519746061425863</v>
      </c>
    </row>
    <row r="1186" spans="49:55" x14ac:dyDescent="0.3">
      <c r="AW1186" s="7">
        <v>45049.541666666664</v>
      </c>
      <c r="AX1186" s="51">
        <v>2.75841542170642E-3</v>
      </c>
      <c r="AY1186" s="16">
        <v>97.229596529999995</v>
      </c>
      <c r="AZ1186" s="2">
        <v>39934</v>
      </c>
      <c r="BA1186" s="16">
        <f t="shared" si="103"/>
        <v>665.56666666666672</v>
      </c>
      <c r="BB1186" s="9">
        <f t="shared" si="104"/>
        <v>1.8359093575070697</v>
      </c>
      <c r="BC1186" s="119">
        <f t="shared" si="105"/>
        <v>25.874180541832057</v>
      </c>
    </row>
    <row r="1187" spans="49:55" x14ac:dyDescent="0.3">
      <c r="AW1187" s="7">
        <v>45049.552083333336</v>
      </c>
      <c r="AX1187" s="51">
        <v>2.79828984070355E-3</v>
      </c>
      <c r="AY1187" s="16">
        <v>93.877037450000003</v>
      </c>
      <c r="AZ1187" s="2">
        <v>40130</v>
      </c>
      <c r="BA1187" s="16">
        <f t="shared" si="103"/>
        <v>668.83333333333337</v>
      </c>
      <c r="BB1187" s="9">
        <f t="shared" si="104"/>
        <v>1.8715895217905578</v>
      </c>
      <c r="BC1187" s="119">
        <f t="shared" si="105"/>
        <v>26.206994989512246</v>
      </c>
    </row>
    <row r="1188" spans="49:55" x14ac:dyDescent="0.3">
      <c r="AW1188" s="7">
        <v>45049.5625</v>
      </c>
      <c r="AX1188" s="51">
        <v>2.7263012406014298E-3</v>
      </c>
      <c r="AY1188" s="16">
        <v>95.138397370000007</v>
      </c>
      <c r="AZ1188" s="2">
        <v>40413</v>
      </c>
      <c r="BA1188" s="16">
        <f t="shared" si="103"/>
        <v>673.55</v>
      </c>
      <c r="BB1188" s="9">
        <f t="shared" si="104"/>
        <v>1.836300200607093</v>
      </c>
      <c r="BC1188" s="119">
        <f t="shared" si="105"/>
        <v>25.877837924192931</v>
      </c>
    </row>
    <row r="1189" spans="49:55" x14ac:dyDescent="0.3">
      <c r="AW1189" s="7">
        <v>45049.572916666664</v>
      </c>
      <c r="AX1189" s="51">
        <v>2.7940439246599402E-3</v>
      </c>
      <c r="AY1189" s="16">
        <v>93.877037450000003</v>
      </c>
      <c r="AZ1189" s="2">
        <v>41209</v>
      </c>
      <c r="BA1189" s="16">
        <f t="shared" si="103"/>
        <v>686.81666666666672</v>
      </c>
      <c r="BB1189" s="9">
        <f t="shared" si="104"/>
        <v>1.9189959348551915</v>
      </c>
      <c r="BC1189" s="119">
        <f t="shared" si="105"/>
        <v>26.645909972480851</v>
      </c>
    </row>
    <row r="1190" spans="49:55" x14ac:dyDescent="0.3">
      <c r="AW1190" s="7">
        <v>45049.583333333336</v>
      </c>
      <c r="AX1190" s="51">
        <v>2.9183668713405101E-3</v>
      </c>
      <c r="AY1190" s="16">
        <v>95.977802339999997</v>
      </c>
      <c r="AZ1190" s="2">
        <v>41949</v>
      </c>
      <c r="BA1190" s="16">
        <f t="shared" si="103"/>
        <v>699.15</v>
      </c>
      <c r="BB1190" s="9">
        <f t="shared" si="104"/>
        <v>2.0403761980977175</v>
      </c>
      <c r="BC1190" s="119">
        <f t="shared" si="105"/>
        <v>27.75345073558999</v>
      </c>
    </row>
    <row r="1191" spans="49:55" x14ac:dyDescent="0.3">
      <c r="AW1191" s="7">
        <v>45049.59375</v>
      </c>
      <c r="AX1191" s="51">
        <v>2.9798794204225999E-3</v>
      </c>
      <c r="AY1191" s="16">
        <v>97.229596529999995</v>
      </c>
      <c r="AZ1191" s="2">
        <v>42631</v>
      </c>
      <c r="BA1191" s="16">
        <f t="shared" si="103"/>
        <v>710.51666666666665</v>
      </c>
      <c r="BB1191" s="9">
        <f t="shared" si="104"/>
        <v>2.1172539928672642</v>
      </c>
      <c r="BC1191" s="119">
        <f t="shared" si="105"/>
        <v>28.443473409151359</v>
      </c>
    </row>
    <row r="1192" spans="49:55" x14ac:dyDescent="0.3">
      <c r="AW1192" s="7">
        <v>45049.604166666664</v>
      </c>
      <c r="AX1192" s="51">
        <v>3.1418154983608201E-3</v>
      </c>
      <c r="AY1192" s="16">
        <v>101.36348099999999</v>
      </c>
      <c r="AZ1192" s="2">
        <v>42686</v>
      </c>
      <c r="BA1192" s="16">
        <f t="shared" si="103"/>
        <v>711.43333333333328</v>
      </c>
      <c r="BB1192" s="9">
        <f t="shared" si="104"/>
        <v>2.2351922727171658</v>
      </c>
      <c r="BC1192" s="119">
        <f t="shared" si="105"/>
        <v>29.485905484467747</v>
      </c>
    </row>
    <row r="1193" spans="49:55" x14ac:dyDescent="0.3">
      <c r="AW1193" s="7">
        <v>45049.614583333336</v>
      </c>
      <c r="AX1193" s="51">
        <v>3.3504025304950799E-3</v>
      </c>
      <c r="AY1193" s="16">
        <v>99.714355679999997</v>
      </c>
      <c r="AZ1193" s="2">
        <v>42592</v>
      </c>
      <c r="BA1193" s="16">
        <f t="shared" si="103"/>
        <v>709.86666666666667</v>
      </c>
      <c r="BB1193" s="9">
        <f t="shared" si="104"/>
        <v>2.3783390763141075</v>
      </c>
      <c r="BC1193" s="119">
        <f t="shared" si="105"/>
        <v>30.726646788199862</v>
      </c>
    </row>
    <row r="1194" spans="49:55" x14ac:dyDescent="0.3">
      <c r="AW1194" s="7">
        <v>45049.625</v>
      </c>
      <c r="AX1194" s="51">
        <v>3.1794404426309102E-3</v>
      </c>
      <c r="AY1194" s="16">
        <v>103.8090014</v>
      </c>
      <c r="AZ1194" s="2">
        <v>42785</v>
      </c>
      <c r="BA1194" s="16">
        <f t="shared" si="103"/>
        <v>713.08333333333337</v>
      </c>
      <c r="BB1194" s="9">
        <f t="shared" si="104"/>
        <v>2.2672059889660585</v>
      </c>
      <c r="BC1194" s="119">
        <f t="shared" si="105"/>
        <v>29.765651637324492</v>
      </c>
    </row>
    <row r="1195" spans="49:55" x14ac:dyDescent="0.3">
      <c r="AW1195" s="7">
        <v>45049.635416666664</v>
      </c>
      <c r="AX1195" s="51">
        <v>3.3125886231556798E-3</v>
      </c>
      <c r="AY1195" s="16">
        <v>103.8090014</v>
      </c>
      <c r="AZ1195" s="2">
        <v>42933</v>
      </c>
      <c r="BA1195" s="16">
        <f t="shared" si="103"/>
        <v>715.55</v>
      </c>
      <c r="BB1195" s="9">
        <f t="shared" si="104"/>
        <v>2.3703227892990464</v>
      </c>
      <c r="BC1195" s="119">
        <f t="shared" si="105"/>
        <v>30.657840369490078</v>
      </c>
    </row>
    <row r="1196" spans="49:55" x14ac:dyDescent="0.3">
      <c r="AW1196" s="7">
        <v>45049.645833333336</v>
      </c>
      <c r="AX1196" s="51">
        <v>3.7184298199755702E-3</v>
      </c>
      <c r="AY1196" s="16">
        <v>103.80204430000001</v>
      </c>
      <c r="AZ1196" s="2">
        <v>42895</v>
      </c>
      <c r="BA1196" s="16">
        <f t="shared" si="103"/>
        <v>714.91666666666663</v>
      </c>
      <c r="BB1196" s="9">
        <f t="shared" si="104"/>
        <v>2.658367452130868</v>
      </c>
      <c r="BC1196" s="119">
        <f t="shared" si="105"/>
        <v>33.083675405985502</v>
      </c>
    </row>
    <row r="1197" spans="49:55" x14ac:dyDescent="0.3">
      <c r="AW1197" s="7">
        <v>45049.65625</v>
      </c>
      <c r="AX1197" s="51">
        <v>3.58189124879655E-3</v>
      </c>
      <c r="AY1197" s="16">
        <v>102.9873886</v>
      </c>
      <c r="AZ1197" s="2">
        <v>42509</v>
      </c>
      <c r="BA1197" s="16">
        <f t="shared" si="103"/>
        <v>708.48333333333335</v>
      </c>
      <c r="BB1197" s="9">
        <f t="shared" si="104"/>
        <v>2.5377102515848757</v>
      </c>
      <c r="BC1197" s="119">
        <f t="shared" si="105"/>
        <v>32.078857661610883</v>
      </c>
    </row>
    <row r="1198" spans="49:55" x14ac:dyDescent="0.3">
      <c r="AW1198" s="7">
        <v>45049.666666666664</v>
      </c>
      <c r="AX1198" s="51">
        <v>3.9761571434141496E-3</v>
      </c>
      <c r="AY1198" s="16">
        <v>104.61473460000001</v>
      </c>
      <c r="AZ1198" s="2">
        <v>41996</v>
      </c>
      <c r="BA1198" s="16">
        <f t="shared" si="103"/>
        <v>699.93333333333328</v>
      </c>
      <c r="BB1198" s="9">
        <f t="shared" si="104"/>
        <v>2.7830449232470102</v>
      </c>
      <c r="BC1198" s="119">
        <f t="shared" si="105"/>
        <v>34.106001572558384</v>
      </c>
    </row>
    <row r="1199" spans="49:55" x14ac:dyDescent="0.3">
      <c r="AW1199" s="7">
        <v>45049.677083333336</v>
      </c>
      <c r="AX1199" s="51">
        <v>3.23545001769274E-3</v>
      </c>
      <c r="AY1199" s="16">
        <v>106.2245245</v>
      </c>
      <c r="AZ1199" s="2">
        <v>42161</v>
      </c>
      <c r="BA1199" s="16">
        <f t="shared" si="103"/>
        <v>702.68333333333328</v>
      </c>
      <c r="BB1199" s="9">
        <f t="shared" si="104"/>
        <v>2.2734968032657266</v>
      </c>
      <c r="BC1199" s="119">
        <f t="shared" si="105"/>
        <v>29.820466346691216</v>
      </c>
    </row>
    <row r="1200" spans="49:55" x14ac:dyDescent="0.3">
      <c r="AW1200" s="7">
        <v>45049.6875</v>
      </c>
      <c r="AX1200" s="51">
        <v>6.6917598095870201E-3</v>
      </c>
      <c r="AY1200" s="16">
        <v>101.7699069</v>
      </c>
      <c r="AZ1200" s="2">
        <v>38596</v>
      </c>
      <c r="BA1200" s="16">
        <f t="shared" si="103"/>
        <v>643.26666666666665</v>
      </c>
      <c r="BB1200" s="9">
        <f t="shared" si="104"/>
        <v>4.3045860268470104</v>
      </c>
      <c r="BC1200" s="119">
        <f t="shared" si="105"/>
        <v>45.561690323991435</v>
      </c>
    </row>
    <row r="1201" spans="49:55" x14ac:dyDescent="0.3">
      <c r="AW1201" s="7">
        <v>45049.697916666664</v>
      </c>
      <c r="AX1201" s="51">
        <v>8.0752833818997904E-3</v>
      </c>
      <c r="AY1201" s="16">
        <v>106.2245245</v>
      </c>
      <c r="AZ1201" s="2">
        <v>27133</v>
      </c>
      <c r="BA1201" s="16">
        <f t="shared" si="103"/>
        <v>452.21666666666664</v>
      </c>
      <c r="BB1201" s="9">
        <f t="shared" si="104"/>
        <v>3.6517777333514498</v>
      </c>
      <c r="BC1201" s="119">
        <f t="shared" si="105"/>
        <v>40.84813785329694</v>
      </c>
    </row>
    <row r="1202" spans="49:55" x14ac:dyDescent="0.3">
      <c r="AW1202" s="7">
        <v>45049.708333333336</v>
      </c>
      <c r="AX1202" s="51">
        <v>7.4941505726764E-3</v>
      </c>
      <c r="AY1202" s="16">
        <v>109.0251016</v>
      </c>
      <c r="AZ1202" s="2">
        <v>29369</v>
      </c>
      <c r="BA1202" s="16">
        <f t="shared" si="103"/>
        <v>489.48333333333335</v>
      </c>
      <c r="BB1202" s="9">
        <f t="shared" si="104"/>
        <v>3.6682618028155534</v>
      </c>
      <c r="BC1202" s="119">
        <f t="shared" si="105"/>
        <v>40.970478742057722</v>
      </c>
    </row>
    <row r="1203" spans="49:55" x14ac:dyDescent="0.3">
      <c r="AW1203" s="7">
        <v>45049.71875</v>
      </c>
      <c r="AX1203" s="51">
        <v>8.1899800031728903E-3</v>
      </c>
      <c r="AY1203" s="16">
        <v>112.18199679999999</v>
      </c>
      <c r="AZ1203" s="2">
        <v>28476</v>
      </c>
      <c r="BA1203" s="16">
        <f t="shared" si="103"/>
        <v>474.6</v>
      </c>
      <c r="BB1203" s="9">
        <f t="shared" si="104"/>
        <v>3.8869645095058538</v>
      </c>
      <c r="BC1203" s="119">
        <f t="shared" si="105"/>
        <v>42.576583178501885</v>
      </c>
    </row>
    <row r="1204" spans="49:55" x14ac:dyDescent="0.3">
      <c r="AW1204" s="7">
        <v>45049.729166666664</v>
      </c>
      <c r="AX1204" s="51">
        <v>7.5705829605911198E-3</v>
      </c>
      <c r="AY1204" s="16">
        <v>105.0166174</v>
      </c>
      <c r="AZ1204" s="2">
        <v>29222</v>
      </c>
      <c r="BA1204" s="16">
        <f t="shared" si="103"/>
        <v>487.03333333333336</v>
      </c>
      <c r="BB1204" s="9">
        <f t="shared" si="104"/>
        <v>3.6871262545732284</v>
      </c>
      <c r="BC1204" s="119">
        <f t="shared" si="105"/>
        <v>41.110259845772539</v>
      </c>
    </row>
    <row r="1205" spans="49:55" x14ac:dyDescent="0.3">
      <c r="AW1205" s="7">
        <v>45049.739583333336</v>
      </c>
      <c r="AX1205" s="51">
        <v>7.6245832929321298E-3</v>
      </c>
      <c r="AY1205" s="16">
        <v>105.0166174</v>
      </c>
      <c r="AZ1205" s="2">
        <v>28490</v>
      </c>
      <c r="BA1205" s="16">
        <f t="shared" si="103"/>
        <v>474.83333333333331</v>
      </c>
      <c r="BB1205" s="9">
        <f t="shared" si="104"/>
        <v>3.6204063002606062</v>
      </c>
      <c r="BC1205" s="119">
        <f t="shared" si="105"/>
        <v>40.614792524430101</v>
      </c>
    </row>
    <row r="1206" spans="49:55" x14ac:dyDescent="0.3">
      <c r="AW1206" s="7">
        <v>45049.75</v>
      </c>
      <c r="AX1206" s="51">
        <v>7.7340625830083802E-3</v>
      </c>
      <c r="AY1206" s="16">
        <v>109.0251016</v>
      </c>
      <c r="AZ1206" s="2">
        <v>29049</v>
      </c>
      <c r="BA1206" s="16">
        <f t="shared" si="103"/>
        <v>484.15</v>
      </c>
      <c r="BB1206" s="9">
        <f t="shared" si="104"/>
        <v>3.7444463995635071</v>
      </c>
      <c r="BC1206" s="119">
        <f t="shared" si="105"/>
        <v>41.533522187614118</v>
      </c>
    </row>
    <row r="1207" spans="49:55" x14ac:dyDescent="0.3">
      <c r="AW1207" s="7">
        <v>45049.760416666664</v>
      </c>
      <c r="AX1207" s="51">
        <v>7.1953952169376799E-3</v>
      </c>
      <c r="AY1207" s="16">
        <v>123.998997</v>
      </c>
      <c r="AZ1207" s="2">
        <v>28762</v>
      </c>
      <c r="BA1207" s="16">
        <f t="shared" si="103"/>
        <v>479.36666666666667</v>
      </c>
      <c r="BB1207" s="9">
        <f t="shared" si="104"/>
        <v>3.4492326204926926</v>
      </c>
      <c r="BC1207" s="119">
        <f t="shared" si="105"/>
        <v>39.329381232390197</v>
      </c>
    </row>
    <row r="1208" spans="49:55" x14ac:dyDescent="0.3">
      <c r="AW1208" s="7">
        <v>45049.770833333336</v>
      </c>
      <c r="AX1208" s="51">
        <v>7.5517329456981997E-3</v>
      </c>
      <c r="AY1208" s="16">
        <v>126.9470365</v>
      </c>
      <c r="AZ1208" s="2">
        <v>29062</v>
      </c>
      <c r="BA1208" s="16">
        <f t="shared" si="103"/>
        <v>484.36666666666667</v>
      </c>
      <c r="BB1208" s="9">
        <f t="shared" si="104"/>
        <v>3.6578077144646848</v>
      </c>
      <c r="BC1208" s="119">
        <f t="shared" si="105"/>
        <v>40.89291243659212</v>
      </c>
    </row>
    <row r="1209" spans="49:55" x14ac:dyDescent="0.3">
      <c r="AW1209" s="7">
        <v>45049.78125</v>
      </c>
      <c r="AX1209" s="51">
        <v>6.93228547123556E-3</v>
      </c>
      <c r="AY1209" s="16">
        <v>130.92322350000001</v>
      </c>
      <c r="AZ1209" s="2">
        <v>30287</v>
      </c>
      <c r="BA1209" s="16">
        <f t="shared" si="103"/>
        <v>504.78333333333336</v>
      </c>
      <c r="BB1209" s="9">
        <f t="shared" si="104"/>
        <v>3.4993021677885237</v>
      </c>
      <c r="BC1209" s="119">
        <f t="shared" si="105"/>
        <v>39.707547481786783</v>
      </c>
    </row>
    <row r="1210" spans="49:55" x14ac:dyDescent="0.3">
      <c r="AW1210" s="7">
        <v>45049.791666666664</v>
      </c>
      <c r="AX1210" s="51">
        <v>7.4970738796597399E-3</v>
      </c>
      <c r="AY1210" s="16">
        <v>129.12778700000001</v>
      </c>
      <c r="AZ1210" s="2">
        <v>29058</v>
      </c>
      <c r="BA1210" s="16">
        <f t="shared" si="103"/>
        <v>484.3</v>
      </c>
      <c r="BB1210" s="9">
        <f t="shared" si="104"/>
        <v>3.630832879919212</v>
      </c>
      <c r="BC1210" s="119">
        <f t="shared" si="105"/>
        <v>40.692422055918428</v>
      </c>
    </row>
    <row r="1211" spans="49:55" x14ac:dyDescent="0.3">
      <c r="AW1211" s="7">
        <v>45049.802083333336</v>
      </c>
      <c r="AX1211" s="51">
        <v>8.2366119292206601E-3</v>
      </c>
      <c r="AY1211" s="16">
        <v>133.7707528</v>
      </c>
      <c r="AZ1211" s="2">
        <v>28947</v>
      </c>
      <c r="BA1211" s="16">
        <f t="shared" si="103"/>
        <v>482.45</v>
      </c>
      <c r="BB1211" s="9">
        <f t="shared" si="104"/>
        <v>3.9737534252525073</v>
      </c>
      <c r="BC1211" s="119">
        <f t="shared" si="105"/>
        <v>43.205475745887519</v>
      </c>
    </row>
    <row r="1212" spans="49:55" x14ac:dyDescent="0.3">
      <c r="AW1212" s="7">
        <v>45049.8125</v>
      </c>
      <c r="AX1212" s="51">
        <v>7.1262060501961896E-3</v>
      </c>
      <c r="AY1212" s="16">
        <v>131.64072830000001</v>
      </c>
      <c r="AZ1212" s="2">
        <v>29719</v>
      </c>
      <c r="BA1212" s="16">
        <f t="shared" si="103"/>
        <v>495.31666666666666</v>
      </c>
      <c r="BB1212" s="9">
        <f t="shared" si="104"/>
        <v>3.5297286267630095</v>
      </c>
      <c r="BC1212" s="119">
        <f t="shared" si="105"/>
        <v>39.936464822921764</v>
      </c>
    </row>
    <row r="1213" spans="49:55" x14ac:dyDescent="0.3">
      <c r="AW1213" s="7">
        <v>45049.822916666664</v>
      </c>
      <c r="AX1213" s="51">
        <v>7.2352260606443602E-3</v>
      </c>
      <c r="AY1213" s="16">
        <v>126.9470365</v>
      </c>
      <c r="AZ1213" s="2">
        <v>30060</v>
      </c>
      <c r="BA1213" s="16">
        <f t="shared" si="103"/>
        <v>501</v>
      </c>
      <c r="BB1213" s="9">
        <f t="shared" si="104"/>
        <v>3.6248482563828244</v>
      </c>
      <c r="BC1213" s="119">
        <f t="shared" si="105"/>
        <v>40.647873613018646</v>
      </c>
    </row>
    <row r="1214" spans="49:55" x14ac:dyDescent="0.3">
      <c r="AW1214" s="7">
        <v>45049.833333333336</v>
      </c>
      <c r="AX1214" s="51">
        <v>6.9972305572079301E-3</v>
      </c>
      <c r="AY1214" s="16">
        <v>126.9470365</v>
      </c>
      <c r="AZ1214" s="2">
        <v>30311</v>
      </c>
      <c r="BA1214" s="16">
        <f t="shared" si="103"/>
        <v>505.18333333333334</v>
      </c>
      <c r="BB1214" s="9">
        <f t="shared" si="104"/>
        <v>3.5348842569921595</v>
      </c>
      <c r="BC1214" s="119">
        <f t="shared" si="105"/>
        <v>39.975188057631705</v>
      </c>
    </row>
    <row r="1215" spans="49:55" x14ac:dyDescent="0.3">
      <c r="AW1215" s="7">
        <v>45049.84375</v>
      </c>
      <c r="AX1215" s="51">
        <v>7.4040896828317902E-3</v>
      </c>
      <c r="AY1215" s="16">
        <v>119.87671349999999</v>
      </c>
      <c r="AZ1215" s="2">
        <v>30907</v>
      </c>
      <c r="BA1215" s="16">
        <f t="shared" si="103"/>
        <v>515.11666666666667</v>
      </c>
      <c r="BB1215" s="9">
        <f t="shared" si="104"/>
        <v>3.8139699971213692</v>
      </c>
      <c r="BC1215" s="119">
        <f t="shared" si="105"/>
        <v>42.043986957700355</v>
      </c>
    </row>
    <row r="1216" spans="49:55" x14ac:dyDescent="0.3">
      <c r="AW1216" s="7">
        <v>45049.854166666664</v>
      </c>
      <c r="AX1216" s="51">
        <v>6.8081821551450204E-3</v>
      </c>
      <c r="AY1216" s="16">
        <v>132.70838019999999</v>
      </c>
      <c r="AZ1216" s="2">
        <v>30979</v>
      </c>
      <c r="BA1216" s="16">
        <f t="shared" si="103"/>
        <v>516.31666666666672</v>
      </c>
      <c r="BB1216" s="9">
        <f t="shared" si="104"/>
        <v>3.5151779164039603</v>
      </c>
      <c r="BC1216" s="119">
        <f t="shared" si="105"/>
        <v>39.827073771417695</v>
      </c>
    </row>
    <row r="1217" spans="49:55" x14ac:dyDescent="0.3">
      <c r="AW1217" s="7">
        <v>45049.864583333336</v>
      </c>
      <c r="AX1217" s="51">
        <v>6.6873212572100098E-3</v>
      </c>
      <c r="AY1217" s="16">
        <v>133.7707528</v>
      </c>
      <c r="AZ1217" s="2">
        <v>30371</v>
      </c>
      <c r="BA1217" s="16">
        <f t="shared" si="103"/>
        <v>506.18333333333334</v>
      </c>
      <c r="BB1217" s="9">
        <f t="shared" si="104"/>
        <v>3.3850105650454201</v>
      </c>
      <c r="BC1217" s="119">
        <f t="shared" si="105"/>
        <v>38.841611746135847</v>
      </c>
    </row>
    <row r="1218" spans="49:55" x14ac:dyDescent="0.3">
      <c r="AW1218" s="7">
        <v>45049.875</v>
      </c>
      <c r="AX1218" s="51">
        <v>8.0502531001134699E-3</v>
      </c>
      <c r="AY1218" s="16">
        <v>135.52973059999999</v>
      </c>
      <c r="AZ1218" s="2">
        <v>31476</v>
      </c>
      <c r="BA1218" s="16">
        <f t="shared" si="103"/>
        <v>524.6</v>
      </c>
      <c r="BB1218" s="9">
        <f t="shared" si="104"/>
        <v>4.2231627763195263</v>
      </c>
      <c r="BC1218" s="119">
        <f t="shared" si="105"/>
        <v>44.987607462243886</v>
      </c>
    </row>
    <row r="1219" spans="49:55" x14ac:dyDescent="0.3">
      <c r="AW1219" s="7">
        <v>45049.885416666664</v>
      </c>
      <c r="AX1219" s="51">
        <v>7.4517343874838503E-3</v>
      </c>
      <c r="AY1219" s="16">
        <v>129.12778700000001</v>
      </c>
      <c r="AZ1219" s="2">
        <v>30171</v>
      </c>
      <c r="BA1219" s="16">
        <f t="shared" si="103"/>
        <v>502.85</v>
      </c>
      <c r="BB1219" s="9">
        <f t="shared" si="104"/>
        <v>3.7471046367462542</v>
      </c>
      <c r="BC1219" s="119">
        <f t="shared" si="105"/>
        <v>41.553098061969855</v>
      </c>
    </row>
    <row r="1220" spans="49:55" x14ac:dyDescent="0.3">
      <c r="AW1220" s="7">
        <v>45049.895833333336</v>
      </c>
      <c r="AX1220" s="51">
        <v>6.9168567071024199E-3</v>
      </c>
      <c r="AY1220" s="16">
        <v>119.87671349999999</v>
      </c>
      <c r="AZ1220" s="2">
        <v>30605</v>
      </c>
      <c r="BA1220" s="16">
        <f t="shared" ref="BA1220:BA1283" si="106">AZ1220/60</f>
        <v>510.08333333333331</v>
      </c>
      <c r="BB1220" s="9">
        <f t="shared" ref="BB1220:BB1283" si="107">BA1220*AX1220</f>
        <v>3.5281733253478258</v>
      </c>
      <c r="BC1220" s="119">
        <f t="shared" ref="BC1220:BC1283" si="108">17.285*BB1220^0.664</f>
        <v>39.924779435871599</v>
      </c>
    </row>
    <row r="1221" spans="49:55" x14ac:dyDescent="0.3">
      <c r="AW1221" s="7">
        <v>45049.90625</v>
      </c>
      <c r="AX1221" s="51">
        <v>8.2483368599654897E-3</v>
      </c>
      <c r="AY1221" s="16">
        <v>130.567172</v>
      </c>
      <c r="AZ1221" s="2">
        <v>30427</v>
      </c>
      <c r="BA1221" s="16">
        <f t="shared" si="106"/>
        <v>507.11666666666667</v>
      </c>
      <c r="BB1221" s="9">
        <f t="shared" si="107"/>
        <v>4.182869093969499</v>
      </c>
      <c r="BC1221" s="119">
        <f t="shared" si="108"/>
        <v>44.702138655337535</v>
      </c>
    </row>
    <row r="1222" spans="49:55" x14ac:dyDescent="0.3">
      <c r="AW1222" s="7">
        <v>45049.916666666664</v>
      </c>
      <c r="AX1222" s="51">
        <v>7.4971263932997198E-3</v>
      </c>
      <c r="AY1222" s="16">
        <v>122.1341827</v>
      </c>
      <c r="AZ1222" s="2">
        <v>30329</v>
      </c>
      <c r="BA1222" s="16">
        <f t="shared" si="106"/>
        <v>505.48333333333335</v>
      </c>
      <c r="BB1222" s="9">
        <f t="shared" si="107"/>
        <v>3.7896724397064534</v>
      </c>
      <c r="BC1222" s="119">
        <f t="shared" si="108"/>
        <v>41.865944654348468</v>
      </c>
    </row>
    <row r="1223" spans="49:55" x14ac:dyDescent="0.3">
      <c r="AW1223" s="7">
        <v>45049.927083333336</v>
      </c>
      <c r="AX1223" s="51">
        <v>7.1585337643141596E-3</v>
      </c>
      <c r="AY1223" s="16">
        <v>136.5531871</v>
      </c>
      <c r="AZ1223" s="2">
        <v>30079</v>
      </c>
      <c r="BA1223" s="16">
        <f t="shared" si="106"/>
        <v>501.31666666666666</v>
      </c>
      <c r="BB1223" s="9">
        <f t="shared" si="107"/>
        <v>3.58869228494676</v>
      </c>
      <c r="BC1223" s="119">
        <f t="shared" si="108"/>
        <v>40.378207419776572</v>
      </c>
    </row>
    <row r="1224" spans="49:55" x14ac:dyDescent="0.3">
      <c r="AW1224" s="7">
        <v>45049.9375</v>
      </c>
      <c r="AX1224" s="51">
        <v>7.4517012478229998E-3</v>
      </c>
      <c r="AY1224" s="16">
        <v>131.9954343</v>
      </c>
      <c r="AZ1224" s="2">
        <v>30909</v>
      </c>
      <c r="BA1224" s="16">
        <f t="shared" si="106"/>
        <v>515.15</v>
      </c>
      <c r="BB1224" s="9">
        <f t="shared" si="107"/>
        <v>3.838743897816018</v>
      </c>
      <c r="BC1224" s="119">
        <f t="shared" si="108"/>
        <v>42.225127754767549</v>
      </c>
    </row>
    <row r="1225" spans="49:55" x14ac:dyDescent="0.3">
      <c r="AW1225" s="7">
        <v>45049.947916666664</v>
      </c>
      <c r="AX1225" s="51">
        <v>7.4474477849903499E-3</v>
      </c>
      <c r="AY1225" s="16">
        <v>124.3675379</v>
      </c>
      <c r="AZ1225" s="2">
        <v>31065</v>
      </c>
      <c r="BA1225" s="16">
        <f t="shared" si="106"/>
        <v>517.75</v>
      </c>
      <c r="BB1225" s="9">
        <f t="shared" si="107"/>
        <v>3.8559160906787535</v>
      </c>
      <c r="BC1225" s="119">
        <f t="shared" si="108"/>
        <v>42.350456245940173</v>
      </c>
    </row>
    <row r="1226" spans="49:55" x14ac:dyDescent="0.3">
      <c r="AW1226" s="7">
        <v>45049.958333333336</v>
      </c>
      <c r="AX1226" s="51">
        <v>7.6621452516783001E-3</v>
      </c>
      <c r="AY1226" s="16">
        <v>124.3675379</v>
      </c>
      <c r="AZ1226" s="2">
        <v>30886</v>
      </c>
      <c r="BA1226" s="16">
        <f t="shared" si="106"/>
        <v>514.76666666666665</v>
      </c>
      <c r="BB1226" s="9">
        <f t="shared" si="107"/>
        <v>3.9442169707222661</v>
      </c>
      <c r="BC1226" s="119">
        <f t="shared" si="108"/>
        <v>42.991970723781535</v>
      </c>
    </row>
    <row r="1227" spans="49:55" x14ac:dyDescent="0.3">
      <c r="AW1227" s="7">
        <v>45049.96875</v>
      </c>
      <c r="AX1227" s="51">
        <v>7.01995549973448E-3</v>
      </c>
      <c r="AY1227" s="16">
        <v>129.12158679999999</v>
      </c>
      <c r="AZ1227" s="2">
        <v>31045</v>
      </c>
      <c r="BA1227" s="16">
        <f t="shared" si="106"/>
        <v>517.41666666666663</v>
      </c>
      <c r="BB1227" s="9">
        <f t="shared" si="107"/>
        <v>3.6322419748209485</v>
      </c>
      <c r="BC1227" s="119">
        <f t="shared" si="108"/>
        <v>40.702907511186197</v>
      </c>
    </row>
    <row r="1228" spans="49:55" x14ac:dyDescent="0.3">
      <c r="AW1228" s="7">
        <v>45049.979166666664</v>
      </c>
      <c r="AX1228" s="51">
        <v>8.3288384567399096E-3</v>
      </c>
      <c r="AY1228" s="16">
        <v>124.3675379</v>
      </c>
      <c r="AZ1228" s="2">
        <v>30617</v>
      </c>
      <c r="BA1228" s="16">
        <f t="shared" si="106"/>
        <v>510.28333333333336</v>
      </c>
      <c r="BB1228" s="9">
        <f t="shared" si="107"/>
        <v>4.2500674505000973</v>
      </c>
      <c r="BC1228" s="119">
        <f t="shared" si="108"/>
        <v>45.177709661051814</v>
      </c>
    </row>
    <row r="1229" spans="49:55" x14ac:dyDescent="0.3">
      <c r="AW1229" s="7">
        <v>45049.989583333336</v>
      </c>
      <c r="AX1229" s="51">
        <v>7.7667836868785404E-3</v>
      </c>
      <c r="AY1229" s="16">
        <v>124.3675379</v>
      </c>
      <c r="AZ1229" s="2">
        <v>30799</v>
      </c>
      <c r="BA1229" s="16">
        <f t="shared" si="106"/>
        <v>513.31666666666672</v>
      </c>
      <c r="BB1229" s="9">
        <f t="shared" si="107"/>
        <v>3.9868195128695363</v>
      </c>
      <c r="BC1229" s="119">
        <f t="shared" si="108"/>
        <v>43.299754080421877</v>
      </c>
    </row>
    <row r="1230" spans="49:55" x14ac:dyDescent="0.3">
      <c r="AW1230" s="7">
        <v>45050</v>
      </c>
      <c r="AX1230" s="51">
        <v>7.14778518500444E-3</v>
      </c>
      <c r="AY1230" s="16">
        <v>118.36070239999999</v>
      </c>
      <c r="AZ1230" s="2">
        <v>31049</v>
      </c>
      <c r="BA1230" s="16">
        <f t="shared" si="106"/>
        <v>517.48333333333335</v>
      </c>
      <c r="BB1230" s="9">
        <f t="shared" si="107"/>
        <v>3.6988597034867143</v>
      </c>
      <c r="BC1230" s="119">
        <f t="shared" si="108"/>
        <v>41.197080701510579</v>
      </c>
    </row>
    <row r="1231" spans="49:55" x14ac:dyDescent="0.3">
      <c r="AW1231" s="7">
        <v>45050.010416666664</v>
      </c>
      <c r="AX1231" s="51">
        <v>7.2767258624522697E-3</v>
      </c>
      <c r="AY1231" s="16">
        <v>120.2525852</v>
      </c>
      <c r="AZ1231" s="2">
        <v>30572</v>
      </c>
      <c r="BA1231" s="16">
        <f t="shared" si="106"/>
        <v>509.53333333333336</v>
      </c>
      <c r="BB1231" s="9">
        <f t="shared" si="107"/>
        <v>3.7077343844481798</v>
      </c>
      <c r="BC1231" s="119">
        <f t="shared" si="108"/>
        <v>41.262686844629826</v>
      </c>
    </row>
    <row r="1232" spans="49:55" x14ac:dyDescent="0.3">
      <c r="AW1232" s="7">
        <v>45050.020833333336</v>
      </c>
      <c r="AX1232" s="51">
        <v>6.9771792742334198E-3</v>
      </c>
      <c r="AY1232" s="16">
        <v>119.11711819999999</v>
      </c>
      <c r="AZ1232" s="2">
        <v>31328</v>
      </c>
      <c r="BA1232" s="16">
        <f t="shared" si="106"/>
        <v>522.13333333333333</v>
      </c>
      <c r="BB1232" s="9">
        <f t="shared" si="107"/>
        <v>3.643017871719743</v>
      </c>
      <c r="BC1232" s="119">
        <f t="shared" si="108"/>
        <v>40.783048729702074</v>
      </c>
    </row>
    <row r="1233" spans="49:55" x14ac:dyDescent="0.3">
      <c r="AW1233" s="7">
        <v>45050.03125</v>
      </c>
      <c r="AX1233" s="51">
        <v>8.1032502421841592E-3</v>
      </c>
      <c r="AY1233" s="16">
        <v>117.21518</v>
      </c>
      <c r="AZ1233" s="2">
        <v>30413</v>
      </c>
      <c r="BA1233" s="16">
        <f t="shared" si="106"/>
        <v>506.88333333333333</v>
      </c>
      <c r="BB1233" s="9">
        <f t="shared" si="107"/>
        <v>4.1074024935924474</v>
      </c>
      <c r="BC1233" s="119">
        <f t="shared" si="108"/>
        <v>44.164980816431992</v>
      </c>
    </row>
    <row r="1234" spans="49:55" x14ac:dyDescent="0.3">
      <c r="AW1234" s="7">
        <v>45050.041666666664</v>
      </c>
      <c r="AX1234" s="51">
        <v>6.9335651680304698E-3</v>
      </c>
      <c r="AY1234" s="16">
        <v>114.1275401</v>
      </c>
      <c r="AZ1234" s="2">
        <v>31108</v>
      </c>
      <c r="BA1234" s="16">
        <f t="shared" si="106"/>
        <v>518.4666666666667</v>
      </c>
      <c r="BB1234" s="9">
        <f t="shared" si="107"/>
        <v>3.5948224207848645</v>
      </c>
      <c r="BC1234" s="119">
        <f t="shared" si="108"/>
        <v>40.423992548193489</v>
      </c>
    </row>
    <row r="1235" spans="49:55" x14ac:dyDescent="0.3">
      <c r="AW1235" s="7">
        <v>45050.052083333336</v>
      </c>
      <c r="AX1235" s="51">
        <v>6.8175839903684299E-3</v>
      </c>
      <c r="AY1235" s="16">
        <v>126.9470365</v>
      </c>
      <c r="AZ1235" s="2">
        <v>30842</v>
      </c>
      <c r="BA1235" s="16">
        <f t="shared" si="106"/>
        <v>514.0333333333333</v>
      </c>
      <c r="BB1235" s="9">
        <f t="shared" si="107"/>
        <v>3.5044654238490516</v>
      </c>
      <c r="BC1235" s="119">
        <f t="shared" si="108"/>
        <v>39.746440868598533</v>
      </c>
    </row>
    <row r="1236" spans="49:55" x14ac:dyDescent="0.3">
      <c r="AW1236" s="7">
        <v>45050.0625</v>
      </c>
      <c r="AX1236" s="51">
        <v>7.80953721368238E-3</v>
      </c>
      <c r="AY1236" s="16">
        <v>109.0251016</v>
      </c>
      <c r="AZ1236" s="2">
        <v>31103</v>
      </c>
      <c r="BA1236" s="16">
        <f t="shared" si="106"/>
        <v>518.38333333333333</v>
      </c>
      <c r="BB1236" s="9">
        <f t="shared" si="107"/>
        <v>4.0483339326193848</v>
      </c>
      <c r="BC1236" s="119">
        <f t="shared" si="108"/>
        <v>43.742224594790216</v>
      </c>
    </row>
    <row r="1237" spans="49:55" x14ac:dyDescent="0.3">
      <c r="AW1237" s="7">
        <v>45050.072916666664</v>
      </c>
      <c r="AX1237" s="51">
        <v>8.2829054297909894E-3</v>
      </c>
      <c r="AY1237" s="16">
        <v>121.00878899999999</v>
      </c>
      <c r="AZ1237" s="2">
        <v>31224</v>
      </c>
      <c r="BA1237" s="16">
        <f t="shared" si="106"/>
        <v>520.4</v>
      </c>
      <c r="BB1237" s="9">
        <f t="shared" si="107"/>
        <v>4.3104239856632303</v>
      </c>
      <c r="BC1237" s="119">
        <f t="shared" si="108"/>
        <v>45.602710605775329</v>
      </c>
    </row>
    <row r="1238" spans="49:55" x14ac:dyDescent="0.3">
      <c r="AW1238" s="7">
        <v>45050.083333333336</v>
      </c>
      <c r="AX1238" s="51">
        <v>8.0065487791198195E-3</v>
      </c>
      <c r="AY1238" s="16">
        <v>121.00878899999999</v>
      </c>
      <c r="AZ1238" s="2">
        <v>31156</v>
      </c>
      <c r="BA1238" s="16">
        <f t="shared" si="106"/>
        <v>519.26666666666665</v>
      </c>
      <c r="BB1238" s="9">
        <f t="shared" si="107"/>
        <v>4.1575338960376182</v>
      </c>
      <c r="BC1238" s="119">
        <f t="shared" si="108"/>
        <v>44.522173137945373</v>
      </c>
    </row>
    <row r="1239" spans="49:55" x14ac:dyDescent="0.3">
      <c r="AW1239" s="7">
        <v>45050.09375</v>
      </c>
      <c r="AX1239" s="51">
        <v>7.7516312444487496E-3</v>
      </c>
      <c r="AY1239" s="16">
        <v>115.2898797</v>
      </c>
      <c r="AZ1239" s="2">
        <v>31252</v>
      </c>
      <c r="BA1239" s="16">
        <f t="shared" si="106"/>
        <v>520.86666666666667</v>
      </c>
      <c r="BB1239" s="9">
        <f t="shared" si="107"/>
        <v>4.0375663275252052</v>
      </c>
      <c r="BC1239" s="119">
        <f t="shared" si="108"/>
        <v>43.6649376778796</v>
      </c>
    </row>
    <row r="1240" spans="49:55" x14ac:dyDescent="0.3">
      <c r="AW1240" s="7">
        <v>45050.104166666664</v>
      </c>
      <c r="AX1240" s="51">
        <v>7.0695977969188299E-3</v>
      </c>
      <c r="AY1240" s="16">
        <v>116.4455014</v>
      </c>
      <c r="AZ1240" s="2">
        <v>31456</v>
      </c>
      <c r="BA1240" s="16">
        <f t="shared" si="106"/>
        <v>524.26666666666665</v>
      </c>
      <c r="BB1240" s="9">
        <f t="shared" si="107"/>
        <v>3.7063544716646453</v>
      </c>
      <c r="BC1240" s="119">
        <f t="shared" si="108"/>
        <v>41.252489296480597</v>
      </c>
    </row>
    <row r="1241" spans="49:55" x14ac:dyDescent="0.3">
      <c r="AW1241" s="7">
        <v>45050.114583333336</v>
      </c>
      <c r="AX1241" s="51">
        <v>7.8930630382790003E-3</v>
      </c>
      <c r="AY1241" s="16">
        <v>121.00878899999999</v>
      </c>
      <c r="AZ1241" s="2">
        <v>30736</v>
      </c>
      <c r="BA1241" s="16">
        <f t="shared" si="106"/>
        <v>512.26666666666665</v>
      </c>
      <c r="BB1241" s="9">
        <f t="shared" si="107"/>
        <v>4.0433530924090562</v>
      </c>
      <c r="BC1241" s="119">
        <f t="shared" si="108"/>
        <v>43.706482085905812</v>
      </c>
    </row>
    <row r="1242" spans="49:55" x14ac:dyDescent="0.3">
      <c r="AW1242" s="7">
        <v>45050.125</v>
      </c>
      <c r="AX1242" s="51">
        <v>7.8054439924165903E-3</v>
      </c>
      <c r="AY1242" s="16">
        <v>107.0292163</v>
      </c>
      <c r="AZ1242" s="2">
        <v>30748</v>
      </c>
      <c r="BA1242" s="16">
        <f t="shared" si="106"/>
        <v>512.4666666666667</v>
      </c>
      <c r="BB1242" s="9">
        <f t="shared" si="107"/>
        <v>4.0000298646470887</v>
      </c>
      <c r="BC1242" s="119">
        <f t="shared" si="108"/>
        <v>43.394967869221155</v>
      </c>
    </row>
    <row r="1243" spans="49:55" x14ac:dyDescent="0.3">
      <c r="AW1243" s="7">
        <v>45050.135416666664</v>
      </c>
      <c r="AX1243" s="51">
        <v>7.0469984066404302E-3</v>
      </c>
      <c r="AY1243" s="16">
        <v>126.9407683</v>
      </c>
      <c r="AZ1243" s="2">
        <v>30997</v>
      </c>
      <c r="BA1243" s="16">
        <f t="shared" si="106"/>
        <v>516.61666666666667</v>
      </c>
      <c r="BB1243" s="9">
        <f t="shared" si="107"/>
        <v>3.6405968268438902</v>
      </c>
      <c r="BC1243" s="119">
        <f t="shared" si="108"/>
        <v>40.765050167840435</v>
      </c>
    </row>
    <row r="1244" spans="49:55" x14ac:dyDescent="0.3">
      <c r="AW1244" s="7">
        <v>45050.145833333336</v>
      </c>
      <c r="AX1244" s="51">
        <v>7.5849402838754198E-3</v>
      </c>
      <c r="AY1244" s="16">
        <v>110.21295859999999</v>
      </c>
      <c r="AZ1244" s="2">
        <v>31166</v>
      </c>
      <c r="BA1244" s="16">
        <f t="shared" si="106"/>
        <v>519.43333333333328</v>
      </c>
      <c r="BB1244" s="9">
        <f t="shared" si="107"/>
        <v>3.9398708147876884</v>
      </c>
      <c r="BC1244" s="119">
        <f t="shared" si="108"/>
        <v>42.960509155435197</v>
      </c>
    </row>
    <row r="1245" spans="49:55" x14ac:dyDescent="0.3">
      <c r="AW1245" s="7">
        <v>45050.15625</v>
      </c>
      <c r="AX1245" s="51">
        <v>7.41888322414675E-3</v>
      </c>
      <c r="AY1245" s="16">
        <v>112.1752807</v>
      </c>
      <c r="AZ1245" s="2">
        <v>31145</v>
      </c>
      <c r="BA1245" s="16">
        <f t="shared" si="106"/>
        <v>519.08333333333337</v>
      </c>
      <c r="BB1245" s="9">
        <f t="shared" si="107"/>
        <v>3.8510186336008423</v>
      </c>
      <c r="BC1245" s="119">
        <f t="shared" si="108"/>
        <v>42.314732092284508</v>
      </c>
    </row>
    <row r="1246" spans="49:55" x14ac:dyDescent="0.3">
      <c r="AW1246" s="7">
        <v>45050.166666666664</v>
      </c>
      <c r="AX1246" s="51">
        <v>7.4557853379565303E-3</v>
      </c>
      <c r="AY1246" s="16">
        <v>112.1752807</v>
      </c>
      <c r="AZ1246" s="2">
        <v>30950</v>
      </c>
      <c r="BA1246" s="16">
        <f t="shared" si="106"/>
        <v>515.83333333333337</v>
      </c>
      <c r="BB1246" s="9">
        <f t="shared" si="107"/>
        <v>3.8459426034959106</v>
      </c>
      <c r="BC1246" s="119">
        <f t="shared" si="108"/>
        <v>42.277689236530911</v>
      </c>
    </row>
    <row r="1247" spans="49:55" x14ac:dyDescent="0.3">
      <c r="AW1247" s="7">
        <v>45050.177083333336</v>
      </c>
      <c r="AX1247" s="51">
        <v>7.1684071386894999E-3</v>
      </c>
      <c r="AY1247" s="16">
        <v>110.9974619</v>
      </c>
      <c r="AZ1247" s="2">
        <v>30559</v>
      </c>
      <c r="BA1247" s="16">
        <f t="shared" si="106"/>
        <v>509.31666666666666</v>
      </c>
      <c r="BB1247" s="9">
        <f t="shared" si="107"/>
        <v>3.650989229186874</v>
      </c>
      <c r="BC1247" s="119">
        <f t="shared" si="108"/>
        <v>40.842281115881342</v>
      </c>
    </row>
    <row r="1248" spans="49:55" x14ac:dyDescent="0.3">
      <c r="AW1248" s="7">
        <v>45050.1875</v>
      </c>
      <c r="AX1248" s="51">
        <v>9.0281189089939096E-3</v>
      </c>
      <c r="AY1248" s="16">
        <v>119.87671349999999</v>
      </c>
      <c r="AZ1248" s="2">
        <v>30930</v>
      </c>
      <c r="BA1248" s="16">
        <f t="shared" si="106"/>
        <v>515.5</v>
      </c>
      <c r="BB1248" s="9">
        <f t="shared" si="107"/>
        <v>4.6539952975863601</v>
      </c>
      <c r="BC1248" s="119">
        <f t="shared" si="108"/>
        <v>47.985034140222865</v>
      </c>
    </row>
    <row r="1249" spans="49:55" x14ac:dyDescent="0.3">
      <c r="AW1249" s="7">
        <v>45050.197916666664</v>
      </c>
      <c r="AX1249" s="51">
        <v>8.3066526959434898E-3</v>
      </c>
      <c r="AY1249" s="16">
        <v>114.8986831</v>
      </c>
      <c r="AZ1249" s="2">
        <v>30911</v>
      </c>
      <c r="BA1249" s="16">
        <f t="shared" si="106"/>
        <v>515.18333333333328</v>
      </c>
      <c r="BB1249" s="9">
        <f t="shared" si="107"/>
        <v>4.2794490247384864</v>
      </c>
      <c r="BC1249" s="119">
        <f t="shared" si="108"/>
        <v>45.384851766376613</v>
      </c>
    </row>
    <row r="1250" spans="49:55" x14ac:dyDescent="0.3">
      <c r="AW1250" s="7">
        <v>45050.208333333336</v>
      </c>
      <c r="AX1250" s="51">
        <v>9.1543961004969705E-3</v>
      </c>
      <c r="AY1250" s="16">
        <v>110.9974619</v>
      </c>
      <c r="AZ1250" s="2">
        <v>30985</v>
      </c>
      <c r="BA1250" s="16">
        <f t="shared" si="106"/>
        <v>516.41666666666663</v>
      </c>
      <c r="BB1250" s="9">
        <f t="shared" si="107"/>
        <v>4.7274827195649767</v>
      </c>
      <c r="BC1250" s="119">
        <f t="shared" si="108"/>
        <v>48.486816514969796</v>
      </c>
    </row>
    <row r="1251" spans="49:55" x14ac:dyDescent="0.3">
      <c r="AW1251" s="7">
        <v>45050.21875</v>
      </c>
      <c r="AX1251" s="51">
        <v>7.2046957806649898E-3</v>
      </c>
      <c r="AY1251" s="16">
        <v>109.01829240000001</v>
      </c>
      <c r="AZ1251" s="2">
        <v>31327</v>
      </c>
      <c r="BA1251" s="16">
        <f t="shared" si="106"/>
        <v>522.11666666666667</v>
      </c>
      <c r="BB1251" s="9">
        <f t="shared" si="107"/>
        <v>3.7616917453482022</v>
      </c>
      <c r="BC1251" s="119">
        <f t="shared" si="108"/>
        <v>41.660437977861754</v>
      </c>
    </row>
    <row r="1252" spans="49:55" x14ac:dyDescent="0.3">
      <c r="AW1252" s="7">
        <v>45050.229166666664</v>
      </c>
      <c r="AX1252" s="51">
        <v>7.2712405057929102E-3</v>
      </c>
      <c r="AY1252" s="16">
        <v>107.8236938</v>
      </c>
      <c r="AZ1252" s="2">
        <v>30943</v>
      </c>
      <c r="BA1252" s="16">
        <f t="shared" si="106"/>
        <v>515.7166666666667</v>
      </c>
      <c r="BB1252" s="9">
        <f t="shared" si="107"/>
        <v>3.7498999161791673</v>
      </c>
      <c r="BC1252" s="119">
        <f t="shared" si="108"/>
        <v>41.573678114697351</v>
      </c>
    </row>
    <row r="1253" spans="49:55" x14ac:dyDescent="0.3">
      <c r="AW1253" s="7">
        <v>45050.239583333336</v>
      </c>
      <c r="AX1253" s="51">
        <v>8.0969934648292292E-3</v>
      </c>
      <c r="AY1253" s="16">
        <v>113.3477233</v>
      </c>
      <c r="AZ1253" s="2">
        <v>31087</v>
      </c>
      <c r="BA1253" s="16">
        <f t="shared" si="106"/>
        <v>518.11666666666667</v>
      </c>
      <c r="BB1253" s="9">
        <f t="shared" si="107"/>
        <v>4.1951872640191041</v>
      </c>
      <c r="BC1253" s="119">
        <f t="shared" si="108"/>
        <v>44.789506911196206</v>
      </c>
    </row>
    <row r="1254" spans="49:55" x14ac:dyDescent="0.3">
      <c r="AW1254" s="7">
        <v>45050.25</v>
      </c>
      <c r="AX1254" s="51">
        <v>6.8965538061101003E-3</v>
      </c>
      <c r="AY1254" s="16">
        <v>116.4455014</v>
      </c>
      <c r="AZ1254" s="2">
        <v>31323</v>
      </c>
      <c r="BA1254" s="16">
        <f t="shared" si="106"/>
        <v>522.04999999999995</v>
      </c>
      <c r="BB1254" s="9">
        <f t="shared" si="107"/>
        <v>3.6003459144797776</v>
      </c>
      <c r="BC1254" s="119">
        <f t="shared" si="108"/>
        <v>40.46522428806891</v>
      </c>
    </row>
    <row r="1255" spans="49:55" x14ac:dyDescent="0.3">
      <c r="AW1255" s="7">
        <v>45050.260416666664</v>
      </c>
      <c r="AX1255" s="51">
        <v>8.6044529324773699E-3</v>
      </c>
      <c r="AY1255" s="16">
        <v>111.7853645</v>
      </c>
      <c r="AZ1255" s="2">
        <v>31004</v>
      </c>
      <c r="BA1255" s="16">
        <f t="shared" si="106"/>
        <v>516.73333333333335</v>
      </c>
      <c r="BB1255" s="9">
        <f t="shared" si="107"/>
        <v>4.4462076453088066</v>
      </c>
      <c r="BC1255" s="119">
        <f t="shared" si="108"/>
        <v>46.551595659003425</v>
      </c>
    </row>
    <row r="1256" spans="49:55" x14ac:dyDescent="0.3">
      <c r="AW1256" s="7">
        <v>45050.270833333336</v>
      </c>
      <c r="AX1256" s="51">
        <v>7.2231994656494197E-3</v>
      </c>
      <c r="AY1256" s="16">
        <v>109.0251016</v>
      </c>
      <c r="AZ1256" s="2">
        <v>31561</v>
      </c>
      <c r="BA1256" s="16">
        <f t="shared" si="106"/>
        <v>526.01666666666665</v>
      </c>
      <c r="BB1256" s="9">
        <f t="shared" si="107"/>
        <v>3.7995233055893554</v>
      </c>
      <c r="BC1256" s="119">
        <f t="shared" si="108"/>
        <v>41.938173758650287</v>
      </c>
    </row>
    <row r="1257" spans="49:55" x14ac:dyDescent="0.3">
      <c r="AW1257" s="7">
        <v>45050.28125</v>
      </c>
      <c r="AX1257" s="51">
        <v>8.7052223323795998E-3</v>
      </c>
      <c r="AY1257" s="16">
        <v>103.3988808</v>
      </c>
      <c r="AZ1257" s="2">
        <v>30766</v>
      </c>
      <c r="BA1257" s="16">
        <f t="shared" si="106"/>
        <v>512.76666666666665</v>
      </c>
      <c r="BB1257" s="9">
        <f t="shared" si="107"/>
        <v>4.4637478379665128</v>
      </c>
      <c r="BC1257" s="119">
        <f t="shared" si="108"/>
        <v>46.673455286850782</v>
      </c>
    </row>
    <row r="1258" spans="49:55" x14ac:dyDescent="0.3">
      <c r="AW1258" s="7">
        <v>45050.291666666664</v>
      </c>
      <c r="AX1258" s="51">
        <v>8.6069509008375299E-3</v>
      </c>
      <c r="AY1258" s="16">
        <v>107.0292163</v>
      </c>
      <c r="AZ1258" s="2">
        <v>30739</v>
      </c>
      <c r="BA1258" s="16">
        <f t="shared" si="106"/>
        <v>512.31666666666672</v>
      </c>
      <c r="BB1258" s="9">
        <f t="shared" si="107"/>
        <v>4.4094843956807477</v>
      </c>
      <c r="BC1258" s="119">
        <f t="shared" si="108"/>
        <v>46.29593821448367</v>
      </c>
    </row>
    <row r="1259" spans="49:55" x14ac:dyDescent="0.3">
      <c r="AW1259" s="7">
        <v>45050.302083333336</v>
      </c>
      <c r="AX1259" s="51">
        <v>7.1333265387530801E-3</v>
      </c>
      <c r="AY1259" s="16">
        <v>110.60554279999999</v>
      </c>
      <c r="AZ1259" s="2">
        <v>30531</v>
      </c>
      <c r="BA1259" s="16">
        <f t="shared" si="106"/>
        <v>508.85</v>
      </c>
      <c r="BB1259" s="9">
        <f t="shared" si="107"/>
        <v>3.6297932092445051</v>
      </c>
      <c r="BC1259" s="119">
        <f t="shared" si="108"/>
        <v>40.684684709375802</v>
      </c>
    </row>
    <row r="1260" spans="49:55" x14ac:dyDescent="0.3">
      <c r="AW1260" s="7">
        <v>45050.3125</v>
      </c>
      <c r="AX1260" s="51">
        <v>7.9328083210316799E-3</v>
      </c>
      <c r="AY1260" s="16">
        <v>104.61473460000001</v>
      </c>
      <c r="AZ1260" s="2">
        <v>30660</v>
      </c>
      <c r="BA1260" s="16">
        <f t="shared" si="106"/>
        <v>511</v>
      </c>
      <c r="BB1260" s="9">
        <f t="shared" si="107"/>
        <v>4.0536650520471884</v>
      </c>
      <c r="BC1260" s="119">
        <f t="shared" si="108"/>
        <v>43.780464340323384</v>
      </c>
    </row>
    <row r="1261" spans="49:55" x14ac:dyDescent="0.3">
      <c r="AW1261" s="7">
        <v>45050.322916666664</v>
      </c>
      <c r="AX1261" s="51">
        <v>8.3159468924374307E-3</v>
      </c>
      <c r="AY1261" s="16">
        <v>107.8305381</v>
      </c>
      <c r="AZ1261" s="2">
        <v>30595</v>
      </c>
      <c r="BA1261" s="16">
        <f t="shared" si="106"/>
        <v>509.91666666666669</v>
      </c>
      <c r="BB1261" s="9">
        <f t="shared" si="107"/>
        <v>4.2404399195687201</v>
      </c>
      <c r="BC1261" s="119">
        <f t="shared" si="108"/>
        <v>45.109730343240685</v>
      </c>
    </row>
    <row r="1262" spans="49:55" x14ac:dyDescent="0.3">
      <c r="AW1262" s="7">
        <v>45050.333333333336</v>
      </c>
      <c r="AX1262" s="51">
        <v>7.4092504529511801E-3</v>
      </c>
      <c r="AY1262" s="16">
        <v>99.304680700000006</v>
      </c>
      <c r="AZ1262" s="2">
        <v>30789</v>
      </c>
      <c r="BA1262" s="16">
        <f t="shared" si="106"/>
        <v>513.15</v>
      </c>
      <c r="BB1262" s="9">
        <f t="shared" si="107"/>
        <v>3.802056869931898</v>
      </c>
      <c r="BC1262" s="119">
        <f t="shared" si="108"/>
        <v>41.956740332941976</v>
      </c>
    </row>
    <row r="1263" spans="49:55" x14ac:dyDescent="0.3">
      <c r="AW1263" s="7">
        <v>45050.34375</v>
      </c>
      <c r="AX1263" s="51">
        <v>9.3253601135585996E-3</v>
      </c>
      <c r="AY1263" s="16">
        <v>104.61473460000001</v>
      </c>
      <c r="AZ1263" s="2">
        <v>30176</v>
      </c>
      <c r="BA1263" s="16">
        <f t="shared" si="106"/>
        <v>502.93333333333334</v>
      </c>
      <c r="BB1263" s="9">
        <f t="shared" si="107"/>
        <v>4.690034446445738</v>
      </c>
      <c r="BC1263" s="119">
        <f t="shared" si="108"/>
        <v>48.231444552570608</v>
      </c>
    </row>
    <row r="1264" spans="49:55" x14ac:dyDescent="0.3">
      <c r="AW1264" s="7">
        <v>45050.354166666664</v>
      </c>
      <c r="AX1264" s="51">
        <v>8.0781169182177603E-3</v>
      </c>
      <c r="AY1264" s="16">
        <v>104.61473460000001</v>
      </c>
      <c r="AZ1264" s="2">
        <v>30591</v>
      </c>
      <c r="BA1264" s="16">
        <f t="shared" si="106"/>
        <v>509.85</v>
      </c>
      <c r="BB1264" s="9">
        <f t="shared" si="107"/>
        <v>4.1186279107533252</v>
      </c>
      <c r="BC1264" s="119">
        <f t="shared" si="108"/>
        <v>44.245089970792819</v>
      </c>
    </row>
    <row r="1265" spans="49:55" x14ac:dyDescent="0.3">
      <c r="AW1265" s="7">
        <v>45050.364583333336</v>
      </c>
      <c r="AX1265" s="51">
        <v>7.6046839604263002E-3</v>
      </c>
      <c r="AY1265" s="16">
        <v>102.5822131</v>
      </c>
      <c r="AZ1265" s="2">
        <v>30308</v>
      </c>
      <c r="BA1265" s="16">
        <f t="shared" si="106"/>
        <v>505.13333333333333</v>
      </c>
      <c r="BB1265" s="9">
        <f t="shared" si="107"/>
        <v>3.8413793578766717</v>
      </c>
      <c r="BC1265" s="119">
        <f t="shared" si="108"/>
        <v>42.244374454584069</v>
      </c>
    </row>
    <row r="1266" spans="49:55" x14ac:dyDescent="0.3">
      <c r="AW1266" s="7">
        <v>45050.375</v>
      </c>
      <c r="AX1266" s="51">
        <v>8.511123337718E-3</v>
      </c>
      <c r="AY1266" s="16">
        <v>110.9974619</v>
      </c>
      <c r="AZ1266" s="2">
        <v>30543</v>
      </c>
      <c r="BA1266" s="16">
        <f t="shared" si="106"/>
        <v>509.05</v>
      </c>
      <c r="BB1266" s="9">
        <f t="shared" si="107"/>
        <v>4.3325873350653481</v>
      </c>
      <c r="BC1266" s="119">
        <f t="shared" si="108"/>
        <v>45.758271231382587</v>
      </c>
    </row>
    <row r="1267" spans="49:55" x14ac:dyDescent="0.3">
      <c r="AW1267" s="7">
        <v>45050.385416666664</v>
      </c>
      <c r="AX1267" s="51">
        <v>8.8195154659333995E-3</v>
      </c>
      <c r="AY1267" s="16">
        <v>105.0166174</v>
      </c>
      <c r="AZ1267" s="2">
        <v>30127</v>
      </c>
      <c r="BA1267" s="16">
        <f t="shared" si="106"/>
        <v>502.11666666666667</v>
      </c>
      <c r="BB1267" s="9">
        <f t="shared" si="107"/>
        <v>4.4284257073695921</v>
      </c>
      <c r="BC1267" s="119">
        <f t="shared" si="108"/>
        <v>46.427891522694445</v>
      </c>
    </row>
    <row r="1268" spans="49:55" x14ac:dyDescent="0.3">
      <c r="AW1268" s="7">
        <v>45050.395833333336</v>
      </c>
      <c r="AX1268" s="51">
        <v>9.6491724704010594E-3</v>
      </c>
      <c r="AY1268" s="16">
        <v>98.474887140000007</v>
      </c>
      <c r="AZ1268" s="2">
        <v>29944</v>
      </c>
      <c r="BA1268" s="16">
        <f t="shared" si="106"/>
        <v>499.06666666666666</v>
      </c>
      <c r="BB1268" s="9">
        <f t="shared" si="107"/>
        <v>4.8155803408948223</v>
      </c>
      <c r="BC1268" s="119">
        <f t="shared" si="108"/>
        <v>49.084918707850044</v>
      </c>
    </row>
    <row r="1269" spans="49:55" x14ac:dyDescent="0.3">
      <c r="AW1269" s="7">
        <v>45050.40625</v>
      </c>
      <c r="AX1269" s="51">
        <v>9.0851821795959308E-3</v>
      </c>
      <c r="AY1269" s="16">
        <v>102.5822131</v>
      </c>
      <c r="AZ1269" s="2">
        <v>29784</v>
      </c>
      <c r="BA1269" s="16">
        <f t="shared" si="106"/>
        <v>496.4</v>
      </c>
      <c r="BB1269" s="9">
        <f t="shared" si="107"/>
        <v>4.5098844339514201</v>
      </c>
      <c r="BC1269" s="119">
        <f t="shared" si="108"/>
        <v>46.993221527368526</v>
      </c>
    </row>
    <row r="1270" spans="49:55" x14ac:dyDescent="0.3">
      <c r="AW1270" s="7">
        <v>45050.416666666664</v>
      </c>
      <c r="AX1270" s="51">
        <v>1.08095774225464E-2</v>
      </c>
      <c r="AY1270" s="16">
        <v>98.062569339999996</v>
      </c>
      <c r="AZ1270" s="2">
        <v>29284</v>
      </c>
      <c r="BA1270" s="16">
        <f t="shared" si="106"/>
        <v>488.06666666666666</v>
      </c>
      <c r="BB1270" s="9">
        <f t="shared" si="107"/>
        <v>5.2757944206974798</v>
      </c>
      <c r="BC1270" s="119">
        <f t="shared" si="108"/>
        <v>52.151706720702016</v>
      </c>
    </row>
    <row r="1271" spans="49:55" x14ac:dyDescent="0.3">
      <c r="AW1271" s="7">
        <v>45050.427083333336</v>
      </c>
      <c r="AX1271" s="51">
        <v>9.1270479957781207E-3</v>
      </c>
      <c r="AY1271" s="16">
        <v>98.474887140000007</v>
      </c>
      <c r="AZ1271" s="2">
        <v>29376</v>
      </c>
      <c r="BA1271" s="16">
        <f t="shared" si="106"/>
        <v>489.6</v>
      </c>
      <c r="BB1271" s="9">
        <f t="shared" si="107"/>
        <v>4.4686026987329681</v>
      </c>
      <c r="BC1271" s="119">
        <f t="shared" si="108"/>
        <v>46.707155747396023</v>
      </c>
    </row>
    <row r="1272" spans="49:55" x14ac:dyDescent="0.3">
      <c r="AW1272" s="7">
        <v>45050.4375</v>
      </c>
      <c r="AX1272" s="51">
        <v>8.8822931835050908E-3</v>
      </c>
      <c r="AY1272" s="16">
        <v>98.474887140000007</v>
      </c>
      <c r="AZ1272" s="2">
        <v>29107</v>
      </c>
      <c r="BA1272" s="16">
        <f t="shared" si="106"/>
        <v>485.11666666666667</v>
      </c>
      <c r="BB1272" s="9">
        <f t="shared" si="107"/>
        <v>4.3089484615380451</v>
      </c>
      <c r="BC1272" s="119">
        <f t="shared" si="108"/>
        <v>45.592344633570306</v>
      </c>
    </row>
    <row r="1273" spans="49:55" x14ac:dyDescent="0.3">
      <c r="AW1273" s="7">
        <v>45050.447916666664</v>
      </c>
      <c r="AX1273" s="51">
        <v>9.5941879583158508E-3</v>
      </c>
      <c r="AY1273" s="16">
        <v>93.038532979999999</v>
      </c>
      <c r="AZ1273" s="2">
        <v>29183</v>
      </c>
      <c r="BA1273" s="16">
        <f t="shared" si="106"/>
        <v>486.38333333333333</v>
      </c>
      <c r="BB1273" s="9">
        <f t="shared" si="107"/>
        <v>4.666453119792191</v>
      </c>
      <c r="BC1273" s="119">
        <f t="shared" si="108"/>
        <v>48.070284252778897</v>
      </c>
    </row>
    <row r="1274" spans="49:55" x14ac:dyDescent="0.3">
      <c r="AW1274" s="7">
        <v>45050.458333333336</v>
      </c>
      <c r="AX1274" s="51">
        <v>9.1092584434391104E-3</v>
      </c>
      <c r="AY1274" s="16">
        <v>91.767774239999994</v>
      </c>
      <c r="AZ1274" s="2">
        <v>29285</v>
      </c>
      <c r="BA1274" s="16">
        <f t="shared" si="106"/>
        <v>488.08333333333331</v>
      </c>
      <c r="BB1274" s="9">
        <f t="shared" si="107"/>
        <v>4.4460772252685725</v>
      </c>
      <c r="BC1274" s="119">
        <f t="shared" si="108"/>
        <v>46.550688967845971</v>
      </c>
    </row>
    <row r="1275" spans="49:55" x14ac:dyDescent="0.3">
      <c r="AW1275" s="7">
        <v>45050.46875</v>
      </c>
      <c r="AX1275" s="51">
        <v>1.02927474329268E-2</v>
      </c>
      <c r="AY1275" s="16">
        <v>96.393321510000007</v>
      </c>
      <c r="AZ1275" s="2">
        <v>28394</v>
      </c>
      <c r="BA1275" s="16">
        <f t="shared" si="106"/>
        <v>473.23333333333335</v>
      </c>
      <c r="BB1275" s="9">
        <f t="shared" si="107"/>
        <v>4.8708711768420594</v>
      </c>
      <c r="BC1275" s="119">
        <f t="shared" si="108"/>
        <v>49.458415102836767</v>
      </c>
    </row>
    <row r="1276" spans="49:55" x14ac:dyDescent="0.3">
      <c r="AW1276" s="7">
        <v>45050.479166666664</v>
      </c>
      <c r="AX1276" s="51">
        <v>9.13147128846333E-3</v>
      </c>
      <c r="AY1276" s="16">
        <v>105.0166174</v>
      </c>
      <c r="AZ1276" s="2">
        <v>28353</v>
      </c>
      <c r="BA1276" s="16">
        <f t="shared" si="106"/>
        <v>472.55</v>
      </c>
      <c r="BB1276" s="9">
        <f t="shared" si="107"/>
        <v>4.3150767573633466</v>
      </c>
      <c r="BC1276" s="119">
        <f t="shared" si="108"/>
        <v>45.635389831944899</v>
      </c>
    </row>
    <row r="1277" spans="49:55" x14ac:dyDescent="0.3">
      <c r="AW1277" s="7">
        <v>45050.489583333336</v>
      </c>
      <c r="AX1277" s="51">
        <v>9.3012934160155696E-3</v>
      </c>
      <c r="AY1277" s="16">
        <v>108.2271172</v>
      </c>
      <c r="AZ1277" s="2">
        <v>28185</v>
      </c>
      <c r="BA1277" s="16">
        <f t="shared" si="106"/>
        <v>469.75</v>
      </c>
      <c r="BB1277" s="9">
        <f t="shared" si="107"/>
        <v>4.3692825821733141</v>
      </c>
      <c r="BC1277" s="119">
        <f t="shared" si="108"/>
        <v>46.015242226918232</v>
      </c>
    </row>
    <row r="1278" spans="49:55" x14ac:dyDescent="0.3">
      <c r="AW1278" s="7">
        <v>45050.5</v>
      </c>
      <c r="AX1278" s="51">
        <v>1.0511269979192901E-2</v>
      </c>
      <c r="AY1278" s="16">
        <v>97.229596529999995</v>
      </c>
      <c r="AZ1278" s="2">
        <v>28773</v>
      </c>
      <c r="BA1278" s="16">
        <f t="shared" si="106"/>
        <v>479.55</v>
      </c>
      <c r="BB1278" s="9">
        <f t="shared" si="107"/>
        <v>5.0406795185219559</v>
      </c>
      <c r="BC1278" s="119">
        <f t="shared" si="108"/>
        <v>50.596693570970722</v>
      </c>
    </row>
    <row r="1279" spans="49:55" x14ac:dyDescent="0.3">
      <c r="AW1279" s="7">
        <v>45050.510416666664</v>
      </c>
      <c r="AX1279" s="51">
        <v>8.2553883244252599E-3</v>
      </c>
      <c r="AY1279" s="16">
        <v>100.5402337</v>
      </c>
      <c r="AZ1279" s="2">
        <v>28242</v>
      </c>
      <c r="BA1279" s="16">
        <f t="shared" si="106"/>
        <v>470.7</v>
      </c>
      <c r="BB1279" s="9">
        <f t="shared" si="107"/>
        <v>3.8858112843069699</v>
      </c>
      <c r="BC1279" s="119">
        <f t="shared" si="108"/>
        <v>42.568195069164986</v>
      </c>
    </row>
    <row r="1280" spans="49:55" x14ac:dyDescent="0.3">
      <c r="AW1280" s="7">
        <v>45050.520833333336</v>
      </c>
      <c r="AX1280" s="51">
        <v>1.03822565183941E-2</v>
      </c>
      <c r="AY1280" s="16">
        <v>96.393321510000007</v>
      </c>
      <c r="AZ1280" s="2">
        <v>28312</v>
      </c>
      <c r="BA1280" s="16">
        <f t="shared" si="106"/>
        <v>471.86666666666667</v>
      </c>
      <c r="BB1280" s="9">
        <f t="shared" si="107"/>
        <v>4.899040775812896</v>
      </c>
      <c r="BC1280" s="119">
        <f t="shared" si="108"/>
        <v>49.648156117143067</v>
      </c>
    </row>
    <row r="1281" spans="49:55" x14ac:dyDescent="0.3">
      <c r="AW1281" s="7">
        <v>45050.53125</v>
      </c>
      <c r="AX1281" s="51">
        <v>7.9151496667749493E-3</v>
      </c>
      <c r="AY1281" s="16">
        <v>96.400480259999995</v>
      </c>
      <c r="AZ1281" s="2">
        <v>28250</v>
      </c>
      <c r="BA1281" s="16">
        <f t="shared" si="106"/>
        <v>470.83333333333331</v>
      </c>
      <c r="BB1281" s="9">
        <f t="shared" si="107"/>
        <v>3.7267163014398719</v>
      </c>
      <c r="BC1281" s="119">
        <f t="shared" si="108"/>
        <v>41.402833971280828</v>
      </c>
    </row>
    <row r="1282" spans="49:55" x14ac:dyDescent="0.3">
      <c r="AW1282" s="7">
        <v>45050.541666666664</v>
      </c>
      <c r="AX1282" s="51">
        <v>9.5096202789505205E-3</v>
      </c>
      <c r="AY1282" s="16">
        <v>100.9486689</v>
      </c>
      <c r="AZ1282" s="2">
        <v>28365</v>
      </c>
      <c r="BA1282" s="16">
        <f t="shared" si="106"/>
        <v>472.75</v>
      </c>
      <c r="BB1282" s="9">
        <f t="shared" si="107"/>
        <v>4.495672986873859</v>
      </c>
      <c r="BC1282" s="119">
        <f t="shared" si="108"/>
        <v>46.894841630414959</v>
      </c>
    </row>
    <row r="1283" spans="49:55" x14ac:dyDescent="0.3">
      <c r="AW1283" s="7">
        <v>45050.552083333336</v>
      </c>
      <c r="AX1283" s="51">
        <v>9.4069320228017898E-3</v>
      </c>
      <c r="AY1283" s="16">
        <v>97.649612750000003</v>
      </c>
      <c r="AZ1283" s="2">
        <v>27781</v>
      </c>
      <c r="BA1283" s="16">
        <f t="shared" si="106"/>
        <v>463.01666666666665</v>
      </c>
      <c r="BB1283" s="9">
        <f t="shared" si="107"/>
        <v>4.3555663087576084</v>
      </c>
      <c r="BC1283" s="119">
        <f t="shared" si="108"/>
        <v>45.919274524674336</v>
      </c>
    </row>
    <row r="1284" spans="49:55" x14ac:dyDescent="0.3">
      <c r="AW1284" s="7">
        <v>45050.5625</v>
      </c>
      <c r="AX1284" s="51">
        <v>7.3305506092613297E-3</v>
      </c>
      <c r="AY1284" s="16">
        <v>96.400480259999995</v>
      </c>
      <c r="AZ1284" s="2">
        <v>29137</v>
      </c>
      <c r="BA1284" s="16">
        <f t="shared" ref="BA1284:BA1347" si="109">AZ1284/60</f>
        <v>485.61666666666667</v>
      </c>
      <c r="BB1284" s="9">
        <f t="shared" ref="BB1284:BB1347" si="110">BA1284*AX1284</f>
        <v>3.5598375517007894</v>
      </c>
      <c r="BC1284" s="119">
        <f t="shared" ref="BC1284:BC1347" si="111">17.285*BB1284^0.664</f>
        <v>40.162341385919284</v>
      </c>
    </row>
    <row r="1285" spans="49:55" x14ac:dyDescent="0.3">
      <c r="AW1285" s="7">
        <v>45050.572916666664</v>
      </c>
      <c r="AX1285" s="51">
        <v>9.3844273031999399E-3</v>
      </c>
      <c r="AY1285" s="16">
        <v>97.229596529999995</v>
      </c>
      <c r="AZ1285" s="2">
        <v>28647</v>
      </c>
      <c r="BA1285" s="16">
        <f t="shared" si="109"/>
        <v>477.45</v>
      </c>
      <c r="BB1285" s="9">
        <f t="shared" si="110"/>
        <v>4.4805948159128111</v>
      </c>
      <c r="BC1285" s="119">
        <f t="shared" si="111"/>
        <v>46.790347449161786</v>
      </c>
    </row>
    <row r="1286" spans="49:55" x14ac:dyDescent="0.3">
      <c r="AW1286" s="7">
        <v>45050.583333333336</v>
      </c>
      <c r="AX1286" s="51">
        <v>9.2246464160287995E-3</v>
      </c>
      <c r="AY1286" s="16">
        <v>105.42475589999999</v>
      </c>
      <c r="AZ1286" s="2">
        <v>28273</v>
      </c>
      <c r="BA1286" s="16">
        <f t="shared" si="109"/>
        <v>471.21666666666664</v>
      </c>
      <c r="BB1286" s="9">
        <f t="shared" si="110"/>
        <v>4.346807135339704</v>
      </c>
      <c r="BC1286" s="119">
        <f t="shared" si="111"/>
        <v>45.857936691944687</v>
      </c>
    </row>
    <row r="1287" spans="49:55" x14ac:dyDescent="0.3">
      <c r="AW1287" s="7">
        <v>45050.59375</v>
      </c>
      <c r="AX1287" s="51">
        <v>8.43980483630331E-3</v>
      </c>
      <c r="AY1287" s="16">
        <v>99.714355679999997</v>
      </c>
      <c r="AZ1287" s="2">
        <v>27953</v>
      </c>
      <c r="BA1287" s="16">
        <f t="shared" si="109"/>
        <v>465.88333333333333</v>
      </c>
      <c r="BB1287" s="9">
        <f t="shared" si="110"/>
        <v>3.9319644098197735</v>
      </c>
      <c r="BC1287" s="119">
        <f t="shared" si="111"/>
        <v>42.903245232632678</v>
      </c>
    </row>
    <row r="1288" spans="49:55" x14ac:dyDescent="0.3">
      <c r="AW1288" s="7">
        <v>45050.604166666664</v>
      </c>
      <c r="AX1288" s="51">
        <v>9.2437181635834607E-3</v>
      </c>
      <c r="AY1288" s="16">
        <v>97.642487979999999</v>
      </c>
      <c r="AZ1288" s="2">
        <v>28548</v>
      </c>
      <c r="BA1288" s="16">
        <f t="shared" si="109"/>
        <v>475.8</v>
      </c>
      <c r="BB1288" s="9">
        <f t="shared" si="110"/>
        <v>4.3981611022330105</v>
      </c>
      <c r="BC1288" s="119">
        <f t="shared" si="111"/>
        <v>46.216964337983065</v>
      </c>
    </row>
    <row r="1289" spans="49:55" x14ac:dyDescent="0.3">
      <c r="AW1289" s="7">
        <v>45050.614583333336</v>
      </c>
      <c r="AX1289" s="51">
        <v>7.6197621443207198E-3</v>
      </c>
      <c r="AY1289" s="16">
        <v>102.9873886</v>
      </c>
      <c r="AZ1289" s="2">
        <v>29140</v>
      </c>
      <c r="BA1289" s="16">
        <f t="shared" si="109"/>
        <v>485.66666666666669</v>
      </c>
      <c r="BB1289" s="9">
        <f t="shared" si="110"/>
        <v>3.7006644814250964</v>
      </c>
      <c r="BC1289" s="119">
        <f t="shared" si="111"/>
        <v>41.210426815887573</v>
      </c>
    </row>
    <row r="1290" spans="49:55" x14ac:dyDescent="0.3">
      <c r="AW1290" s="7">
        <v>45050.625</v>
      </c>
      <c r="AX1290" s="51">
        <v>8.2107606101737493E-3</v>
      </c>
      <c r="AY1290" s="16">
        <v>103.80204430000001</v>
      </c>
      <c r="AZ1290" s="2">
        <v>28749</v>
      </c>
      <c r="BA1290" s="16">
        <f t="shared" si="109"/>
        <v>479.15</v>
      </c>
      <c r="BB1290" s="9">
        <f t="shared" si="110"/>
        <v>3.9341859463647517</v>
      </c>
      <c r="BC1290" s="119">
        <f t="shared" si="111"/>
        <v>42.919339117588052</v>
      </c>
    </row>
    <row r="1291" spans="49:55" x14ac:dyDescent="0.3">
      <c r="AW1291" s="7">
        <v>45050.635416666664</v>
      </c>
      <c r="AX1291" s="51">
        <v>8.3973770891569207E-3</v>
      </c>
      <c r="AY1291" s="16">
        <v>102.9873886</v>
      </c>
      <c r="AZ1291" s="2">
        <v>28881</v>
      </c>
      <c r="BA1291" s="16">
        <f t="shared" si="109"/>
        <v>481.35</v>
      </c>
      <c r="BB1291" s="9">
        <f t="shared" si="110"/>
        <v>4.0420774618656843</v>
      </c>
      <c r="BC1291" s="119">
        <f t="shared" si="111"/>
        <v>43.697325782121659</v>
      </c>
    </row>
    <row r="1292" spans="49:55" x14ac:dyDescent="0.3">
      <c r="AW1292" s="7">
        <v>45050.645833333336</v>
      </c>
      <c r="AX1292" s="51">
        <v>8.0109209589559003E-3</v>
      </c>
      <c r="AY1292" s="16">
        <v>104.2121959</v>
      </c>
      <c r="AZ1292" s="2">
        <v>29050</v>
      </c>
      <c r="BA1292" s="16">
        <f t="shared" si="109"/>
        <v>484.16666666666669</v>
      </c>
      <c r="BB1292" s="9">
        <f t="shared" si="110"/>
        <v>3.8786208976278154</v>
      </c>
      <c r="BC1292" s="119">
        <f t="shared" si="111"/>
        <v>42.515876126774053</v>
      </c>
    </row>
    <row r="1293" spans="49:55" x14ac:dyDescent="0.3">
      <c r="AW1293" s="7">
        <v>45050.65625</v>
      </c>
      <c r="AX1293" s="51">
        <v>7.6798415953579502E-3</v>
      </c>
      <c r="AY1293" s="16">
        <v>106.2245245</v>
      </c>
      <c r="AZ1293" s="2">
        <v>29021</v>
      </c>
      <c r="BA1293" s="16">
        <f t="shared" si="109"/>
        <v>483.68333333333334</v>
      </c>
      <c r="BB1293" s="9">
        <f t="shared" si="110"/>
        <v>3.7146113823147178</v>
      </c>
      <c r="BC1293" s="119">
        <f t="shared" si="111"/>
        <v>41.313488822640402</v>
      </c>
    </row>
    <row r="1294" spans="49:55" x14ac:dyDescent="0.3">
      <c r="AW1294" s="7">
        <v>45050.666666666664</v>
      </c>
      <c r="AX1294" s="51">
        <v>8.5464939700346208E-3</v>
      </c>
      <c r="AY1294" s="16">
        <v>109.4196846</v>
      </c>
      <c r="AZ1294" s="2">
        <v>28285</v>
      </c>
      <c r="BA1294" s="16">
        <f t="shared" si="109"/>
        <v>471.41666666666669</v>
      </c>
      <c r="BB1294" s="9">
        <f t="shared" si="110"/>
        <v>4.0289596990404872</v>
      </c>
      <c r="BC1294" s="119">
        <f t="shared" si="111"/>
        <v>43.60311184749721</v>
      </c>
    </row>
    <row r="1295" spans="49:55" x14ac:dyDescent="0.3">
      <c r="AW1295" s="7">
        <v>45050.677083333336</v>
      </c>
      <c r="AX1295" s="51">
        <v>7.8146372465922494E-3</v>
      </c>
      <c r="AY1295" s="16">
        <v>102.17638460000001</v>
      </c>
      <c r="AZ1295" s="2">
        <v>28919</v>
      </c>
      <c r="BA1295" s="16">
        <f t="shared" si="109"/>
        <v>481.98333333333335</v>
      </c>
      <c r="BB1295" s="9">
        <f t="shared" si="110"/>
        <v>3.7665249089033543</v>
      </c>
      <c r="BC1295" s="119">
        <f t="shared" si="111"/>
        <v>41.695972174270928</v>
      </c>
    </row>
    <row r="1296" spans="49:55" x14ac:dyDescent="0.3">
      <c r="AW1296" s="7">
        <v>45050.6875</v>
      </c>
      <c r="AX1296" s="51">
        <v>8.0335309253582298E-3</v>
      </c>
      <c r="AY1296" s="16">
        <v>105.0235411</v>
      </c>
      <c r="AZ1296" s="2">
        <v>28932</v>
      </c>
      <c r="BA1296" s="16">
        <f t="shared" si="109"/>
        <v>482.2</v>
      </c>
      <c r="BB1296" s="9">
        <f t="shared" si="110"/>
        <v>3.8737686122077384</v>
      </c>
      <c r="BC1296" s="119">
        <f t="shared" si="111"/>
        <v>42.480551340996463</v>
      </c>
    </row>
    <row r="1297" spans="49:55" x14ac:dyDescent="0.3">
      <c r="AW1297" s="7">
        <v>45050.697916666664</v>
      </c>
      <c r="AX1297" s="51">
        <v>7.8751349330801294E-3</v>
      </c>
      <c r="AY1297" s="16">
        <v>109.0251016</v>
      </c>
      <c r="AZ1297" s="2">
        <v>28841</v>
      </c>
      <c r="BA1297" s="16">
        <f t="shared" si="109"/>
        <v>480.68333333333334</v>
      </c>
      <c r="BB1297" s="9">
        <f t="shared" si="110"/>
        <v>3.7854461100827335</v>
      </c>
      <c r="BC1297" s="119">
        <f t="shared" si="111"/>
        <v>41.834936774821081</v>
      </c>
    </row>
    <row r="1298" spans="49:55" x14ac:dyDescent="0.3">
      <c r="AW1298" s="7">
        <v>45050.708333333336</v>
      </c>
      <c r="AX1298" s="51">
        <v>8.8183827151894906E-3</v>
      </c>
      <c r="AY1298" s="16">
        <v>110.21295859999999</v>
      </c>
      <c r="AZ1298" s="2">
        <v>29153</v>
      </c>
      <c r="BA1298" s="16">
        <f t="shared" si="109"/>
        <v>485.88333333333333</v>
      </c>
      <c r="BB1298" s="9">
        <f t="shared" si="110"/>
        <v>4.2847051882653204</v>
      </c>
      <c r="BC1298" s="119">
        <f t="shared" si="111"/>
        <v>45.4218576209161</v>
      </c>
    </row>
    <row r="1299" spans="49:55" x14ac:dyDescent="0.3">
      <c r="AW1299" s="7">
        <v>45050.71875</v>
      </c>
      <c r="AX1299" s="51">
        <v>8.3237767347723E-3</v>
      </c>
      <c r="AY1299" s="16">
        <v>118.36070239999999</v>
      </c>
      <c r="AZ1299" s="2">
        <v>29326</v>
      </c>
      <c r="BA1299" s="16">
        <f t="shared" si="109"/>
        <v>488.76666666666665</v>
      </c>
      <c r="BB1299" s="9">
        <f t="shared" si="110"/>
        <v>4.0683846087322078</v>
      </c>
      <c r="BC1299" s="119">
        <f t="shared" si="111"/>
        <v>43.885959060290041</v>
      </c>
    </row>
    <row r="1300" spans="49:55" x14ac:dyDescent="0.3">
      <c r="AW1300" s="7">
        <v>45050.729166666664</v>
      </c>
      <c r="AX1300" s="51">
        <v>7.5812989518992801E-3</v>
      </c>
      <c r="AY1300" s="16">
        <v>114.1275401</v>
      </c>
      <c r="AZ1300" s="2">
        <v>29123</v>
      </c>
      <c r="BA1300" s="16">
        <f t="shared" si="109"/>
        <v>485.38333333333333</v>
      </c>
      <c r="BB1300" s="9">
        <f t="shared" si="110"/>
        <v>3.6798361562693787</v>
      </c>
      <c r="BC1300" s="119">
        <f t="shared" si="111"/>
        <v>41.056270503371877</v>
      </c>
    </row>
    <row r="1301" spans="49:55" x14ac:dyDescent="0.3">
      <c r="AW1301" s="7">
        <v>45050.739583333336</v>
      </c>
      <c r="AX1301" s="51">
        <v>7.9218555776274496E-3</v>
      </c>
      <c r="AY1301" s="16">
        <v>108.2271172</v>
      </c>
      <c r="AZ1301" s="2">
        <v>29285</v>
      </c>
      <c r="BA1301" s="16">
        <f t="shared" si="109"/>
        <v>488.08333333333331</v>
      </c>
      <c r="BB1301" s="9">
        <f t="shared" si="110"/>
        <v>3.866525676513664</v>
      </c>
      <c r="BC1301" s="119">
        <f t="shared" si="111"/>
        <v>42.427794875856065</v>
      </c>
    </row>
    <row r="1302" spans="49:55" x14ac:dyDescent="0.3">
      <c r="AW1302" s="7">
        <v>45050.75</v>
      </c>
      <c r="AX1302" s="51">
        <v>7.8308206630083692E-3</v>
      </c>
      <c r="AY1302" s="16">
        <v>122.51245830000001</v>
      </c>
      <c r="AZ1302" s="2">
        <v>29617</v>
      </c>
      <c r="BA1302" s="16">
        <f t="shared" si="109"/>
        <v>493.61666666666667</v>
      </c>
      <c r="BB1302" s="9">
        <f t="shared" si="110"/>
        <v>3.8654235929386478</v>
      </c>
      <c r="BC1302" s="119">
        <f t="shared" si="111"/>
        <v>42.419764553675726</v>
      </c>
    </row>
    <row r="1303" spans="49:55" x14ac:dyDescent="0.3">
      <c r="AW1303" s="7">
        <v>45050.760416666664</v>
      </c>
      <c r="AX1303" s="51">
        <v>8.0873229248118097E-3</v>
      </c>
      <c r="AY1303" s="16">
        <v>123.6297958</v>
      </c>
      <c r="AZ1303" s="2">
        <v>29420</v>
      </c>
      <c r="BA1303" s="16">
        <f t="shared" si="109"/>
        <v>490.33333333333331</v>
      </c>
      <c r="BB1303" s="9">
        <f t="shared" si="110"/>
        <v>3.9654840074660571</v>
      </c>
      <c r="BC1303" s="119">
        <f t="shared" si="111"/>
        <v>43.145753952956802</v>
      </c>
    </row>
    <row r="1304" spans="49:55" x14ac:dyDescent="0.3">
      <c r="AW1304" s="7">
        <v>45050.770833333336</v>
      </c>
      <c r="AX1304" s="51">
        <v>7.6909017093402098E-3</v>
      </c>
      <c r="AY1304" s="16">
        <v>130.92322350000001</v>
      </c>
      <c r="AZ1304" s="2">
        <v>29533</v>
      </c>
      <c r="BA1304" s="16">
        <f t="shared" si="109"/>
        <v>492.21666666666664</v>
      </c>
      <c r="BB1304" s="9">
        <f t="shared" si="110"/>
        <v>3.7855900030324068</v>
      </c>
      <c r="BC1304" s="119">
        <f t="shared" si="111"/>
        <v>41.83599268474201</v>
      </c>
    </row>
    <row r="1305" spans="49:55" x14ac:dyDescent="0.3">
      <c r="AW1305" s="7">
        <v>45050.78125</v>
      </c>
      <c r="AX1305" s="51">
        <v>7.7441897759944296E-3</v>
      </c>
      <c r="AY1305" s="16">
        <v>126.21229889999999</v>
      </c>
      <c r="AZ1305" s="2">
        <v>29511</v>
      </c>
      <c r="BA1305" s="16">
        <f t="shared" si="109"/>
        <v>491.85</v>
      </c>
      <c r="BB1305" s="9">
        <f t="shared" si="110"/>
        <v>3.8089797413228603</v>
      </c>
      <c r="BC1305" s="119">
        <f t="shared" si="111"/>
        <v>42.007451629184438</v>
      </c>
    </row>
    <row r="1306" spans="49:55" x14ac:dyDescent="0.3">
      <c r="AW1306" s="7">
        <v>45050.791666666664</v>
      </c>
      <c r="AX1306" s="51">
        <v>6.8903811046850203E-3</v>
      </c>
      <c r="AY1306" s="16">
        <v>129.12778700000001</v>
      </c>
      <c r="AZ1306" s="2">
        <v>30430</v>
      </c>
      <c r="BA1306" s="16">
        <f t="shared" si="109"/>
        <v>507.16666666666669</v>
      </c>
      <c r="BB1306" s="9">
        <f t="shared" si="110"/>
        <v>3.4945716169260863</v>
      </c>
      <c r="BC1306" s="119">
        <f t="shared" si="111"/>
        <v>39.671896614838396</v>
      </c>
    </row>
    <row r="1307" spans="49:55" x14ac:dyDescent="0.3">
      <c r="AW1307" s="7">
        <v>45050.802083333336</v>
      </c>
      <c r="AX1307" s="51">
        <v>6.9755947799811004E-3</v>
      </c>
      <c r="AY1307" s="16">
        <v>115.673114</v>
      </c>
      <c r="AZ1307" s="2">
        <v>31070</v>
      </c>
      <c r="BA1307" s="16">
        <f t="shared" si="109"/>
        <v>517.83333333333337</v>
      </c>
      <c r="BB1307" s="9">
        <f t="shared" si="110"/>
        <v>3.6121954969002132</v>
      </c>
      <c r="BC1307" s="119">
        <f t="shared" si="111"/>
        <v>40.553607341251194</v>
      </c>
    </row>
    <row r="1308" spans="49:55" x14ac:dyDescent="0.3">
      <c r="AW1308" s="7">
        <v>45050.8125</v>
      </c>
      <c r="AX1308" s="51">
        <v>7.0885508691597996E-3</v>
      </c>
      <c r="AY1308" s="16">
        <v>129.12778700000001</v>
      </c>
      <c r="AZ1308" s="2">
        <v>30909</v>
      </c>
      <c r="BA1308" s="16">
        <f t="shared" si="109"/>
        <v>515.15</v>
      </c>
      <c r="BB1308" s="9">
        <f t="shared" si="110"/>
        <v>3.6516669802476707</v>
      </c>
      <c r="BC1308" s="119">
        <f t="shared" si="111"/>
        <v>40.847315243031147</v>
      </c>
    </row>
    <row r="1309" spans="49:55" x14ac:dyDescent="0.3">
      <c r="AW1309" s="7">
        <v>45050.822916666664</v>
      </c>
      <c r="AX1309" s="51">
        <v>7.2141782934698499E-3</v>
      </c>
      <c r="AY1309" s="16">
        <v>124.3675379</v>
      </c>
      <c r="AZ1309" s="2">
        <v>30933</v>
      </c>
      <c r="BA1309" s="16">
        <f t="shared" si="109"/>
        <v>515.54999999999995</v>
      </c>
      <c r="BB1309" s="9">
        <f t="shared" si="110"/>
        <v>3.7192696191983807</v>
      </c>
      <c r="BC1309" s="119">
        <f t="shared" si="111"/>
        <v>41.347882347012714</v>
      </c>
    </row>
    <row r="1310" spans="49:55" x14ac:dyDescent="0.3">
      <c r="AW1310" s="7">
        <v>45050.833333333336</v>
      </c>
      <c r="AX1310" s="51">
        <v>7.3218169418718402E-3</v>
      </c>
      <c r="AY1310" s="16">
        <v>114.5134446</v>
      </c>
      <c r="AZ1310" s="2">
        <v>31187</v>
      </c>
      <c r="BA1310" s="16">
        <f t="shared" si="109"/>
        <v>519.7833333333333</v>
      </c>
      <c r="BB1310" s="9">
        <f t="shared" si="110"/>
        <v>3.8057584161026177</v>
      </c>
      <c r="BC1310" s="119">
        <f t="shared" si="111"/>
        <v>41.983858689954907</v>
      </c>
    </row>
    <row r="1311" spans="49:55" x14ac:dyDescent="0.3">
      <c r="AW1311" s="7">
        <v>45050.84375</v>
      </c>
      <c r="AX1311" s="51">
        <v>6.7856531383120901E-3</v>
      </c>
      <c r="AY1311" s="16">
        <v>124.3675379</v>
      </c>
      <c r="AZ1311" s="2">
        <v>30924</v>
      </c>
      <c r="BA1311" s="16">
        <f t="shared" si="109"/>
        <v>515.4</v>
      </c>
      <c r="BB1311" s="9">
        <f t="shared" si="110"/>
        <v>3.4973256274860511</v>
      </c>
      <c r="BC1311" s="119">
        <f t="shared" si="111"/>
        <v>39.692653644959499</v>
      </c>
    </row>
    <row r="1312" spans="49:55" x14ac:dyDescent="0.3">
      <c r="AW1312" s="7">
        <v>45050.854166666664</v>
      </c>
      <c r="AX1312" s="51">
        <v>6.9711638177192697E-3</v>
      </c>
      <c r="AY1312" s="16">
        <v>113.3477233</v>
      </c>
      <c r="AZ1312" s="2">
        <v>31152</v>
      </c>
      <c r="BA1312" s="16">
        <f t="shared" si="109"/>
        <v>519.20000000000005</v>
      </c>
      <c r="BB1312" s="9">
        <f t="shared" si="110"/>
        <v>3.6194282541598453</v>
      </c>
      <c r="BC1312" s="119">
        <f t="shared" si="111"/>
        <v>40.607506778124751</v>
      </c>
    </row>
    <row r="1313" spans="49:55" x14ac:dyDescent="0.3">
      <c r="AW1313" s="7">
        <v>45050.864583333336</v>
      </c>
      <c r="AX1313" s="51">
        <v>6.9961025850723297E-3</v>
      </c>
      <c r="AY1313" s="16">
        <v>114.1275401</v>
      </c>
      <c r="AZ1313" s="2">
        <v>31248</v>
      </c>
      <c r="BA1313" s="16">
        <f t="shared" si="109"/>
        <v>520.79999999999995</v>
      </c>
      <c r="BB1313" s="9">
        <f t="shared" si="110"/>
        <v>3.6435702263056688</v>
      </c>
      <c r="BC1313" s="119">
        <f t="shared" si="111"/>
        <v>40.787154487894455</v>
      </c>
    </row>
    <row r="1314" spans="49:55" x14ac:dyDescent="0.3">
      <c r="AW1314" s="7">
        <v>45050.875</v>
      </c>
      <c r="AX1314" s="51">
        <v>7.1891730370103202E-3</v>
      </c>
      <c r="AY1314" s="16">
        <v>120.2525852</v>
      </c>
      <c r="AZ1314" s="2">
        <v>30863</v>
      </c>
      <c r="BA1314" s="16">
        <f t="shared" si="109"/>
        <v>514.38333333333333</v>
      </c>
      <c r="BB1314" s="9">
        <f t="shared" si="110"/>
        <v>3.6979907906874918</v>
      </c>
      <c r="BC1314" s="119">
        <f t="shared" si="111"/>
        <v>41.190654416273631</v>
      </c>
    </row>
    <row r="1315" spans="49:55" x14ac:dyDescent="0.3">
      <c r="AW1315" s="7">
        <v>45050.885416666664</v>
      </c>
      <c r="AX1315" s="51">
        <v>7.2215854361393503E-3</v>
      </c>
      <c r="AY1315" s="16">
        <v>114.8986831</v>
      </c>
      <c r="AZ1315" s="2">
        <v>30906</v>
      </c>
      <c r="BA1315" s="16">
        <f t="shared" si="109"/>
        <v>515.1</v>
      </c>
      <c r="BB1315" s="9">
        <f t="shared" si="110"/>
        <v>3.7198386581553797</v>
      </c>
      <c r="BC1315" s="119">
        <f t="shared" si="111"/>
        <v>41.352082784502294</v>
      </c>
    </row>
    <row r="1316" spans="49:55" x14ac:dyDescent="0.3">
      <c r="AW1316" s="7">
        <v>45050.895833333336</v>
      </c>
      <c r="AX1316" s="51">
        <v>6.8434097309887998E-3</v>
      </c>
      <c r="AY1316" s="16">
        <v>114.1275401</v>
      </c>
      <c r="AZ1316" s="2">
        <v>31307</v>
      </c>
      <c r="BA1316" s="16">
        <f t="shared" si="109"/>
        <v>521.7833333333333</v>
      </c>
      <c r="BB1316" s="9">
        <f t="shared" si="110"/>
        <v>3.5707771408011055</v>
      </c>
      <c r="BC1316" s="119">
        <f t="shared" si="111"/>
        <v>40.244250827721672</v>
      </c>
    </row>
    <row r="1317" spans="49:55" x14ac:dyDescent="0.3">
      <c r="AW1317" s="7">
        <v>45050.90625</v>
      </c>
      <c r="AX1317" s="51">
        <v>7.1902202489196997E-3</v>
      </c>
      <c r="AY1317" s="16">
        <v>112.9598134</v>
      </c>
      <c r="AZ1317" s="2">
        <v>30974</v>
      </c>
      <c r="BA1317" s="16">
        <f t="shared" si="109"/>
        <v>516.23333333333335</v>
      </c>
      <c r="BB1317" s="9">
        <f t="shared" si="110"/>
        <v>3.7118313665006464</v>
      </c>
      <c r="BC1317" s="119">
        <f t="shared" si="111"/>
        <v>41.292956009664231</v>
      </c>
    </row>
    <row r="1318" spans="49:55" x14ac:dyDescent="0.3">
      <c r="AW1318" s="7">
        <v>45050.916666666664</v>
      </c>
      <c r="AX1318" s="51">
        <v>6.7191051865333803E-3</v>
      </c>
      <c r="AY1318" s="16">
        <v>114.1275401</v>
      </c>
      <c r="AZ1318" s="2">
        <v>31374</v>
      </c>
      <c r="BA1318" s="16">
        <f t="shared" si="109"/>
        <v>522.9</v>
      </c>
      <c r="BB1318" s="9">
        <f t="shared" si="110"/>
        <v>3.5134201020383045</v>
      </c>
      <c r="BC1318" s="119">
        <f t="shared" si="111"/>
        <v>39.813848375923826</v>
      </c>
    </row>
    <row r="1319" spans="49:55" x14ac:dyDescent="0.3">
      <c r="AW1319" s="7">
        <v>45050.927083333336</v>
      </c>
      <c r="AX1319" s="51">
        <v>7.2163337252814002E-3</v>
      </c>
      <c r="AY1319" s="16">
        <v>113.74097140000001</v>
      </c>
      <c r="AZ1319" s="2">
        <v>30687</v>
      </c>
      <c r="BA1319" s="16">
        <f t="shared" si="109"/>
        <v>511.45</v>
      </c>
      <c r="BB1319" s="9">
        <f t="shared" si="110"/>
        <v>3.6907938837951719</v>
      </c>
      <c r="BC1319" s="119">
        <f t="shared" si="111"/>
        <v>41.137408178733857</v>
      </c>
    </row>
    <row r="1320" spans="49:55" x14ac:dyDescent="0.3">
      <c r="AW1320" s="7">
        <v>45050.9375</v>
      </c>
      <c r="AX1320" s="51">
        <v>7.3420624639907398E-3</v>
      </c>
      <c r="AY1320" s="16">
        <v>114.1275401</v>
      </c>
      <c r="AZ1320" s="2">
        <v>31692</v>
      </c>
      <c r="BA1320" s="16">
        <f t="shared" si="109"/>
        <v>528.20000000000005</v>
      </c>
      <c r="BB1320" s="9">
        <f t="shared" si="110"/>
        <v>3.8780773934799093</v>
      </c>
      <c r="BC1320" s="119">
        <f t="shared" si="111"/>
        <v>42.511920138763649</v>
      </c>
    </row>
    <row r="1321" spans="49:55" x14ac:dyDescent="0.3">
      <c r="AW1321" s="7">
        <v>45050.947916666664</v>
      </c>
      <c r="AX1321" s="51">
        <v>6.8732955991686398E-3</v>
      </c>
      <c r="AY1321" s="16">
        <v>107.0292163</v>
      </c>
      <c r="AZ1321" s="2">
        <v>31548</v>
      </c>
      <c r="BA1321" s="16">
        <f t="shared" si="109"/>
        <v>525.79999999999995</v>
      </c>
      <c r="BB1321" s="9">
        <f t="shared" si="110"/>
        <v>3.6139788260428705</v>
      </c>
      <c r="BC1321" s="119">
        <f t="shared" si="111"/>
        <v>40.566900304884712</v>
      </c>
    </row>
    <row r="1322" spans="49:55" x14ac:dyDescent="0.3">
      <c r="AW1322" s="7">
        <v>45050.958333333336</v>
      </c>
      <c r="AX1322" s="51">
        <v>6.6658082111289403E-3</v>
      </c>
      <c r="AY1322" s="16">
        <v>112.9598134</v>
      </c>
      <c r="AZ1322" s="2">
        <v>31587</v>
      </c>
      <c r="BA1322" s="16">
        <f t="shared" si="109"/>
        <v>526.45000000000005</v>
      </c>
      <c r="BB1322" s="9">
        <f t="shared" si="110"/>
        <v>3.509214732748831</v>
      </c>
      <c r="BC1322" s="119">
        <f t="shared" si="111"/>
        <v>39.782199108406843</v>
      </c>
    </row>
    <row r="1323" spans="49:55" x14ac:dyDescent="0.3">
      <c r="AW1323" s="7">
        <v>45050.96875</v>
      </c>
      <c r="AX1323" s="51">
        <v>6.9067752039636797E-3</v>
      </c>
      <c r="AY1323" s="16">
        <v>110.9974619</v>
      </c>
      <c r="AZ1323" s="2">
        <v>31865</v>
      </c>
      <c r="BA1323" s="16">
        <f t="shared" si="109"/>
        <v>531.08333333333337</v>
      </c>
      <c r="BB1323" s="9">
        <f t="shared" si="110"/>
        <v>3.6680731979050445</v>
      </c>
      <c r="BC1323" s="119">
        <f t="shared" si="111"/>
        <v>40.969080006737094</v>
      </c>
    </row>
    <row r="1324" spans="49:55" x14ac:dyDescent="0.3">
      <c r="AW1324" s="7">
        <v>45050.979166666664</v>
      </c>
      <c r="AX1324" s="51">
        <v>6.6760021477665198E-3</v>
      </c>
      <c r="AY1324" s="16">
        <v>107.8305381</v>
      </c>
      <c r="AZ1324" s="2">
        <v>31413</v>
      </c>
      <c r="BA1324" s="16">
        <f t="shared" si="109"/>
        <v>523.54999999999995</v>
      </c>
      <c r="BB1324" s="9">
        <f t="shared" si="110"/>
        <v>3.4952209244631613</v>
      </c>
      <c r="BC1324" s="119">
        <f t="shared" si="111"/>
        <v>39.6767909531534</v>
      </c>
    </row>
    <row r="1325" spans="49:55" x14ac:dyDescent="0.3">
      <c r="AW1325" s="7">
        <v>45050.989583333336</v>
      </c>
      <c r="AX1325" s="51">
        <v>7.2212672130948299E-3</v>
      </c>
      <c r="AY1325" s="16">
        <v>109.0251016</v>
      </c>
      <c r="AZ1325" s="2">
        <v>31700</v>
      </c>
      <c r="BA1325" s="16">
        <f t="shared" si="109"/>
        <v>528.33333333333337</v>
      </c>
      <c r="BB1325" s="9">
        <f t="shared" si="110"/>
        <v>3.8152361775851023</v>
      </c>
      <c r="BC1325" s="119">
        <f t="shared" si="111"/>
        <v>42.053254532264674</v>
      </c>
    </row>
    <row r="1326" spans="49:55" x14ac:dyDescent="0.3">
      <c r="AW1326" s="7">
        <v>45051</v>
      </c>
      <c r="AX1326" s="51">
        <v>6.9887368480037598E-3</v>
      </c>
      <c r="AY1326" s="16">
        <v>115.2898797</v>
      </c>
      <c r="AZ1326" s="2">
        <v>31216</v>
      </c>
      <c r="BA1326" s="16">
        <f t="shared" si="109"/>
        <v>520.26666666666665</v>
      </c>
      <c r="BB1326" s="9">
        <f t="shared" si="110"/>
        <v>3.6360068241214227</v>
      </c>
      <c r="BC1326" s="119">
        <f t="shared" si="111"/>
        <v>40.730916068511839</v>
      </c>
    </row>
    <row r="1327" spans="49:55" x14ac:dyDescent="0.3">
      <c r="AW1327" s="7">
        <v>45051.010416666664</v>
      </c>
      <c r="AX1327" s="51">
        <v>7.4006791061793104E-3</v>
      </c>
      <c r="AY1327" s="16">
        <v>104.61473460000001</v>
      </c>
      <c r="AZ1327" s="2">
        <v>30832</v>
      </c>
      <c r="BA1327" s="16">
        <f t="shared" si="109"/>
        <v>513.86666666666667</v>
      </c>
      <c r="BB1327" s="9">
        <f t="shared" si="110"/>
        <v>3.8029623033620084</v>
      </c>
      <c r="BC1327" s="119">
        <f t="shared" si="111"/>
        <v>41.963374560474136</v>
      </c>
    </row>
    <row r="1328" spans="49:55" x14ac:dyDescent="0.3">
      <c r="AW1328" s="7">
        <v>45051.020833333336</v>
      </c>
      <c r="AX1328" s="51">
        <v>6.5945422642596499E-3</v>
      </c>
      <c r="AY1328" s="16">
        <v>110.9974619</v>
      </c>
      <c r="AZ1328" s="2">
        <v>31367</v>
      </c>
      <c r="BA1328" s="16">
        <f t="shared" si="109"/>
        <v>522.7833333333333</v>
      </c>
      <c r="BB1328" s="9">
        <f t="shared" si="110"/>
        <v>3.4475167867172072</v>
      </c>
      <c r="BC1328" s="119">
        <f t="shared" si="111"/>
        <v>39.316389285924629</v>
      </c>
    </row>
    <row r="1329" spans="49:55" x14ac:dyDescent="0.3">
      <c r="AW1329" s="7">
        <v>45051.03125</v>
      </c>
      <c r="AX1329" s="51">
        <v>7.0727773785299198E-3</v>
      </c>
      <c r="AY1329" s="16">
        <v>103.80204430000001</v>
      </c>
      <c r="AZ1329" s="2">
        <v>31176</v>
      </c>
      <c r="BA1329" s="16">
        <f t="shared" si="109"/>
        <v>519.6</v>
      </c>
      <c r="BB1329" s="9">
        <f t="shared" si="110"/>
        <v>3.6750151258841464</v>
      </c>
      <c r="BC1329" s="119">
        <f t="shared" si="111"/>
        <v>41.020546954564523</v>
      </c>
    </row>
    <row r="1330" spans="49:55" x14ac:dyDescent="0.3">
      <c r="AW1330" s="7">
        <v>45051.041666666664</v>
      </c>
      <c r="AX1330" s="51">
        <v>8.1880167252412605E-3</v>
      </c>
      <c r="AY1330" s="16">
        <v>109.0251016</v>
      </c>
      <c r="AZ1330" s="2">
        <v>30834</v>
      </c>
      <c r="BA1330" s="16">
        <f t="shared" si="109"/>
        <v>513.9</v>
      </c>
      <c r="BB1330" s="9">
        <f t="shared" si="110"/>
        <v>4.2078217951014834</v>
      </c>
      <c r="BC1330" s="119">
        <f t="shared" si="111"/>
        <v>44.879029501517429</v>
      </c>
    </row>
    <row r="1331" spans="49:55" x14ac:dyDescent="0.3">
      <c r="AW1331" s="7">
        <v>45051.052083333336</v>
      </c>
      <c r="AX1331" s="51">
        <v>6.7101168377615497E-3</v>
      </c>
      <c r="AY1331" s="16">
        <v>109.8129265</v>
      </c>
      <c r="AZ1331" s="2">
        <v>30798</v>
      </c>
      <c r="BA1331" s="16">
        <f t="shared" si="109"/>
        <v>513.29999999999995</v>
      </c>
      <c r="BB1331" s="9">
        <f t="shared" si="110"/>
        <v>3.444302972823003</v>
      </c>
      <c r="BC1331" s="119">
        <f t="shared" si="111"/>
        <v>39.29204908949238</v>
      </c>
    </row>
    <row r="1332" spans="49:55" x14ac:dyDescent="0.3">
      <c r="AW1332" s="7">
        <v>45051.0625</v>
      </c>
      <c r="AX1332" s="51">
        <v>7.1766470374527297E-3</v>
      </c>
      <c r="AY1332" s="16">
        <v>111.0042136</v>
      </c>
      <c r="AZ1332" s="2">
        <v>30950</v>
      </c>
      <c r="BA1332" s="16">
        <f t="shared" si="109"/>
        <v>515.83333333333337</v>
      </c>
      <c r="BB1332" s="9">
        <f t="shared" si="110"/>
        <v>3.7019537634860336</v>
      </c>
      <c r="BC1332" s="119">
        <f t="shared" si="111"/>
        <v>41.219959561505874</v>
      </c>
    </row>
    <row r="1333" spans="49:55" x14ac:dyDescent="0.3">
      <c r="AW1333" s="7">
        <v>45051.072916666664</v>
      </c>
      <c r="AX1333" s="51">
        <v>7.6807701641899402E-3</v>
      </c>
      <c r="AY1333" s="16">
        <v>112.9598134</v>
      </c>
      <c r="AZ1333" s="2">
        <v>31428</v>
      </c>
      <c r="BA1333" s="16">
        <f t="shared" si="109"/>
        <v>523.79999999999995</v>
      </c>
      <c r="BB1333" s="9">
        <f t="shared" si="110"/>
        <v>4.0231874120026907</v>
      </c>
      <c r="BC1333" s="119">
        <f t="shared" si="111"/>
        <v>43.561621684012067</v>
      </c>
    </row>
    <row r="1334" spans="49:55" x14ac:dyDescent="0.3">
      <c r="AW1334" s="7">
        <v>45051.083333333336</v>
      </c>
      <c r="AX1334" s="51">
        <v>7.5806327048917798E-3</v>
      </c>
      <c r="AY1334" s="16">
        <v>109.0251016</v>
      </c>
      <c r="AZ1334" s="2">
        <v>30919</v>
      </c>
      <c r="BA1334" s="16">
        <f t="shared" si="109"/>
        <v>515.31666666666672</v>
      </c>
      <c r="BB1334" s="9">
        <f t="shared" si="110"/>
        <v>3.9064263767091494</v>
      </c>
      <c r="BC1334" s="119">
        <f t="shared" si="111"/>
        <v>42.718015333559229</v>
      </c>
    </row>
    <row r="1335" spans="49:55" x14ac:dyDescent="0.3">
      <c r="AW1335" s="7">
        <v>45051.09375</v>
      </c>
      <c r="AX1335" s="51">
        <v>7.3896077218351397E-3</v>
      </c>
      <c r="AY1335" s="16">
        <v>107.8305381</v>
      </c>
      <c r="AZ1335" s="2">
        <v>30798</v>
      </c>
      <c r="BA1335" s="16">
        <f t="shared" si="109"/>
        <v>513.29999999999995</v>
      </c>
      <c r="BB1335" s="9">
        <f t="shared" si="110"/>
        <v>3.7930856436179767</v>
      </c>
      <c r="BC1335" s="119">
        <f t="shared" si="111"/>
        <v>41.890978285189156</v>
      </c>
    </row>
    <row r="1336" spans="49:55" x14ac:dyDescent="0.3">
      <c r="AW1336" s="7">
        <v>45051.104166666664</v>
      </c>
      <c r="AX1336" s="51">
        <v>8.1990348465617296E-3</v>
      </c>
      <c r="AY1336" s="16">
        <v>122.1341827</v>
      </c>
      <c r="AZ1336" s="2">
        <v>30940</v>
      </c>
      <c r="BA1336" s="16">
        <f t="shared" si="109"/>
        <v>515.66666666666663</v>
      </c>
      <c r="BB1336" s="9">
        <f t="shared" si="110"/>
        <v>4.2279689692103313</v>
      </c>
      <c r="BC1336" s="119">
        <f t="shared" si="111"/>
        <v>45.021596694272645</v>
      </c>
    </row>
    <row r="1337" spans="49:55" x14ac:dyDescent="0.3">
      <c r="AW1337" s="7">
        <v>45051.114583333336</v>
      </c>
      <c r="AX1337" s="51">
        <v>7.1180101572490499E-3</v>
      </c>
      <c r="AY1337" s="16">
        <v>105.42475589999999</v>
      </c>
      <c r="AZ1337" s="2">
        <v>30646</v>
      </c>
      <c r="BA1337" s="16">
        <f t="shared" si="109"/>
        <v>510.76666666666665</v>
      </c>
      <c r="BB1337" s="9">
        <f t="shared" si="110"/>
        <v>3.6356423213175728</v>
      </c>
      <c r="BC1337" s="119">
        <f t="shared" si="111"/>
        <v>40.728204779865671</v>
      </c>
    </row>
    <row r="1338" spans="49:55" x14ac:dyDescent="0.3">
      <c r="AW1338" s="7">
        <v>45051.125</v>
      </c>
      <c r="AX1338" s="51">
        <v>7.2519386258248402E-3</v>
      </c>
      <c r="AY1338" s="16">
        <v>109.8197124</v>
      </c>
      <c r="AZ1338" s="2">
        <v>30761</v>
      </c>
      <c r="BA1338" s="16">
        <f t="shared" si="109"/>
        <v>512.68333333333328</v>
      </c>
      <c r="BB1338" s="9">
        <f t="shared" si="110"/>
        <v>3.7179480678166312</v>
      </c>
      <c r="BC1338" s="119">
        <f t="shared" si="111"/>
        <v>41.338126304814324</v>
      </c>
    </row>
    <row r="1339" spans="49:55" x14ac:dyDescent="0.3">
      <c r="AW1339" s="7">
        <v>45051.135416666664</v>
      </c>
      <c r="AX1339" s="51">
        <v>7.7978064715756501E-3</v>
      </c>
      <c r="AY1339" s="16">
        <v>99.304680700000006</v>
      </c>
      <c r="AZ1339" s="2">
        <v>30711</v>
      </c>
      <c r="BA1339" s="16">
        <f t="shared" si="109"/>
        <v>511.85</v>
      </c>
      <c r="BB1339" s="9">
        <f t="shared" si="110"/>
        <v>3.9913072424759966</v>
      </c>
      <c r="BC1339" s="119">
        <f t="shared" si="111"/>
        <v>43.332111324204284</v>
      </c>
    </row>
    <row r="1340" spans="49:55" x14ac:dyDescent="0.3">
      <c r="AW1340" s="7">
        <v>45051.145833333336</v>
      </c>
      <c r="AX1340" s="51">
        <v>7.3640810253908602E-3</v>
      </c>
      <c r="AY1340" s="16">
        <v>98.474887140000007</v>
      </c>
      <c r="AZ1340" s="2">
        <v>30641</v>
      </c>
      <c r="BA1340" s="16">
        <f t="shared" si="109"/>
        <v>510.68333333333334</v>
      </c>
      <c r="BB1340" s="9">
        <f t="shared" si="110"/>
        <v>3.7607134449833559</v>
      </c>
      <c r="BC1340" s="119">
        <f t="shared" si="111"/>
        <v>41.653243489755148</v>
      </c>
    </row>
    <row r="1341" spans="49:55" x14ac:dyDescent="0.3">
      <c r="AW1341" s="7">
        <v>45051.15625</v>
      </c>
      <c r="AX1341" s="51">
        <v>7.3738610777791796E-3</v>
      </c>
      <c r="AY1341" s="16">
        <v>109.0251016</v>
      </c>
      <c r="AZ1341" s="2">
        <v>30944</v>
      </c>
      <c r="BA1341" s="16">
        <f t="shared" si="109"/>
        <v>515.73333333333335</v>
      </c>
      <c r="BB1341" s="9">
        <f t="shared" si="110"/>
        <v>3.8029459531799823</v>
      </c>
      <c r="BC1341" s="119">
        <f t="shared" si="111"/>
        <v>41.963254765287068</v>
      </c>
    </row>
    <row r="1342" spans="49:55" x14ac:dyDescent="0.3">
      <c r="AW1342" s="7">
        <v>45051.166666666664</v>
      </c>
      <c r="AX1342" s="51">
        <v>7.3382808532620001E-3</v>
      </c>
      <c r="AY1342" s="16">
        <v>107.0292163</v>
      </c>
      <c r="AZ1342" s="2">
        <v>30328</v>
      </c>
      <c r="BA1342" s="16">
        <f t="shared" si="109"/>
        <v>505.46666666666664</v>
      </c>
      <c r="BB1342" s="9">
        <f t="shared" si="110"/>
        <v>3.7092563619621655</v>
      </c>
      <c r="BC1342" s="119">
        <f t="shared" si="111"/>
        <v>41.273932771617325</v>
      </c>
    </row>
    <row r="1343" spans="49:55" x14ac:dyDescent="0.3">
      <c r="AW1343" s="7">
        <v>45051.177083333336</v>
      </c>
      <c r="AX1343" s="51">
        <v>7.5695582174419599E-3</v>
      </c>
      <c r="AY1343" s="16">
        <v>101.7699069</v>
      </c>
      <c r="AZ1343" s="2">
        <v>30202</v>
      </c>
      <c r="BA1343" s="16">
        <f t="shared" si="109"/>
        <v>503.36666666666667</v>
      </c>
      <c r="BB1343" s="9">
        <f t="shared" si="110"/>
        <v>3.8102632880530347</v>
      </c>
      <c r="BC1343" s="119">
        <f t="shared" si="111"/>
        <v>42.01685043882609</v>
      </c>
    </row>
    <row r="1344" spans="49:55" x14ac:dyDescent="0.3">
      <c r="AW1344" s="7">
        <v>45051.1875</v>
      </c>
      <c r="AX1344" s="51">
        <v>7.51194470823095E-3</v>
      </c>
      <c r="AY1344" s="16">
        <v>104.61473460000001</v>
      </c>
      <c r="AZ1344" s="2">
        <v>30620</v>
      </c>
      <c r="BA1344" s="16">
        <f t="shared" si="109"/>
        <v>510.33333333333331</v>
      </c>
      <c r="BB1344" s="9">
        <f t="shared" si="110"/>
        <v>3.8335957827671945</v>
      </c>
      <c r="BC1344" s="119">
        <f t="shared" si="111"/>
        <v>42.187518385336816</v>
      </c>
    </row>
    <row r="1345" spans="49:55" x14ac:dyDescent="0.3">
      <c r="AW1345" s="7">
        <v>45051.197916666664</v>
      </c>
      <c r="AX1345" s="51">
        <v>7.4994841972393003E-3</v>
      </c>
      <c r="AY1345" s="16">
        <v>107.0292163</v>
      </c>
      <c r="AZ1345" s="2">
        <v>30458</v>
      </c>
      <c r="BA1345" s="16">
        <f t="shared" si="109"/>
        <v>507.63333333333333</v>
      </c>
      <c r="BB1345" s="9">
        <f t="shared" si="110"/>
        <v>3.8069881613252434</v>
      </c>
      <c r="BC1345" s="119">
        <f t="shared" si="111"/>
        <v>41.992866117667837</v>
      </c>
    </row>
    <row r="1346" spans="49:55" x14ac:dyDescent="0.3">
      <c r="AW1346" s="7">
        <v>45051.208333333336</v>
      </c>
      <c r="AX1346" s="51">
        <v>8.1643776365721999E-3</v>
      </c>
      <c r="AY1346" s="16">
        <v>98.055454810000001</v>
      </c>
      <c r="AZ1346" s="2">
        <v>30166</v>
      </c>
      <c r="BA1346" s="16">
        <f t="shared" si="109"/>
        <v>502.76666666666665</v>
      </c>
      <c r="BB1346" s="9">
        <f t="shared" si="110"/>
        <v>4.1047769297472829</v>
      </c>
      <c r="BC1346" s="119">
        <f t="shared" si="111"/>
        <v>44.146233112078399</v>
      </c>
    </row>
    <row r="1347" spans="49:55" x14ac:dyDescent="0.3">
      <c r="AW1347" s="7">
        <v>45051.21875</v>
      </c>
      <c r="AX1347" s="51">
        <v>7.3217847651776396E-3</v>
      </c>
      <c r="AY1347" s="16">
        <v>100.5402337</v>
      </c>
      <c r="AZ1347" s="2">
        <v>30305</v>
      </c>
      <c r="BA1347" s="16">
        <f t="shared" si="109"/>
        <v>505.08333333333331</v>
      </c>
      <c r="BB1347" s="9">
        <f t="shared" si="110"/>
        <v>3.6981114551451393</v>
      </c>
      <c r="BC1347" s="119">
        <f t="shared" si="111"/>
        <v>41.191546854019258</v>
      </c>
    </row>
    <row r="1348" spans="49:55" x14ac:dyDescent="0.3">
      <c r="AW1348" s="7">
        <v>45051.229166666664</v>
      </c>
      <c r="AX1348" s="51">
        <v>7.6626575283035604E-3</v>
      </c>
      <c r="AY1348" s="16">
        <v>101.7699069</v>
      </c>
      <c r="AZ1348" s="2">
        <v>30252</v>
      </c>
      <c r="BA1348" s="16">
        <f t="shared" ref="BA1348:BA1396" si="112">AZ1348/60</f>
        <v>504.2</v>
      </c>
      <c r="BB1348" s="9">
        <f t="shared" ref="BB1348:BB1396" si="113">BA1348*AX1348</f>
        <v>3.8635119257706552</v>
      </c>
      <c r="BC1348" s="119">
        <f t="shared" ref="BC1348:BC1396" si="114">17.285*BB1348^0.664</f>
        <v>42.405833383051686</v>
      </c>
    </row>
    <row r="1349" spans="49:55" x14ac:dyDescent="0.3">
      <c r="AW1349" s="7">
        <v>45051.239583333336</v>
      </c>
      <c r="AX1349" s="51">
        <v>6.9766551137841496E-3</v>
      </c>
      <c r="AY1349" s="16">
        <v>96.808208239999999</v>
      </c>
      <c r="AZ1349" s="2">
        <v>30870</v>
      </c>
      <c r="BA1349" s="16">
        <f t="shared" si="112"/>
        <v>514.5</v>
      </c>
      <c r="BB1349" s="9">
        <f t="shared" si="113"/>
        <v>3.5894890560419448</v>
      </c>
      <c r="BC1349" s="119">
        <f t="shared" si="114"/>
        <v>40.384159876762894</v>
      </c>
    </row>
    <row r="1350" spans="49:55" x14ac:dyDescent="0.3">
      <c r="AW1350" s="7">
        <v>45051.25</v>
      </c>
      <c r="AX1350" s="51">
        <v>7.8655802081901097E-3</v>
      </c>
      <c r="AY1350" s="16">
        <v>103.3988808</v>
      </c>
      <c r="AZ1350" s="2">
        <v>30102</v>
      </c>
      <c r="BA1350" s="16">
        <f t="shared" si="112"/>
        <v>501.7</v>
      </c>
      <c r="BB1350" s="9">
        <f t="shared" si="113"/>
        <v>3.9461615904489782</v>
      </c>
      <c r="BC1350" s="119">
        <f t="shared" si="114"/>
        <v>43.006043939882566</v>
      </c>
    </row>
    <row r="1351" spans="49:55" x14ac:dyDescent="0.3">
      <c r="AW1351" s="7">
        <v>45051.260416666664</v>
      </c>
      <c r="AX1351" s="51">
        <v>7.76680233587905E-3</v>
      </c>
      <c r="AY1351" s="16">
        <v>103.3988808</v>
      </c>
      <c r="AZ1351" s="2">
        <v>30127</v>
      </c>
      <c r="BA1351" s="16">
        <f t="shared" si="112"/>
        <v>502.11666666666667</v>
      </c>
      <c r="BB1351" s="9">
        <f t="shared" si="113"/>
        <v>3.899840899550469</v>
      </c>
      <c r="BC1351" s="119">
        <f t="shared" si="114"/>
        <v>42.670184293483658</v>
      </c>
    </row>
    <row r="1352" spans="49:55" x14ac:dyDescent="0.3">
      <c r="AW1352" s="7">
        <v>45051.270833333336</v>
      </c>
      <c r="AX1352" s="51">
        <v>8.2779078301386602E-3</v>
      </c>
      <c r="AY1352" s="16">
        <v>105.0235411</v>
      </c>
      <c r="AZ1352" s="2">
        <v>30111</v>
      </c>
      <c r="BA1352" s="16">
        <f t="shared" si="112"/>
        <v>501.85</v>
      </c>
      <c r="BB1352" s="9">
        <f t="shared" si="113"/>
        <v>4.1542680445550868</v>
      </c>
      <c r="BC1352" s="119">
        <f t="shared" si="114"/>
        <v>44.498947781110012</v>
      </c>
    </row>
    <row r="1353" spans="49:55" x14ac:dyDescent="0.3">
      <c r="AW1353" s="7">
        <v>45051.28125</v>
      </c>
      <c r="AX1353" s="51">
        <v>8.2252683797056098E-3</v>
      </c>
      <c r="AY1353" s="16">
        <v>104.61473460000001</v>
      </c>
      <c r="AZ1353" s="2">
        <v>30376</v>
      </c>
      <c r="BA1353" s="16">
        <f t="shared" si="112"/>
        <v>506.26666666666665</v>
      </c>
      <c r="BB1353" s="9">
        <f t="shared" si="113"/>
        <v>4.1641792050322932</v>
      </c>
      <c r="BC1353" s="119">
        <f t="shared" si="114"/>
        <v>44.569412852186609</v>
      </c>
    </row>
    <row r="1354" spans="49:55" x14ac:dyDescent="0.3">
      <c r="AW1354" s="7">
        <v>45051.291666666664</v>
      </c>
      <c r="AX1354" s="51">
        <v>7.4017345434976897E-3</v>
      </c>
      <c r="AY1354" s="16">
        <v>94.720978599999995</v>
      </c>
      <c r="AZ1354" s="2">
        <v>30319</v>
      </c>
      <c r="BA1354" s="16">
        <f t="shared" si="112"/>
        <v>505.31666666666666</v>
      </c>
      <c r="BB1354" s="9">
        <f t="shared" si="113"/>
        <v>3.7402198270717744</v>
      </c>
      <c r="BC1354" s="119">
        <f t="shared" si="114"/>
        <v>41.502387111259544</v>
      </c>
    </row>
    <row r="1355" spans="49:55" x14ac:dyDescent="0.3">
      <c r="AW1355" s="7">
        <v>45051.302083333336</v>
      </c>
      <c r="AX1355" s="51">
        <v>7.7067126196740197E-3</v>
      </c>
      <c r="AY1355" s="16">
        <v>95.138397370000007</v>
      </c>
      <c r="AZ1355" s="2">
        <v>30056</v>
      </c>
      <c r="BA1355" s="16">
        <f t="shared" si="112"/>
        <v>500.93333333333334</v>
      </c>
      <c r="BB1355" s="9">
        <f t="shared" si="113"/>
        <v>3.8605492416153724</v>
      </c>
      <c r="BC1355" s="119">
        <f t="shared" si="114"/>
        <v>42.38423840610502</v>
      </c>
    </row>
    <row r="1356" spans="49:55" x14ac:dyDescent="0.3">
      <c r="AW1356" s="7">
        <v>45051.3125</v>
      </c>
      <c r="AX1356" s="51">
        <v>7.9005362008607097E-3</v>
      </c>
      <c r="AY1356" s="16">
        <v>99.304680700000006</v>
      </c>
      <c r="AZ1356" s="2">
        <v>30376</v>
      </c>
      <c r="BA1356" s="16">
        <f t="shared" si="112"/>
        <v>506.26666666666665</v>
      </c>
      <c r="BB1356" s="9">
        <f t="shared" si="113"/>
        <v>3.999778127289082</v>
      </c>
      <c r="BC1356" s="119">
        <f t="shared" si="114"/>
        <v>43.393154457249587</v>
      </c>
    </row>
    <row r="1357" spans="49:55" x14ac:dyDescent="0.3">
      <c r="AW1357" s="7">
        <v>45051.322916666664</v>
      </c>
      <c r="AX1357" s="51">
        <v>8.6815436486517503E-3</v>
      </c>
      <c r="AY1357" s="16">
        <v>95.138397370000007</v>
      </c>
      <c r="AZ1357" s="2">
        <v>29685</v>
      </c>
      <c r="BA1357" s="16">
        <f t="shared" si="112"/>
        <v>494.75</v>
      </c>
      <c r="BB1357" s="9">
        <f t="shared" si="113"/>
        <v>4.2951937201704533</v>
      </c>
      <c r="BC1357" s="119">
        <f t="shared" si="114"/>
        <v>45.495656248353647</v>
      </c>
    </row>
    <row r="1358" spans="49:55" x14ac:dyDescent="0.3">
      <c r="AW1358" s="7">
        <v>45051.333333333336</v>
      </c>
      <c r="AX1358" s="51">
        <v>9.44427088549331E-3</v>
      </c>
      <c r="AY1358" s="16">
        <v>100.5402337</v>
      </c>
      <c r="AZ1358" s="2">
        <v>29606</v>
      </c>
      <c r="BA1358" s="16">
        <f t="shared" si="112"/>
        <v>493.43333333333334</v>
      </c>
      <c r="BB1358" s="9">
        <f t="shared" si="113"/>
        <v>4.6601180639319155</v>
      </c>
      <c r="BC1358" s="119">
        <f t="shared" si="114"/>
        <v>48.026942406213173</v>
      </c>
    </row>
    <row r="1359" spans="49:55" x14ac:dyDescent="0.3">
      <c r="AW1359" s="7">
        <v>45051.34375</v>
      </c>
      <c r="AX1359" s="51">
        <v>9.6727991791445492E-3</v>
      </c>
      <c r="AY1359" s="16">
        <v>107.0292163</v>
      </c>
      <c r="AZ1359" s="2">
        <v>28891</v>
      </c>
      <c r="BA1359" s="16">
        <f t="shared" si="112"/>
        <v>481.51666666666665</v>
      </c>
      <c r="BB1359" s="9">
        <f t="shared" si="113"/>
        <v>4.6576140180777523</v>
      </c>
      <c r="BC1359" s="119">
        <f t="shared" si="114"/>
        <v>48.009805296068961</v>
      </c>
    </row>
    <row r="1360" spans="49:55" x14ac:dyDescent="0.3">
      <c r="AW1360" s="7">
        <v>45051.354166666664</v>
      </c>
      <c r="AX1360" s="51">
        <v>8.4068115241708805E-3</v>
      </c>
      <c r="AY1360" s="16">
        <v>87.058386479999996</v>
      </c>
      <c r="AZ1360" s="2">
        <v>29665</v>
      </c>
      <c r="BA1360" s="16">
        <f t="shared" si="112"/>
        <v>494.41666666666669</v>
      </c>
      <c r="BB1360" s="9">
        <f t="shared" si="113"/>
        <v>4.1564677310754865</v>
      </c>
      <c r="BC1360" s="119">
        <f t="shared" si="114"/>
        <v>44.514591697060226</v>
      </c>
    </row>
    <row r="1361" spans="49:55" x14ac:dyDescent="0.3">
      <c r="AW1361" s="7">
        <v>45051.364583333336</v>
      </c>
      <c r="AX1361" s="51">
        <v>8.4050185814242492E-3</v>
      </c>
      <c r="AY1361" s="16">
        <v>97.229596529999995</v>
      </c>
      <c r="AZ1361" s="2">
        <v>29412</v>
      </c>
      <c r="BA1361" s="16">
        <f t="shared" si="112"/>
        <v>490.2</v>
      </c>
      <c r="BB1361" s="9">
        <f t="shared" si="113"/>
        <v>4.1201401086141667</v>
      </c>
      <c r="BC1361" s="119">
        <f t="shared" si="114"/>
        <v>44.255876021012376</v>
      </c>
    </row>
    <row r="1362" spans="49:55" x14ac:dyDescent="0.3">
      <c r="AW1362" s="7">
        <v>45051.375</v>
      </c>
      <c r="AX1362" s="51">
        <v>9.1205153686834493E-3</v>
      </c>
      <c r="AY1362" s="16">
        <v>85.762083380000007</v>
      </c>
      <c r="AZ1362" s="2">
        <v>28770</v>
      </c>
      <c r="BA1362" s="16">
        <f t="shared" si="112"/>
        <v>479.5</v>
      </c>
      <c r="BB1362" s="9">
        <f t="shared" si="113"/>
        <v>4.3732871192837139</v>
      </c>
      <c r="BC1362" s="119">
        <f t="shared" si="114"/>
        <v>46.043241395311675</v>
      </c>
    </row>
    <row r="1363" spans="49:55" x14ac:dyDescent="0.3">
      <c r="AW1363" s="7">
        <v>45051.385416666664</v>
      </c>
      <c r="AX1363" s="51">
        <v>9.9981280791048704E-3</v>
      </c>
      <c r="AY1363" s="16">
        <v>91.338086169999997</v>
      </c>
      <c r="AZ1363" s="2">
        <v>27128</v>
      </c>
      <c r="BA1363" s="16">
        <f t="shared" si="112"/>
        <v>452.13333333333333</v>
      </c>
      <c r="BB1363" s="9">
        <f t="shared" si="113"/>
        <v>4.5204869754992822</v>
      </c>
      <c r="BC1363" s="119">
        <f t="shared" si="114"/>
        <v>47.066550649140751</v>
      </c>
    </row>
    <row r="1364" spans="49:55" x14ac:dyDescent="0.3">
      <c r="AW1364" s="7">
        <v>45051.395833333336</v>
      </c>
      <c r="AX1364" s="51">
        <v>9.6495077780212896E-3</v>
      </c>
      <c r="AY1364" s="16">
        <v>90.484855949999996</v>
      </c>
      <c r="AZ1364" s="2">
        <v>28369</v>
      </c>
      <c r="BA1364" s="16">
        <f t="shared" si="112"/>
        <v>472.81666666666666</v>
      </c>
      <c r="BB1364" s="9">
        <f t="shared" si="113"/>
        <v>4.5624481025780996</v>
      </c>
      <c r="BC1364" s="119">
        <f t="shared" si="114"/>
        <v>47.356196541274151</v>
      </c>
    </row>
    <row r="1365" spans="49:55" x14ac:dyDescent="0.3">
      <c r="AW1365" s="7">
        <v>45051.40625</v>
      </c>
      <c r="AX1365" s="51">
        <v>8.6996621261641004E-3</v>
      </c>
      <c r="AY1365" s="16">
        <v>89.635700749999998</v>
      </c>
      <c r="AZ1365" s="2">
        <v>28020</v>
      </c>
      <c r="BA1365" s="16">
        <f t="shared" si="112"/>
        <v>467</v>
      </c>
      <c r="BB1365" s="9">
        <f t="shared" si="113"/>
        <v>4.0627422129186348</v>
      </c>
      <c r="BC1365" s="119">
        <f t="shared" si="114"/>
        <v>43.845535323340854</v>
      </c>
    </row>
    <row r="1366" spans="49:55" x14ac:dyDescent="0.3">
      <c r="AW1366" s="7">
        <v>45051.416666666664</v>
      </c>
      <c r="AX1366" s="51">
        <v>8.1037932510278198E-3</v>
      </c>
      <c r="AY1366" s="16">
        <v>98.474887140000007</v>
      </c>
      <c r="AZ1366" s="2">
        <v>29480</v>
      </c>
      <c r="BA1366" s="16">
        <f t="shared" si="112"/>
        <v>491.33333333333331</v>
      </c>
      <c r="BB1366" s="9">
        <f t="shared" si="113"/>
        <v>3.9816637506716686</v>
      </c>
      <c r="BC1366" s="119">
        <f t="shared" si="114"/>
        <v>43.262565105300368</v>
      </c>
    </row>
    <row r="1367" spans="49:55" x14ac:dyDescent="0.3">
      <c r="AW1367" s="7">
        <v>45051.427083333336</v>
      </c>
      <c r="AX1367" s="51">
        <v>9.8818908964309407E-3</v>
      </c>
      <c r="AY1367" s="16">
        <v>93.877037450000003</v>
      </c>
      <c r="AZ1367" s="2">
        <v>27749</v>
      </c>
      <c r="BA1367" s="16">
        <f t="shared" si="112"/>
        <v>462.48333333333335</v>
      </c>
      <c r="BB1367" s="9">
        <f t="shared" si="113"/>
        <v>4.5702098414177028</v>
      </c>
      <c r="BC1367" s="119">
        <f t="shared" si="114"/>
        <v>47.409675375880397</v>
      </c>
    </row>
    <row r="1368" spans="49:55" x14ac:dyDescent="0.3">
      <c r="AW1368" s="7">
        <v>45051.4375</v>
      </c>
      <c r="AX1368" s="51">
        <v>8.9353452885031302E-3</v>
      </c>
      <c r="AY1368" s="16">
        <v>95.977802339999997</v>
      </c>
      <c r="AZ1368" s="2">
        <v>28117</v>
      </c>
      <c r="BA1368" s="16">
        <f t="shared" si="112"/>
        <v>468.61666666666667</v>
      </c>
      <c r="BB1368" s="9">
        <f t="shared" si="113"/>
        <v>4.1872517246140415</v>
      </c>
      <c r="BC1368" s="119">
        <f t="shared" si="114"/>
        <v>44.733232939387882</v>
      </c>
    </row>
    <row r="1369" spans="49:55" x14ac:dyDescent="0.3">
      <c r="AW1369" s="7">
        <v>45051.447916666664</v>
      </c>
      <c r="AX1369" s="51">
        <v>1.02083666701848E-2</v>
      </c>
      <c r="AY1369" s="16">
        <v>95.138397370000007</v>
      </c>
      <c r="AZ1369" s="2">
        <v>27365</v>
      </c>
      <c r="BA1369" s="16">
        <f t="shared" si="112"/>
        <v>456.08333333333331</v>
      </c>
      <c r="BB1369" s="9">
        <f t="shared" si="113"/>
        <v>4.655865898826784</v>
      </c>
      <c r="BC1369" s="119">
        <f t="shared" si="114"/>
        <v>47.99783973762662</v>
      </c>
    </row>
    <row r="1370" spans="49:55" x14ac:dyDescent="0.3">
      <c r="AW1370" s="7">
        <v>45051.458333333336</v>
      </c>
      <c r="AX1370" s="51">
        <v>9.0351022189803405E-3</v>
      </c>
      <c r="AY1370" s="16">
        <v>97.229596529999995</v>
      </c>
      <c r="AZ1370" s="2">
        <v>27344</v>
      </c>
      <c r="BA1370" s="16">
        <f t="shared" si="112"/>
        <v>455.73333333333335</v>
      </c>
      <c r="BB1370" s="9">
        <f t="shared" si="113"/>
        <v>4.117597251263307</v>
      </c>
      <c r="BC1370" s="119">
        <f t="shared" si="114"/>
        <v>44.237737825687041</v>
      </c>
    </row>
    <row r="1371" spans="49:55" x14ac:dyDescent="0.3">
      <c r="AW1371" s="7">
        <v>45051.46875</v>
      </c>
      <c r="AX1371" s="51">
        <v>9.0766422665573207E-3</v>
      </c>
      <c r="AY1371" s="16">
        <v>95.138397370000007</v>
      </c>
      <c r="AZ1371" s="2">
        <v>27078</v>
      </c>
      <c r="BA1371" s="16">
        <f t="shared" si="112"/>
        <v>451.3</v>
      </c>
      <c r="BB1371" s="9">
        <f t="shared" si="113"/>
        <v>4.096288654897319</v>
      </c>
      <c r="BC1371" s="119">
        <f t="shared" si="114"/>
        <v>44.085595429624391</v>
      </c>
    </row>
    <row r="1372" spans="49:55" x14ac:dyDescent="0.3">
      <c r="AW1372" s="7">
        <v>45051.479166666664</v>
      </c>
      <c r="AX1372" s="51">
        <v>9.9932284425964107E-3</v>
      </c>
      <c r="AY1372" s="16">
        <v>98.474887140000007</v>
      </c>
      <c r="AZ1372" s="2">
        <v>27096</v>
      </c>
      <c r="BA1372" s="16">
        <f t="shared" si="112"/>
        <v>451.6</v>
      </c>
      <c r="BB1372" s="9">
        <f t="shared" si="113"/>
        <v>4.5129419646765392</v>
      </c>
      <c r="BC1372" s="119">
        <f t="shared" si="114"/>
        <v>47.014373908412807</v>
      </c>
    </row>
    <row r="1373" spans="49:55" x14ac:dyDescent="0.3">
      <c r="AW1373" s="7">
        <v>45051.489583333336</v>
      </c>
      <c r="AX1373" s="51">
        <v>9.3321375764021507E-3</v>
      </c>
      <c r="AY1373" s="16">
        <v>90.915794009999999</v>
      </c>
      <c r="AZ1373" s="2">
        <v>26870</v>
      </c>
      <c r="BA1373" s="16">
        <f t="shared" si="112"/>
        <v>447.83333333333331</v>
      </c>
      <c r="BB1373" s="9">
        <f t="shared" si="113"/>
        <v>4.1792422779654297</v>
      </c>
      <c r="BC1373" s="119">
        <f t="shared" si="114"/>
        <v>44.676398514843378</v>
      </c>
    </row>
    <row r="1374" spans="49:55" x14ac:dyDescent="0.3">
      <c r="AW1374" s="7">
        <v>45051.5</v>
      </c>
      <c r="AX1374" s="51">
        <v>1.0137333519583E-2</v>
      </c>
      <c r="AY1374" s="16">
        <v>101.3564556</v>
      </c>
      <c r="AZ1374" s="2">
        <v>25901</v>
      </c>
      <c r="BA1374" s="16">
        <f t="shared" si="112"/>
        <v>431.68333333333334</v>
      </c>
      <c r="BB1374" s="9">
        <f t="shared" si="113"/>
        <v>4.376117924845321</v>
      </c>
      <c r="BC1374" s="119">
        <f t="shared" si="114"/>
        <v>46.063028798448393</v>
      </c>
    </row>
    <row r="1375" spans="49:55" x14ac:dyDescent="0.3">
      <c r="AW1375" s="7">
        <v>45051.510416666664</v>
      </c>
      <c r="AX1375" s="51">
        <v>1.16912351700167E-2</v>
      </c>
      <c r="AY1375" s="16">
        <v>95.977802339999997</v>
      </c>
      <c r="AZ1375" s="2">
        <v>25841</v>
      </c>
      <c r="BA1375" s="16">
        <f t="shared" si="112"/>
        <v>430.68333333333334</v>
      </c>
      <c r="BB1375" s="9">
        <f t="shared" si="113"/>
        <v>5.0352201338066926</v>
      </c>
      <c r="BC1375" s="119">
        <f t="shared" si="114"/>
        <v>50.560300066059767</v>
      </c>
    </row>
    <row r="1376" spans="49:55" x14ac:dyDescent="0.3">
      <c r="AW1376" s="7">
        <v>45051.520833333336</v>
      </c>
      <c r="AX1376" s="51">
        <v>1.0593448766657401E-2</v>
      </c>
      <c r="AY1376" s="16">
        <v>101.3564556</v>
      </c>
      <c r="AZ1376" s="2">
        <v>25836</v>
      </c>
      <c r="BA1376" s="16">
        <f t="shared" si="112"/>
        <v>430.6</v>
      </c>
      <c r="BB1376" s="9">
        <f t="shared" si="113"/>
        <v>4.5615390389226773</v>
      </c>
      <c r="BC1376" s="119">
        <f t="shared" si="114"/>
        <v>47.349931040474637</v>
      </c>
    </row>
    <row r="1377" spans="49:56" x14ac:dyDescent="0.3">
      <c r="AW1377" s="7">
        <v>45051.53125</v>
      </c>
      <c r="AX1377" s="51">
        <v>9.9229388108159292E-3</v>
      </c>
      <c r="AY1377" s="16">
        <v>89.635700749999998</v>
      </c>
      <c r="AZ1377" s="2">
        <v>26372</v>
      </c>
      <c r="BA1377" s="16">
        <f t="shared" si="112"/>
        <v>439.53333333333336</v>
      </c>
      <c r="BB1377" s="9">
        <f t="shared" si="113"/>
        <v>4.361462371980628</v>
      </c>
      <c r="BC1377" s="119">
        <f t="shared" si="114"/>
        <v>45.960539527660067</v>
      </c>
    </row>
    <row r="1378" spans="49:56" x14ac:dyDescent="0.3">
      <c r="AW1378" s="7">
        <v>45051.541666666664</v>
      </c>
      <c r="AX1378" s="51">
        <v>9.3521785442136109E-3</v>
      </c>
      <c r="AY1378" s="16">
        <v>99.714355679999997</v>
      </c>
      <c r="AZ1378" s="2">
        <v>27322</v>
      </c>
      <c r="BA1378" s="16">
        <f t="shared" si="112"/>
        <v>455.36666666666667</v>
      </c>
      <c r="BB1378" s="9">
        <f t="shared" si="113"/>
        <v>4.258670369750071</v>
      </c>
      <c r="BC1378" s="119">
        <f t="shared" si="114"/>
        <v>45.238410505629297</v>
      </c>
    </row>
    <row r="1379" spans="49:56" x14ac:dyDescent="0.3">
      <c r="AW1379" s="7">
        <v>45051.552083333336</v>
      </c>
      <c r="AX1379" s="51">
        <v>9.3883074351460202E-3</v>
      </c>
      <c r="AY1379" s="16">
        <v>86.192545629999998</v>
      </c>
      <c r="AZ1379" s="2">
        <v>26438</v>
      </c>
      <c r="BA1379" s="16">
        <f t="shared" si="112"/>
        <v>440.63333333333333</v>
      </c>
      <c r="BB1379" s="9">
        <f t="shared" si="113"/>
        <v>4.1368011995065084</v>
      </c>
      <c r="BC1379" s="119">
        <f t="shared" si="114"/>
        <v>44.374626633237675</v>
      </c>
    </row>
    <row r="1380" spans="49:56" x14ac:dyDescent="0.3">
      <c r="AW1380" s="7">
        <v>45051.5625</v>
      </c>
      <c r="AX1380" s="51">
        <v>9.5423996975178404E-3</v>
      </c>
      <c r="AY1380" s="16">
        <v>100.5402337</v>
      </c>
      <c r="AZ1380" s="2">
        <v>26118</v>
      </c>
      <c r="BA1380" s="16">
        <f t="shared" si="112"/>
        <v>435.3</v>
      </c>
      <c r="BB1380" s="9">
        <f t="shared" si="113"/>
        <v>4.1538065883295161</v>
      </c>
      <c r="BC1380" s="119">
        <f t="shared" si="114"/>
        <v>44.495665604693571</v>
      </c>
    </row>
    <row r="1381" spans="49:56" x14ac:dyDescent="0.3">
      <c r="AW1381" s="7">
        <v>45051.572916666664</v>
      </c>
      <c r="AX1381" s="51">
        <v>8.7002988425317097E-3</v>
      </c>
      <c r="AY1381" s="16">
        <v>93.877037450000003</v>
      </c>
      <c r="AZ1381" s="2">
        <v>26850</v>
      </c>
      <c r="BA1381" s="16">
        <f t="shared" si="112"/>
        <v>447.5</v>
      </c>
      <c r="BB1381" s="9">
        <f t="shared" si="113"/>
        <v>3.8933837320329401</v>
      </c>
      <c r="BC1381" s="119">
        <f t="shared" si="114"/>
        <v>42.623258822512689</v>
      </c>
    </row>
    <row r="1382" spans="49:56" x14ac:dyDescent="0.3">
      <c r="AW1382" s="7">
        <v>45051.583333333336</v>
      </c>
      <c r="AX1382" s="51">
        <v>9.0022761199655896E-3</v>
      </c>
      <c r="AY1382" s="16">
        <v>95.145588619999998</v>
      </c>
      <c r="AZ1382" s="2">
        <v>27042</v>
      </c>
      <c r="BA1382" s="16">
        <f t="shared" si="112"/>
        <v>450.7</v>
      </c>
      <c r="BB1382" s="9">
        <f t="shared" si="113"/>
        <v>4.0573258472684914</v>
      </c>
      <c r="BC1382" s="119">
        <f t="shared" si="114"/>
        <v>43.806713182347508</v>
      </c>
    </row>
    <row r="1383" spans="49:56" x14ac:dyDescent="0.3">
      <c r="AW1383" s="7">
        <v>45051.59375</v>
      </c>
      <c r="AX1383" s="51">
        <v>9.0808489242017107E-3</v>
      </c>
      <c r="AY1383" s="16">
        <v>100.9486689</v>
      </c>
      <c r="AZ1383" s="2">
        <v>27081</v>
      </c>
      <c r="BA1383" s="16">
        <f t="shared" si="112"/>
        <v>451.35</v>
      </c>
      <c r="BB1383" s="9">
        <f t="shared" si="113"/>
        <v>4.098641161938442</v>
      </c>
      <c r="BC1383" s="119">
        <f t="shared" si="114"/>
        <v>44.102405257878502</v>
      </c>
    </row>
    <row r="1384" spans="49:56" x14ac:dyDescent="0.3">
      <c r="AW1384" s="7">
        <v>45051.604166666664</v>
      </c>
      <c r="AX1384" s="51">
        <v>9.0183913979834905E-3</v>
      </c>
      <c r="AY1384" s="16">
        <v>94.302932269999999</v>
      </c>
      <c r="AZ1384" s="2">
        <v>26417</v>
      </c>
      <c r="BA1384" s="16">
        <f t="shared" si="112"/>
        <v>440.28333333333336</v>
      </c>
      <c r="BB1384" s="9">
        <f t="shared" si="113"/>
        <v>3.9706474260088314</v>
      </c>
      <c r="BC1384" s="119">
        <f t="shared" si="114"/>
        <v>43.183049098938241</v>
      </c>
    </row>
    <row r="1385" spans="49:56" x14ac:dyDescent="0.3">
      <c r="AW1385" s="7">
        <v>45051.614583333336</v>
      </c>
      <c r="AX1385" s="51">
        <v>8.8621676015544493E-3</v>
      </c>
      <c r="AY1385" s="16">
        <v>100.5402337</v>
      </c>
      <c r="AZ1385" s="2">
        <v>26204</v>
      </c>
      <c r="BA1385" s="16">
        <f t="shared" si="112"/>
        <v>436.73333333333335</v>
      </c>
      <c r="BB1385" s="9">
        <f t="shared" si="113"/>
        <v>3.8704039971855466</v>
      </c>
      <c r="BC1385" s="119">
        <f t="shared" si="114"/>
        <v>42.456048111967398</v>
      </c>
    </row>
    <row r="1386" spans="49:56" x14ac:dyDescent="0.3">
      <c r="AW1386" s="7">
        <v>45051.625</v>
      </c>
      <c r="AX1386" s="51">
        <v>1.0017810977828299E-2</v>
      </c>
      <c r="AY1386" s="16">
        <v>98.474887140000007</v>
      </c>
      <c r="AZ1386" s="2">
        <v>26684</v>
      </c>
      <c r="BA1386" s="16">
        <f t="shared" si="112"/>
        <v>444.73333333333335</v>
      </c>
      <c r="BB1386" s="9">
        <f t="shared" si="113"/>
        <v>4.4552544688728393</v>
      </c>
      <c r="BC1386" s="119">
        <f t="shared" si="114"/>
        <v>46.614468152273005</v>
      </c>
    </row>
    <row r="1387" spans="49:56" x14ac:dyDescent="0.3">
      <c r="AW1387" s="74">
        <v>45051.635416666664</v>
      </c>
      <c r="AX1387" s="48">
        <v>9.7426962937140205E-3</v>
      </c>
      <c r="AY1387" s="88">
        <v>102.5822131</v>
      </c>
      <c r="AZ1387" s="28">
        <v>26723</v>
      </c>
      <c r="BA1387" s="121">
        <f t="shared" si="112"/>
        <v>445.38333333333333</v>
      </c>
      <c r="BB1387" s="29">
        <f t="shared" si="113"/>
        <v>4.3392345509486629</v>
      </c>
      <c r="BC1387" s="71">
        <f t="shared" si="114"/>
        <v>45.804874702743646</v>
      </c>
      <c r="BD1387" t="s">
        <v>34</v>
      </c>
    </row>
    <row r="1388" spans="49:56" x14ac:dyDescent="0.3">
      <c r="AW1388" s="74">
        <v>45051.645833333336</v>
      </c>
      <c r="AX1388" s="48">
        <v>9.1747950689386199E-3</v>
      </c>
      <c r="AY1388" s="88">
        <v>101.7628931</v>
      </c>
      <c r="AZ1388" s="28">
        <v>26132</v>
      </c>
      <c r="BA1388" s="121">
        <f t="shared" si="112"/>
        <v>435.53333333333336</v>
      </c>
      <c r="BB1388" s="29">
        <f t="shared" si="113"/>
        <v>3.9959290790250672</v>
      </c>
      <c r="BC1388" s="71">
        <f t="shared" si="114"/>
        <v>43.365422725302956</v>
      </c>
    </row>
    <row r="1389" spans="49:56" x14ac:dyDescent="0.3">
      <c r="AW1389" s="7">
        <v>45051.65625</v>
      </c>
      <c r="AX1389" s="51">
        <v>8.1772791760081603E-3</v>
      </c>
      <c r="AY1389" s="16">
        <v>93.031286489999999</v>
      </c>
      <c r="AZ1389" s="2">
        <v>27293</v>
      </c>
      <c r="BA1389" s="16">
        <f t="shared" si="112"/>
        <v>454.88333333333333</v>
      </c>
      <c r="BB1389" s="9">
        <f t="shared" si="113"/>
        <v>3.7197080091798451</v>
      </c>
      <c r="BC1389" s="119">
        <f t="shared" si="114"/>
        <v>41.351118400637155</v>
      </c>
    </row>
    <row r="1390" spans="49:56" x14ac:dyDescent="0.3">
      <c r="AW1390" s="7">
        <v>45051.666666666664</v>
      </c>
      <c r="AX1390" s="51">
        <v>8.5450275667389008E-3</v>
      </c>
      <c r="AY1390" s="16">
        <v>99.297599469999994</v>
      </c>
      <c r="AZ1390" s="2">
        <v>28300</v>
      </c>
      <c r="BA1390" s="16">
        <f t="shared" si="112"/>
        <v>471.66666666666669</v>
      </c>
      <c r="BB1390" s="9">
        <f t="shared" si="113"/>
        <v>4.0304046689785151</v>
      </c>
      <c r="BC1390" s="119">
        <f t="shared" si="114"/>
        <v>43.613494905711732</v>
      </c>
    </row>
    <row r="1391" spans="49:56" x14ac:dyDescent="0.3">
      <c r="AW1391" s="7">
        <v>45051.677083333336</v>
      </c>
      <c r="AX1391" s="51">
        <v>8.5336326180355804E-3</v>
      </c>
      <c r="AY1391" s="16">
        <v>106.2245245</v>
      </c>
      <c r="AZ1391" s="2">
        <v>27289</v>
      </c>
      <c r="BA1391" s="16">
        <f t="shared" si="112"/>
        <v>454.81666666666666</v>
      </c>
      <c r="BB1391" s="9">
        <f t="shared" si="113"/>
        <v>3.8812383418928826</v>
      </c>
      <c r="BC1391" s="119">
        <f t="shared" si="114"/>
        <v>42.534925035323525</v>
      </c>
    </row>
    <row r="1392" spans="49:56" x14ac:dyDescent="0.3">
      <c r="AW1392" s="7">
        <v>45051.6875</v>
      </c>
      <c r="AX1392" s="51">
        <v>8.3381725305176502E-3</v>
      </c>
      <c r="AY1392" s="16">
        <v>100.9486689</v>
      </c>
      <c r="AZ1392" s="2">
        <v>27316</v>
      </c>
      <c r="BA1392" s="16">
        <f t="shared" si="112"/>
        <v>455.26666666666665</v>
      </c>
      <c r="BB1392" s="9">
        <f t="shared" si="113"/>
        <v>3.7960920140603354</v>
      </c>
      <c r="BC1392" s="119">
        <f t="shared" si="114"/>
        <v>41.913021788359536</v>
      </c>
    </row>
    <row r="1393" spans="49:55" x14ac:dyDescent="0.3">
      <c r="AW1393" s="7">
        <v>45051.697916666664</v>
      </c>
      <c r="AX1393" s="51">
        <v>7.88763023059064E-3</v>
      </c>
      <c r="AY1393" s="16">
        <v>105.0166174</v>
      </c>
      <c r="AZ1393" s="2">
        <v>28127</v>
      </c>
      <c r="BA1393" s="16">
        <f t="shared" si="112"/>
        <v>468.78333333333336</v>
      </c>
      <c r="BB1393" s="9">
        <f t="shared" si="113"/>
        <v>3.6975895915970489</v>
      </c>
      <c r="BC1393" s="119">
        <f t="shared" si="114"/>
        <v>41.187687066088003</v>
      </c>
    </row>
    <row r="1394" spans="49:55" x14ac:dyDescent="0.3">
      <c r="AW1394" s="7">
        <v>45051.708333333336</v>
      </c>
      <c r="AX1394" s="51">
        <v>7.4971069267273796E-3</v>
      </c>
      <c r="AY1394" s="16">
        <v>106.2245245</v>
      </c>
      <c r="AZ1394" s="2">
        <v>28093</v>
      </c>
      <c r="BA1394" s="16">
        <f t="shared" si="112"/>
        <v>468.21666666666664</v>
      </c>
      <c r="BB1394" s="9">
        <f t="shared" si="113"/>
        <v>3.5102704148758712</v>
      </c>
      <c r="BC1394" s="119">
        <f t="shared" si="114"/>
        <v>39.790145283752324</v>
      </c>
    </row>
    <row r="1395" spans="49:55" x14ac:dyDescent="0.3">
      <c r="AW1395" s="7">
        <v>45051.71875</v>
      </c>
      <c r="AX1395" s="51">
        <v>8.2911507057882496E-3</v>
      </c>
      <c r="AY1395" s="16">
        <v>102.9873886</v>
      </c>
      <c r="AZ1395" s="2">
        <v>28582</v>
      </c>
      <c r="BA1395" s="16">
        <f t="shared" si="112"/>
        <v>476.36666666666667</v>
      </c>
      <c r="BB1395" s="9">
        <f t="shared" si="113"/>
        <v>3.9496278245473291</v>
      </c>
      <c r="BC1395" s="119">
        <f t="shared" si="114"/>
        <v>43.031123304594871</v>
      </c>
    </row>
    <row r="1396" spans="49:55" x14ac:dyDescent="0.3">
      <c r="AW1396" s="7">
        <v>45051.729166666664</v>
      </c>
      <c r="AX1396" s="51">
        <v>8.3229719723463998E-3</v>
      </c>
      <c r="AY1396" s="16">
        <v>98.474887140000007</v>
      </c>
      <c r="AZ1396" s="2">
        <v>28851</v>
      </c>
      <c r="BA1396" s="16">
        <f t="shared" si="112"/>
        <v>480.85</v>
      </c>
      <c r="BB1396" s="9">
        <f t="shared" si="113"/>
        <v>4.0021010729027662</v>
      </c>
      <c r="BC1396" s="119">
        <f t="shared" si="114"/>
        <v>43.409886542842813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storms - seasonal amp funct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2025-12-23T21:20:19Z</dcterms:modified>
</cp:coreProperties>
</file>