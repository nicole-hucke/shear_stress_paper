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3_amp_func_tau_total\calculations\"/>
    </mc:Choice>
  </mc:AlternateContent>
  <xr:revisionPtr revIDLastSave="0" documentId="13_ncr:1_{F645CAE1-FFAA-46AD-80B3-93D8F1964C7F}" xr6:coauthVersionLast="47" xr6:coauthVersionMax="47" xr10:uidLastSave="{00000000-0000-0000-0000-000000000000}"/>
  <bookViews>
    <workbookView xWindow="-120" yWindow="-120" windowWidth="29040" windowHeight="15720" xr2:uid="{B7416B8A-9362-444F-89FB-DD7D5E3DE839}"/>
  </bookViews>
  <sheets>
    <sheet name="storm7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1" l="1"/>
  <c r="C62" i="1"/>
  <c r="B61" i="1"/>
  <c r="C61" i="1"/>
  <c r="B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B35" i="1"/>
  <c r="B36" i="1"/>
  <c r="B37" i="1"/>
  <c r="B38" i="1"/>
  <c r="B39" i="1"/>
  <c r="B40" i="1"/>
  <c r="B41" i="1"/>
  <c r="B42" i="1"/>
  <c r="B43" i="1"/>
  <c r="U47" i="1" s="1"/>
  <c r="B44" i="1"/>
  <c r="V47" i="1" s="1"/>
  <c r="B45" i="1"/>
  <c r="W47" i="1" s="1"/>
  <c r="B46" i="1"/>
  <c r="U48" i="1" s="1"/>
  <c r="B47" i="1"/>
  <c r="V48" i="1" s="1"/>
  <c r="B48" i="1"/>
  <c r="W48" i="1" s="1"/>
  <c r="B49" i="1"/>
  <c r="U49" i="1" s="1"/>
  <c r="B50" i="1"/>
  <c r="V49" i="1" s="1"/>
  <c r="B51" i="1"/>
  <c r="W49" i="1" s="1"/>
  <c r="B52" i="1"/>
  <c r="U50" i="1" s="1"/>
  <c r="B53" i="1"/>
  <c r="V50" i="1" s="1"/>
  <c r="B54" i="1"/>
  <c r="W50" i="1" s="1"/>
  <c r="B55" i="1"/>
  <c r="U51" i="1" s="1"/>
  <c r="B56" i="1"/>
  <c r="V51" i="1" s="1"/>
  <c r="B57" i="1"/>
  <c r="W51" i="1" s="1"/>
  <c r="B58" i="1"/>
  <c r="U52" i="1" s="1"/>
  <c r="B59" i="1"/>
  <c r="V52" i="1" s="1"/>
  <c r="B60" i="1"/>
  <c r="W52" i="1" s="1"/>
  <c r="A60" i="1"/>
  <c r="A57" i="1"/>
  <c r="A58" i="1"/>
  <c r="A59" i="1"/>
  <c r="A48" i="1"/>
  <c r="A49" i="1"/>
  <c r="A50" i="1"/>
  <c r="A51" i="1"/>
  <c r="A52" i="1"/>
  <c r="A53" i="1"/>
  <c r="A54" i="1"/>
  <c r="A55" i="1"/>
  <c r="A56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C34" i="1"/>
  <c r="A34" i="1"/>
</calcChain>
</file>

<file path=xl/sharedStrings.xml><?xml version="1.0" encoding="utf-8"?>
<sst xmlns="http://schemas.openxmlformats.org/spreadsheetml/2006/main" count="67" uniqueCount="46">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</sst>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storm7_results!$F$34:$F$130</c:f>
              <c:numCache>
                <c:formatCode>0.00E+00</c:formatCode>
                <c:ptCount val="97"/>
                <c:pt idx="0">
                  <c:v>3.2962787975160999E-5</c:v>
                </c:pt>
                <c:pt idx="1">
                  <c:v>5.3004676361168803E-5</c:v>
                </c:pt>
                <c:pt idx="2">
                  <c:v>3.8240018988453903E-5</c:v>
                </c:pt>
                <c:pt idx="3">
                  <c:v>6.5215762236818997E-5</c:v>
                </c:pt>
                <c:pt idx="4">
                  <c:v>4.3612283929816997E-5</c:v>
                </c:pt>
                <c:pt idx="5">
                  <c:v>5.8689876877381097E-5</c:v>
                </c:pt>
                <c:pt idx="6">
                  <c:v>5.8942710948847E-5</c:v>
                </c:pt>
                <c:pt idx="7">
                  <c:v>4.7586207462374802E-5</c:v>
                </c:pt>
                <c:pt idx="8">
                  <c:v>6.4662743557366095E-5</c:v>
                </c:pt>
                <c:pt idx="9">
                  <c:v>5.0863345256387401E-5</c:v>
                </c:pt>
                <c:pt idx="10">
                  <c:v>5.3669597845650803E-5</c:v>
                </c:pt>
                <c:pt idx="11">
                  <c:v>5.6772895146503198E-5</c:v>
                </c:pt>
                <c:pt idx="12">
                  <c:v>7.7164181854928802E-5</c:v>
                </c:pt>
                <c:pt idx="13">
                  <c:v>5.0659997491942598E-5</c:v>
                </c:pt>
                <c:pt idx="14">
                  <c:v>6.7345026861786002E-5</c:v>
                </c:pt>
                <c:pt idx="15">
                  <c:v>5.6459655011792597E-5</c:v>
                </c:pt>
                <c:pt idx="16">
                  <c:v>5.6813302621744903E-5</c:v>
                </c:pt>
                <c:pt idx="17">
                  <c:v>5.5073311072742698E-5</c:v>
                </c:pt>
                <c:pt idx="18">
                  <c:v>5.5511794409575398E-5</c:v>
                </c:pt>
                <c:pt idx="19">
                  <c:v>5.48735265022874E-5</c:v>
                </c:pt>
                <c:pt idx="20">
                  <c:v>8.9376884737136695E-5</c:v>
                </c:pt>
                <c:pt idx="21">
                  <c:v>4.62736021527722E-5</c:v>
                </c:pt>
                <c:pt idx="22">
                  <c:v>9.7722100073169095E-5</c:v>
                </c:pt>
                <c:pt idx="23">
                  <c:v>4.7107626469657801E-5</c:v>
                </c:pt>
                <c:pt idx="24">
                  <c:v>5.9409793234428798E-5</c:v>
                </c:pt>
                <c:pt idx="25">
                  <c:v>5.6983703380150599E-5</c:v>
                </c:pt>
                <c:pt idx="26">
                  <c:v>3.9359914559332197E-5</c:v>
                </c:pt>
                <c:pt idx="27">
                  <c:v>5.9124370249241197E-5</c:v>
                </c:pt>
                <c:pt idx="28">
                  <c:v>3.8516608215429303E-5</c:v>
                </c:pt>
                <c:pt idx="29">
                  <c:v>4.2992046485052201E-5</c:v>
                </c:pt>
                <c:pt idx="30">
                  <c:v>4.9249545064140601E-5</c:v>
                </c:pt>
                <c:pt idx="31">
                  <c:v>4.9427639852956798E-5</c:v>
                </c:pt>
                <c:pt idx="32">
                  <c:v>4.3325139708129E-5</c:v>
                </c:pt>
                <c:pt idx="33">
                  <c:v>5.0943252740639699E-5</c:v>
                </c:pt>
                <c:pt idx="34">
                  <c:v>8.1646943535686103E-5</c:v>
                </c:pt>
                <c:pt idx="35">
                  <c:v>4.2316085568628998E-5</c:v>
                </c:pt>
                <c:pt idx="36">
                  <c:v>3.11552895836869E-5</c:v>
                </c:pt>
                <c:pt idx="37">
                  <c:v>4.6060907989027603E-5</c:v>
                </c:pt>
                <c:pt idx="38">
                  <c:v>2.37666675841285E-5</c:v>
                </c:pt>
                <c:pt idx="39">
                  <c:v>3.9084349776103399E-5</c:v>
                </c:pt>
                <c:pt idx="40">
                  <c:v>4.1298872180166302E-5</c:v>
                </c:pt>
                <c:pt idx="41">
                  <c:v>2.4646391813207598E-5</c:v>
                </c:pt>
                <c:pt idx="42">
                  <c:v>3.3806742756544402E-5</c:v>
                </c:pt>
                <c:pt idx="43">
                  <c:v>4.3079735958005101E-5</c:v>
                </c:pt>
                <c:pt idx="44">
                  <c:v>3.45576203120019E-5</c:v>
                </c:pt>
                <c:pt idx="45">
                  <c:v>4.1861281477102197E-5</c:v>
                </c:pt>
                <c:pt idx="46">
                  <c:v>4.2677993820447403E-5</c:v>
                </c:pt>
                <c:pt idx="47">
                  <c:v>3.8338134680102002E-5</c:v>
                </c:pt>
                <c:pt idx="48">
                  <c:v>4.0795596758853099E-5</c:v>
                </c:pt>
                <c:pt idx="49">
                  <c:v>5.6202894491775397E-5</c:v>
                </c:pt>
                <c:pt idx="50">
                  <c:v>4.2995023424146802E-5</c:v>
                </c:pt>
                <c:pt idx="51">
                  <c:v>4.2014665544349498E-5</c:v>
                </c:pt>
                <c:pt idx="52">
                  <c:v>4.7946886586033299E-5</c:v>
                </c:pt>
                <c:pt idx="53">
                  <c:v>4.7522368649725198E-5</c:v>
                </c:pt>
                <c:pt idx="54">
                  <c:v>5.1049097007825199E-5</c:v>
                </c:pt>
                <c:pt idx="55">
                  <c:v>4.2133528068188201E-5</c:v>
                </c:pt>
                <c:pt idx="56">
                  <c:v>7.1156357892269295E-5</c:v>
                </c:pt>
                <c:pt idx="57" formatCode="General">
                  <c:v>2.04920998701977E-4</c:v>
                </c:pt>
                <c:pt idx="58" formatCode="General">
                  <c:v>2.0122199927646899E-4</c:v>
                </c:pt>
                <c:pt idx="59" formatCode="General">
                  <c:v>9.2494552612522004E-4</c:v>
                </c:pt>
                <c:pt idx="60" formatCode="General">
                  <c:v>1.5552792216359101E-3</c:v>
                </c:pt>
                <c:pt idx="61" formatCode="General">
                  <c:v>1.1578250533094299E-3</c:v>
                </c:pt>
                <c:pt idx="62" formatCode="General">
                  <c:v>5.9827185993128703E-4</c:v>
                </c:pt>
                <c:pt idx="63" formatCode="General">
                  <c:v>1.64653590263463E-3</c:v>
                </c:pt>
                <c:pt idx="64" formatCode="General">
                  <c:v>2.0246643676595701E-3</c:v>
                </c:pt>
                <c:pt idx="65" formatCode="General">
                  <c:v>3.2097317786972798E-3</c:v>
                </c:pt>
                <c:pt idx="66" formatCode="General">
                  <c:v>3.6966883310300602E-3</c:v>
                </c:pt>
                <c:pt idx="67" formatCode="General">
                  <c:v>2.6308175440493699E-3</c:v>
                </c:pt>
                <c:pt idx="68" formatCode="General">
                  <c:v>4.7827289380646502E-3</c:v>
                </c:pt>
                <c:pt idx="69" formatCode="General">
                  <c:v>3.0701943802042401E-3</c:v>
                </c:pt>
                <c:pt idx="70" formatCode="General">
                  <c:v>3.06880062684858E-3</c:v>
                </c:pt>
                <c:pt idx="71" formatCode="General">
                  <c:v>6.6578854842772204E-3</c:v>
                </c:pt>
                <c:pt idx="72" formatCode="General">
                  <c:v>1.68687551091549E-2</c:v>
                </c:pt>
                <c:pt idx="73" formatCode="General">
                  <c:v>2.90335112096549E-3</c:v>
                </c:pt>
                <c:pt idx="74" formatCode="General">
                  <c:v>2.1490743533713699E-3</c:v>
                </c:pt>
                <c:pt idx="75" formatCode="General">
                  <c:v>2.17772889219793E-3</c:v>
                </c:pt>
                <c:pt idx="76" formatCode="General">
                  <c:v>1.81349615098827E-3</c:v>
                </c:pt>
                <c:pt idx="77" formatCode="General">
                  <c:v>1.6857064677429799E-3</c:v>
                </c:pt>
                <c:pt idx="78" formatCode="General">
                  <c:v>1.6589220597471399E-3</c:v>
                </c:pt>
                <c:pt idx="79" formatCode="General">
                  <c:v>1.59815785931329E-3</c:v>
                </c:pt>
                <c:pt idx="80" formatCode="General">
                  <c:v>1.6035810952493899E-3</c:v>
                </c:pt>
                <c:pt idx="81" formatCode="General">
                  <c:v>1.39282107728389E-3</c:v>
                </c:pt>
                <c:pt idx="82" formatCode="General">
                  <c:v>1.20601854657107E-3</c:v>
                </c:pt>
                <c:pt idx="83" formatCode="General">
                  <c:v>1.4488386801273601E-3</c:v>
                </c:pt>
                <c:pt idx="84" formatCode="General">
                  <c:v>1.16680905696046E-3</c:v>
                </c:pt>
                <c:pt idx="85" formatCode="General">
                  <c:v>1.4910308859573201E-3</c:v>
                </c:pt>
                <c:pt idx="86" formatCode="General">
                  <c:v>1.4029645175232201E-3</c:v>
                </c:pt>
                <c:pt idx="87" formatCode="General">
                  <c:v>1.10228512751843E-3</c:v>
                </c:pt>
                <c:pt idx="88" formatCode="General">
                  <c:v>1.17651084986945E-3</c:v>
                </c:pt>
                <c:pt idx="89" formatCode="General">
                  <c:v>1.2972070774297699E-3</c:v>
                </c:pt>
                <c:pt idx="90" formatCode="General">
                  <c:v>1.70585259372605E-3</c:v>
                </c:pt>
                <c:pt idx="91" formatCode="General">
                  <c:v>2.3693725439408999E-3</c:v>
                </c:pt>
                <c:pt idx="92" formatCode="General">
                  <c:v>1.4620299470493999E-3</c:v>
                </c:pt>
                <c:pt idx="93" formatCode="General">
                  <c:v>1.5460823693986599E-3</c:v>
                </c:pt>
                <c:pt idx="94" formatCode="General">
                  <c:v>1.47035412155018E-3</c:v>
                </c:pt>
                <c:pt idx="95" formatCode="General">
                  <c:v>8.0559297035341301E-4</c:v>
                </c:pt>
                <c:pt idx="96" formatCode="General">
                  <c:v>7.9363007156889797E-4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2-4E69-B28F-3ED6AC4D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storm7_results!$G$34:$G$130</c:f>
              <c:numCache>
                <c:formatCode>0.00E+00</c:formatCode>
                <c:ptCount val="97"/>
                <c:pt idx="0">
                  <c:v>2.3361738844678E-5</c:v>
                </c:pt>
                <c:pt idx="1">
                  <c:v>2.7436387559742199E-5</c:v>
                </c:pt>
                <c:pt idx="2">
                  <c:v>2.5283539699631199E-5</c:v>
                </c:pt>
                <c:pt idx="3">
                  <c:v>3.9039698872699597E-5</c:v>
                </c:pt>
                <c:pt idx="4">
                  <c:v>2.28417484079772E-5</c:v>
                </c:pt>
                <c:pt idx="5">
                  <c:v>3.3328225578535401E-5</c:v>
                </c:pt>
                <c:pt idx="6">
                  <c:v>3.4857300184132802E-5</c:v>
                </c:pt>
                <c:pt idx="7">
                  <c:v>3.1356228603395297E-5</c:v>
                </c:pt>
                <c:pt idx="8">
                  <c:v>3.2902659343242803E-5</c:v>
                </c:pt>
                <c:pt idx="9">
                  <c:v>3.2089744447307101E-5</c:v>
                </c:pt>
                <c:pt idx="10">
                  <c:v>3.4979497453247897E-5</c:v>
                </c:pt>
                <c:pt idx="11">
                  <c:v>3.24448366270494E-5</c:v>
                </c:pt>
                <c:pt idx="12">
                  <c:v>3.3658835495118303E-5</c:v>
                </c:pt>
                <c:pt idx="13">
                  <c:v>2.6928739394643901E-5</c:v>
                </c:pt>
                <c:pt idx="14">
                  <c:v>4.2518216353993703E-5</c:v>
                </c:pt>
                <c:pt idx="15">
                  <c:v>2.78784576186295E-5</c:v>
                </c:pt>
                <c:pt idx="16">
                  <c:v>3.5841948289101003E-5</c:v>
                </c:pt>
                <c:pt idx="17">
                  <c:v>3.4632022096631399E-5</c:v>
                </c:pt>
                <c:pt idx="18">
                  <c:v>4.0137500576392402E-5</c:v>
                </c:pt>
                <c:pt idx="19">
                  <c:v>3.1622828911517797E-5</c:v>
                </c:pt>
                <c:pt idx="20">
                  <c:v>4.0760455228111801E-5</c:v>
                </c:pt>
                <c:pt idx="21">
                  <c:v>2.72870980946847E-5</c:v>
                </c:pt>
                <c:pt idx="22">
                  <c:v>4.8301406765176003E-5</c:v>
                </c:pt>
                <c:pt idx="23">
                  <c:v>2.57410749343559E-5</c:v>
                </c:pt>
                <c:pt idx="24">
                  <c:v>4.141967156785E-5</c:v>
                </c:pt>
                <c:pt idx="25">
                  <c:v>2.6856311298247801E-5</c:v>
                </c:pt>
                <c:pt idx="26">
                  <c:v>2.7462705328862901E-5</c:v>
                </c:pt>
                <c:pt idx="27">
                  <c:v>2.7652200366932199E-5</c:v>
                </c:pt>
                <c:pt idx="28">
                  <c:v>2.7329634382109901E-5</c:v>
                </c:pt>
                <c:pt idx="29">
                  <c:v>2.7140220158399901E-5</c:v>
                </c:pt>
                <c:pt idx="30">
                  <c:v>3.4773502911861102E-5</c:v>
                </c:pt>
                <c:pt idx="31">
                  <c:v>2.78164488750809E-5</c:v>
                </c:pt>
                <c:pt idx="32">
                  <c:v>2.2333813108323102E-5</c:v>
                </c:pt>
                <c:pt idx="33">
                  <c:v>3.0512820299142501E-5</c:v>
                </c:pt>
                <c:pt idx="34">
                  <c:v>4.6171462846409998E-5</c:v>
                </c:pt>
                <c:pt idx="35">
                  <c:v>2.37685849487246E-5</c:v>
                </c:pt>
                <c:pt idx="36">
                  <c:v>2.25896697100603E-5</c:v>
                </c:pt>
                <c:pt idx="37">
                  <c:v>2.6618790183871699E-5</c:v>
                </c:pt>
                <c:pt idx="38">
                  <c:v>1.25204875186557E-5</c:v>
                </c:pt>
                <c:pt idx="39">
                  <c:v>1.93595157996663E-5</c:v>
                </c:pt>
                <c:pt idx="40">
                  <c:v>1.8694375300632999E-5</c:v>
                </c:pt>
                <c:pt idx="41">
                  <c:v>1.60789796198651E-5</c:v>
                </c:pt>
                <c:pt idx="42">
                  <c:v>2.0940681691322398E-5</c:v>
                </c:pt>
                <c:pt idx="43">
                  <c:v>2.54065807536124E-5</c:v>
                </c:pt>
                <c:pt idx="44">
                  <c:v>1.9005978866761599E-5</c:v>
                </c:pt>
                <c:pt idx="45">
                  <c:v>2.54334346930902E-5</c:v>
                </c:pt>
                <c:pt idx="46">
                  <c:v>2.6242976988929899E-5</c:v>
                </c:pt>
                <c:pt idx="47">
                  <c:v>2.40032501583876E-5</c:v>
                </c:pt>
                <c:pt idx="48">
                  <c:v>2.54790088375158E-5</c:v>
                </c:pt>
                <c:pt idx="49">
                  <c:v>2.5698272038102999E-5</c:v>
                </c:pt>
                <c:pt idx="50">
                  <c:v>2.6497207182287999E-5</c:v>
                </c:pt>
                <c:pt idx="51">
                  <c:v>2.52649696186331E-5</c:v>
                </c:pt>
                <c:pt idx="52">
                  <c:v>2.9242117971052E-5</c:v>
                </c:pt>
                <c:pt idx="53">
                  <c:v>2.6648883299200401E-5</c:v>
                </c:pt>
                <c:pt idx="54">
                  <c:v>2.93599512362961E-5</c:v>
                </c:pt>
                <c:pt idx="55">
                  <c:v>2.3451249887884602E-5</c:v>
                </c:pt>
                <c:pt idx="56">
                  <c:v>4.2445658446015001E-5</c:v>
                </c:pt>
                <c:pt idx="57" formatCode="General">
                  <c:v>1.20548350428345E-4</c:v>
                </c:pt>
                <c:pt idx="58" formatCode="General">
                  <c:v>1.3502713728548701E-4</c:v>
                </c:pt>
                <c:pt idx="59" formatCode="General">
                  <c:v>4.1491719530977801E-4</c:v>
                </c:pt>
                <c:pt idx="60" formatCode="General">
                  <c:v>8.94100174190044E-4</c:v>
                </c:pt>
                <c:pt idx="61" formatCode="General">
                  <c:v>7.2065114986637798E-4</c:v>
                </c:pt>
                <c:pt idx="62" formatCode="General">
                  <c:v>3.5527954326728501E-4</c:v>
                </c:pt>
                <c:pt idx="63" formatCode="General">
                  <c:v>9.7242453550309299E-4</c:v>
                </c:pt>
                <c:pt idx="64" formatCode="General">
                  <c:v>1.1899279967624301E-3</c:v>
                </c:pt>
                <c:pt idx="65" formatCode="General">
                  <c:v>2.4714783421938401E-3</c:v>
                </c:pt>
                <c:pt idx="66" formatCode="General">
                  <c:v>2.3184986337864001E-3</c:v>
                </c:pt>
                <c:pt idx="67" formatCode="General">
                  <c:v>1.8602388454067201E-3</c:v>
                </c:pt>
                <c:pt idx="68" formatCode="General">
                  <c:v>2.9232803371398801E-3</c:v>
                </c:pt>
                <c:pt idx="69" formatCode="General">
                  <c:v>2.2645613781416499E-3</c:v>
                </c:pt>
                <c:pt idx="70" formatCode="General">
                  <c:v>2.10844168576016E-3</c:v>
                </c:pt>
                <c:pt idx="71" formatCode="General">
                  <c:v>3.9974590721319299E-3</c:v>
                </c:pt>
                <c:pt idx="72" formatCode="General">
                  <c:v>8.9724715055071406E-3</c:v>
                </c:pt>
                <c:pt idx="73" formatCode="General">
                  <c:v>2.0389747350947002E-3</c:v>
                </c:pt>
                <c:pt idx="74" formatCode="General">
                  <c:v>1.48241558860158E-3</c:v>
                </c:pt>
                <c:pt idx="75" formatCode="General">
                  <c:v>1.54678353615958E-3</c:v>
                </c:pt>
                <c:pt idx="76" formatCode="General">
                  <c:v>1.3153081548544199E-3</c:v>
                </c:pt>
                <c:pt idx="77" formatCode="General">
                  <c:v>1.1760023761128299E-3</c:v>
                </c:pt>
                <c:pt idx="78" formatCode="General">
                  <c:v>1.0777847018268599E-3</c:v>
                </c:pt>
                <c:pt idx="79" formatCode="General">
                  <c:v>8.7100885466283805E-4</c:v>
                </c:pt>
                <c:pt idx="80" formatCode="General">
                  <c:v>1.1042725469532001E-3</c:v>
                </c:pt>
                <c:pt idx="81" formatCode="General">
                  <c:v>9.6938717426258802E-4</c:v>
                </c:pt>
                <c:pt idx="82" formatCode="General">
                  <c:v>7.47446676865074E-4</c:v>
                </c:pt>
                <c:pt idx="83" formatCode="General">
                  <c:v>8.2553577543186397E-4</c:v>
                </c:pt>
                <c:pt idx="84" formatCode="General">
                  <c:v>8.4057306242426395E-4</c:v>
                </c:pt>
                <c:pt idx="85" formatCode="General">
                  <c:v>8.6800970725318895E-4</c:v>
                </c:pt>
                <c:pt idx="86" formatCode="General">
                  <c:v>8.7486945853467899E-4</c:v>
                </c:pt>
                <c:pt idx="87" formatCode="General">
                  <c:v>7.4930490057012196E-4</c:v>
                </c:pt>
                <c:pt idx="88" formatCode="General">
                  <c:v>7.7671360027021304E-4</c:v>
                </c:pt>
                <c:pt idx="89" formatCode="General">
                  <c:v>8.06978209080543E-4</c:v>
                </c:pt>
                <c:pt idx="90" formatCode="General">
                  <c:v>8.5262254343396399E-4</c:v>
                </c:pt>
                <c:pt idx="91" formatCode="General">
                  <c:v>1.4310584303813699E-3</c:v>
                </c:pt>
                <c:pt idx="92" formatCode="General">
                  <c:v>8.1014337923815101E-4</c:v>
                </c:pt>
                <c:pt idx="93" formatCode="General">
                  <c:v>9.7845823678939709E-4</c:v>
                </c:pt>
                <c:pt idx="94" formatCode="General">
                  <c:v>7.9757186180802497E-4</c:v>
                </c:pt>
                <c:pt idx="95" formatCode="General">
                  <c:v>5.0128704985343995E-4</c:v>
                </c:pt>
                <c:pt idx="96" formatCode="General">
                  <c:v>5.0228592449228101E-4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D9-4B79-A482-EF7CB4EA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storm7_results!$H$34:$H$130</c:f>
              <c:numCache>
                <c:formatCode>0.00E+00</c:formatCode>
                <c:ptCount val="97"/>
                <c:pt idx="0">
                  <c:v>2.2598790008091899E-5</c:v>
                </c:pt>
                <c:pt idx="1">
                  <c:v>2.6467726889878301E-5</c:v>
                </c:pt>
                <c:pt idx="2">
                  <c:v>2.4371116161499301E-5</c:v>
                </c:pt>
                <c:pt idx="3">
                  <c:v>3.7061076104867901E-5</c:v>
                </c:pt>
                <c:pt idx="4">
                  <c:v>2.2364844435986699E-5</c:v>
                </c:pt>
                <c:pt idx="5">
                  <c:v>3.3259441260361598E-5</c:v>
                </c:pt>
                <c:pt idx="6">
                  <c:v>3.36782242576105E-5</c:v>
                </c:pt>
                <c:pt idx="7">
                  <c:v>3.1182130941699399E-5</c:v>
                </c:pt>
                <c:pt idx="8">
                  <c:v>3.2576955860084397E-5</c:v>
                </c:pt>
                <c:pt idx="9">
                  <c:v>3.1006703294713402E-5</c:v>
                </c:pt>
                <c:pt idx="10">
                  <c:v>3.5080540247082303E-5</c:v>
                </c:pt>
                <c:pt idx="11">
                  <c:v>3.0630713801708601E-5</c:v>
                </c:pt>
                <c:pt idx="12">
                  <c:v>3.17681599032969E-5</c:v>
                </c:pt>
                <c:pt idx="13">
                  <c:v>2.5881539386913801E-5</c:v>
                </c:pt>
                <c:pt idx="14">
                  <c:v>4.23077680885184E-5</c:v>
                </c:pt>
                <c:pt idx="15">
                  <c:v>2.6234637130421101E-5</c:v>
                </c:pt>
                <c:pt idx="16">
                  <c:v>3.3689786896257798E-5</c:v>
                </c:pt>
                <c:pt idx="17">
                  <c:v>3.3089743185457498E-5</c:v>
                </c:pt>
                <c:pt idx="18">
                  <c:v>3.9070851044304002E-5</c:v>
                </c:pt>
                <c:pt idx="19">
                  <c:v>3.0829345961130802E-5</c:v>
                </c:pt>
                <c:pt idx="20">
                  <c:v>3.8505297977818497E-5</c:v>
                </c:pt>
                <c:pt idx="21">
                  <c:v>2.6082255785703601E-5</c:v>
                </c:pt>
                <c:pt idx="22">
                  <c:v>4.6516093671921199E-5</c:v>
                </c:pt>
                <c:pt idx="23">
                  <c:v>2.4562518441553102E-5</c:v>
                </c:pt>
                <c:pt idx="24">
                  <c:v>4.0875490658835397E-5</c:v>
                </c:pt>
                <c:pt idx="25">
                  <c:v>2.4273749660730299E-5</c:v>
                </c:pt>
                <c:pt idx="26">
                  <c:v>2.7326321460201701E-5</c:v>
                </c:pt>
                <c:pt idx="27">
                  <c:v>2.6849910972581302E-5</c:v>
                </c:pt>
                <c:pt idx="28">
                  <c:v>2.6814519946041999E-5</c:v>
                </c:pt>
                <c:pt idx="29">
                  <c:v>2.6142196989272199E-5</c:v>
                </c:pt>
                <c:pt idx="30">
                  <c:v>3.4697595422746098E-5</c:v>
                </c:pt>
                <c:pt idx="31">
                  <c:v>2.6505591300793801E-5</c:v>
                </c:pt>
                <c:pt idx="32">
                  <c:v>2.1559805626087801E-5</c:v>
                </c:pt>
                <c:pt idx="33">
                  <c:v>3.03654123117343E-5</c:v>
                </c:pt>
                <c:pt idx="34">
                  <c:v>4.42408219632263E-5</c:v>
                </c:pt>
                <c:pt idx="35">
                  <c:v>2.2368883210333401E-5</c:v>
                </c:pt>
                <c:pt idx="36">
                  <c:v>2.2227073718690101E-5</c:v>
                </c:pt>
                <c:pt idx="37">
                  <c:v>2.5933233139390901E-5</c:v>
                </c:pt>
                <c:pt idx="38">
                  <c:v>1.17794193108171E-5</c:v>
                </c:pt>
                <c:pt idx="39">
                  <c:v>1.8643487859538301E-5</c:v>
                </c:pt>
                <c:pt idx="40">
                  <c:v>1.7233450766128599E-5</c:v>
                </c:pt>
                <c:pt idx="41">
                  <c:v>1.60576878187197E-5</c:v>
                </c:pt>
                <c:pt idx="42">
                  <c:v>2.0336842768453399E-5</c:v>
                </c:pt>
                <c:pt idx="43">
                  <c:v>2.4352897704087302E-5</c:v>
                </c:pt>
                <c:pt idx="44">
                  <c:v>1.7777920406968898E-5</c:v>
                </c:pt>
                <c:pt idx="45">
                  <c:v>2.42899893758206E-5</c:v>
                </c:pt>
                <c:pt idx="46">
                  <c:v>2.5605107640005399E-5</c:v>
                </c:pt>
                <c:pt idx="47">
                  <c:v>2.3683761334504101E-5</c:v>
                </c:pt>
                <c:pt idx="48">
                  <c:v>2.5327361822375599E-5</c:v>
                </c:pt>
                <c:pt idx="49">
                  <c:v>2.3920170480227599E-5</c:v>
                </c:pt>
                <c:pt idx="50">
                  <c:v>2.5889457820005399E-5</c:v>
                </c:pt>
                <c:pt idx="51">
                  <c:v>2.4197106610379699E-5</c:v>
                </c:pt>
                <c:pt idx="52">
                  <c:v>2.86979440985233E-5</c:v>
                </c:pt>
                <c:pt idx="53">
                  <c:v>2.5800993394947099E-5</c:v>
                </c:pt>
                <c:pt idx="54">
                  <c:v>2.82631498076006E-5</c:v>
                </c:pt>
                <c:pt idx="55">
                  <c:v>2.2892529360213799E-5</c:v>
                </c:pt>
                <c:pt idx="56">
                  <c:v>4.2137481679921501E-5</c:v>
                </c:pt>
                <c:pt idx="57" formatCode="General">
                  <c:v>1.19092312871159E-4</c:v>
                </c:pt>
                <c:pt idx="58" formatCode="General">
                  <c:v>1.29009564905947E-4</c:v>
                </c:pt>
                <c:pt idx="59" formatCode="General">
                  <c:v>3.68491499987979E-4</c:v>
                </c:pt>
                <c:pt idx="60" formatCode="General">
                  <c:v>8.6280770894898496E-4</c:v>
                </c:pt>
                <c:pt idx="61" formatCode="General">
                  <c:v>7.1813525897375201E-4</c:v>
                </c:pt>
                <c:pt idx="62" formatCode="General">
                  <c:v>3.4231190774748399E-4</c:v>
                </c:pt>
                <c:pt idx="63" formatCode="General">
                  <c:v>9.4639604292238901E-4</c:v>
                </c:pt>
                <c:pt idx="64" formatCode="General">
                  <c:v>1.1582342075663E-3</c:v>
                </c:pt>
                <c:pt idx="65" formatCode="General">
                  <c:v>2.4381950008412899E-3</c:v>
                </c:pt>
                <c:pt idx="66" formatCode="General">
                  <c:v>2.27752029047989E-3</c:v>
                </c:pt>
                <c:pt idx="67" formatCode="General">
                  <c:v>1.8231438665813099E-3</c:v>
                </c:pt>
                <c:pt idx="68" formatCode="General">
                  <c:v>2.87455192875889E-3</c:v>
                </c:pt>
                <c:pt idx="69" formatCode="General">
                  <c:v>2.2280073529546002E-3</c:v>
                </c:pt>
                <c:pt idx="70" formatCode="General">
                  <c:v>2.0807283970152302E-3</c:v>
                </c:pt>
                <c:pt idx="71" formatCode="General">
                  <c:v>3.8401955311935599E-3</c:v>
                </c:pt>
                <c:pt idx="72" formatCode="General">
                  <c:v>8.2579803903355103E-3</c:v>
                </c:pt>
                <c:pt idx="73" formatCode="General">
                  <c:v>2.0021125162551202E-3</c:v>
                </c:pt>
                <c:pt idx="74" formatCode="General">
                  <c:v>1.4147645512093199E-3</c:v>
                </c:pt>
                <c:pt idx="75" formatCode="General">
                  <c:v>1.53338067471348E-3</c:v>
                </c:pt>
                <c:pt idx="76" formatCode="General">
                  <c:v>1.31392617828135E-3</c:v>
                </c:pt>
                <c:pt idx="77" formatCode="General">
                  <c:v>1.15455184861459E-3</c:v>
                </c:pt>
                <c:pt idx="78" formatCode="General">
                  <c:v>1.06381285863374E-3</c:v>
                </c:pt>
                <c:pt idx="79" formatCode="General">
                  <c:v>8.3418459217539495E-4</c:v>
                </c:pt>
                <c:pt idx="80" formatCode="General">
                  <c:v>1.0975913335449601E-3</c:v>
                </c:pt>
                <c:pt idx="81" formatCode="General">
                  <c:v>9.4823155657372603E-4</c:v>
                </c:pt>
                <c:pt idx="82" formatCode="General">
                  <c:v>7.1642816662990298E-4</c:v>
                </c:pt>
                <c:pt idx="83" formatCode="General">
                  <c:v>8.1056954272612698E-4</c:v>
                </c:pt>
                <c:pt idx="84" formatCode="General">
                  <c:v>8.3341540412855603E-4</c:v>
                </c:pt>
                <c:pt idx="85" formatCode="General">
                  <c:v>8.2773963713190797E-4</c:v>
                </c:pt>
                <c:pt idx="86" formatCode="General">
                  <c:v>8.6692836414105899E-4</c:v>
                </c:pt>
                <c:pt idx="87" formatCode="General">
                  <c:v>7.3552124915998805E-4</c:v>
                </c:pt>
                <c:pt idx="88" formatCode="General">
                  <c:v>7.55242156198734E-4</c:v>
                </c:pt>
                <c:pt idx="89" formatCode="General">
                  <c:v>7.9533406799165698E-4</c:v>
                </c:pt>
                <c:pt idx="90" formatCode="General">
                  <c:v>8.4714860339675101E-4</c:v>
                </c:pt>
                <c:pt idx="91" formatCode="General">
                  <c:v>1.4082717742414401E-3</c:v>
                </c:pt>
                <c:pt idx="92" formatCode="General">
                  <c:v>7.8871613409789703E-4</c:v>
                </c:pt>
                <c:pt idx="93" formatCode="General">
                  <c:v>9.3641268192656705E-4</c:v>
                </c:pt>
                <c:pt idx="94" formatCode="General">
                  <c:v>7.6251931479677298E-4</c:v>
                </c:pt>
                <c:pt idx="95" formatCode="General">
                  <c:v>4.8009025413821098E-4</c:v>
                </c:pt>
                <c:pt idx="96" formatCode="General">
                  <c:v>4.8979861141624798E-4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4-434F-A32F-2326F2757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434340</xdr:colOff>
      <xdr:row>44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619A36-FBAF-4BDB-93B5-C8C1ACA52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64D49-848E-4D1F-BA45-0E1B17577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9CE33C-5351-430E-8072-751B6FC6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3EE7-9F25-49D2-9950-CA5E6E11E08F}">
  <dimension ref="A1:CT130"/>
  <sheetViews>
    <sheetView tabSelected="1" topLeftCell="AV1" workbookViewId="0">
      <selection activeCell="BS30" sqref="BS30"/>
    </sheetView>
  </sheetViews>
  <sheetFormatPr defaultRowHeight="15" x14ac:dyDescent="0.25"/>
  <cols>
    <col min="1" max="1" width="15.85546875" customWidth="1"/>
    <col min="2" max="2" width="14.140625" customWidth="1"/>
    <col min="3" max="3" width="13.42578125" customWidth="1"/>
    <col min="21" max="21" width="11.7109375" customWidth="1"/>
    <col min="74" max="74" width="15.5703125" customWidth="1"/>
    <col min="92" max="92" width="16.7109375" customWidth="1"/>
  </cols>
  <sheetData>
    <row r="1" spans="1:98" x14ac:dyDescent="0.25">
      <c r="B1" s="1">
        <v>45183</v>
      </c>
      <c r="C1" s="1">
        <v>45183.010416666664</v>
      </c>
      <c r="D1" s="1">
        <v>45183.020833333336</v>
      </c>
      <c r="E1" s="1">
        <v>45183.03125</v>
      </c>
      <c r="F1" s="1">
        <v>45183.041666666664</v>
      </c>
      <c r="G1" s="1">
        <v>45183.052083333336</v>
      </c>
      <c r="H1" s="1">
        <v>45183.0625</v>
      </c>
      <c r="I1" s="1">
        <v>45183.072916666664</v>
      </c>
      <c r="J1" s="1">
        <v>45183.083333333336</v>
      </c>
      <c r="K1" s="1">
        <v>45183.09375</v>
      </c>
      <c r="L1" s="1">
        <v>45183.104166666664</v>
      </c>
      <c r="M1" s="1">
        <v>45183.114583333336</v>
      </c>
      <c r="N1" s="1">
        <v>45183.125</v>
      </c>
      <c r="O1" s="1">
        <v>45183.135416666664</v>
      </c>
      <c r="P1" s="1">
        <v>45183.145833333336</v>
      </c>
      <c r="Q1" s="1">
        <v>45183.15625</v>
      </c>
      <c r="R1" s="1">
        <v>45183.166666666664</v>
      </c>
      <c r="S1" s="1">
        <v>45183.177083333336</v>
      </c>
      <c r="T1" s="1">
        <v>45183.1875</v>
      </c>
      <c r="U1" s="1">
        <v>45183.197916666664</v>
      </c>
      <c r="V1" s="1">
        <v>45183.208333333336</v>
      </c>
      <c r="W1" s="1">
        <v>45183.21875</v>
      </c>
      <c r="X1" s="1">
        <v>45183.229166666664</v>
      </c>
      <c r="Y1" s="1">
        <v>45183.239583333336</v>
      </c>
      <c r="Z1" s="1">
        <v>45183.25</v>
      </c>
      <c r="AA1" s="1">
        <v>45183.260416666664</v>
      </c>
      <c r="AB1" s="1">
        <v>45183.270833333336</v>
      </c>
      <c r="AC1" s="1">
        <v>45183.28125</v>
      </c>
      <c r="AD1" s="1">
        <v>45183.291666666664</v>
      </c>
      <c r="AE1" s="1">
        <v>45183.302083333336</v>
      </c>
      <c r="AF1" s="1">
        <v>45183.3125</v>
      </c>
      <c r="AG1" s="1">
        <v>45183.322916666664</v>
      </c>
      <c r="AH1" s="1">
        <v>45183.333333333336</v>
      </c>
      <c r="AI1" s="1">
        <v>45183.34375</v>
      </c>
      <c r="AJ1" s="1">
        <v>45183.354166666664</v>
      </c>
      <c r="AK1" s="1">
        <v>45183.364583333336</v>
      </c>
      <c r="AL1" s="1">
        <v>45183.375</v>
      </c>
      <c r="AM1" s="1">
        <v>45183.385416666664</v>
      </c>
      <c r="AN1" s="1">
        <v>45183.395833333336</v>
      </c>
      <c r="AO1" s="1">
        <v>45183.40625</v>
      </c>
      <c r="AP1" s="1">
        <v>45183.416666666664</v>
      </c>
      <c r="AQ1" s="1">
        <v>45183.427083333336</v>
      </c>
      <c r="AR1" s="1">
        <v>45183.4375</v>
      </c>
      <c r="AS1" s="1">
        <v>45183.447916666664</v>
      </c>
      <c r="AT1" s="1">
        <v>45183.458333333336</v>
      </c>
      <c r="AU1" s="1">
        <v>45183.46875</v>
      </c>
      <c r="AV1" s="1">
        <v>45183.479166666664</v>
      </c>
      <c r="AW1" s="1">
        <v>45183.489583333336</v>
      </c>
      <c r="AX1" s="1">
        <v>45183.5</v>
      </c>
      <c r="AY1" s="1">
        <v>45183.510416666664</v>
      </c>
      <c r="AZ1" s="1">
        <v>45183.520833333336</v>
      </c>
      <c r="BA1" s="1">
        <v>45183.53125</v>
      </c>
      <c r="BB1" s="1">
        <v>45183.541666666664</v>
      </c>
      <c r="BC1" s="1">
        <v>45183.552083333336</v>
      </c>
      <c r="BD1" s="1">
        <v>45183.5625</v>
      </c>
      <c r="BE1" s="1">
        <v>45183.572916666664</v>
      </c>
      <c r="BF1" s="1">
        <v>45183.583333333336</v>
      </c>
      <c r="BG1" s="1">
        <v>45183.59375</v>
      </c>
      <c r="BH1" s="1">
        <v>45183.604166666664</v>
      </c>
      <c r="BI1" s="1">
        <v>45183.614583333336</v>
      </c>
      <c r="BJ1" s="1">
        <v>45183.625</v>
      </c>
      <c r="BK1" s="1">
        <v>45183.635416666664</v>
      </c>
      <c r="BL1" s="1">
        <v>45183.645833333336</v>
      </c>
      <c r="BM1" s="1">
        <v>45183.65625</v>
      </c>
      <c r="BN1" s="1">
        <v>45183.666666666664</v>
      </c>
      <c r="BO1" s="1">
        <v>45183.677083333336</v>
      </c>
      <c r="BP1" s="1">
        <v>45183.6875</v>
      </c>
      <c r="BQ1" s="1">
        <v>45183.697916666664</v>
      </c>
      <c r="BR1" s="1">
        <v>45183.708333333336</v>
      </c>
      <c r="BS1" s="1">
        <v>45183.71875</v>
      </c>
      <c r="BT1" s="1">
        <v>45183.729166666664</v>
      </c>
      <c r="BU1" s="1">
        <v>45183.739583333336</v>
      </c>
      <c r="BV1" s="1">
        <v>45183.75</v>
      </c>
      <c r="BW1" s="1">
        <v>45183.760416666664</v>
      </c>
      <c r="BX1" s="1">
        <v>45183.770833333336</v>
      </c>
      <c r="BY1" s="1">
        <v>45183.78125</v>
      </c>
      <c r="BZ1" s="1">
        <v>45183.791666666664</v>
      </c>
      <c r="CA1" s="1">
        <v>45183.802083333336</v>
      </c>
      <c r="CB1" s="1">
        <v>45183.8125</v>
      </c>
      <c r="CC1" s="1">
        <v>45183.822916666664</v>
      </c>
      <c r="CD1" s="1">
        <v>45183.833333333336</v>
      </c>
      <c r="CE1" s="1">
        <v>45183.84375</v>
      </c>
      <c r="CF1" s="1">
        <v>45183.854166666664</v>
      </c>
      <c r="CG1" s="1">
        <v>45183.864583333336</v>
      </c>
      <c r="CH1" s="1">
        <v>45183.875</v>
      </c>
      <c r="CI1" s="1">
        <v>45183.885416666664</v>
      </c>
      <c r="CJ1" s="1">
        <v>45183.895833333336</v>
      </c>
      <c r="CK1" s="1">
        <v>45183.90625</v>
      </c>
      <c r="CL1" s="1">
        <v>45183.916666666664</v>
      </c>
      <c r="CM1" s="1">
        <v>45183.927083333336</v>
      </c>
      <c r="CN1" s="1">
        <v>45183.9375</v>
      </c>
      <c r="CO1" s="1">
        <v>45183.947916666664</v>
      </c>
      <c r="CP1" s="1">
        <v>45183.958333333336</v>
      </c>
      <c r="CQ1" s="1">
        <v>45183.96875</v>
      </c>
      <c r="CR1" s="1">
        <v>45183.979166666664</v>
      </c>
      <c r="CS1" s="1">
        <v>45183.989583333336</v>
      </c>
      <c r="CT1" s="1">
        <v>45184</v>
      </c>
    </row>
    <row r="2" spans="1:98" x14ac:dyDescent="0.25">
      <c r="A2" t="s">
        <v>0</v>
      </c>
      <c r="B2" s="4">
        <v>3.2962787975160999E-5</v>
      </c>
      <c r="C2" s="4">
        <v>5.3004676361168803E-5</v>
      </c>
      <c r="D2" s="4">
        <v>3.8240018988453903E-5</v>
      </c>
      <c r="E2" s="4">
        <v>6.5215762236818997E-5</v>
      </c>
      <c r="F2" s="4">
        <v>4.3612283929816997E-5</v>
      </c>
      <c r="G2" s="4">
        <v>5.8689876877381097E-5</v>
      </c>
      <c r="H2" s="4">
        <v>5.8942710948847E-5</v>
      </c>
      <c r="I2" s="4">
        <v>4.7586207462374802E-5</v>
      </c>
      <c r="J2" s="4">
        <v>6.4662743557366095E-5</v>
      </c>
      <c r="K2" s="4">
        <v>5.0863345256387401E-5</v>
      </c>
      <c r="L2" s="4">
        <v>5.3669597845650803E-5</v>
      </c>
      <c r="M2" s="4">
        <v>5.6772895146503198E-5</v>
      </c>
      <c r="N2" s="4">
        <v>7.7164181854928802E-5</v>
      </c>
      <c r="O2" s="4">
        <v>5.0659997491942598E-5</v>
      </c>
      <c r="P2" s="4">
        <v>6.7345026861786002E-5</v>
      </c>
      <c r="Q2" s="4">
        <v>5.6459655011792597E-5</v>
      </c>
      <c r="R2" s="4">
        <v>5.6813302621744903E-5</v>
      </c>
      <c r="S2" s="4">
        <v>5.5073311072742698E-5</v>
      </c>
      <c r="T2" s="4">
        <v>5.5511794409575398E-5</v>
      </c>
      <c r="U2" s="4">
        <v>5.48735265022874E-5</v>
      </c>
      <c r="V2" s="4">
        <v>8.9376884737136695E-5</v>
      </c>
      <c r="W2" s="4">
        <v>4.62736021527722E-5</v>
      </c>
      <c r="X2" s="4">
        <v>9.7722100073169095E-5</v>
      </c>
      <c r="Y2" s="4">
        <v>4.7107626469657801E-5</v>
      </c>
      <c r="Z2" s="4">
        <v>5.9409793234428798E-5</v>
      </c>
      <c r="AA2" s="4">
        <v>5.6983703380150599E-5</v>
      </c>
      <c r="AB2" s="4">
        <v>3.9359914559332197E-5</v>
      </c>
      <c r="AC2" s="4">
        <v>5.9124370249241197E-5</v>
      </c>
      <c r="AD2" s="4">
        <v>3.8516608215429303E-5</v>
      </c>
      <c r="AE2" s="4">
        <v>4.2992046485052201E-5</v>
      </c>
      <c r="AF2" s="4">
        <v>4.9249545064140601E-5</v>
      </c>
      <c r="AG2" s="4">
        <v>4.9427639852956798E-5</v>
      </c>
      <c r="AH2" s="4">
        <v>4.3325139708129E-5</v>
      </c>
      <c r="AI2" s="4">
        <v>5.0943252740639699E-5</v>
      </c>
      <c r="AJ2" s="4">
        <v>8.1646943535686103E-5</v>
      </c>
      <c r="AK2" s="4">
        <v>4.2316085568628998E-5</v>
      </c>
      <c r="AL2" s="4">
        <v>3.11552895836869E-5</v>
      </c>
      <c r="AM2" s="4">
        <v>4.6060907989027603E-5</v>
      </c>
      <c r="AN2" s="4">
        <v>2.37666675841285E-5</v>
      </c>
      <c r="AO2" s="4">
        <v>3.9084349776103399E-5</v>
      </c>
      <c r="AP2" s="4">
        <v>4.1298872180166302E-5</v>
      </c>
      <c r="AQ2" s="4">
        <v>2.4646391813207598E-5</v>
      </c>
      <c r="AR2" s="4">
        <v>3.3806742756544402E-5</v>
      </c>
      <c r="AS2" s="4">
        <v>4.3079735958005101E-5</v>
      </c>
      <c r="AT2" s="4">
        <v>3.45576203120019E-5</v>
      </c>
      <c r="AU2" s="4">
        <v>4.1861281477102197E-5</v>
      </c>
      <c r="AV2" s="4">
        <v>4.2677993820447403E-5</v>
      </c>
      <c r="AW2" s="4">
        <v>3.8338134680102002E-5</v>
      </c>
      <c r="AX2" s="4">
        <v>4.0795596758853099E-5</v>
      </c>
      <c r="AY2" s="4">
        <v>5.6202894491775397E-5</v>
      </c>
      <c r="AZ2" s="4">
        <v>4.2995023424146802E-5</v>
      </c>
      <c r="BA2" s="4">
        <v>4.2014665544349498E-5</v>
      </c>
      <c r="BB2" s="4">
        <v>4.7946886586033299E-5</v>
      </c>
      <c r="BC2" s="4">
        <v>4.7522368649725198E-5</v>
      </c>
      <c r="BD2" s="4">
        <v>5.1049097007825199E-5</v>
      </c>
      <c r="BE2" s="4">
        <v>4.2133528068188201E-5</v>
      </c>
      <c r="BF2" s="4">
        <v>7.1156357892269295E-5</v>
      </c>
      <c r="BG2">
        <v>2.04920998701977E-4</v>
      </c>
      <c r="BH2">
        <v>2.0122199927646899E-4</v>
      </c>
      <c r="BI2">
        <v>9.2494552612522004E-4</v>
      </c>
      <c r="BJ2">
        <v>1.5552792216359101E-3</v>
      </c>
      <c r="BK2">
        <v>1.1578250533094299E-3</v>
      </c>
      <c r="BL2">
        <v>5.9827185993128703E-4</v>
      </c>
      <c r="BM2">
        <v>1.64653590263463E-3</v>
      </c>
      <c r="BN2">
        <v>2.0246643676595701E-3</v>
      </c>
      <c r="BO2">
        <v>3.2097317786972798E-3</v>
      </c>
      <c r="BP2">
        <v>3.6966883310300602E-3</v>
      </c>
      <c r="BQ2">
        <v>2.6308175440493699E-3</v>
      </c>
      <c r="BR2">
        <v>4.7827289380646502E-3</v>
      </c>
      <c r="BS2">
        <v>3.0701943802042401E-3</v>
      </c>
      <c r="BT2">
        <v>3.06880062684858E-3</v>
      </c>
      <c r="BU2">
        <v>6.6578854842772204E-3</v>
      </c>
      <c r="BV2">
        <v>1.68687551091549E-2</v>
      </c>
      <c r="BW2">
        <v>2.90335112096549E-3</v>
      </c>
      <c r="BX2">
        <v>2.1490743533713699E-3</v>
      </c>
      <c r="BY2">
        <v>2.17772889219793E-3</v>
      </c>
      <c r="BZ2">
        <v>1.81349615098827E-3</v>
      </c>
      <c r="CA2">
        <v>1.6857064677429799E-3</v>
      </c>
      <c r="CB2">
        <v>1.6589220597471399E-3</v>
      </c>
      <c r="CC2">
        <v>1.59815785931329E-3</v>
      </c>
      <c r="CD2">
        <v>1.6035810952493899E-3</v>
      </c>
      <c r="CE2">
        <v>1.39282107728389E-3</v>
      </c>
      <c r="CF2">
        <v>1.20601854657107E-3</v>
      </c>
      <c r="CG2">
        <v>1.4488386801273601E-3</v>
      </c>
      <c r="CH2">
        <v>1.16680905696046E-3</v>
      </c>
      <c r="CI2">
        <v>1.4910308859573201E-3</v>
      </c>
      <c r="CJ2">
        <v>1.4029645175232201E-3</v>
      </c>
      <c r="CK2">
        <v>1.10228512751843E-3</v>
      </c>
      <c r="CL2">
        <v>1.17651084986945E-3</v>
      </c>
      <c r="CM2">
        <v>1.2972070774297699E-3</v>
      </c>
      <c r="CN2">
        <v>1.70585259372605E-3</v>
      </c>
      <c r="CO2">
        <v>2.3693725439408999E-3</v>
      </c>
      <c r="CP2">
        <v>1.4620299470493999E-3</v>
      </c>
      <c r="CQ2">
        <v>1.5460823693986599E-3</v>
      </c>
      <c r="CR2">
        <v>1.47035412155018E-3</v>
      </c>
      <c r="CS2">
        <v>8.0559297035341301E-4</v>
      </c>
      <c r="CT2">
        <v>7.9363007156889797E-4</v>
      </c>
    </row>
    <row r="3" spans="1:98" x14ac:dyDescent="0.25">
      <c r="A3" t="s">
        <v>1</v>
      </c>
      <c r="B3" s="4">
        <v>2.3361738844678E-5</v>
      </c>
      <c r="C3" s="4">
        <v>2.7436387559742199E-5</v>
      </c>
      <c r="D3" s="4">
        <v>2.5283539699631199E-5</v>
      </c>
      <c r="E3" s="4">
        <v>3.9039698872699597E-5</v>
      </c>
      <c r="F3" s="4">
        <v>2.28417484079772E-5</v>
      </c>
      <c r="G3" s="4">
        <v>3.3328225578535401E-5</v>
      </c>
      <c r="H3" s="4">
        <v>3.4857300184132802E-5</v>
      </c>
      <c r="I3" s="4">
        <v>3.1356228603395297E-5</v>
      </c>
      <c r="J3" s="4">
        <v>3.2902659343242803E-5</v>
      </c>
      <c r="K3" s="4">
        <v>3.2089744447307101E-5</v>
      </c>
      <c r="L3" s="4">
        <v>3.4979497453247897E-5</v>
      </c>
      <c r="M3" s="4">
        <v>3.24448366270494E-5</v>
      </c>
      <c r="N3" s="4">
        <v>3.3658835495118303E-5</v>
      </c>
      <c r="O3" s="4">
        <v>2.6928739394643901E-5</v>
      </c>
      <c r="P3" s="4">
        <v>4.2518216353993703E-5</v>
      </c>
      <c r="Q3" s="4">
        <v>2.78784576186295E-5</v>
      </c>
      <c r="R3" s="4">
        <v>3.5841948289101003E-5</v>
      </c>
      <c r="S3" s="4">
        <v>3.4632022096631399E-5</v>
      </c>
      <c r="T3" s="4">
        <v>4.0137500576392402E-5</v>
      </c>
      <c r="U3" s="4">
        <v>3.1622828911517797E-5</v>
      </c>
      <c r="V3" s="4">
        <v>4.0760455228111801E-5</v>
      </c>
      <c r="W3" s="4">
        <v>2.72870980946847E-5</v>
      </c>
      <c r="X3" s="4">
        <v>4.8301406765176003E-5</v>
      </c>
      <c r="Y3" s="4">
        <v>2.57410749343559E-5</v>
      </c>
      <c r="Z3" s="4">
        <v>4.141967156785E-5</v>
      </c>
      <c r="AA3" s="4">
        <v>2.6856311298247801E-5</v>
      </c>
      <c r="AB3" s="4">
        <v>2.7462705328862901E-5</v>
      </c>
      <c r="AC3" s="4">
        <v>2.7652200366932199E-5</v>
      </c>
      <c r="AD3" s="4">
        <v>2.7329634382109901E-5</v>
      </c>
      <c r="AE3" s="4">
        <v>2.7140220158399901E-5</v>
      </c>
      <c r="AF3" s="4">
        <v>3.4773502911861102E-5</v>
      </c>
      <c r="AG3" s="4">
        <v>2.78164488750809E-5</v>
      </c>
      <c r="AH3" s="4">
        <v>2.2333813108323102E-5</v>
      </c>
      <c r="AI3" s="4">
        <v>3.0512820299142501E-5</v>
      </c>
      <c r="AJ3" s="4">
        <v>4.6171462846409998E-5</v>
      </c>
      <c r="AK3" s="4">
        <v>2.37685849487246E-5</v>
      </c>
      <c r="AL3" s="4">
        <v>2.25896697100603E-5</v>
      </c>
      <c r="AM3" s="4">
        <v>2.6618790183871699E-5</v>
      </c>
      <c r="AN3" s="4">
        <v>1.25204875186557E-5</v>
      </c>
      <c r="AO3" s="4">
        <v>1.93595157996663E-5</v>
      </c>
      <c r="AP3" s="4">
        <v>1.8694375300632999E-5</v>
      </c>
      <c r="AQ3" s="4">
        <v>1.60789796198651E-5</v>
      </c>
      <c r="AR3" s="4">
        <v>2.0940681691322398E-5</v>
      </c>
      <c r="AS3" s="4">
        <v>2.54065807536124E-5</v>
      </c>
      <c r="AT3" s="4">
        <v>1.9005978866761599E-5</v>
      </c>
      <c r="AU3" s="4">
        <v>2.54334346930902E-5</v>
      </c>
      <c r="AV3" s="4">
        <v>2.6242976988929899E-5</v>
      </c>
      <c r="AW3" s="4">
        <v>2.40032501583876E-5</v>
      </c>
      <c r="AX3" s="4">
        <v>2.54790088375158E-5</v>
      </c>
      <c r="AY3" s="4">
        <v>2.5698272038102999E-5</v>
      </c>
      <c r="AZ3" s="4">
        <v>2.6497207182287999E-5</v>
      </c>
      <c r="BA3" s="4">
        <v>2.52649696186331E-5</v>
      </c>
      <c r="BB3" s="4">
        <v>2.9242117971052E-5</v>
      </c>
      <c r="BC3" s="4">
        <v>2.6648883299200401E-5</v>
      </c>
      <c r="BD3" s="4">
        <v>2.93599512362961E-5</v>
      </c>
      <c r="BE3" s="4">
        <v>2.3451249887884602E-5</v>
      </c>
      <c r="BF3" s="4">
        <v>4.2445658446015001E-5</v>
      </c>
      <c r="BG3">
        <v>1.20548350428345E-4</v>
      </c>
      <c r="BH3">
        <v>1.3502713728548701E-4</v>
      </c>
      <c r="BI3">
        <v>4.1491719530977801E-4</v>
      </c>
      <c r="BJ3">
        <v>8.94100174190044E-4</v>
      </c>
      <c r="BK3">
        <v>7.2065114986637798E-4</v>
      </c>
      <c r="BL3">
        <v>3.5527954326728501E-4</v>
      </c>
      <c r="BM3">
        <v>9.7242453550309299E-4</v>
      </c>
      <c r="BN3">
        <v>1.1899279967624301E-3</v>
      </c>
      <c r="BO3">
        <v>2.4714783421938401E-3</v>
      </c>
      <c r="BP3">
        <v>2.3184986337864001E-3</v>
      </c>
      <c r="BQ3">
        <v>1.8602388454067201E-3</v>
      </c>
      <c r="BR3">
        <v>2.9232803371398801E-3</v>
      </c>
      <c r="BS3">
        <v>2.2645613781416499E-3</v>
      </c>
      <c r="BT3">
        <v>2.10844168576016E-3</v>
      </c>
      <c r="BU3">
        <v>3.9974590721319299E-3</v>
      </c>
      <c r="BV3">
        <v>8.9724715055071406E-3</v>
      </c>
      <c r="BW3">
        <v>2.0389747350947002E-3</v>
      </c>
      <c r="BX3">
        <v>1.48241558860158E-3</v>
      </c>
      <c r="BY3">
        <v>1.54678353615958E-3</v>
      </c>
      <c r="BZ3">
        <v>1.3153081548544199E-3</v>
      </c>
      <c r="CA3">
        <v>1.1760023761128299E-3</v>
      </c>
      <c r="CB3">
        <v>1.0777847018268599E-3</v>
      </c>
      <c r="CC3">
        <v>8.7100885466283805E-4</v>
      </c>
      <c r="CD3">
        <v>1.1042725469532001E-3</v>
      </c>
      <c r="CE3">
        <v>9.6938717426258802E-4</v>
      </c>
      <c r="CF3">
        <v>7.47446676865074E-4</v>
      </c>
      <c r="CG3">
        <v>8.2553577543186397E-4</v>
      </c>
      <c r="CH3">
        <v>8.4057306242426395E-4</v>
      </c>
      <c r="CI3">
        <v>8.6800970725318895E-4</v>
      </c>
      <c r="CJ3">
        <v>8.7486945853467899E-4</v>
      </c>
      <c r="CK3">
        <v>7.4930490057012196E-4</v>
      </c>
      <c r="CL3">
        <v>7.7671360027021304E-4</v>
      </c>
      <c r="CM3">
        <v>8.06978209080543E-4</v>
      </c>
      <c r="CN3">
        <v>8.5262254343396399E-4</v>
      </c>
      <c r="CO3">
        <v>1.4310584303813699E-3</v>
      </c>
      <c r="CP3">
        <v>8.1014337923815101E-4</v>
      </c>
      <c r="CQ3">
        <v>9.7845823678939709E-4</v>
      </c>
      <c r="CR3">
        <v>7.9757186180802497E-4</v>
      </c>
      <c r="CS3">
        <v>5.0128704985343995E-4</v>
      </c>
      <c r="CT3">
        <v>5.0228592449228101E-4</v>
      </c>
    </row>
    <row r="4" spans="1:98" x14ac:dyDescent="0.25">
      <c r="A4" t="s">
        <v>2</v>
      </c>
      <c r="B4" s="4">
        <v>2.2598790008091899E-5</v>
      </c>
      <c r="C4" s="4">
        <v>2.6467726889878301E-5</v>
      </c>
      <c r="D4" s="4">
        <v>2.4371116161499301E-5</v>
      </c>
      <c r="E4" s="4">
        <v>3.7061076104867901E-5</v>
      </c>
      <c r="F4" s="4">
        <v>2.2364844435986699E-5</v>
      </c>
      <c r="G4" s="4">
        <v>3.3259441260361598E-5</v>
      </c>
      <c r="H4" s="4">
        <v>3.36782242576105E-5</v>
      </c>
      <c r="I4" s="4">
        <v>3.1182130941699399E-5</v>
      </c>
      <c r="J4" s="4">
        <v>3.2576955860084397E-5</v>
      </c>
      <c r="K4" s="4">
        <v>3.1006703294713402E-5</v>
      </c>
      <c r="L4" s="4">
        <v>3.5080540247082303E-5</v>
      </c>
      <c r="M4" s="4">
        <v>3.0630713801708601E-5</v>
      </c>
      <c r="N4" s="4">
        <v>3.17681599032969E-5</v>
      </c>
      <c r="O4" s="4">
        <v>2.5881539386913801E-5</v>
      </c>
      <c r="P4" s="4">
        <v>4.23077680885184E-5</v>
      </c>
      <c r="Q4" s="4">
        <v>2.6234637130421101E-5</v>
      </c>
      <c r="R4" s="4">
        <v>3.3689786896257798E-5</v>
      </c>
      <c r="S4" s="4">
        <v>3.3089743185457498E-5</v>
      </c>
      <c r="T4" s="4">
        <v>3.9070851044304002E-5</v>
      </c>
      <c r="U4" s="4">
        <v>3.0829345961130802E-5</v>
      </c>
      <c r="V4" s="4">
        <v>3.8505297977818497E-5</v>
      </c>
      <c r="W4" s="4">
        <v>2.6082255785703601E-5</v>
      </c>
      <c r="X4" s="4">
        <v>4.6516093671921199E-5</v>
      </c>
      <c r="Y4" s="4">
        <v>2.4562518441553102E-5</v>
      </c>
      <c r="Z4" s="4">
        <v>4.0875490658835397E-5</v>
      </c>
      <c r="AA4" s="4">
        <v>2.4273749660730299E-5</v>
      </c>
      <c r="AB4" s="4">
        <v>2.7326321460201701E-5</v>
      </c>
      <c r="AC4" s="4">
        <v>2.6849910972581302E-5</v>
      </c>
      <c r="AD4" s="4">
        <v>2.6814519946041999E-5</v>
      </c>
      <c r="AE4" s="4">
        <v>2.6142196989272199E-5</v>
      </c>
      <c r="AF4" s="4">
        <v>3.4697595422746098E-5</v>
      </c>
      <c r="AG4" s="4">
        <v>2.6505591300793801E-5</v>
      </c>
      <c r="AH4" s="4">
        <v>2.1559805626087801E-5</v>
      </c>
      <c r="AI4" s="4">
        <v>3.03654123117343E-5</v>
      </c>
      <c r="AJ4" s="4">
        <v>4.42408219632263E-5</v>
      </c>
      <c r="AK4" s="4">
        <v>2.2368883210333401E-5</v>
      </c>
      <c r="AL4" s="4">
        <v>2.2227073718690101E-5</v>
      </c>
      <c r="AM4" s="4">
        <v>2.5933233139390901E-5</v>
      </c>
      <c r="AN4" s="4">
        <v>1.17794193108171E-5</v>
      </c>
      <c r="AO4" s="4">
        <v>1.8643487859538301E-5</v>
      </c>
      <c r="AP4" s="4">
        <v>1.7233450766128599E-5</v>
      </c>
      <c r="AQ4" s="4">
        <v>1.60576878187197E-5</v>
      </c>
      <c r="AR4" s="4">
        <v>2.0336842768453399E-5</v>
      </c>
      <c r="AS4" s="4">
        <v>2.4352897704087302E-5</v>
      </c>
      <c r="AT4" s="4">
        <v>1.7777920406968898E-5</v>
      </c>
      <c r="AU4" s="4">
        <v>2.42899893758206E-5</v>
      </c>
      <c r="AV4" s="4">
        <v>2.5605107640005399E-5</v>
      </c>
      <c r="AW4" s="4">
        <v>2.3683761334504101E-5</v>
      </c>
      <c r="AX4" s="4">
        <v>2.5327361822375599E-5</v>
      </c>
      <c r="AY4" s="4">
        <v>2.3920170480227599E-5</v>
      </c>
      <c r="AZ4" s="4">
        <v>2.5889457820005399E-5</v>
      </c>
      <c r="BA4" s="4">
        <v>2.4197106610379699E-5</v>
      </c>
      <c r="BB4" s="4">
        <v>2.86979440985233E-5</v>
      </c>
      <c r="BC4" s="4">
        <v>2.5800993394947099E-5</v>
      </c>
      <c r="BD4" s="4">
        <v>2.82631498076006E-5</v>
      </c>
      <c r="BE4" s="4">
        <v>2.2892529360213799E-5</v>
      </c>
      <c r="BF4" s="4">
        <v>4.2137481679921501E-5</v>
      </c>
      <c r="BG4">
        <v>1.19092312871159E-4</v>
      </c>
      <c r="BH4">
        <v>1.29009564905947E-4</v>
      </c>
      <c r="BI4">
        <v>3.68491499987979E-4</v>
      </c>
      <c r="BJ4">
        <v>8.6280770894898496E-4</v>
      </c>
      <c r="BK4">
        <v>7.1813525897375201E-4</v>
      </c>
      <c r="BL4">
        <v>3.4231190774748399E-4</v>
      </c>
      <c r="BM4">
        <v>9.4639604292238901E-4</v>
      </c>
      <c r="BN4">
        <v>1.1582342075663E-3</v>
      </c>
      <c r="BO4">
        <v>2.4381950008412899E-3</v>
      </c>
      <c r="BP4">
        <v>2.27752029047989E-3</v>
      </c>
      <c r="BQ4">
        <v>1.8231438665813099E-3</v>
      </c>
      <c r="BR4">
        <v>2.87455192875889E-3</v>
      </c>
      <c r="BS4">
        <v>2.2280073529546002E-3</v>
      </c>
      <c r="BT4">
        <v>2.0807283970152302E-3</v>
      </c>
      <c r="BU4">
        <v>3.8401955311935599E-3</v>
      </c>
      <c r="BV4">
        <v>8.2579803903355103E-3</v>
      </c>
      <c r="BW4">
        <v>2.0021125162551202E-3</v>
      </c>
      <c r="BX4">
        <v>1.4147645512093199E-3</v>
      </c>
      <c r="BY4">
        <v>1.53338067471348E-3</v>
      </c>
      <c r="BZ4">
        <v>1.31392617828135E-3</v>
      </c>
      <c r="CA4">
        <v>1.15455184861459E-3</v>
      </c>
      <c r="CB4">
        <v>1.06381285863374E-3</v>
      </c>
      <c r="CC4">
        <v>8.3418459217539495E-4</v>
      </c>
      <c r="CD4">
        <v>1.0975913335449601E-3</v>
      </c>
      <c r="CE4">
        <v>9.4823155657372603E-4</v>
      </c>
      <c r="CF4">
        <v>7.1642816662990298E-4</v>
      </c>
      <c r="CG4">
        <v>8.1056954272612698E-4</v>
      </c>
      <c r="CH4">
        <v>8.3341540412855603E-4</v>
      </c>
      <c r="CI4">
        <v>8.2773963713190797E-4</v>
      </c>
      <c r="CJ4">
        <v>8.6692836414105899E-4</v>
      </c>
      <c r="CK4">
        <v>7.3552124915998805E-4</v>
      </c>
      <c r="CL4">
        <v>7.55242156198734E-4</v>
      </c>
      <c r="CM4">
        <v>7.9533406799165698E-4</v>
      </c>
      <c r="CN4">
        <v>8.4714860339675101E-4</v>
      </c>
      <c r="CO4">
        <v>1.4082717742414401E-3</v>
      </c>
      <c r="CP4">
        <v>7.8871613409789703E-4</v>
      </c>
      <c r="CQ4">
        <v>9.3641268192656705E-4</v>
      </c>
      <c r="CR4">
        <v>7.6251931479677298E-4</v>
      </c>
      <c r="CS4">
        <v>4.8009025413821098E-4</v>
      </c>
      <c r="CT4">
        <v>4.8979861141624798E-4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2</v>
      </c>
      <c r="BV7">
        <v>36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</row>
    <row r="8" spans="1:98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5</v>
      </c>
      <c r="BK8">
        <v>1</v>
      </c>
      <c r="BL8">
        <v>0</v>
      </c>
      <c r="BM8">
        <v>5</v>
      </c>
      <c r="BN8">
        <v>6</v>
      </c>
      <c r="BO8">
        <v>49</v>
      </c>
      <c r="BP8">
        <v>47</v>
      </c>
      <c r="BQ8">
        <v>20</v>
      </c>
      <c r="BR8">
        <v>62</v>
      </c>
      <c r="BS8">
        <v>24</v>
      </c>
      <c r="BT8">
        <v>20</v>
      </c>
      <c r="BU8">
        <v>189</v>
      </c>
      <c r="BV8">
        <v>905</v>
      </c>
      <c r="BW8">
        <v>21</v>
      </c>
      <c r="BX8">
        <v>6</v>
      </c>
      <c r="BY8">
        <v>8</v>
      </c>
      <c r="BZ8">
        <v>1</v>
      </c>
      <c r="CA8">
        <v>0</v>
      </c>
      <c r="CB8">
        <v>1</v>
      </c>
      <c r="CC8">
        <v>0</v>
      </c>
      <c r="CD8">
        <v>4</v>
      </c>
      <c r="CE8">
        <v>0</v>
      </c>
      <c r="CF8">
        <v>0</v>
      </c>
      <c r="CG8">
        <v>2</v>
      </c>
      <c r="CH8">
        <v>1</v>
      </c>
      <c r="CI8">
        <v>0</v>
      </c>
      <c r="CJ8">
        <v>0</v>
      </c>
      <c r="CK8">
        <v>0</v>
      </c>
      <c r="CL8">
        <v>0</v>
      </c>
      <c r="CM8">
        <v>2</v>
      </c>
      <c r="CN8">
        <v>3</v>
      </c>
      <c r="CO8">
        <v>10</v>
      </c>
      <c r="CP8">
        <v>0</v>
      </c>
      <c r="CQ8">
        <v>1</v>
      </c>
      <c r="CR8">
        <v>1</v>
      </c>
      <c r="CS8">
        <v>0</v>
      </c>
      <c r="CT8">
        <v>0</v>
      </c>
    </row>
    <row r="9" spans="1:98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I9">
        <v>47</v>
      </c>
      <c r="BJ9">
        <v>139</v>
      </c>
      <c r="BK9">
        <v>82</v>
      </c>
      <c r="BL9">
        <v>16</v>
      </c>
      <c r="BM9">
        <v>181</v>
      </c>
      <c r="BN9">
        <v>242</v>
      </c>
      <c r="BO9">
        <v>1277</v>
      </c>
      <c r="BP9">
        <v>1088</v>
      </c>
      <c r="BQ9">
        <v>633</v>
      </c>
      <c r="BR9">
        <v>1737</v>
      </c>
      <c r="BS9">
        <v>991</v>
      </c>
      <c r="BT9">
        <v>875</v>
      </c>
      <c r="BU9">
        <v>2845</v>
      </c>
      <c r="BV9">
        <v>10850</v>
      </c>
      <c r="BW9">
        <v>715</v>
      </c>
      <c r="BX9">
        <v>301</v>
      </c>
      <c r="BY9">
        <v>363</v>
      </c>
      <c r="BZ9">
        <v>223</v>
      </c>
      <c r="CA9">
        <v>169</v>
      </c>
      <c r="CB9">
        <v>144</v>
      </c>
      <c r="CC9">
        <v>91</v>
      </c>
      <c r="CD9">
        <v>180</v>
      </c>
      <c r="CE9">
        <v>142</v>
      </c>
      <c r="CF9">
        <v>77</v>
      </c>
      <c r="CG9">
        <v>105</v>
      </c>
      <c r="CH9">
        <v>110</v>
      </c>
      <c r="CI9">
        <v>137</v>
      </c>
      <c r="CJ9">
        <v>160</v>
      </c>
      <c r="CK9">
        <v>87</v>
      </c>
      <c r="CL9">
        <v>115</v>
      </c>
      <c r="CM9">
        <v>113</v>
      </c>
      <c r="CN9">
        <v>152</v>
      </c>
      <c r="CO9">
        <v>515</v>
      </c>
      <c r="CP9">
        <v>123</v>
      </c>
      <c r="CQ9">
        <v>219</v>
      </c>
      <c r="CR9">
        <v>127</v>
      </c>
      <c r="CS9">
        <v>31</v>
      </c>
      <c r="CT9">
        <v>39</v>
      </c>
    </row>
    <row r="10" spans="1:98" x14ac:dyDescent="0.25">
      <c r="A10" t="s">
        <v>8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2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7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</v>
      </c>
      <c r="AT10">
        <v>0</v>
      </c>
      <c r="AU10">
        <v>2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5</v>
      </c>
      <c r="BG10">
        <v>37</v>
      </c>
      <c r="BH10">
        <v>83</v>
      </c>
      <c r="BI10">
        <v>702</v>
      </c>
      <c r="BJ10">
        <v>2932</v>
      </c>
      <c r="BK10">
        <v>1952</v>
      </c>
      <c r="BL10">
        <v>425</v>
      </c>
      <c r="BM10">
        <v>3621</v>
      </c>
      <c r="BN10">
        <v>4455</v>
      </c>
      <c r="BO10">
        <v>11444</v>
      </c>
      <c r="BP10">
        <v>11008</v>
      </c>
      <c r="BQ10">
        <v>8786</v>
      </c>
      <c r="BR10">
        <v>13390</v>
      </c>
      <c r="BS10">
        <v>11479</v>
      </c>
      <c r="BT10">
        <v>10230</v>
      </c>
      <c r="BU10">
        <v>14431</v>
      </c>
      <c r="BV10">
        <v>11249</v>
      </c>
      <c r="BW10">
        <v>9793</v>
      </c>
      <c r="BX10">
        <v>6856</v>
      </c>
      <c r="BY10">
        <v>6992</v>
      </c>
      <c r="BZ10">
        <v>6234</v>
      </c>
      <c r="CA10">
        <v>5343</v>
      </c>
      <c r="CB10">
        <v>4268</v>
      </c>
      <c r="CC10">
        <v>2792</v>
      </c>
      <c r="CD10">
        <v>4319</v>
      </c>
      <c r="CE10">
        <v>3441</v>
      </c>
      <c r="CF10">
        <v>1978</v>
      </c>
      <c r="CG10">
        <v>2333</v>
      </c>
      <c r="CH10">
        <v>2561</v>
      </c>
      <c r="CI10">
        <v>2654</v>
      </c>
      <c r="CJ10">
        <v>2761</v>
      </c>
      <c r="CK10">
        <v>1990</v>
      </c>
      <c r="CL10">
        <v>2225</v>
      </c>
      <c r="CM10">
        <v>2357</v>
      </c>
      <c r="CN10">
        <v>2573</v>
      </c>
      <c r="CO10">
        <v>5622</v>
      </c>
      <c r="CP10">
        <v>2306</v>
      </c>
      <c r="CQ10">
        <v>3340</v>
      </c>
      <c r="CR10">
        <v>2293</v>
      </c>
      <c r="CS10">
        <v>991</v>
      </c>
      <c r="CT10">
        <v>1020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8.9596719422901899E-2</v>
      </c>
      <c r="BV17">
        <v>0.269900081746478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</row>
    <row r="18" spans="1:9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8.7350489530706996E-2</v>
      </c>
      <c r="BV18">
        <v>0.16435000083802101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8.7350489530706996E-2</v>
      </c>
      <c r="BV19">
        <v>0.161535318384389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8.5534721494705396E-2</v>
      </c>
      <c r="BK20">
        <v>6.0263363851784997E-2</v>
      </c>
      <c r="BL20">
        <v>0</v>
      </c>
      <c r="BM20">
        <v>0.105378297768616</v>
      </c>
      <c r="BN20">
        <v>0.12957851953021299</v>
      </c>
      <c r="BO20">
        <v>0.20542283383662599</v>
      </c>
      <c r="BP20">
        <v>0.23658805318592399</v>
      </c>
      <c r="BQ20">
        <v>0.16837232281915901</v>
      </c>
      <c r="BR20">
        <v>0.306094652036137</v>
      </c>
      <c r="BS20">
        <v>0.18342704909064</v>
      </c>
      <c r="BT20">
        <v>0.19640324011830901</v>
      </c>
      <c r="BU20">
        <v>0.426104670993742</v>
      </c>
      <c r="BV20">
        <v>1.07960032698591</v>
      </c>
      <c r="BW20">
        <v>0.17618533483580601</v>
      </c>
      <c r="BX20">
        <v>0.13754075861576701</v>
      </c>
      <c r="BY20">
        <v>0.13937464910066699</v>
      </c>
      <c r="BZ20">
        <v>0.10466623407671501</v>
      </c>
      <c r="CA20">
        <v>0</v>
      </c>
      <c r="CB20">
        <v>9.6755262689845897E-2</v>
      </c>
      <c r="CC20">
        <v>0</v>
      </c>
      <c r="CD20">
        <v>0.102629190095961</v>
      </c>
      <c r="CE20">
        <v>0</v>
      </c>
      <c r="CF20">
        <v>0</v>
      </c>
      <c r="CG20">
        <v>6.9632475412302705E-2</v>
      </c>
      <c r="CH20">
        <v>5.9861732831870101E-2</v>
      </c>
      <c r="CI20">
        <v>0</v>
      </c>
      <c r="CJ20">
        <v>0</v>
      </c>
      <c r="CK20">
        <v>0</v>
      </c>
      <c r="CL20">
        <v>0</v>
      </c>
      <c r="CM20">
        <v>8.3021252955505706E-2</v>
      </c>
      <c r="CN20">
        <v>0.109174565998467</v>
      </c>
      <c r="CO20">
        <v>0.15163984281221701</v>
      </c>
      <c r="CP20">
        <v>0</v>
      </c>
      <c r="CQ20">
        <v>7.9773029646545604E-2</v>
      </c>
      <c r="CR20">
        <v>9.2398007534013296E-2</v>
      </c>
      <c r="CS20">
        <v>0</v>
      </c>
      <c r="CT20">
        <v>0</v>
      </c>
    </row>
    <row r="21" spans="1:98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7.3954141520581496E-2</v>
      </c>
      <c r="BK21">
        <v>6.0263363851784997E-2</v>
      </c>
      <c r="BL21">
        <v>0</v>
      </c>
      <c r="BM21">
        <v>8.4183123665848902E-2</v>
      </c>
      <c r="BN21">
        <v>9.6348192509845207E-2</v>
      </c>
      <c r="BO21">
        <v>0.17101948442291401</v>
      </c>
      <c r="BP21">
        <v>0.16673191293877801</v>
      </c>
      <c r="BQ21">
        <v>0.15026849513052501</v>
      </c>
      <c r="BR21">
        <v>0.202713955307564</v>
      </c>
      <c r="BS21">
        <v>0.15535163126048199</v>
      </c>
      <c r="BT21">
        <v>0.14732015610500901</v>
      </c>
      <c r="BU21">
        <v>0.26955233687239899</v>
      </c>
      <c r="BV21">
        <v>0.574238176352457</v>
      </c>
      <c r="BW21">
        <v>0.149267255227197</v>
      </c>
      <c r="BX21">
        <v>0.11901236829159099</v>
      </c>
      <c r="BY21">
        <v>0.116554870122207</v>
      </c>
      <c r="BZ21">
        <v>0.10466623407671501</v>
      </c>
      <c r="CA21">
        <v>0</v>
      </c>
      <c r="CB21">
        <v>9.6755262689845897E-2</v>
      </c>
      <c r="CC21">
        <v>0</v>
      </c>
      <c r="CD21">
        <v>9.5534526896124794E-2</v>
      </c>
      <c r="CE21">
        <v>0</v>
      </c>
      <c r="CF21">
        <v>0</v>
      </c>
      <c r="CG21">
        <v>6.6591948072231399E-2</v>
      </c>
      <c r="CH21">
        <v>5.9861732831870101E-2</v>
      </c>
      <c r="CI21">
        <v>0</v>
      </c>
      <c r="CJ21">
        <v>0</v>
      </c>
      <c r="CK21">
        <v>0</v>
      </c>
      <c r="CL21">
        <v>0</v>
      </c>
      <c r="CM21">
        <v>6.7747631269158406E-2</v>
      </c>
      <c r="CN21">
        <v>8.7320414667974203E-2</v>
      </c>
      <c r="CO21">
        <v>0.106448191432181</v>
      </c>
      <c r="CP21">
        <v>0</v>
      </c>
      <c r="CQ21">
        <v>7.9773029646545604E-2</v>
      </c>
      <c r="CR21">
        <v>9.2398007534013296E-2</v>
      </c>
      <c r="CS21">
        <v>0</v>
      </c>
      <c r="CT21">
        <v>0</v>
      </c>
    </row>
    <row r="22" spans="1:9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7.6942806903529601E-2</v>
      </c>
      <c r="BK22">
        <v>6.0263363851784997E-2</v>
      </c>
      <c r="BL22">
        <v>0</v>
      </c>
      <c r="BM22">
        <v>7.4024746548162296E-2</v>
      </c>
      <c r="BN22">
        <v>9.3828891039377194E-2</v>
      </c>
      <c r="BO22">
        <v>0.17094873576331299</v>
      </c>
      <c r="BP22">
        <v>0.16570472948779</v>
      </c>
      <c r="BQ22">
        <v>0.150052791726832</v>
      </c>
      <c r="BR22">
        <v>0.19693829410813399</v>
      </c>
      <c r="BS22">
        <v>0.15342040449191099</v>
      </c>
      <c r="BT22">
        <v>0.14052768969003401</v>
      </c>
      <c r="BU22">
        <v>0.26148948121791499</v>
      </c>
      <c r="BV22">
        <v>0.52851074498147299</v>
      </c>
      <c r="BW22">
        <v>0.147157030858792</v>
      </c>
      <c r="BX22">
        <v>0.11716791625032601</v>
      </c>
      <c r="BY22">
        <v>0.10875975342701701</v>
      </c>
      <c r="BZ22">
        <v>0.10466623407671501</v>
      </c>
      <c r="CA22">
        <v>0</v>
      </c>
      <c r="CB22">
        <v>9.6755262689845897E-2</v>
      </c>
      <c r="CC22">
        <v>0</v>
      </c>
      <c r="CD22">
        <v>0.101038565015121</v>
      </c>
      <c r="CE22">
        <v>0</v>
      </c>
      <c r="CF22">
        <v>0</v>
      </c>
      <c r="CG22">
        <v>6.6591948072231399E-2</v>
      </c>
      <c r="CH22">
        <v>5.9861732831870101E-2</v>
      </c>
      <c r="CI22">
        <v>0</v>
      </c>
      <c r="CJ22">
        <v>0</v>
      </c>
      <c r="CK22">
        <v>0</v>
      </c>
      <c r="CL22">
        <v>0</v>
      </c>
      <c r="CM22">
        <v>6.7747631269158406E-2</v>
      </c>
      <c r="CN22">
        <v>8.7320414667974203E-2</v>
      </c>
      <c r="CO22">
        <v>0.102997247221114</v>
      </c>
      <c r="CP22">
        <v>0</v>
      </c>
      <c r="CQ22">
        <v>7.9773029646545604E-2</v>
      </c>
      <c r="CR22">
        <v>9.2398007534013296E-2</v>
      </c>
      <c r="CS22">
        <v>0</v>
      </c>
      <c r="CT22">
        <v>0</v>
      </c>
    </row>
    <row r="23" spans="1:9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4.2888014541755601E-2</v>
      </c>
      <c r="BH23">
        <v>0</v>
      </c>
      <c r="BI23">
        <v>0.236786054688056</v>
      </c>
      <c r="BJ23">
        <v>0.39815148073879503</v>
      </c>
      <c r="BK23">
        <v>0.296403213647214</v>
      </c>
      <c r="BL23">
        <v>0.15315759614240901</v>
      </c>
      <c r="BM23">
        <v>0.421513191074465</v>
      </c>
      <c r="BN23">
        <v>0.51831407812085195</v>
      </c>
      <c r="BO23">
        <v>0.82169133534650496</v>
      </c>
      <c r="BP23">
        <v>0.94635221274369696</v>
      </c>
      <c r="BQ23">
        <v>0.67348929127663903</v>
      </c>
      <c r="BR23">
        <v>1.22437860814455</v>
      </c>
      <c r="BS23">
        <v>0.78596976133228702</v>
      </c>
      <c r="BT23">
        <v>0.78561296047323703</v>
      </c>
      <c r="BU23">
        <v>1.70441868397497</v>
      </c>
      <c r="BV23">
        <v>4.3184013079436498</v>
      </c>
      <c r="BW23">
        <v>0.74325788696716499</v>
      </c>
      <c r="BX23">
        <v>0.55016303446307002</v>
      </c>
      <c r="BY23">
        <v>0.55749859640267097</v>
      </c>
      <c r="BZ23">
        <v>0.46425501465299901</v>
      </c>
      <c r="CA23">
        <v>0.43154085574220302</v>
      </c>
      <c r="CB23">
        <v>0.42468404729526898</v>
      </c>
      <c r="CC23">
        <v>0.40912841198420302</v>
      </c>
      <c r="CD23">
        <v>0.41051676038384399</v>
      </c>
      <c r="CE23">
        <v>0.35656219578467802</v>
      </c>
      <c r="CF23">
        <v>0.30874074792219403</v>
      </c>
      <c r="CG23">
        <v>0.37090270211260601</v>
      </c>
      <c r="CH23">
        <v>0.29870311858187898</v>
      </c>
      <c r="CI23">
        <v>0.38170390680507499</v>
      </c>
      <c r="CJ23">
        <v>0.359158916485946</v>
      </c>
      <c r="CK23">
        <v>0.28218499264471802</v>
      </c>
      <c r="CL23">
        <v>0.30118677756658002</v>
      </c>
      <c r="CM23">
        <v>0.33208501182202199</v>
      </c>
      <c r="CN23">
        <v>0.43669826399386902</v>
      </c>
      <c r="CO23">
        <v>0.60655937124887005</v>
      </c>
      <c r="CP23">
        <v>0.374279666444648</v>
      </c>
      <c r="CQ23">
        <v>0.395797086566057</v>
      </c>
      <c r="CR23">
        <v>0.37641065511684701</v>
      </c>
      <c r="CS23">
        <v>0.20623180041047301</v>
      </c>
      <c r="CT23">
        <v>0.20316929832163799</v>
      </c>
    </row>
    <row r="24" spans="1:98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4.2888014541755601E-2</v>
      </c>
      <c r="BH24">
        <v>0</v>
      </c>
      <c r="BI24">
        <v>0.143743204582575</v>
      </c>
      <c r="BJ24">
        <v>0.24172447598119801</v>
      </c>
      <c r="BK24">
        <v>0.205710926359263</v>
      </c>
      <c r="BL24">
        <v>0.108124005615592</v>
      </c>
      <c r="BM24">
        <v>0.26388650840083899</v>
      </c>
      <c r="BN24">
        <v>0.315199184944851</v>
      </c>
      <c r="BO24">
        <v>0.63269845560162297</v>
      </c>
      <c r="BP24">
        <v>0.59353565024931798</v>
      </c>
      <c r="BQ24">
        <v>0.476221144424121</v>
      </c>
      <c r="BR24">
        <v>0.74835976630781098</v>
      </c>
      <c r="BS24">
        <v>0.57972771280426305</v>
      </c>
      <c r="BT24">
        <v>0.53976107155460096</v>
      </c>
      <c r="BU24">
        <v>1.02334952246577</v>
      </c>
      <c r="BV24">
        <v>2.29695270540982</v>
      </c>
      <c r="BW24">
        <v>0.52197753218424303</v>
      </c>
      <c r="BX24">
        <v>0.38901988659504899</v>
      </c>
      <c r="BY24">
        <v>0.40186825930181502</v>
      </c>
      <c r="BZ24">
        <v>0.34907224354934702</v>
      </c>
      <c r="CA24">
        <v>0.30656947801402501</v>
      </c>
      <c r="CB24">
        <v>0.29024217330792401</v>
      </c>
      <c r="CC24">
        <v>0.23833124283696999</v>
      </c>
      <c r="CD24">
        <v>0.29244716034208701</v>
      </c>
      <c r="CE24">
        <v>0.25789425507868002</v>
      </c>
      <c r="CF24">
        <v>0.20783904857744101</v>
      </c>
      <c r="CG24">
        <v>0.234325069173631</v>
      </c>
      <c r="CH24">
        <v>0.23095384511870901</v>
      </c>
      <c r="CI24">
        <v>0.237000236464502</v>
      </c>
      <c r="CJ24">
        <v>0.24592276946741601</v>
      </c>
      <c r="CK24">
        <v>0.208476186765961</v>
      </c>
      <c r="CL24">
        <v>0.21252954997812701</v>
      </c>
      <c r="CM24">
        <v>0.219381362884953</v>
      </c>
      <c r="CN24">
        <v>0.23116210456761799</v>
      </c>
      <c r="CO24">
        <v>0.370972842910335</v>
      </c>
      <c r="CP24">
        <v>0.22919275499993499</v>
      </c>
      <c r="CQ24">
        <v>0.263513430001594</v>
      </c>
      <c r="CR24">
        <v>0.21952199716756199</v>
      </c>
      <c r="CS24">
        <v>0.15583100779505901</v>
      </c>
      <c r="CT24">
        <v>0.147516673076594</v>
      </c>
    </row>
    <row r="25" spans="1:9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4.2888014541755601E-2</v>
      </c>
      <c r="BH25">
        <v>0</v>
      </c>
      <c r="BI25">
        <v>0.13879107460687601</v>
      </c>
      <c r="BJ25">
        <v>0.230586237231412</v>
      </c>
      <c r="BK25">
        <v>0.19654859886416601</v>
      </c>
      <c r="BL25">
        <v>0.101515236904595</v>
      </c>
      <c r="BM25">
        <v>0.26237933297131599</v>
      </c>
      <c r="BN25">
        <v>0.30644487307693602</v>
      </c>
      <c r="BO25">
        <v>0.624177920215371</v>
      </c>
      <c r="BP25">
        <v>0.58304519436285296</v>
      </c>
      <c r="BQ25">
        <v>0.466724829844816</v>
      </c>
      <c r="BR25">
        <v>0.73588529376227596</v>
      </c>
      <c r="BS25">
        <v>0.57036988235637698</v>
      </c>
      <c r="BT25">
        <v>0.53266646963590003</v>
      </c>
      <c r="BU25">
        <v>0.98309005598555199</v>
      </c>
      <c r="BV25">
        <v>2.1140429799258902</v>
      </c>
      <c r="BW25">
        <v>0.51254080416131098</v>
      </c>
      <c r="BX25">
        <v>0.380076673272013</v>
      </c>
      <c r="BY25">
        <v>0.39817976959546603</v>
      </c>
      <c r="BZ25">
        <v>0.34828712545079799</v>
      </c>
      <c r="CA25">
        <v>0.30850725518918498</v>
      </c>
      <c r="CB25">
        <v>0.28463797347478398</v>
      </c>
      <c r="CC25">
        <v>0.231936132327</v>
      </c>
      <c r="CD25">
        <v>0.294146453596969</v>
      </c>
      <c r="CE25">
        <v>0.25156098674128902</v>
      </c>
      <c r="CF25">
        <v>0.20604155608614499</v>
      </c>
      <c r="CG25">
        <v>0.241395275078438</v>
      </c>
      <c r="CH25">
        <v>0.23069440300487701</v>
      </c>
      <c r="CI25">
        <v>0.22341977781098299</v>
      </c>
      <c r="CJ25">
        <v>0.23709758332181999</v>
      </c>
      <c r="CK25">
        <v>0.205745485313023</v>
      </c>
      <c r="CL25">
        <v>0.214854337804362</v>
      </c>
      <c r="CM25">
        <v>0.21400731019400801</v>
      </c>
      <c r="CN25">
        <v>0.22186885793899</v>
      </c>
      <c r="CO25">
        <v>0.36264657161177399</v>
      </c>
      <c r="CP25">
        <v>0.228455846246577</v>
      </c>
      <c r="CQ25">
        <v>0.25845174602258802</v>
      </c>
      <c r="CR25">
        <v>0.21419957563157299</v>
      </c>
      <c r="CS25">
        <v>0.159578859534203</v>
      </c>
      <c r="CT25">
        <v>0.15343601405476701</v>
      </c>
    </row>
    <row r="26" spans="1:98" x14ac:dyDescent="0.25">
      <c r="A26" t="s">
        <v>24</v>
      </c>
      <c r="B26">
        <v>0</v>
      </c>
      <c r="C26">
        <v>0</v>
      </c>
      <c r="D26">
        <v>0</v>
      </c>
      <c r="E26">
        <v>4.64160468679536E-2</v>
      </c>
      <c r="F26">
        <v>0</v>
      </c>
      <c r="G26">
        <v>0</v>
      </c>
      <c r="H26">
        <v>0</v>
      </c>
      <c r="I26">
        <v>0</v>
      </c>
      <c r="J26">
        <v>6.6214649402742895E-2</v>
      </c>
      <c r="K26">
        <v>0</v>
      </c>
      <c r="L26">
        <v>0</v>
      </c>
      <c r="M26">
        <v>4.8729222873823197E-2</v>
      </c>
      <c r="N26">
        <v>7.9016122219447094E-2</v>
      </c>
      <c r="O26">
        <v>0</v>
      </c>
      <c r="P26">
        <v>0</v>
      </c>
      <c r="Q26">
        <v>0</v>
      </c>
      <c r="R26">
        <v>0</v>
      </c>
      <c r="S26">
        <v>0</v>
      </c>
      <c r="T26">
        <v>5.0023252676885101E-2</v>
      </c>
      <c r="U26">
        <v>0</v>
      </c>
      <c r="V26">
        <v>6.3116496080080797E-2</v>
      </c>
      <c r="W26">
        <v>3.2095200239201697E-2</v>
      </c>
      <c r="X26">
        <v>0.100067430474925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7.3126875140121395E-2</v>
      </c>
      <c r="AK26">
        <v>3.3531936598549097E-2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3.7690862273595298E-2</v>
      </c>
      <c r="AT26">
        <v>0</v>
      </c>
      <c r="AU26">
        <v>4.1619484097734E-2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6.5903606213301297E-2</v>
      </c>
      <c r="BG26">
        <v>0.20983910267082401</v>
      </c>
      <c r="BH26">
        <v>0.20605132725910499</v>
      </c>
      <c r="BI26">
        <v>0.94714421875222499</v>
      </c>
      <c r="BJ26">
        <v>1.5926059229551801</v>
      </c>
      <c r="BK26">
        <v>1.18561285458885</v>
      </c>
      <c r="BL26">
        <v>0.61263038456963803</v>
      </c>
      <c r="BM26">
        <v>1.68605276429786</v>
      </c>
      <c r="BN26">
        <v>2.0732563124833998</v>
      </c>
      <c r="BO26">
        <v>3.2867653413860198</v>
      </c>
      <c r="BP26">
        <v>3.7854088509747799</v>
      </c>
      <c r="BQ26">
        <v>2.6939571651065499</v>
      </c>
      <c r="BR26">
        <v>4.8975144325782001</v>
      </c>
      <c r="BS26">
        <v>3.1438790453291499</v>
      </c>
      <c r="BT26">
        <v>3.1424518418929401</v>
      </c>
      <c r="BU26">
        <v>6.8176747358998799</v>
      </c>
      <c r="BV26">
        <v>17.273605231774599</v>
      </c>
      <c r="BW26">
        <v>2.97303154786866</v>
      </c>
      <c r="BX26">
        <v>2.2006521378522801</v>
      </c>
      <c r="BY26">
        <v>2.2299943856106799</v>
      </c>
      <c r="BZ26">
        <v>1.85702005861199</v>
      </c>
      <c r="CA26">
        <v>1.7261634229688101</v>
      </c>
      <c r="CB26">
        <v>1.6987361891810699</v>
      </c>
      <c r="CC26">
        <v>1.6365136479368101</v>
      </c>
      <c r="CD26">
        <v>1.64206704153537</v>
      </c>
      <c r="CE26">
        <v>1.4262487831387101</v>
      </c>
      <c r="CF26">
        <v>1.2349629916887701</v>
      </c>
      <c r="CG26">
        <v>1.48361080845042</v>
      </c>
      <c r="CH26">
        <v>1.1948124743275099</v>
      </c>
      <c r="CI26">
        <v>1.5268156272203</v>
      </c>
      <c r="CJ26">
        <v>1.43663566594378</v>
      </c>
      <c r="CK26">
        <v>1.1287399705788701</v>
      </c>
      <c r="CL26">
        <v>1.2047471102663201</v>
      </c>
      <c r="CM26">
        <v>1.32834004728809</v>
      </c>
      <c r="CN26">
        <v>1.7467930559754701</v>
      </c>
      <c r="CO26">
        <v>2.4262374849954802</v>
      </c>
      <c r="CP26">
        <v>1.49711866577859</v>
      </c>
      <c r="CQ26">
        <v>1.58318834626423</v>
      </c>
      <c r="CR26">
        <v>1.5056426204673901</v>
      </c>
      <c r="CS26">
        <v>0.82492720164189504</v>
      </c>
      <c r="CT26">
        <v>0.81267719328655197</v>
      </c>
    </row>
    <row r="27" spans="1:98" x14ac:dyDescent="0.25">
      <c r="A27" t="s">
        <v>25</v>
      </c>
      <c r="B27">
        <v>0</v>
      </c>
      <c r="C27">
        <v>0</v>
      </c>
      <c r="D27">
        <v>0</v>
      </c>
      <c r="E27">
        <v>4.2239319037236003E-2</v>
      </c>
      <c r="F27">
        <v>0</v>
      </c>
      <c r="G27">
        <v>0</v>
      </c>
      <c r="H27">
        <v>0</v>
      </c>
      <c r="I27">
        <v>0</v>
      </c>
      <c r="J27">
        <v>6.6214649402742895E-2</v>
      </c>
      <c r="K27">
        <v>0</v>
      </c>
      <c r="L27">
        <v>0</v>
      </c>
      <c r="M27">
        <v>4.8729222873823197E-2</v>
      </c>
      <c r="N27">
        <v>7.9016122219447094E-2</v>
      </c>
      <c r="O27">
        <v>0</v>
      </c>
      <c r="P27">
        <v>0</v>
      </c>
      <c r="Q27">
        <v>0</v>
      </c>
      <c r="R27">
        <v>0</v>
      </c>
      <c r="S27">
        <v>0</v>
      </c>
      <c r="T27">
        <v>5.0023252676885101E-2</v>
      </c>
      <c r="U27">
        <v>0</v>
      </c>
      <c r="V27">
        <v>6.3116496080080797E-2</v>
      </c>
      <c r="W27">
        <v>3.2095200239201697E-2</v>
      </c>
      <c r="X27">
        <v>6.7100643046947003E-2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7.3126875140121395E-2</v>
      </c>
      <c r="AK27">
        <v>3.3531936598549097E-2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3.2878207367130603E-2</v>
      </c>
      <c r="AT27">
        <v>0</v>
      </c>
      <c r="AU27">
        <v>4.1619484097734E-2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5.3128036138167703E-2</v>
      </c>
      <c r="BG27">
        <v>0.13742880165396601</v>
      </c>
      <c r="BH27">
        <v>0.14711973202495399</v>
      </c>
      <c r="BI27">
        <v>0.42487520799721301</v>
      </c>
      <c r="BJ27">
        <v>0.91555857837060495</v>
      </c>
      <c r="BK27">
        <v>0.73794677746317106</v>
      </c>
      <c r="BL27">
        <v>0.37464642253014002</v>
      </c>
      <c r="BM27">
        <v>0.99576272435516799</v>
      </c>
      <c r="BN27">
        <v>1.21848626868473</v>
      </c>
      <c r="BO27">
        <v>2.5307938224064901</v>
      </c>
      <c r="BP27">
        <v>2.3741426009972701</v>
      </c>
      <c r="BQ27">
        <v>1.90488457769648</v>
      </c>
      <c r="BR27">
        <v>2.9934390652312399</v>
      </c>
      <c r="BS27">
        <v>2.31891085121705</v>
      </c>
      <c r="BT27">
        <v>2.1590442862183998</v>
      </c>
      <c r="BU27">
        <v>4.09339808986309</v>
      </c>
      <c r="BV27">
        <v>9.1878108216393102</v>
      </c>
      <c r="BW27">
        <v>2.0879101287369699</v>
      </c>
      <c r="BX27">
        <v>1.5179935627280201</v>
      </c>
      <c r="BY27">
        <v>1.5839063410274099</v>
      </c>
      <c r="BZ27">
        <v>1.34687555057093</v>
      </c>
      <c r="CA27">
        <v>1.20422643313953</v>
      </c>
      <c r="CB27">
        <v>1.1036515346707101</v>
      </c>
      <c r="CC27">
        <v>0.89191306717474605</v>
      </c>
      <c r="CD27">
        <v>1.13077508808008</v>
      </c>
      <c r="CE27">
        <v>0.99265246644489002</v>
      </c>
      <c r="CF27">
        <v>0.765385397109836</v>
      </c>
      <c r="CG27">
        <v>0.84534863404222904</v>
      </c>
      <c r="CH27">
        <v>0.86074681592244595</v>
      </c>
      <c r="CI27">
        <v>0.88884194022726604</v>
      </c>
      <c r="CJ27">
        <v>0.89586632553951195</v>
      </c>
      <c r="CK27">
        <v>0.76728821818380499</v>
      </c>
      <c r="CL27">
        <v>0.79535472667669804</v>
      </c>
      <c r="CM27">
        <v>0.82634568609847603</v>
      </c>
      <c r="CN27">
        <v>0.87308548447637901</v>
      </c>
      <c r="CO27">
        <v>1.4654038327105301</v>
      </c>
      <c r="CP27">
        <v>0.82958682033986697</v>
      </c>
      <c r="CQ27">
        <v>1.00194123447234</v>
      </c>
      <c r="CR27">
        <v>0.81671358649141701</v>
      </c>
      <c r="CS27">
        <v>0.51331793904992196</v>
      </c>
      <c r="CT27">
        <v>0.51434078668009497</v>
      </c>
    </row>
    <row r="28" spans="1:98" x14ac:dyDescent="0.25">
      <c r="A28" t="s">
        <v>26</v>
      </c>
      <c r="B28">
        <v>0</v>
      </c>
      <c r="C28">
        <v>0</v>
      </c>
      <c r="D28">
        <v>0</v>
      </c>
      <c r="E28">
        <v>4.2239319037236003E-2</v>
      </c>
      <c r="F28">
        <v>0</v>
      </c>
      <c r="G28">
        <v>0</v>
      </c>
      <c r="H28">
        <v>0</v>
      </c>
      <c r="I28">
        <v>0</v>
      </c>
      <c r="J28">
        <v>6.6214649402742895E-2</v>
      </c>
      <c r="K28">
        <v>0</v>
      </c>
      <c r="L28">
        <v>0</v>
      </c>
      <c r="M28">
        <v>4.8729222873823197E-2</v>
      </c>
      <c r="N28">
        <v>7.9016122219447094E-2</v>
      </c>
      <c r="O28">
        <v>0</v>
      </c>
      <c r="P28">
        <v>0</v>
      </c>
      <c r="Q28">
        <v>0</v>
      </c>
      <c r="R28">
        <v>0</v>
      </c>
      <c r="S28">
        <v>0</v>
      </c>
      <c r="T28">
        <v>5.0023252676885101E-2</v>
      </c>
      <c r="U28">
        <v>0</v>
      </c>
      <c r="V28">
        <v>6.3116496080080797E-2</v>
      </c>
      <c r="W28">
        <v>3.2095200239201697E-2</v>
      </c>
      <c r="X28">
        <v>6.15127037759843E-2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7.3126875140121395E-2</v>
      </c>
      <c r="AK28">
        <v>3.3531936598549097E-2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3.2878207367130603E-2</v>
      </c>
      <c r="AT28">
        <v>0</v>
      </c>
      <c r="AU28">
        <v>4.1619484097734E-2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5.09674022475579E-2</v>
      </c>
      <c r="BG28">
        <v>0.138380399658146</v>
      </c>
      <c r="BH28">
        <v>0.14805636291591701</v>
      </c>
      <c r="BI28">
        <v>0.377335295987691</v>
      </c>
      <c r="BJ28">
        <v>0.88351509396376104</v>
      </c>
      <c r="BK28">
        <v>0.73537050518912195</v>
      </c>
      <c r="BL28">
        <v>0.35727446683853897</v>
      </c>
      <c r="BM28">
        <v>0.96910954795252602</v>
      </c>
      <c r="BN28">
        <v>1.1860318285478899</v>
      </c>
      <c r="BO28">
        <v>2.49671168086148</v>
      </c>
      <c r="BP28">
        <v>2.3321807774514101</v>
      </c>
      <c r="BQ28">
        <v>1.86689931937926</v>
      </c>
      <c r="BR28">
        <v>2.9435411750490998</v>
      </c>
      <c r="BS28">
        <v>2.2814795294255101</v>
      </c>
      <c r="BT28">
        <v>2.1306658785436001</v>
      </c>
      <c r="BU28">
        <v>3.9323602239422</v>
      </c>
      <c r="BV28">
        <v>8.4561719197035607</v>
      </c>
      <c r="BW28">
        <v>2.0501632166452399</v>
      </c>
      <c r="BX28">
        <v>1.4487189004383501</v>
      </c>
      <c r="BY28">
        <v>1.5701818109066099</v>
      </c>
      <c r="BZ28">
        <v>1.3454604065601099</v>
      </c>
      <c r="CA28">
        <v>1.18226109298134</v>
      </c>
      <c r="CB28">
        <v>1.08934436724095</v>
      </c>
      <c r="CC28">
        <v>0.85420502238760398</v>
      </c>
      <c r="CD28">
        <v>1.12393352555003</v>
      </c>
      <c r="CE28">
        <v>0.97098911393149601</v>
      </c>
      <c r="CF28">
        <v>0.73362244262902099</v>
      </c>
      <c r="CG28">
        <v>0.83002321175155402</v>
      </c>
      <c r="CH28">
        <v>0.85341737382764105</v>
      </c>
      <c r="CI28">
        <v>0.84760538842307398</v>
      </c>
      <c r="CJ28">
        <v>0.88773464488044496</v>
      </c>
      <c r="CK28">
        <v>0.75317375913982798</v>
      </c>
      <c r="CL28">
        <v>0.77336796794750295</v>
      </c>
      <c r="CM28">
        <v>0.81442208562345597</v>
      </c>
      <c r="CN28">
        <v>0.86748016987827303</v>
      </c>
      <c r="CO28">
        <v>1.44207029682323</v>
      </c>
      <c r="CP28">
        <v>0.807645321316247</v>
      </c>
      <c r="CQ28">
        <v>0.95888658629280499</v>
      </c>
      <c r="CR28">
        <v>0.78081977835189498</v>
      </c>
      <c r="CS28">
        <v>0.49161242023752799</v>
      </c>
      <c r="CT28">
        <v>0.50155377809023804</v>
      </c>
    </row>
    <row r="29" spans="1:98" x14ac:dyDescent="0.25">
      <c r="A29" t="s">
        <v>32</v>
      </c>
      <c r="B29">
        <v>0.44939223900000003</v>
      </c>
      <c r="C29">
        <v>0.44939223900000003</v>
      </c>
      <c r="D29">
        <v>0.44894941300000002</v>
      </c>
      <c r="E29">
        <v>0.59425534599999996</v>
      </c>
      <c r="F29">
        <v>0.399936554</v>
      </c>
      <c r="G29">
        <v>0.50323377899999999</v>
      </c>
      <c r="H29">
        <v>0.53251963199999997</v>
      </c>
      <c r="I29">
        <v>0.50323377899999999</v>
      </c>
      <c r="J29">
        <v>0.50323377899999999</v>
      </c>
      <c r="K29">
        <v>0.50323377899999999</v>
      </c>
      <c r="L29">
        <v>0.53201108200000002</v>
      </c>
      <c r="M29">
        <v>0.50323377899999999</v>
      </c>
      <c r="N29">
        <v>0.50323377899999999</v>
      </c>
      <c r="O29">
        <v>0.44894941300000002</v>
      </c>
      <c r="P29">
        <v>0.59425534599999996</v>
      </c>
      <c r="Q29">
        <v>0.44894941300000002</v>
      </c>
      <c r="R29">
        <v>0.53201108200000002</v>
      </c>
      <c r="S29">
        <v>0.53201108200000002</v>
      </c>
      <c r="T29">
        <v>0.59425534599999996</v>
      </c>
      <c r="U29">
        <v>0.50323377899999999</v>
      </c>
      <c r="V29">
        <v>0.59425534599999996</v>
      </c>
      <c r="W29">
        <v>0.44894941300000002</v>
      </c>
      <c r="X29">
        <v>0.66228851600000005</v>
      </c>
      <c r="Y29">
        <v>0.44894941300000002</v>
      </c>
      <c r="Z29">
        <v>0.59425534599999996</v>
      </c>
      <c r="AA29">
        <v>0.44894941300000002</v>
      </c>
      <c r="AB29">
        <v>0.44939223900000003</v>
      </c>
      <c r="AC29">
        <v>0.44939223900000003</v>
      </c>
      <c r="AD29">
        <v>0.44939223900000003</v>
      </c>
      <c r="AE29">
        <v>0.44894941300000002</v>
      </c>
      <c r="AF29">
        <v>0.53201108200000002</v>
      </c>
      <c r="AG29">
        <v>0.44894941300000002</v>
      </c>
      <c r="AH29">
        <v>0.39953381599999999</v>
      </c>
      <c r="AI29">
        <v>0.47522856800000002</v>
      </c>
      <c r="AJ29">
        <v>0.62723254799999995</v>
      </c>
      <c r="AK29">
        <v>0.39953381599999999</v>
      </c>
      <c r="AL29">
        <v>0.39953381599999999</v>
      </c>
      <c r="AM29">
        <v>0.44894941300000002</v>
      </c>
      <c r="AN29">
        <v>0.29572637699999998</v>
      </c>
      <c r="AO29">
        <v>0.376777213</v>
      </c>
      <c r="AP29">
        <v>0.376777213</v>
      </c>
      <c r="AQ29">
        <v>0.33439968599999997</v>
      </c>
      <c r="AR29">
        <v>0.399936554</v>
      </c>
      <c r="AS29">
        <v>0.44894941300000002</v>
      </c>
      <c r="AT29">
        <v>0.376777213</v>
      </c>
      <c r="AU29">
        <v>0.44894941300000002</v>
      </c>
      <c r="AV29">
        <v>0.44894941300000002</v>
      </c>
      <c r="AW29">
        <v>0.44894941300000002</v>
      </c>
      <c r="AX29">
        <v>0.44894941300000002</v>
      </c>
      <c r="AY29">
        <v>0.44894941300000002</v>
      </c>
      <c r="AZ29">
        <v>0.376777213</v>
      </c>
      <c r="BA29">
        <v>0.44894941300000002</v>
      </c>
      <c r="BB29">
        <v>0.47522856800000002</v>
      </c>
      <c r="BC29">
        <v>0.47522856800000002</v>
      </c>
      <c r="BD29">
        <v>0.47522856800000002</v>
      </c>
      <c r="BE29">
        <v>0.44894941300000002</v>
      </c>
      <c r="BF29">
        <v>0.44894941300000002</v>
      </c>
      <c r="BG29">
        <v>0.53201108200000002</v>
      </c>
      <c r="BH29">
        <v>0.81307424100000003</v>
      </c>
      <c r="BI29">
        <v>1.200201638</v>
      </c>
      <c r="BJ29">
        <v>1.9748874890000001</v>
      </c>
      <c r="BK29">
        <v>1.5125919880000001</v>
      </c>
      <c r="BL29">
        <v>1.0404225359999999</v>
      </c>
      <c r="BM29">
        <v>1.8086265969999999</v>
      </c>
      <c r="BN29">
        <v>1.9734137430000001</v>
      </c>
      <c r="BO29">
        <v>2.8809824239999999</v>
      </c>
      <c r="BP29">
        <v>2.8809824239999999</v>
      </c>
      <c r="BQ29">
        <v>2.5469425430000001</v>
      </c>
      <c r="BR29">
        <v>3.3680623299999999</v>
      </c>
      <c r="BS29">
        <v>2.8809824239999999</v>
      </c>
      <c r="BT29">
        <v>2.7664001109999998</v>
      </c>
      <c r="BU29">
        <v>3.8698277910000001</v>
      </c>
      <c r="BV29">
        <v>6.6940258559999997</v>
      </c>
      <c r="BW29">
        <v>2.6558198119999998</v>
      </c>
      <c r="BX29">
        <v>2.247064306</v>
      </c>
      <c r="BY29">
        <v>2.3436582540000002</v>
      </c>
      <c r="BZ29">
        <v>2.247064306</v>
      </c>
      <c r="CA29">
        <v>2.247064306</v>
      </c>
      <c r="CB29">
        <v>2.0619739560000001</v>
      </c>
      <c r="CC29">
        <v>1.8086265969999999</v>
      </c>
      <c r="CD29">
        <v>2.0619739560000001</v>
      </c>
      <c r="CE29">
        <v>1.88950475</v>
      </c>
      <c r="CF29">
        <v>1.5821856839999999</v>
      </c>
      <c r="CG29">
        <v>1.5821856839999999</v>
      </c>
      <c r="CH29">
        <v>1.5821856839999999</v>
      </c>
      <c r="CI29">
        <v>1.5821856839999999</v>
      </c>
      <c r="CJ29">
        <v>1.5821856839999999</v>
      </c>
      <c r="CK29">
        <v>1.3790541089999999</v>
      </c>
      <c r="CL29">
        <v>1.4444654269999999</v>
      </c>
      <c r="CM29">
        <v>1.3790541089999999</v>
      </c>
      <c r="CN29">
        <v>1.4444654269999999</v>
      </c>
      <c r="CO29">
        <v>2.060445487</v>
      </c>
      <c r="CP29">
        <v>1.3790541089999999</v>
      </c>
      <c r="CQ29">
        <v>1.5809633519999999</v>
      </c>
      <c r="CR29">
        <v>1.4444654269999999</v>
      </c>
      <c r="CS29">
        <v>1.091323134</v>
      </c>
      <c r="CT29">
        <v>1.091323134</v>
      </c>
    </row>
    <row r="30" spans="1:98" x14ac:dyDescent="0.25">
      <c r="A30" t="s">
        <v>33</v>
      </c>
      <c r="B30">
        <v>1.48982404503143E-2</v>
      </c>
      <c r="C30">
        <v>1.48982404503143E-2</v>
      </c>
      <c r="D30">
        <v>1.48742760453127E-2</v>
      </c>
      <c r="E30">
        <v>2.3511663649068398E-2</v>
      </c>
      <c r="F30">
        <v>1.2315554121040901E-2</v>
      </c>
      <c r="G30">
        <v>1.79218389911922E-2</v>
      </c>
      <c r="H30">
        <v>1.96560445883385E-2</v>
      </c>
      <c r="I30">
        <v>1.79218389911922E-2</v>
      </c>
      <c r="J30">
        <v>1.79218389911922E-2</v>
      </c>
      <c r="K30">
        <v>1.79218389911922E-2</v>
      </c>
      <c r="L30">
        <v>1.9625402209926E-2</v>
      </c>
      <c r="M30">
        <v>1.79218389911922E-2</v>
      </c>
      <c r="N30">
        <v>1.79218389911922E-2</v>
      </c>
      <c r="O30">
        <v>1.48742760453127E-2</v>
      </c>
      <c r="P30">
        <v>2.3511663649068398E-2</v>
      </c>
      <c r="Q30">
        <v>1.48742760453127E-2</v>
      </c>
      <c r="R30">
        <v>1.9625402209926E-2</v>
      </c>
      <c r="S30">
        <v>1.9625402209926E-2</v>
      </c>
      <c r="T30">
        <v>2.3511663649068398E-2</v>
      </c>
      <c r="U30">
        <v>1.79218389911922E-2</v>
      </c>
      <c r="V30">
        <v>2.3511663649068398E-2</v>
      </c>
      <c r="W30">
        <v>1.48742760453127E-2</v>
      </c>
      <c r="X30">
        <v>2.8064073065300201E-2</v>
      </c>
      <c r="Y30">
        <v>1.48742760453127E-2</v>
      </c>
      <c r="Z30">
        <v>2.3511663649068398E-2</v>
      </c>
      <c r="AA30">
        <v>1.48742760453127E-2</v>
      </c>
      <c r="AB30">
        <v>1.48982404503143E-2</v>
      </c>
      <c r="AC30">
        <v>1.48982404503143E-2</v>
      </c>
      <c r="AD30">
        <v>1.48982404503143E-2</v>
      </c>
      <c r="AE30">
        <v>1.48742760453127E-2</v>
      </c>
      <c r="AF30">
        <v>1.9625402209926E-2</v>
      </c>
      <c r="AG30">
        <v>1.48742760453127E-2</v>
      </c>
      <c r="AH30">
        <v>1.2295309641289699E-2</v>
      </c>
      <c r="AI30">
        <v>1.6322130548128502E-2</v>
      </c>
      <c r="AJ30">
        <v>2.5679338272946901E-2</v>
      </c>
      <c r="AK30">
        <v>1.2295309641289699E-2</v>
      </c>
      <c r="AL30">
        <v>1.2295309641289699E-2</v>
      </c>
      <c r="AM30">
        <v>1.48742760453127E-2</v>
      </c>
      <c r="AN30">
        <v>7.52279232592192E-3</v>
      </c>
      <c r="AO30">
        <v>1.11725236012079E-2</v>
      </c>
      <c r="AP30">
        <v>1.11725236012079E-2</v>
      </c>
      <c r="AQ30">
        <v>9.1946756527296804E-3</v>
      </c>
      <c r="AR30">
        <v>1.2315554121040901E-2</v>
      </c>
      <c r="AS30">
        <v>1.48742760453127E-2</v>
      </c>
      <c r="AT30">
        <v>1.11725236012079E-2</v>
      </c>
      <c r="AU30">
        <v>1.48742760453127E-2</v>
      </c>
      <c r="AV30">
        <v>1.48742760453127E-2</v>
      </c>
      <c r="AW30">
        <v>1.48742760453127E-2</v>
      </c>
      <c r="AX30">
        <v>1.48742760453127E-2</v>
      </c>
      <c r="AY30">
        <v>1.48742760453127E-2</v>
      </c>
      <c r="AZ30">
        <v>1.11725236012079E-2</v>
      </c>
      <c r="BA30">
        <v>1.48742760453127E-2</v>
      </c>
      <c r="BB30">
        <v>1.6322130548128502E-2</v>
      </c>
      <c r="BC30">
        <v>1.6322130548128502E-2</v>
      </c>
      <c r="BD30">
        <v>1.6322130548128502E-2</v>
      </c>
      <c r="BE30">
        <v>1.48742760453127E-2</v>
      </c>
      <c r="BF30">
        <v>1.48742760453127E-2</v>
      </c>
      <c r="BG30">
        <v>1.9625402209926E-2</v>
      </c>
      <c r="BH30">
        <v>3.9229637674315899E-2</v>
      </c>
      <c r="BI30">
        <v>7.4092951860092501E-2</v>
      </c>
      <c r="BJ30">
        <v>0.16709128801182399</v>
      </c>
      <c r="BK30">
        <v>0.10810117378452699</v>
      </c>
      <c r="BL30">
        <v>5.8676539266062901E-2</v>
      </c>
      <c r="BM30">
        <v>0.14473972053165499</v>
      </c>
      <c r="BN30">
        <v>0.16688772864229401</v>
      </c>
      <c r="BO30">
        <v>0.309561220010104</v>
      </c>
      <c r="BP30">
        <v>0.309561220010104</v>
      </c>
      <c r="BQ30">
        <v>0.253134509402615</v>
      </c>
      <c r="BR30">
        <v>0.399504510996402</v>
      </c>
      <c r="BS30">
        <v>0.309561220010104</v>
      </c>
      <c r="BT30">
        <v>0.28971146492876698</v>
      </c>
      <c r="BU30">
        <v>0.50119227337183203</v>
      </c>
      <c r="BV30">
        <v>1.22638723451419</v>
      </c>
      <c r="BW30">
        <v>0.27104200031735498</v>
      </c>
      <c r="BX30">
        <v>0.20630779686473599</v>
      </c>
      <c r="BY30">
        <v>0.220985137712782</v>
      </c>
      <c r="BZ30">
        <v>0.20630779686473599</v>
      </c>
      <c r="CA30">
        <v>0.20630779686473599</v>
      </c>
      <c r="CB30">
        <v>0.179289842988858</v>
      </c>
      <c r="CC30">
        <v>0.14473972053165499</v>
      </c>
      <c r="CD30">
        <v>0.179289842988858</v>
      </c>
      <c r="CE30">
        <v>0.15545737108068899</v>
      </c>
      <c r="CF30">
        <v>0.116340300325131</v>
      </c>
      <c r="CG30">
        <v>0.116340300325131</v>
      </c>
      <c r="CH30">
        <v>0.116340300325131</v>
      </c>
      <c r="CI30">
        <v>0.116340300325131</v>
      </c>
      <c r="CJ30">
        <v>0.116340300325131</v>
      </c>
      <c r="CK30">
        <v>9.2957621961315906E-2</v>
      </c>
      <c r="CL30">
        <v>0.10026480124802099</v>
      </c>
      <c r="CM30">
        <v>9.2957621961315906E-2</v>
      </c>
      <c r="CN30">
        <v>0.10026480124802099</v>
      </c>
      <c r="CO30">
        <v>0.17907287940792299</v>
      </c>
      <c r="CP30">
        <v>9.2957621961315906E-2</v>
      </c>
      <c r="CQ30">
        <v>0.116193571546406</v>
      </c>
      <c r="CR30">
        <v>0.10026480124802099</v>
      </c>
      <c r="CS30">
        <v>6.3436137754720401E-2</v>
      </c>
      <c r="CT30">
        <v>6.3436137754720401E-2</v>
      </c>
    </row>
    <row r="31" spans="1:98" x14ac:dyDescent="0.25">
      <c r="A31" t="s">
        <v>34</v>
      </c>
      <c r="B31" s="1">
        <v>45183</v>
      </c>
      <c r="C31" s="1">
        <v>45183.010416666664</v>
      </c>
      <c r="D31" s="1">
        <v>45183.020833333336</v>
      </c>
      <c r="E31" s="1">
        <v>45183.03125</v>
      </c>
      <c r="F31" s="1">
        <v>45183.041666666664</v>
      </c>
      <c r="G31" s="1">
        <v>45183.052083333336</v>
      </c>
      <c r="H31" s="1">
        <v>45183.0625</v>
      </c>
      <c r="I31" s="1">
        <v>45183.072916666664</v>
      </c>
      <c r="J31" s="1">
        <v>45183.083333333336</v>
      </c>
      <c r="K31" s="1">
        <v>45183.09375</v>
      </c>
      <c r="L31" s="1">
        <v>45183.104166666664</v>
      </c>
      <c r="M31" s="1">
        <v>45183.114583333336</v>
      </c>
      <c r="N31" s="1">
        <v>45183.125</v>
      </c>
      <c r="O31" s="1">
        <v>45183.135416666664</v>
      </c>
      <c r="P31" s="1">
        <v>45183.145833333336</v>
      </c>
      <c r="Q31" s="1">
        <v>45183.15625</v>
      </c>
      <c r="R31" s="1">
        <v>45183.166666666664</v>
      </c>
      <c r="S31" s="1">
        <v>45183.177083333336</v>
      </c>
      <c r="T31" s="1">
        <v>45183.1875</v>
      </c>
      <c r="U31" s="1">
        <v>45183.197916666664</v>
      </c>
      <c r="V31" s="1">
        <v>45183.208333333336</v>
      </c>
      <c r="W31" s="1">
        <v>45183.21875</v>
      </c>
      <c r="X31" s="1">
        <v>45183.229166666664</v>
      </c>
      <c r="Y31" s="1">
        <v>45183.239583333336</v>
      </c>
      <c r="Z31" s="1">
        <v>45183.25</v>
      </c>
      <c r="AA31" s="1">
        <v>45183.260416666664</v>
      </c>
      <c r="AB31" s="1">
        <v>45183.270833333336</v>
      </c>
      <c r="AC31" s="1">
        <v>45183.28125</v>
      </c>
      <c r="AD31" s="1">
        <v>45183.291666666664</v>
      </c>
      <c r="AE31" s="1">
        <v>45183.302083333336</v>
      </c>
      <c r="AF31" s="1">
        <v>45183.3125</v>
      </c>
      <c r="AG31" s="1">
        <v>45183.322916666664</v>
      </c>
      <c r="AH31" s="1">
        <v>45183.333333333336</v>
      </c>
      <c r="AI31" s="1">
        <v>45183.34375</v>
      </c>
      <c r="AJ31" s="1">
        <v>45183.354166666664</v>
      </c>
      <c r="AK31" s="1">
        <v>45183.364583333336</v>
      </c>
      <c r="AL31" s="1">
        <v>45183.375</v>
      </c>
      <c r="AM31" s="1">
        <v>45183.385416666664</v>
      </c>
      <c r="AN31" s="1">
        <v>45183.395833333336</v>
      </c>
      <c r="AO31" s="1">
        <v>45183.40625</v>
      </c>
      <c r="AP31" s="1">
        <v>45183.416666666664</v>
      </c>
      <c r="AQ31" s="1">
        <v>45183.427083333336</v>
      </c>
      <c r="AR31" s="1">
        <v>45183.4375</v>
      </c>
      <c r="AS31" s="1">
        <v>45183.447916666664</v>
      </c>
      <c r="AT31" s="1">
        <v>45183.458333333336</v>
      </c>
      <c r="AU31" s="1">
        <v>45183.46875</v>
      </c>
      <c r="AV31" s="1">
        <v>45183.479166666664</v>
      </c>
      <c r="AW31" s="1">
        <v>45183.489583333336</v>
      </c>
      <c r="AX31" s="1">
        <v>45183.5</v>
      </c>
      <c r="AY31" s="1">
        <v>45183.510416666664</v>
      </c>
      <c r="AZ31" s="1">
        <v>45183.520833333336</v>
      </c>
      <c r="BA31" s="1">
        <v>45183.53125</v>
      </c>
      <c r="BB31" s="1">
        <v>45183.541666666664</v>
      </c>
      <c r="BC31" s="1">
        <v>45183.552083333336</v>
      </c>
      <c r="BD31" s="1">
        <v>45183.5625</v>
      </c>
      <c r="BE31" s="1">
        <v>45183.572916666664</v>
      </c>
      <c r="BF31" s="1">
        <v>45183.583333333336</v>
      </c>
      <c r="BG31" s="1">
        <v>45183.59375</v>
      </c>
      <c r="BH31" s="1">
        <v>45183.604166666664</v>
      </c>
      <c r="BI31" s="1">
        <v>45183.614583333336</v>
      </c>
      <c r="BJ31" s="1">
        <v>45183.625</v>
      </c>
      <c r="BK31" s="1">
        <v>45183.635416666664</v>
      </c>
      <c r="BL31" s="1">
        <v>45183.645833333336</v>
      </c>
      <c r="BM31" s="1">
        <v>45183.65625</v>
      </c>
      <c r="BN31" s="1">
        <v>45183.666666666664</v>
      </c>
      <c r="BO31" s="1">
        <v>45183.677083333336</v>
      </c>
      <c r="BP31" s="1">
        <v>45183.6875</v>
      </c>
      <c r="BQ31" s="1">
        <v>45183.697916666664</v>
      </c>
      <c r="BR31" s="1">
        <v>45183.708333333336</v>
      </c>
      <c r="BS31" s="1">
        <v>45183.71875</v>
      </c>
      <c r="BT31" s="1">
        <v>45183.729166666664</v>
      </c>
      <c r="BU31" s="1">
        <v>45183.739583333336</v>
      </c>
      <c r="BV31" s="1">
        <v>45183.75</v>
      </c>
      <c r="BW31" s="1">
        <v>45183.760416666664</v>
      </c>
      <c r="BX31" s="1">
        <v>45183.770833333336</v>
      </c>
      <c r="BY31" s="1">
        <v>45183.78125</v>
      </c>
      <c r="BZ31" s="1">
        <v>45183.791666666664</v>
      </c>
      <c r="CA31" s="1">
        <v>45183.802083333336</v>
      </c>
      <c r="CB31" s="1">
        <v>45183.8125</v>
      </c>
      <c r="CC31" s="1">
        <v>45183.822916666664</v>
      </c>
      <c r="CD31" s="1">
        <v>45183.833333333336</v>
      </c>
      <c r="CE31" s="1">
        <v>45183.84375</v>
      </c>
      <c r="CF31" s="1">
        <v>45183.854166666664</v>
      </c>
      <c r="CG31" s="1">
        <v>45183.864583333336</v>
      </c>
      <c r="CH31" s="1">
        <v>45183.875</v>
      </c>
      <c r="CI31" s="1">
        <v>45183.885416666664</v>
      </c>
      <c r="CJ31" s="1">
        <v>45183.895833333336</v>
      </c>
      <c r="CK31" s="1">
        <v>45183.90625</v>
      </c>
      <c r="CL31" s="1">
        <v>45183.916666666664</v>
      </c>
      <c r="CM31" s="1">
        <v>45183.927083333336</v>
      </c>
      <c r="CN31" s="1">
        <v>45183.9375</v>
      </c>
      <c r="CO31" s="1">
        <v>45183.947916666664</v>
      </c>
      <c r="CP31" s="1">
        <v>45183.958333333336</v>
      </c>
      <c r="CQ31" s="1">
        <v>45183.96875</v>
      </c>
      <c r="CR31" s="1">
        <v>45183.979166666664</v>
      </c>
      <c r="CS31" s="1">
        <v>45183.989583333336</v>
      </c>
      <c r="CT31" s="1">
        <v>45184</v>
      </c>
    </row>
    <row r="32" spans="1:98" x14ac:dyDescent="0.25">
      <c r="BV32" t="s">
        <v>45</v>
      </c>
    </row>
    <row r="33" spans="1:28" x14ac:dyDescent="0.25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  <c r="V33">
        <v>1</v>
      </c>
      <c r="X33">
        <v>2</v>
      </c>
    </row>
    <row r="34" spans="1:28" x14ac:dyDescent="0.25">
      <c r="A34" s="2" t="str">
        <f>A2</f>
        <v>max_amp</v>
      </c>
      <c r="B34" s="2">
        <f>MAX(B2:CU2)</f>
        <v>1.68687551091549E-2</v>
      </c>
      <c r="C34" s="3">
        <f>_xlfn.XLOOKUP(MAX(B2:CU2), B2:CU2, $B$1:$CU$1)</f>
        <v>45183.75</v>
      </c>
      <c r="E34" s="1">
        <v>45183</v>
      </c>
      <c r="F34" s="4">
        <v>3.2962787975160999E-5</v>
      </c>
      <c r="G34" s="4">
        <v>2.3361738844678E-5</v>
      </c>
      <c r="H34" s="4">
        <v>2.2598790008091899E-5</v>
      </c>
      <c r="U34" t="s">
        <v>0</v>
      </c>
      <c r="V34" s="2">
        <v>0.12148791730821901</v>
      </c>
      <c r="X34">
        <v>1.68687551091549E-2</v>
      </c>
    </row>
    <row r="35" spans="1:28" x14ac:dyDescent="0.25">
      <c r="A35" s="2" t="str">
        <f t="shared" ref="A35:A59" si="0">A3</f>
        <v>mean_amp</v>
      </c>
      <c r="B35" s="2">
        <f t="shared" ref="B35:B60" si="1">MAX(B3:CU3)</f>
        <v>8.9724715055071406E-3</v>
      </c>
      <c r="C35" s="3">
        <f t="shared" ref="C35:C60" si="2">_xlfn.XLOOKUP(MAX(B3:CU3), B3:CU3, $B$1:$CU$1)</f>
        <v>45183.75</v>
      </c>
      <c r="E35" s="1">
        <v>45183.010416666664</v>
      </c>
      <c r="F35" s="4">
        <v>5.3004676361168803E-5</v>
      </c>
      <c r="G35" s="4">
        <v>2.7436387559742199E-5</v>
      </c>
      <c r="H35" s="4">
        <v>2.6467726889878301E-5</v>
      </c>
      <c r="U35" t="s">
        <v>1</v>
      </c>
      <c r="V35" s="2">
        <v>6.33040571897725E-2</v>
      </c>
      <c r="X35">
        <v>8.9724715055071406E-3</v>
      </c>
    </row>
    <row r="36" spans="1:28" x14ac:dyDescent="0.25">
      <c r="A36" s="2" t="str">
        <f t="shared" si="0"/>
        <v>median_amp</v>
      </c>
      <c r="B36" s="2">
        <f t="shared" si="1"/>
        <v>8.2579803903355103E-3</v>
      </c>
      <c r="C36" s="3">
        <f t="shared" si="2"/>
        <v>45183.75</v>
      </c>
      <c r="E36" s="1">
        <v>45183.020833333336</v>
      </c>
      <c r="F36" s="4">
        <v>3.8240018988453903E-5</v>
      </c>
      <c r="G36" s="4">
        <v>2.5283539699631199E-5</v>
      </c>
      <c r="H36" s="4">
        <v>2.4371116161499301E-5</v>
      </c>
      <c r="U36" t="s">
        <v>2</v>
      </c>
      <c r="V36" s="2">
        <v>5.8734947455230002E-2</v>
      </c>
      <c r="X36">
        <v>8.2579803903355103E-3</v>
      </c>
    </row>
    <row r="37" spans="1:28" x14ac:dyDescent="0.25">
      <c r="A37" s="2" t="str">
        <f t="shared" si="0"/>
        <v>impulses_ch6</v>
      </c>
      <c r="B37" s="2">
        <f t="shared" si="1"/>
        <v>0</v>
      </c>
      <c r="C37" s="3">
        <f t="shared" si="2"/>
        <v>45183</v>
      </c>
      <c r="E37" s="1">
        <v>45183.03125</v>
      </c>
      <c r="F37" s="4">
        <v>6.5215762236818997E-5</v>
      </c>
      <c r="G37" s="4">
        <v>3.9039698872699597E-5</v>
      </c>
      <c r="H37" s="4">
        <v>3.7061076104867901E-5</v>
      </c>
      <c r="U37" t="s">
        <v>3</v>
      </c>
      <c r="V37" s="2">
        <v>2</v>
      </c>
      <c r="X37">
        <v>0</v>
      </c>
    </row>
    <row r="38" spans="1:28" x14ac:dyDescent="0.25">
      <c r="A38" s="2" t="str">
        <f t="shared" si="0"/>
        <v>impulses_ch5</v>
      </c>
      <c r="B38" s="2">
        <f t="shared" si="1"/>
        <v>0</v>
      </c>
      <c r="C38" s="3">
        <f t="shared" si="2"/>
        <v>45183</v>
      </c>
      <c r="E38" s="1">
        <v>45183.041666666664</v>
      </c>
      <c r="F38" s="4">
        <v>4.3612283929816997E-5</v>
      </c>
      <c r="G38" s="4">
        <v>2.28417484079772E-5</v>
      </c>
      <c r="H38" s="4">
        <v>2.2364844435986699E-5</v>
      </c>
      <c r="U38" t="s">
        <v>4</v>
      </c>
      <c r="V38" s="2">
        <v>126</v>
      </c>
      <c r="X38">
        <v>0</v>
      </c>
    </row>
    <row r="39" spans="1:28" x14ac:dyDescent="0.25">
      <c r="A39" s="2" t="str">
        <f t="shared" si="0"/>
        <v>impulses_ch4</v>
      </c>
      <c r="B39" s="2">
        <f t="shared" si="1"/>
        <v>36</v>
      </c>
      <c r="C39" s="3">
        <f t="shared" si="2"/>
        <v>45183.75</v>
      </c>
      <c r="E39" s="1">
        <v>45183.052083333336</v>
      </c>
      <c r="F39" s="4">
        <v>5.8689876877381097E-5</v>
      </c>
      <c r="G39" s="4">
        <v>3.3328225578535401E-5</v>
      </c>
      <c r="H39" s="4">
        <v>3.3259441260361598E-5</v>
      </c>
      <c r="U39" t="s">
        <v>5</v>
      </c>
      <c r="V39" s="2">
        <v>2055</v>
      </c>
      <c r="X39">
        <v>36</v>
      </c>
    </row>
    <row r="40" spans="1:28" x14ac:dyDescent="0.25">
      <c r="A40" s="2" t="str">
        <f t="shared" si="0"/>
        <v>impulses_ch3</v>
      </c>
      <c r="B40" s="2">
        <f t="shared" si="1"/>
        <v>905</v>
      </c>
      <c r="C40" s="3">
        <f t="shared" si="2"/>
        <v>45183.75</v>
      </c>
      <c r="E40" s="1">
        <v>45183.0625</v>
      </c>
      <c r="F40" s="4">
        <v>5.8942710948847E-5</v>
      </c>
      <c r="G40" s="4">
        <v>3.4857300184132802E-5</v>
      </c>
      <c r="H40" s="4">
        <v>3.36782242576105E-5</v>
      </c>
      <c r="U40" t="s">
        <v>6</v>
      </c>
      <c r="V40" s="2">
        <v>9680</v>
      </c>
      <c r="X40">
        <v>905</v>
      </c>
    </row>
    <row r="41" spans="1:28" x14ac:dyDescent="0.25">
      <c r="A41" s="2" t="str">
        <f t="shared" si="0"/>
        <v>impulses_ch2</v>
      </c>
      <c r="B41" s="2">
        <f t="shared" si="1"/>
        <v>10850</v>
      </c>
      <c r="C41" s="3">
        <f t="shared" si="2"/>
        <v>45183.75</v>
      </c>
      <c r="E41" s="1">
        <v>45183.072916666664</v>
      </c>
      <c r="F41" s="4">
        <v>4.7586207462374802E-5</v>
      </c>
      <c r="G41" s="4">
        <v>3.1356228603395297E-5</v>
      </c>
      <c r="H41" s="4">
        <v>3.1182130941699399E-5</v>
      </c>
      <c r="U41" t="s">
        <v>7</v>
      </c>
      <c r="V41" s="2">
        <v>9147</v>
      </c>
      <c r="X41">
        <v>10850</v>
      </c>
    </row>
    <row r="42" spans="1:28" x14ac:dyDescent="0.25">
      <c r="A42" s="2" t="str">
        <f t="shared" si="0"/>
        <v>impulses_ch1</v>
      </c>
      <c r="B42" s="2">
        <f t="shared" si="1"/>
        <v>14431</v>
      </c>
      <c r="C42" s="3">
        <f t="shared" si="2"/>
        <v>45183.739583333336</v>
      </c>
      <c r="E42" s="1">
        <v>45183.083333333336</v>
      </c>
      <c r="F42" s="4">
        <v>6.4662743557366095E-5</v>
      </c>
      <c r="G42" s="4">
        <v>3.2902659343242803E-5</v>
      </c>
      <c r="H42" s="4">
        <v>3.2576955860084397E-5</v>
      </c>
      <c r="U42" t="s">
        <v>8</v>
      </c>
      <c r="V42" s="2">
        <v>9270</v>
      </c>
      <c r="X42">
        <v>14431</v>
      </c>
    </row>
    <row r="43" spans="1:28" x14ac:dyDescent="0.25">
      <c r="A43" s="2" t="str">
        <f t="shared" si="0"/>
        <v>max_env_ch6</v>
      </c>
      <c r="B43" s="2">
        <f t="shared" si="1"/>
        <v>0</v>
      </c>
      <c r="C43" s="3">
        <f t="shared" si="2"/>
        <v>45183</v>
      </c>
      <c r="E43" s="1">
        <v>45183.09375</v>
      </c>
      <c r="F43" s="4">
        <v>5.0863345256387401E-5</v>
      </c>
      <c r="G43" s="4">
        <v>3.2089744447307101E-5</v>
      </c>
      <c r="H43" s="4">
        <v>3.1006703294713402E-5</v>
      </c>
    </row>
    <row r="44" spans="1:28" x14ac:dyDescent="0.25">
      <c r="A44" s="2" t="str">
        <f t="shared" si="0"/>
        <v>mean_env_ch6</v>
      </c>
      <c r="B44" s="2">
        <f t="shared" si="1"/>
        <v>0</v>
      </c>
      <c r="C44" s="3">
        <f t="shared" si="2"/>
        <v>45183</v>
      </c>
      <c r="E44" s="1">
        <v>45183.104166666664</v>
      </c>
      <c r="F44" s="4">
        <v>5.3669597845650803E-5</v>
      </c>
      <c r="G44" s="4">
        <v>3.4979497453247897E-5</v>
      </c>
      <c r="H44" s="4">
        <v>3.5080540247082303E-5</v>
      </c>
    </row>
    <row r="45" spans="1:28" x14ac:dyDescent="0.25">
      <c r="A45" s="2" t="str">
        <f t="shared" si="0"/>
        <v>median_env_ch6</v>
      </c>
      <c r="B45" s="2">
        <f t="shared" si="1"/>
        <v>0</v>
      </c>
      <c r="C45" s="3">
        <f t="shared" si="2"/>
        <v>45183</v>
      </c>
      <c r="E45" s="1">
        <v>45183.114583333336</v>
      </c>
      <c r="F45" s="4">
        <v>5.6772895146503198E-5</v>
      </c>
      <c r="G45" s="4">
        <v>3.24448366270494E-5</v>
      </c>
      <c r="H45" s="4">
        <v>3.0630713801708601E-5</v>
      </c>
      <c r="U45" t="s">
        <v>35</v>
      </c>
      <c r="Z45" t="s">
        <v>35</v>
      </c>
    </row>
    <row r="46" spans="1:28" x14ac:dyDescent="0.25">
      <c r="A46" s="2" t="str">
        <f t="shared" si="0"/>
        <v>max_env_ch5</v>
      </c>
      <c r="B46" s="2">
        <f t="shared" si="1"/>
        <v>0</v>
      </c>
      <c r="C46" s="3">
        <f t="shared" si="2"/>
        <v>45183</v>
      </c>
      <c r="E46" s="1">
        <v>45183.125</v>
      </c>
      <c r="F46" s="4">
        <v>7.7164181854928802E-5</v>
      </c>
      <c r="G46" s="4">
        <v>3.3658835495118303E-5</v>
      </c>
      <c r="H46" s="4">
        <v>3.17681599032969E-5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25">
      <c r="A47" s="2" t="str">
        <f t="shared" si="0"/>
        <v>mean_env_ch5</v>
      </c>
      <c r="B47" s="2">
        <f t="shared" si="1"/>
        <v>0</v>
      </c>
      <c r="C47" s="3">
        <f t="shared" si="2"/>
        <v>45183</v>
      </c>
      <c r="E47" s="1">
        <v>45183.135416666664</v>
      </c>
      <c r="F47" s="4">
        <v>5.0659997491942598E-5</v>
      </c>
      <c r="G47" s="4">
        <v>2.6928739394643901E-5</v>
      </c>
      <c r="H47" s="4">
        <v>2.5881539386913801E-5</v>
      </c>
      <c r="T47" t="s">
        <v>39</v>
      </c>
      <c r="U47" s="4">
        <f>B43</f>
        <v>0</v>
      </c>
      <c r="V47" s="4">
        <f>B44</f>
        <v>0</v>
      </c>
      <c r="W47" s="4">
        <f>B45</f>
        <v>0</v>
      </c>
      <c r="Y47" t="s">
        <v>39</v>
      </c>
      <c r="Z47">
        <v>7.8997664635741496E-2</v>
      </c>
      <c r="AA47">
        <v>7.8997664635741496E-2</v>
      </c>
      <c r="AB47">
        <v>7.8997664635741496E-2</v>
      </c>
    </row>
    <row r="48" spans="1:28" x14ac:dyDescent="0.25">
      <c r="A48" s="2" t="str">
        <f>A16</f>
        <v>median_env_ch5</v>
      </c>
      <c r="B48" s="2">
        <f t="shared" si="1"/>
        <v>0</v>
      </c>
      <c r="C48" s="3">
        <f t="shared" si="2"/>
        <v>45183</v>
      </c>
      <c r="E48" s="1">
        <v>45183.145833333336</v>
      </c>
      <c r="F48" s="4">
        <v>6.7345026861786002E-5</v>
      </c>
      <c r="G48" s="4">
        <v>4.2518216353993703E-5</v>
      </c>
      <c r="H48" s="4">
        <v>4.23077680885184E-5</v>
      </c>
      <c r="T48" t="s">
        <v>40</v>
      </c>
      <c r="U48" s="4">
        <f>B46</f>
        <v>0</v>
      </c>
      <c r="V48" s="4">
        <f>B47</f>
        <v>0</v>
      </c>
      <c r="W48" s="4">
        <f>B48</f>
        <v>0</v>
      </c>
      <c r="Y48" t="s">
        <v>40</v>
      </c>
      <c r="Z48">
        <v>0.48595166923287902</v>
      </c>
      <c r="AA48">
        <v>0.26878015500851199</v>
      </c>
      <c r="AB48">
        <v>0.25332701569766197</v>
      </c>
    </row>
    <row r="49" spans="1:28" x14ac:dyDescent="0.25">
      <c r="A49" s="2" t="str">
        <f t="shared" si="0"/>
        <v>max_env_ch4</v>
      </c>
      <c r="B49" s="2">
        <f t="shared" si="1"/>
        <v>0.269900081746478</v>
      </c>
      <c r="C49" s="3">
        <f t="shared" si="2"/>
        <v>45183.75</v>
      </c>
      <c r="E49" s="1">
        <v>45183.15625</v>
      </c>
      <c r="F49" s="4">
        <v>5.6459655011792597E-5</v>
      </c>
      <c r="G49" s="4">
        <v>2.78784576186295E-5</v>
      </c>
      <c r="H49" s="4">
        <v>2.6234637130421101E-5</v>
      </c>
      <c r="T49" t="s">
        <v>41</v>
      </c>
      <c r="U49" s="4">
        <f>B49</f>
        <v>0.269900081746478</v>
      </c>
      <c r="V49" s="4">
        <f>B50</f>
        <v>0.16435000083802101</v>
      </c>
      <c r="W49" s="4">
        <f>B51</f>
        <v>0.161535318384389</v>
      </c>
      <c r="Y49" t="s">
        <v>41</v>
      </c>
      <c r="Z49">
        <v>1.9438066769315101</v>
      </c>
      <c r="AA49">
        <v>1.01286491503636</v>
      </c>
      <c r="AB49">
        <v>0.93975915928368003</v>
      </c>
    </row>
    <row r="50" spans="1:28" x14ac:dyDescent="0.25">
      <c r="A50" s="2" t="str">
        <f t="shared" si="0"/>
        <v>mean_env_ch4</v>
      </c>
      <c r="B50" s="2">
        <f t="shared" si="1"/>
        <v>0.16435000083802101</v>
      </c>
      <c r="C50" s="3">
        <f t="shared" si="2"/>
        <v>45183.75</v>
      </c>
      <c r="E50" s="1">
        <v>45183.166666666664</v>
      </c>
      <c r="F50" s="4">
        <v>5.6813302621744903E-5</v>
      </c>
      <c r="G50" s="4">
        <v>3.5841948289101003E-5</v>
      </c>
      <c r="H50" s="4">
        <v>3.3689786896257798E-5</v>
      </c>
      <c r="T50" t="s">
        <v>42</v>
      </c>
      <c r="U50" s="4">
        <f>B52</f>
        <v>1.07960032698591</v>
      </c>
      <c r="V50" s="4">
        <f>B53</f>
        <v>0.574238176352457</v>
      </c>
      <c r="W50" s="4">
        <f>B54</f>
        <v>0.52851074498147299</v>
      </c>
      <c r="Y50" t="s">
        <v>42</v>
      </c>
      <c r="Z50">
        <v>7.7752267077260697</v>
      </c>
      <c r="AA50">
        <v>4.05145966014544</v>
      </c>
      <c r="AB50">
        <v>3.7590366371347201</v>
      </c>
    </row>
    <row r="51" spans="1:28" x14ac:dyDescent="0.25">
      <c r="A51" s="2" t="str">
        <f t="shared" si="0"/>
        <v>median_env_ch4</v>
      </c>
      <c r="B51" s="2">
        <f t="shared" si="1"/>
        <v>0.161535318384389</v>
      </c>
      <c r="C51" s="3">
        <f t="shared" si="2"/>
        <v>45183.75</v>
      </c>
      <c r="E51" s="1">
        <v>45183.177083333336</v>
      </c>
      <c r="F51" s="4">
        <v>5.5073311072742698E-5</v>
      </c>
      <c r="G51" s="4">
        <v>3.4632022096631399E-5</v>
      </c>
      <c r="H51" s="4">
        <v>3.3089743185457498E-5</v>
      </c>
      <c r="T51" t="s">
        <v>43</v>
      </c>
      <c r="U51" s="4">
        <f>B55</f>
        <v>4.3184013079436498</v>
      </c>
      <c r="V51" s="4">
        <f>B56</f>
        <v>2.29695270540982</v>
      </c>
      <c r="W51" s="4">
        <f>B57</f>
        <v>2.1140429799258902</v>
      </c>
      <c r="Y51" t="s">
        <v>43</v>
      </c>
      <c r="Z51">
        <v>31.100906830904201</v>
      </c>
      <c r="AA51">
        <v>16.2058386405817</v>
      </c>
      <c r="AB51">
        <v>15.036146548538801</v>
      </c>
    </row>
    <row r="52" spans="1:28" x14ac:dyDescent="0.25">
      <c r="A52" s="2" t="str">
        <f t="shared" si="0"/>
        <v>max_env_ch3</v>
      </c>
      <c r="B52" s="2">
        <f t="shared" si="1"/>
        <v>1.07960032698591</v>
      </c>
      <c r="C52" s="3">
        <f t="shared" si="2"/>
        <v>45183.75</v>
      </c>
      <c r="E52" s="1">
        <v>45183.1875</v>
      </c>
      <c r="F52" s="4">
        <v>5.5511794409575398E-5</v>
      </c>
      <c r="G52" s="4">
        <v>4.0137500576392402E-5</v>
      </c>
      <c r="H52" s="4">
        <v>3.9070851044304002E-5</v>
      </c>
      <c r="T52" t="s">
        <v>44</v>
      </c>
      <c r="U52" s="4">
        <f>B58</f>
        <v>17.273605231774599</v>
      </c>
      <c r="V52" s="4">
        <f>B59</f>
        <v>9.1878108216393102</v>
      </c>
      <c r="W52" s="4">
        <f>B60</f>
        <v>8.4561719197035607</v>
      </c>
      <c r="Y52" t="s">
        <v>44</v>
      </c>
      <c r="Z52">
        <v>124.403627323617</v>
      </c>
      <c r="AA52">
        <v>64.823354562326998</v>
      </c>
      <c r="AB52">
        <v>60.144586194155501</v>
      </c>
    </row>
    <row r="53" spans="1:28" x14ac:dyDescent="0.25">
      <c r="A53" s="2" t="str">
        <f t="shared" si="0"/>
        <v>mean_env_ch3</v>
      </c>
      <c r="B53" s="2">
        <f t="shared" si="1"/>
        <v>0.574238176352457</v>
      </c>
      <c r="C53" s="3">
        <f t="shared" si="2"/>
        <v>45183.75</v>
      </c>
      <c r="E53" s="1">
        <v>45183.197916666664</v>
      </c>
      <c r="F53" s="4">
        <v>5.48735265022874E-5</v>
      </c>
      <c r="G53" s="4">
        <v>3.1622828911517797E-5</v>
      </c>
      <c r="H53" s="4">
        <v>3.0829345961130802E-5</v>
      </c>
    </row>
    <row r="54" spans="1:28" x14ac:dyDescent="0.25">
      <c r="A54" s="2" t="str">
        <f t="shared" si="0"/>
        <v>median_env_ch3</v>
      </c>
      <c r="B54" s="2">
        <f t="shared" si="1"/>
        <v>0.52851074498147299</v>
      </c>
      <c r="C54" s="3">
        <f t="shared" si="2"/>
        <v>45183.75</v>
      </c>
      <c r="E54" s="1">
        <v>45183.208333333336</v>
      </c>
      <c r="F54" s="4">
        <v>8.9376884737136695E-5</v>
      </c>
      <c r="G54" s="4">
        <v>4.0760455228111801E-5</v>
      </c>
      <c r="H54" s="4">
        <v>3.8505297977818497E-5</v>
      </c>
    </row>
    <row r="55" spans="1:28" x14ac:dyDescent="0.25">
      <c r="A55" s="2" t="str">
        <f t="shared" si="0"/>
        <v>max_env_ch2</v>
      </c>
      <c r="B55" s="2">
        <f t="shared" si="1"/>
        <v>4.3184013079436498</v>
      </c>
      <c r="C55" s="3">
        <f t="shared" si="2"/>
        <v>45183.75</v>
      </c>
      <c r="E55" s="1">
        <v>45183.21875</v>
      </c>
      <c r="F55" s="4">
        <v>4.62736021527722E-5</v>
      </c>
      <c r="G55" s="4">
        <v>2.72870980946847E-5</v>
      </c>
      <c r="H55" s="4">
        <v>2.6082255785703601E-5</v>
      </c>
    </row>
    <row r="56" spans="1:28" x14ac:dyDescent="0.25">
      <c r="A56" s="2" t="str">
        <f t="shared" si="0"/>
        <v>mean_env_ch2</v>
      </c>
      <c r="B56" s="2">
        <f t="shared" si="1"/>
        <v>2.29695270540982</v>
      </c>
      <c r="C56" s="3">
        <f t="shared" si="2"/>
        <v>45183.75</v>
      </c>
      <c r="E56" s="1">
        <v>45183.229166666664</v>
      </c>
      <c r="F56" s="4">
        <v>9.7722100073169095E-5</v>
      </c>
      <c r="G56" s="4">
        <v>4.8301406765176003E-5</v>
      </c>
      <c r="H56" s="4">
        <v>4.6516093671921199E-5</v>
      </c>
    </row>
    <row r="57" spans="1:28" x14ac:dyDescent="0.25">
      <c r="A57" s="2" t="str">
        <f>A25</f>
        <v>median_env_ch2</v>
      </c>
      <c r="B57" s="2">
        <f t="shared" si="1"/>
        <v>2.1140429799258902</v>
      </c>
      <c r="C57" s="3">
        <f t="shared" si="2"/>
        <v>45183.75</v>
      </c>
      <c r="E57" s="1">
        <v>45183.239583333336</v>
      </c>
      <c r="F57" s="4">
        <v>4.7107626469657801E-5</v>
      </c>
      <c r="G57" s="4">
        <v>2.57410749343559E-5</v>
      </c>
      <c r="H57" s="4">
        <v>2.4562518441553102E-5</v>
      </c>
    </row>
    <row r="58" spans="1:28" x14ac:dyDescent="0.25">
      <c r="A58" s="2" t="str">
        <f t="shared" si="0"/>
        <v>max_env_ch1</v>
      </c>
      <c r="B58" s="2">
        <f t="shared" si="1"/>
        <v>17.273605231774599</v>
      </c>
      <c r="C58" s="3">
        <f t="shared" si="2"/>
        <v>45183.75</v>
      </c>
      <c r="E58" s="1">
        <v>45183.25</v>
      </c>
      <c r="F58" s="4">
        <v>5.9409793234428798E-5</v>
      </c>
      <c r="G58" s="4">
        <v>4.141967156785E-5</v>
      </c>
      <c r="H58" s="4">
        <v>4.0875490658835397E-5</v>
      </c>
    </row>
    <row r="59" spans="1:28" x14ac:dyDescent="0.25">
      <c r="A59" s="2" t="str">
        <f t="shared" si="0"/>
        <v>mean_env_ch1</v>
      </c>
      <c r="B59" s="2">
        <f t="shared" si="1"/>
        <v>9.1878108216393102</v>
      </c>
      <c r="C59" s="3">
        <f t="shared" si="2"/>
        <v>45183.75</v>
      </c>
      <c r="E59" s="1">
        <v>45183.260416666664</v>
      </c>
      <c r="F59" s="4">
        <v>5.6983703380150599E-5</v>
      </c>
      <c r="G59" s="4">
        <v>2.6856311298247801E-5</v>
      </c>
      <c r="H59" s="4">
        <v>2.4273749660730299E-5</v>
      </c>
    </row>
    <row r="60" spans="1:28" x14ac:dyDescent="0.25">
      <c r="A60" s="2" t="str">
        <f>A28</f>
        <v>median_env_ch1</v>
      </c>
      <c r="B60" s="2">
        <f t="shared" si="1"/>
        <v>8.4561719197035607</v>
      </c>
      <c r="C60" s="3">
        <f t="shared" si="2"/>
        <v>45183.75</v>
      </c>
      <c r="E60" s="1">
        <v>45183.270833333336</v>
      </c>
      <c r="F60" s="4">
        <v>3.9359914559332197E-5</v>
      </c>
      <c r="G60" s="4">
        <v>2.7462705328862901E-5</v>
      </c>
      <c r="H60" s="4">
        <v>2.7326321460201701E-5</v>
      </c>
    </row>
    <row r="61" spans="1:28" x14ac:dyDescent="0.25">
      <c r="A61" t="s">
        <v>32</v>
      </c>
      <c r="B61" s="2">
        <f t="shared" ref="B61:B62" si="3">MAX(B29:CU29)</f>
        <v>6.6940258559999997</v>
      </c>
      <c r="C61" s="3">
        <f t="shared" ref="C61:C62" si="4">_xlfn.XLOOKUP(MAX(B29:CU29), B29:CU29, $B$1:$CU$1)</f>
        <v>45183.75</v>
      </c>
      <c r="E61" s="1">
        <v>45183.28125</v>
      </c>
      <c r="F61" s="4">
        <v>5.9124370249241197E-5</v>
      </c>
      <c r="G61" s="4">
        <v>2.7652200366932199E-5</v>
      </c>
      <c r="H61" s="4">
        <v>2.6849910972581302E-5</v>
      </c>
    </row>
    <row r="62" spans="1:28" x14ac:dyDescent="0.25">
      <c r="A62" t="s">
        <v>33</v>
      </c>
      <c r="B62" s="2">
        <f t="shared" si="3"/>
        <v>1.22638723451419</v>
      </c>
      <c r="C62" s="3">
        <f t="shared" si="4"/>
        <v>45183.75</v>
      </c>
      <c r="E62" s="1">
        <v>45183.291666666664</v>
      </c>
      <c r="F62" s="4">
        <v>3.8516608215429303E-5</v>
      </c>
      <c r="G62" s="4">
        <v>2.7329634382109901E-5</v>
      </c>
      <c r="H62" s="4">
        <v>2.6814519946041999E-5</v>
      </c>
    </row>
    <row r="63" spans="1:28" x14ac:dyDescent="0.25">
      <c r="E63" s="1">
        <v>45183.302083333336</v>
      </c>
      <c r="F63" s="4">
        <v>4.2992046485052201E-5</v>
      </c>
      <c r="G63" s="4">
        <v>2.7140220158399901E-5</v>
      </c>
      <c r="H63" s="4">
        <v>2.6142196989272199E-5</v>
      </c>
    </row>
    <row r="64" spans="1:28" x14ac:dyDescent="0.25">
      <c r="E64" s="1">
        <v>45183.3125</v>
      </c>
      <c r="F64" s="4">
        <v>4.9249545064140601E-5</v>
      </c>
      <c r="G64" s="4">
        <v>3.4773502911861102E-5</v>
      </c>
      <c r="H64" s="4">
        <v>3.4697595422746098E-5</v>
      </c>
    </row>
    <row r="65" spans="5:8" x14ac:dyDescent="0.25">
      <c r="E65" s="1">
        <v>45183.322916666664</v>
      </c>
      <c r="F65" s="4">
        <v>4.9427639852956798E-5</v>
      </c>
      <c r="G65" s="4">
        <v>2.78164488750809E-5</v>
      </c>
      <c r="H65" s="4">
        <v>2.6505591300793801E-5</v>
      </c>
    </row>
    <row r="66" spans="5:8" x14ac:dyDescent="0.25">
      <c r="E66" s="1">
        <v>45183.333333333336</v>
      </c>
      <c r="F66" s="4">
        <v>4.3325139708129E-5</v>
      </c>
      <c r="G66" s="4">
        <v>2.2333813108323102E-5</v>
      </c>
      <c r="H66" s="4">
        <v>2.1559805626087801E-5</v>
      </c>
    </row>
    <row r="67" spans="5:8" x14ac:dyDescent="0.25">
      <c r="E67" s="1">
        <v>45183.34375</v>
      </c>
      <c r="F67" s="4">
        <v>5.0943252740639699E-5</v>
      </c>
      <c r="G67" s="4">
        <v>3.0512820299142501E-5</v>
      </c>
      <c r="H67" s="4">
        <v>3.03654123117343E-5</v>
      </c>
    </row>
    <row r="68" spans="5:8" x14ac:dyDescent="0.25">
      <c r="E68" s="1">
        <v>45183.354166666664</v>
      </c>
      <c r="F68" s="4">
        <v>8.1646943535686103E-5</v>
      </c>
      <c r="G68" s="4">
        <v>4.6171462846409998E-5</v>
      </c>
      <c r="H68" s="4">
        <v>4.42408219632263E-5</v>
      </c>
    </row>
    <row r="69" spans="5:8" x14ac:dyDescent="0.25">
      <c r="E69" s="1">
        <v>45183.364583333336</v>
      </c>
      <c r="F69" s="4">
        <v>4.2316085568628998E-5</v>
      </c>
      <c r="G69" s="4">
        <v>2.37685849487246E-5</v>
      </c>
      <c r="H69" s="4">
        <v>2.2368883210333401E-5</v>
      </c>
    </row>
    <row r="70" spans="5:8" x14ac:dyDescent="0.25">
      <c r="E70" s="1">
        <v>45183.375</v>
      </c>
      <c r="F70" s="4">
        <v>3.11552895836869E-5</v>
      </c>
      <c r="G70" s="4">
        <v>2.25896697100603E-5</v>
      </c>
      <c r="H70" s="4">
        <v>2.2227073718690101E-5</v>
      </c>
    </row>
    <row r="71" spans="5:8" x14ac:dyDescent="0.25">
      <c r="E71" s="1">
        <v>45183.385416666664</v>
      </c>
      <c r="F71" s="4">
        <v>4.6060907989027603E-5</v>
      </c>
      <c r="G71" s="4">
        <v>2.6618790183871699E-5</v>
      </c>
      <c r="H71" s="4">
        <v>2.5933233139390901E-5</v>
      </c>
    </row>
    <row r="72" spans="5:8" x14ac:dyDescent="0.25">
      <c r="E72" s="1">
        <v>45183.395833333336</v>
      </c>
      <c r="F72" s="4">
        <v>2.37666675841285E-5</v>
      </c>
      <c r="G72" s="4">
        <v>1.25204875186557E-5</v>
      </c>
      <c r="H72" s="4">
        <v>1.17794193108171E-5</v>
      </c>
    </row>
    <row r="73" spans="5:8" x14ac:dyDescent="0.25">
      <c r="E73" s="1">
        <v>45183.40625</v>
      </c>
      <c r="F73" s="4">
        <v>3.9084349776103399E-5</v>
      </c>
      <c r="G73" s="4">
        <v>1.93595157996663E-5</v>
      </c>
      <c r="H73" s="4">
        <v>1.8643487859538301E-5</v>
      </c>
    </row>
    <row r="74" spans="5:8" x14ac:dyDescent="0.25">
      <c r="E74" s="1">
        <v>45183.416666666664</v>
      </c>
      <c r="F74" s="4">
        <v>4.1298872180166302E-5</v>
      </c>
      <c r="G74" s="4">
        <v>1.8694375300632999E-5</v>
      </c>
      <c r="H74" s="4">
        <v>1.7233450766128599E-5</v>
      </c>
    </row>
    <row r="75" spans="5:8" x14ac:dyDescent="0.25">
      <c r="E75" s="1">
        <v>45183.427083333336</v>
      </c>
      <c r="F75" s="4">
        <v>2.4646391813207598E-5</v>
      </c>
      <c r="G75" s="4">
        <v>1.60789796198651E-5</v>
      </c>
      <c r="H75" s="4">
        <v>1.60576878187197E-5</v>
      </c>
    </row>
    <row r="76" spans="5:8" x14ac:dyDescent="0.25">
      <c r="E76" s="1">
        <v>45183.4375</v>
      </c>
      <c r="F76" s="4">
        <v>3.3806742756544402E-5</v>
      </c>
      <c r="G76" s="4">
        <v>2.0940681691322398E-5</v>
      </c>
      <c r="H76" s="4">
        <v>2.0336842768453399E-5</v>
      </c>
    </row>
    <row r="77" spans="5:8" x14ac:dyDescent="0.25">
      <c r="E77" s="1">
        <v>45183.447916666664</v>
      </c>
      <c r="F77" s="4">
        <v>4.3079735958005101E-5</v>
      </c>
      <c r="G77" s="4">
        <v>2.54065807536124E-5</v>
      </c>
      <c r="H77" s="4">
        <v>2.4352897704087302E-5</v>
      </c>
    </row>
    <row r="78" spans="5:8" x14ac:dyDescent="0.25">
      <c r="E78" s="1">
        <v>45183.458333333336</v>
      </c>
      <c r="F78" s="4">
        <v>3.45576203120019E-5</v>
      </c>
      <c r="G78" s="4">
        <v>1.9005978866761599E-5</v>
      </c>
      <c r="H78" s="4">
        <v>1.7777920406968898E-5</v>
      </c>
    </row>
    <row r="79" spans="5:8" x14ac:dyDescent="0.25">
      <c r="E79" s="1">
        <v>45183.46875</v>
      </c>
      <c r="F79" s="4">
        <v>4.1861281477102197E-5</v>
      </c>
      <c r="G79" s="4">
        <v>2.54334346930902E-5</v>
      </c>
      <c r="H79" s="4">
        <v>2.42899893758206E-5</v>
      </c>
    </row>
    <row r="80" spans="5:8" x14ac:dyDescent="0.25">
      <c r="E80" s="1">
        <v>45183.479166666664</v>
      </c>
      <c r="F80" s="4">
        <v>4.2677993820447403E-5</v>
      </c>
      <c r="G80" s="4">
        <v>2.6242976988929899E-5</v>
      </c>
      <c r="H80" s="4">
        <v>2.5605107640005399E-5</v>
      </c>
    </row>
    <row r="81" spans="5:8" x14ac:dyDescent="0.25">
      <c r="E81" s="1">
        <v>45183.489583333336</v>
      </c>
      <c r="F81" s="4">
        <v>3.8338134680102002E-5</v>
      </c>
      <c r="G81" s="4">
        <v>2.40032501583876E-5</v>
      </c>
      <c r="H81" s="4">
        <v>2.3683761334504101E-5</v>
      </c>
    </row>
    <row r="82" spans="5:8" x14ac:dyDescent="0.25">
      <c r="E82" s="1">
        <v>45183.5</v>
      </c>
      <c r="F82" s="4">
        <v>4.0795596758853099E-5</v>
      </c>
      <c r="G82" s="4">
        <v>2.54790088375158E-5</v>
      </c>
      <c r="H82" s="4">
        <v>2.5327361822375599E-5</v>
      </c>
    </row>
    <row r="83" spans="5:8" x14ac:dyDescent="0.25">
      <c r="E83" s="1">
        <v>45183.510416666664</v>
      </c>
      <c r="F83" s="4">
        <v>5.6202894491775397E-5</v>
      </c>
      <c r="G83" s="4">
        <v>2.5698272038102999E-5</v>
      </c>
      <c r="H83" s="4">
        <v>2.3920170480227599E-5</v>
      </c>
    </row>
    <row r="84" spans="5:8" x14ac:dyDescent="0.25">
      <c r="E84" s="1">
        <v>45183.520833333336</v>
      </c>
      <c r="F84" s="4">
        <v>4.2995023424146802E-5</v>
      </c>
      <c r="G84" s="4">
        <v>2.6497207182287999E-5</v>
      </c>
      <c r="H84" s="4">
        <v>2.5889457820005399E-5</v>
      </c>
    </row>
    <row r="85" spans="5:8" x14ac:dyDescent="0.25">
      <c r="E85" s="1">
        <v>45183.53125</v>
      </c>
      <c r="F85" s="4">
        <v>4.2014665544349498E-5</v>
      </c>
      <c r="G85" s="4">
        <v>2.52649696186331E-5</v>
      </c>
      <c r="H85" s="4">
        <v>2.4197106610379699E-5</v>
      </c>
    </row>
    <row r="86" spans="5:8" x14ac:dyDescent="0.25">
      <c r="E86" s="1">
        <v>45183.541666666664</v>
      </c>
      <c r="F86" s="4">
        <v>4.7946886586033299E-5</v>
      </c>
      <c r="G86" s="4">
        <v>2.9242117971052E-5</v>
      </c>
      <c r="H86" s="4">
        <v>2.86979440985233E-5</v>
      </c>
    </row>
    <row r="87" spans="5:8" x14ac:dyDescent="0.25">
      <c r="E87" s="1">
        <v>45183.552083333336</v>
      </c>
      <c r="F87" s="4">
        <v>4.7522368649725198E-5</v>
      </c>
      <c r="G87" s="4">
        <v>2.6648883299200401E-5</v>
      </c>
      <c r="H87" s="4">
        <v>2.5800993394947099E-5</v>
      </c>
    </row>
    <row r="88" spans="5:8" x14ac:dyDescent="0.25">
      <c r="E88" s="1">
        <v>45183.5625</v>
      </c>
      <c r="F88" s="4">
        <v>5.1049097007825199E-5</v>
      </c>
      <c r="G88" s="4">
        <v>2.93599512362961E-5</v>
      </c>
      <c r="H88" s="4">
        <v>2.82631498076006E-5</v>
      </c>
    </row>
    <row r="89" spans="5:8" x14ac:dyDescent="0.25">
      <c r="E89" s="1">
        <v>45183.572916666664</v>
      </c>
      <c r="F89" s="4">
        <v>4.2133528068188201E-5</v>
      </c>
      <c r="G89" s="4">
        <v>2.3451249887884602E-5</v>
      </c>
      <c r="H89" s="4">
        <v>2.2892529360213799E-5</v>
      </c>
    </row>
    <row r="90" spans="5:8" x14ac:dyDescent="0.25">
      <c r="E90" s="1">
        <v>45183.583333333336</v>
      </c>
      <c r="F90" s="4">
        <v>7.1156357892269295E-5</v>
      </c>
      <c r="G90" s="4">
        <v>4.2445658446015001E-5</v>
      </c>
      <c r="H90" s="4">
        <v>4.2137481679921501E-5</v>
      </c>
    </row>
    <row r="91" spans="5:8" x14ac:dyDescent="0.25">
      <c r="E91" s="1">
        <v>45183.59375</v>
      </c>
      <c r="F91">
        <v>2.04920998701977E-4</v>
      </c>
      <c r="G91">
        <v>1.20548350428345E-4</v>
      </c>
      <c r="H91">
        <v>1.19092312871159E-4</v>
      </c>
    </row>
    <row r="92" spans="5:8" x14ac:dyDescent="0.25">
      <c r="E92" s="1">
        <v>45183.604166666664</v>
      </c>
      <c r="F92">
        <v>2.0122199927646899E-4</v>
      </c>
      <c r="G92">
        <v>1.3502713728548701E-4</v>
      </c>
      <c r="H92">
        <v>1.29009564905947E-4</v>
      </c>
    </row>
    <row r="93" spans="5:8" x14ac:dyDescent="0.25">
      <c r="E93" s="1">
        <v>45183.614583333336</v>
      </c>
      <c r="F93">
        <v>9.2494552612522004E-4</v>
      </c>
      <c r="G93">
        <v>4.1491719530977801E-4</v>
      </c>
      <c r="H93">
        <v>3.68491499987979E-4</v>
      </c>
    </row>
    <row r="94" spans="5:8" x14ac:dyDescent="0.25">
      <c r="E94" s="1">
        <v>45183.625</v>
      </c>
      <c r="F94">
        <v>1.5552792216359101E-3</v>
      </c>
      <c r="G94">
        <v>8.94100174190044E-4</v>
      </c>
      <c r="H94">
        <v>8.6280770894898496E-4</v>
      </c>
    </row>
    <row r="95" spans="5:8" x14ac:dyDescent="0.25">
      <c r="E95" s="1">
        <v>45183.635416666664</v>
      </c>
      <c r="F95">
        <v>1.1578250533094299E-3</v>
      </c>
      <c r="G95">
        <v>7.2065114986637798E-4</v>
      </c>
      <c r="H95">
        <v>7.1813525897375201E-4</v>
      </c>
    </row>
    <row r="96" spans="5:8" x14ac:dyDescent="0.25">
      <c r="E96" s="1">
        <v>45183.645833333336</v>
      </c>
      <c r="F96">
        <v>5.9827185993128703E-4</v>
      </c>
      <c r="G96">
        <v>3.5527954326728501E-4</v>
      </c>
      <c r="H96">
        <v>3.4231190774748399E-4</v>
      </c>
    </row>
    <row r="97" spans="5:8" x14ac:dyDescent="0.25">
      <c r="E97" s="1">
        <v>45183.65625</v>
      </c>
      <c r="F97">
        <v>1.64653590263463E-3</v>
      </c>
      <c r="G97">
        <v>9.7242453550309299E-4</v>
      </c>
      <c r="H97">
        <v>9.4639604292238901E-4</v>
      </c>
    </row>
    <row r="98" spans="5:8" x14ac:dyDescent="0.25">
      <c r="E98" s="1">
        <v>45183.666666666664</v>
      </c>
      <c r="F98">
        <v>2.0246643676595701E-3</v>
      </c>
      <c r="G98">
        <v>1.1899279967624301E-3</v>
      </c>
      <c r="H98">
        <v>1.1582342075663E-3</v>
      </c>
    </row>
    <row r="99" spans="5:8" x14ac:dyDescent="0.25">
      <c r="E99" s="1">
        <v>45183.677083333336</v>
      </c>
      <c r="F99">
        <v>3.2097317786972798E-3</v>
      </c>
      <c r="G99">
        <v>2.4714783421938401E-3</v>
      </c>
      <c r="H99">
        <v>2.4381950008412899E-3</v>
      </c>
    </row>
    <row r="100" spans="5:8" x14ac:dyDescent="0.25">
      <c r="E100" s="1">
        <v>45183.6875</v>
      </c>
      <c r="F100">
        <v>3.6966883310300602E-3</v>
      </c>
      <c r="G100">
        <v>2.3184986337864001E-3</v>
      </c>
      <c r="H100">
        <v>2.27752029047989E-3</v>
      </c>
    </row>
    <row r="101" spans="5:8" x14ac:dyDescent="0.25">
      <c r="E101" s="1">
        <v>45183.697916666664</v>
      </c>
      <c r="F101">
        <v>2.6308175440493699E-3</v>
      </c>
      <c r="G101">
        <v>1.8602388454067201E-3</v>
      </c>
      <c r="H101">
        <v>1.8231438665813099E-3</v>
      </c>
    </row>
    <row r="102" spans="5:8" x14ac:dyDescent="0.25">
      <c r="E102" s="1">
        <v>45183.708333333336</v>
      </c>
      <c r="F102">
        <v>4.7827289380646502E-3</v>
      </c>
      <c r="G102">
        <v>2.9232803371398801E-3</v>
      </c>
      <c r="H102">
        <v>2.87455192875889E-3</v>
      </c>
    </row>
    <row r="103" spans="5:8" x14ac:dyDescent="0.25">
      <c r="E103" s="1">
        <v>45183.71875</v>
      </c>
      <c r="F103">
        <v>3.0701943802042401E-3</v>
      </c>
      <c r="G103">
        <v>2.2645613781416499E-3</v>
      </c>
      <c r="H103">
        <v>2.2280073529546002E-3</v>
      </c>
    </row>
    <row r="104" spans="5:8" x14ac:dyDescent="0.25">
      <c r="E104" s="1">
        <v>45183.729166666664</v>
      </c>
      <c r="F104">
        <v>3.06880062684858E-3</v>
      </c>
      <c r="G104">
        <v>2.10844168576016E-3</v>
      </c>
      <c r="H104">
        <v>2.0807283970152302E-3</v>
      </c>
    </row>
    <row r="105" spans="5:8" x14ac:dyDescent="0.25">
      <c r="E105" s="1">
        <v>45183.739583333336</v>
      </c>
      <c r="F105">
        <v>6.6578854842772204E-3</v>
      </c>
      <c r="G105">
        <v>3.9974590721319299E-3</v>
      </c>
      <c r="H105">
        <v>3.8401955311935599E-3</v>
      </c>
    </row>
    <row r="106" spans="5:8" x14ac:dyDescent="0.25">
      <c r="E106" s="1">
        <v>45183.75</v>
      </c>
      <c r="F106">
        <v>1.68687551091549E-2</v>
      </c>
      <c r="G106">
        <v>8.9724715055071406E-3</v>
      </c>
      <c r="H106">
        <v>8.2579803903355103E-3</v>
      </c>
    </row>
    <row r="107" spans="5:8" x14ac:dyDescent="0.25">
      <c r="E107" s="1">
        <v>45183.760416666664</v>
      </c>
      <c r="F107">
        <v>2.90335112096549E-3</v>
      </c>
      <c r="G107">
        <v>2.0389747350947002E-3</v>
      </c>
      <c r="H107">
        <v>2.0021125162551202E-3</v>
      </c>
    </row>
    <row r="108" spans="5:8" x14ac:dyDescent="0.25">
      <c r="E108" s="1">
        <v>45183.770833333336</v>
      </c>
      <c r="F108">
        <v>2.1490743533713699E-3</v>
      </c>
      <c r="G108">
        <v>1.48241558860158E-3</v>
      </c>
      <c r="H108">
        <v>1.4147645512093199E-3</v>
      </c>
    </row>
    <row r="109" spans="5:8" x14ac:dyDescent="0.25">
      <c r="E109" s="1">
        <v>45183.78125</v>
      </c>
      <c r="F109">
        <v>2.17772889219793E-3</v>
      </c>
      <c r="G109">
        <v>1.54678353615958E-3</v>
      </c>
      <c r="H109">
        <v>1.53338067471348E-3</v>
      </c>
    </row>
    <row r="110" spans="5:8" x14ac:dyDescent="0.25">
      <c r="E110" s="1">
        <v>45183.791666666664</v>
      </c>
      <c r="F110">
        <v>1.81349615098827E-3</v>
      </c>
      <c r="G110">
        <v>1.3153081548544199E-3</v>
      </c>
      <c r="H110">
        <v>1.31392617828135E-3</v>
      </c>
    </row>
    <row r="111" spans="5:8" x14ac:dyDescent="0.25">
      <c r="E111" s="1">
        <v>45183.802083333336</v>
      </c>
      <c r="F111">
        <v>1.6857064677429799E-3</v>
      </c>
      <c r="G111">
        <v>1.1760023761128299E-3</v>
      </c>
      <c r="H111">
        <v>1.15455184861459E-3</v>
      </c>
    </row>
    <row r="112" spans="5:8" x14ac:dyDescent="0.25">
      <c r="E112" s="1">
        <v>45183.8125</v>
      </c>
      <c r="F112">
        <v>1.6589220597471399E-3</v>
      </c>
      <c r="G112">
        <v>1.0777847018268599E-3</v>
      </c>
      <c r="H112">
        <v>1.06381285863374E-3</v>
      </c>
    </row>
    <row r="113" spans="5:8" x14ac:dyDescent="0.25">
      <c r="E113" s="1">
        <v>45183.822916666664</v>
      </c>
      <c r="F113">
        <v>1.59815785931329E-3</v>
      </c>
      <c r="G113">
        <v>8.7100885466283805E-4</v>
      </c>
      <c r="H113">
        <v>8.3418459217539495E-4</v>
      </c>
    </row>
    <row r="114" spans="5:8" x14ac:dyDescent="0.25">
      <c r="E114" s="1">
        <v>45183.833333333336</v>
      </c>
      <c r="F114">
        <v>1.6035810952493899E-3</v>
      </c>
      <c r="G114">
        <v>1.1042725469532001E-3</v>
      </c>
      <c r="H114">
        <v>1.0975913335449601E-3</v>
      </c>
    </row>
    <row r="115" spans="5:8" x14ac:dyDescent="0.25">
      <c r="E115" s="1">
        <v>45183.84375</v>
      </c>
      <c r="F115">
        <v>1.39282107728389E-3</v>
      </c>
      <c r="G115">
        <v>9.6938717426258802E-4</v>
      </c>
      <c r="H115">
        <v>9.4823155657372603E-4</v>
      </c>
    </row>
    <row r="116" spans="5:8" x14ac:dyDescent="0.25">
      <c r="E116" s="1">
        <v>45183.854166666664</v>
      </c>
      <c r="F116">
        <v>1.20601854657107E-3</v>
      </c>
      <c r="G116">
        <v>7.47446676865074E-4</v>
      </c>
      <c r="H116">
        <v>7.1642816662990298E-4</v>
      </c>
    </row>
    <row r="117" spans="5:8" x14ac:dyDescent="0.25">
      <c r="E117" s="1">
        <v>45183.864583333336</v>
      </c>
      <c r="F117">
        <v>1.4488386801273601E-3</v>
      </c>
      <c r="G117">
        <v>8.2553577543186397E-4</v>
      </c>
      <c r="H117">
        <v>8.1056954272612698E-4</v>
      </c>
    </row>
    <row r="118" spans="5:8" x14ac:dyDescent="0.25">
      <c r="E118" s="1">
        <v>45183.875</v>
      </c>
      <c r="F118">
        <v>1.16680905696046E-3</v>
      </c>
      <c r="G118">
        <v>8.4057306242426395E-4</v>
      </c>
      <c r="H118">
        <v>8.3341540412855603E-4</v>
      </c>
    </row>
    <row r="119" spans="5:8" x14ac:dyDescent="0.25">
      <c r="E119" s="1">
        <v>45183.885416666664</v>
      </c>
      <c r="F119">
        <v>1.4910308859573201E-3</v>
      </c>
      <c r="G119">
        <v>8.6800970725318895E-4</v>
      </c>
      <c r="H119">
        <v>8.2773963713190797E-4</v>
      </c>
    </row>
    <row r="120" spans="5:8" x14ac:dyDescent="0.25">
      <c r="E120" s="1">
        <v>45183.895833333336</v>
      </c>
      <c r="F120">
        <v>1.4029645175232201E-3</v>
      </c>
      <c r="G120">
        <v>8.7486945853467899E-4</v>
      </c>
      <c r="H120">
        <v>8.6692836414105899E-4</v>
      </c>
    </row>
    <row r="121" spans="5:8" x14ac:dyDescent="0.25">
      <c r="E121" s="1">
        <v>45183.90625</v>
      </c>
      <c r="F121">
        <v>1.10228512751843E-3</v>
      </c>
      <c r="G121">
        <v>7.4930490057012196E-4</v>
      </c>
      <c r="H121">
        <v>7.3552124915998805E-4</v>
      </c>
    </row>
    <row r="122" spans="5:8" x14ac:dyDescent="0.25">
      <c r="E122" s="1">
        <v>45183.916666666664</v>
      </c>
      <c r="F122">
        <v>1.17651084986945E-3</v>
      </c>
      <c r="G122">
        <v>7.7671360027021304E-4</v>
      </c>
      <c r="H122">
        <v>7.55242156198734E-4</v>
      </c>
    </row>
    <row r="123" spans="5:8" x14ac:dyDescent="0.25">
      <c r="E123" s="1">
        <v>45183.927083333336</v>
      </c>
      <c r="F123">
        <v>1.2972070774297699E-3</v>
      </c>
      <c r="G123">
        <v>8.06978209080543E-4</v>
      </c>
      <c r="H123">
        <v>7.9533406799165698E-4</v>
      </c>
    </row>
    <row r="124" spans="5:8" x14ac:dyDescent="0.25">
      <c r="E124" s="1">
        <v>45183.9375</v>
      </c>
      <c r="F124">
        <v>1.70585259372605E-3</v>
      </c>
      <c r="G124">
        <v>8.5262254343396399E-4</v>
      </c>
      <c r="H124">
        <v>8.4714860339675101E-4</v>
      </c>
    </row>
    <row r="125" spans="5:8" x14ac:dyDescent="0.25">
      <c r="E125" s="1">
        <v>45183.947916666664</v>
      </c>
      <c r="F125">
        <v>2.3693725439408999E-3</v>
      </c>
      <c r="G125">
        <v>1.4310584303813699E-3</v>
      </c>
      <c r="H125">
        <v>1.4082717742414401E-3</v>
      </c>
    </row>
    <row r="126" spans="5:8" x14ac:dyDescent="0.25">
      <c r="E126" s="1">
        <v>45183.958333333336</v>
      </c>
      <c r="F126">
        <v>1.4620299470493999E-3</v>
      </c>
      <c r="G126">
        <v>8.1014337923815101E-4</v>
      </c>
      <c r="H126">
        <v>7.8871613409789703E-4</v>
      </c>
    </row>
    <row r="127" spans="5:8" x14ac:dyDescent="0.25">
      <c r="E127" s="1">
        <v>45183.96875</v>
      </c>
      <c r="F127">
        <v>1.5460823693986599E-3</v>
      </c>
      <c r="G127">
        <v>9.7845823678939709E-4</v>
      </c>
      <c r="H127">
        <v>9.3641268192656705E-4</v>
      </c>
    </row>
    <row r="128" spans="5:8" x14ac:dyDescent="0.25">
      <c r="E128" s="1">
        <v>45183.979166666664</v>
      </c>
      <c r="F128">
        <v>1.47035412155018E-3</v>
      </c>
      <c r="G128">
        <v>7.9757186180802497E-4</v>
      </c>
      <c r="H128">
        <v>7.6251931479677298E-4</v>
      </c>
    </row>
    <row r="129" spans="5:8" x14ac:dyDescent="0.25">
      <c r="E129" s="1">
        <v>45183.989583333336</v>
      </c>
      <c r="F129">
        <v>8.0559297035341301E-4</v>
      </c>
      <c r="G129">
        <v>5.0128704985343995E-4</v>
      </c>
      <c r="H129">
        <v>4.8009025413821098E-4</v>
      </c>
    </row>
    <row r="130" spans="5:8" x14ac:dyDescent="0.25">
      <c r="E130" s="1">
        <v>45184</v>
      </c>
      <c r="F130">
        <v>7.9363007156889797E-4</v>
      </c>
      <c r="G130">
        <v>5.0228592449228101E-4</v>
      </c>
      <c r="H130">
        <v>4.8979861141624798E-4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storm7_results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2025-10-23T22:24:38Z</dcterms:created>
  <dcterms:modified xsi:type="dcterms:W3CDTF">2025-12-10T23:33:00Z</dcterms:modified>
</cp:coreProperties>
</file>