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shear_stress_paper\Results\noise_corrected\2_amp_function_by_season\calculations\"/>
    </mc:Choice>
  </mc:AlternateContent>
  <xr:revisionPtr revIDLastSave="0" documentId="13_ncr:1_{3F71BB1B-E670-4CDA-AB19-6D6F1C9B3921}" xr6:coauthVersionLast="47" xr6:coauthVersionMax="47" xr10:uidLastSave="{00000000-0000-0000-0000-000000000000}"/>
  <bookViews>
    <workbookView xWindow="-120" yWindow="-120" windowWidth="29040" windowHeight="15720" xr2:uid="{867F3169-A9A3-4AE6-89E2-304587BC45FE}"/>
  </bookViews>
  <sheets>
    <sheet name="storm2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C37" i="1" l="1"/>
  <c r="B41" i="1" l="1"/>
  <c r="B42" i="1"/>
  <c r="B40" i="1"/>
  <c r="C61" i="1"/>
  <c r="C62" i="1"/>
  <c r="C60" i="1"/>
  <c r="C34" i="1"/>
  <c r="B61" i="1"/>
  <c r="B62" i="1"/>
  <c r="C35" i="1" l="1"/>
  <c r="C36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B35" i="1"/>
  <c r="B36" i="1"/>
  <c r="B37" i="1"/>
  <c r="B38" i="1"/>
  <c r="B39" i="1"/>
  <c r="B43" i="1"/>
  <c r="U47" i="1" s="1"/>
  <c r="B44" i="1"/>
  <c r="V47" i="1" s="1"/>
  <c r="B45" i="1"/>
  <c r="W47" i="1" s="1"/>
  <c r="B46" i="1"/>
  <c r="U48" i="1" s="1"/>
  <c r="B47" i="1"/>
  <c r="V48" i="1" s="1"/>
  <c r="B48" i="1"/>
  <c r="W48" i="1" s="1"/>
  <c r="B49" i="1"/>
  <c r="U49" i="1" s="1"/>
  <c r="B50" i="1"/>
  <c r="V49" i="1" s="1"/>
  <c r="B51" i="1"/>
  <c r="W49" i="1" s="1"/>
  <c r="B52" i="1"/>
  <c r="U50" i="1" s="1"/>
  <c r="B53" i="1"/>
  <c r="V50" i="1" s="1"/>
  <c r="B54" i="1"/>
  <c r="W50" i="1" s="1"/>
  <c r="B55" i="1"/>
  <c r="U51" i="1" s="1"/>
  <c r="B56" i="1"/>
  <c r="V51" i="1" s="1"/>
  <c r="B57" i="1"/>
  <c r="W51" i="1" s="1"/>
  <c r="B58" i="1"/>
  <c r="U52" i="1" s="1"/>
  <c r="B59" i="1"/>
  <c r="V52" i="1" s="1"/>
  <c r="B60" i="1"/>
  <c r="W52" i="1" s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34" i="1"/>
</calcChain>
</file>

<file path=xl/sharedStrings.xml><?xml version="1.0" encoding="utf-8"?>
<sst xmlns="http://schemas.openxmlformats.org/spreadsheetml/2006/main" count="62" uniqueCount="47">
  <si>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</si>
  <si>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</si>
  <si>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</si>
  <si>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</si>
  <si>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</si>
  <si>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</si>
  <si>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</si>
  <si>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</si>
  <si>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</si>
  <si>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</si>
  <si>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</si>
  <si>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</si>
  <si>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</si>
  <si>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</si>
  <si>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</si>
  <si>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</si>
  <si>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</si>
  <si>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</si>
  <si>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</si>
  <si>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</si>
  <si>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</si>
  <si>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</si>
  <si>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</si>
  <si>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</si>
  <si>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</si>
  <si>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</si>
  <si>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</si>
  <si>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</si>
  <si>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</si>
  <si>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</si>
  <si>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</si>
  <si>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</si>
  <si>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tau</t>
  </si>
  <si>
    <t>amp_factor</t>
  </si>
  <si>
    <t>timestamp</t>
  </si>
  <si>
    <t>max</t>
  </si>
  <si>
    <t>mean</t>
  </si>
  <si>
    <t>impulses</t>
  </si>
  <si>
    <t>med</t>
  </si>
  <si>
    <t>ch6</t>
  </si>
  <si>
    <t>ch5</t>
  </si>
  <si>
    <t>ch4</t>
  </si>
  <si>
    <t>ch3</t>
  </si>
  <si>
    <t>ch2</t>
  </si>
  <si>
    <t>ch1</t>
  </si>
  <si>
    <t>NEW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</si>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</sst>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164" fontId="0" fillId="33" borderId="0" xfId="0" applyNumberFormat="1" applyFill="1"/>
    <xf numFmtId="0" fontId="0" fillId="33" borderId="0" xfId="0" applyFill="1" applyAlignment="1">
      <alignment horizontal="center"/>
    </xf>
    <xf numFmtId="22" fontId="0" fillId="0" borderId="0" xfId="0" applyNumberFormat="1" applyAlignment="1">
      <alignment horizontal="center"/>
    </xf>
    <xf numFmtId="165" fontId="0" fillId="33" borderId="0" xfId="0" applyNumberFormat="1" applyFill="1"/>
    <xf numFmtId="0" fontId="0" fillId="34" borderId="0" xfId="0" applyFill="1"/>
    <xf numFmtId="2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storm2_results!$I$33</c:f>
              <c:strCache>
                <c:ptCount val="1"/>
                <c:pt idx="0">
                  <c:v>tau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storm2_results!$I$34:$I$125</c:f>
              <c:numCache>
                <c:formatCode>General</c:formatCode>
                <c:ptCount val="92"/>
                <c:pt idx="0">
                  <c:v>0.76957219099999996</c:v>
                </c:pt>
                <c:pt idx="1">
                  <c:v>0.771817164</c:v>
                </c:pt>
                <c:pt idx="2">
                  <c:v>0.78552173950000004</c:v>
                </c:pt>
                <c:pt idx="3">
                  <c:v>0.77333739349999997</c:v>
                </c:pt>
                <c:pt idx="4">
                  <c:v>0.69855224699999996</c:v>
                </c:pt>
                <c:pt idx="5">
                  <c:v>0.71226070049999901</c:v>
                </c:pt>
                <c:pt idx="6">
                  <c:v>0.773592222</c:v>
                </c:pt>
                <c:pt idx="7">
                  <c:v>0.76798645399999999</c:v>
                </c:pt>
                <c:pt idx="8">
                  <c:v>0.7563906655</c:v>
                </c:pt>
                <c:pt idx="9">
                  <c:v>0.72541048299999999</c:v>
                </c:pt>
                <c:pt idx="10">
                  <c:v>0.74867457049999997</c:v>
                </c:pt>
                <c:pt idx="11">
                  <c:v>0.77382161049999998</c:v>
                </c:pt>
                <c:pt idx="12">
                  <c:v>0.75131557849999997</c:v>
                </c:pt>
                <c:pt idx="13">
                  <c:v>0.75904434850000002</c:v>
                </c:pt>
                <c:pt idx="14">
                  <c:v>0.67891565050000002</c:v>
                </c:pt>
                <c:pt idx="15">
                  <c:v>0.70024108200000001</c:v>
                </c:pt>
                <c:pt idx="16">
                  <c:v>0.740701163</c:v>
                </c:pt>
                <c:pt idx="17">
                  <c:v>0.74046465699999997</c:v>
                </c:pt>
                <c:pt idx="18">
                  <c:v>0.74873955049999996</c:v>
                </c:pt>
                <c:pt idx="19">
                  <c:v>0.73845619600000001</c:v>
                </c:pt>
                <c:pt idx="20">
                  <c:v>0.726575334499999</c:v>
                </c:pt>
                <c:pt idx="21">
                  <c:v>0.78202204350000004</c:v>
                </c:pt>
                <c:pt idx="22">
                  <c:v>0.83594533650000002</c:v>
                </c:pt>
                <c:pt idx="23">
                  <c:v>0.78025976949999998</c:v>
                </c:pt>
                <c:pt idx="24">
                  <c:v>0.75657462549999999</c:v>
                </c:pt>
                <c:pt idx="25">
                  <c:v>0.70298291499999999</c:v>
                </c:pt>
                <c:pt idx="26">
                  <c:v>0.68254177999999999</c:v>
                </c:pt>
                <c:pt idx="27">
                  <c:v>0.684465781</c:v>
                </c:pt>
                <c:pt idx="28">
                  <c:v>0.69437548549999994</c:v>
                </c:pt>
                <c:pt idx="29">
                  <c:v>0.7037178785</c:v>
                </c:pt>
                <c:pt idx="30">
                  <c:v>0.672222341</c:v>
                </c:pt>
                <c:pt idx="31">
                  <c:v>0.67980481400000004</c:v>
                </c:pt>
                <c:pt idx="32">
                  <c:v>0.74230587949999904</c:v>
                </c:pt>
                <c:pt idx="33">
                  <c:v>0.76352864149999999</c:v>
                </c:pt>
                <c:pt idx="34">
                  <c:v>0.72191215399999997</c:v>
                </c:pt>
                <c:pt idx="35">
                  <c:v>0.72191215399999997</c:v>
                </c:pt>
                <c:pt idx="36">
                  <c:v>0.77710206100000001</c:v>
                </c:pt>
                <c:pt idx="37">
                  <c:v>0.73831050949999999</c:v>
                </c:pt>
                <c:pt idx="38">
                  <c:v>0.65388842250000001</c:v>
                </c:pt>
                <c:pt idx="39">
                  <c:v>0.66321230600000003</c:v>
                </c:pt>
                <c:pt idx="40">
                  <c:v>0.73972780449999997</c:v>
                </c:pt>
                <c:pt idx="41">
                  <c:v>0.72333429699999996</c:v>
                </c:pt>
                <c:pt idx="42">
                  <c:v>0.71002781749999999</c:v>
                </c:pt>
                <c:pt idx="43">
                  <c:v>0.72868923050000001</c:v>
                </c:pt>
                <c:pt idx="44">
                  <c:v>0.66863318549999995</c:v>
                </c:pt>
                <c:pt idx="45">
                  <c:v>0.65794700399999995</c:v>
                </c:pt>
                <c:pt idx="46">
                  <c:v>0.69552619199999999</c:v>
                </c:pt>
                <c:pt idx="47">
                  <c:v>0.73331566249999902</c:v>
                </c:pt>
                <c:pt idx="48">
                  <c:v>0.74682702999999995</c:v>
                </c:pt>
                <c:pt idx="49">
                  <c:v>0.76967573</c:v>
                </c:pt>
                <c:pt idx="50">
                  <c:v>0.7477791265</c:v>
                </c:pt>
                <c:pt idx="51">
                  <c:v>0.71824162000000003</c:v>
                </c:pt>
                <c:pt idx="52">
                  <c:v>0.72944691949999996</c:v>
                </c:pt>
                <c:pt idx="53">
                  <c:v>0.68032893350000001</c:v>
                </c:pt>
                <c:pt idx="54">
                  <c:v>0.62184915699999999</c:v>
                </c:pt>
                <c:pt idx="55">
                  <c:v>0.63156217000000003</c:v>
                </c:pt>
                <c:pt idx="56">
                  <c:v>0.66496995749999999</c:v>
                </c:pt>
                <c:pt idx="57">
                  <c:v>0.67182250649999997</c:v>
                </c:pt>
                <c:pt idx="58">
                  <c:v>0.69815132099999999</c:v>
                </c:pt>
                <c:pt idx="59">
                  <c:v>1.3141996124999999</c:v>
                </c:pt>
                <c:pt idx="60">
                  <c:v>12.6789259225</c:v>
                </c:pt>
                <c:pt idx="61">
                  <c:v>22.620213794999898</c:v>
                </c:pt>
                <c:pt idx="62">
                  <c:v>19.508647905</c:v>
                </c:pt>
                <c:pt idx="63">
                  <c:v>15.20489341</c:v>
                </c:pt>
                <c:pt idx="64">
                  <c:v>17.173613769999999</c:v>
                </c:pt>
                <c:pt idx="65">
                  <c:v>19.879890565</c:v>
                </c:pt>
                <c:pt idx="66">
                  <c:v>18.271869219999999</c:v>
                </c:pt>
                <c:pt idx="67">
                  <c:v>17.106053899999999</c:v>
                </c:pt>
                <c:pt idx="68">
                  <c:v>15.6821315249999</c:v>
                </c:pt>
                <c:pt idx="69">
                  <c:v>15.17592808</c:v>
                </c:pt>
                <c:pt idx="70">
                  <c:v>14.28611474</c:v>
                </c:pt>
                <c:pt idx="71">
                  <c:v>11.657254006500001</c:v>
                </c:pt>
                <c:pt idx="72">
                  <c:v>9.6026396404999996</c:v>
                </c:pt>
                <c:pt idx="73">
                  <c:v>9.2022879035000003</c:v>
                </c:pt>
                <c:pt idx="74">
                  <c:v>7.7941709709999998</c:v>
                </c:pt>
                <c:pt idx="75">
                  <c:v>5.7733400259999996</c:v>
                </c:pt>
                <c:pt idx="76">
                  <c:v>5.1560535449999998</c:v>
                </c:pt>
                <c:pt idx="77">
                  <c:v>4.4556949205</c:v>
                </c:pt>
                <c:pt idx="78">
                  <c:v>3.5644504299999999</c:v>
                </c:pt>
                <c:pt idx="79">
                  <c:v>3.44414985149999</c:v>
                </c:pt>
                <c:pt idx="80">
                  <c:v>3.4561308749999999</c:v>
                </c:pt>
                <c:pt idx="81">
                  <c:v>3.188326338</c:v>
                </c:pt>
                <c:pt idx="82">
                  <c:v>2.8661624744999998</c:v>
                </c:pt>
                <c:pt idx="83">
                  <c:v>2.6512377974999999</c:v>
                </c:pt>
                <c:pt idx="84">
                  <c:v>2.6445850609999999</c:v>
                </c:pt>
                <c:pt idx="85">
                  <c:v>2.3885584199999998</c:v>
                </c:pt>
                <c:pt idx="86">
                  <c:v>2.4828400044999999</c:v>
                </c:pt>
                <c:pt idx="87">
                  <c:v>2.5050373965000001</c:v>
                </c:pt>
                <c:pt idx="88">
                  <c:v>2.248553292</c:v>
                </c:pt>
                <c:pt idx="89">
                  <c:v>2.1564305309999998</c:v>
                </c:pt>
                <c:pt idx="90">
                  <c:v>2.2236830264999998</c:v>
                </c:pt>
                <c:pt idx="91">
                  <c:v>2.2059633774999998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4-4D8E-A261-D0ECE1E5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storm2_results!$F$34:$F$125</c:f>
              <c:numCache>
                <c:formatCode>0.00E+00</c:formatCode>
                <c:ptCount val="92"/>
                <c:pt idx="0">
                  <c:v>1.4221254009907999E-7</c:v>
                </c:pt>
                <c:pt idx="1">
                  <c:v>1.79726955104284E-7</c:v>
                </c:pt>
                <c:pt idx="2">
                  <c:v>1.69582018075944E-7</c:v>
                </c:pt>
                <c:pt idx="3">
                  <c:v>1.52839039433596E-7</c:v>
                </c:pt>
                <c:pt idx="4">
                  <c:v>1.0321196451396E-7</c:v>
                </c:pt>
                <c:pt idx="5">
                  <c:v>9.9320847969424001E-8</c:v>
                </c:pt>
                <c:pt idx="6">
                  <c:v>1.5051816349752101E-7</c:v>
                </c:pt>
                <c:pt idx="7">
                  <c:v>1.54725410758714E-7</c:v>
                </c:pt>
                <c:pt idx="8">
                  <c:v>1.4647853697863599E-7</c:v>
                </c:pt>
                <c:pt idx="9">
                  <c:v>1.250864956627E-7</c:v>
                </c:pt>
                <c:pt idx="10">
                  <c:v>1.5005887693287601E-7</c:v>
                </c:pt>
                <c:pt idx="11">
                  <c:v>1.4259904240921899E-7</c:v>
                </c:pt>
                <c:pt idx="12">
                  <c:v>1.52001438766829E-7</c:v>
                </c:pt>
                <c:pt idx="13">
                  <c:v>1.3769639682143201E-7</c:v>
                </c:pt>
                <c:pt idx="14">
                  <c:v>1.00749518391823E-7</c:v>
                </c:pt>
                <c:pt idx="15">
                  <c:v>1.05944141049072E-7</c:v>
                </c:pt>
                <c:pt idx="16">
                  <c:v>1.24184369088094E-7</c:v>
                </c:pt>
                <c:pt idx="17">
                  <c:v>1.37878724988046E-7</c:v>
                </c:pt>
                <c:pt idx="18">
                  <c:v>1.19886430033326E-7</c:v>
                </c:pt>
                <c:pt idx="19">
                  <c:v>1.2609225603872499E-7</c:v>
                </c:pt>
                <c:pt idx="20">
                  <c:v>1.20592636157517E-7</c:v>
                </c:pt>
                <c:pt idx="21">
                  <c:v>1.4862872126020399E-7</c:v>
                </c:pt>
                <c:pt idx="22">
                  <c:v>1.7464465475407299E-7</c:v>
                </c:pt>
                <c:pt idx="23">
                  <c:v>1.49384516203063E-7</c:v>
                </c:pt>
                <c:pt idx="24">
                  <c:v>1.31607155934079E-7</c:v>
                </c:pt>
                <c:pt idx="25">
                  <c:v>9.9090210221863701E-8</c:v>
                </c:pt>
                <c:pt idx="26">
                  <c:v>8.8754463725521903E-8</c:v>
                </c:pt>
                <c:pt idx="27">
                  <c:v>8.4536834987216905E-8</c:v>
                </c:pt>
                <c:pt idx="28">
                  <c:v>9.37925917280448E-8</c:v>
                </c:pt>
                <c:pt idx="29">
                  <c:v>1.10005014672529E-7</c:v>
                </c:pt>
                <c:pt idx="30">
                  <c:v>7.42269507867231E-8</c:v>
                </c:pt>
                <c:pt idx="31">
                  <c:v>8.37489976291492E-8</c:v>
                </c:pt>
                <c:pt idx="32">
                  <c:v>1.3456036196529701E-7</c:v>
                </c:pt>
                <c:pt idx="33">
                  <c:v>1.3044573565671401E-7</c:v>
                </c:pt>
                <c:pt idx="34">
                  <c:v>1.0828443230519701E-7</c:v>
                </c:pt>
                <c:pt idx="35">
                  <c:v>9.84825997732359E-8</c:v>
                </c:pt>
                <c:pt idx="36">
                  <c:v>1.2803878825587399E-7</c:v>
                </c:pt>
                <c:pt idx="37">
                  <c:v>1.2629784050930401E-7</c:v>
                </c:pt>
                <c:pt idx="38">
                  <c:v>8.3491559530010094E-8</c:v>
                </c:pt>
                <c:pt idx="39">
                  <c:v>7.7510850378197098E-8</c:v>
                </c:pt>
                <c:pt idx="40">
                  <c:v>1.45550665327585E-7</c:v>
                </c:pt>
                <c:pt idx="41">
                  <c:v>1.03039015709554E-7</c:v>
                </c:pt>
                <c:pt idx="42">
                  <c:v>1.0138129644085801E-7</c:v>
                </c:pt>
                <c:pt idx="43">
                  <c:v>1.11984058743973E-7</c:v>
                </c:pt>
                <c:pt idx="44">
                  <c:v>7.5515919884758005E-8</c:v>
                </c:pt>
                <c:pt idx="45">
                  <c:v>8.9569897468822199E-8</c:v>
                </c:pt>
                <c:pt idx="46">
                  <c:v>9.9278824374308606E-8</c:v>
                </c:pt>
                <c:pt idx="47">
                  <c:v>1.1433540602737001E-7</c:v>
                </c:pt>
                <c:pt idx="48">
                  <c:v>1.45994317995278E-7</c:v>
                </c:pt>
                <c:pt idx="49">
                  <c:v>1.3323298366791201E-7</c:v>
                </c:pt>
                <c:pt idx="50">
                  <c:v>1.27761173164764E-7</c:v>
                </c:pt>
                <c:pt idx="51">
                  <c:v>1.18594503912163E-7</c:v>
                </c:pt>
                <c:pt idx="52">
                  <c:v>1.2827286419484501E-7</c:v>
                </c:pt>
                <c:pt idx="53">
                  <c:v>8.2552067113168302E-8</c:v>
                </c:pt>
                <c:pt idx="54">
                  <c:v>5.6289250569251201E-8</c:v>
                </c:pt>
                <c:pt idx="55">
                  <c:v>8.0481383774328897E-8</c:v>
                </c:pt>
                <c:pt idx="56">
                  <c:v>9.0839956727602702E-8</c:v>
                </c:pt>
                <c:pt idx="57">
                  <c:v>1.0987121629035801E-7</c:v>
                </c:pt>
                <c:pt idx="58">
                  <c:v>1.6818201192618799E-7</c:v>
                </c:pt>
                <c:pt idx="59">
                  <c:v>2.59925867337766E-6</c:v>
                </c:pt>
                <c:pt idx="60" formatCode="General">
                  <c:v>2.2757340169528399E-2</c:v>
                </c:pt>
                <c:pt idx="61" formatCode="General">
                  <c:v>6.88792344191058E-3</c:v>
                </c:pt>
                <c:pt idx="62" formatCode="General">
                  <c:v>5.7579781162764004E-3</c:v>
                </c:pt>
                <c:pt idx="63" formatCode="General">
                  <c:v>5.4595327590182402E-3</c:v>
                </c:pt>
                <c:pt idx="64" formatCode="General">
                  <c:v>4.8759650107001798E-3</c:v>
                </c:pt>
                <c:pt idx="65" formatCode="General">
                  <c:v>5.4686815441540304E-3</c:v>
                </c:pt>
                <c:pt idx="66" formatCode="General">
                  <c:v>5.5732365802783701E-3</c:v>
                </c:pt>
                <c:pt idx="67" formatCode="General">
                  <c:v>5.13099269333694E-3</c:v>
                </c:pt>
                <c:pt idx="68" formatCode="General">
                  <c:v>5.3212337093761601E-3</c:v>
                </c:pt>
                <c:pt idx="69" formatCode="General">
                  <c:v>5.0246263053807796E-3</c:v>
                </c:pt>
                <c:pt idx="70" formatCode="General">
                  <c:v>4.6094203043980297E-3</c:v>
                </c:pt>
                <c:pt idx="71" formatCode="General">
                  <c:v>3.2871035946504899E-3</c:v>
                </c:pt>
                <c:pt idx="72" formatCode="General">
                  <c:v>1.53994824810323E-3</c:v>
                </c:pt>
                <c:pt idx="73" formatCode="General">
                  <c:v>1.2889775231266999E-3</c:v>
                </c:pt>
                <c:pt idx="74" formatCode="General">
                  <c:v>8.0868477222856099E-4</c:v>
                </c:pt>
                <c:pt idx="75" formatCode="General">
                  <c:v>2.5053512897688302E-4</c:v>
                </c:pt>
                <c:pt idx="76" formatCode="General">
                  <c:v>2.17042463423721E-4</c:v>
                </c:pt>
                <c:pt idx="77" formatCode="General">
                  <c:v>1.0496417991406E-4</c:v>
                </c:pt>
                <c:pt idx="78">
                  <c:v>4.98276871901227E-5</c:v>
                </c:pt>
                <c:pt idx="79">
                  <c:v>4.7846362469734101E-5</c:v>
                </c:pt>
                <c:pt idx="80">
                  <c:v>5.58148706582288E-5</c:v>
                </c:pt>
                <c:pt idx="81">
                  <c:v>4.5000964263210298E-5</c:v>
                </c:pt>
                <c:pt idx="82">
                  <c:v>3.0130741794009601E-5</c:v>
                </c:pt>
                <c:pt idx="83">
                  <c:v>2.1020868956811798E-5</c:v>
                </c:pt>
                <c:pt idx="84">
                  <c:v>2.0632970383662501E-5</c:v>
                </c:pt>
                <c:pt idx="85">
                  <c:v>1.7944875951429599E-5</c:v>
                </c:pt>
                <c:pt idx="86">
                  <c:v>1.99608362478804E-5</c:v>
                </c:pt>
                <c:pt idx="87">
                  <c:v>2.1097365103920101E-5</c:v>
                </c:pt>
                <c:pt idx="88">
                  <c:v>1.39144874919424E-5</c:v>
                </c:pt>
                <c:pt idx="89">
                  <c:v>1.08806963286294E-5</c:v>
                </c:pt>
                <c:pt idx="90">
                  <c:v>1.4707523941653399E-5</c:v>
                </c:pt>
                <c:pt idx="91">
                  <c:v>1.19575360197737E-5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A-42D0-9EB5-E2CE5756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3499904"/>
        <c:axId val="1443501824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valAx>
        <c:axId val="1443501824"/>
        <c:scaling>
          <c:orientation val="minMax"/>
        </c:scaling>
        <c:delete val="0"/>
        <c:axPos val="r"/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499904"/>
        <c:crosses val="max"/>
        <c:crossBetween val="midCat"/>
      </c:valAx>
      <c:valAx>
        <c:axId val="1443499904"/>
        <c:scaling>
          <c:orientation val="minMax"/>
        </c:scaling>
        <c:delete val="1"/>
        <c:axPos val="t"/>
        <c:numFmt formatCode="m/d/yyyy\ h:mm" sourceLinked="1"/>
        <c:majorTickMark val="out"/>
        <c:minorTickMark val="none"/>
        <c:tickLblPos val="nextTo"/>
        <c:crossAx val="1443501824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storm2_results!$G$34:$G$125</c:f>
              <c:numCache>
                <c:formatCode>0.00E+00</c:formatCode>
                <c:ptCount val="92"/>
                <c:pt idx="0">
                  <c:v>1.0241565744345101E-7</c:v>
                </c:pt>
                <c:pt idx="1">
                  <c:v>1.20499151459588E-7</c:v>
                </c:pt>
                <c:pt idx="2">
                  <c:v>1.20005438184596E-7</c:v>
                </c:pt>
                <c:pt idx="3">
                  <c:v>1.08786286926953E-7</c:v>
                </c:pt>
                <c:pt idx="4">
                  <c:v>7.1429188097304793E-8</c:v>
                </c:pt>
                <c:pt idx="5">
                  <c:v>7.30254534228644E-8</c:v>
                </c:pt>
                <c:pt idx="6">
                  <c:v>1.04704687978662E-7</c:v>
                </c:pt>
                <c:pt idx="7">
                  <c:v>1.02731019720165E-7</c:v>
                </c:pt>
                <c:pt idx="8">
                  <c:v>9.8851786152673197E-8</c:v>
                </c:pt>
                <c:pt idx="9">
                  <c:v>8.4852414708764497E-8</c:v>
                </c:pt>
                <c:pt idx="10">
                  <c:v>9.6509140572479604E-8</c:v>
                </c:pt>
                <c:pt idx="11">
                  <c:v>1.1203052388438301E-7</c:v>
                </c:pt>
                <c:pt idx="12">
                  <c:v>9.8880517814838898E-8</c:v>
                </c:pt>
                <c:pt idx="13">
                  <c:v>1.00303065136692E-7</c:v>
                </c:pt>
                <c:pt idx="14">
                  <c:v>6.65190960647415E-8</c:v>
                </c:pt>
                <c:pt idx="15">
                  <c:v>7.4729274315264904E-8</c:v>
                </c:pt>
                <c:pt idx="16">
                  <c:v>9.1626075600631999E-8</c:v>
                </c:pt>
                <c:pt idx="17">
                  <c:v>9.1043662179332501E-8</c:v>
                </c:pt>
                <c:pt idx="18">
                  <c:v>9.0438348701767694E-8</c:v>
                </c:pt>
                <c:pt idx="19">
                  <c:v>8.0139140013971602E-8</c:v>
                </c:pt>
                <c:pt idx="20">
                  <c:v>8.0614375783670403E-8</c:v>
                </c:pt>
                <c:pt idx="21">
                  <c:v>9.9911035846152306E-8</c:v>
                </c:pt>
                <c:pt idx="22">
                  <c:v>1.2689158872093E-7</c:v>
                </c:pt>
                <c:pt idx="23">
                  <c:v>9.9734847598926806E-8</c:v>
                </c:pt>
                <c:pt idx="24">
                  <c:v>8.9444193016331499E-8</c:v>
                </c:pt>
                <c:pt idx="25">
                  <c:v>6.9326029535019303E-8</c:v>
                </c:pt>
                <c:pt idx="26">
                  <c:v>6.2073327359061195E-8</c:v>
                </c:pt>
                <c:pt idx="27">
                  <c:v>6.0520993909596605E-8</c:v>
                </c:pt>
                <c:pt idx="28">
                  <c:v>6.5868796186162205E-8</c:v>
                </c:pt>
                <c:pt idx="29">
                  <c:v>6.7867040767186004E-8</c:v>
                </c:pt>
                <c:pt idx="30">
                  <c:v>5.5165883337354401E-8</c:v>
                </c:pt>
                <c:pt idx="31">
                  <c:v>5.9000236484766003E-8</c:v>
                </c:pt>
                <c:pt idx="32">
                  <c:v>8.5166857477847597E-8</c:v>
                </c:pt>
                <c:pt idx="33">
                  <c:v>9.1662464954226799E-8</c:v>
                </c:pt>
                <c:pt idx="34">
                  <c:v>7.20934558107596E-8</c:v>
                </c:pt>
                <c:pt idx="35">
                  <c:v>7.2973329046067995E-8</c:v>
                </c:pt>
                <c:pt idx="36">
                  <c:v>9.9821754575454596E-8</c:v>
                </c:pt>
                <c:pt idx="37">
                  <c:v>8.7222203919932196E-8</c:v>
                </c:pt>
                <c:pt idx="38">
                  <c:v>5.5401764956497602E-8</c:v>
                </c:pt>
                <c:pt idx="39">
                  <c:v>5.6226789050408003E-8</c:v>
                </c:pt>
                <c:pt idx="40">
                  <c:v>9.2450805376652304E-8</c:v>
                </c:pt>
                <c:pt idx="41">
                  <c:v>7.7052784807964101E-8</c:v>
                </c:pt>
                <c:pt idx="42">
                  <c:v>6.8550282581515004E-8</c:v>
                </c:pt>
                <c:pt idx="43">
                  <c:v>7.6743643584538195E-8</c:v>
                </c:pt>
                <c:pt idx="44">
                  <c:v>5.5415046706262998E-8</c:v>
                </c:pt>
                <c:pt idx="45">
                  <c:v>5.4019436663800003E-8</c:v>
                </c:pt>
                <c:pt idx="46">
                  <c:v>6.9586164386871801E-8</c:v>
                </c:pt>
                <c:pt idx="47">
                  <c:v>7.7679576315849496E-8</c:v>
                </c:pt>
                <c:pt idx="48">
                  <c:v>8.4131964117135899E-8</c:v>
                </c:pt>
                <c:pt idx="49">
                  <c:v>9.3968925913969705E-8</c:v>
                </c:pt>
                <c:pt idx="50">
                  <c:v>8.7970624737456199E-8</c:v>
                </c:pt>
                <c:pt idx="51">
                  <c:v>7.3975211962877299E-8</c:v>
                </c:pt>
                <c:pt idx="52">
                  <c:v>7.4654950597264206E-8</c:v>
                </c:pt>
                <c:pt idx="53">
                  <c:v>6.0372354715777496E-8</c:v>
                </c:pt>
                <c:pt idx="54">
                  <c:v>4.2416858249319797E-8</c:v>
                </c:pt>
                <c:pt idx="55">
                  <c:v>4.4127540268418999E-8</c:v>
                </c:pt>
                <c:pt idx="56">
                  <c:v>5.3810977227716901E-8</c:v>
                </c:pt>
                <c:pt idx="57">
                  <c:v>6.3632234929052404E-8</c:v>
                </c:pt>
                <c:pt idx="58">
                  <c:v>7.8458636089864999E-8</c:v>
                </c:pt>
                <c:pt idx="59">
                  <c:v>1.5064434394438E-6</c:v>
                </c:pt>
                <c:pt idx="60" formatCode="General">
                  <c:v>1.5074113040056999E-2</c:v>
                </c:pt>
                <c:pt idx="61" formatCode="General">
                  <c:v>5.2632160762136997E-3</c:v>
                </c:pt>
                <c:pt idx="62" formatCode="General">
                  <c:v>4.3034871843328102E-3</c:v>
                </c:pt>
                <c:pt idx="63" formatCode="General">
                  <c:v>3.73312242376734E-3</c:v>
                </c:pt>
                <c:pt idx="64" formatCode="General">
                  <c:v>3.8349105547707601E-3</c:v>
                </c:pt>
                <c:pt idx="65" formatCode="General">
                  <c:v>4.1693597551748099E-3</c:v>
                </c:pt>
                <c:pt idx="66" formatCode="General">
                  <c:v>4.0689924661150003E-3</c:v>
                </c:pt>
                <c:pt idx="67" formatCode="General">
                  <c:v>3.8609092961429401E-3</c:v>
                </c:pt>
                <c:pt idx="68" formatCode="General">
                  <c:v>3.9617353648852298E-3</c:v>
                </c:pt>
                <c:pt idx="69" formatCode="General">
                  <c:v>3.7796923673478599E-3</c:v>
                </c:pt>
                <c:pt idx="70" formatCode="General">
                  <c:v>3.4150561791017799E-3</c:v>
                </c:pt>
                <c:pt idx="71" formatCode="General">
                  <c:v>2.4282991180632702E-3</c:v>
                </c:pt>
                <c:pt idx="72" formatCode="General">
                  <c:v>1.13220963305243E-3</c:v>
                </c:pt>
                <c:pt idx="73" formatCode="General">
                  <c:v>9.0857415429634804E-4</c:v>
                </c:pt>
                <c:pt idx="74" formatCode="General">
                  <c:v>5.0092932934170495E-4</c:v>
                </c:pt>
                <c:pt idx="75" formatCode="General">
                  <c:v>1.7447305057741801E-4</c:v>
                </c:pt>
                <c:pt idx="76" formatCode="General">
                  <c:v>1.2600532544730899E-4</c:v>
                </c:pt>
                <c:pt idx="77">
                  <c:v>7.2185834863316203E-5</c:v>
                </c:pt>
                <c:pt idx="78">
                  <c:v>3.3243159845828698E-5</c:v>
                </c:pt>
                <c:pt idx="79">
                  <c:v>3.2793823835698597E-5</c:v>
                </c:pt>
                <c:pt idx="80">
                  <c:v>3.6610251523688897E-5</c:v>
                </c:pt>
                <c:pt idx="81">
                  <c:v>2.9029412986223601E-5</c:v>
                </c:pt>
                <c:pt idx="82">
                  <c:v>2.0282573208857299E-5</c:v>
                </c:pt>
                <c:pt idx="83">
                  <c:v>1.6384844595069299E-5</c:v>
                </c:pt>
                <c:pt idx="84">
                  <c:v>1.57769548440178E-5</c:v>
                </c:pt>
                <c:pt idx="85">
                  <c:v>1.30014387435252E-5</c:v>
                </c:pt>
                <c:pt idx="86">
                  <c:v>1.43658053952108E-5</c:v>
                </c:pt>
                <c:pt idx="87">
                  <c:v>1.5755364013596901E-5</c:v>
                </c:pt>
                <c:pt idx="88">
                  <c:v>1.04508581839459E-5</c:v>
                </c:pt>
                <c:pt idx="89">
                  <c:v>8.0953361912696808E-6</c:v>
                </c:pt>
                <c:pt idx="90">
                  <c:v>9.8096587014311299E-6</c:v>
                </c:pt>
                <c:pt idx="91">
                  <c:v>9.0786636044787495E-6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45-43AE-B919-95E63F4C4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storm2_results!$E$34:$E$125</c:f>
              <c:numCache>
                <c:formatCode>m/d/yyyy\ h:mm</c:formatCode>
                <c:ptCount val="92"/>
                <c:pt idx="0">
                  <c:v>44776.000694444447</c:v>
                </c:pt>
                <c:pt idx="1">
                  <c:v>44776.011111111111</c:v>
                </c:pt>
                <c:pt idx="2">
                  <c:v>44776.021527777775</c:v>
                </c:pt>
                <c:pt idx="3">
                  <c:v>44776.031944444447</c:v>
                </c:pt>
                <c:pt idx="4">
                  <c:v>44776.042361111111</c:v>
                </c:pt>
                <c:pt idx="5">
                  <c:v>44776.052777777775</c:v>
                </c:pt>
                <c:pt idx="6">
                  <c:v>44776.063194444447</c:v>
                </c:pt>
                <c:pt idx="7">
                  <c:v>44776.073611111111</c:v>
                </c:pt>
                <c:pt idx="8">
                  <c:v>44776.084027777775</c:v>
                </c:pt>
                <c:pt idx="9">
                  <c:v>44776.094444444447</c:v>
                </c:pt>
                <c:pt idx="10">
                  <c:v>44776.104861111111</c:v>
                </c:pt>
                <c:pt idx="11">
                  <c:v>44776.115277777775</c:v>
                </c:pt>
                <c:pt idx="12">
                  <c:v>44776.125694444447</c:v>
                </c:pt>
                <c:pt idx="13">
                  <c:v>44776.136111111111</c:v>
                </c:pt>
                <c:pt idx="14">
                  <c:v>44776.146527777775</c:v>
                </c:pt>
                <c:pt idx="15">
                  <c:v>44776.156944444447</c:v>
                </c:pt>
                <c:pt idx="16">
                  <c:v>44776.167361111111</c:v>
                </c:pt>
                <c:pt idx="17">
                  <c:v>44776.177777777775</c:v>
                </c:pt>
                <c:pt idx="18">
                  <c:v>44776.188194444447</c:v>
                </c:pt>
                <c:pt idx="19">
                  <c:v>44776.198611111111</c:v>
                </c:pt>
                <c:pt idx="20">
                  <c:v>44776.209027777775</c:v>
                </c:pt>
                <c:pt idx="21">
                  <c:v>44776.219444444447</c:v>
                </c:pt>
                <c:pt idx="22">
                  <c:v>44776.229861111111</c:v>
                </c:pt>
                <c:pt idx="23">
                  <c:v>44776.240277777775</c:v>
                </c:pt>
                <c:pt idx="24">
                  <c:v>44776.250694444447</c:v>
                </c:pt>
                <c:pt idx="25">
                  <c:v>44776.261111111111</c:v>
                </c:pt>
                <c:pt idx="26">
                  <c:v>44776.271527777775</c:v>
                </c:pt>
                <c:pt idx="27">
                  <c:v>44776.281944444447</c:v>
                </c:pt>
                <c:pt idx="28">
                  <c:v>44776.292361111111</c:v>
                </c:pt>
                <c:pt idx="29">
                  <c:v>44776.302777777775</c:v>
                </c:pt>
                <c:pt idx="30">
                  <c:v>44776.313194444447</c:v>
                </c:pt>
                <c:pt idx="31">
                  <c:v>44776.323611111111</c:v>
                </c:pt>
                <c:pt idx="32">
                  <c:v>44776.334027777775</c:v>
                </c:pt>
                <c:pt idx="33">
                  <c:v>44776.344444444447</c:v>
                </c:pt>
                <c:pt idx="34">
                  <c:v>44776.354861111111</c:v>
                </c:pt>
                <c:pt idx="35">
                  <c:v>44776.365277777775</c:v>
                </c:pt>
                <c:pt idx="36">
                  <c:v>44776.375694444447</c:v>
                </c:pt>
                <c:pt idx="37">
                  <c:v>44776.386111111111</c:v>
                </c:pt>
                <c:pt idx="38">
                  <c:v>44776.396527777775</c:v>
                </c:pt>
                <c:pt idx="39">
                  <c:v>44776.406944444447</c:v>
                </c:pt>
                <c:pt idx="40">
                  <c:v>44776.417361111111</c:v>
                </c:pt>
                <c:pt idx="41">
                  <c:v>44776.427777777775</c:v>
                </c:pt>
                <c:pt idx="42">
                  <c:v>44776.438194444447</c:v>
                </c:pt>
                <c:pt idx="43">
                  <c:v>44776.448611111111</c:v>
                </c:pt>
                <c:pt idx="44">
                  <c:v>44776.459027777775</c:v>
                </c:pt>
                <c:pt idx="45">
                  <c:v>44776.469444444447</c:v>
                </c:pt>
                <c:pt idx="46">
                  <c:v>44776.479861111111</c:v>
                </c:pt>
                <c:pt idx="47">
                  <c:v>44776.490277777775</c:v>
                </c:pt>
                <c:pt idx="48">
                  <c:v>44776.500694444447</c:v>
                </c:pt>
                <c:pt idx="49">
                  <c:v>44776.511111111111</c:v>
                </c:pt>
                <c:pt idx="50">
                  <c:v>44776.521527777775</c:v>
                </c:pt>
                <c:pt idx="51">
                  <c:v>44776.531944444447</c:v>
                </c:pt>
                <c:pt idx="52">
                  <c:v>44776.542361111111</c:v>
                </c:pt>
                <c:pt idx="53">
                  <c:v>44776.552777777775</c:v>
                </c:pt>
                <c:pt idx="54">
                  <c:v>44776.563194444447</c:v>
                </c:pt>
                <c:pt idx="55">
                  <c:v>44776.573611111111</c:v>
                </c:pt>
                <c:pt idx="56">
                  <c:v>44776.584027777775</c:v>
                </c:pt>
                <c:pt idx="57">
                  <c:v>44776.594444444447</c:v>
                </c:pt>
                <c:pt idx="58">
                  <c:v>44776.604861111111</c:v>
                </c:pt>
                <c:pt idx="59">
                  <c:v>44776.615277777775</c:v>
                </c:pt>
                <c:pt idx="60">
                  <c:v>44776.625694444447</c:v>
                </c:pt>
                <c:pt idx="61">
                  <c:v>44776.636111111111</c:v>
                </c:pt>
                <c:pt idx="62">
                  <c:v>44776.646527777775</c:v>
                </c:pt>
                <c:pt idx="63">
                  <c:v>44776.656944444447</c:v>
                </c:pt>
                <c:pt idx="64">
                  <c:v>44776.667361111111</c:v>
                </c:pt>
                <c:pt idx="65">
                  <c:v>44776.677777777775</c:v>
                </c:pt>
                <c:pt idx="66">
                  <c:v>44776.688194444447</c:v>
                </c:pt>
                <c:pt idx="67">
                  <c:v>44776.698611111111</c:v>
                </c:pt>
                <c:pt idx="68">
                  <c:v>44776.709027777775</c:v>
                </c:pt>
                <c:pt idx="69">
                  <c:v>44776.719444444447</c:v>
                </c:pt>
                <c:pt idx="70">
                  <c:v>44776.729861111111</c:v>
                </c:pt>
                <c:pt idx="71">
                  <c:v>44776.740277777775</c:v>
                </c:pt>
                <c:pt idx="72">
                  <c:v>44776.750694444447</c:v>
                </c:pt>
                <c:pt idx="73">
                  <c:v>44776.761111111111</c:v>
                </c:pt>
                <c:pt idx="74">
                  <c:v>44776.771527777775</c:v>
                </c:pt>
                <c:pt idx="75">
                  <c:v>44776.781944444447</c:v>
                </c:pt>
                <c:pt idx="76">
                  <c:v>44776.792361111111</c:v>
                </c:pt>
                <c:pt idx="77">
                  <c:v>44776.802777777775</c:v>
                </c:pt>
                <c:pt idx="78">
                  <c:v>44776.813194444447</c:v>
                </c:pt>
                <c:pt idx="79">
                  <c:v>44776.823611111111</c:v>
                </c:pt>
                <c:pt idx="80">
                  <c:v>44776.834027777775</c:v>
                </c:pt>
                <c:pt idx="81">
                  <c:v>44776.844444444447</c:v>
                </c:pt>
                <c:pt idx="82">
                  <c:v>44776.854861111111</c:v>
                </c:pt>
                <c:pt idx="83">
                  <c:v>44776.865277777775</c:v>
                </c:pt>
                <c:pt idx="84">
                  <c:v>44776.875694444447</c:v>
                </c:pt>
                <c:pt idx="85">
                  <c:v>44776.917361111111</c:v>
                </c:pt>
                <c:pt idx="86">
                  <c:v>44776.948611111111</c:v>
                </c:pt>
                <c:pt idx="87">
                  <c:v>44776.959027777775</c:v>
                </c:pt>
                <c:pt idx="88">
                  <c:v>44776.969444444447</c:v>
                </c:pt>
                <c:pt idx="89">
                  <c:v>44776.979861111111</c:v>
                </c:pt>
                <c:pt idx="90">
                  <c:v>44776.990277777775</c:v>
                </c:pt>
                <c:pt idx="91">
                  <c:v>44777.000694444447</c:v>
                </c:pt>
              </c:numCache>
            </c:numRef>
          </c:xVal>
          <c:yVal>
            <c:numRef>
              <c:f>storm2_results!$H$34:$H$125</c:f>
              <c:numCache>
                <c:formatCode>0.00E+00</c:formatCode>
                <c:ptCount val="92"/>
                <c:pt idx="0">
                  <c:v>1.0073633442779E-7</c:v>
                </c:pt>
                <c:pt idx="1">
                  <c:v>1.18015357706683E-7</c:v>
                </c:pt>
                <c:pt idx="2">
                  <c:v>1.16530876805227E-7</c:v>
                </c:pt>
                <c:pt idx="3">
                  <c:v>1.0671267180346699E-7</c:v>
                </c:pt>
                <c:pt idx="4">
                  <c:v>6.8511342838640803E-8</c:v>
                </c:pt>
                <c:pt idx="5">
                  <c:v>7.0488779968203097E-8</c:v>
                </c:pt>
                <c:pt idx="6">
                  <c:v>9.9943307395675201E-8</c:v>
                </c:pt>
                <c:pt idx="7">
                  <c:v>9.9763520923234002E-8</c:v>
                </c:pt>
                <c:pt idx="8">
                  <c:v>9.5011161685906004E-8</c:v>
                </c:pt>
                <c:pt idx="9">
                  <c:v>8.3446283164622004E-8</c:v>
                </c:pt>
                <c:pt idx="10">
                  <c:v>9.29777467387017E-8</c:v>
                </c:pt>
                <c:pt idx="11">
                  <c:v>1.10933720359415E-7</c:v>
                </c:pt>
                <c:pt idx="12">
                  <c:v>9.6879095171269695E-8</c:v>
                </c:pt>
                <c:pt idx="13">
                  <c:v>9.6594583892903297E-8</c:v>
                </c:pt>
                <c:pt idx="14">
                  <c:v>6.5868391454465701E-8</c:v>
                </c:pt>
                <c:pt idx="15">
                  <c:v>7.2350754825156606E-8</c:v>
                </c:pt>
                <c:pt idx="16">
                  <c:v>8.9999651819504605E-8</c:v>
                </c:pt>
                <c:pt idx="17">
                  <c:v>8.8756820982546494E-8</c:v>
                </c:pt>
                <c:pt idx="18">
                  <c:v>8.9869343015544797E-8</c:v>
                </c:pt>
                <c:pt idx="19">
                  <c:v>7.9210550984000096E-8</c:v>
                </c:pt>
                <c:pt idx="20">
                  <c:v>7.7602655868289506E-8</c:v>
                </c:pt>
                <c:pt idx="21">
                  <c:v>1.00071864968304E-7</c:v>
                </c:pt>
                <c:pt idx="22">
                  <c:v>1.2298411605744001E-7</c:v>
                </c:pt>
                <c:pt idx="23">
                  <c:v>9.7162063567462706E-8</c:v>
                </c:pt>
                <c:pt idx="24">
                  <c:v>8.8544174547710997E-8</c:v>
                </c:pt>
                <c:pt idx="25">
                  <c:v>6.7997843442912401E-8</c:v>
                </c:pt>
                <c:pt idx="26">
                  <c:v>6.1101900878412694E-8</c:v>
                </c:pt>
                <c:pt idx="27">
                  <c:v>5.95214996260397E-8</c:v>
                </c:pt>
                <c:pt idx="28">
                  <c:v>6.3775344592046203E-8</c:v>
                </c:pt>
                <c:pt idx="29">
                  <c:v>6.6226772943665902E-8</c:v>
                </c:pt>
                <c:pt idx="30">
                  <c:v>5.4629051040995798E-8</c:v>
                </c:pt>
                <c:pt idx="31">
                  <c:v>5.7951294409898098E-8</c:v>
                </c:pt>
                <c:pt idx="32">
                  <c:v>8.41282960556246E-8</c:v>
                </c:pt>
                <c:pt idx="33">
                  <c:v>8.9480617106329296E-8</c:v>
                </c:pt>
                <c:pt idx="34">
                  <c:v>6.9263412127430206E-8</c:v>
                </c:pt>
                <c:pt idx="35">
                  <c:v>7.2117064164911005E-8</c:v>
                </c:pt>
                <c:pt idx="36">
                  <c:v>9.5313123490926E-8</c:v>
                </c:pt>
                <c:pt idx="37">
                  <c:v>8.5271360606545198E-8</c:v>
                </c:pt>
                <c:pt idx="38">
                  <c:v>5.2415276552998997E-8</c:v>
                </c:pt>
                <c:pt idx="39">
                  <c:v>5.4685288157373297E-8</c:v>
                </c:pt>
                <c:pt idx="40">
                  <c:v>8.8795646739425097E-8</c:v>
                </c:pt>
                <c:pt idx="41">
                  <c:v>7.6227209236170099E-8</c:v>
                </c:pt>
                <c:pt idx="42">
                  <c:v>6.7221217486965405E-8</c:v>
                </c:pt>
                <c:pt idx="43">
                  <c:v>7.4836203919844605E-8</c:v>
                </c:pt>
                <c:pt idx="44">
                  <c:v>5.2865704198383603E-8</c:v>
                </c:pt>
                <c:pt idx="45">
                  <c:v>5.1936139422548101E-8</c:v>
                </c:pt>
                <c:pt idx="46">
                  <c:v>6.7502304541728903E-8</c:v>
                </c:pt>
                <c:pt idx="47">
                  <c:v>7.4913477103605801E-8</c:v>
                </c:pt>
                <c:pt idx="48">
                  <c:v>8.3264191209349899E-8</c:v>
                </c:pt>
                <c:pt idx="49">
                  <c:v>9.1049288581031497E-8</c:v>
                </c:pt>
                <c:pt idx="50">
                  <c:v>8.6416574325402399E-8</c:v>
                </c:pt>
                <c:pt idx="51">
                  <c:v>7.1228262113146997E-8</c:v>
                </c:pt>
                <c:pt idx="52">
                  <c:v>7.1674042631118694E-8</c:v>
                </c:pt>
                <c:pt idx="53">
                  <c:v>5.8814106879375399E-8</c:v>
                </c:pt>
                <c:pt idx="54">
                  <c:v>4.2028462983332902E-8</c:v>
                </c:pt>
                <c:pt idx="55">
                  <c:v>4.4271922955657401E-8</c:v>
                </c:pt>
                <c:pt idx="56">
                  <c:v>5.1739962039249402E-8</c:v>
                </c:pt>
                <c:pt idx="57">
                  <c:v>6.1414011629415794E-8</c:v>
                </c:pt>
                <c:pt idx="58">
                  <c:v>7.6211456307944803E-8</c:v>
                </c:pt>
                <c:pt idx="59">
                  <c:v>1.4754195766852299E-6</c:v>
                </c:pt>
                <c:pt idx="60" formatCode="General">
                  <c:v>1.5423120947055899E-2</c:v>
                </c:pt>
                <c:pt idx="61" formatCode="General">
                  <c:v>5.1904084650772203E-3</c:v>
                </c:pt>
                <c:pt idx="62" formatCode="General">
                  <c:v>4.2479273350382804E-3</c:v>
                </c:pt>
                <c:pt idx="63" formatCode="General">
                  <c:v>3.6689607626336899E-3</c:v>
                </c:pt>
                <c:pt idx="64" formatCode="General">
                  <c:v>3.8009525886131702E-3</c:v>
                </c:pt>
                <c:pt idx="65" formatCode="General">
                  <c:v>4.0915902838031598E-3</c:v>
                </c:pt>
                <c:pt idx="66" formatCode="General">
                  <c:v>4.1066535045521501E-3</c:v>
                </c:pt>
                <c:pt idx="67" formatCode="General">
                  <c:v>3.81052600834838E-3</c:v>
                </c:pt>
                <c:pt idx="68" formatCode="General">
                  <c:v>3.9552836608285503E-3</c:v>
                </c:pt>
                <c:pt idx="69" formatCode="General">
                  <c:v>3.7380522520664501E-3</c:v>
                </c:pt>
                <c:pt idx="70" formatCode="General">
                  <c:v>3.38527038793886E-3</c:v>
                </c:pt>
                <c:pt idx="71" formatCode="General">
                  <c:v>2.4202239275499301E-3</c:v>
                </c:pt>
                <c:pt idx="72" formatCode="General">
                  <c:v>1.11520615110727E-3</c:v>
                </c:pt>
                <c:pt idx="73" formatCode="General">
                  <c:v>8.9064617208336203E-4</c:v>
                </c:pt>
                <c:pt idx="74" formatCode="General">
                  <c:v>4.7584114233522798E-4</c:v>
                </c:pt>
                <c:pt idx="75" formatCode="General">
                  <c:v>1.7018734772214199E-4</c:v>
                </c:pt>
                <c:pt idx="76" formatCode="General">
                  <c:v>1.24470880737367E-4</c:v>
                </c:pt>
                <c:pt idx="77">
                  <c:v>7.0911334416404696E-5</c:v>
                </c:pt>
                <c:pt idx="78">
                  <c:v>3.24324587199272E-5</c:v>
                </c:pt>
                <c:pt idx="79">
                  <c:v>3.1601412504950497E-5</c:v>
                </c:pt>
                <c:pt idx="80">
                  <c:v>3.64598528387605E-5</c:v>
                </c:pt>
                <c:pt idx="81">
                  <c:v>2.8204407565554602E-5</c:v>
                </c:pt>
                <c:pt idx="82">
                  <c:v>2.0316057198426402E-5</c:v>
                </c:pt>
                <c:pt idx="83">
                  <c:v>1.6606812841669698E-5</c:v>
                </c:pt>
                <c:pt idx="84">
                  <c:v>1.5706996456229699E-5</c:v>
                </c:pt>
                <c:pt idx="85">
                  <c:v>1.2767304994691E-5</c:v>
                </c:pt>
                <c:pt idx="86">
                  <c:v>1.38971609558558E-5</c:v>
                </c:pt>
                <c:pt idx="87">
                  <c:v>1.5651695027523801E-5</c:v>
                </c:pt>
                <c:pt idx="88">
                  <c:v>1.03792618030323E-5</c:v>
                </c:pt>
                <c:pt idx="89">
                  <c:v>8.0426144988607792E-6</c:v>
                </c:pt>
                <c:pt idx="90">
                  <c:v>9.4898696381410604E-6</c:v>
                </c:pt>
                <c:pt idx="91">
                  <c:v>8.97841370194367E-6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25-45C8-8030-10BE2A3FA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374511"/>
        <c:axId val="382721663"/>
      </c:scatterChart>
      <c:valAx>
        <c:axId val="54137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721663"/>
        <c:crosses val="autoZero"/>
        <c:crossBetween val="midCat"/>
      </c:valAx>
      <c:valAx>
        <c:axId val="38272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37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178174</xdr:colOff>
      <xdr:row>32</xdr:row>
      <xdr:rowOff>100292</xdr:rowOff>
    </xdr:from>
    <xdr:to>
      <xdr:col>18</xdr:col>
      <xdr:colOff>526116</xdr:colOff>
      <xdr:row>44</xdr:row>
      <xdr:rowOff>186017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966E3D-9853-4B49-A6A6-21A8CEA7C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168647</xdr:colOff>
      <xdr:row>45</xdr:row>
      <xdr:rowOff>43142</xdr:rowOff>
    </xdr:from>
    <xdr:to>
      <xdr:col>18</xdr:col>
      <xdr:colOff>554690</xdr:colOff>
      <xdr:row>57</xdr:row>
      <xdr:rowOff>62192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98D7861-AC34-4E1C-8D9D-5EE6F3181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168647</xdr:colOff>
      <xdr:row>57</xdr:row>
      <xdr:rowOff>90767</xdr:rowOff>
    </xdr:from>
    <xdr:to>
      <xdr:col>18</xdr:col>
      <xdr:colOff>573740</xdr:colOff>
      <xdr:row>70</xdr:row>
      <xdr:rowOff>5042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844741-6BD0-4705-BBD7-69B1D1E3B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C4130-64D5-42FE-8592-ED0ECA68F7E8}">
  <dimension ref="A1:CS129"/>
  <sheetViews>
    <sheetView tabSelected="1" topLeftCell="BB1" zoomScale="85" zoomScaleNormal="85" workbookViewId="0">
      <selection activeCell="BN18" sqref="BN18"/>
    </sheetView>
  </sheetViews>
  <sheetFormatPr defaultRowHeight="15" x14ac:dyDescent="0.25"/>
  <cols>
    <col min="1" max="1" width="15.28515625" customWidth="1"/>
    <col min="2" max="2" width="12.42578125" bestFit="1" customWidth="1"/>
    <col min="3" max="3" width="12.85546875" customWidth="1"/>
    <col min="4" max="4" width="12.28515625" customWidth="1"/>
    <col min="5" max="5" width="15.42578125" customWidth="1"/>
    <col min="6" max="6" width="13" customWidth="1"/>
    <col min="20" max="20" width="12.7109375" customWidth="1"/>
    <col min="61" max="61" width="13.140625" customWidth="1"/>
    <col min="62" max="62" width="14" customWidth="1"/>
    <col min="63" max="63" width="16.85546875" customWidth="1"/>
  </cols>
  <sheetData>
    <row r="1" spans="1:97" x14ac:dyDescent="0.25">
      <c r="B1" s="1">
        <v>44776.000694444447</v>
      </c>
      <c r="C1" s="1">
        <v>44776.011111111111</v>
      </c>
      <c r="D1" s="1">
        <v>44776.021527777775</v>
      </c>
      <c r="E1" s="1">
        <v>44776.031944444447</v>
      </c>
      <c r="F1" s="1">
        <v>44776.042361111111</v>
      </c>
      <c r="G1" s="1">
        <v>44776.052777777775</v>
      </c>
      <c r="H1" s="1">
        <v>44776.063194444447</v>
      </c>
      <c r="I1" s="1">
        <v>44776.073611111111</v>
      </c>
      <c r="J1" s="1">
        <v>44776.084027777775</v>
      </c>
      <c r="K1" s="1">
        <v>44776.094444444447</v>
      </c>
      <c r="L1" s="1">
        <v>44776.104861111111</v>
      </c>
      <c r="M1" s="1">
        <v>44776.115277777775</v>
      </c>
      <c r="N1" s="1">
        <v>44776.125694444447</v>
      </c>
      <c r="O1" s="1">
        <v>44776.136111111111</v>
      </c>
      <c r="P1" s="1">
        <v>44776.146527777775</v>
      </c>
      <c r="Q1" s="1">
        <v>44776.156944444447</v>
      </c>
      <c r="R1" s="1">
        <v>44776.167361111111</v>
      </c>
      <c r="S1" s="1">
        <v>44776.177777777775</v>
      </c>
      <c r="T1" s="1">
        <v>44776.188194444447</v>
      </c>
      <c r="U1" s="1">
        <v>44776.198611111111</v>
      </c>
      <c r="V1" s="1">
        <v>44776.209027777775</v>
      </c>
      <c r="W1" s="1">
        <v>44776.219444444447</v>
      </c>
      <c r="X1" s="1">
        <v>44776.229861111111</v>
      </c>
      <c r="Y1" s="1">
        <v>44776.240277777775</v>
      </c>
      <c r="Z1" s="1">
        <v>44776.250694444447</v>
      </c>
      <c r="AA1" s="1">
        <v>44776.261111111111</v>
      </c>
      <c r="AB1" s="1">
        <v>44776.271527777775</v>
      </c>
      <c r="AC1" s="1">
        <v>44776.281944444447</v>
      </c>
      <c r="AD1" s="1">
        <v>44776.292361111111</v>
      </c>
      <c r="AE1" s="1">
        <v>44776.302777777775</v>
      </c>
      <c r="AF1" s="1">
        <v>44776.313194444447</v>
      </c>
      <c r="AG1" s="1">
        <v>44776.323611111111</v>
      </c>
      <c r="AH1" s="1">
        <v>44776.334027777775</v>
      </c>
      <c r="AI1" s="1">
        <v>44776.344444444447</v>
      </c>
      <c r="AJ1" s="1">
        <v>44776.354861111111</v>
      </c>
      <c r="AK1" s="1">
        <v>44776.365277777775</v>
      </c>
      <c r="AL1" s="1">
        <v>44776.375694444447</v>
      </c>
      <c r="AM1" s="1">
        <v>44776.386111111111</v>
      </c>
      <c r="AN1" s="1">
        <v>44776.396527777775</v>
      </c>
      <c r="AO1" s="1">
        <v>44776.406944444447</v>
      </c>
      <c r="AP1" s="1">
        <v>44776.417361111111</v>
      </c>
      <c r="AQ1" s="1">
        <v>44776.427777777775</v>
      </c>
      <c r="AR1" s="1">
        <v>44776.438194444447</v>
      </c>
      <c r="AS1" s="1">
        <v>44776.448611111111</v>
      </c>
      <c r="AT1" s="1">
        <v>44776.459027777775</v>
      </c>
      <c r="AU1" s="1">
        <v>44776.469444444447</v>
      </c>
      <c r="AV1" s="1">
        <v>44776.479861111111</v>
      </c>
      <c r="AW1" s="1">
        <v>44776.490277777775</v>
      </c>
      <c r="AX1" s="1">
        <v>44776.500694444447</v>
      </c>
      <c r="AY1" s="1">
        <v>44776.511111111111</v>
      </c>
      <c r="AZ1" s="1">
        <v>44776.521527777775</v>
      </c>
      <c r="BA1" s="1">
        <v>44776.531944444447</v>
      </c>
      <c r="BB1" s="1">
        <v>44776.542361111111</v>
      </c>
      <c r="BC1" s="1">
        <v>44776.552777777775</v>
      </c>
      <c r="BD1" s="1">
        <v>44776.563194444447</v>
      </c>
      <c r="BE1" s="1">
        <v>44776.573611111111</v>
      </c>
      <c r="BF1" s="1">
        <v>44776.584027777775</v>
      </c>
      <c r="BG1" s="1">
        <v>44776.594444444447</v>
      </c>
      <c r="BH1" s="1">
        <v>44776.604861111111</v>
      </c>
      <c r="BI1" s="1">
        <v>44776.615277777775</v>
      </c>
      <c r="BJ1" s="1">
        <v>44776.625694444447</v>
      </c>
      <c r="BK1" s="1">
        <v>44776.636111111111</v>
      </c>
      <c r="BL1" s="1">
        <v>44776.646527777775</v>
      </c>
      <c r="BM1" s="1">
        <v>44776.656944444447</v>
      </c>
      <c r="BN1" s="1">
        <v>44776.667361111111</v>
      </c>
      <c r="BO1" s="1">
        <v>44776.677777777775</v>
      </c>
      <c r="BP1" s="1">
        <v>44776.688194444447</v>
      </c>
      <c r="BQ1" s="1">
        <v>44776.698611111111</v>
      </c>
      <c r="BR1" s="1">
        <v>44776.709027777775</v>
      </c>
      <c r="BS1" s="1">
        <v>44776.719444444447</v>
      </c>
      <c r="BT1" s="1">
        <v>44776.729861111111</v>
      </c>
      <c r="BU1" s="1">
        <v>44776.740277777775</v>
      </c>
      <c r="BV1" s="1">
        <v>44776.750694444447</v>
      </c>
      <c r="BW1" s="1">
        <v>44776.761111111111</v>
      </c>
      <c r="BX1" s="1">
        <v>44776.771527777775</v>
      </c>
      <c r="BY1" s="1">
        <v>44776.781944444447</v>
      </c>
      <c r="BZ1" s="1">
        <v>44776.792361111111</v>
      </c>
      <c r="CA1" s="1">
        <v>44776.802777777775</v>
      </c>
      <c r="CB1" s="1">
        <v>44776.813194444447</v>
      </c>
      <c r="CC1" s="1">
        <v>44776.823611111111</v>
      </c>
      <c r="CD1" s="1">
        <v>44776.834027777775</v>
      </c>
      <c r="CE1" s="1">
        <v>44776.844444444447</v>
      </c>
      <c r="CF1" s="1">
        <v>44776.854861111111</v>
      </c>
      <c r="CG1" s="1">
        <v>44776.865277777775</v>
      </c>
      <c r="CH1" s="1">
        <v>44776.875694444447</v>
      </c>
      <c r="CI1" s="1">
        <v>44776.917361111111</v>
      </c>
      <c r="CJ1" s="1">
        <v>44776.948611111111</v>
      </c>
      <c r="CK1" s="1">
        <v>44776.959027777775</v>
      </c>
      <c r="CL1" s="1">
        <v>44776.969444444447</v>
      </c>
      <c r="CM1" s="1">
        <v>44776.979861111111</v>
      </c>
      <c r="CN1" s="1">
        <v>44776.990277777775</v>
      </c>
      <c r="CO1" s="1">
        <v>44777.000694444447</v>
      </c>
      <c r="CP1" s="1"/>
      <c r="CQ1" s="1"/>
      <c r="CR1" s="1"/>
      <c r="CS1" s="1"/>
    </row>
    <row r="2" spans="1:97" x14ac:dyDescent="0.25">
      <c r="A2" t="s">
        <v>0</v>
      </c>
      <c r="B2" s="2">
        <v>1.4221254009907999E-7</v>
      </c>
      <c r="C2" s="2">
        <v>1.79726955104284E-7</v>
      </c>
      <c r="D2" s="2">
        <v>1.69582018075944E-7</v>
      </c>
      <c r="E2" s="2">
        <v>1.52839039433596E-7</v>
      </c>
      <c r="F2" s="2">
        <v>1.0321196451396E-7</v>
      </c>
      <c r="G2" s="2">
        <v>9.9320847969424001E-8</v>
      </c>
      <c r="H2" s="2">
        <v>1.5051816349752101E-7</v>
      </c>
      <c r="I2" s="2">
        <v>1.54725410758714E-7</v>
      </c>
      <c r="J2" s="2">
        <v>1.4647853697863599E-7</v>
      </c>
      <c r="K2" s="2">
        <v>1.250864956627E-7</v>
      </c>
      <c r="L2" s="2">
        <v>1.5005887693287601E-7</v>
      </c>
      <c r="M2" s="2">
        <v>1.4259904240921899E-7</v>
      </c>
      <c r="N2" s="2">
        <v>1.52001438766829E-7</v>
      </c>
      <c r="O2" s="2">
        <v>1.3769639682143201E-7</v>
      </c>
      <c r="P2" s="2">
        <v>1.00749518391823E-7</v>
      </c>
      <c r="Q2" s="2">
        <v>1.05944141049072E-7</v>
      </c>
      <c r="R2" s="2">
        <v>1.24184369088094E-7</v>
      </c>
      <c r="S2" s="2">
        <v>1.37878724988046E-7</v>
      </c>
      <c r="T2" s="2">
        <v>1.19886430033326E-7</v>
      </c>
      <c r="U2" s="2">
        <v>1.2609225603872499E-7</v>
      </c>
      <c r="V2" s="2">
        <v>1.20592636157517E-7</v>
      </c>
      <c r="W2" s="2">
        <v>1.4862872126020399E-7</v>
      </c>
      <c r="X2" s="2">
        <v>1.7464465475407299E-7</v>
      </c>
      <c r="Y2" s="2">
        <v>1.49384516203063E-7</v>
      </c>
      <c r="Z2" s="2">
        <v>1.31607155934079E-7</v>
      </c>
      <c r="AA2" s="2">
        <v>9.9090210221863701E-8</v>
      </c>
      <c r="AB2" s="2">
        <v>8.8754463725521903E-8</v>
      </c>
      <c r="AC2" s="2">
        <v>8.4536834987216905E-8</v>
      </c>
      <c r="AD2" s="2">
        <v>9.37925917280448E-8</v>
      </c>
      <c r="AE2" s="2">
        <v>1.10005014672529E-7</v>
      </c>
      <c r="AF2" s="2">
        <v>7.42269507867231E-8</v>
      </c>
      <c r="AG2" s="2">
        <v>8.37489976291492E-8</v>
      </c>
      <c r="AH2" s="2">
        <v>1.3456036196529701E-7</v>
      </c>
      <c r="AI2" s="2">
        <v>1.3044573565671401E-7</v>
      </c>
      <c r="AJ2" s="2">
        <v>1.0828443230519701E-7</v>
      </c>
      <c r="AK2" s="2">
        <v>9.84825997732359E-8</v>
      </c>
      <c r="AL2" s="2">
        <v>1.2803878825587399E-7</v>
      </c>
      <c r="AM2" s="2">
        <v>1.2629784050930401E-7</v>
      </c>
      <c r="AN2" s="2">
        <v>8.3491559530010094E-8</v>
      </c>
      <c r="AO2" s="2">
        <v>7.7510850378197098E-8</v>
      </c>
      <c r="AP2" s="2">
        <v>1.45550665327585E-7</v>
      </c>
      <c r="AQ2" s="2">
        <v>1.03039015709554E-7</v>
      </c>
      <c r="AR2" s="2">
        <v>1.0138129644085801E-7</v>
      </c>
      <c r="AS2" s="2">
        <v>1.11984058743973E-7</v>
      </c>
      <c r="AT2" s="2">
        <v>7.5515919884758005E-8</v>
      </c>
      <c r="AU2" s="2">
        <v>8.9569897468822199E-8</v>
      </c>
      <c r="AV2" s="2">
        <v>9.9278824374308606E-8</v>
      </c>
      <c r="AW2" s="2">
        <v>1.1433540602737001E-7</v>
      </c>
      <c r="AX2" s="2">
        <v>1.45994317995278E-7</v>
      </c>
      <c r="AY2" s="2">
        <v>1.3323298366791201E-7</v>
      </c>
      <c r="AZ2" s="2">
        <v>1.27761173164764E-7</v>
      </c>
      <c r="BA2" s="2">
        <v>1.18594503912163E-7</v>
      </c>
      <c r="BB2" s="2">
        <v>1.2827286419484501E-7</v>
      </c>
      <c r="BC2" s="2">
        <v>8.2552067113168302E-8</v>
      </c>
      <c r="BD2" s="2">
        <v>5.6289250569251201E-8</v>
      </c>
      <c r="BE2" s="2">
        <v>8.0481383774328897E-8</v>
      </c>
      <c r="BF2" s="2">
        <v>9.0839956727602702E-8</v>
      </c>
      <c r="BG2" s="2">
        <v>1.0987121629035801E-7</v>
      </c>
      <c r="BH2" s="2">
        <v>1.6818201192618799E-7</v>
      </c>
      <c r="BI2" s="2">
        <v>2.59925867337766E-6</v>
      </c>
      <c r="BJ2" s="10">
        <v>2.2757340169528399E-2</v>
      </c>
      <c r="BK2">
        <v>6.88792344191058E-3</v>
      </c>
      <c r="BL2">
        <v>5.7579781162764004E-3</v>
      </c>
      <c r="BM2">
        <v>5.4595327590182402E-3</v>
      </c>
      <c r="BN2">
        <v>4.8759650107001798E-3</v>
      </c>
      <c r="BO2">
        <v>5.4686815441540304E-3</v>
      </c>
      <c r="BP2">
        <v>5.5732365802783701E-3</v>
      </c>
      <c r="BQ2">
        <v>5.13099269333694E-3</v>
      </c>
      <c r="BR2">
        <v>5.3212337093761601E-3</v>
      </c>
      <c r="BS2">
        <v>5.0246263053807796E-3</v>
      </c>
      <c r="BT2">
        <v>4.6094203043980297E-3</v>
      </c>
      <c r="BU2">
        <v>3.2871035946504899E-3</v>
      </c>
      <c r="BV2">
        <v>1.53994824810323E-3</v>
      </c>
      <c r="BW2">
        <v>1.2889775231266999E-3</v>
      </c>
      <c r="BX2">
        <v>8.0868477222856099E-4</v>
      </c>
      <c r="BY2">
        <v>2.5053512897688302E-4</v>
      </c>
      <c r="BZ2">
        <v>2.17042463423721E-4</v>
      </c>
      <c r="CA2">
        <v>1.0496417991406E-4</v>
      </c>
      <c r="CB2" s="2">
        <v>4.98276871901227E-5</v>
      </c>
      <c r="CC2" s="2">
        <v>4.7846362469734101E-5</v>
      </c>
      <c r="CD2" s="2">
        <v>5.58148706582288E-5</v>
      </c>
      <c r="CE2" s="2">
        <v>4.5000964263210298E-5</v>
      </c>
      <c r="CF2" s="2">
        <v>3.0130741794009601E-5</v>
      </c>
      <c r="CG2" s="2">
        <v>2.1020868956811798E-5</v>
      </c>
      <c r="CH2" s="2">
        <v>2.0632970383662501E-5</v>
      </c>
      <c r="CI2" s="2">
        <v>1.7944875951429599E-5</v>
      </c>
      <c r="CJ2" s="2">
        <v>1.99608362478804E-5</v>
      </c>
      <c r="CK2" s="2">
        <v>2.1097365103920101E-5</v>
      </c>
      <c r="CL2" s="2">
        <v>1.39144874919424E-5</v>
      </c>
      <c r="CM2" s="2">
        <v>1.08806963286294E-5</v>
      </c>
      <c r="CN2" s="2">
        <v>1.4707523941653399E-5</v>
      </c>
      <c r="CO2" s="2">
        <v>1.19575360197737E-5</v>
      </c>
    </row>
    <row r="3" spans="1:97" x14ac:dyDescent="0.25">
      <c r="A3" t="s">
        <v>1</v>
      </c>
      <c r="B3" s="2">
        <v>1.0241565744345101E-7</v>
      </c>
      <c r="C3" s="2">
        <v>1.20499151459588E-7</v>
      </c>
      <c r="D3" s="2">
        <v>1.20005438184596E-7</v>
      </c>
      <c r="E3" s="2">
        <v>1.08786286926953E-7</v>
      </c>
      <c r="F3" s="2">
        <v>7.1429188097304793E-8</v>
      </c>
      <c r="G3" s="2">
        <v>7.30254534228644E-8</v>
      </c>
      <c r="H3" s="2">
        <v>1.04704687978662E-7</v>
      </c>
      <c r="I3" s="2">
        <v>1.02731019720165E-7</v>
      </c>
      <c r="J3" s="2">
        <v>9.8851786152673197E-8</v>
      </c>
      <c r="K3" s="2">
        <v>8.4852414708764497E-8</v>
      </c>
      <c r="L3" s="2">
        <v>9.6509140572479604E-8</v>
      </c>
      <c r="M3" s="2">
        <v>1.1203052388438301E-7</v>
      </c>
      <c r="N3" s="2">
        <v>9.8880517814838898E-8</v>
      </c>
      <c r="O3" s="2">
        <v>1.00303065136692E-7</v>
      </c>
      <c r="P3" s="2">
        <v>6.65190960647415E-8</v>
      </c>
      <c r="Q3" s="2">
        <v>7.4729274315264904E-8</v>
      </c>
      <c r="R3" s="2">
        <v>9.1626075600631999E-8</v>
      </c>
      <c r="S3" s="2">
        <v>9.1043662179332501E-8</v>
      </c>
      <c r="T3" s="2">
        <v>9.0438348701767694E-8</v>
      </c>
      <c r="U3" s="2">
        <v>8.0139140013971602E-8</v>
      </c>
      <c r="V3" s="2">
        <v>8.0614375783670403E-8</v>
      </c>
      <c r="W3" s="2">
        <v>9.9911035846152306E-8</v>
      </c>
      <c r="X3" s="2">
        <v>1.2689158872093E-7</v>
      </c>
      <c r="Y3" s="2">
        <v>9.9734847598926806E-8</v>
      </c>
      <c r="Z3" s="2">
        <v>8.9444193016331499E-8</v>
      </c>
      <c r="AA3" s="2">
        <v>6.9326029535019303E-8</v>
      </c>
      <c r="AB3" s="2">
        <v>6.2073327359061195E-8</v>
      </c>
      <c r="AC3" s="2">
        <v>6.0520993909596605E-8</v>
      </c>
      <c r="AD3" s="2">
        <v>6.5868796186162205E-8</v>
      </c>
      <c r="AE3" s="2">
        <v>6.7867040767186004E-8</v>
      </c>
      <c r="AF3" s="2">
        <v>5.5165883337354401E-8</v>
      </c>
      <c r="AG3" s="2">
        <v>5.9000236484766003E-8</v>
      </c>
      <c r="AH3" s="2">
        <v>8.5166857477847597E-8</v>
      </c>
      <c r="AI3" s="2">
        <v>9.1662464954226799E-8</v>
      </c>
      <c r="AJ3" s="2">
        <v>7.20934558107596E-8</v>
      </c>
      <c r="AK3" s="2">
        <v>7.2973329046067995E-8</v>
      </c>
      <c r="AL3" s="2">
        <v>9.9821754575454596E-8</v>
      </c>
      <c r="AM3" s="2">
        <v>8.7222203919932196E-8</v>
      </c>
      <c r="AN3" s="2">
        <v>5.5401764956497602E-8</v>
      </c>
      <c r="AO3" s="2">
        <v>5.6226789050408003E-8</v>
      </c>
      <c r="AP3" s="2">
        <v>9.2450805376652304E-8</v>
      </c>
      <c r="AQ3" s="2">
        <v>7.7052784807964101E-8</v>
      </c>
      <c r="AR3" s="2">
        <v>6.8550282581515004E-8</v>
      </c>
      <c r="AS3" s="2">
        <v>7.6743643584538195E-8</v>
      </c>
      <c r="AT3" s="2">
        <v>5.5415046706262998E-8</v>
      </c>
      <c r="AU3" s="2">
        <v>5.4019436663800003E-8</v>
      </c>
      <c r="AV3" s="2">
        <v>6.9586164386871801E-8</v>
      </c>
      <c r="AW3" s="2">
        <v>7.7679576315849496E-8</v>
      </c>
      <c r="AX3" s="2">
        <v>8.4131964117135899E-8</v>
      </c>
      <c r="AY3" s="2">
        <v>9.3968925913969705E-8</v>
      </c>
      <c r="AZ3" s="2">
        <v>8.7970624737456199E-8</v>
      </c>
      <c r="BA3" s="2">
        <v>7.3975211962877299E-8</v>
      </c>
      <c r="BB3" s="2">
        <v>7.4654950597264206E-8</v>
      </c>
      <c r="BC3" s="2">
        <v>6.0372354715777496E-8</v>
      </c>
      <c r="BD3" s="2">
        <v>4.2416858249319797E-8</v>
      </c>
      <c r="BE3" s="2">
        <v>4.4127540268418999E-8</v>
      </c>
      <c r="BF3" s="2">
        <v>5.3810977227716901E-8</v>
      </c>
      <c r="BG3" s="2">
        <v>6.3632234929052404E-8</v>
      </c>
      <c r="BH3" s="2">
        <v>7.8458636089864999E-8</v>
      </c>
      <c r="BI3" s="2">
        <v>1.5064434394438E-6</v>
      </c>
      <c r="BJ3" s="10">
        <v>1.5074113040056999E-2</v>
      </c>
      <c r="BK3">
        <v>5.2632160762136997E-3</v>
      </c>
      <c r="BL3">
        <v>4.3034871843328102E-3</v>
      </c>
      <c r="BM3">
        <v>3.73312242376734E-3</v>
      </c>
      <c r="BN3">
        <v>3.8349105547707601E-3</v>
      </c>
      <c r="BO3">
        <v>4.1693597551748099E-3</v>
      </c>
      <c r="BP3">
        <v>4.0689924661150003E-3</v>
      </c>
      <c r="BQ3">
        <v>3.8609092961429401E-3</v>
      </c>
      <c r="BR3">
        <v>3.9617353648852298E-3</v>
      </c>
      <c r="BS3">
        <v>3.7796923673478599E-3</v>
      </c>
      <c r="BT3">
        <v>3.4150561791017799E-3</v>
      </c>
      <c r="BU3">
        <v>2.4282991180632702E-3</v>
      </c>
      <c r="BV3">
        <v>1.13220963305243E-3</v>
      </c>
      <c r="BW3">
        <v>9.0857415429634804E-4</v>
      </c>
      <c r="BX3">
        <v>5.0092932934170495E-4</v>
      </c>
      <c r="BY3">
        <v>1.7447305057741801E-4</v>
      </c>
      <c r="BZ3">
        <v>1.2600532544730899E-4</v>
      </c>
      <c r="CA3" s="2">
        <v>7.2185834863316203E-5</v>
      </c>
      <c r="CB3" s="2">
        <v>3.3243159845828698E-5</v>
      </c>
      <c r="CC3" s="2">
        <v>3.2793823835698597E-5</v>
      </c>
      <c r="CD3" s="2">
        <v>3.6610251523688897E-5</v>
      </c>
      <c r="CE3" s="2">
        <v>2.9029412986223601E-5</v>
      </c>
      <c r="CF3" s="2">
        <v>2.0282573208857299E-5</v>
      </c>
      <c r="CG3" s="2">
        <v>1.6384844595069299E-5</v>
      </c>
      <c r="CH3" s="2">
        <v>1.57769548440178E-5</v>
      </c>
      <c r="CI3" s="2">
        <v>1.30014387435252E-5</v>
      </c>
      <c r="CJ3" s="2">
        <v>1.43658053952108E-5</v>
      </c>
      <c r="CK3" s="2">
        <v>1.5755364013596901E-5</v>
      </c>
      <c r="CL3" s="2">
        <v>1.04508581839459E-5</v>
      </c>
      <c r="CM3" s="2">
        <v>8.0953361912696808E-6</v>
      </c>
      <c r="CN3" s="2">
        <v>9.8096587014311299E-6</v>
      </c>
      <c r="CO3" s="2">
        <v>9.0786636044787495E-6</v>
      </c>
    </row>
    <row r="4" spans="1:97" x14ac:dyDescent="0.25">
      <c r="A4" t="s">
        <v>2</v>
      </c>
      <c r="B4" s="2">
        <v>1.0073633442779E-7</v>
      </c>
      <c r="C4" s="2">
        <v>1.18015357706683E-7</v>
      </c>
      <c r="D4" s="2">
        <v>1.16530876805227E-7</v>
      </c>
      <c r="E4" s="2">
        <v>1.0671267180346699E-7</v>
      </c>
      <c r="F4" s="2">
        <v>6.8511342838640803E-8</v>
      </c>
      <c r="G4" s="2">
        <v>7.0488779968203097E-8</v>
      </c>
      <c r="H4" s="2">
        <v>9.9943307395675201E-8</v>
      </c>
      <c r="I4" s="2">
        <v>9.9763520923234002E-8</v>
      </c>
      <c r="J4" s="2">
        <v>9.5011161685906004E-8</v>
      </c>
      <c r="K4" s="2">
        <v>8.3446283164622004E-8</v>
      </c>
      <c r="L4" s="2">
        <v>9.29777467387017E-8</v>
      </c>
      <c r="M4" s="2">
        <v>1.10933720359415E-7</v>
      </c>
      <c r="N4" s="2">
        <v>9.6879095171269695E-8</v>
      </c>
      <c r="O4" s="2">
        <v>9.6594583892903297E-8</v>
      </c>
      <c r="P4" s="2">
        <v>6.5868391454465701E-8</v>
      </c>
      <c r="Q4" s="2">
        <v>7.2350754825156606E-8</v>
      </c>
      <c r="R4" s="2">
        <v>8.9999651819504605E-8</v>
      </c>
      <c r="S4" s="2">
        <v>8.8756820982546494E-8</v>
      </c>
      <c r="T4" s="2">
        <v>8.9869343015544797E-8</v>
      </c>
      <c r="U4" s="2">
        <v>7.9210550984000096E-8</v>
      </c>
      <c r="V4" s="2">
        <v>7.7602655868289506E-8</v>
      </c>
      <c r="W4" s="2">
        <v>1.00071864968304E-7</v>
      </c>
      <c r="X4" s="2">
        <v>1.2298411605744001E-7</v>
      </c>
      <c r="Y4" s="2">
        <v>9.7162063567462706E-8</v>
      </c>
      <c r="Z4" s="2">
        <v>8.8544174547710997E-8</v>
      </c>
      <c r="AA4" s="2">
        <v>6.7997843442912401E-8</v>
      </c>
      <c r="AB4" s="2">
        <v>6.1101900878412694E-8</v>
      </c>
      <c r="AC4" s="2">
        <v>5.95214996260397E-8</v>
      </c>
      <c r="AD4" s="2">
        <v>6.3775344592046203E-8</v>
      </c>
      <c r="AE4" s="2">
        <v>6.6226772943665902E-8</v>
      </c>
      <c r="AF4" s="2">
        <v>5.4629051040995798E-8</v>
      </c>
      <c r="AG4" s="2">
        <v>5.7951294409898098E-8</v>
      </c>
      <c r="AH4" s="2">
        <v>8.41282960556246E-8</v>
      </c>
      <c r="AI4" s="2">
        <v>8.9480617106329296E-8</v>
      </c>
      <c r="AJ4" s="2">
        <v>6.9263412127430206E-8</v>
      </c>
      <c r="AK4" s="2">
        <v>7.2117064164911005E-8</v>
      </c>
      <c r="AL4" s="2">
        <v>9.5313123490926E-8</v>
      </c>
      <c r="AM4" s="2">
        <v>8.5271360606545198E-8</v>
      </c>
      <c r="AN4" s="2">
        <v>5.2415276552998997E-8</v>
      </c>
      <c r="AO4" s="2">
        <v>5.4685288157373297E-8</v>
      </c>
      <c r="AP4" s="2">
        <v>8.8795646739425097E-8</v>
      </c>
      <c r="AQ4" s="2">
        <v>7.6227209236170099E-8</v>
      </c>
      <c r="AR4" s="2">
        <v>6.7221217486965405E-8</v>
      </c>
      <c r="AS4" s="2">
        <v>7.4836203919844605E-8</v>
      </c>
      <c r="AT4" s="2">
        <v>5.2865704198383603E-8</v>
      </c>
      <c r="AU4" s="2">
        <v>5.1936139422548101E-8</v>
      </c>
      <c r="AV4" s="2">
        <v>6.7502304541728903E-8</v>
      </c>
      <c r="AW4" s="2">
        <v>7.4913477103605801E-8</v>
      </c>
      <c r="AX4" s="2">
        <v>8.3264191209349899E-8</v>
      </c>
      <c r="AY4" s="2">
        <v>9.1049288581031497E-8</v>
      </c>
      <c r="AZ4" s="2">
        <v>8.6416574325402399E-8</v>
      </c>
      <c r="BA4" s="2">
        <v>7.1228262113146997E-8</v>
      </c>
      <c r="BB4" s="2">
        <v>7.1674042631118694E-8</v>
      </c>
      <c r="BC4" s="2">
        <v>5.8814106879375399E-8</v>
      </c>
      <c r="BD4" s="2">
        <v>4.2028462983332902E-8</v>
      </c>
      <c r="BE4" s="2">
        <v>4.4271922955657401E-8</v>
      </c>
      <c r="BF4" s="2">
        <v>5.1739962039249402E-8</v>
      </c>
      <c r="BG4" s="2">
        <v>6.1414011629415794E-8</v>
      </c>
      <c r="BH4" s="2">
        <v>7.6211456307944803E-8</v>
      </c>
      <c r="BI4" s="2">
        <v>1.4754195766852299E-6</v>
      </c>
      <c r="BJ4" s="10">
        <v>1.5423120947055899E-2</v>
      </c>
      <c r="BK4">
        <v>5.1904084650772203E-3</v>
      </c>
      <c r="BL4">
        <v>4.2479273350382804E-3</v>
      </c>
      <c r="BM4">
        <v>3.6689607626336899E-3</v>
      </c>
      <c r="BN4">
        <v>3.8009525886131702E-3</v>
      </c>
      <c r="BO4">
        <v>4.0915902838031598E-3</v>
      </c>
      <c r="BP4">
        <v>4.1066535045521501E-3</v>
      </c>
      <c r="BQ4">
        <v>3.81052600834838E-3</v>
      </c>
      <c r="BR4">
        <v>3.9552836608285503E-3</v>
      </c>
      <c r="BS4">
        <v>3.7380522520664501E-3</v>
      </c>
      <c r="BT4">
        <v>3.38527038793886E-3</v>
      </c>
      <c r="BU4">
        <v>2.4202239275499301E-3</v>
      </c>
      <c r="BV4">
        <v>1.11520615110727E-3</v>
      </c>
      <c r="BW4">
        <v>8.9064617208336203E-4</v>
      </c>
      <c r="BX4">
        <v>4.7584114233522798E-4</v>
      </c>
      <c r="BY4">
        <v>1.7018734772214199E-4</v>
      </c>
      <c r="BZ4">
        <v>1.24470880737367E-4</v>
      </c>
      <c r="CA4" s="2">
        <v>7.0911334416404696E-5</v>
      </c>
      <c r="CB4" s="2">
        <v>3.24324587199272E-5</v>
      </c>
      <c r="CC4" s="2">
        <v>3.1601412504950497E-5</v>
      </c>
      <c r="CD4" s="2">
        <v>3.64598528387605E-5</v>
      </c>
      <c r="CE4" s="2">
        <v>2.8204407565554602E-5</v>
      </c>
      <c r="CF4" s="2">
        <v>2.0316057198426402E-5</v>
      </c>
      <c r="CG4" s="2">
        <v>1.6606812841669698E-5</v>
      </c>
      <c r="CH4" s="2">
        <v>1.5706996456229699E-5</v>
      </c>
      <c r="CI4" s="2">
        <v>1.2767304994691E-5</v>
      </c>
      <c r="CJ4" s="2">
        <v>1.38971609558558E-5</v>
      </c>
      <c r="CK4" s="2">
        <v>1.5651695027523801E-5</v>
      </c>
      <c r="CL4" s="2">
        <v>1.03792618030323E-5</v>
      </c>
      <c r="CM4" s="2">
        <v>8.0426144988607792E-6</v>
      </c>
      <c r="CN4" s="2">
        <v>9.4898696381410604E-6</v>
      </c>
      <c r="CO4" s="2">
        <v>8.97841370194367E-6</v>
      </c>
    </row>
    <row r="5" spans="1:97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 s="10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</row>
    <row r="6" spans="1:97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 s="10">
        <v>29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  <row r="7" spans="1:97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 s="10">
        <v>474</v>
      </c>
      <c r="BK7">
        <v>3</v>
      </c>
      <c r="BL7">
        <v>1</v>
      </c>
      <c r="BM7">
        <v>5</v>
      </c>
      <c r="BN7">
        <v>2</v>
      </c>
      <c r="BO7">
        <v>0</v>
      </c>
      <c r="BP7">
        <v>1</v>
      </c>
      <c r="BQ7">
        <v>1</v>
      </c>
      <c r="BR7">
        <v>0</v>
      </c>
      <c r="BS7">
        <v>5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</row>
    <row r="8" spans="1:97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 s="10">
        <v>5962</v>
      </c>
      <c r="BK8">
        <v>322</v>
      </c>
      <c r="BL8">
        <v>201</v>
      </c>
      <c r="BM8">
        <v>145</v>
      </c>
      <c r="BN8">
        <v>117</v>
      </c>
      <c r="BO8">
        <v>185</v>
      </c>
      <c r="BP8">
        <v>168</v>
      </c>
      <c r="BQ8">
        <v>121</v>
      </c>
      <c r="BR8">
        <v>159</v>
      </c>
      <c r="BS8">
        <v>126</v>
      </c>
      <c r="BT8">
        <v>103</v>
      </c>
      <c r="BU8">
        <v>30</v>
      </c>
      <c r="BV8">
        <v>4</v>
      </c>
      <c r="BW8">
        <v>3</v>
      </c>
      <c r="BX8">
        <v>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</row>
    <row r="9" spans="1:97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 s="10">
        <v>27015</v>
      </c>
      <c r="BK9">
        <v>14471</v>
      </c>
      <c r="BL9">
        <v>9597</v>
      </c>
      <c r="BM9">
        <v>6486</v>
      </c>
      <c r="BN9">
        <v>7142</v>
      </c>
      <c r="BO9">
        <v>8264</v>
      </c>
      <c r="BP9">
        <v>8195</v>
      </c>
      <c r="BQ9">
        <v>7351</v>
      </c>
      <c r="BR9">
        <v>7366</v>
      </c>
      <c r="BS9">
        <v>6939</v>
      </c>
      <c r="BT9">
        <v>5294</v>
      </c>
      <c r="BU9">
        <v>2168</v>
      </c>
      <c r="BV9">
        <v>276</v>
      </c>
      <c r="BW9">
        <v>141</v>
      </c>
      <c r="BX9">
        <v>33</v>
      </c>
      <c r="BY9">
        <v>2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</row>
    <row r="10" spans="1:97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 s="10">
        <v>19751</v>
      </c>
      <c r="BK10">
        <v>31526</v>
      </c>
      <c r="BL10">
        <v>35587</v>
      </c>
      <c r="BM10">
        <v>36487</v>
      </c>
      <c r="BN10">
        <v>36241</v>
      </c>
      <c r="BO10">
        <v>35139</v>
      </c>
      <c r="BP10">
        <v>35480</v>
      </c>
      <c r="BQ10">
        <v>36103</v>
      </c>
      <c r="BR10">
        <v>36020</v>
      </c>
      <c r="BS10">
        <v>36145</v>
      </c>
      <c r="BT10">
        <v>37294</v>
      </c>
      <c r="BU10">
        <v>32129</v>
      </c>
      <c r="BV10">
        <v>9441</v>
      </c>
      <c r="BW10">
        <v>5878</v>
      </c>
      <c r="BX10">
        <v>1271</v>
      </c>
      <c r="BY10">
        <v>69</v>
      </c>
      <c r="BZ10">
        <v>60</v>
      </c>
      <c r="CA10">
        <v>11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</row>
    <row r="11" spans="1:97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 s="10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</row>
    <row r="12" spans="1:97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 s="10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</row>
    <row r="13" spans="1:97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 s="10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</row>
    <row r="14" spans="1:97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 s="10">
        <v>8.8538283179216595E-2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</row>
    <row r="15" spans="1:97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 s="10">
        <v>6.8701391389362806E-2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</row>
    <row r="16" spans="1:97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 s="10">
        <v>6.8928110932124101E-2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</row>
    <row r="17" spans="1:97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 s="10">
        <v>0.364117442712454</v>
      </c>
      <c r="BK17">
        <v>9.6743903853192106E-2</v>
      </c>
      <c r="BL17">
        <v>6.4072023708752798E-2</v>
      </c>
      <c r="BM17">
        <v>8.7352524144291899E-2</v>
      </c>
      <c r="BN17">
        <v>6.1868732177739701E-2</v>
      </c>
      <c r="BO17">
        <v>0</v>
      </c>
      <c r="BP17">
        <v>6.2658929602465593E-2</v>
      </c>
      <c r="BQ17">
        <v>8.2095883093391095E-2</v>
      </c>
      <c r="BR17">
        <v>0</v>
      </c>
      <c r="BS17">
        <v>7.4323236659877306E-2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</row>
    <row r="18" spans="1:97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 s="10">
        <v>0.246683535248926</v>
      </c>
      <c r="BK18">
        <v>9.4947659242208896E-2</v>
      </c>
      <c r="BL18">
        <v>6.4072023708752798E-2</v>
      </c>
      <c r="BM18">
        <v>7.6189954335494706E-2</v>
      </c>
      <c r="BN18">
        <v>6.1868732177739701E-2</v>
      </c>
      <c r="BO18">
        <v>0</v>
      </c>
      <c r="BP18">
        <v>6.2658929602465593E-2</v>
      </c>
      <c r="BQ18">
        <v>8.2095883093391095E-2</v>
      </c>
      <c r="BR18">
        <v>0</v>
      </c>
      <c r="BS18">
        <v>7.1002930606522394E-2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</row>
    <row r="19" spans="1:97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 s="10">
        <v>0.25086465947329001</v>
      </c>
      <c r="BK19">
        <v>9.6735535499836794E-2</v>
      </c>
      <c r="BL19">
        <v>6.4072023708752798E-2</v>
      </c>
      <c r="BM19">
        <v>7.0647970296995904E-2</v>
      </c>
      <c r="BN19">
        <v>6.1868732177739701E-2</v>
      </c>
      <c r="BO19">
        <v>0</v>
      </c>
      <c r="BP19">
        <v>6.2658929602465593E-2</v>
      </c>
      <c r="BQ19">
        <v>8.2095883093391095E-2</v>
      </c>
      <c r="BR19">
        <v>0</v>
      </c>
      <c r="BS19">
        <v>7.1002930606522394E-2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</row>
    <row r="20" spans="1:97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 s="10">
        <v>1.45646977084981</v>
      </c>
      <c r="BK20">
        <v>0.44082710028227701</v>
      </c>
      <c r="BL20">
        <v>0.36851059944168901</v>
      </c>
      <c r="BM20">
        <v>0.34941009657716698</v>
      </c>
      <c r="BN20">
        <v>0.31206176068481101</v>
      </c>
      <c r="BO20">
        <v>0.349995618825857</v>
      </c>
      <c r="BP20">
        <v>0.35668714113781502</v>
      </c>
      <c r="BQ20">
        <v>0.32838353237356399</v>
      </c>
      <c r="BR20">
        <v>0.34055895740007402</v>
      </c>
      <c r="BS20">
        <v>0.32157608354437001</v>
      </c>
      <c r="BT20">
        <v>0.29500289948147401</v>
      </c>
      <c r="BU20">
        <v>0.193753062125474</v>
      </c>
      <c r="BV20">
        <v>9.4465161476062598E-2</v>
      </c>
      <c r="BW20">
        <v>7.7414062386916102E-2</v>
      </c>
      <c r="BX20">
        <v>3.5733409006959198E-2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</row>
    <row r="21" spans="1:97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 s="10">
        <v>0.96474323456365096</v>
      </c>
      <c r="BK21">
        <v>0.33901344773274</v>
      </c>
      <c r="BL21">
        <v>0.28346670648649902</v>
      </c>
      <c r="BM21">
        <v>0.24770047709967899</v>
      </c>
      <c r="BN21">
        <v>0.250043088257067</v>
      </c>
      <c r="BO21">
        <v>0.27235712052008199</v>
      </c>
      <c r="BP21">
        <v>0.26837306423549701</v>
      </c>
      <c r="BQ21">
        <v>0.25548604648902201</v>
      </c>
      <c r="BR21">
        <v>0.26518669891186802</v>
      </c>
      <c r="BS21">
        <v>0.24983874338314399</v>
      </c>
      <c r="BT21">
        <v>0.22235478365160199</v>
      </c>
      <c r="BU21">
        <v>0.16781073705660601</v>
      </c>
      <c r="BV21">
        <v>8.7136384032104205E-2</v>
      </c>
      <c r="BW21">
        <v>7.3309859099770502E-2</v>
      </c>
      <c r="BX21">
        <v>3.5733409006959198E-2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</row>
    <row r="22" spans="1:9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 s="10">
        <v>0.98707974061158099</v>
      </c>
      <c r="BK22">
        <v>0.33704399774803601</v>
      </c>
      <c r="BL22">
        <v>0.27895511179972798</v>
      </c>
      <c r="BM22">
        <v>0.24824285057164</v>
      </c>
      <c r="BN22">
        <v>0.245734610556369</v>
      </c>
      <c r="BO22">
        <v>0.264448790535254</v>
      </c>
      <c r="BP22">
        <v>0.266820032191673</v>
      </c>
      <c r="BQ22">
        <v>0.248383496757203</v>
      </c>
      <c r="BR22">
        <v>0.26460625685400901</v>
      </c>
      <c r="BS22">
        <v>0.24368042637594201</v>
      </c>
      <c r="BT22">
        <v>0.21779301568857301</v>
      </c>
      <c r="BU22">
        <v>0.16181163313008701</v>
      </c>
      <c r="BV22">
        <v>8.4027856038349294E-2</v>
      </c>
      <c r="BW22">
        <v>7.3309859099770502E-2</v>
      </c>
      <c r="BX22">
        <v>3.5733409006959198E-2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</row>
    <row r="23" spans="1:9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 s="10">
        <v>5.8258790833992702</v>
      </c>
      <c r="BK23">
        <v>1.76330840112911</v>
      </c>
      <c r="BL23">
        <v>1.4740423977667501</v>
      </c>
      <c r="BM23">
        <v>1.3976403863086699</v>
      </c>
      <c r="BN23">
        <v>1.24824704273924</v>
      </c>
      <c r="BO23">
        <v>1.39998247530343</v>
      </c>
      <c r="BP23">
        <v>1.4267485645512601</v>
      </c>
      <c r="BQ23">
        <v>1.31353412949425</v>
      </c>
      <c r="BR23">
        <v>1.3622358296002901</v>
      </c>
      <c r="BS23">
        <v>1.28630433417748</v>
      </c>
      <c r="BT23">
        <v>1.1800115979258901</v>
      </c>
      <c r="BU23">
        <v>0.84149852023052496</v>
      </c>
      <c r="BV23">
        <v>0.39422675151442699</v>
      </c>
      <c r="BW23">
        <v>0.32997824592043601</v>
      </c>
      <c r="BX23">
        <v>0.207023301690511</v>
      </c>
      <c r="BY23">
        <v>6.4136993018082095E-2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</row>
    <row r="24" spans="1:9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 s="10">
        <v>3.8589729382545999</v>
      </c>
      <c r="BK24">
        <v>1.3473833155107</v>
      </c>
      <c r="BL24">
        <v>1.1016927191892001</v>
      </c>
      <c r="BM24">
        <v>0.95567934048443903</v>
      </c>
      <c r="BN24">
        <v>0.98173710202131503</v>
      </c>
      <c r="BO24">
        <v>1.06735609732475</v>
      </c>
      <c r="BP24">
        <v>1.0416620713254401</v>
      </c>
      <c r="BQ24">
        <v>0.98839277981259199</v>
      </c>
      <c r="BR24">
        <v>1.0142042534106199</v>
      </c>
      <c r="BS24">
        <v>0.96760124604105402</v>
      </c>
      <c r="BT24">
        <v>0.87425438185005699</v>
      </c>
      <c r="BU24">
        <v>0.62164457422419905</v>
      </c>
      <c r="BV24">
        <v>0.29709368773612899</v>
      </c>
      <c r="BW24">
        <v>0.239686683071241</v>
      </c>
      <c r="BX24">
        <v>0.140098085370262</v>
      </c>
      <c r="BY24">
        <v>5.8810863709424302E-2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</row>
    <row r="25" spans="1:9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 s="10">
        <v>3.94831896244632</v>
      </c>
      <c r="BK25">
        <v>1.32874456705976</v>
      </c>
      <c r="BL25">
        <v>1.0874693977698</v>
      </c>
      <c r="BM25">
        <v>0.93925395523422694</v>
      </c>
      <c r="BN25">
        <v>0.97304386268497201</v>
      </c>
      <c r="BO25">
        <v>1.0474471126536</v>
      </c>
      <c r="BP25">
        <v>1.05130329716535</v>
      </c>
      <c r="BQ25">
        <v>0.97549465813718705</v>
      </c>
      <c r="BR25">
        <v>1.01255261717211</v>
      </c>
      <c r="BS25">
        <v>0.95694137652901201</v>
      </c>
      <c r="BT25">
        <v>0.86662921931234904</v>
      </c>
      <c r="BU25">
        <v>0.61957732545278199</v>
      </c>
      <c r="BV25">
        <v>0.29011208709935798</v>
      </c>
      <c r="BW25">
        <v>0.22943476824447401</v>
      </c>
      <c r="BX25">
        <v>0.13815182571484799</v>
      </c>
      <c r="BY25">
        <v>5.8810863709424302E-2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</row>
    <row r="26" spans="1:9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 s="10">
        <v>23.303516333596999</v>
      </c>
      <c r="BK26">
        <v>7.0532336045164401</v>
      </c>
      <c r="BL26">
        <v>5.8961695910670304</v>
      </c>
      <c r="BM26">
        <v>5.5905615452346797</v>
      </c>
      <c r="BN26">
        <v>4.9929881709569903</v>
      </c>
      <c r="BO26">
        <v>5.59992990121372</v>
      </c>
      <c r="BP26">
        <v>5.7069942582050501</v>
      </c>
      <c r="BQ26">
        <v>5.2541365179770301</v>
      </c>
      <c r="BR26">
        <v>5.4489433184011897</v>
      </c>
      <c r="BS26">
        <v>5.1452173367099201</v>
      </c>
      <c r="BT26">
        <v>4.7200463917035904</v>
      </c>
      <c r="BU26">
        <v>3.3659940809220998</v>
      </c>
      <c r="BV26">
        <v>1.5769070060577</v>
      </c>
      <c r="BW26">
        <v>1.31991298368174</v>
      </c>
      <c r="BX26">
        <v>0.82809320676204701</v>
      </c>
      <c r="BY26">
        <v>0.25654797207232799</v>
      </c>
      <c r="BZ26">
        <v>0.222251482545891</v>
      </c>
      <c r="CA26">
        <v>9.9435289991700204E-2</v>
      </c>
      <c r="CB26">
        <v>0</v>
      </c>
      <c r="CC26">
        <v>0</v>
      </c>
      <c r="CD26">
        <v>3.8007533029403198E-2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</row>
    <row r="27" spans="1:97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 s="10">
        <v>15.435891753018399</v>
      </c>
      <c r="BK27">
        <v>5.3895332620428302</v>
      </c>
      <c r="BL27">
        <v>4.4067708767568003</v>
      </c>
      <c r="BM27">
        <v>3.8227173619377499</v>
      </c>
      <c r="BN27">
        <v>3.9269484080852601</v>
      </c>
      <c r="BO27">
        <v>4.269424389299</v>
      </c>
      <c r="BP27">
        <v>4.1666482853017603</v>
      </c>
      <c r="BQ27">
        <v>3.9535711192503702</v>
      </c>
      <c r="BR27">
        <v>4.0568170136424797</v>
      </c>
      <c r="BS27">
        <v>3.8704049841642099</v>
      </c>
      <c r="BT27">
        <v>3.4970175274002302</v>
      </c>
      <c r="BU27">
        <v>2.48657829689679</v>
      </c>
      <c r="BV27">
        <v>1.1593826642456899</v>
      </c>
      <c r="BW27">
        <v>0.93037993399946095</v>
      </c>
      <c r="BX27">
        <v>0.51295163324590598</v>
      </c>
      <c r="BY27">
        <v>0.18669543516553999</v>
      </c>
      <c r="BZ27">
        <v>0.14209902522738199</v>
      </c>
      <c r="CA27">
        <v>8.3269755819208702E-2</v>
      </c>
      <c r="CB27">
        <v>0</v>
      </c>
      <c r="CC27">
        <v>0</v>
      </c>
      <c r="CD27">
        <v>3.8007533029403198E-2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</row>
    <row r="28" spans="1:97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 s="10">
        <v>15.793275849785299</v>
      </c>
      <c r="BK28">
        <v>5.31497826823907</v>
      </c>
      <c r="BL28">
        <v>4.3498775910792</v>
      </c>
      <c r="BM28">
        <v>3.7570158209368998</v>
      </c>
      <c r="BN28">
        <v>3.8921754507398898</v>
      </c>
      <c r="BO28">
        <v>4.1897884506144303</v>
      </c>
      <c r="BP28">
        <v>4.2052131886613999</v>
      </c>
      <c r="BQ28">
        <v>3.9019786325487398</v>
      </c>
      <c r="BR28">
        <v>4.0502104686884399</v>
      </c>
      <c r="BS28">
        <v>3.8277655061160498</v>
      </c>
      <c r="BT28">
        <v>3.4665168772493899</v>
      </c>
      <c r="BU28">
        <v>2.47830930181112</v>
      </c>
      <c r="BV28">
        <v>1.1419710987338401</v>
      </c>
      <c r="BW28">
        <v>0.91202168021336305</v>
      </c>
      <c r="BX28">
        <v>0.48726132975127301</v>
      </c>
      <c r="BY28">
        <v>0.18676423010967599</v>
      </c>
      <c r="BZ28">
        <v>0.13490568895159799</v>
      </c>
      <c r="CA28">
        <v>8.3938640968767797E-2</v>
      </c>
      <c r="CB28">
        <v>0</v>
      </c>
      <c r="CC28">
        <v>0</v>
      </c>
      <c r="CD28">
        <v>3.8007533029403198E-2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</row>
    <row r="29" spans="1:97" x14ac:dyDescent="0.25">
      <c r="A29" t="s">
        <v>32</v>
      </c>
      <c r="B29">
        <v>0.76957219099999996</v>
      </c>
      <c r="C29">
        <v>0.771817164</v>
      </c>
      <c r="D29">
        <v>0.78552173950000004</v>
      </c>
      <c r="E29">
        <v>0.77333739349999997</v>
      </c>
      <c r="F29">
        <v>0.69855224699999996</v>
      </c>
      <c r="G29">
        <v>0.71226070049999901</v>
      </c>
      <c r="H29">
        <v>0.773592222</v>
      </c>
      <c r="I29">
        <v>0.76798645399999999</v>
      </c>
      <c r="J29">
        <v>0.7563906655</v>
      </c>
      <c r="K29">
        <v>0.72541048299999999</v>
      </c>
      <c r="L29">
        <v>0.74867457049999997</v>
      </c>
      <c r="M29">
        <v>0.77382161049999998</v>
      </c>
      <c r="N29">
        <v>0.75131557849999997</v>
      </c>
      <c r="O29">
        <v>0.75904434850000002</v>
      </c>
      <c r="P29">
        <v>0.67891565050000002</v>
      </c>
      <c r="Q29">
        <v>0.70024108200000001</v>
      </c>
      <c r="R29">
        <v>0.740701163</v>
      </c>
      <c r="S29">
        <v>0.74046465699999997</v>
      </c>
      <c r="T29">
        <v>0.74873955049999996</v>
      </c>
      <c r="U29">
        <v>0.73845619600000001</v>
      </c>
      <c r="V29">
        <v>0.726575334499999</v>
      </c>
      <c r="W29">
        <v>0.78202204350000004</v>
      </c>
      <c r="X29">
        <v>0.83594533650000002</v>
      </c>
      <c r="Y29">
        <v>0.78025976949999998</v>
      </c>
      <c r="Z29">
        <v>0.75657462549999999</v>
      </c>
      <c r="AA29">
        <v>0.70298291499999999</v>
      </c>
      <c r="AB29">
        <v>0.68254177999999999</v>
      </c>
      <c r="AC29">
        <v>0.684465781</v>
      </c>
      <c r="AD29">
        <v>0.69437548549999994</v>
      </c>
      <c r="AE29">
        <v>0.7037178785</v>
      </c>
      <c r="AF29">
        <v>0.672222341</v>
      </c>
      <c r="AG29">
        <v>0.67980481400000004</v>
      </c>
      <c r="AH29">
        <v>0.74230587949999904</v>
      </c>
      <c r="AI29">
        <v>0.76352864149999999</v>
      </c>
      <c r="AJ29">
        <v>0.72191215399999997</v>
      </c>
      <c r="AK29">
        <v>0.72191215399999997</v>
      </c>
      <c r="AL29">
        <v>0.77710206100000001</v>
      </c>
      <c r="AM29">
        <v>0.73831050949999999</v>
      </c>
      <c r="AN29">
        <v>0.65388842250000001</v>
      </c>
      <c r="AO29">
        <v>0.66321230600000003</v>
      </c>
      <c r="AP29">
        <v>0.73972780449999997</v>
      </c>
      <c r="AQ29">
        <v>0.72333429699999996</v>
      </c>
      <c r="AR29">
        <v>0.71002781749999999</v>
      </c>
      <c r="AS29">
        <v>0.72868923050000001</v>
      </c>
      <c r="AT29">
        <v>0.66863318549999995</v>
      </c>
      <c r="AU29">
        <v>0.65794700399999995</v>
      </c>
      <c r="AV29">
        <v>0.69552619199999999</v>
      </c>
      <c r="AW29">
        <v>0.73331566249999902</v>
      </c>
      <c r="AX29">
        <v>0.74682702999999995</v>
      </c>
      <c r="AY29">
        <v>0.76967573</v>
      </c>
      <c r="AZ29">
        <v>0.7477791265</v>
      </c>
      <c r="BA29">
        <v>0.71824162000000003</v>
      </c>
      <c r="BB29">
        <v>0.72944691949999996</v>
      </c>
      <c r="BC29">
        <v>0.68032893350000001</v>
      </c>
      <c r="BD29">
        <v>0.62184915699999999</v>
      </c>
      <c r="BE29">
        <v>0.63156217000000003</v>
      </c>
      <c r="BF29">
        <v>0.66496995749999999</v>
      </c>
      <c r="BG29">
        <v>0.67182250649999997</v>
      </c>
      <c r="BH29">
        <v>0.69815132099999999</v>
      </c>
      <c r="BI29">
        <v>1.3141996124999999</v>
      </c>
      <c r="BJ29" s="10">
        <v>12.6789259225</v>
      </c>
      <c r="BK29">
        <v>22.620213794999898</v>
      </c>
      <c r="BL29">
        <v>19.508647905</v>
      </c>
      <c r="BM29">
        <v>15.20489341</v>
      </c>
      <c r="BN29">
        <v>17.173613769999999</v>
      </c>
      <c r="BO29">
        <v>19.879890565</v>
      </c>
      <c r="BP29">
        <v>18.271869219999999</v>
      </c>
      <c r="BQ29">
        <v>17.106053899999999</v>
      </c>
      <c r="BR29">
        <v>15.6821315249999</v>
      </c>
      <c r="BS29">
        <v>15.17592808</v>
      </c>
      <c r="BT29">
        <v>14.28611474</v>
      </c>
      <c r="BU29">
        <v>11.657254006500001</v>
      </c>
      <c r="BV29">
        <v>9.6026396404999996</v>
      </c>
      <c r="BW29">
        <v>9.2022879035000003</v>
      </c>
      <c r="BX29">
        <v>7.7941709709999998</v>
      </c>
      <c r="BY29">
        <v>5.7733400259999996</v>
      </c>
      <c r="BZ29">
        <v>5.1560535449999998</v>
      </c>
      <c r="CA29">
        <v>4.4556949205</v>
      </c>
      <c r="CB29">
        <v>3.5644504299999999</v>
      </c>
      <c r="CC29">
        <v>3.44414985149999</v>
      </c>
      <c r="CD29">
        <v>3.4561308749999999</v>
      </c>
      <c r="CE29">
        <v>3.188326338</v>
      </c>
      <c r="CF29">
        <v>2.8661624744999998</v>
      </c>
      <c r="CG29">
        <v>2.6512377974999999</v>
      </c>
      <c r="CH29">
        <v>2.6445850609999999</v>
      </c>
      <c r="CI29">
        <v>2.3885584199999998</v>
      </c>
      <c r="CJ29">
        <v>2.4828400044999999</v>
      </c>
      <c r="CK29">
        <v>2.5050373965000001</v>
      </c>
      <c r="CL29">
        <v>2.248553292</v>
      </c>
      <c r="CM29">
        <v>2.1564305309999998</v>
      </c>
      <c r="CN29">
        <v>2.2236830264999998</v>
      </c>
      <c r="CO29">
        <v>2.2059633774999998</v>
      </c>
    </row>
    <row r="30" spans="1:97" x14ac:dyDescent="0.25">
      <c r="A30" t="s">
        <v>33</v>
      </c>
      <c r="B30">
        <v>3.4552855299263102E-4</v>
      </c>
      <c r="C30">
        <v>3.4922695701364699E-4</v>
      </c>
      <c r="D30">
        <v>3.7243094791539801E-4</v>
      </c>
      <c r="E30">
        <v>3.5174768035326398E-4</v>
      </c>
      <c r="F30">
        <v>2.4254340313737601E-4</v>
      </c>
      <c r="G30">
        <v>2.6039820755555099E-4</v>
      </c>
      <c r="H30">
        <v>3.5217150633777398E-4</v>
      </c>
      <c r="I30">
        <v>3.42933388528255E-4</v>
      </c>
      <c r="J30">
        <v>3.2438422540832302E-4</v>
      </c>
      <c r="K30">
        <v>2.7840459463249602E-4</v>
      </c>
      <c r="L30">
        <v>3.1245229905066602E-4</v>
      </c>
      <c r="M30">
        <v>3.52553338134593E-4</v>
      </c>
      <c r="N30">
        <v>3.1649974143492201E-4</v>
      </c>
      <c r="O30">
        <v>3.2856322036848001E-4</v>
      </c>
      <c r="P30">
        <v>2.1853919167599001E-4</v>
      </c>
      <c r="Q30">
        <v>2.4469350293576301E-4</v>
      </c>
      <c r="R30">
        <v>3.00460766955036E-4</v>
      </c>
      <c r="S30">
        <v>3.00110265199284E-4</v>
      </c>
      <c r="T30">
        <v>3.1255142965845302E-4</v>
      </c>
      <c r="U30">
        <v>2.9714568613054302E-4</v>
      </c>
      <c r="V30">
        <v>2.8004207508428399E-4</v>
      </c>
      <c r="W30">
        <v>3.6640208500066497E-4</v>
      </c>
      <c r="X30">
        <v>4.6752265259819901E-4</v>
      </c>
      <c r="Y30">
        <v>3.6339323708336498E-4</v>
      </c>
      <c r="Z30">
        <v>3.2467267143425902E-4</v>
      </c>
      <c r="AA30">
        <v>2.4821364068843699E-4</v>
      </c>
      <c r="AB30">
        <v>2.22835758939084E-4</v>
      </c>
      <c r="AC30">
        <v>2.2514023902480399E-4</v>
      </c>
      <c r="AD30">
        <v>2.37284826806665E-4</v>
      </c>
      <c r="AE30">
        <v>2.4916345062835299E-4</v>
      </c>
      <c r="AF30">
        <v>2.1076685359518299E-4</v>
      </c>
      <c r="AG30">
        <v>2.1958713422653899E-4</v>
      </c>
      <c r="AH30">
        <v>3.0284681494558498E-4</v>
      </c>
      <c r="AI30">
        <v>3.3571372849145798E-4</v>
      </c>
      <c r="AJ30">
        <v>2.7352864986342402E-4</v>
      </c>
      <c r="AK30">
        <v>2.7352864986342402E-4</v>
      </c>
      <c r="AL30">
        <v>3.5804682058401799E-4</v>
      </c>
      <c r="AM30">
        <v>2.9693147716718598E-4</v>
      </c>
      <c r="AN30">
        <v>1.9050586157562399E-4</v>
      </c>
      <c r="AO30">
        <v>2.0062390286668699E-4</v>
      </c>
      <c r="AP30">
        <v>2.9902015430051398E-4</v>
      </c>
      <c r="AQ30">
        <v>2.7550327473734298E-4</v>
      </c>
      <c r="AR30">
        <v>2.5742692223349102E-4</v>
      </c>
      <c r="AS30">
        <v>2.8303151913530201E-4</v>
      </c>
      <c r="AT30">
        <v>2.0668282307117599E-4</v>
      </c>
      <c r="AU30">
        <v>1.9486341033488801E-4</v>
      </c>
      <c r="AV30">
        <v>2.38725225658476E-4</v>
      </c>
      <c r="AW30">
        <v>2.8965496137920002E-4</v>
      </c>
      <c r="AX30">
        <v>3.0964331756237398E-4</v>
      </c>
      <c r="AY30">
        <v>3.4569849607390702E-4</v>
      </c>
      <c r="AZ30">
        <v>3.1108857401131602E-4</v>
      </c>
      <c r="BA30">
        <v>2.6847968775958102E-4</v>
      </c>
      <c r="BB30">
        <v>2.8410865432669502E-4</v>
      </c>
      <c r="BC30">
        <v>2.20206553634978E-4</v>
      </c>
      <c r="BD30">
        <v>1.5854821863972999E-4</v>
      </c>
      <c r="BE30">
        <v>1.6778896115252699E-4</v>
      </c>
      <c r="BF30">
        <v>2.02574096387212E-4</v>
      </c>
      <c r="BG30">
        <v>2.1030901323051799E-4</v>
      </c>
      <c r="BH30">
        <v>2.4203499643925101E-4</v>
      </c>
      <c r="BI30">
        <v>2.44314750412608E-3</v>
      </c>
      <c r="BJ30" s="10">
        <v>9.6829050148094105</v>
      </c>
      <c r="BK30">
        <v>9.6829050148094105</v>
      </c>
      <c r="BL30">
        <v>9.6829050148094105</v>
      </c>
      <c r="BM30">
        <v>9.6829050148094105</v>
      </c>
      <c r="BN30">
        <v>9.6829050148094105</v>
      </c>
      <c r="BO30">
        <v>9.6829050148094105</v>
      </c>
      <c r="BP30">
        <v>9.6829050148094105</v>
      </c>
      <c r="BQ30">
        <v>9.6829050148094105</v>
      </c>
      <c r="BR30">
        <v>9.6829050148094105</v>
      </c>
      <c r="BS30">
        <v>9.6829050148094105</v>
      </c>
      <c r="BT30">
        <v>9.6829050148094105</v>
      </c>
      <c r="BU30">
        <v>7.12281785194559</v>
      </c>
      <c r="BV30">
        <v>3.5065518659825199</v>
      </c>
      <c r="BW30">
        <v>3.0011086513471801</v>
      </c>
      <c r="BX30">
        <v>1.6355416071517801</v>
      </c>
      <c r="BY30">
        <v>0.54608304553468101</v>
      </c>
      <c r="BZ30">
        <v>0.36121242032510598</v>
      </c>
      <c r="CA30">
        <v>0.211850000352764</v>
      </c>
      <c r="CB30">
        <v>9.3707723485290606E-2</v>
      </c>
      <c r="CC30">
        <v>8.2656566622323499E-2</v>
      </c>
      <c r="CD30">
        <v>8.3712365942361103E-2</v>
      </c>
      <c r="CE30">
        <v>6.2339658955267198E-2</v>
      </c>
      <c r="CF30">
        <v>4.2235433309792299E-2</v>
      </c>
      <c r="CG30">
        <v>3.1764896496682397E-2</v>
      </c>
      <c r="CH30">
        <v>3.14745347596493E-2</v>
      </c>
      <c r="CI30">
        <v>2.1693474037470101E-2</v>
      </c>
      <c r="CJ30">
        <v>2.4990798526656501E-2</v>
      </c>
      <c r="CK30">
        <v>2.5817159641297601E-2</v>
      </c>
      <c r="CL30">
        <v>1.7395970030996001E-2</v>
      </c>
      <c r="CM30">
        <v>1.49295136285098E-2</v>
      </c>
      <c r="CN30">
        <v>1.6702977258617299E-2</v>
      </c>
      <c r="CO30">
        <v>1.62216224539538E-2</v>
      </c>
    </row>
    <row r="31" spans="1:97" x14ac:dyDescent="0.25">
      <c r="A31" t="s">
        <v>34</v>
      </c>
      <c r="B31" s="1">
        <v>44776.000694444447</v>
      </c>
      <c r="C31" s="1">
        <v>44776.011111111111</v>
      </c>
      <c r="D31" s="1">
        <v>44776.021527777775</v>
      </c>
      <c r="E31" s="1">
        <v>44776.031944444447</v>
      </c>
      <c r="F31" s="1">
        <v>44776.042361111111</v>
      </c>
      <c r="G31" s="1">
        <v>44776.052777777775</v>
      </c>
      <c r="H31" s="1">
        <v>44776.063194444447</v>
      </c>
      <c r="I31" s="1">
        <v>44776.073611111111</v>
      </c>
      <c r="J31" s="1">
        <v>44776.084027777775</v>
      </c>
      <c r="K31" s="1">
        <v>44776.094444444447</v>
      </c>
      <c r="L31" s="1">
        <v>44776.104861111111</v>
      </c>
      <c r="M31" s="1">
        <v>44776.115277777775</v>
      </c>
      <c r="N31" s="1">
        <v>44776.125694444447</v>
      </c>
      <c r="O31" s="1">
        <v>44776.136111111111</v>
      </c>
      <c r="P31" s="1">
        <v>44776.146527777775</v>
      </c>
      <c r="Q31" s="1">
        <v>44776.156944444447</v>
      </c>
      <c r="R31" s="1">
        <v>44776.167361111111</v>
      </c>
      <c r="S31" s="1">
        <v>44776.177777777775</v>
      </c>
      <c r="T31" s="1">
        <v>44776.188194444447</v>
      </c>
      <c r="U31" s="1">
        <v>44776.198611111111</v>
      </c>
      <c r="V31" s="1">
        <v>44776.209027777775</v>
      </c>
      <c r="W31" s="1">
        <v>44776.219444444447</v>
      </c>
      <c r="X31" s="1">
        <v>44776.229861111111</v>
      </c>
      <c r="Y31" s="1">
        <v>44776.240277777775</v>
      </c>
      <c r="Z31" s="1">
        <v>44776.250694444447</v>
      </c>
      <c r="AA31" s="1">
        <v>44776.261111111111</v>
      </c>
      <c r="AB31" s="1">
        <v>44776.271527777775</v>
      </c>
      <c r="AC31" s="1">
        <v>44776.281944444447</v>
      </c>
      <c r="AD31" s="1">
        <v>44776.292361111111</v>
      </c>
      <c r="AE31" s="1">
        <v>44776.302777777775</v>
      </c>
      <c r="AF31" s="1">
        <v>44776.313194444447</v>
      </c>
      <c r="AG31" s="1">
        <v>44776.323611111111</v>
      </c>
      <c r="AH31" s="1">
        <v>44776.334027777775</v>
      </c>
      <c r="AI31" s="1">
        <v>44776.344444444447</v>
      </c>
      <c r="AJ31" s="1">
        <v>44776.354861111111</v>
      </c>
      <c r="AK31" s="1">
        <v>44776.365277777775</v>
      </c>
      <c r="AL31" s="1">
        <v>44776.375694444447</v>
      </c>
      <c r="AM31" s="1">
        <v>44776.386111111111</v>
      </c>
      <c r="AN31" s="1">
        <v>44776.396527777775</v>
      </c>
      <c r="AO31" s="1">
        <v>44776.406944444447</v>
      </c>
      <c r="AP31" s="1">
        <v>44776.417361111111</v>
      </c>
      <c r="AQ31" s="1">
        <v>44776.427777777775</v>
      </c>
      <c r="AR31" s="1">
        <v>44776.438194444447</v>
      </c>
      <c r="AS31" s="1">
        <v>44776.448611111111</v>
      </c>
      <c r="AT31" s="1">
        <v>44776.459027777775</v>
      </c>
      <c r="AU31" s="1">
        <v>44776.469444444447</v>
      </c>
      <c r="AV31" s="1">
        <v>44776.479861111111</v>
      </c>
      <c r="AW31" s="1">
        <v>44776.490277777775</v>
      </c>
      <c r="AX31" s="1">
        <v>44776.500694444447</v>
      </c>
      <c r="AY31" s="1">
        <v>44776.511111111111</v>
      </c>
      <c r="AZ31" s="1">
        <v>44776.521527777775</v>
      </c>
      <c r="BA31" s="1">
        <v>44776.531944444447</v>
      </c>
      <c r="BB31" s="1">
        <v>44776.542361111111</v>
      </c>
      <c r="BC31" s="1">
        <v>44776.552777777775</v>
      </c>
      <c r="BD31" s="1">
        <v>44776.563194444447</v>
      </c>
      <c r="BE31" s="1">
        <v>44776.573611111111</v>
      </c>
      <c r="BF31" s="1">
        <v>44776.584027777775</v>
      </c>
      <c r="BG31" s="1">
        <v>44776.594444444447</v>
      </c>
      <c r="BH31" s="1">
        <v>44776.604861111111</v>
      </c>
      <c r="BI31" s="1">
        <v>44776.615277777775</v>
      </c>
      <c r="BJ31" s="11">
        <v>44776.625694444447</v>
      </c>
      <c r="BK31" s="1">
        <v>44776.636111111111</v>
      </c>
      <c r="BL31" s="1">
        <v>44776.646527777775</v>
      </c>
      <c r="BM31" s="1">
        <v>44776.656944444447</v>
      </c>
      <c r="BN31" s="1">
        <v>44776.667361111111</v>
      </c>
      <c r="BO31" s="1">
        <v>44776.677777777775</v>
      </c>
      <c r="BP31" s="1">
        <v>44776.688194444447</v>
      </c>
      <c r="BQ31" s="1">
        <v>44776.698611111111</v>
      </c>
      <c r="BR31" s="1">
        <v>44776.709027777775</v>
      </c>
      <c r="BS31" s="1">
        <v>44776.719444444447</v>
      </c>
      <c r="BT31" s="1">
        <v>44776.729861111111</v>
      </c>
      <c r="BU31" s="1">
        <v>44776.740277777775</v>
      </c>
      <c r="BV31" s="1">
        <v>44776.750694444447</v>
      </c>
      <c r="BW31" s="1">
        <v>44776.761111111111</v>
      </c>
      <c r="BX31" s="1">
        <v>44776.771527777775</v>
      </c>
      <c r="BY31" s="1">
        <v>44776.781944444447</v>
      </c>
      <c r="BZ31" s="1">
        <v>44776.792361111111</v>
      </c>
      <c r="CA31" s="1">
        <v>44776.802777777775</v>
      </c>
      <c r="CB31" s="1">
        <v>44776.813194444447</v>
      </c>
      <c r="CC31" s="1">
        <v>44776.823611111111</v>
      </c>
      <c r="CD31" s="1">
        <v>44776.834027777775</v>
      </c>
      <c r="CE31" s="1">
        <v>44776.844444444447</v>
      </c>
      <c r="CF31" s="1">
        <v>44776.854861111111</v>
      </c>
      <c r="CG31" s="1">
        <v>44776.865277777775</v>
      </c>
      <c r="CH31" s="1">
        <v>44776.875694444447</v>
      </c>
      <c r="CI31" s="1">
        <v>44776.917361111111</v>
      </c>
      <c r="CJ31" s="1">
        <v>44776.948611111111</v>
      </c>
      <c r="CK31" s="1">
        <v>44776.959027777775</v>
      </c>
      <c r="CL31" s="1">
        <v>44776.969444444447</v>
      </c>
      <c r="CM31" s="1">
        <v>44776.979861111111</v>
      </c>
      <c r="CN31" s="1">
        <v>44776.990277777775</v>
      </c>
      <c r="CO31" s="1">
        <v>44777.000694444447</v>
      </c>
      <c r="CP31" s="1"/>
      <c r="CQ31" s="1"/>
      <c r="CR31" s="1"/>
      <c r="CS31" s="1"/>
    </row>
    <row r="32" spans="1:97" x14ac:dyDescent="0.25">
      <c r="BJ32" s="10" t="s">
        <v>46</v>
      </c>
    </row>
    <row r="33" spans="1:27" x14ac:dyDescent="0.25">
      <c r="C33" s="4" t="s">
        <v>27</v>
      </c>
      <c r="E33" t="s">
        <v>28</v>
      </c>
      <c r="F33" t="s">
        <v>29</v>
      </c>
      <c r="G33" t="s">
        <v>30</v>
      </c>
      <c r="H33" t="s">
        <v>31</v>
      </c>
      <c r="I33" t="s">
        <v>32</v>
      </c>
    </row>
    <row r="34" spans="1:27" x14ac:dyDescent="0.25">
      <c r="A34" s="5" t="str">
        <f>A2</f>
        <v>max_amp</v>
      </c>
      <c r="B34" s="9">
        <f>MAX(B2:CS2)</f>
        <v>2.2757340169528399E-2</v>
      </c>
      <c r="C34" s="6">
        <f>_xlfn.XLOOKUP(MAX(B2:CS2), B2:CS2, $B$1:$CS$1)</f>
        <v>44776.625694444447</v>
      </c>
      <c r="E34" s="1">
        <v>44776.000694444447</v>
      </c>
      <c r="F34" s="2">
        <v>1.4221254009907999E-7</v>
      </c>
      <c r="G34" s="2">
        <v>1.0241565744345101E-7</v>
      </c>
      <c r="H34" s="2">
        <v>1.0073633442779E-7</v>
      </c>
      <c r="I34">
        <v>0.76957219099999996</v>
      </c>
      <c r="V34" t="s">
        <v>45</v>
      </c>
    </row>
    <row r="35" spans="1:27" x14ac:dyDescent="0.25">
      <c r="A35" s="5" t="str">
        <f t="shared" ref="A35:A60" si="0">A3</f>
        <v>mean_amp</v>
      </c>
      <c r="B35" s="9">
        <f t="shared" ref="B35:B60" si="1">MAX(B3:CS3)</f>
        <v>1.5074113040056999E-2</v>
      </c>
      <c r="C35" s="6">
        <f t="shared" ref="C35:C59" si="2">_xlfn.XLOOKUP(MAX(B3:CS3), B3:CS3, $B$1:$CS$1)</f>
        <v>44776.625694444447</v>
      </c>
      <c r="E35" s="1">
        <v>44776.011111111111</v>
      </c>
      <c r="F35" s="2">
        <v>1.79726955104284E-7</v>
      </c>
      <c r="G35" s="2">
        <v>1.20499151459588E-7</v>
      </c>
      <c r="H35" s="2">
        <v>1.18015357706683E-7</v>
      </c>
      <c r="I35">
        <v>0.771817164</v>
      </c>
      <c r="T35" t="s">
        <v>0</v>
      </c>
      <c r="U35">
        <v>2.7100659833378001E-2</v>
      </c>
      <c r="V35">
        <v>2.69809798557826E-2</v>
      </c>
    </row>
    <row r="36" spans="1:27" x14ac:dyDescent="0.25">
      <c r="A36" s="5" t="str">
        <f t="shared" si="0"/>
        <v>median_amp</v>
      </c>
      <c r="B36" s="9">
        <f t="shared" si="1"/>
        <v>1.5423120947055899E-2</v>
      </c>
      <c r="C36" s="6">
        <f t="shared" si="2"/>
        <v>44776.625694444447</v>
      </c>
      <c r="E36" s="1">
        <v>44776.021527777775</v>
      </c>
      <c r="F36" s="2">
        <v>1.69582018075944E-7</v>
      </c>
      <c r="G36" s="2">
        <v>1.20005438184596E-7</v>
      </c>
      <c r="H36" s="2">
        <v>1.16530876805227E-7</v>
      </c>
      <c r="I36">
        <v>0.78552173950000004</v>
      </c>
      <c r="T36" t="s">
        <v>1</v>
      </c>
      <c r="U36">
        <v>1.73415591077304E-2</v>
      </c>
      <c r="V36">
        <v>1.7871787179046798E-2</v>
      </c>
    </row>
    <row r="37" spans="1:27" x14ac:dyDescent="0.25">
      <c r="A37" t="str">
        <f t="shared" si="0"/>
        <v>impulses_ch6</v>
      </c>
      <c r="B37">
        <f t="shared" si="1"/>
        <v>0</v>
      </c>
      <c r="C37" s="3">
        <f>_xlfn.XLOOKUP(MAX(B5:CS5), B5:CS5, $B$1:$CS$1)</f>
        <v>44776.000694444447</v>
      </c>
      <c r="E37" s="1">
        <v>44776.031944444447</v>
      </c>
      <c r="F37" s="2">
        <v>1.52839039433596E-7</v>
      </c>
      <c r="G37" s="2">
        <v>1.08786286926953E-7</v>
      </c>
      <c r="H37" s="2">
        <v>1.0671267180346699E-7</v>
      </c>
      <c r="I37">
        <v>0.77333739349999997</v>
      </c>
      <c r="T37" t="s">
        <v>2</v>
      </c>
      <c r="U37">
        <v>1.75334302078048E-2</v>
      </c>
      <c r="V37">
        <v>1.82855690728208E-2</v>
      </c>
    </row>
    <row r="38" spans="1:27" x14ac:dyDescent="0.25">
      <c r="A38" t="str">
        <f t="shared" si="0"/>
        <v>impulses_ch5</v>
      </c>
      <c r="B38">
        <f t="shared" si="1"/>
        <v>29</v>
      </c>
      <c r="C38" s="3">
        <f t="shared" si="2"/>
        <v>44776.625694444447</v>
      </c>
      <c r="E38" s="1">
        <v>44776.042361111111</v>
      </c>
      <c r="F38" s="2">
        <v>1.0321196451396E-7</v>
      </c>
      <c r="G38" s="2">
        <v>7.1429188097304793E-8</v>
      </c>
      <c r="H38" s="2">
        <v>6.8511342838640803E-8</v>
      </c>
      <c r="I38">
        <v>0.69855224699999996</v>
      </c>
      <c r="T38" t="s">
        <v>3</v>
      </c>
      <c r="U38">
        <v>0</v>
      </c>
      <c r="V38">
        <v>1</v>
      </c>
    </row>
    <row r="39" spans="1:27" x14ac:dyDescent="0.25">
      <c r="A39" t="str">
        <f t="shared" si="0"/>
        <v>impulses_ch4</v>
      </c>
      <c r="B39">
        <f t="shared" si="1"/>
        <v>474</v>
      </c>
      <c r="C39" s="3">
        <f t="shared" si="2"/>
        <v>44776.625694444447</v>
      </c>
      <c r="E39" s="1">
        <v>44776.052777777775</v>
      </c>
      <c r="F39" s="2">
        <v>9.9320847969424001E-8</v>
      </c>
      <c r="G39" s="2">
        <v>7.30254534228644E-8</v>
      </c>
      <c r="H39" s="2">
        <v>7.0488779968203097E-8</v>
      </c>
      <c r="I39">
        <v>0.71226070049999901</v>
      </c>
      <c r="T39" t="s">
        <v>4</v>
      </c>
      <c r="U39">
        <v>11</v>
      </c>
      <c r="V39">
        <v>42</v>
      </c>
    </row>
    <row r="40" spans="1:27" x14ac:dyDescent="0.25">
      <c r="A40" s="5" t="str">
        <f t="shared" si="0"/>
        <v>impulses_ch3</v>
      </c>
      <c r="B40" s="5">
        <f>MAX(B8:CO8)</f>
        <v>5962</v>
      </c>
      <c r="C40" s="6">
        <f t="shared" si="2"/>
        <v>44776.625694444447</v>
      </c>
      <c r="E40" s="1">
        <v>44776.063194444447</v>
      </c>
      <c r="F40" s="2">
        <v>1.5051816349752101E-7</v>
      </c>
      <c r="G40" s="2">
        <v>1.04704687978662E-7</v>
      </c>
      <c r="H40" s="2">
        <v>9.9943307395675201E-8</v>
      </c>
      <c r="I40">
        <v>0.773592222</v>
      </c>
      <c r="T40" t="s">
        <v>5</v>
      </c>
      <c r="U40">
        <v>199</v>
      </c>
      <c r="V40">
        <v>644</v>
      </c>
    </row>
    <row r="41" spans="1:27" x14ac:dyDescent="0.25">
      <c r="A41" s="5" t="str">
        <f t="shared" si="0"/>
        <v>impulses_ch2</v>
      </c>
      <c r="B41" s="5">
        <f t="shared" ref="B41:B42" si="3">MAX(B9:CO9)</f>
        <v>27015</v>
      </c>
      <c r="C41" s="6">
        <f t="shared" si="2"/>
        <v>44776.625694444447</v>
      </c>
      <c r="E41" s="1">
        <v>44776.073611111111</v>
      </c>
      <c r="F41" s="2">
        <v>1.54725410758714E-7</v>
      </c>
      <c r="G41" s="2">
        <v>1.02731019720165E-7</v>
      </c>
      <c r="H41" s="2">
        <v>9.9763520923234002E-8</v>
      </c>
      <c r="I41">
        <v>0.76798645399999999</v>
      </c>
      <c r="T41" t="s">
        <v>6</v>
      </c>
      <c r="U41">
        <v>2627</v>
      </c>
      <c r="V41">
        <v>7815</v>
      </c>
    </row>
    <row r="42" spans="1:27" x14ac:dyDescent="0.25">
      <c r="A42" s="5" t="str">
        <f t="shared" si="0"/>
        <v>impulses_ch1</v>
      </c>
      <c r="B42" s="5">
        <f t="shared" si="3"/>
        <v>37294</v>
      </c>
      <c r="C42" s="6">
        <f t="shared" si="2"/>
        <v>44776.729861111111</v>
      </c>
      <c r="E42" s="1">
        <v>44776.084027777775</v>
      </c>
      <c r="F42" s="2">
        <v>1.4647853697863599E-7</v>
      </c>
      <c r="G42" s="2">
        <v>9.8851786152673197E-8</v>
      </c>
      <c r="H42" s="2">
        <v>9.5011161685906004E-8</v>
      </c>
      <c r="I42">
        <v>0.7563906655</v>
      </c>
      <c r="T42" t="s">
        <v>7</v>
      </c>
      <c r="U42">
        <v>11852</v>
      </c>
      <c r="V42">
        <v>28605</v>
      </c>
    </row>
    <row r="43" spans="1:27" x14ac:dyDescent="0.25">
      <c r="A43" t="str">
        <f t="shared" si="0"/>
        <v>max_env_ch6</v>
      </c>
      <c r="B43">
        <f t="shared" si="1"/>
        <v>0</v>
      </c>
      <c r="C43" s="3">
        <f t="shared" si="2"/>
        <v>44776.000694444447</v>
      </c>
      <c r="E43" s="1">
        <v>44776.094444444447</v>
      </c>
      <c r="F43" s="2">
        <v>1.250864956627E-7</v>
      </c>
      <c r="G43" s="2">
        <v>8.4852414708764497E-8</v>
      </c>
      <c r="H43" s="2">
        <v>8.3446283164622004E-8</v>
      </c>
      <c r="I43">
        <v>0.72541048299999999</v>
      </c>
      <c r="T43" t="s">
        <v>8</v>
      </c>
      <c r="U43">
        <v>15119</v>
      </c>
      <c r="V43">
        <v>45929</v>
      </c>
    </row>
    <row r="44" spans="1:27" x14ac:dyDescent="0.25">
      <c r="A44" t="str">
        <f t="shared" si="0"/>
        <v>mean_env_ch6</v>
      </c>
      <c r="B44">
        <f t="shared" si="1"/>
        <v>0</v>
      </c>
      <c r="C44" s="3">
        <f t="shared" si="2"/>
        <v>44776.000694444447</v>
      </c>
      <c r="E44" s="1">
        <v>44776.104861111111</v>
      </c>
      <c r="F44" s="2">
        <v>1.5005887693287601E-7</v>
      </c>
      <c r="G44" s="2">
        <v>9.6509140572479604E-8</v>
      </c>
      <c r="H44" s="2">
        <v>9.29777467387017E-8</v>
      </c>
      <c r="I44">
        <v>0.74867457049999997</v>
      </c>
    </row>
    <row r="45" spans="1:27" x14ac:dyDescent="0.25">
      <c r="A45" t="str">
        <f t="shared" si="0"/>
        <v>median_env_ch6</v>
      </c>
      <c r="B45">
        <f t="shared" si="1"/>
        <v>0</v>
      </c>
      <c r="C45" s="3">
        <f t="shared" si="2"/>
        <v>44776.000694444447</v>
      </c>
      <c r="E45" s="1">
        <v>44776.115277777775</v>
      </c>
      <c r="F45" s="2">
        <v>1.4259904240921899E-7</v>
      </c>
      <c r="G45" s="2">
        <v>1.1203052388438301E-7</v>
      </c>
      <c r="H45" s="2">
        <v>1.10933720359415E-7</v>
      </c>
      <c r="I45">
        <v>0.77382161049999998</v>
      </c>
      <c r="U45" t="s">
        <v>37</v>
      </c>
    </row>
    <row r="46" spans="1:27" x14ac:dyDescent="0.25">
      <c r="A46" t="str">
        <f t="shared" si="0"/>
        <v>max_env_ch5</v>
      </c>
      <c r="B46">
        <f t="shared" si="1"/>
        <v>8.8538283179216595E-2</v>
      </c>
      <c r="C46" s="3">
        <f t="shared" si="2"/>
        <v>44776.625694444447</v>
      </c>
      <c r="E46" s="1">
        <v>44776.125694444447</v>
      </c>
      <c r="F46" s="2">
        <v>1.52001438766829E-7</v>
      </c>
      <c r="G46" s="2">
        <v>9.8880517814838898E-8</v>
      </c>
      <c r="H46" s="2">
        <v>9.6879095171269695E-8</v>
      </c>
      <c r="I46">
        <v>0.75131557849999997</v>
      </c>
      <c r="U46" t="s">
        <v>35</v>
      </c>
      <c r="V46" t="s">
        <v>36</v>
      </c>
      <c r="W46" t="s">
        <v>38</v>
      </c>
      <c r="Y46" t="s">
        <v>35</v>
      </c>
      <c r="Z46" t="s">
        <v>36</v>
      </c>
      <c r="AA46" t="s">
        <v>38</v>
      </c>
    </row>
    <row r="47" spans="1:27" x14ac:dyDescent="0.25">
      <c r="A47" t="str">
        <f t="shared" si="0"/>
        <v>mean_env_ch5</v>
      </c>
      <c r="B47">
        <f t="shared" si="1"/>
        <v>6.8701391389362806E-2</v>
      </c>
      <c r="C47" s="3">
        <f t="shared" si="2"/>
        <v>44776.625694444447</v>
      </c>
      <c r="E47" s="1">
        <v>44776.136111111111</v>
      </c>
      <c r="F47" s="2">
        <v>1.3769639682143201E-7</v>
      </c>
      <c r="G47" s="2">
        <v>1.00303065136692E-7</v>
      </c>
      <c r="H47" s="2">
        <v>9.6594583892903297E-8</v>
      </c>
      <c r="I47">
        <v>0.75904434850000002</v>
      </c>
      <c r="T47" t="s">
        <v>39</v>
      </c>
      <c r="U47" s="2">
        <f>B43</f>
        <v>0</v>
      </c>
      <c r="V47" s="2">
        <f>B44</f>
        <v>0</v>
      </c>
      <c r="W47" s="2">
        <f>B45</f>
        <v>0</v>
      </c>
      <c r="Y47">
        <v>0</v>
      </c>
      <c r="Z47">
        <v>0</v>
      </c>
      <c r="AA47">
        <v>0</v>
      </c>
    </row>
    <row r="48" spans="1:27" x14ac:dyDescent="0.25">
      <c r="A48" t="str">
        <f t="shared" si="0"/>
        <v>median_env_ch5</v>
      </c>
      <c r="B48">
        <f t="shared" si="1"/>
        <v>6.8928110932124101E-2</v>
      </c>
      <c r="C48" s="3">
        <f t="shared" si="2"/>
        <v>44776.625694444447</v>
      </c>
      <c r="E48" s="1">
        <v>44776.146527777775</v>
      </c>
      <c r="F48" s="2">
        <v>1.00749518391823E-7</v>
      </c>
      <c r="G48" s="2">
        <v>6.65190960647415E-8</v>
      </c>
      <c r="H48" s="2">
        <v>6.5868391454465701E-8</v>
      </c>
      <c r="I48">
        <v>0.67891565050000002</v>
      </c>
      <c r="T48" t="s">
        <v>40</v>
      </c>
      <c r="U48" s="2">
        <f>B46</f>
        <v>8.8538283179216595E-2</v>
      </c>
      <c r="V48" s="2">
        <f>B47</f>
        <v>6.8701391389362806E-2</v>
      </c>
      <c r="W48" s="2">
        <f>B48</f>
        <v>6.8928110932124101E-2</v>
      </c>
      <c r="Y48">
        <v>0.108402639333512</v>
      </c>
      <c r="Z48">
        <v>8.5195492688122099E-2</v>
      </c>
      <c r="AA48">
        <v>8.1549751061042799E-2</v>
      </c>
    </row>
    <row r="49" spans="1:27" x14ac:dyDescent="0.25">
      <c r="A49" t="str">
        <f t="shared" si="0"/>
        <v>max_env_ch4</v>
      </c>
      <c r="B49">
        <f t="shared" si="1"/>
        <v>0.364117442712454</v>
      </c>
      <c r="C49" s="3">
        <f t="shared" si="2"/>
        <v>44776.625694444447</v>
      </c>
      <c r="E49" s="1">
        <v>44776.156944444447</v>
      </c>
      <c r="F49" s="2">
        <v>1.05944141049072E-7</v>
      </c>
      <c r="G49" s="2">
        <v>7.4729274315264904E-8</v>
      </c>
      <c r="H49" s="2">
        <v>7.2350754825156606E-8</v>
      </c>
      <c r="I49">
        <v>0.70024108200000001</v>
      </c>
      <c r="T49" t="s">
        <v>41</v>
      </c>
      <c r="U49" s="2">
        <f>B49</f>
        <v>0.364117442712454</v>
      </c>
      <c r="V49" s="2">
        <f>B50</f>
        <v>0.246683535248926</v>
      </c>
      <c r="W49" s="2">
        <f>B51</f>
        <v>0.25086465947329001</v>
      </c>
      <c r="Y49">
        <v>0.43361055733404802</v>
      </c>
      <c r="Z49">
        <v>0.283546008743847</v>
      </c>
      <c r="AA49">
        <v>0.28905210154241401</v>
      </c>
    </row>
    <row r="50" spans="1:27" x14ac:dyDescent="0.25">
      <c r="A50" t="str">
        <f t="shared" si="0"/>
        <v>mean_env_ch4</v>
      </c>
      <c r="B50">
        <f t="shared" si="1"/>
        <v>0.246683535248926</v>
      </c>
      <c r="C50" s="3">
        <f t="shared" si="2"/>
        <v>44776.625694444447</v>
      </c>
      <c r="E50" s="1">
        <v>44776.167361111111</v>
      </c>
      <c r="F50" s="2">
        <v>1.24184369088094E-7</v>
      </c>
      <c r="G50" s="2">
        <v>9.1626075600631999E-8</v>
      </c>
      <c r="H50" s="2">
        <v>8.9999651819504605E-8</v>
      </c>
      <c r="I50">
        <v>0.740701163</v>
      </c>
      <c r="T50" t="s">
        <v>42</v>
      </c>
      <c r="U50" s="2">
        <f>B52</f>
        <v>1.45646977084981</v>
      </c>
      <c r="V50" s="2">
        <f>B53</f>
        <v>0.96474323456365096</v>
      </c>
      <c r="W50" s="2">
        <f>B54</f>
        <v>0.98707974061158099</v>
      </c>
      <c r="Y50">
        <v>2.3259290609915499</v>
      </c>
      <c r="Z50">
        <v>2.2279108515780699</v>
      </c>
      <c r="AA50">
        <v>2.22823696464304</v>
      </c>
    </row>
    <row r="51" spans="1:27" x14ac:dyDescent="0.25">
      <c r="A51" t="str">
        <f t="shared" si="0"/>
        <v>median_env_ch4</v>
      </c>
      <c r="B51">
        <f t="shared" si="1"/>
        <v>0.25086465947329001</v>
      </c>
      <c r="C51" s="3">
        <f t="shared" si="2"/>
        <v>44776.625694444447</v>
      </c>
      <c r="E51" s="1">
        <v>44776.177777777775</v>
      </c>
      <c r="F51" s="2">
        <v>1.37878724988046E-7</v>
      </c>
      <c r="G51" s="2">
        <v>9.1043662179332501E-8</v>
      </c>
      <c r="H51" s="2">
        <v>8.8756820982546494E-8</v>
      </c>
      <c r="I51">
        <v>0.74046465699999997</v>
      </c>
      <c r="T51" t="s">
        <v>43</v>
      </c>
      <c r="U51" s="2">
        <f>B55</f>
        <v>5.8258790833992702</v>
      </c>
      <c r="V51" s="2">
        <f>B56</f>
        <v>3.8589729382545999</v>
      </c>
      <c r="W51" s="2">
        <f>B57</f>
        <v>3.94831896244632</v>
      </c>
      <c r="Y51">
        <v>9.3037162439662104</v>
      </c>
      <c r="Z51">
        <v>8.9116434063122991</v>
      </c>
      <c r="AA51">
        <v>8.9129478585721706</v>
      </c>
    </row>
    <row r="52" spans="1:27" x14ac:dyDescent="0.25">
      <c r="A52" s="5" t="str">
        <f t="shared" si="0"/>
        <v>max_env_ch3</v>
      </c>
      <c r="B52" s="5">
        <f t="shared" si="1"/>
        <v>1.45646977084981</v>
      </c>
      <c r="C52" s="6">
        <f t="shared" si="2"/>
        <v>44776.625694444447</v>
      </c>
      <c r="E52" s="1">
        <v>44776.188194444447</v>
      </c>
      <c r="F52" s="2">
        <v>1.19886430033326E-7</v>
      </c>
      <c r="G52" s="2">
        <v>9.0438348701767694E-8</v>
      </c>
      <c r="H52" s="2">
        <v>8.9869343015544797E-8</v>
      </c>
      <c r="I52">
        <v>0.74873955049999996</v>
      </c>
      <c r="T52" t="s">
        <v>44</v>
      </c>
      <c r="U52" s="2">
        <f>B58</f>
        <v>23.303516333596999</v>
      </c>
      <c r="V52" s="2">
        <f>B59</f>
        <v>15.435891753018399</v>
      </c>
      <c r="W52" s="2">
        <f>B60</f>
        <v>15.793275849785299</v>
      </c>
      <c r="Y52">
        <v>37.214864975864799</v>
      </c>
      <c r="Z52">
        <v>35.646573625249196</v>
      </c>
      <c r="AA52">
        <v>35.651791434288697</v>
      </c>
    </row>
    <row r="53" spans="1:27" x14ac:dyDescent="0.25">
      <c r="A53" s="5" t="str">
        <f t="shared" si="0"/>
        <v>mean_env_ch3</v>
      </c>
      <c r="B53" s="5">
        <f t="shared" si="1"/>
        <v>0.96474323456365096</v>
      </c>
      <c r="C53" s="6">
        <f t="shared" si="2"/>
        <v>44776.625694444447</v>
      </c>
      <c r="E53" s="1">
        <v>44776.198611111111</v>
      </c>
      <c r="F53" s="2">
        <v>1.2609225603872499E-7</v>
      </c>
      <c r="G53" s="2">
        <v>8.0139140013971602E-8</v>
      </c>
      <c r="H53" s="2">
        <v>7.9210550984000096E-8</v>
      </c>
      <c r="I53">
        <v>0.73845619600000001</v>
      </c>
    </row>
    <row r="54" spans="1:27" x14ac:dyDescent="0.25">
      <c r="A54" s="5" t="str">
        <f t="shared" si="0"/>
        <v>median_env_ch3</v>
      </c>
      <c r="B54" s="5">
        <f t="shared" si="1"/>
        <v>0.98707974061158099</v>
      </c>
      <c r="C54" s="6">
        <f t="shared" si="2"/>
        <v>44776.625694444447</v>
      </c>
      <c r="E54" s="1">
        <v>44776.209027777775</v>
      </c>
      <c r="F54" s="2">
        <v>1.20592636157517E-7</v>
      </c>
      <c r="G54" s="2">
        <v>8.0614375783670403E-8</v>
      </c>
      <c r="H54" s="2">
        <v>7.7602655868289506E-8</v>
      </c>
      <c r="I54">
        <v>0.726575334499999</v>
      </c>
    </row>
    <row r="55" spans="1:27" x14ac:dyDescent="0.25">
      <c r="A55" s="5" t="str">
        <f t="shared" si="0"/>
        <v>max_env_ch2</v>
      </c>
      <c r="B55" s="5">
        <f t="shared" si="1"/>
        <v>5.8258790833992702</v>
      </c>
      <c r="C55" s="6">
        <f t="shared" si="2"/>
        <v>44776.625694444447</v>
      </c>
      <c r="E55" s="1">
        <v>44776.219444444447</v>
      </c>
      <c r="F55" s="2">
        <v>1.4862872126020399E-7</v>
      </c>
      <c r="G55" s="2">
        <v>9.9911035846152306E-8</v>
      </c>
      <c r="H55" s="2">
        <v>1.00071864968304E-7</v>
      </c>
      <c r="I55">
        <v>0.78202204350000004</v>
      </c>
    </row>
    <row r="56" spans="1:27" x14ac:dyDescent="0.25">
      <c r="A56" s="5" t="str">
        <f t="shared" si="0"/>
        <v>mean_env_ch2</v>
      </c>
      <c r="B56" s="5">
        <f t="shared" si="1"/>
        <v>3.8589729382545999</v>
      </c>
      <c r="C56" s="6">
        <f t="shared" si="2"/>
        <v>44776.625694444447</v>
      </c>
      <c r="E56" s="1">
        <v>44776.229861111111</v>
      </c>
      <c r="F56" s="2">
        <v>1.7464465475407299E-7</v>
      </c>
      <c r="G56" s="2">
        <v>1.2689158872093E-7</v>
      </c>
      <c r="H56" s="2">
        <v>1.2298411605744001E-7</v>
      </c>
      <c r="I56">
        <v>0.83594533650000002</v>
      </c>
    </row>
    <row r="57" spans="1:27" x14ac:dyDescent="0.25">
      <c r="A57" s="5" t="str">
        <f t="shared" si="0"/>
        <v>median_env_ch2</v>
      </c>
      <c r="B57" s="5">
        <f t="shared" si="1"/>
        <v>3.94831896244632</v>
      </c>
      <c r="C57" s="6">
        <f t="shared" si="2"/>
        <v>44776.625694444447</v>
      </c>
      <c r="E57" s="1">
        <v>44776.240277777775</v>
      </c>
      <c r="F57" s="2">
        <v>1.49384516203063E-7</v>
      </c>
      <c r="G57" s="2">
        <v>9.9734847598926806E-8</v>
      </c>
      <c r="H57" s="2">
        <v>9.7162063567462706E-8</v>
      </c>
      <c r="I57">
        <v>0.78025976949999998</v>
      </c>
    </row>
    <row r="58" spans="1:27" x14ac:dyDescent="0.25">
      <c r="A58" s="5" t="str">
        <f t="shared" si="0"/>
        <v>max_env_ch1</v>
      </c>
      <c r="B58" s="5">
        <f t="shared" si="1"/>
        <v>23.303516333596999</v>
      </c>
      <c r="C58" s="6">
        <f t="shared" si="2"/>
        <v>44776.625694444447</v>
      </c>
      <c r="E58" s="1">
        <v>44776.250694444447</v>
      </c>
      <c r="F58" s="2">
        <v>1.31607155934079E-7</v>
      </c>
      <c r="G58" s="2">
        <v>8.9444193016331499E-8</v>
      </c>
      <c r="H58" s="2">
        <v>8.8544174547710997E-8</v>
      </c>
      <c r="I58">
        <v>0.75657462549999999</v>
      </c>
    </row>
    <row r="59" spans="1:27" x14ac:dyDescent="0.25">
      <c r="A59" s="5" t="str">
        <f t="shared" si="0"/>
        <v>mean_env_ch1</v>
      </c>
      <c r="B59" s="5">
        <f t="shared" si="1"/>
        <v>15.435891753018399</v>
      </c>
      <c r="C59" s="6">
        <f t="shared" si="2"/>
        <v>44776.625694444447</v>
      </c>
      <c r="E59" s="1">
        <v>44776.261111111111</v>
      </c>
      <c r="F59" s="2">
        <v>9.9090210221863701E-8</v>
      </c>
      <c r="G59" s="2">
        <v>6.9326029535019303E-8</v>
      </c>
      <c r="H59" s="2">
        <v>6.7997843442912401E-8</v>
      </c>
      <c r="I59">
        <v>0.70298291499999999</v>
      </c>
    </row>
    <row r="60" spans="1:27" x14ac:dyDescent="0.25">
      <c r="A60" s="5" t="str">
        <f t="shared" si="0"/>
        <v>median_env_ch1</v>
      </c>
      <c r="B60" s="5">
        <f t="shared" si="1"/>
        <v>15.793275849785299</v>
      </c>
      <c r="C60" s="6">
        <f>_xlfn.XLOOKUP(MAX(B28:CS28), B28:CS28, $B$1:$CS$1)</f>
        <v>44776.625694444447</v>
      </c>
      <c r="E60" s="1">
        <v>44776.271527777775</v>
      </c>
      <c r="F60" s="2">
        <v>8.8754463725521903E-8</v>
      </c>
      <c r="G60" s="2">
        <v>6.2073327359061195E-8</v>
      </c>
      <c r="H60" s="2">
        <v>6.1101900878412694E-8</v>
      </c>
      <c r="I60">
        <v>0.68254177999999999</v>
      </c>
    </row>
    <row r="61" spans="1:27" x14ac:dyDescent="0.25">
      <c r="A61" t="s">
        <v>32</v>
      </c>
      <c r="B61" s="7">
        <f>MAX(B29:CS29)</f>
        <v>22.620213794999898</v>
      </c>
      <c r="C61" s="6">
        <f t="shared" ref="C61:C62" si="4">_xlfn.XLOOKUP(MAX(B29:CS29), B29:CS29, $B$1:$CS$1)</f>
        <v>44776.636111111111</v>
      </c>
      <c r="E61" s="1">
        <v>44776.281944444447</v>
      </c>
      <c r="F61" s="2">
        <v>8.4536834987216905E-8</v>
      </c>
      <c r="G61" s="2">
        <v>6.0520993909596605E-8</v>
      </c>
      <c r="H61" s="2">
        <v>5.95214996260397E-8</v>
      </c>
      <c r="I61">
        <v>0.684465781</v>
      </c>
    </row>
    <row r="62" spans="1:27" x14ac:dyDescent="0.25">
      <c r="A62" t="s">
        <v>33</v>
      </c>
      <c r="B62" s="7">
        <f>MAX(B30:CS30)</f>
        <v>9.6829050148094105</v>
      </c>
      <c r="C62" s="6">
        <f t="shared" si="4"/>
        <v>44776.625694444447</v>
      </c>
      <c r="E62" s="1">
        <v>44776.292361111111</v>
      </c>
      <c r="F62" s="2">
        <v>9.37925917280448E-8</v>
      </c>
      <c r="G62" s="2">
        <v>6.5868796186162205E-8</v>
      </c>
      <c r="H62" s="2">
        <v>6.3775344592046203E-8</v>
      </c>
      <c r="I62">
        <v>0.69437548549999994</v>
      </c>
    </row>
    <row r="63" spans="1:27" x14ac:dyDescent="0.25">
      <c r="B63" s="8"/>
      <c r="C63" s="3"/>
      <c r="E63" s="1">
        <v>44776.302777777775</v>
      </c>
      <c r="F63" s="2">
        <v>1.10005014672529E-7</v>
      </c>
      <c r="G63" s="2">
        <v>6.7867040767186004E-8</v>
      </c>
      <c r="H63" s="2">
        <v>6.6226772943665902E-8</v>
      </c>
      <c r="I63">
        <v>0.7037178785</v>
      </c>
    </row>
    <row r="64" spans="1:27" x14ac:dyDescent="0.25">
      <c r="E64" s="1">
        <v>44776.313194444447</v>
      </c>
      <c r="F64" s="2">
        <v>7.42269507867231E-8</v>
      </c>
      <c r="G64" s="2">
        <v>5.5165883337354401E-8</v>
      </c>
      <c r="H64" s="2">
        <v>5.4629051040995798E-8</v>
      </c>
      <c r="I64">
        <v>0.672222341</v>
      </c>
    </row>
    <row r="65" spans="5:9" x14ac:dyDescent="0.25">
      <c r="E65" s="1">
        <v>44776.323611111111</v>
      </c>
      <c r="F65" s="2">
        <v>8.37489976291492E-8</v>
      </c>
      <c r="G65" s="2">
        <v>5.9000236484766003E-8</v>
      </c>
      <c r="H65" s="2">
        <v>5.7951294409898098E-8</v>
      </c>
      <c r="I65">
        <v>0.67980481400000004</v>
      </c>
    </row>
    <row r="66" spans="5:9" x14ac:dyDescent="0.25">
      <c r="E66" s="1">
        <v>44776.334027777775</v>
      </c>
      <c r="F66" s="2">
        <v>1.3456036196529701E-7</v>
      </c>
      <c r="G66" s="2">
        <v>8.5166857477847597E-8</v>
      </c>
      <c r="H66" s="2">
        <v>8.41282960556246E-8</v>
      </c>
      <c r="I66">
        <v>0.74230587949999904</v>
      </c>
    </row>
    <row r="67" spans="5:9" x14ac:dyDescent="0.25">
      <c r="E67" s="1">
        <v>44776.344444444447</v>
      </c>
      <c r="F67" s="2">
        <v>1.3044573565671401E-7</v>
      </c>
      <c r="G67" s="2">
        <v>9.1662464954226799E-8</v>
      </c>
      <c r="H67" s="2">
        <v>8.9480617106329296E-8</v>
      </c>
      <c r="I67">
        <v>0.76352864149999999</v>
      </c>
    </row>
    <row r="68" spans="5:9" x14ac:dyDescent="0.25">
      <c r="E68" s="1">
        <v>44776.354861111111</v>
      </c>
      <c r="F68" s="2">
        <v>1.0828443230519701E-7</v>
      </c>
      <c r="G68" s="2">
        <v>7.20934558107596E-8</v>
      </c>
      <c r="H68" s="2">
        <v>6.9263412127430206E-8</v>
      </c>
      <c r="I68">
        <v>0.72191215399999997</v>
      </c>
    </row>
    <row r="69" spans="5:9" x14ac:dyDescent="0.25">
      <c r="E69" s="1">
        <v>44776.365277777775</v>
      </c>
      <c r="F69" s="2">
        <v>9.84825997732359E-8</v>
      </c>
      <c r="G69" s="2">
        <v>7.2973329046067995E-8</v>
      </c>
      <c r="H69" s="2">
        <v>7.2117064164911005E-8</v>
      </c>
      <c r="I69">
        <v>0.72191215399999997</v>
      </c>
    </row>
    <row r="70" spans="5:9" x14ac:dyDescent="0.25">
      <c r="E70" s="1">
        <v>44776.375694444447</v>
      </c>
      <c r="F70" s="2">
        <v>1.2803878825587399E-7</v>
      </c>
      <c r="G70" s="2">
        <v>9.9821754575454596E-8</v>
      </c>
      <c r="H70" s="2">
        <v>9.5313123490926E-8</v>
      </c>
      <c r="I70">
        <v>0.77710206100000001</v>
      </c>
    </row>
    <row r="71" spans="5:9" x14ac:dyDescent="0.25">
      <c r="E71" s="1">
        <v>44776.386111111111</v>
      </c>
      <c r="F71" s="2">
        <v>1.2629784050930401E-7</v>
      </c>
      <c r="G71" s="2">
        <v>8.7222203919932196E-8</v>
      </c>
      <c r="H71" s="2">
        <v>8.5271360606545198E-8</v>
      </c>
      <c r="I71">
        <v>0.73831050949999999</v>
      </c>
    </row>
    <row r="72" spans="5:9" x14ac:dyDescent="0.25">
      <c r="E72" s="1">
        <v>44776.396527777775</v>
      </c>
      <c r="F72" s="2">
        <v>8.3491559530010094E-8</v>
      </c>
      <c r="G72" s="2">
        <v>5.5401764956497602E-8</v>
      </c>
      <c r="H72" s="2">
        <v>5.2415276552998997E-8</v>
      </c>
      <c r="I72">
        <v>0.65388842250000001</v>
      </c>
    </row>
    <row r="73" spans="5:9" x14ac:dyDescent="0.25">
      <c r="E73" s="1">
        <v>44776.406944444447</v>
      </c>
      <c r="F73" s="2">
        <v>7.7510850378197098E-8</v>
      </c>
      <c r="G73" s="2">
        <v>5.6226789050408003E-8</v>
      </c>
      <c r="H73" s="2">
        <v>5.4685288157373297E-8</v>
      </c>
      <c r="I73">
        <v>0.66321230600000003</v>
      </c>
    </row>
    <row r="74" spans="5:9" x14ac:dyDescent="0.25">
      <c r="E74" s="1">
        <v>44776.417361111111</v>
      </c>
      <c r="F74" s="2">
        <v>1.45550665327585E-7</v>
      </c>
      <c r="G74" s="2">
        <v>9.2450805376652304E-8</v>
      </c>
      <c r="H74" s="2">
        <v>8.8795646739425097E-8</v>
      </c>
      <c r="I74">
        <v>0.73972780449999997</v>
      </c>
    </row>
    <row r="75" spans="5:9" x14ac:dyDescent="0.25">
      <c r="E75" s="1">
        <v>44776.427777777775</v>
      </c>
      <c r="F75" s="2">
        <v>1.03039015709554E-7</v>
      </c>
      <c r="G75" s="2">
        <v>7.7052784807964101E-8</v>
      </c>
      <c r="H75" s="2">
        <v>7.6227209236170099E-8</v>
      </c>
      <c r="I75">
        <v>0.72333429699999996</v>
      </c>
    </row>
    <row r="76" spans="5:9" x14ac:dyDescent="0.25">
      <c r="E76" s="1">
        <v>44776.438194444447</v>
      </c>
      <c r="F76" s="2">
        <v>1.0138129644085801E-7</v>
      </c>
      <c r="G76" s="2">
        <v>6.8550282581515004E-8</v>
      </c>
      <c r="H76" s="2">
        <v>6.7221217486965405E-8</v>
      </c>
      <c r="I76">
        <v>0.71002781749999999</v>
      </c>
    </row>
    <row r="77" spans="5:9" x14ac:dyDescent="0.25">
      <c r="E77" s="1">
        <v>44776.448611111111</v>
      </c>
      <c r="F77" s="2">
        <v>1.11984058743973E-7</v>
      </c>
      <c r="G77" s="2">
        <v>7.6743643584538195E-8</v>
      </c>
      <c r="H77" s="2">
        <v>7.4836203919844605E-8</v>
      </c>
      <c r="I77">
        <v>0.72868923050000001</v>
      </c>
    </row>
    <row r="78" spans="5:9" x14ac:dyDescent="0.25">
      <c r="E78" s="1">
        <v>44776.459027777775</v>
      </c>
      <c r="F78" s="2">
        <v>7.5515919884758005E-8</v>
      </c>
      <c r="G78" s="2">
        <v>5.5415046706262998E-8</v>
      </c>
      <c r="H78" s="2">
        <v>5.2865704198383603E-8</v>
      </c>
      <c r="I78">
        <v>0.66863318549999995</v>
      </c>
    </row>
    <row r="79" spans="5:9" x14ac:dyDescent="0.25">
      <c r="E79" s="1">
        <v>44776.469444444447</v>
      </c>
      <c r="F79" s="2">
        <v>8.9569897468822199E-8</v>
      </c>
      <c r="G79" s="2">
        <v>5.4019436663800003E-8</v>
      </c>
      <c r="H79" s="2">
        <v>5.1936139422548101E-8</v>
      </c>
      <c r="I79">
        <v>0.65794700399999995</v>
      </c>
    </row>
    <row r="80" spans="5:9" x14ac:dyDescent="0.25">
      <c r="E80" s="1">
        <v>44776.479861111111</v>
      </c>
      <c r="F80" s="2">
        <v>9.9278824374308606E-8</v>
      </c>
      <c r="G80" s="2">
        <v>6.9586164386871801E-8</v>
      </c>
      <c r="H80" s="2">
        <v>6.7502304541728903E-8</v>
      </c>
      <c r="I80">
        <v>0.69552619199999999</v>
      </c>
    </row>
    <row r="81" spans="5:9" x14ac:dyDescent="0.25">
      <c r="E81" s="1">
        <v>44776.490277777775</v>
      </c>
      <c r="F81" s="2">
        <v>1.1433540602737001E-7</v>
      </c>
      <c r="G81" s="2">
        <v>7.7679576315849496E-8</v>
      </c>
      <c r="H81" s="2">
        <v>7.4913477103605801E-8</v>
      </c>
      <c r="I81">
        <v>0.73331566249999902</v>
      </c>
    </row>
    <row r="82" spans="5:9" x14ac:dyDescent="0.25">
      <c r="E82" s="1">
        <v>44776.500694444447</v>
      </c>
      <c r="F82" s="2">
        <v>1.45994317995278E-7</v>
      </c>
      <c r="G82" s="2">
        <v>8.4131964117135899E-8</v>
      </c>
      <c r="H82" s="2">
        <v>8.3264191209349899E-8</v>
      </c>
      <c r="I82">
        <v>0.74682702999999995</v>
      </c>
    </row>
    <row r="83" spans="5:9" x14ac:dyDescent="0.25">
      <c r="E83" s="1">
        <v>44776.511111111111</v>
      </c>
      <c r="F83" s="2">
        <v>1.3323298366791201E-7</v>
      </c>
      <c r="G83" s="2">
        <v>9.3968925913969705E-8</v>
      </c>
      <c r="H83" s="2">
        <v>9.1049288581031497E-8</v>
      </c>
      <c r="I83">
        <v>0.76967573</v>
      </c>
    </row>
    <row r="84" spans="5:9" x14ac:dyDescent="0.25">
      <c r="E84" s="1">
        <v>44776.521527777775</v>
      </c>
      <c r="F84" s="2">
        <v>1.27761173164764E-7</v>
      </c>
      <c r="G84" s="2">
        <v>8.7970624737456199E-8</v>
      </c>
      <c r="H84" s="2">
        <v>8.6416574325402399E-8</v>
      </c>
      <c r="I84">
        <v>0.7477791265</v>
      </c>
    </row>
    <row r="85" spans="5:9" x14ac:dyDescent="0.25">
      <c r="E85" s="1">
        <v>44776.531944444447</v>
      </c>
      <c r="F85" s="2">
        <v>1.18594503912163E-7</v>
      </c>
      <c r="G85" s="2">
        <v>7.3975211962877299E-8</v>
      </c>
      <c r="H85" s="2">
        <v>7.1228262113146997E-8</v>
      </c>
      <c r="I85">
        <v>0.71824162000000003</v>
      </c>
    </row>
    <row r="86" spans="5:9" x14ac:dyDescent="0.25">
      <c r="E86" s="1">
        <v>44776.542361111111</v>
      </c>
      <c r="F86" s="2">
        <v>1.2827286419484501E-7</v>
      </c>
      <c r="G86" s="2">
        <v>7.4654950597264206E-8</v>
      </c>
      <c r="H86" s="2">
        <v>7.1674042631118694E-8</v>
      </c>
      <c r="I86">
        <v>0.72944691949999996</v>
      </c>
    </row>
    <row r="87" spans="5:9" x14ac:dyDescent="0.25">
      <c r="E87" s="1">
        <v>44776.552777777775</v>
      </c>
      <c r="F87" s="2">
        <v>8.2552067113168302E-8</v>
      </c>
      <c r="G87" s="2">
        <v>6.0372354715777496E-8</v>
      </c>
      <c r="H87" s="2">
        <v>5.8814106879375399E-8</v>
      </c>
      <c r="I87">
        <v>0.68032893350000001</v>
      </c>
    </row>
    <row r="88" spans="5:9" x14ac:dyDescent="0.25">
      <c r="E88" s="1">
        <v>44776.563194444447</v>
      </c>
      <c r="F88" s="2">
        <v>5.6289250569251201E-8</v>
      </c>
      <c r="G88" s="2">
        <v>4.2416858249319797E-8</v>
      </c>
      <c r="H88" s="2">
        <v>4.2028462983332902E-8</v>
      </c>
      <c r="I88">
        <v>0.62184915699999999</v>
      </c>
    </row>
    <row r="89" spans="5:9" x14ac:dyDescent="0.25">
      <c r="E89" s="1">
        <v>44776.573611111111</v>
      </c>
      <c r="F89" s="2">
        <v>8.0481383774328897E-8</v>
      </c>
      <c r="G89" s="2">
        <v>4.4127540268418999E-8</v>
      </c>
      <c r="H89" s="2">
        <v>4.4271922955657401E-8</v>
      </c>
      <c r="I89">
        <v>0.63156217000000003</v>
      </c>
    </row>
    <row r="90" spans="5:9" x14ac:dyDescent="0.25">
      <c r="E90" s="1">
        <v>44776.584027777775</v>
      </c>
      <c r="F90" s="2">
        <v>9.0839956727602702E-8</v>
      </c>
      <c r="G90" s="2">
        <v>5.3810977227716901E-8</v>
      </c>
      <c r="H90" s="2">
        <v>5.1739962039249402E-8</v>
      </c>
      <c r="I90">
        <v>0.66496995749999999</v>
      </c>
    </row>
    <row r="91" spans="5:9" x14ac:dyDescent="0.25">
      <c r="E91" s="1">
        <v>44776.594444444447</v>
      </c>
      <c r="F91" s="2">
        <v>1.0987121629035801E-7</v>
      </c>
      <c r="G91" s="2">
        <v>6.3632234929052404E-8</v>
      </c>
      <c r="H91" s="2">
        <v>6.1414011629415794E-8</v>
      </c>
      <c r="I91">
        <v>0.67182250649999997</v>
      </c>
    </row>
    <row r="92" spans="5:9" x14ac:dyDescent="0.25">
      <c r="E92" s="1">
        <v>44776.604861111111</v>
      </c>
      <c r="F92" s="2">
        <v>1.6818201192618799E-7</v>
      </c>
      <c r="G92" s="2">
        <v>7.8458636089864999E-8</v>
      </c>
      <c r="H92" s="2">
        <v>7.6211456307944803E-8</v>
      </c>
      <c r="I92">
        <v>0.69815132099999999</v>
      </c>
    </row>
    <row r="93" spans="5:9" x14ac:dyDescent="0.25">
      <c r="E93" s="1">
        <v>44776.615277777775</v>
      </c>
      <c r="F93" s="2">
        <v>2.59925867337766E-6</v>
      </c>
      <c r="G93" s="2">
        <v>1.5064434394438E-6</v>
      </c>
      <c r="H93" s="2">
        <v>1.4754195766852299E-6</v>
      </c>
      <c r="I93">
        <v>1.3141996124999999</v>
      </c>
    </row>
    <row r="94" spans="5:9" x14ac:dyDescent="0.25">
      <c r="E94" s="1">
        <v>44776.625694444447</v>
      </c>
      <c r="F94">
        <v>2.2757340169528399E-2</v>
      </c>
      <c r="G94">
        <v>1.5074113040056999E-2</v>
      </c>
      <c r="H94">
        <v>1.5423120947055899E-2</v>
      </c>
      <c r="I94">
        <v>12.6789259225</v>
      </c>
    </row>
    <row r="95" spans="5:9" x14ac:dyDescent="0.25">
      <c r="E95" s="1">
        <v>44776.636111111111</v>
      </c>
      <c r="F95">
        <v>6.88792344191058E-3</v>
      </c>
      <c r="G95">
        <v>5.2632160762136997E-3</v>
      </c>
      <c r="H95">
        <v>5.1904084650772203E-3</v>
      </c>
      <c r="I95">
        <v>22.620213794999898</v>
      </c>
    </row>
    <row r="96" spans="5:9" x14ac:dyDescent="0.25">
      <c r="E96" s="1">
        <v>44776.646527777775</v>
      </c>
      <c r="F96">
        <v>5.7579781162764004E-3</v>
      </c>
      <c r="G96">
        <v>4.3034871843328102E-3</v>
      </c>
      <c r="H96">
        <v>4.2479273350382804E-3</v>
      </c>
      <c r="I96">
        <v>19.508647905</v>
      </c>
    </row>
    <row r="97" spans="5:9" x14ac:dyDescent="0.25">
      <c r="E97" s="1">
        <v>44776.656944444447</v>
      </c>
      <c r="F97">
        <v>5.4595327590182402E-3</v>
      </c>
      <c r="G97">
        <v>3.73312242376734E-3</v>
      </c>
      <c r="H97">
        <v>3.6689607626336899E-3</v>
      </c>
      <c r="I97">
        <v>15.20489341</v>
      </c>
    </row>
    <row r="98" spans="5:9" x14ac:dyDescent="0.25">
      <c r="E98" s="1">
        <v>44776.667361111111</v>
      </c>
      <c r="F98">
        <v>4.8759650107001798E-3</v>
      </c>
      <c r="G98">
        <v>3.8349105547707601E-3</v>
      </c>
      <c r="H98">
        <v>3.8009525886131702E-3</v>
      </c>
      <c r="I98">
        <v>17.173613769999999</v>
      </c>
    </row>
    <row r="99" spans="5:9" x14ac:dyDescent="0.25">
      <c r="E99" s="1">
        <v>44776.677777777775</v>
      </c>
      <c r="F99">
        <v>5.4686815441540304E-3</v>
      </c>
      <c r="G99">
        <v>4.1693597551748099E-3</v>
      </c>
      <c r="H99">
        <v>4.0915902838031598E-3</v>
      </c>
      <c r="I99">
        <v>19.879890565</v>
      </c>
    </row>
    <row r="100" spans="5:9" x14ac:dyDescent="0.25">
      <c r="E100" s="1">
        <v>44776.688194444447</v>
      </c>
      <c r="F100">
        <v>5.5732365802783701E-3</v>
      </c>
      <c r="G100">
        <v>4.0689924661150003E-3</v>
      </c>
      <c r="H100">
        <v>4.1066535045521501E-3</v>
      </c>
      <c r="I100">
        <v>18.271869219999999</v>
      </c>
    </row>
    <row r="101" spans="5:9" x14ac:dyDescent="0.25">
      <c r="E101" s="1">
        <v>44776.698611111111</v>
      </c>
      <c r="F101">
        <v>5.13099269333694E-3</v>
      </c>
      <c r="G101">
        <v>3.8609092961429401E-3</v>
      </c>
      <c r="H101">
        <v>3.81052600834838E-3</v>
      </c>
      <c r="I101">
        <v>17.106053899999999</v>
      </c>
    </row>
    <row r="102" spans="5:9" x14ac:dyDescent="0.25">
      <c r="E102" s="1">
        <v>44776.709027777775</v>
      </c>
      <c r="F102">
        <v>5.3212337093761601E-3</v>
      </c>
      <c r="G102">
        <v>3.9617353648852298E-3</v>
      </c>
      <c r="H102">
        <v>3.9552836608285503E-3</v>
      </c>
      <c r="I102">
        <v>15.6821315249999</v>
      </c>
    </row>
    <row r="103" spans="5:9" x14ac:dyDescent="0.25">
      <c r="E103" s="1">
        <v>44776.719444444447</v>
      </c>
      <c r="F103">
        <v>5.0246263053807796E-3</v>
      </c>
      <c r="G103">
        <v>3.7796923673478599E-3</v>
      </c>
      <c r="H103">
        <v>3.7380522520664501E-3</v>
      </c>
      <c r="I103">
        <v>15.17592808</v>
      </c>
    </row>
    <row r="104" spans="5:9" x14ac:dyDescent="0.25">
      <c r="E104" s="1">
        <v>44776.729861111111</v>
      </c>
      <c r="F104">
        <v>4.6094203043980297E-3</v>
      </c>
      <c r="G104">
        <v>3.4150561791017799E-3</v>
      </c>
      <c r="H104">
        <v>3.38527038793886E-3</v>
      </c>
      <c r="I104">
        <v>14.28611474</v>
      </c>
    </row>
    <row r="105" spans="5:9" x14ac:dyDescent="0.25">
      <c r="E105" s="1">
        <v>44776.740277777775</v>
      </c>
      <c r="F105">
        <v>3.2871035946504899E-3</v>
      </c>
      <c r="G105">
        <v>2.4282991180632702E-3</v>
      </c>
      <c r="H105">
        <v>2.4202239275499301E-3</v>
      </c>
      <c r="I105">
        <v>11.657254006500001</v>
      </c>
    </row>
    <row r="106" spans="5:9" x14ac:dyDescent="0.25">
      <c r="E106" s="1">
        <v>44776.750694444447</v>
      </c>
      <c r="F106">
        <v>1.53994824810323E-3</v>
      </c>
      <c r="G106">
        <v>1.13220963305243E-3</v>
      </c>
      <c r="H106">
        <v>1.11520615110727E-3</v>
      </c>
      <c r="I106">
        <v>9.6026396404999996</v>
      </c>
    </row>
    <row r="107" spans="5:9" x14ac:dyDescent="0.25">
      <c r="E107" s="1">
        <v>44776.761111111111</v>
      </c>
      <c r="F107">
        <v>1.2889775231266999E-3</v>
      </c>
      <c r="G107">
        <v>9.0857415429634804E-4</v>
      </c>
      <c r="H107">
        <v>8.9064617208336203E-4</v>
      </c>
      <c r="I107">
        <v>9.2022879035000003</v>
      </c>
    </row>
    <row r="108" spans="5:9" x14ac:dyDescent="0.25">
      <c r="E108" s="1">
        <v>44776.771527777775</v>
      </c>
      <c r="F108">
        <v>8.0868477222856099E-4</v>
      </c>
      <c r="G108">
        <v>5.0092932934170495E-4</v>
      </c>
      <c r="H108">
        <v>4.7584114233522798E-4</v>
      </c>
      <c r="I108">
        <v>7.7941709709999998</v>
      </c>
    </row>
    <row r="109" spans="5:9" x14ac:dyDescent="0.25">
      <c r="E109" s="1">
        <v>44776.781944444447</v>
      </c>
      <c r="F109">
        <v>2.5053512897688302E-4</v>
      </c>
      <c r="G109">
        <v>1.7447305057741801E-4</v>
      </c>
      <c r="H109">
        <v>1.7018734772214199E-4</v>
      </c>
      <c r="I109">
        <v>5.7733400259999996</v>
      </c>
    </row>
    <row r="110" spans="5:9" x14ac:dyDescent="0.25">
      <c r="E110" s="1">
        <v>44776.792361111111</v>
      </c>
      <c r="F110">
        <v>2.17042463423721E-4</v>
      </c>
      <c r="G110">
        <v>1.2600532544730899E-4</v>
      </c>
      <c r="H110">
        <v>1.24470880737367E-4</v>
      </c>
      <c r="I110">
        <v>5.1560535449999998</v>
      </c>
    </row>
    <row r="111" spans="5:9" x14ac:dyDescent="0.25">
      <c r="E111" s="1">
        <v>44776.802777777775</v>
      </c>
      <c r="F111">
        <v>1.0496417991406E-4</v>
      </c>
      <c r="G111" s="2">
        <v>7.2185834863316203E-5</v>
      </c>
      <c r="H111" s="2">
        <v>7.0911334416404696E-5</v>
      </c>
      <c r="I111">
        <v>4.4556949205</v>
      </c>
    </row>
    <row r="112" spans="5:9" x14ac:dyDescent="0.25">
      <c r="E112" s="1">
        <v>44776.813194444447</v>
      </c>
      <c r="F112" s="2">
        <v>4.98276871901227E-5</v>
      </c>
      <c r="G112" s="2">
        <v>3.3243159845828698E-5</v>
      </c>
      <c r="H112" s="2">
        <v>3.24324587199272E-5</v>
      </c>
      <c r="I112">
        <v>3.5644504299999999</v>
      </c>
    </row>
    <row r="113" spans="5:9" x14ac:dyDescent="0.25">
      <c r="E113" s="1">
        <v>44776.823611111111</v>
      </c>
      <c r="F113" s="2">
        <v>4.7846362469734101E-5</v>
      </c>
      <c r="G113" s="2">
        <v>3.2793823835698597E-5</v>
      </c>
      <c r="H113" s="2">
        <v>3.1601412504950497E-5</v>
      </c>
      <c r="I113">
        <v>3.44414985149999</v>
      </c>
    </row>
    <row r="114" spans="5:9" x14ac:dyDescent="0.25">
      <c r="E114" s="1">
        <v>44776.834027777775</v>
      </c>
      <c r="F114" s="2">
        <v>5.58148706582288E-5</v>
      </c>
      <c r="G114" s="2">
        <v>3.6610251523688897E-5</v>
      </c>
      <c r="H114" s="2">
        <v>3.64598528387605E-5</v>
      </c>
      <c r="I114">
        <v>3.4561308749999999</v>
      </c>
    </row>
    <row r="115" spans="5:9" x14ac:dyDescent="0.25">
      <c r="E115" s="1">
        <v>44776.844444444447</v>
      </c>
      <c r="F115" s="2">
        <v>4.5000964263210298E-5</v>
      </c>
      <c r="G115" s="2">
        <v>2.9029412986223601E-5</v>
      </c>
      <c r="H115" s="2">
        <v>2.8204407565554602E-5</v>
      </c>
      <c r="I115">
        <v>3.188326338</v>
      </c>
    </row>
    <row r="116" spans="5:9" x14ac:dyDescent="0.25">
      <c r="E116" s="1">
        <v>44776.854861111111</v>
      </c>
      <c r="F116" s="2">
        <v>3.0130741794009601E-5</v>
      </c>
      <c r="G116" s="2">
        <v>2.0282573208857299E-5</v>
      </c>
      <c r="H116" s="2">
        <v>2.0316057198426402E-5</v>
      </c>
      <c r="I116">
        <v>2.8661624744999998</v>
      </c>
    </row>
    <row r="117" spans="5:9" x14ac:dyDescent="0.25">
      <c r="E117" s="1">
        <v>44776.865277777775</v>
      </c>
      <c r="F117" s="2">
        <v>2.1020868956811798E-5</v>
      </c>
      <c r="G117" s="2">
        <v>1.6384844595069299E-5</v>
      </c>
      <c r="H117" s="2">
        <v>1.6606812841669698E-5</v>
      </c>
      <c r="I117">
        <v>2.6512377974999999</v>
      </c>
    </row>
    <row r="118" spans="5:9" x14ac:dyDescent="0.25">
      <c r="E118" s="1">
        <v>44776.875694444447</v>
      </c>
      <c r="F118" s="2">
        <v>2.0632970383662501E-5</v>
      </c>
      <c r="G118" s="2">
        <v>1.57769548440178E-5</v>
      </c>
      <c r="H118" s="2">
        <v>1.5706996456229699E-5</v>
      </c>
      <c r="I118">
        <v>2.6445850609999999</v>
      </c>
    </row>
    <row r="119" spans="5:9" x14ac:dyDescent="0.25">
      <c r="E119" s="1">
        <v>44776.917361111111</v>
      </c>
      <c r="F119" s="2">
        <v>1.7944875951429599E-5</v>
      </c>
      <c r="G119" s="2">
        <v>1.30014387435252E-5</v>
      </c>
      <c r="H119" s="2">
        <v>1.2767304994691E-5</v>
      </c>
      <c r="I119">
        <v>2.3885584199999998</v>
      </c>
    </row>
    <row r="120" spans="5:9" x14ac:dyDescent="0.25">
      <c r="E120" s="1">
        <v>44776.948611111111</v>
      </c>
      <c r="F120" s="2">
        <v>1.99608362478804E-5</v>
      </c>
      <c r="G120" s="2">
        <v>1.43658053952108E-5</v>
      </c>
      <c r="H120" s="2">
        <v>1.38971609558558E-5</v>
      </c>
      <c r="I120">
        <v>2.4828400044999999</v>
      </c>
    </row>
    <row r="121" spans="5:9" x14ac:dyDescent="0.25">
      <c r="E121" s="1">
        <v>44776.959027777775</v>
      </c>
      <c r="F121" s="2">
        <v>2.1097365103920101E-5</v>
      </c>
      <c r="G121" s="2">
        <v>1.5755364013596901E-5</v>
      </c>
      <c r="H121" s="2">
        <v>1.5651695027523801E-5</v>
      </c>
      <c r="I121">
        <v>2.5050373965000001</v>
      </c>
    </row>
    <row r="122" spans="5:9" x14ac:dyDescent="0.25">
      <c r="E122" s="1">
        <v>44776.969444444447</v>
      </c>
      <c r="F122" s="2">
        <v>1.39144874919424E-5</v>
      </c>
      <c r="G122" s="2">
        <v>1.04508581839459E-5</v>
      </c>
      <c r="H122" s="2">
        <v>1.03792618030323E-5</v>
      </c>
      <c r="I122">
        <v>2.248553292</v>
      </c>
    </row>
    <row r="123" spans="5:9" x14ac:dyDescent="0.25">
      <c r="E123" s="1">
        <v>44776.979861111111</v>
      </c>
      <c r="F123" s="2">
        <v>1.08806963286294E-5</v>
      </c>
      <c r="G123" s="2">
        <v>8.0953361912696808E-6</v>
      </c>
      <c r="H123" s="2">
        <v>8.0426144988607792E-6</v>
      </c>
      <c r="I123">
        <v>2.1564305309999998</v>
      </c>
    </row>
    <row r="124" spans="5:9" x14ac:dyDescent="0.25">
      <c r="E124" s="1">
        <v>44776.990277777775</v>
      </c>
      <c r="F124" s="2">
        <v>1.4707523941653399E-5</v>
      </c>
      <c r="G124" s="2">
        <v>9.8096587014311299E-6</v>
      </c>
      <c r="H124" s="2">
        <v>9.4898696381410604E-6</v>
      </c>
      <c r="I124">
        <v>2.2236830264999998</v>
      </c>
    </row>
    <row r="125" spans="5:9" x14ac:dyDescent="0.25">
      <c r="E125" s="1">
        <v>44777.000694444447</v>
      </c>
      <c r="F125" s="2">
        <v>1.19575360197737E-5</v>
      </c>
      <c r="G125" s="2">
        <v>9.0786636044787495E-6</v>
      </c>
      <c r="H125" s="2">
        <v>8.97841370194367E-6</v>
      </c>
      <c r="I125">
        <v>2.2059633774999998</v>
      </c>
    </row>
    <row r="126" spans="5:9" x14ac:dyDescent="0.25">
      <c r="E126" s="1"/>
    </row>
    <row r="127" spans="5:9" x14ac:dyDescent="0.25">
      <c r="E127" s="1"/>
    </row>
    <row r="128" spans="5:9" x14ac:dyDescent="0.25">
      <c r="E128" s="1"/>
    </row>
    <row r="129" spans="5:5" x14ac:dyDescent="0.25">
      <c r="E1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2025-10-23T17:38:48Z</dcterms:created>
  <dcterms:modified xsi:type="dcterms:W3CDTF">2025-12-12T23:16:54Z</dcterms:modified>
</cp:coreProperties>
</file>