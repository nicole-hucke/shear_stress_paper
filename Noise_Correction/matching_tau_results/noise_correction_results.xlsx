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Noise_Correction\matching_tau_results\"/>
    </mc:Choice>
  </mc:AlternateContent>
  <xr:revisionPtr revIDLastSave="0" documentId="13_ncr:1_{47005807-D0AF-49CC-942F-443D6BCED5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2" sheetId="1" r:id="rId1"/>
    <sheet name="2023" sheetId="2" r:id="rId2"/>
  </sheets>
  <definedNames>
    <definedName name="_xlnm._FilterDatabase" localSheetId="0" hidden="1">'2022'!$L$1:$T$22</definedName>
    <definedName name="_xlnm._FilterDatabase" localSheetId="1" hidden="1">'2023'!$D$47:$D$89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8" i="2" l="1"/>
  <c r="AI70" i="2"/>
  <c r="AJ67" i="2"/>
  <c r="AI68" i="2"/>
  <c r="AI67" i="2"/>
  <c r="AI66" i="2"/>
  <c r="AK45" i="2" l="1"/>
  <c r="AM45" i="2"/>
  <c r="AL76" i="1"/>
  <c r="AL3" i="1"/>
  <c r="AI3" i="1"/>
  <c r="AL45" i="2"/>
  <c r="AN45" i="2"/>
  <c r="AO45" i="2"/>
  <c r="AK46" i="2"/>
  <c r="AL46" i="2"/>
  <c r="AM46" i="2"/>
  <c r="AN46" i="2"/>
  <c r="AO46" i="2"/>
  <c r="AK47" i="2"/>
  <c r="AL47" i="2"/>
  <c r="AM47" i="2"/>
  <c r="AN47" i="2"/>
  <c r="AO47" i="2"/>
  <c r="AK48" i="2"/>
  <c r="AL48" i="2"/>
  <c r="AM48" i="2"/>
  <c r="AN48" i="2"/>
  <c r="AO48" i="2"/>
  <c r="AK49" i="2"/>
  <c r="AL49" i="2"/>
  <c r="AM49" i="2"/>
  <c r="AN49" i="2"/>
  <c r="AO49" i="2"/>
  <c r="AJ49" i="2"/>
  <c r="AJ48" i="2"/>
  <c r="AJ47" i="2"/>
  <c r="AJ46" i="2"/>
  <c r="AJ45" i="2"/>
  <c r="AO3" i="2"/>
  <c r="AJ4" i="2"/>
  <c r="AK4" i="2"/>
  <c r="AL4" i="2"/>
  <c r="AM4" i="2"/>
  <c r="AN4" i="2"/>
  <c r="AO4" i="2"/>
  <c r="AJ5" i="2"/>
  <c r="AK5" i="2"/>
  <c r="AL5" i="2"/>
  <c r="AM5" i="2"/>
  <c r="AN5" i="2"/>
  <c r="AO5" i="2"/>
  <c r="AJ6" i="2"/>
  <c r="AK6" i="2"/>
  <c r="AL6" i="2"/>
  <c r="AM6" i="2"/>
  <c r="AN6" i="2"/>
  <c r="AO6" i="2"/>
  <c r="AJ7" i="2"/>
  <c r="AK7" i="2"/>
  <c r="AL7" i="2"/>
  <c r="AM7" i="2"/>
  <c r="AN7" i="2"/>
  <c r="AO7" i="2"/>
  <c r="AJ8" i="2"/>
  <c r="AK8" i="2"/>
  <c r="AL8" i="2"/>
  <c r="AM8" i="2"/>
  <c r="AN8" i="2"/>
  <c r="AO8" i="2"/>
  <c r="AJ9" i="2"/>
  <c r="AK9" i="2"/>
  <c r="AL9" i="2"/>
  <c r="AM9" i="2"/>
  <c r="AN9" i="2"/>
  <c r="AO9" i="2"/>
  <c r="AJ10" i="2"/>
  <c r="AK10" i="2"/>
  <c r="AL10" i="2"/>
  <c r="AM10" i="2"/>
  <c r="AN10" i="2"/>
  <c r="AO10" i="2"/>
  <c r="AJ11" i="2"/>
  <c r="AK11" i="2"/>
  <c r="AL11" i="2"/>
  <c r="AM11" i="2"/>
  <c r="AN11" i="2"/>
  <c r="AO11" i="2"/>
  <c r="AJ12" i="2"/>
  <c r="AK12" i="2"/>
  <c r="AL12" i="2"/>
  <c r="AM12" i="2"/>
  <c r="AN12" i="2"/>
  <c r="AO12" i="2"/>
  <c r="AJ13" i="2"/>
  <c r="AK13" i="2"/>
  <c r="AL13" i="2"/>
  <c r="AM13" i="2"/>
  <c r="AN13" i="2"/>
  <c r="AO13" i="2"/>
  <c r="AJ14" i="2"/>
  <c r="AK14" i="2"/>
  <c r="AL14" i="2"/>
  <c r="AM14" i="2"/>
  <c r="AN14" i="2"/>
  <c r="AO14" i="2"/>
  <c r="AJ15" i="2"/>
  <c r="AK15" i="2"/>
  <c r="AL15" i="2"/>
  <c r="AM15" i="2"/>
  <c r="AN15" i="2"/>
  <c r="AO15" i="2"/>
  <c r="AJ16" i="2"/>
  <c r="AK16" i="2"/>
  <c r="AL16" i="2"/>
  <c r="AM16" i="2"/>
  <c r="AN16" i="2"/>
  <c r="AO16" i="2"/>
  <c r="AJ17" i="2"/>
  <c r="AK17" i="2"/>
  <c r="AL17" i="2"/>
  <c r="AM17" i="2"/>
  <c r="AN17" i="2"/>
  <c r="AO17" i="2"/>
  <c r="AJ18" i="2"/>
  <c r="AK18" i="2"/>
  <c r="AL18" i="2"/>
  <c r="AM18" i="2"/>
  <c r="AN18" i="2"/>
  <c r="AO18" i="2"/>
  <c r="AJ19" i="2"/>
  <c r="AK19" i="2"/>
  <c r="AL19" i="2"/>
  <c r="AM19" i="2"/>
  <c r="AN19" i="2"/>
  <c r="AO19" i="2"/>
  <c r="AJ20" i="2"/>
  <c r="AK20" i="2"/>
  <c r="AL20" i="2"/>
  <c r="AM20" i="2"/>
  <c r="AN20" i="2"/>
  <c r="AO20" i="2"/>
  <c r="AJ21" i="2"/>
  <c r="AK21" i="2"/>
  <c r="AL21" i="2"/>
  <c r="AM21" i="2"/>
  <c r="AN21" i="2"/>
  <c r="AO21" i="2"/>
  <c r="AJ22" i="2"/>
  <c r="AK22" i="2"/>
  <c r="AL22" i="2"/>
  <c r="AM22" i="2"/>
  <c r="AN22" i="2"/>
  <c r="AO22" i="2"/>
  <c r="AJ23" i="2"/>
  <c r="AK23" i="2"/>
  <c r="AL23" i="2"/>
  <c r="AM23" i="2"/>
  <c r="AN23" i="2"/>
  <c r="AO23" i="2"/>
  <c r="AJ24" i="2"/>
  <c r="AK24" i="2"/>
  <c r="AL24" i="2"/>
  <c r="AM24" i="2"/>
  <c r="AN24" i="2"/>
  <c r="AO24" i="2"/>
  <c r="AJ25" i="2"/>
  <c r="AK25" i="2"/>
  <c r="AL25" i="2"/>
  <c r="AM25" i="2"/>
  <c r="AN25" i="2"/>
  <c r="AO25" i="2"/>
  <c r="AJ26" i="2"/>
  <c r="AK26" i="2"/>
  <c r="AL26" i="2"/>
  <c r="AM26" i="2"/>
  <c r="AN26" i="2"/>
  <c r="AO26" i="2"/>
  <c r="AJ27" i="2"/>
  <c r="AK27" i="2"/>
  <c r="AL27" i="2"/>
  <c r="AM27" i="2"/>
  <c r="AN27" i="2"/>
  <c r="AO27" i="2"/>
  <c r="AJ28" i="2"/>
  <c r="AK28" i="2"/>
  <c r="AL28" i="2"/>
  <c r="AM28" i="2"/>
  <c r="AN28" i="2"/>
  <c r="AO28" i="2"/>
  <c r="AJ29" i="2"/>
  <c r="AK29" i="2"/>
  <c r="AL29" i="2"/>
  <c r="AM29" i="2"/>
  <c r="AN29" i="2"/>
  <c r="AO29" i="2"/>
  <c r="AJ30" i="2"/>
  <c r="AK30" i="2"/>
  <c r="AL30" i="2"/>
  <c r="AM30" i="2"/>
  <c r="AN30" i="2"/>
  <c r="AO30" i="2"/>
  <c r="AJ31" i="2"/>
  <c r="AK31" i="2"/>
  <c r="AL31" i="2"/>
  <c r="AM31" i="2"/>
  <c r="AN31" i="2"/>
  <c r="AO31" i="2"/>
  <c r="AJ32" i="2"/>
  <c r="AK32" i="2"/>
  <c r="AL32" i="2"/>
  <c r="AM32" i="2"/>
  <c r="AN32" i="2"/>
  <c r="AO32" i="2"/>
  <c r="AJ33" i="2"/>
  <c r="AK33" i="2"/>
  <c r="AL33" i="2"/>
  <c r="AM33" i="2"/>
  <c r="AN33" i="2"/>
  <c r="AO33" i="2"/>
  <c r="AJ34" i="2"/>
  <c r="AK34" i="2"/>
  <c r="AL34" i="2"/>
  <c r="AM34" i="2"/>
  <c r="AN34" i="2"/>
  <c r="AO34" i="2"/>
  <c r="AJ35" i="2"/>
  <c r="AK35" i="2"/>
  <c r="AL35" i="2"/>
  <c r="AM35" i="2"/>
  <c r="AN35" i="2"/>
  <c r="AO35" i="2"/>
  <c r="AJ36" i="2"/>
  <c r="AK36" i="2"/>
  <c r="AL36" i="2"/>
  <c r="AM36" i="2"/>
  <c r="AN36" i="2"/>
  <c r="AO36" i="2"/>
  <c r="AJ37" i="2"/>
  <c r="AK37" i="2"/>
  <c r="AL37" i="2"/>
  <c r="AM37" i="2"/>
  <c r="AN37" i="2"/>
  <c r="AO37" i="2"/>
  <c r="AJ38" i="2"/>
  <c r="AK38" i="2"/>
  <c r="AL38" i="2"/>
  <c r="AM38" i="2"/>
  <c r="AN38" i="2"/>
  <c r="AO38" i="2"/>
  <c r="AJ39" i="2"/>
  <c r="AK39" i="2"/>
  <c r="AL39" i="2"/>
  <c r="AM39" i="2"/>
  <c r="AN39" i="2"/>
  <c r="AO39" i="2"/>
  <c r="AJ40" i="2"/>
  <c r="AK40" i="2"/>
  <c r="AL40" i="2"/>
  <c r="AM40" i="2"/>
  <c r="AN40" i="2"/>
  <c r="AO40" i="2"/>
  <c r="AJ41" i="2"/>
  <c r="AK41" i="2"/>
  <c r="AL41" i="2"/>
  <c r="AM41" i="2"/>
  <c r="AN41" i="2"/>
  <c r="AO41" i="2"/>
  <c r="AJ42" i="2"/>
  <c r="AK42" i="2"/>
  <c r="AL42" i="2"/>
  <c r="AM42" i="2"/>
  <c r="AN42" i="2"/>
  <c r="AO42" i="2"/>
  <c r="AJ43" i="2"/>
  <c r="AK43" i="2"/>
  <c r="AL43" i="2"/>
  <c r="AM43" i="2"/>
  <c r="AN43" i="2"/>
  <c r="AO43" i="2"/>
  <c r="AK3" i="2"/>
  <c r="AL3" i="2"/>
  <c r="AM3" i="2"/>
  <c r="AN3" i="2"/>
  <c r="AJ3" i="2"/>
  <c r="AM78" i="1"/>
  <c r="AJ77" i="1"/>
  <c r="AJ76" i="1"/>
  <c r="AK76" i="1"/>
  <c r="AM76" i="1"/>
  <c r="AN76" i="1"/>
  <c r="AK77" i="1"/>
  <c r="AL77" i="1"/>
  <c r="AM77" i="1"/>
  <c r="AN77" i="1"/>
  <c r="AJ78" i="1"/>
  <c r="AK78" i="1"/>
  <c r="AL78" i="1"/>
  <c r="AN78" i="1"/>
  <c r="AJ79" i="1"/>
  <c r="AK79" i="1"/>
  <c r="AL79" i="1"/>
  <c r="AM79" i="1"/>
  <c r="AN79" i="1"/>
  <c r="AJ80" i="1"/>
  <c r="AK80" i="1"/>
  <c r="AL80" i="1"/>
  <c r="AM80" i="1"/>
  <c r="AN80" i="1"/>
  <c r="AI80" i="1"/>
  <c r="AI79" i="1"/>
  <c r="AI78" i="1"/>
  <c r="AI77" i="1"/>
  <c r="AI76" i="1"/>
  <c r="AK4" i="1"/>
  <c r="AL4" i="1"/>
  <c r="AM4" i="1"/>
  <c r="AN4" i="1"/>
  <c r="AK5" i="1"/>
  <c r="AL5" i="1"/>
  <c r="AM5" i="1"/>
  <c r="AN5" i="1"/>
  <c r="AK6" i="1"/>
  <c r="AL6" i="1"/>
  <c r="AM6" i="1"/>
  <c r="AN6" i="1"/>
  <c r="AK7" i="1"/>
  <c r="AL7" i="1"/>
  <c r="AM7" i="1"/>
  <c r="AN7" i="1"/>
  <c r="AK8" i="1"/>
  <c r="AL8" i="1"/>
  <c r="AM8" i="1"/>
  <c r="AN8" i="1"/>
  <c r="AK9" i="1"/>
  <c r="AL9" i="1"/>
  <c r="AM9" i="1"/>
  <c r="AN9" i="1"/>
  <c r="AK10" i="1"/>
  <c r="AL10" i="1"/>
  <c r="AM10" i="1"/>
  <c r="AN10" i="1"/>
  <c r="AK11" i="1"/>
  <c r="AL11" i="1"/>
  <c r="AM11" i="1"/>
  <c r="AN11" i="1"/>
  <c r="AK12" i="1"/>
  <c r="AL12" i="1"/>
  <c r="AM12" i="1"/>
  <c r="AN12" i="1"/>
  <c r="AK13" i="1"/>
  <c r="AL13" i="1"/>
  <c r="AM13" i="1"/>
  <c r="AN13" i="1"/>
  <c r="AK14" i="1"/>
  <c r="AL14" i="1"/>
  <c r="AM14" i="1"/>
  <c r="AN14" i="1"/>
  <c r="AK15" i="1"/>
  <c r="AL15" i="1"/>
  <c r="AM15" i="1"/>
  <c r="AN15" i="1"/>
  <c r="AK16" i="1"/>
  <c r="AL16" i="1"/>
  <c r="AM16" i="1"/>
  <c r="AN16" i="1"/>
  <c r="AK17" i="1"/>
  <c r="AL17" i="1"/>
  <c r="AM17" i="1"/>
  <c r="AN17" i="1"/>
  <c r="AK18" i="1"/>
  <c r="AL18" i="1"/>
  <c r="AM18" i="1"/>
  <c r="AN18" i="1"/>
  <c r="AK19" i="1"/>
  <c r="AL19" i="1"/>
  <c r="AM19" i="1"/>
  <c r="AN19" i="1"/>
  <c r="AK20" i="1"/>
  <c r="AL20" i="1"/>
  <c r="AM20" i="1"/>
  <c r="AN20" i="1"/>
  <c r="AK21" i="1"/>
  <c r="AL21" i="1"/>
  <c r="AM21" i="1"/>
  <c r="AN21" i="1"/>
  <c r="AK22" i="1"/>
  <c r="AL22" i="1"/>
  <c r="AM22" i="1"/>
  <c r="AN22" i="1"/>
  <c r="AK23" i="1"/>
  <c r="AL23" i="1"/>
  <c r="AM23" i="1"/>
  <c r="AN23" i="1"/>
  <c r="AK24" i="1"/>
  <c r="AL24" i="1"/>
  <c r="AM24" i="1"/>
  <c r="AN24" i="1"/>
  <c r="AK25" i="1"/>
  <c r="AL25" i="1"/>
  <c r="AM25" i="1"/>
  <c r="AN25" i="1"/>
  <c r="AK26" i="1"/>
  <c r="AL26" i="1"/>
  <c r="AM26" i="1"/>
  <c r="AN26" i="1"/>
  <c r="AK27" i="1"/>
  <c r="AL27" i="1"/>
  <c r="AM27" i="1"/>
  <c r="AN27" i="1"/>
  <c r="AK28" i="1"/>
  <c r="AL28" i="1"/>
  <c r="AM28" i="1"/>
  <c r="AN28" i="1"/>
  <c r="AK29" i="1"/>
  <c r="AL29" i="1"/>
  <c r="AM29" i="1"/>
  <c r="AN29" i="1"/>
  <c r="AK30" i="1"/>
  <c r="AL30" i="1"/>
  <c r="AM30" i="1"/>
  <c r="AN30" i="1"/>
  <c r="AK31" i="1"/>
  <c r="AL31" i="1"/>
  <c r="AM31" i="1"/>
  <c r="AN31" i="1"/>
  <c r="AK32" i="1"/>
  <c r="AL32" i="1"/>
  <c r="AM32" i="1"/>
  <c r="AN32" i="1"/>
  <c r="AK33" i="1"/>
  <c r="AL33" i="1"/>
  <c r="AM33" i="1"/>
  <c r="AN33" i="1"/>
  <c r="AK34" i="1"/>
  <c r="AL34" i="1"/>
  <c r="AM34" i="1"/>
  <c r="AN34" i="1"/>
  <c r="AK35" i="1"/>
  <c r="AL35" i="1"/>
  <c r="AM35" i="1"/>
  <c r="AN35" i="1"/>
  <c r="AK36" i="1"/>
  <c r="AL36" i="1"/>
  <c r="AM36" i="1"/>
  <c r="AN36" i="1"/>
  <c r="AK37" i="1"/>
  <c r="AL37" i="1"/>
  <c r="AM37" i="1"/>
  <c r="AN37" i="1"/>
  <c r="AK38" i="1"/>
  <c r="AL38" i="1"/>
  <c r="AM38" i="1"/>
  <c r="AN38" i="1"/>
  <c r="AK39" i="1"/>
  <c r="AL39" i="1"/>
  <c r="AM39" i="1"/>
  <c r="AN39" i="1"/>
  <c r="AK40" i="1"/>
  <c r="AL40" i="1"/>
  <c r="AM40" i="1"/>
  <c r="AN40" i="1"/>
  <c r="AK41" i="1"/>
  <c r="AL41" i="1"/>
  <c r="AM41" i="1"/>
  <c r="AN41" i="1"/>
  <c r="AK42" i="1"/>
  <c r="AL42" i="1"/>
  <c r="AM42" i="1"/>
  <c r="AN42" i="1"/>
  <c r="AK43" i="1"/>
  <c r="AL43" i="1"/>
  <c r="AM43" i="1"/>
  <c r="AN43" i="1"/>
  <c r="AK44" i="1"/>
  <c r="AL44" i="1"/>
  <c r="AM44" i="1"/>
  <c r="AN44" i="1"/>
  <c r="AK45" i="1"/>
  <c r="AL45" i="1"/>
  <c r="AM45" i="1"/>
  <c r="AN45" i="1"/>
  <c r="AK46" i="1"/>
  <c r="AL46" i="1"/>
  <c r="AM46" i="1"/>
  <c r="AN46" i="1"/>
  <c r="AK47" i="1"/>
  <c r="AL47" i="1"/>
  <c r="AM47" i="1"/>
  <c r="AN47" i="1"/>
  <c r="AK48" i="1"/>
  <c r="AL48" i="1"/>
  <c r="AM48" i="1"/>
  <c r="AN48" i="1"/>
  <c r="AK49" i="1"/>
  <c r="AL49" i="1"/>
  <c r="AM49" i="1"/>
  <c r="AN49" i="1"/>
  <c r="AK50" i="1"/>
  <c r="AL50" i="1"/>
  <c r="AM50" i="1"/>
  <c r="AN50" i="1"/>
  <c r="AK51" i="1"/>
  <c r="AL51" i="1"/>
  <c r="AM51" i="1"/>
  <c r="AN51" i="1"/>
  <c r="AK52" i="1"/>
  <c r="AL52" i="1"/>
  <c r="AM52" i="1"/>
  <c r="AN52" i="1"/>
  <c r="AK53" i="1"/>
  <c r="AL53" i="1"/>
  <c r="AM53" i="1"/>
  <c r="AN53" i="1"/>
  <c r="AK54" i="1"/>
  <c r="AL54" i="1"/>
  <c r="AM54" i="1"/>
  <c r="AN54" i="1"/>
  <c r="AK55" i="1"/>
  <c r="AL55" i="1"/>
  <c r="AM55" i="1"/>
  <c r="AN55" i="1"/>
  <c r="AK56" i="1"/>
  <c r="AL56" i="1"/>
  <c r="AM56" i="1"/>
  <c r="AN56" i="1"/>
  <c r="AK57" i="1"/>
  <c r="AL57" i="1"/>
  <c r="AM57" i="1"/>
  <c r="AN57" i="1"/>
  <c r="AK58" i="1"/>
  <c r="AL58" i="1"/>
  <c r="AM58" i="1"/>
  <c r="AN58" i="1"/>
  <c r="AK59" i="1"/>
  <c r="AL59" i="1"/>
  <c r="AM59" i="1"/>
  <c r="AN59" i="1"/>
  <c r="AK60" i="1"/>
  <c r="AL60" i="1"/>
  <c r="AM60" i="1"/>
  <c r="AN60" i="1"/>
  <c r="AK61" i="1"/>
  <c r="AL61" i="1"/>
  <c r="AM61" i="1"/>
  <c r="AN61" i="1"/>
  <c r="AK62" i="1"/>
  <c r="AL62" i="1"/>
  <c r="AM62" i="1"/>
  <c r="AN62" i="1"/>
  <c r="AK63" i="1"/>
  <c r="AL63" i="1"/>
  <c r="AM63" i="1"/>
  <c r="AN63" i="1"/>
  <c r="AK64" i="1"/>
  <c r="AL64" i="1"/>
  <c r="AM64" i="1"/>
  <c r="AN64" i="1"/>
  <c r="AK65" i="1"/>
  <c r="AL65" i="1"/>
  <c r="AM65" i="1"/>
  <c r="AN65" i="1"/>
  <c r="AK66" i="1"/>
  <c r="AL66" i="1"/>
  <c r="AM66" i="1"/>
  <c r="AN66" i="1"/>
  <c r="AK67" i="1"/>
  <c r="AL67" i="1"/>
  <c r="AM67" i="1"/>
  <c r="AN67" i="1"/>
  <c r="AK68" i="1"/>
  <c r="AL68" i="1"/>
  <c r="AM68" i="1"/>
  <c r="AN68" i="1"/>
  <c r="AK69" i="1"/>
  <c r="AL69" i="1"/>
  <c r="AM69" i="1"/>
  <c r="AN69" i="1"/>
  <c r="AK70" i="1"/>
  <c r="AL70" i="1"/>
  <c r="AM70" i="1"/>
  <c r="AN70" i="1"/>
  <c r="AK71" i="1"/>
  <c r="AL71" i="1"/>
  <c r="AM71" i="1"/>
  <c r="AN71" i="1"/>
  <c r="AK72" i="1"/>
  <c r="AL72" i="1"/>
  <c r="AM72" i="1"/>
  <c r="AN72" i="1"/>
  <c r="AK73" i="1"/>
  <c r="AL73" i="1"/>
  <c r="AM73" i="1"/>
  <c r="AN7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N3" i="1"/>
  <c r="AJ3" i="1"/>
  <c r="AK3" i="1"/>
  <c r="AM3" i="1"/>
</calcChain>
</file>

<file path=xl/sharedStrings.xml><?xml version="1.0" encoding="utf-8"?>
<sst xmlns="http://schemas.openxmlformats.org/spreadsheetml/2006/main" count="289" uniqueCount="128">
  <si>
    <t>rms</t>
  </si>
  <si>
    <t>maa</t>
  </si>
  <si>
    <t>peak</t>
  </si>
  <si>
    <t>mean_envelope</t>
  </si>
  <si>
    <t>std_envelope</t>
  </si>
  <si>
    <t>p90_envelope</t>
  </si>
  <si>
    <t>recording</t>
  </si>
  <si>
    <t>flood3</t>
  </si>
  <si>
    <t>flood4</t>
  </si>
  <si>
    <t>flood44</t>
  </si>
  <si>
    <t>Calibration Tau (Pa)</t>
  </si>
  <si>
    <t>Calibration Time</t>
  </si>
  <si>
    <t>Match Tau (Pa)</t>
  </si>
  <si>
    <t>043022-023000</t>
  </si>
  <si>
    <t>050222-070000</t>
  </si>
  <si>
    <t>050222-151500</t>
  </si>
  <si>
    <t>050322-100000</t>
  </si>
  <si>
    <t>050322-191500</t>
  </si>
  <si>
    <t>050422-040000</t>
  </si>
  <si>
    <t>050422-053000</t>
  </si>
  <si>
    <t>050422-060000</t>
  </si>
  <si>
    <t>050422-113000</t>
  </si>
  <si>
    <t>050422-124500</t>
  </si>
  <si>
    <t>050422-154500</t>
  </si>
  <si>
    <t>050422-220000</t>
  </si>
  <si>
    <t>050522-130000</t>
  </si>
  <si>
    <t>Amplification for same shear stress</t>
  </si>
  <si>
    <t>average</t>
  </si>
  <si>
    <t>min</t>
  </si>
  <si>
    <t>max</t>
  </si>
  <si>
    <t>std</t>
  </si>
  <si>
    <t>median</t>
  </si>
  <si>
    <t>flood2</t>
  </si>
  <si>
    <t>050322-163000</t>
  </si>
  <si>
    <t>050522-181500</t>
  </si>
  <si>
    <t>050522-180000</t>
  </si>
  <si>
    <t>050522-211500</t>
  </si>
  <si>
    <t>050322-174500</t>
  </si>
  <si>
    <t>050522-173000</t>
  </si>
  <si>
    <t>050322-003000</t>
  </si>
  <si>
    <t>050222-064500</t>
  </si>
  <si>
    <t>050322-001500</t>
  </si>
  <si>
    <t>050322-074500</t>
  </si>
  <si>
    <t>050222-081500</t>
  </si>
  <si>
    <t>050122-110000</t>
  </si>
  <si>
    <t>050422-201500</t>
  </si>
  <si>
    <t>050422-101500</t>
  </si>
  <si>
    <t>050122-074500</t>
  </si>
  <si>
    <t>050422-084500</t>
  </si>
  <si>
    <t>050222-093000</t>
  </si>
  <si>
    <t>050222-211500</t>
  </si>
  <si>
    <t>050122-234500</t>
  </si>
  <si>
    <t>050222-071500</t>
  </si>
  <si>
    <t>050222-210000</t>
  </si>
  <si>
    <t>050222-170000</t>
  </si>
  <si>
    <t>050122-050000</t>
  </si>
  <si>
    <t>042822-214500</t>
  </si>
  <si>
    <t>042922-071500</t>
  </si>
  <si>
    <t>050322-111500</t>
  </si>
  <si>
    <t>042922-171500</t>
  </si>
  <si>
    <t>043022-170000</t>
  </si>
  <si>
    <t>050422-020000</t>
  </si>
  <si>
    <t>043022-003000</t>
  </si>
  <si>
    <t>050422-121500</t>
  </si>
  <si>
    <t>043022-104500</t>
  </si>
  <si>
    <t>050322-123000</t>
  </si>
  <si>
    <t>050422-044500</t>
  </si>
  <si>
    <t>042822-173000</t>
  </si>
  <si>
    <t>042922-133000</t>
  </si>
  <si>
    <t>050122-150000</t>
  </si>
  <si>
    <t>043022-164500</t>
  </si>
  <si>
    <t>050222-154500</t>
  </si>
  <si>
    <t>050122-000000</t>
  </si>
  <si>
    <t>050122-001500</t>
  </si>
  <si>
    <t>042922-230000</t>
  </si>
  <si>
    <t>050322-130000</t>
  </si>
  <si>
    <t>042922-224500</t>
  </si>
  <si>
    <t>043022-210000</t>
  </si>
  <si>
    <t>050422-151500</t>
  </si>
  <si>
    <t>050322-011500</t>
  </si>
  <si>
    <t>050122-060000</t>
  </si>
  <si>
    <t>050322-034500</t>
  </si>
  <si>
    <t>042922-213000</t>
  </si>
  <si>
    <t>050522-030000</t>
  </si>
  <si>
    <t>042822-230000</t>
  </si>
  <si>
    <t>050222-050000</t>
  </si>
  <si>
    <t>042822-200000</t>
  </si>
  <si>
    <t xml:space="preserve">Match Time </t>
  </si>
  <si>
    <t>072423-140000</t>
  </si>
  <si>
    <t>080323-180000</t>
  </si>
  <si>
    <t>080423-134500</t>
  </si>
  <si>
    <t>080423-144500</t>
  </si>
  <si>
    <t>080423-163000</t>
  </si>
  <si>
    <t>080223-134500</t>
  </si>
  <si>
    <t>080323-161500</t>
  </si>
  <si>
    <t>080523-130000</t>
  </si>
  <si>
    <t>080523-134500</t>
  </si>
  <si>
    <t>080523-143000</t>
  </si>
  <si>
    <t>080723-104500</t>
  </si>
  <si>
    <t>080723-121500</t>
  </si>
  <si>
    <t>081023-001500</t>
  </si>
  <si>
    <t>081023-070000</t>
  </si>
  <si>
    <t>081023-153000</t>
  </si>
  <si>
    <t>080223-130000</t>
  </si>
  <si>
    <t>080323-174500</t>
  </si>
  <si>
    <t>080423-234500</t>
  </si>
  <si>
    <t>080523-120000</t>
  </si>
  <si>
    <t>080523-180000</t>
  </si>
  <si>
    <t>071723-174500</t>
  </si>
  <si>
    <t>071823-144500</t>
  </si>
  <si>
    <t>071823-180000</t>
  </si>
  <si>
    <t>071823-191500</t>
  </si>
  <si>
    <t>071823-200000</t>
  </si>
  <si>
    <t>071423-180000</t>
  </si>
  <si>
    <t>071423-193000</t>
  </si>
  <si>
    <t>072223-133000</t>
  </si>
  <si>
    <t>072423-004500</t>
  </si>
  <si>
    <t>072423-154500</t>
  </si>
  <si>
    <t>071523-173000</t>
  </si>
  <si>
    <t>072423-191500</t>
  </si>
  <si>
    <t>072423-194500</t>
  </si>
  <si>
    <t>071423-190000</t>
  </si>
  <si>
    <t>072323-223000</t>
  </si>
  <si>
    <t>072423-174500</t>
  </si>
  <si>
    <t>072423-184500</t>
  </si>
  <si>
    <t xml:space="preserve">tau </t>
  </si>
  <si>
    <t>ln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</si>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</sst>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72" formatCode="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1" fillId="2" borderId="0" xfId="0" applyNumberFormat="1" applyFont="1" applyFill="1" applyAlignment="1">
      <alignment horizontal="center"/>
    </xf>
    <xf numFmtId="0" fontId="1" fillId="0" borderId="0" xfId="0" applyFont="1"/>
    <xf numFmtId="2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071480090220466E-2"/>
                  <c:y val="-5.33275007290755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'2022'!$C$2:$C$73</c:f>
              <c:numCache>
                <c:formatCode>0.00E+00</c:formatCode>
                <c:ptCount val="72"/>
                <c:pt idx="0">
                  <c:v>2.46321793820587E-5</c:v>
                </c:pt>
                <c:pt idx="1">
                  <c:v>2.4207241508201001E-5</c:v>
                </c:pt>
                <c:pt idx="2">
                  <c:v>2.4207241508201001E-5</c:v>
                </c:pt>
                <c:pt idx="3">
                  <c:v>2.3819492509472601E-5</c:v>
                </c:pt>
                <c:pt idx="4">
                  <c:v>2.2533796379805701E-5</c:v>
                </c:pt>
                <c:pt idx="5">
                  <c:v>2.2533796379805701E-5</c:v>
                </c:pt>
                <c:pt idx="6">
                  <c:v>2.18187433996336E-5</c:v>
                </c:pt>
                <c:pt idx="7">
                  <c:v>2.2173597312134801E-5</c:v>
                </c:pt>
                <c:pt idx="8">
                  <c:v>2.2173597312134801E-5</c:v>
                </c:pt>
                <c:pt idx="9">
                  <c:v>1.8485142598345201E-5</c:v>
                </c:pt>
                <c:pt idx="10">
                  <c:v>1.8485142598345201E-5</c:v>
                </c:pt>
                <c:pt idx="11">
                  <c:v>1.8485142598345201E-5</c:v>
                </c:pt>
                <c:pt idx="12">
                  <c:v>1.90134334671753E-5</c:v>
                </c:pt>
                <c:pt idx="13">
                  <c:v>2.11296536376322E-5</c:v>
                </c:pt>
                <c:pt idx="14">
                  <c:v>2.11296536376322E-5</c:v>
                </c:pt>
                <c:pt idx="15">
                  <c:v>2.11296536376322E-5</c:v>
                </c:pt>
                <c:pt idx="16">
                  <c:v>2.0484600482925E-5</c:v>
                </c:pt>
                <c:pt idx="17">
                  <c:v>2.6313722741064401E-5</c:v>
                </c:pt>
                <c:pt idx="18">
                  <c:v>2.6313722741064401E-5</c:v>
                </c:pt>
                <c:pt idx="19">
                  <c:v>2.5319184712057701E-5</c:v>
                </c:pt>
                <c:pt idx="20">
                  <c:v>2.5988430585606899E-5</c:v>
                </c:pt>
                <c:pt idx="21">
                  <c:v>2.5988430585606899E-5</c:v>
                </c:pt>
                <c:pt idx="22">
                  <c:v>2.5897705244368698E-5</c:v>
                </c:pt>
                <c:pt idx="23">
                  <c:v>2.5897705244368698E-5</c:v>
                </c:pt>
                <c:pt idx="24">
                  <c:v>2.4865280330097399E-5</c:v>
                </c:pt>
                <c:pt idx="25">
                  <c:v>2.4865280330097399E-5</c:v>
                </c:pt>
                <c:pt idx="26">
                  <c:v>2.4865280330097399E-5</c:v>
                </c:pt>
                <c:pt idx="27">
                  <c:v>2.4698933183915802E-5</c:v>
                </c:pt>
                <c:pt idx="28">
                  <c:v>2.4698933183915802E-5</c:v>
                </c:pt>
                <c:pt idx="29">
                  <c:v>2.4698933183915802E-5</c:v>
                </c:pt>
                <c:pt idx="30">
                  <c:v>2.5043518351924701E-5</c:v>
                </c:pt>
                <c:pt idx="31">
                  <c:v>2.5043518351924701E-5</c:v>
                </c:pt>
                <c:pt idx="32">
                  <c:v>2.5043518351924701E-5</c:v>
                </c:pt>
                <c:pt idx="33">
                  <c:v>2.95838204877705E-5</c:v>
                </c:pt>
                <c:pt idx="34">
                  <c:v>2.95838204877705E-5</c:v>
                </c:pt>
                <c:pt idx="35">
                  <c:v>2.95838204877705E-5</c:v>
                </c:pt>
                <c:pt idx="36">
                  <c:v>2.97391012446417E-5</c:v>
                </c:pt>
                <c:pt idx="37">
                  <c:v>2.97391012446417E-5</c:v>
                </c:pt>
                <c:pt idx="38">
                  <c:v>2.97391012446417E-5</c:v>
                </c:pt>
                <c:pt idx="39">
                  <c:v>2.97391012446417E-5</c:v>
                </c:pt>
                <c:pt idx="40">
                  <c:v>3.2729522036105199E-5</c:v>
                </c:pt>
                <c:pt idx="41">
                  <c:v>3.2729522036105199E-5</c:v>
                </c:pt>
                <c:pt idx="42">
                  <c:v>3.2729522036105199E-5</c:v>
                </c:pt>
                <c:pt idx="43">
                  <c:v>3.2729522036105199E-5</c:v>
                </c:pt>
                <c:pt idx="44">
                  <c:v>3.199331378081E-5</c:v>
                </c:pt>
                <c:pt idx="45">
                  <c:v>3.199331378081E-5</c:v>
                </c:pt>
                <c:pt idx="46">
                  <c:v>3.199331378081E-5</c:v>
                </c:pt>
                <c:pt idx="47">
                  <c:v>3.7878081407410102E-5</c:v>
                </c:pt>
                <c:pt idx="48">
                  <c:v>3.7878081407410102E-5</c:v>
                </c:pt>
                <c:pt idx="49">
                  <c:v>3.7878081407410102E-5</c:v>
                </c:pt>
                <c:pt idx="50">
                  <c:v>3.9673159493006399E-5</c:v>
                </c:pt>
                <c:pt idx="51">
                  <c:v>3.4336616905541297E-5</c:v>
                </c:pt>
                <c:pt idx="52">
                  <c:v>3.4336616905541297E-5</c:v>
                </c:pt>
                <c:pt idx="53">
                  <c:v>3.4336616905541297E-5</c:v>
                </c:pt>
                <c:pt idx="54">
                  <c:v>3.4336616905541297E-5</c:v>
                </c:pt>
                <c:pt idx="55">
                  <c:v>3.2660963466574699E-5</c:v>
                </c:pt>
                <c:pt idx="56">
                  <c:v>3.2660963466574699E-5</c:v>
                </c:pt>
                <c:pt idx="57">
                  <c:v>3.2660963466574699E-5</c:v>
                </c:pt>
                <c:pt idx="58">
                  <c:v>3.2660963466574699E-5</c:v>
                </c:pt>
                <c:pt idx="59">
                  <c:v>3.2660963466574699E-5</c:v>
                </c:pt>
                <c:pt idx="60">
                  <c:v>2.9147625215514002E-5</c:v>
                </c:pt>
                <c:pt idx="61">
                  <c:v>2.9147625215514002E-5</c:v>
                </c:pt>
                <c:pt idx="62">
                  <c:v>2.9147625215514002E-5</c:v>
                </c:pt>
                <c:pt idx="63">
                  <c:v>3.4195896272357798E-5</c:v>
                </c:pt>
                <c:pt idx="64">
                  <c:v>3.4195896272357798E-5</c:v>
                </c:pt>
                <c:pt idx="65">
                  <c:v>3.0690122650268203E-5</c:v>
                </c:pt>
                <c:pt idx="66">
                  <c:v>3.0690122650268203E-5</c:v>
                </c:pt>
                <c:pt idx="67">
                  <c:v>3.0690122650268203E-5</c:v>
                </c:pt>
                <c:pt idx="68">
                  <c:v>3.0690122650268203E-5</c:v>
                </c:pt>
                <c:pt idx="69">
                  <c:v>2.6396715786245701E-5</c:v>
                </c:pt>
                <c:pt idx="70">
                  <c:v>2.6396715786245701E-5</c:v>
                </c:pt>
                <c:pt idx="71">
                  <c:v>2.6396715786245701E-5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7-46B4-962C-7E4BE2DA8FD1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475110359316363"/>
                  <c:y val="-0.127023549139690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'2022'!$N$2:$N$73</c:f>
              <c:numCache>
                <c:formatCode>0.00E+00</c:formatCode>
                <c:ptCount val="72"/>
                <c:pt idx="0">
                  <c:v>5.06317663685646E-6</c:v>
                </c:pt>
                <c:pt idx="1">
                  <c:v>5.0970696759601704E-6</c:v>
                </c:pt>
                <c:pt idx="2">
                  <c:v>5.0840546534592696E-6</c:v>
                </c:pt>
                <c:pt idx="3">
                  <c:v>5.0403603482784E-6</c:v>
                </c:pt>
                <c:pt idx="4">
                  <c:v>4.9642911555031997E-6</c:v>
                </c:pt>
                <c:pt idx="5">
                  <c:v>5.0438001703778202E-6</c:v>
                </c:pt>
                <c:pt idx="6">
                  <c:v>5.06317663685646E-6</c:v>
                </c:pt>
                <c:pt idx="7">
                  <c:v>4.9642911555031997E-6</c:v>
                </c:pt>
                <c:pt idx="8">
                  <c:v>5.0438001703778202E-6</c:v>
                </c:pt>
                <c:pt idx="9">
                  <c:v>5.0234429989786402E-6</c:v>
                </c:pt>
                <c:pt idx="10">
                  <c:v>5.3304586826815099E-6</c:v>
                </c:pt>
                <c:pt idx="11">
                  <c:v>5.1331818465708704E-6</c:v>
                </c:pt>
                <c:pt idx="12">
                  <c:v>5.2111471356675199E-6</c:v>
                </c:pt>
                <c:pt idx="13">
                  <c:v>5.2330776217524896E-6</c:v>
                </c:pt>
                <c:pt idx="14">
                  <c:v>5.1135350055539003E-6</c:v>
                </c:pt>
                <c:pt idx="15">
                  <c:v>5.2526800527775497E-6</c:v>
                </c:pt>
                <c:pt idx="16">
                  <c:v>5.06317663685646E-6</c:v>
                </c:pt>
                <c:pt idx="17">
                  <c:v>5.3810125226803599E-6</c:v>
                </c:pt>
                <c:pt idx="18">
                  <c:v>5.1636552850912997E-6</c:v>
                </c:pt>
                <c:pt idx="19">
                  <c:v>5.1349579393093499E-6</c:v>
                </c:pt>
                <c:pt idx="20">
                  <c:v>5.3271007908157104E-6</c:v>
                </c:pt>
                <c:pt idx="21">
                  <c:v>5.4167952790296401E-6</c:v>
                </c:pt>
                <c:pt idx="22">
                  <c:v>5.2327296099450898E-6</c:v>
                </c:pt>
                <c:pt idx="23">
                  <c:v>5.2072303954657497E-6</c:v>
                </c:pt>
                <c:pt idx="24">
                  <c:v>5.2196703070461304E-6</c:v>
                </c:pt>
                <c:pt idx="25">
                  <c:v>5.13633032774139E-6</c:v>
                </c:pt>
                <c:pt idx="26">
                  <c:v>5.1034605316392401E-6</c:v>
                </c:pt>
                <c:pt idx="27">
                  <c:v>5.1939121222657702E-6</c:v>
                </c:pt>
                <c:pt idx="28">
                  <c:v>5.2481344463598404E-6</c:v>
                </c:pt>
                <c:pt idx="29">
                  <c:v>5.0125262727616396E-6</c:v>
                </c:pt>
                <c:pt idx="30">
                  <c:v>5.1296250372777998E-6</c:v>
                </c:pt>
                <c:pt idx="31">
                  <c:v>4.8353976468882898E-6</c:v>
                </c:pt>
                <c:pt idx="32">
                  <c:v>5.5009769858090598E-6</c:v>
                </c:pt>
                <c:pt idx="33">
                  <c:v>5.1408362517822996E-6</c:v>
                </c:pt>
                <c:pt idx="34">
                  <c:v>5.0660560211899396E-6</c:v>
                </c:pt>
                <c:pt idx="35">
                  <c:v>5.5132620543263203E-6</c:v>
                </c:pt>
                <c:pt idx="36">
                  <c:v>5.1609354172074901E-6</c:v>
                </c:pt>
                <c:pt idx="37">
                  <c:v>5.3957150901366096E-6</c:v>
                </c:pt>
                <c:pt idx="38">
                  <c:v>5.3052345145555097E-6</c:v>
                </c:pt>
                <c:pt idx="39">
                  <c:v>5.1052928460165897E-6</c:v>
                </c:pt>
                <c:pt idx="40">
                  <c:v>5.5671649808865202E-6</c:v>
                </c:pt>
                <c:pt idx="41">
                  <c:v>4.9940685517418197E-6</c:v>
                </c:pt>
                <c:pt idx="42">
                  <c:v>5.48437656625858E-6</c:v>
                </c:pt>
                <c:pt idx="43">
                  <c:v>5.3013287955520003E-6</c:v>
                </c:pt>
                <c:pt idx="44">
                  <c:v>5.3839057264715501E-6</c:v>
                </c:pt>
                <c:pt idx="45">
                  <c:v>5.3570926686405001E-6</c:v>
                </c:pt>
                <c:pt idx="46">
                  <c:v>4.56930384836505E-6</c:v>
                </c:pt>
                <c:pt idx="47">
                  <c:v>4.9049820622063804E-6</c:v>
                </c:pt>
                <c:pt idx="48">
                  <c:v>5.1629407098404798E-6</c:v>
                </c:pt>
                <c:pt idx="49">
                  <c:v>5.0349003022222499E-6</c:v>
                </c:pt>
                <c:pt idx="50">
                  <c:v>5.1131696333650304E-6</c:v>
                </c:pt>
                <c:pt idx="51">
                  <c:v>5.1719411581401899E-6</c:v>
                </c:pt>
                <c:pt idx="52">
                  <c:v>5.1991532573340904E-6</c:v>
                </c:pt>
                <c:pt idx="53">
                  <c:v>5.1639875723545403E-6</c:v>
                </c:pt>
                <c:pt idx="54">
                  <c:v>5.2971482740643898E-6</c:v>
                </c:pt>
                <c:pt idx="55">
                  <c:v>5.2107655067239101E-6</c:v>
                </c:pt>
                <c:pt idx="56">
                  <c:v>5.16399840967138E-6</c:v>
                </c:pt>
                <c:pt idx="57">
                  <c:v>5.1424948871319797E-6</c:v>
                </c:pt>
                <c:pt idx="58">
                  <c:v>5.1057477800319198E-6</c:v>
                </c:pt>
                <c:pt idx="59">
                  <c:v>5.1058924762625403E-6</c:v>
                </c:pt>
                <c:pt idx="60">
                  <c:v>5.1301220666698604E-6</c:v>
                </c:pt>
                <c:pt idx="61">
                  <c:v>5.3304586826815099E-6</c:v>
                </c:pt>
                <c:pt idx="62">
                  <c:v>5.1947318978911697E-6</c:v>
                </c:pt>
                <c:pt idx="63">
                  <c:v>5.1130737085134198E-6</c:v>
                </c:pt>
                <c:pt idx="64">
                  <c:v>5.2009996710019499E-6</c:v>
                </c:pt>
                <c:pt idx="65">
                  <c:v>5.1297090567410099E-6</c:v>
                </c:pt>
                <c:pt idx="66">
                  <c:v>5.1908346069025601E-6</c:v>
                </c:pt>
                <c:pt idx="67">
                  <c:v>5.0757110546662702E-6</c:v>
                </c:pt>
                <c:pt idx="68">
                  <c:v>5.26320029202501E-6</c:v>
                </c:pt>
                <c:pt idx="69">
                  <c:v>4.9601193891821596E-6</c:v>
                </c:pt>
                <c:pt idx="70">
                  <c:v>5.2452981102833797E-6</c:v>
                </c:pt>
                <c:pt idx="71">
                  <c:v>4.78970646147404E-6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7-46B4-962C-7E4BE2DA8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Root Mean Square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MAA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314212310944896E-3"/>
                  <c:y val="-8.1188028579760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'2022'!$D$2:$D$73</c:f>
              <c:numCache>
                <c:formatCode>0.00E+00</c:formatCode>
                <c:ptCount val="72"/>
                <c:pt idx="0">
                  <c:v>1.44866262338468E-5</c:v>
                </c:pt>
                <c:pt idx="1">
                  <c:v>1.51093439110471E-5</c:v>
                </c:pt>
                <c:pt idx="2">
                  <c:v>1.51093439110471E-5</c:v>
                </c:pt>
                <c:pt idx="3">
                  <c:v>1.4799329860444699E-5</c:v>
                </c:pt>
                <c:pt idx="4">
                  <c:v>1.3993529952777399E-5</c:v>
                </c:pt>
                <c:pt idx="5">
                  <c:v>1.3993529952777399E-5</c:v>
                </c:pt>
                <c:pt idx="6">
                  <c:v>1.39268710897861E-5</c:v>
                </c:pt>
                <c:pt idx="7">
                  <c:v>1.3560744188201199E-5</c:v>
                </c:pt>
                <c:pt idx="8">
                  <c:v>1.3560744188201199E-5</c:v>
                </c:pt>
                <c:pt idx="9">
                  <c:v>1.1958501549827199E-5</c:v>
                </c:pt>
                <c:pt idx="10">
                  <c:v>1.1958501549827199E-5</c:v>
                </c:pt>
                <c:pt idx="11">
                  <c:v>1.1958501549827199E-5</c:v>
                </c:pt>
                <c:pt idx="12">
                  <c:v>1.17680658520211E-5</c:v>
                </c:pt>
                <c:pt idx="13">
                  <c:v>1.2053313594458901E-5</c:v>
                </c:pt>
                <c:pt idx="14">
                  <c:v>1.2053313594458901E-5</c:v>
                </c:pt>
                <c:pt idx="15">
                  <c:v>1.2053313594458901E-5</c:v>
                </c:pt>
                <c:pt idx="16">
                  <c:v>1.2084850383544699E-5</c:v>
                </c:pt>
                <c:pt idx="17">
                  <c:v>1.6627879007988699E-5</c:v>
                </c:pt>
                <c:pt idx="18">
                  <c:v>1.6627879007988699E-5</c:v>
                </c:pt>
                <c:pt idx="19">
                  <c:v>1.6239225478553598E-5</c:v>
                </c:pt>
                <c:pt idx="20">
                  <c:v>1.6330420394569699E-5</c:v>
                </c:pt>
                <c:pt idx="21">
                  <c:v>1.6330420394569699E-5</c:v>
                </c:pt>
                <c:pt idx="22">
                  <c:v>1.6166451790234399E-5</c:v>
                </c:pt>
                <c:pt idx="23">
                  <c:v>1.6166451790234399E-5</c:v>
                </c:pt>
                <c:pt idx="24">
                  <c:v>1.6175033284986099E-5</c:v>
                </c:pt>
                <c:pt idx="25">
                  <c:v>1.6175033284986099E-5</c:v>
                </c:pt>
                <c:pt idx="26">
                  <c:v>1.6175033284986099E-5</c:v>
                </c:pt>
                <c:pt idx="27">
                  <c:v>1.6103510486292E-5</c:v>
                </c:pt>
                <c:pt idx="28">
                  <c:v>1.6103510486292E-5</c:v>
                </c:pt>
                <c:pt idx="29">
                  <c:v>1.6103510486292E-5</c:v>
                </c:pt>
                <c:pt idx="30">
                  <c:v>1.64550619109203E-5</c:v>
                </c:pt>
                <c:pt idx="31">
                  <c:v>1.64550619109203E-5</c:v>
                </c:pt>
                <c:pt idx="32">
                  <c:v>1.64550619109203E-5</c:v>
                </c:pt>
                <c:pt idx="33">
                  <c:v>1.9103713729553699E-5</c:v>
                </c:pt>
                <c:pt idx="34">
                  <c:v>1.9103713729553699E-5</c:v>
                </c:pt>
                <c:pt idx="35">
                  <c:v>1.9103713729553699E-5</c:v>
                </c:pt>
                <c:pt idx="36">
                  <c:v>1.9504785522897402E-5</c:v>
                </c:pt>
                <c:pt idx="37">
                  <c:v>1.9504785522897402E-5</c:v>
                </c:pt>
                <c:pt idx="38">
                  <c:v>1.9504785522897402E-5</c:v>
                </c:pt>
                <c:pt idx="39">
                  <c:v>1.9504785522897402E-5</c:v>
                </c:pt>
                <c:pt idx="40">
                  <c:v>2.05532327060969E-5</c:v>
                </c:pt>
                <c:pt idx="41">
                  <c:v>2.05532327060969E-5</c:v>
                </c:pt>
                <c:pt idx="42">
                  <c:v>2.05532327060969E-5</c:v>
                </c:pt>
                <c:pt idx="43">
                  <c:v>2.05532327060969E-5</c:v>
                </c:pt>
                <c:pt idx="44">
                  <c:v>1.94331541286941E-5</c:v>
                </c:pt>
                <c:pt idx="45">
                  <c:v>1.94331541286941E-5</c:v>
                </c:pt>
                <c:pt idx="46">
                  <c:v>1.94331541286941E-5</c:v>
                </c:pt>
                <c:pt idx="47">
                  <c:v>2.36589646560851E-5</c:v>
                </c:pt>
                <c:pt idx="48">
                  <c:v>2.36589646560851E-5</c:v>
                </c:pt>
                <c:pt idx="49">
                  <c:v>2.36589646560851E-5</c:v>
                </c:pt>
                <c:pt idx="50">
                  <c:v>2.4328066496354699E-5</c:v>
                </c:pt>
                <c:pt idx="51">
                  <c:v>2.1325088760308399E-5</c:v>
                </c:pt>
                <c:pt idx="52">
                  <c:v>2.1325088760308399E-5</c:v>
                </c:pt>
                <c:pt idx="53">
                  <c:v>2.1325088760308399E-5</c:v>
                </c:pt>
                <c:pt idx="54">
                  <c:v>2.1325088760308399E-5</c:v>
                </c:pt>
                <c:pt idx="55">
                  <c:v>2.05672562239238E-5</c:v>
                </c:pt>
                <c:pt idx="56">
                  <c:v>2.05672562239238E-5</c:v>
                </c:pt>
                <c:pt idx="57">
                  <c:v>2.05672562239238E-5</c:v>
                </c:pt>
                <c:pt idx="58">
                  <c:v>2.05672562239238E-5</c:v>
                </c:pt>
                <c:pt idx="59">
                  <c:v>2.05672562239238E-5</c:v>
                </c:pt>
                <c:pt idx="60">
                  <c:v>1.74864057096702E-5</c:v>
                </c:pt>
                <c:pt idx="61">
                  <c:v>1.74864057096702E-5</c:v>
                </c:pt>
                <c:pt idx="62">
                  <c:v>1.74864057096702E-5</c:v>
                </c:pt>
                <c:pt idx="63">
                  <c:v>1.9617822016897302E-5</c:v>
                </c:pt>
                <c:pt idx="64">
                  <c:v>1.9617822016897302E-5</c:v>
                </c:pt>
                <c:pt idx="65">
                  <c:v>1.8569743078620101E-5</c:v>
                </c:pt>
                <c:pt idx="66">
                  <c:v>1.8569743078620101E-5</c:v>
                </c:pt>
                <c:pt idx="67">
                  <c:v>1.8569743078620101E-5</c:v>
                </c:pt>
                <c:pt idx="68">
                  <c:v>1.8569743078620101E-5</c:v>
                </c:pt>
                <c:pt idx="69">
                  <c:v>1.6218660918437701E-5</c:v>
                </c:pt>
                <c:pt idx="70">
                  <c:v>1.6218660918437701E-5</c:v>
                </c:pt>
                <c:pt idx="71">
                  <c:v>1.6218660918437701E-5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2-4DAF-824E-C746A3CD0EE6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998752720799013E-3"/>
                  <c:y val="-0.124355132691746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'2022'!$O$2:$O$73</c:f>
              <c:numCache>
                <c:formatCode>0.00E+00</c:formatCode>
                <c:ptCount val="72"/>
                <c:pt idx="0">
                  <c:v>3.9045777702919497E-6</c:v>
                </c:pt>
                <c:pt idx="1">
                  <c:v>3.9693422911864002E-6</c:v>
                </c:pt>
                <c:pt idx="2">
                  <c:v>3.9486341882239798E-6</c:v>
                </c:pt>
                <c:pt idx="3">
                  <c:v>3.9308784980531501E-6</c:v>
                </c:pt>
                <c:pt idx="4">
                  <c:v>3.8677880444488096E-6</c:v>
                </c:pt>
                <c:pt idx="5">
                  <c:v>3.9277791028829401E-6</c:v>
                </c:pt>
                <c:pt idx="6">
                  <c:v>3.9045777702919497E-6</c:v>
                </c:pt>
                <c:pt idx="7">
                  <c:v>3.8677880444488096E-6</c:v>
                </c:pt>
                <c:pt idx="8">
                  <c:v>3.9277791028829401E-6</c:v>
                </c:pt>
                <c:pt idx="9">
                  <c:v>3.9103728149918304E-6</c:v>
                </c:pt>
                <c:pt idx="10">
                  <c:v>4.1689195603690199E-6</c:v>
                </c:pt>
                <c:pt idx="11">
                  <c:v>4.0072717687248703E-6</c:v>
                </c:pt>
                <c:pt idx="12">
                  <c:v>4.0790174055234204E-6</c:v>
                </c:pt>
                <c:pt idx="13">
                  <c:v>4.1330835787445401E-6</c:v>
                </c:pt>
                <c:pt idx="14">
                  <c:v>3.9914239317118898E-6</c:v>
                </c:pt>
                <c:pt idx="15">
                  <c:v>4.0827849687275096E-6</c:v>
                </c:pt>
                <c:pt idx="16">
                  <c:v>3.9045777702919497E-6</c:v>
                </c:pt>
                <c:pt idx="17">
                  <c:v>4.1716075507672904E-6</c:v>
                </c:pt>
                <c:pt idx="18">
                  <c:v>4.0744624106680696E-6</c:v>
                </c:pt>
                <c:pt idx="19">
                  <c:v>3.9650984029537899E-6</c:v>
                </c:pt>
                <c:pt idx="20">
                  <c:v>4.0980496175930199E-6</c:v>
                </c:pt>
                <c:pt idx="21">
                  <c:v>4.1939827913295E-6</c:v>
                </c:pt>
                <c:pt idx="22">
                  <c:v>4.0825799957826204E-6</c:v>
                </c:pt>
                <c:pt idx="23">
                  <c:v>4.0657623668471204E-6</c:v>
                </c:pt>
                <c:pt idx="24">
                  <c:v>4.0654454246956797E-6</c:v>
                </c:pt>
                <c:pt idx="25">
                  <c:v>4.0089841316719303E-6</c:v>
                </c:pt>
                <c:pt idx="26">
                  <c:v>3.9668399435442598E-6</c:v>
                </c:pt>
                <c:pt idx="27">
                  <c:v>4.0648253997734198E-6</c:v>
                </c:pt>
                <c:pt idx="28">
                  <c:v>4.0970112582085097E-6</c:v>
                </c:pt>
                <c:pt idx="29">
                  <c:v>3.9184553869343099E-6</c:v>
                </c:pt>
                <c:pt idx="30">
                  <c:v>4.0410583856210101E-6</c:v>
                </c:pt>
                <c:pt idx="31">
                  <c:v>3.78654216695905E-6</c:v>
                </c:pt>
                <c:pt idx="32">
                  <c:v>4.3324095554733799E-6</c:v>
                </c:pt>
                <c:pt idx="33">
                  <c:v>4.0103988826563198E-6</c:v>
                </c:pt>
                <c:pt idx="34">
                  <c:v>3.9831429517942904E-6</c:v>
                </c:pt>
                <c:pt idx="35">
                  <c:v>4.2693719863477002E-6</c:v>
                </c:pt>
                <c:pt idx="36">
                  <c:v>4.0505589910327503E-6</c:v>
                </c:pt>
                <c:pt idx="37">
                  <c:v>4.2046136657024701E-6</c:v>
                </c:pt>
                <c:pt idx="38">
                  <c:v>4.1141217577396404E-6</c:v>
                </c:pt>
                <c:pt idx="39">
                  <c:v>4.0102508061160596E-6</c:v>
                </c:pt>
                <c:pt idx="40">
                  <c:v>4.3029660307974001E-6</c:v>
                </c:pt>
                <c:pt idx="41">
                  <c:v>3.9254288437070297E-6</c:v>
                </c:pt>
                <c:pt idx="42">
                  <c:v>4.2109448495998401E-6</c:v>
                </c:pt>
                <c:pt idx="43">
                  <c:v>4.0772065680298797E-6</c:v>
                </c:pt>
                <c:pt idx="44">
                  <c:v>4.2091084816683198E-6</c:v>
                </c:pt>
                <c:pt idx="45">
                  <c:v>4.1788811725464902E-6</c:v>
                </c:pt>
                <c:pt idx="46">
                  <c:v>3.5583511123346498E-6</c:v>
                </c:pt>
                <c:pt idx="47">
                  <c:v>3.8597397562373296E-6</c:v>
                </c:pt>
                <c:pt idx="48">
                  <c:v>4.00309717739534E-6</c:v>
                </c:pt>
                <c:pt idx="49">
                  <c:v>3.9009575541870304E-6</c:v>
                </c:pt>
                <c:pt idx="50">
                  <c:v>4.0201376505823096E-6</c:v>
                </c:pt>
                <c:pt idx="51">
                  <c:v>4.0504937060556402E-6</c:v>
                </c:pt>
                <c:pt idx="52">
                  <c:v>4.00495798160321E-6</c:v>
                </c:pt>
                <c:pt idx="53">
                  <c:v>4.0473301200699499E-6</c:v>
                </c:pt>
                <c:pt idx="54">
                  <c:v>4.1367070773343399E-6</c:v>
                </c:pt>
                <c:pt idx="55">
                  <c:v>4.0990296216907399E-6</c:v>
                </c:pt>
                <c:pt idx="56">
                  <c:v>4.0389130993899898E-6</c:v>
                </c:pt>
                <c:pt idx="57">
                  <c:v>3.9886837862760403E-6</c:v>
                </c:pt>
                <c:pt idx="58">
                  <c:v>4.0186233308898298E-6</c:v>
                </c:pt>
                <c:pt idx="59">
                  <c:v>4.0081624162896701E-6</c:v>
                </c:pt>
                <c:pt idx="60">
                  <c:v>3.9830561483051697E-6</c:v>
                </c:pt>
                <c:pt idx="61">
                  <c:v>4.1689195603690199E-6</c:v>
                </c:pt>
                <c:pt idx="62">
                  <c:v>4.07057485440549E-6</c:v>
                </c:pt>
                <c:pt idx="63">
                  <c:v>4.03274056892861E-6</c:v>
                </c:pt>
                <c:pt idx="64">
                  <c:v>4.0728908298504102E-6</c:v>
                </c:pt>
                <c:pt idx="65">
                  <c:v>3.9520946567312799E-6</c:v>
                </c:pt>
                <c:pt idx="66">
                  <c:v>4.07913630442028E-6</c:v>
                </c:pt>
                <c:pt idx="67">
                  <c:v>3.9845026299767499E-6</c:v>
                </c:pt>
                <c:pt idx="68">
                  <c:v>4.09113415138656E-6</c:v>
                </c:pt>
                <c:pt idx="69">
                  <c:v>3.9019940899688398E-6</c:v>
                </c:pt>
                <c:pt idx="70">
                  <c:v>4.10855539281991E-6</c:v>
                </c:pt>
                <c:pt idx="71">
                  <c:v>3.7607144817414801E-6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62-4DAF-824E-C746A3CD0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Absolute Amplitude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Max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272186999554932E-2"/>
                  <c:y val="-0.22363079615048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'2022'!$E$2:$E$73</c:f>
              <c:numCache>
                <c:formatCode>0.00E+00</c:formatCode>
                <c:ptCount val="72"/>
                <c:pt idx="0">
                  <c:v>8.66352110406614E-4</c:v>
                </c:pt>
                <c:pt idx="1">
                  <c:v>5.4444072773682402E-4</c:v>
                </c:pt>
                <c:pt idx="2">
                  <c:v>5.4444072773682402E-4</c:v>
                </c:pt>
                <c:pt idx="3">
                  <c:v>6.1573653732140902E-4</c:v>
                </c:pt>
                <c:pt idx="4">
                  <c:v>5.5956408128506995E-4</c:v>
                </c:pt>
                <c:pt idx="5">
                  <c:v>5.5956408128506995E-4</c:v>
                </c:pt>
                <c:pt idx="6">
                  <c:v>4.6666348091727798E-4</c:v>
                </c:pt>
                <c:pt idx="7">
                  <c:v>1.1212886416484601E-3</c:v>
                </c:pt>
                <c:pt idx="8">
                  <c:v>1.1212886416484601E-3</c:v>
                </c:pt>
                <c:pt idx="9">
                  <c:v>4.1265150395926E-4</c:v>
                </c:pt>
                <c:pt idx="10">
                  <c:v>4.1265150395926E-4</c:v>
                </c:pt>
                <c:pt idx="11">
                  <c:v>4.1265150395926E-4</c:v>
                </c:pt>
                <c:pt idx="12">
                  <c:v>4.7746587630888201E-4</c:v>
                </c:pt>
                <c:pt idx="13">
                  <c:v>8.2746348699684104E-4</c:v>
                </c:pt>
                <c:pt idx="14">
                  <c:v>8.2746348699684104E-4</c:v>
                </c:pt>
                <c:pt idx="15">
                  <c:v>8.2746348699684104E-4</c:v>
                </c:pt>
                <c:pt idx="16">
                  <c:v>5.14194020640334E-4</c:v>
                </c:pt>
                <c:pt idx="17">
                  <c:v>6.4814372349621997E-4</c:v>
                </c:pt>
                <c:pt idx="18">
                  <c:v>6.4814372349621997E-4</c:v>
                </c:pt>
                <c:pt idx="19">
                  <c:v>5.4228024865850396E-4</c:v>
                </c:pt>
                <c:pt idx="20">
                  <c:v>8.2530300791852E-4</c:v>
                </c:pt>
                <c:pt idx="21">
                  <c:v>8.2530300791852E-4</c:v>
                </c:pt>
                <c:pt idx="22">
                  <c:v>5.5308264405010696E-4</c:v>
                </c:pt>
                <c:pt idx="23">
                  <c:v>5.5308264405010696E-4</c:v>
                </c:pt>
                <c:pt idx="24">
                  <c:v>7.84253905430426E-4</c:v>
                </c:pt>
                <c:pt idx="25">
                  <c:v>7.84253905430426E-4</c:v>
                </c:pt>
                <c:pt idx="26">
                  <c:v>7.84253905430426E-4</c:v>
                </c:pt>
                <c:pt idx="27">
                  <c:v>5.4660120681514505E-4</c:v>
                </c:pt>
                <c:pt idx="28">
                  <c:v>5.4660120681514505E-4</c:v>
                </c:pt>
                <c:pt idx="29">
                  <c:v>5.4660120681514505E-4</c:v>
                </c:pt>
                <c:pt idx="30">
                  <c:v>4.4505869013407101E-4</c:v>
                </c:pt>
                <c:pt idx="31">
                  <c:v>4.4505869013407101E-4</c:v>
                </c:pt>
                <c:pt idx="32">
                  <c:v>4.4505869013407101E-4</c:v>
                </c:pt>
                <c:pt idx="33">
                  <c:v>1.01758564588906E-3</c:v>
                </c:pt>
                <c:pt idx="34">
                  <c:v>1.01758564588906E-3</c:v>
                </c:pt>
                <c:pt idx="35">
                  <c:v>1.01758564588906E-3</c:v>
                </c:pt>
                <c:pt idx="36">
                  <c:v>5.79008392989956E-4</c:v>
                </c:pt>
                <c:pt idx="37">
                  <c:v>5.79008392989956E-4</c:v>
                </c:pt>
                <c:pt idx="38">
                  <c:v>5.79008392989956E-4</c:v>
                </c:pt>
                <c:pt idx="39">
                  <c:v>5.79008392989956E-4</c:v>
                </c:pt>
                <c:pt idx="40">
                  <c:v>9.48450315382802E-4</c:v>
                </c:pt>
                <c:pt idx="41">
                  <c:v>9.48450315382802E-4</c:v>
                </c:pt>
                <c:pt idx="42">
                  <c:v>9.48450315382802E-4</c:v>
                </c:pt>
                <c:pt idx="43">
                  <c:v>9.48450315382802E-4</c:v>
                </c:pt>
                <c:pt idx="44">
                  <c:v>6.3518084902629496E-4</c:v>
                </c:pt>
                <c:pt idx="45">
                  <c:v>6.3518084902629496E-4</c:v>
                </c:pt>
                <c:pt idx="46">
                  <c:v>6.3518084902629496E-4</c:v>
                </c:pt>
                <c:pt idx="47">
                  <c:v>7.9073534266538802E-4</c:v>
                </c:pt>
                <c:pt idx="48">
                  <c:v>7.9073534266538802E-4</c:v>
                </c:pt>
                <c:pt idx="49">
                  <c:v>7.9073534266538802E-4</c:v>
                </c:pt>
                <c:pt idx="50">
                  <c:v>1.4345581080049601E-3</c:v>
                </c:pt>
                <c:pt idx="51">
                  <c:v>7.1295809584584198E-4</c:v>
                </c:pt>
                <c:pt idx="52">
                  <c:v>7.1295809584584198E-4</c:v>
                </c:pt>
                <c:pt idx="53">
                  <c:v>7.1295809584584198E-4</c:v>
                </c:pt>
                <c:pt idx="54">
                  <c:v>7.1295809584584198E-4</c:v>
                </c:pt>
                <c:pt idx="55">
                  <c:v>6.5894611888782297E-4</c:v>
                </c:pt>
                <c:pt idx="56">
                  <c:v>6.5894611888782297E-4</c:v>
                </c:pt>
                <c:pt idx="57">
                  <c:v>6.5894611888782297E-4</c:v>
                </c:pt>
                <c:pt idx="58">
                  <c:v>6.5894611888782297E-4</c:v>
                </c:pt>
                <c:pt idx="59">
                  <c:v>6.5894611888782297E-4</c:v>
                </c:pt>
                <c:pt idx="60">
                  <c:v>5.2283593695361705E-4</c:v>
                </c:pt>
                <c:pt idx="61">
                  <c:v>5.2283593695361705E-4</c:v>
                </c:pt>
                <c:pt idx="62">
                  <c:v>5.2283593695361705E-4</c:v>
                </c:pt>
                <c:pt idx="63">
                  <c:v>9.8517845971425404E-4</c:v>
                </c:pt>
                <c:pt idx="64">
                  <c:v>9.8517845971425404E-4</c:v>
                </c:pt>
                <c:pt idx="65">
                  <c:v>7.7129103096050197E-4</c:v>
                </c:pt>
                <c:pt idx="66">
                  <c:v>7.7129103096050197E-4</c:v>
                </c:pt>
                <c:pt idx="67">
                  <c:v>7.7129103096050197E-4</c:v>
                </c:pt>
                <c:pt idx="68">
                  <c:v>7.7129103096050197E-4</c:v>
                </c:pt>
                <c:pt idx="69">
                  <c:v>6.9135330506263403E-4</c:v>
                </c:pt>
                <c:pt idx="70">
                  <c:v>6.9135330506263403E-4</c:v>
                </c:pt>
                <c:pt idx="71">
                  <c:v>6.9135330506263403E-4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C8-45B6-A88E-410C9C5FD085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33381241756382E-2"/>
                  <c:y val="-3.06791338582677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'2022'!$P$2:$P$73</c:f>
              <c:numCache>
                <c:formatCode>0.00E+00</c:formatCode>
                <c:ptCount val="72"/>
                <c:pt idx="0">
                  <c:v>5.9833134439221001E-5</c:v>
                </c:pt>
                <c:pt idx="1">
                  <c:v>6.0798184994692297E-5</c:v>
                </c:pt>
                <c:pt idx="2">
                  <c:v>6.6588488327520097E-5</c:v>
                </c:pt>
                <c:pt idx="3">
                  <c:v>5.8868083883749698E-5</c:v>
                </c:pt>
                <c:pt idx="4">
                  <c:v>4.6322426662622701E-5</c:v>
                </c:pt>
                <c:pt idx="5">
                  <c:v>7.3343842215819295E-5</c:v>
                </c:pt>
                <c:pt idx="6">
                  <c:v>5.9833134439221001E-5</c:v>
                </c:pt>
                <c:pt idx="7">
                  <c:v>4.6322426662622701E-5</c:v>
                </c:pt>
                <c:pt idx="8">
                  <c:v>7.3343842215819295E-5</c:v>
                </c:pt>
                <c:pt idx="9">
                  <c:v>9.2644853325245496E-5</c:v>
                </c:pt>
                <c:pt idx="10">
                  <c:v>7.5273943326761901E-5</c:v>
                </c:pt>
                <c:pt idx="11">
                  <c:v>7.7204044437704494E-5</c:v>
                </c:pt>
                <c:pt idx="12">
                  <c:v>9.4574954436188103E-5</c:v>
                </c:pt>
                <c:pt idx="13">
                  <c:v>6.5623437772048895E-5</c:v>
                </c:pt>
                <c:pt idx="14" formatCode="General">
                  <c:v>1.06155561101843E-4</c:v>
                </c:pt>
                <c:pt idx="15">
                  <c:v>6.1763235550163601E-5</c:v>
                </c:pt>
                <c:pt idx="16">
                  <c:v>5.9833134439221001E-5</c:v>
                </c:pt>
                <c:pt idx="17">
                  <c:v>6.8518589438462798E-5</c:v>
                </c:pt>
                <c:pt idx="18">
                  <c:v>7.3343842215819295E-5</c:v>
                </c:pt>
                <c:pt idx="19">
                  <c:v>6.9483639993934095E-5</c:v>
                </c:pt>
                <c:pt idx="20">
                  <c:v>9.1679802769774105E-5</c:v>
                </c:pt>
                <c:pt idx="21" formatCode="General">
                  <c:v>1.12910914990142E-4</c:v>
                </c:pt>
                <c:pt idx="22">
                  <c:v>8.1064246659589802E-5</c:v>
                </c:pt>
                <c:pt idx="23">
                  <c:v>5.8868083883749698E-5</c:v>
                </c:pt>
                <c:pt idx="24">
                  <c:v>6.4658387216577504E-5</c:v>
                </c:pt>
                <c:pt idx="25">
                  <c:v>7.1413741104876701E-5</c:v>
                </c:pt>
                <c:pt idx="26">
                  <c:v>6.7553538882991502E-5</c:v>
                </c:pt>
                <c:pt idx="27">
                  <c:v>8.0099196104118397E-5</c:v>
                </c:pt>
                <c:pt idx="28">
                  <c:v>5.7903033328278401E-5</c:v>
                </c:pt>
                <c:pt idx="29">
                  <c:v>7.2378791660347998E-5</c:v>
                </c:pt>
                <c:pt idx="30">
                  <c:v>5.1147679439979197E-5</c:v>
                </c:pt>
                <c:pt idx="31">
                  <c:v>6.1763235550163601E-5</c:v>
                </c:pt>
                <c:pt idx="32">
                  <c:v>6.1763235550163601E-5</c:v>
                </c:pt>
                <c:pt idx="33">
                  <c:v>6.7553538882991502E-5</c:v>
                </c:pt>
                <c:pt idx="34">
                  <c:v>6.4658387216577504E-5</c:v>
                </c:pt>
                <c:pt idx="35" formatCode="General">
                  <c:v>1.15806066656556E-4</c:v>
                </c:pt>
                <c:pt idx="36">
                  <c:v>4.9217578329036597E-5</c:v>
                </c:pt>
                <c:pt idx="37">
                  <c:v>8.1064246659589802E-5</c:v>
                </c:pt>
                <c:pt idx="38">
                  <c:v>6.8518589438462798E-5</c:v>
                </c:pt>
                <c:pt idx="39">
                  <c:v>5.1147679439979197E-5</c:v>
                </c:pt>
                <c:pt idx="40">
                  <c:v>8.4924448881475002E-5</c:v>
                </c:pt>
                <c:pt idx="41">
                  <c:v>5.3077780550921898E-5</c:v>
                </c:pt>
                <c:pt idx="42">
                  <c:v>8.5889499436946298E-5</c:v>
                </c:pt>
                <c:pt idx="43" formatCode="General">
                  <c:v>1.05190510546372E-4</c:v>
                </c:pt>
                <c:pt idx="44">
                  <c:v>6.6588488327520097E-5</c:v>
                </c:pt>
                <c:pt idx="45">
                  <c:v>6.5623437772048895E-5</c:v>
                </c:pt>
                <c:pt idx="46" formatCode="General">
                  <c:v>1.42827482209753E-4</c:v>
                </c:pt>
                <c:pt idx="47">
                  <c:v>6.1763235550163601E-5</c:v>
                </c:pt>
                <c:pt idx="48">
                  <c:v>7.2378791660347998E-5</c:v>
                </c:pt>
                <c:pt idx="49">
                  <c:v>7.8169094993175804E-5</c:v>
                </c:pt>
                <c:pt idx="50">
                  <c:v>5.01826288845079E-5</c:v>
                </c:pt>
                <c:pt idx="51">
                  <c:v>4.82525277735653E-5</c:v>
                </c:pt>
                <c:pt idx="52">
                  <c:v>9.0714752214302795E-5</c:v>
                </c:pt>
                <c:pt idx="53">
                  <c:v>7.6238993882233198E-5</c:v>
                </c:pt>
                <c:pt idx="54">
                  <c:v>5.6937982772807098E-5</c:v>
                </c:pt>
                <c:pt idx="55">
                  <c:v>4.7287477218093997E-5</c:v>
                </c:pt>
                <c:pt idx="56">
                  <c:v>8.8784651103360201E-5</c:v>
                </c:pt>
                <c:pt idx="57" formatCode="General">
                  <c:v>1.00365257769015E-4</c:v>
                </c:pt>
                <c:pt idx="58">
                  <c:v>4.82525277735653E-5</c:v>
                </c:pt>
                <c:pt idx="59">
                  <c:v>5.6937982772807098E-5</c:v>
                </c:pt>
                <c:pt idx="60">
                  <c:v>8.5889499436946298E-5</c:v>
                </c:pt>
                <c:pt idx="61">
                  <c:v>7.5273943326761901E-5</c:v>
                </c:pt>
                <c:pt idx="62">
                  <c:v>7.5273943326761901E-5</c:v>
                </c:pt>
                <c:pt idx="63">
                  <c:v>4.7287477218093997E-5</c:v>
                </c:pt>
                <c:pt idx="64">
                  <c:v>6.4658387216577504E-5</c:v>
                </c:pt>
                <c:pt idx="65">
                  <c:v>8.6854549992417595E-5</c:v>
                </c:pt>
                <c:pt idx="66">
                  <c:v>6.3693336661106194E-5</c:v>
                </c:pt>
                <c:pt idx="67">
                  <c:v>7.8169094993175804E-5</c:v>
                </c:pt>
                <c:pt idx="68">
                  <c:v>8.9749701658831498E-5</c:v>
                </c:pt>
                <c:pt idx="69">
                  <c:v>4.7287477218093997E-5</c:v>
                </c:pt>
                <c:pt idx="70">
                  <c:v>4.82525277735653E-5</c:v>
                </c:pt>
                <c:pt idx="71">
                  <c:v>5.6937982772807098E-5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C8-45B6-A88E-410C9C5FD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Mean Env</a:t>
            </a:r>
          </a:p>
        </c:rich>
      </c:tx>
      <c:layout>
        <c:manualLayout>
          <c:xMode val="edge"/>
          <c:yMode val="edge"/>
          <c:x val="0.1603216496731722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427645971546215E-2"/>
                  <c:y val="-8.2951662292213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'2022'!$F$2:$F$73</c:f>
              <c:numCache>
                <c:formatCode>0.00E+00</c:formatCode>
                <c:ptCount val="72"/>
                <c:pt idx="0">
                  <c:v>2.27932348927342E-5</c:v>
                </c:pt>
                <c:pt idx="1">
                  <c:v>2.3761578150796201E-5</c:v>
                </c:pt>
                <c:pt idx="2">
                  <c:v>2.3761578150796201E-5</c:v>
                </c:pt>
                <c:pt idx="3">
                  <c:v>2.3273497817869002E-5</c:v>
                </c:pt>
                <c:pt idx="4">
                  <c:v>2.20077656020548E-5</c:v>
                </c:pt>
                <c:pt idx="5">
                  <c:v>2.20077656020548E-5</c:v>
                </c:pt>
                <c:pt idx="6">
                  <c:v>2.1920461026378301E-5</c:v>
                </c:pt>
                <c:pt idx="7">
                  <c:v>2.1338094524864401E-5</c:v>
                </c:pt>
                <c:pt idx="8">
                  <c:v>2.1338094524864401E-5</c:v>
                </c:pt>
                <c:pt idx="9">
                  <c:v>1.8829341548201101E-5</c:v>
                </c:pt>
                <c:pt idx="10">
                  <c:v>1.8829341548201101E-5</c:v>
                </c:pt>
                <c:pt idx="11">
                  <c:v>1.8829341548201101E-5</c:v>
                </c:pt>
                <c:pt idx="12">
                  <c:v>1.85315482535712E-5</c:v>
                </c:pt>
                <c:pt idx="13">
                  <c:v>1.8970347045272599E-5</c:v>
                </c:pt>
                <c:pt idx="14">
                  <c:v>1.8970347045272599E-5</c:v>
                </c:pt>
                <c:pt idx="15">
                  <c:v>1.8970347045272599E-5</c:v>
                </c:pt>
                <c:pt idx="16">
                  <c:v>1.9042427928445498E-5</c:v>
                </c:pt>
                <c:pt idx="17">
                  <c:v>2.61579590818405E-5</c:v>
                </c:pt>
                <c:pt idx="18">
                  <c:v>2.61579590818405E-5</c:v>
                </c:pt>
                <c:pt idx="19">
                  <c:v>2.55381265832761E-5</c:v>
                </c:pt>
                <c:pt idx="20">
                  <c:v>2.5674411746255199E-5</c:v>
                </c:pt>
                <c:pt idx="21">
                  <c:v>2.5674411746255199E-5</c:v>
                </c:pt>
                <c:pt idx="22">
                  <c:v>2.54220630809118E-5</c:v>
                </c:pt>
                <c:pt idx="23">
                  <c:v>2.54220630809118E-5</c:v>
                </c:pt>
                <c:pt idx="24">
                  <c:v>2.5434742648810199E-5</c:v>
                </c:pt>
                <c:pt idx="25">
                  <c:v>2.5434742648810199E-5</c:v>
                </c:pt>
                <c:pt idx="26">
                  <c:v>2.5434742648810199E-5</c:v>
                </c:pt>
                <c:pt idx="27">
                  <c:v>2.5331126483507599E-5</c:v>
                </c:pt>
                <c:pt idx="28">
                  <c:v>2.5331126483507599E-5</c:v>
                </c:pt>
                <c:pt idx="29">
                  <c:v>2.5331126483507599E-5</c:v>
                </c:pt>
                <c:pt idx="30">
                  <c:v>2.5871243920167901E-5</c:v>
                </c:pt>
                <c:pt idx="31">
                  <c:v>2.5871243920167901E-5</c:v>
                </c:pt>
                <c:pt idx="32">
                  <c:v>2.5871243920167901E-5</c:v>
                </c:pt>
                <c:pt idx="33">
                  <c:v>3.0025893965264799E-5</c:v>
                </c:pt>
                <c:pt idx="34">
                  <c:v>3.0025893965264799E-5</c:v>
                </c:pt>
                <c:pt idx="35">
                  <c:v>3.0025893965264799E-5</c:v>
                </c:pt>
                <c:pt idx="36">
                  <c:v>3.0666525727390198E-5</c:v>
                </c:pt>
                <c:pt idx="37">
                  <c:v>3.0666525727390198E-5</c:v>
                </c:pt>
                <c:pt idx="38">
                  <c:v>3.0666525727390198E-5</c:v>
                </c:pt>
                <c:pt idx="39">
                  <c:v>3.0666525727390198E-5</c:v>
                </c:pt>
                <c:pt idx="40">
                  <c:v>3.2301035006125902E-5</c:v>
                </c:pt>
                <c:pt idx="41">
                  <c:v>3.2301035006125902E-5</c:v>
                </c:pt>
                <c:pt idx="42">
                  <c:v>3.2301035006125902E-5</c:v>
                </c:pt>
                <c:pt idx="43">
                  <c:v>3.2301035006125902E-5</c:v>
                </c:pt>
                <c:pt idx="44">
                  <c:v>3.0555889543377097E-5</c:v>
                </c:pt>
                <c:pt idx="45">
                  <c:v>3.0555889543377097E-5</c:v>
                </c:pt>
                <c:pt idx="46">
                  <c:v>3.0555889543377097E-5</c:v>
                </c:pt>
                <c:pt idx="47">
                  <c:v>3.7165488316377101E-5</c:v>
                </c:pt>
                <c:pt idx="48">
                  <c:v>3.7165488316377101E-5</c:v>
                </c:pt>
                <c:pt idx="49">
                  <c:v>3.7165488316377101E-5</c:v>
                </c:pt>
                <c:pt idx="50">
                  <c:v>3.8229296230765899E-5</c:v>
                </c:pt>
                <c:pt idx="51">
                  <c:v>3.3521766798695801E-5</c:v>
                </c:pt>
                <c:pt idx="52">
                  <c:v>3.3521766798695801E-5</c:v>
                </c:pt>
                <c:pt idx="53">
                  <c:v>3.3521766798695801E-5</c:v>
                </c:pt>
                <c:pt idx="54">
                  <c:v>3.3521766798695801E-5</c:v>
                </c:pt>
                <c:pt idx="55">
                  <c:v>3.2331713661681799E-5</c:v>
                </c:pt>
                <c:pt idx="56">
                  <c:v>3.2331713661681799E-5</c:v>
                </c:pt>
                <c:pt idx="57">
                  <c:v>3.2331713661681799E-5</c:v>
                </c:pt>
                <c:pt idx="58">
                  <c:v>3.2331713661681799E-5</c:v>
                </c:pt>
                <c:pt idx="59">
                  <c:v>3.2331713661681799E-5</c:v>
                </c:pt>
                <c:pt idx="60">
                  <c:v>2.75049493946047E-5</c:v>
                </c:pt>
                <c:pt idx="61">
                  <c:v>2.75049493946047E-5</c:v>
                </c:pt>
                <c:pt idx="62">
                  <c:v>2.75049493946047E-5</c:v>
                </c:pt>
                <c:pt idx="63">
                  <c:v>3.0847947931295502E-5</c:v>
                </c:pt>
                <c:pt idx="64">
                  <c:v>3.0847947931295502E-5</c:v>
                </c:pt>
                <c:pt idx="65">
                  <c:v>2.92005668798482E-5</c:v>
                </c:pt>
                <c:pt idx="66">
                  <c:v>2.92005668798482E-5</c:v>
                </c:pt>
                <c:pt idx="67">
                  <c:v>2.92005668798482E-5</c:v>
                </c:pt>
                <c:pt idx="68">
                  <c:v>2.92005668798482E-5</c:v>
                </c:pt>
                <c:pt idx="69">
                  <c:v>2.5510539990300699E-5</c:v>
                </c:pt>
                <c:pt idx="70">
                  <c:v>2.5510539990300699E-5</c:v>
                </c:pt>
                <c:pt idx="71">
                  <c:v>2.5510539990300699E-5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71-478A-BEB4-56A4CE74900A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794026219759425E-2"/>
                  <c:y val="-0.152487605715952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'2022'!$Q$2:$Q$73</c:f>
              <c:numCache>
                <c:formatCode>0.00E+00</c:formatCode>
                <c:ptCount val="72"/>
                <c:pt idx="0">
                  <c:v>6.15334992986312E-6</c:v>
                </c:pt>
                <c:pt idx="1">
                  <c:v>6.2561085325259297E-6</c:v>
                </c:pt>
                <c:pt idx="2">
                  <c:v>6.2222538431977399E-6</c:v>
                </c:pt>
                <c:pt idx="3">
                  <c:v>6.19798126322196E-6</c:v>
                </c:pt>
                <c:pt idx="4">
                  <c:v>6.0952871458546903E-6</c:v>
                </c:pt>
                <c:pt idx="5">
                  <c:v>6.18696198844898E-6</c:v>
                </c:pt>
                <c:pt idx="6">
                  <c:v>6.15334992986312E-6</c:v>
                </c:pt>
                <c:pt idx="7">
                  <c:v>6.0952871458546903E-6</c:v>
                </c:pt>
                <c:pt idx="8">
                  <c:v>6.18696198844898E-6</c:v>
                </c:pt>
                <c:pt idx="9">
                  <c:v>6.1580819746974304E-6</c:v>
                </c:pt>
                <c:pt idx="10">
                  <c:v>6.5686335381454402E-6</c:v>
                </c:pt>
                <c:pt idx="11">
                  <c:v>6.3144647880507703E-6</c:v>
                </c:pt>
                <c:pt idx="12">
                  <c:v>6.4271975552194203E-6</c:v>
                </c:pt>
                <c:pt idx="13">
                  <c:v>6.5029058406761102E-6</c:v>
                </c:pt>
                <c:pt idx="14">
                  <c:v>6.2867948503319499E-6</c:v>
                </c:pt>
                <c:pt idx="15">
                  <c:v>6.4356487614915002E-6</c:v>
                </c:pt>
                <c:pt idx="16">
                  <c:v>6.15334992986312E-6</c:v>
                </c:pt>
                <c:pt idx="17">
                  <c:v>6.5682333210293498E-6</c:v>
                </c:pt>
                <c:pt idx="18">
                  <c:v>6.4165024904066298E-6</c:v>
                </c:pt>
                <c:pt idx="19">
                  <c:v>6.2463626210795701E-6</c:v>
                </c:pt>
                <c:pt idx="20">
                  <c:v>6.4570172770053804E-6</c:v>
                </c:pt>
                <c:pt idx="21">
                  <c:v>6.6049235537932204E-6</c:v>
                </c:pt>
                <c:pt idx="22">
                  <c:v>6.43365522375149E-6</c:v>
                </c:pt>
                <c:pt idx="23">
                  <c:v>6.4089487597984303E-6</c:v>
                </c:pt>
                <c:pt idx="24">
                  <c:v>6.4011577778168899E-6</c:v>
                </c:pt>
                <c:pt idx="25">
                  <c:v>6.31307908048231E-6</c:v>
                </c:pt>
                <c:pt idx="26">
                  <c:v>6.24897707552412E-6</c:v>
                </c:pt>
                <c:pt idx="27">
                  <c:v>6.4065716530981002E-6</c:v>
                </c:pt>
                <c:pt idx="28">
                  <c:v>6.4535665193035102E-6</c:v>
                </c:pt>
                <c:pt idx="29">
                  <c:v>6.1746687166805003E-6</c:v>
                </c:pt>
                <c:pt idx="30">
                  <c:v>6.3668765503900399E-6</c:v>
                </c:pt>
                <c:pt idx="31">
                  <c:v>5.9648004214616497E-6</c:v>
                </c:pt>
                <c:pt idx="32">
                  <c:v>6.8206380117566201E-6</c:v>
                </c:pt>
                <c:pt idx="33">
                  <c:v>6.3190404017734896E-6</c:v>
                </c:pt>
                <c:pt idx="34">
                  <c:v>6.2725458754186199E-6</c:v>
                </c:pt>
                <c:pt idx="35">
                  <c:v>6.7221109391360703E-6</c:v>
                </c:pt>
                <c:pt idx="36">
                  <c:v>6.3814495580690001E-6</c:v>
                </c:pt>
                <c:pt idx="37">
                  <c:v>6.62061953316363E-6</c:v>
                </c:pt>
                <c:pt idx="38">
                  <c:v>6.4787131203673697E-6</c:v>
                </c:pt>
                <c:pt idx="39">
                  <c:v>6.3166316560250496E-6</c:v>
                </c:pt>
                <c:pt idx="40">
                  <c:v>6.7820320402162397E-6</c:v>
                </c:pt>
                <c:pt idx="41">
                  <c:v>6.1934865181921203E-6</c:v>
                </c:pt>
                <c:pt idx="42">
                  <c:v>6.6311350274584498E-6</c:v>
                </c:pt>
                <c:pt idx="43">
                  <c:v>6.4276688680132497E-6</c:v>
                </c:pt>
                <c:pt idx="44">
                  <c:v>6.6256790935582898E-6</c:v>
                </c:pt>
                <c:pt idx="45">
                  <c:v>6.5816148767557702E-6</c:v>
                </c:pt>
                <c:pt idx="46">
                  <c:v>5.61241569780968E-6</c:v>
                </c:pt>
                <c:pt idx="47">
                  <c:v>6.0815865936816899E-6</c:v>
                </c:pt>
                <c:pt idx="48">
                  <c:v>6.30905949145305E-6</c:v>
                </c:pt>
                <c:pt idx="49">
                  <c:v>6.1498810290505796E-6</c:v>
                </c:pt>
                <c:pt idx="50">
                  <c:v>6.3311790827889898E-6</c:v>
                </c:pt>
                <c:pt idx="51">
                  <c:v>6.3819013417054602E-6</c:v>
                </c:pt>
                <c:pt idx="52">
                  <c:v>6.3089170590383596E-6</c:v>
                </c:pt>
                <c:pt idx="53">
                  <c:v>6.3772162926225497E-6</c:v>
                </c:pt>
                <c:pt idx="54">
                  <c:v>6.5211245242406604E-6</c:v>
                </c:pt>
                <c:pt idx="55">
                  <c:v>6.4624874465892901E-6</c:v>
                </c:pt>
                <c:pt idx="56">
                  <c:v>6.3611504465210297E-6</c:v>
                </c:pt>
                <c:pt idx="57">
                  <c:v>6.2827373043624299E-6</c:v>
                </c:pt>
                <c:pt idx="58">
                  <c:v>6.3291994424169899E-6</c:v>
                </c:pt>
                <c:pt idx="59">
                  <c:v>6.3195983638433997E-6</c:v>
                </c:pt>
                <c:pt idx="60">
                  <c:v>6.2755948548251802E-6</c:v>
                </c:pt>
                <c:pt idx="61">
                  <c:v>6.5686335381454402E-6</c:v>
                </c:pt>
                <c:pt idx="62">
                  <c:v>6.4139475258610903E-6</c:v>
                </c:pt>
                <c:pt idx="63">
                  <c:v>6.3557270532568701E-6</c:v>
                </c:pt>
                <c:pt idx="64">
                  <c:v>6.4129420397372903E-6</c:v>
                </c:pt>
                <c:pt idx="65">
                  <c:v>6.2294657906729296E-6</c:v>
                </c:pt>
                <c:pt idx="66">
                  <c:v>6.4261685735494497E-6</c:v>
                </c:pt>
                <c:pt idx="67">
                  <c:v>6.2806191082325401E-6</c:v>
                </c:pt>
                <c:pt idx="68">
                  <c:v>6.4459273403683603E-6</c:v>
                </c:pt>
                <c:pt idx="69">
                  <c:v>6.1493577209500397E-6</c:v>
                </c:pt>
                <c:pt idx="70">
                  <c:v>6.4670566198297202E-6</c:v>
                </c:pt>
                <c:pt idx="71">
                  <c:v>5.9335450305834101E-6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71-478A-BEB4-56A4CE749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Envelope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Std</a:t>
            </a:r>
            <a:r>
              <a:rPr lang="en-US" baseline="0"/>
              <a:t> </a:t>
            </a:r>
            <a:r>
              <a:rPr lang="en-US"/>
              <a:t>Env</a:t>
            </a:r>
          </a:p>
        </c:rich>
      </c:tx>
      <c:layout>
        <c:manualLayout>
          <c:xMode val="edge"/>
          <c:yMode val="edge"/>
          <c:x val="0.1603216496731722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109412998053036E-2"/>
                  <c:y val="-5.70570866141732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'2022'!$G$2:$G$73</c:f>
              <c:numCache>
                <c:formatCode>0.00E+00</c:formatCode>
                <c:ptCount val="72"/>
                <c:pt idx="0">
                  <c:v>2.6343061214527799E-5</c:v>
                </c:pt>
                <c:pt idx="1">
                  <c:v>2.4644846994177601E-5</c:v>
                </c:pt>
                <c:pt idx="2">
                  <c:v>2.4644846994177601E-5</c:v>
                </c:pt>
                <c:pt idx="3">
                  <c:v>2.4353247403379002E-5</c:v>
                </c:pt>
                <c:pt idx="4">
                  <c:v>2.3047823279389101E-5</c:v>
                </c:pt>
                <c:pt idx="5">
                  <c:v>2.3047823279389101E-5</c:v>
                </c:pt>
                <c:pt idx="6">
                  <c:v>2.1716549149289E-5</c:v>
                </c:pt>
                <c:pt idx="7">
                  <c:v>2.2978740717765901E-5</c:v>
                </c:pt>
                <c:pt idx="8">
                  <c:v>2.2978740717765901E-5</c:v>
                </c:pt>
                <c:pt idx="9">
                  <c:v>1.8134410374839101E-5</c:v>
                </c:pt>
                <c:pt idx="10">
                  <c:v>1.8134410374839101E-5</c:v>
                </c:pt>
                <c:pt idx="11">
                  <c:v>1.8134410374839101E-5</c:v>
                </c:pt>
                <c:pt idx="12">
                  <c:v>1.9483402081028001E-5</c:v>
                </c:pt>
                <c:pt idx="13">
                  <c:v>2.3087884905239201E-5</c:v>
                </c:pt>
                <c:pt idx="14">
                  <c:v>2.3087884905239201E-5</c:v>
                </c:pt>
                <c:pt idx="15">
                  <c:v>2.3087884905239201E-5</c:v>
                </c:pt>
                <c:pt idx="16">
                  <c:v>2.1831709638163199E-5</c:v>
                </c:pt>
                <c:pt idx="17">
                  <c:v>2.6468568596747801E-5</c:v>
                </c:pt>
                <c:pt idx="18">
                  <c:v>2.6468568596747801E-5</c:v>
                </c:pt>
                <c:pt idx="19">
                  <c:v>2.50983309222576E-5</c:v>
                </c:pt>
                <c:pt idx="20">
                  <c:v>2.6298698049598801E-5</c:v>
                </c:pt>
                <c:pt idx="21">
                  <c:v>2.6298698049598801E-5</c:v>
                </c:pt>
                <c:pt idx="22">
                  <c:v>2.6364766159581999E-5</c:v>
                </c:pt>
                <c:pt idx="23">
                  <c:v>2.6364766159581999E-5</c:v>
                </c:pt>
                <c:pt idx="24">
                  <c:v>2.4282464787393301E-5</c:v>
                </c:pt>
                <c:pt idx="25">
                  <c:v>2.4282464787393301E-5</c:v>
                </c:pt>
                <c:pt idx="26">
                  <c:v>2.4282464787393301E-5</c:v>
                </c:pt>
                <c:pt idx="27">
                  <c:v>2.4050124774344501E-5</c:v>
                </c:pt>
                <c:pt idx="28">
                  <c:v>2.4050124774344501E-5</c:v>
                </c:pt>
                <c:pt idx="29">
                  <c:v>2.4050124774344501E-5</c:v>
                </c:pt>
                <c:pt idx="30">
                  <c:v>2.41874819495546E-5</c:v>
                </c:pt>
                <c:pt idx="31">
                  <c:v>2.41874819495546E-5</c:v>
                </c:pt>
                <c:pt idx="32">
                  <c:v>2.41874819495546E-5</c:v>
                </c:pt>
                <c:pt idx="33">
                  <c:v>2.9135037733630299E-5</c:v>
                </c:pt>
                <c:pt idx="34">
                  <c:v>2.9135037733630299E-5</c:v>
                </c:pt>
                <c:pt idx="35">
                  <c:v>2.9135037733630299E-5</c:v>
                </c:pt>
                <c:pt idx="36">
                  <c:v>2.87818043169577E-5</c:v>
                </c:pt>
                <c:pt idx="37">
                  <c:v>2.87818043169577E-5</c:v>
                </c:pt>
                <c:pt idx="38">
                  <c:v>2.87818043169577E-5</c:v>
                </c:pt>
                <c:pt idx="39">
                  <c:v>2.87818043169577E-5</c:v>
                </c:pt>
                <c:pt idx="40">
                  <c:v>3.3152469622410902E-5</c:v>
                </c:pt>
                <c:pt idx="41">
                  <c:v>3.3152469622410902E-5</c:v>
                </c:pt>
                <c:pt idx="42">
                  <c:v>3.3152469622410902E-5</c:v>
                </c:pt>
                <c:pt idx="43">
                  <c:v>3.3152469622410902E-5</c:v>
                </c:pt>
                <c:pt idx="44">
                  <c:v>3.3368872948247003E-5</c:v>
                </c:pt>
                <c:pt idx="45">
                  <c:v>3.3368872948247003E-5</c:v>
                </c:pt>
                <c:pt idx="46">
                  <c:v>3.3368872948247003E-5</c:v>
                </c:pt>
                <c:pt idx="47">
                  <c:v>3.8577512940155798E-5</c:v>
                </c:pt>
                <c:pt idx="48">
                  <c:v>3.8577512940155798E-5</c:v>
                </c:pt>
                <c:pt idx="49">
                  <c:v>3.8577512940155798E-5</c:v>
                </c:pt>
                <c:pt idx="50">
                  <c:v>4.1066287640674303E-5</c:v>
                </c:pt>
                <c:pt idx="51">
                  <c:v>3.5132571986734603E-5</c:v>
                </c:pt>
                <c:pt idx="52">
                  <c:v>3.5132571986734603E-5</c:v>
                </c:pt>
                <c:pt idx="53">
                  <c:v>3.5132571986734603E-5</c:v>
                </c:pt>
                <c:pt idx="54">
                  <c:v>3.5132571986734603E-5</c:v>
                </c:pt>
                <c:pt idx="55">
                  <c:v>3.2986926226823502E-5</c:v>
                </c:pt>
                <c:pt idx="56">
                  <c:v>3.2986926226823502E-5</c:v>
                </c:pt>
                <c:pt idx="57">
                  <c:v>3.2986926226823502E-5</c:v>
                </c:pt>
                <c:pt idx="58">
                  <c:v>3.2986926226823502E-5</c:v>
                </c:pt>
                <c:pt idx="59">
                  <c:v>3.2986926226823502E-5</c:v>
                </c:pt>
                <c:pt idx="60">
                  <c:v>3.07025365732952E-5</c:v>
                </c:pt>
                <c:pt idx="61">
                  <c:v>3.07025365732952E-5</c:v>
                </c:pt>
                <c:pt idx="62">
                  <c:v>3.07025365732952E-5</c:v>
                </c:pt>
                <c:pt idx="63">
                  <c:v>3.7244095345887697E-5</c:v>
                </c:pt>
                <c:pt idx="64">
                  <c:v>3.7244095345887697E-5</c:v>
                </c:pt>
                <c:pt idx="65">
                  <c:v>3.211065384099E-5</c:v>
                </c:pt>
                <c:pt idx="66">
                  <c:v>3.211065384099E-5</c:v>
                </c:pt>
                <c:pt idx="67">
                  <c:v>3.211065384099E-5</c:v>
                </c:pt>
                <c:pt idx="68">
                  <c:v>3.211065384099E-5</c:v>
                </c:pt>
                <c:pt idx="69">
                  <c:v>2.72540918817656E-5</c:v>
                </c:pt>
                <c:pt idx="70">
                  <c:v>2.72540918817656E-5</c:v>
                </c:pt>
                <c:pt idx="71">
                  <c:v>2.72540918817656E-5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7E-4FD0-B6AE-044166C3232A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299080886975786E-2"/>
                  <c:y val="-9.08643190434529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'2022'!$R$2:$R$73</c:f>
              <c:numCache>
                <c:formatCode>0.00E+00</c:formatCode>
                <c:ptCount val="72"/>
                <c:pt idx="0">
                  <c:v>3.6616552502802799E-6</c:v>
                </c:pt>
                <c:pt idx="1">
                  <c:v>3.5806904857677701E-6</c:v>
                </c:pt>
                <c:pt idx="2">
                  <c:v>3.6026060530874802E-6</c:v>
                </c:pt>
                <c:pt idx="3">
                  <c:v>3.5207196890429498E-6</c:v>
                </c:pt>
                <c:pt idx="4">
                  <c:v>3.48364609583026E-6</c:v>
                </c:pt>
                <c:pt idx="5">
                  <c:v>3.5498246236212698E-6</c:v>
                </c:pt>
                <c:pt idx="6">
                  <c:v>3.6616552502802799E-6</c:v>
                </c:pt>
                <c:pt idx="7">
                  <c:v>3.48364609583026E-6</c:v>
                </c:pt>
                <c:pt idx="8">
                  <c:v>3.5498246236212698E-6</c:v>
                </c:pt>
                <c:pt idx="9">
                  <c:v>3.5423085018252E-6</c:v>
                </c:pt>
                <c:pt idx="10">
                  <c:v>3.6987300872686499E-6</c:v>
                </c:pt>
                <c:pt idx="11">
                  <c:v>3.5814254182722798E-6</c:v>
                </c:pt>
                <c:pt idx="12">
                  <c:v>3.6060004722924499E-6</c:v>
                </c:pt>
                <c:pt idx="13">
                  <c:v>3.53304521054898E-6</c:v>
                </c:pt>
                <c:pt idx="14">
                  <c:v>3.57388650371752E-6</c:v>
                </c:pt>
                <c:pt idx="15">
                  <c:v>3.70994749872242E-6</c:v>
                </c:pt>
                <c:pt idx="16">
                  <c:v>3.6616552502802799E-6</c:v>
                </c:pt>
                <c:pt idx="17">
                  <c:v>3.8430321173794901E-6</c:v>
                </c:pt>
                <c:pt idx="18">
                  <c:v>3.4864231924726199E-6</c:v>
                </c:pt>
                <c:pt idx="19">
                  <c:v>3.7038383748299801E-6</c:v>
                </c:pt>
                <c:pt idx="20">
                  <c:v>3.8810946953285199E-6</c:v>
                </c:pt>
                <c:pt idx="21">
                  <c:v>3.88050453772529E-6</c:v>
                </c:pt>
                <c:pt idx="22">
                  <c:v>3.6566294480543401E-6</c:v>
                </c:pt>
                <c:pt idx="23">
                  <c:v>3.6270876160575499E-6</c:v>
                </c:pt>
                <c:pt idx="24">
                  <c:v>3.6762881989731498E-6</c:v>
                </c:pt>
                <c:pt idx="25">
                  <c:v>3.5928788714700398E-6</c:v>
                </c:pt>
                <c:pt idx="26">
                  <c:v>3.6112139986340901E-6</c:v>
                </c:pt>
                <c:pt idx="27">
                  <c:v>3.5929455140411201E-6</c:v>
                </c:pt>
                <c:pt idx="28">
                  <c:v>3.6656906180531301E-6</c:v>
                </c:pt>
                <c:pt idx="29">
                  <c:v>3.4819934146209102E-6</c:v>
                </c:pt>
                <c:pt idx="30">
                  <c:v>3.4769200845814802E-6</c:v>
                </c:pt>
                <c:pt idx="31">
                  <c:v>3.3441412680476101E-6</c:v>
                </c:pt>
                <c:pt idx="32">
                  <c:v>3.7417080814187999E-6</c:v>
                </c:pt>
                <c:pt idx="33">
                  <c:v>3.5952839459573601E-6</c:v>
                </c:pt>
                <c:pt idx="34">
                  <c:v>3.4619340557745098E-6</c:v>
                </c:pt>
                <c:pt idx="35">
                  <c:v>3.9503447153277499E-6</c:v>
                </c:pt>
                <c:pt idx="36">
                  <c:v>3.5422521747972002E-6</c:v>
                </c:pt>
                <c:pt idx="37">
                  <c:v>3.7940582338624399E-6</c:v>
                </c:pt>
                <c:pt idx="38">
                  <c:v>3.7838176696713E-6</c:v>
                </c:pt>
                <c:pt idx="39">
                  <c:v>3.49687146043091E-6</c:v>
                </c:pt>
                <c:pt idx="40">
                  <c:v>3.9988230506608298E-6</c:v>
                </c:pt>
                <c:pt idx="41">
                  <c:v>3.3944279057131898E-6</c:v>
                </c:pt>
                <c:pt idx="42">
                  <c:v>4.0230316733552798E-6</c:v>
                </c:pt>
                <c:pt idx="43">
                  <c:v>3.85917302514019E-6</c:v>
                </c:pt>
                <c:pt idx="44">
                  <c:v>3.7514328613751901E-6</c:v>
                </c:pt>
                <c:pt idx="45">
                  <c:v>3.7522293326804198E-6</c:v>
                </c:pt>
                <c:pt idx="46">
                  <c:v>3.2027778478136999E-6</c:v>
                </c:pt>
                <c:pt idx="47">
                  <c:v>3.33646079088096E-6</c:v>
                </c:pt>
                <c:pt idx="48">
                  <c:v>3.67527527177227E-6</c:v>
                </c:pt>
                <c:pt idx="49">
                  <c:v>3.5887733878127302E-6</c:v>
                </c:pt>
                <c:pt idx="50">
                  <c:v>3.4935828751030298E-6</c:v>
                </c:pt>
                <c:pt idx="51">
                  <c:v>3.5734079437134102E-6</c:v>
                </c:pt>
                <c:pt idx="52">
                  <c:v>3.7762346422851901E-6</c:v>
                </c:pt>
                <c:pt idx="53">
                  <c:v>3.5587414683006001E-6</c:v>
                </c:pt>
                <c:pt idx="54">
                  <c:v>3.6870707586684198E-6</c:v>
                </c:pt>
                <c:pt idx="55">
                  <c:v>3.54124301630534E-6</c:v>
                </c:pt>
                <c:pt idx="56">
                  <c:v>3.5874058799413001E-6</c:v>
                </c:pt>
                <c:pt idx="57">
                  <c:v>3.6630200848887598E-6</c:v>
                </c:pt>
                <c:pt idx="58">
                  <c:v>3.4754186957544899E-6</c:v>
                </c:pt>
                <c:pt idx="59">
                  <c:v>3.49327081670616E-6</c:v>
                </c:pt>
                <c:pt idx="60">
                  <c:v>3.64048899547551E-6</c:v>
                </c:pt>
                <c:pt idx="61">
                  <c:v>3.6987300872686499E-6</c:v>
                </c:pt>
                <c:pt idx="62">
                  <c:v>3.5821438322996601E-6</c:v>
                </c:pt>
                <c:pt idx="63">
                  <c:v>3.4484437091480901E-6</c:v>
                </c:pt>
                <c:pt idx="64">
                  <c:v>3.6020745029906002E-6</c:v>
                </c:pt>
                <c:pt idx="65">
                  <c:v>3.71773844364007E-6</c:v>
                </c:pt>
                <c:pt idx="66">
                  <c:v>3.5487790927112499E-6</c:v>
                </c:pt>
                <c:pt idx="67">
                  <c:v>3.4755581605340501E-6</c:v>
                </c:pt>
                <c:pt idx="68">
                  <c:v>3.7219035854969302E-6</c:v>
                </c:pt>
                <c:pt idx="69">
                  <c:v>3.3750447311131098E-6</c:v>
                </c:pt>
                <c:pt idx="70">
                  <c:v>3.6336419464077402E-6</c:v>
                </c:pt>
                <c:pt idx="71">
                  <c:v>3.2673399090197899E-6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7E-4FD0-B6AE-044166C32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Std Envelope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Tau vs p90</a:t>
            </a:r>
            <a:r>
              <a:rPr lang="en-US" baseline="0"/>
              <a:t> </a:t>
            </a:r>
            <a:r>
              <a:rPr lang="en-US"/>
              <a:t>Env</a:t>
            </a:r>
          </a:p>
        </c:rich>
      </c:tx>
      <c:layout>
        <c:manualLayout>
          <c:xMode val="edge"/>
          <c:yMode val="edge"/>
          <c:x val="0.1603216496731722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633982069649052"/>
                  <c:y val="-6.01844561096529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'2022'!$H$2:$H$73</c:f>
              <c:numCache>
                <c:formatCode>0.00E+00</c:formatCode>
                <c:ptCount val="72"/>
                <c:pt idx="0">
                  <c:v>4.3708831521806497E-5</c:v>
                </c:pt>
                <c:pt idx="1">
                  <c:v>4.6050444005698603E-5</c:v>
                </c:pt>
                <c:pt idx="2">
                  <c:v>4.6050444005698603E-5</c:v>
                </c:pt>
                <c:pt idx="3">
                  <c:v>4.5058830785134E-5</c:v>
                </c:pt>
                <c:pt idx="4">
                  <c:v>4.1829585992807001E-5</c:v>
                </c:pt>
                <c:pt idx="5">
                  <c:v>4.1829585992807001E-5</c:v>
                </c:pt>
                <c:pt idx="6">
                  <c:v>4.26901582793384E-5</c:v>
                </c:pt>
                <c:pt idx="7">
                  <c:v>4.1114845598501999E-5</c:v>
                </c:pt>
                <c:pt idx="8">
                  <c:v>4.1114845598501999E-5</c:v>
                </c:pt>
                <c:pt idx="9">
                  <c:v>3.66452972363121E-5</c:v>
                </c:pt>
                <c:pt idx="10">
                  <c:v>3.66452972363121E-5</c:v>
                </c:pt>
                <c:pt idx="11">
                  <c:v>3.66452972363121E-5</c:v>
                </c:pt>
                <c:pt idx="12">
                  <c:v>3.6304853892261698E-5</c:v>
                </c:pt>
                <c:pt idx="13">
                  <c:v>3.6322904270023501E-5</c:v>
                </c:pt>
                <c:pt idx="14">
                  <c:v>3.6322904270023501E-5</c:v>
                </c:pt>
                <c:pt idx="15">
                  <c:v>3.6322904270023501E-5</c:v>
                </c:pt>
                <c:pt idx="16">
                  <c:v>3.7138764305904301E-5</c:v>
                </c:pt>
                <c:pt idx="17">
                  <c:v>5.0038441847709202E-5</c:v>
                </c:pt>
                <c:pt idx="18">
                  <c:v>5.0038441847709202E-5</c:v>
                </c:pt>
                <c:pt idx="19">
                  <c:v>4.9396209510195399E-5</c:v>
                </c:pt>
                <c:pt idx="20">
                  <c:v>4.8845439035860798E-5</c:v>
                </c:pt>
                <c:pt idx="21">
                  <c:v>4.8845439035860798E-5</c:v>
                </c:pt>
                <c:pt idx="22">
                  <c:v>4.7990223613642102E-5</c:v>
                </c:pt>
                <c:pt idx="23">
                  <c:v>4.7990223613642102E-5</c:v>
                </c:pt>
                <c:pt idx="24">
                  <c:v>4.87254193614906E-5</c:v>
                </c:pt>
                <c:pt idx="25">
                  <c:v>4.87254193614906E-5</c:v>
                </c:pt>
                <c:pt idx="26">
                  <c:v>4.87254193614906E-5</c:v>
                </c:pt>
                <c:pt idx="27">
                  <c:v>4.9065792695487503E-5</c:v>
                </c:pt>
                <c:pt idx="28">
                  <c:v>4.9065792695487503E-5</c:v>
                </c:pt>
                <c:pt idx="29">
                  <c:v>4.9065792695487503E-5</c:v>
                </c:pt>
                <c:pt idx="30">
                  <c:v>5.0233863159396597E-5</c:v>
                </c:pt>
                <c:pt idx="31">
                  <c:v>5.0233863159396597E-5</c:v>
                </c:pt>
                <c:pt idx="32">
                  <c:v>5.0233863159396597E-5</c:v>
                </c:pt>
                <c:pt idx="33">
                  <c:v>5.89223528593316E-5</c:v>
                </c:pt>
                <c:pt idx="34">
                  <c:v>5.89223528593316E-5</c:v>
                </c:pt>
                <c:pt idx="35">
                  <c:v>5.89223528593316E-5</c:v>
                </c:pt>
                <c:pt idx="36">
                  <c:v>5.9122213606478901E-5</c:v>
                </c:pt>
                <c:pt idx="37">
                  <c:v>5.9122213606478901E-5</c:v>
                </c:pt>
                <c:pt idx="38">
                  <c:v>5.9122213606478901E-5</c:v>
                </c:pt>
                <c:pt idx="39">
                  <c:v>5.9122213606478901E-5</c:v>
                </c:pt>
                <c:pt idx="40">
                  <c:v>6.34588788355474E-5</c:v>
                </c:pt>
                <c:pt idx="41">
                  <c:v>6.34588788355474E-5</c:v>
                </c:pt>
                <c:pt idx="42">
                  <c:v>6.34588788355474E-5</c:v>
                </c:pt>
                <c:pt idx="43">
                  <c:v>6.34588788355474E-5</c:v>
                </c:pt>
                <c:pt idx="44">
                  <c:v>6.0114035752263801E-5</c:v>
                </c:pt>
                <c:pt idx="45">
                  <c:v>6.0114035752263801E-5</c:v>
                </c:pt>
                <c:pt idx="46">
                  <c:v>6.0114035752263801E-5</c:v>
                </c:pt>
                <c:pt idx="47">
                  <c:v>7.3497730052658901E-5</c:v>
                </c:pt>
                <c:pt idx="48">
                  <c:v>7.3497730052658901E-5</c:v>
                </c:pt>
                <c:pt idx="49">
                  <c:v>7.3497730052658901E-5</c:v>
                </c:pt>
                <c:pt idx="50">
                  <c:v>7.6029249562474093E-5</c:v>
                </c:pt>
                <c:pt idx="51">
                  <c:v>6.6813993718852903E-5</c:v>
                </c:pt>
                <c:pt idx="52">
                  <c:v>6.6813993718852903E-5</c:v>
                </c:pt>
                <c:pt idx="53">
                  <c:v>6.6813993718852903E-5</c:v>
                </c:pt>
                <c:pt idx="54">
                  <c:v>6.6813993718852903E-5</c:v>
                </c:pt>
                <c:pt idx="55">
                  <c:v>6.4020704572792999E-5</c:v>
                </c:pt>
                <c:pt idx="56">
                  <c:v>6.4020704572792999E-5</c:v>
                </c:pt>
                <c:pt idx="57">
                  <c:v>6.4020704572792999E-5</c:v>
                </c:pt>
                <c:pt idx="58">
                  <c:v>6.4020704572792999E-5</c:v>
                </c:pt>
                <c:pt idx="59">
                  <c:v>6.4020704572792999E-5</c:v>
                </c:pt>
                <c:pt idx="60">
                  <c:v>5.5067477439803397E-5</c:v>
                </c:pt>
                <c:pt idx="61">
                  <c:v>5.5067477439803397E-5</c:v>
                </c:pt>
                <c:pt idx="62">
                  <c:v>5.5067477439803397E-5</c:v>
                </c:pt>
                <c:pt idx="63">
                  <c:v>6.0571709100652301E-5</c:v>
                </c:pt>
                <c:pt idx="64">
                  <c:v>6.0571709100652301E-5</c:v>
                </c:pt>
                <c:pt idx="65">
                  <c:v>5.68150891096771E-5</c:v>
                </c:pt>
                <c:pt idx="66">
                  <c:v>5.68150891096771E-5</c:v>
                </c:pt>
                <c:pt idx="67">
                  <c:v>5.68150891096771E-5</c:v>
                </c:pt>
                <c:pt idx="68">
                  <c:v>5.68150891096771E-5</c:v>
                </c:pt>
                <c:pt idx="69">
                  <c:v>4.9690548003291298E-5</c:v>
                </c:pt>
                <c:pt idx="70">
                  <c:v>4.9690548003291298E-5</c:v>
                </c:pt>
                <c:pt idx="71">
                  <c:v>4.9690548003291298E-5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45-4012-BBB0-C793493E3514}"/>
            </c:ext>
          </c:extLst>
        </c:ser>
        <c:ser>
          <c:idx val="1"/>
          <c:order val="1"/>
          <c:tx>
            <c:strRef>
              <c:f>'2022'!$M$1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260470634169784E-2"/>
                  <c:y val="-0.103956692913385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'2022'!$M$2:$M$73</c:f>
              <c:numCache>
                <c:formatCode>0.000</c:formatCode>
                <c:ptCount val="7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  <c:pt idx="42">
                  <c:v>0.49915680200000001</c:v>
                </c:pt>
                <c:pt idx="43">
                  <c:v>0.49914797100000002</c:v>
                </c:pt>
                <c:pt idx="44">
                  <c:v>0.52486338700000001</c:v>
                </c:pt>
                <c:pt idx="45">
                  <c:v>0.52520419200000001</c:v>
                </c:pt>
                <c:pt idx="46">
                  <c:v>0.52533704299999995</c:v>
                </c:pt>
                <c:pt idx="47">
                  <c:v>0.55257187399999996</c:v>
                </c:pt>
                <c:pt idx="48">
                  <c:v>0.55245182299999995</c:v>
                </c:pt>
                <c:pt idx="49">
                  <c:v>0.55237219900000001</c:v>
                </c:pt>
                <c:pt idx="50">
                  <c:v>0.54938555099999997</c:v>
                </c:pt>
                <c:pt idx="51">
                  <c:v>0.51508288599999996</c:v>
                </c:pt>
                <c:pt idx="52">
                  <c:v>0.51541952400000002</c:v>
                </c:pt>
                <c:pt idx="53">
                  <c:v>0.51544472600000002</c:v>
                </c:pt>
                <c:pt idx="54">
                  <c:v>0.51558875699999995</c:v>
                </c:pt>
                <c:pt idx="55">
                  <c:v>0.50856278099999996</c:v>
                </c:pt>
                <c:pt idx="56">
                  <c:v>0.50843840100000004</c:v>
                </c:pt>
                <c:pt idx="57">
                  <c:v>0.50887982099999995</c:v>
                </c:pt>
                <c:pt idx="58">
                  <c:v>0.50812411000000002</c:v>
                </c:pt>
                <c:pt idx="59">
                  <c:v>0.50799645199999999</c:v>
                </c:pt>
                <c:pt idx="60">
                  <c:v>0.46634219700000001</c:v>
                </c:pt>
                <c:pt idx="61">
                  <c:v>0.466682659</c:v>
                </c:pt>
                <c:pt idx="62">
                  <c:v>0.466067024</c:v>
                </c:pt>
                <c:pt idx="63">
                  <c:v>0.463531586</c:v>
                </c:pt>
                <c:pt idx="64">
                  <c:v>0.46331149900000002</c:v>
                </c:pt>
                <c:pt idx="65">
                  <c:v>0.48003155600000003</c:v>
                </c:pt>
                <c:pt idx="66">
                  <c:v>0.47985961599999999</c:v>
                </c:pt>
                <c:pt idx="67">
                  <c:v>0.48004079900000002</c:v>
                </c:pt>
                <c:pt idx="68">
                  <c:v>0.48004130900000003</c:v>
                </c:pt>
                <c:pt idx="69">
                  <c:v>0.47932750400000002</c:v>
                </c:pt>
                <c:pt idx="70">
                  <c:v>0.47950638200000001</c:v>
                </c:pt>
                <c:pt idx="71">
                  <c:v>0.47922689899999998</c:v>
                </c:pt>
              </c:numCache>
            </c:numRef>
          </c:xVal>
          <c:yVal>
            <c:numRef>
              <c:f>'2022'!$S$2:$S$73</c:f>
              <c:numCache>
                <c:formatCode>0.00E+00</c:formatCode>
                <c:ptCount val="72"/>
                <c:pt idx="0">
                  <c:v>1.06521393803849E-5</c:v>
                </c:pt>
                <c:pt idx="1">
                  <c:v>1.0874419966700901E-5</c:v>
                </c:pt>
                <c:pt idx="2">
                  <c:v>1.08202518908512E-5</c:v>
                </c:pt>
                <c:pt idx="3">
                  <c:v>1.0755398477605001E-5</c:v>
                </c:pt>
                <c:pt idx="4">
                  <c:v>1.0618618108262599E-5</c:v>
                </c:pt>
                <c:pt idx="5">
                  <c:v>1.0702076824346699E-5</c:v>
                </c:pt>
                <c:pt idx="6">
                  <c:v>1.06521393803849E-5</c:v>
                </c:pt>
                <c:pt idx="7">
                  <c:v>1.0618618108262599E-5</c:v>
                </c:pt>
                <c:pt idx="8">
                  <c:v>1.0702076824346699E-5</c:v>
                </c:pt>
                <c:pt idx="9">
                  <c:v>1.06416508053476E-5</c:v>
                </c:pt>
                <c:pt idx="10">
                  <c:v>1.13986641178721E-5</c:v>
                </c:pt>
                <c:pt idx="11">
                  <c:v>1.08923624478385E-5</c:v>
                </c:pt>
                <c:pt idx="12">
                  <c:v>1.10221899136588E-5</c:v>
                </c:pt>
                <c:pt idx="13">
                  <c:v>1.12088936763614E-5</c:v>
                </c:pt>
                <c:pt idx="14">
                  <c:v>1.08086765231345E-5</c:v>
                </c:pt>
                <c:pt idx="15">
                  <c:v>1.12068702640427E-5</c:v>
                </c:pt>
                <c:pt idx="16">
                  <c:v>1.06521393803849E-5</c:v>
                </c:pt>
                <c:pt idx="17">
                  <c:v>1.1384354571005901E-5</c:v>
                </c:pt>
                <c:pt idx="18">
                  <c:v>1.0981441946152601E-5</c:v>
                </c:pt>
                <c:pt idx="19">
                  <c:v>1.08269088747622E-5</c:v>
                </c:pt>
                <c:pt idx="20">
                  <c:v>1.12321934967361E-5</c:v>
                </c:pt>
                <c:pt idx="21">
                  <c:v>1.15471445282842E-5</c:v>
                </c:pt>
                <c:pt idx="22">
                  <c:v>1.10762150923902E-5</c:v>
                </c:pt>
                <c:pt idx="23">
                  <c:v>1.10597358583211E-5</c:v>
                </c:pt>
                <c:pt idx="24">
                  <c:v>1.1045219900448801E-5</c:v>
                </c:pt>
                <c:pt idx="25">
                  <c:v>1.0905749510822699E-5</c:v>
                </c:pt>
                <c:pt idx="26">
                  <c:v>1.07649017670494E-5</c:v>
                </c:pt>
                <c:pt idx="27">
                  <c:v>1.10042654567884E-5</c:v>
                </c:pt>
                <c:pt idx="28">
                  <c:v>1.11459675039645E-5</c:v>
                </c:pt>
                <c:pt idx="29">
                  <c:v>1.0665111586541701E-5</c:v>
                </c:pt>
                <c:pt idx="30">
                  <c:v>1.0898890797579401E-5</c:v>
                </c:pt>
                <c:pt idx="31">
                  <c:v>1.0273686073618699E-5</c:v>
                </c:pt>
                <c:pt idx="32">
                  <c:v>1.17284069219309E-5</c:v>
                </c:pt>
                <c:pt idx="33">
                  <c:v>1.08429184413934E-5</c:v>
                </c:pt>
                <c:pt idx="34">
                  <c:v>1.07775470743304E-5</c:v>
                </c:pt>
                <c:pt idx="35">
                  <c:v>1.16342846821548E-5</c:v>
                </c:pt>
                <c:pt idx="36">
                  <c:v>1.1069114409014801E-5</c:v>
                </c:pt>
                <c:pt idx="37">
                  <c:v>1.14863034124645E-5</c:v>
                </c:pt>
                <c:pt idx="38">
                  <c:v>1.1180749721379E-5</c:v>
                </c:pt>
                <c:pt idx="39">
                  <c:v>1.08924131853782E-5</c:v>
                </c:pt>
                <c:pt idx="40">
                  <c:v>1.17638003472206E-5</c:v>
                </c:pt>
                <c:pt idx="41">
                  <c:v>1.0654177794495601E-5</c:v>
                </c:pt>
                <c:pt idx="42">
                  <c:v>1.1608644957148301E-5</c:v>
                </c:pt>
                <c:pt idx="43">
                  <c:v>1.10883050931786E-5</c:v>
                </c:pt>
                <c:pt idx="44">
                  <c:v>1.14839828037769E-5</c:v>
                </c:pt>
                <c:pt idx="45">
                  <c:v>1.14075044295072E-5</c:v>
                </c:pt>
                <c:pt idx="46">
                  <c:v>9.68038905101397E-6</c:v>
                </c:pt>
                <c:pt idx="47">
                  <c:v>1.0487936683659601E-5</c:v>
                </c:pt>
                <c:pt idx="48">
                  <c:v>1.08690273585496E-5</c:v>
                </c:pt>
                <c:pt idx="49">
                  <c:v>1.06443247448525E-5</c:v>
                </c:pt>
                <c:pt idx="50">
                  <c:v>1.0912234052707801E-5</c:v>
                </c:pt>
                <c:pt idx="51">
                  <c:v>1.1017003113986601E-5</c:v>
                </c:pt>
                <c:pt idx="52">
                  <c:v>1.09227369580291E-5</c:v>
                </c:pt>
                <c:pt idx="53">
                  <c:v>1.09480887927788E-5</c:v>
                </c:pt>
                <c:pt idx="54">
                  <c:v>1.1286811890617101E-5</c:v>
                </c:pt>
                <c:pt idx="55">
                  <c:v>1.11242796773165E-5</c:v>
                </c:pt>
                <c:pt idx="56">
                  <c:v>1.09086746141747E-5</c:v>
                </c:pt>
                <c:pt idx="57">
                  <c:v>1.0837646979565901E-5</c:v>
                </c:pt>
                <c:pt idx="58">
                  <c:v>1.09089152351565E-5</c:v>
                </c:pt>
                <c:pt idx="59">
                  <c:v>1.08559464891375E-5</c:v>
                </c:pt>
                <c:pt idx="60">
                  <c:v>1.08211190995866E-5</c:v>
                </c:pt>
                <c:pt idx="61">
                  <c:v>1.13986641178721E-5</c:v>
                </c:pt>
                <c:pt idx="62">
                  <c:v>1.102338608946E-5</c:v>
                </c:pt>
                <c:pt idx="63">
                  <c:v>1.08786293531532E-5</c:v>
                </c:pt>
                <c:pt idx="64">
                  <c:v>1.1058613249488999E-5</c:v>
                </c:pt>
                <c:pt idx="65">
                  <c:v>1.08023663040844E-5</c:v>
                </c:pt>
                <c:pt idx="66">
                  <c:v>1.09726989353935E-5</c:v>
                </c:pt>
                <c:pt idx="67">
                  <c:v>1.07974899707997E-5</c:v>
                </c:pt>
                <c:pt idx="68">
                  <c:v>1.1177824685613799E-5</c:v>
                </c:pt>
                <c:pt idx="69">
                  <c:v>1.0617136005375001E-5</c:v>
                </c:pt>
                <c:pt idx="70">
                  <c:v>1.11847112317197E-5</c:v>
                </c:pt>
                <c:pt idx="71">
                  <c:v>1.02218323825147E-5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45-4012-BBB0-C793493E3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4336"/>
        <c:axId val="1393747696"/>
      </c:scatterChart>
      <c:valAx>
        <c:axId val="1393744336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</a:t>
                </a:r>
                <a:r>
                  <a:rPr lang="en-US" baseline="0"/>
                  <a:t>r Stress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7696"/>
        <c:crosses val="autoZero"/>
        <c:crossBetween val="midCat"/>
      </c:valAx>
      <c:valAx>
        <c:axId val="13937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Std Envelope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4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Matched Tau (Cal vs Match)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2282808398950131E-2"/>
                  <c:y val="3.19907407407407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'2022'!$B$2:$B$22</c:f>
              <c:numCache>
                <c:formatCode>0.000</c:formatCode>
                <c:ptCount val="21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</c:numCache>
            </c:numRef>
          </c:xVal>
          <c:yVal>
            <c:numRef>
              <c:f>'2022'!$M$2:$M$43</c:f>
              <c:numCache>
                <c:formatCode>0.000</c:formatCode>
                <c:ptCount val="42"/>
                <c:pt idx="0">
                  <c:v>0.36900434300000001</c:v>
                </c:pt>
                <c:pt idx="1">
                  <c:v>0.35717122499999998</c:v>
                </c:pt>
                <c:pt idx="2">
                  <c:v>0.35787883599999998</c:v>
                </c:pt>
                <c:pt idx="3">
                  <c:v>0.34212576900000002</c:v>
                </c:pt>
                <c:pt idx="4">
                  <c:v>0.36361488800000002</c:v>
                </c:pt>
                <c:pt idx="5">
                  <c:v>0.36405791500000001</c:v>
                </c:pt>
                <c:pt idx="6">
                  <c:v>0.36900434300000001</c:v>
                </c:pt>
                <c:pt idx="7">
                  <c:v>0.36361488800000002</c:v>
                </c:pt>
                <c:pt idx="8">
                  <c:v>0.36405791500000001</c:v>
                </c:pt>
                <c:pt idx="9">
                  <c:v>0.46691834300000001</c:v>
                </c:pt>
                <c:pt idx="10">
                  <c:v>0.466682659</c:v>
                </c:pt>
                <c:pt idx="11">
                  <c:v>0.46737427999999998</c:v>
                </c:pt>
                <c:pt idx="12">
                  <c:v>0.396084306</c:v>
                </c:pt>
                <c:pt idx="13">
                  <c:v>0.43650973599999998</c:v>
                </c:pt>
                <c:pt idx="14">
                  <c:v>0.43665774000000002</c:v>
                </c:pt>
                <c:pt idx="15">
                  <c:v>0.43618821200000002</c:v>
                </c:pt>
                <c:pt idx="16">
                  <c:v>0.36900434300000001</c:v>
                </c:pt>
                <c:pt idx="17">
                  <c:v>0.41177170499999999</c:v>
                </c:pt>
                <c:pt idx="18">
                  <c:v>0.41160944500000002</c:v>
                </c:pt>
                <c:pt idx="19">
                  <c:v>0.384912586</c:v>
                </c:pt>
                <c:pt idx="20">
                  <c:v>0.42966817299999999</c:v>
                </c:pt>
                <c:pt idx="21">
                  <c:v>0.42922103099999998</c:v>
                </c:pt>
                <c:pt idx="22">
                  <c:v>0.41310868099999998</c:v>
                </c:pt>
                <c:pt idx="23">
                  <c:v>0.41303403500000002</c:v>
                </c:pt>
                <c:pt idx="24">
                  <c:v>0.452999928</c:v>
                </c:pt>
                <c:pt idx="25">
                  <c:v>0.45331579399999999</c:v>
                </c:pt>
                <c:pt idx="26">
                  <c:v>0.45348789900000003</c:v>
                </c:pt>
                <c:pt idx="27">
                  <c:v>0.45756461799999998</c:v>
                </c:pt>
                <c:pt idx="28">
                  <c:v>0.457100281</c:v>
                </c:pt>
                <c:pt idx="29">
                  <c:v>0.457856814</c:v>
                </c:pt>
                <c:pt idx="30">
                  <c:v>0.49077843599999998</c:v>
                </c:pt>
                <c:pt idx="31">
                  <c:v>0.49063866900000003</c:v>
                </c:pt>
                <c:pt idx="32">
                  <c:v>0.49107450000000002</c:v>
                </c:pt>
                <c:pt idx="33">
                  <c:v>0.46243681399999997</c:v>
                </c:pt>
                <c:pt idx="34">
                  <c:v>0.46315093400000001</c:v>
                </c:pt>
                <c:pt idx="35">
                  <c:v>0.46218569100000001</c:v>
                </c:pt>
                <c:pt idx="36">
                  <c:v>0.51070743600000001</c:v>
                </c:pt>
                <c:pt idx="37">
                  <c:v>0.51048112000000001</c:v>
                </c:pt>
                <c:pt idx="38">
                  <c:v>0.51096847400000001</c:v>
                </c:pt>
                <c:pt idx="39">
                  <c:v>0.51099338100000002</c:v>
                </c:pt>
                <c:pt idx="40">
                  <c:v>0.49938245199999998</c:v>
                </c:pt>
                <c:pt idx="41">
                  <c:v>0.49932583800000002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CC-4C51-9BEE-9BF527EB4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130175"/>
        <c:axId val="627169535"/>
      </c:scatterChart>
      <c:valAx>
        <c:axId val="627130175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69535"/>
        <c:crosses val="autoZero"/>
        <c:crossBetween val="midCat"/>
      </c:valAx>
      <c:valAx>
        <c:axId val="627169535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3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'2022'!$AI$2</c:f>
              <c:strCache>
                <c:ptCount val="1"/>
                <c:pt idx="0">
                  <c:v>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7790901137358"/>
                  <c:y val="-7.0706766570306761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'2022'!$AI$3:$AI$73</c:f>
              <c:numCache>
                <c:formatCode>0.00</c:formatCode>
                <c:ptCount val="71"/>
                <c:pt idx="0">
                  <c:v>4.8649654453595979</c:v>
                </c:pt>
                <c:pt idx="1">
                  <c:v>4.7492467333480022</c:v>
                </c:pt>
                <c:pt idx="2">
                  <c:v>4.7614046579397051</c:v>
                </c:pt>
                <c:pt idx="3">
                  <c:v>4.7257519033551745</c:v>
                </c:pt>
                <c:pt idx="4">
                  <c:v>4.5391770292976679</c:v>
                </c:pt>
                <c:pt idx="5">
                  <c:v>4.4676227484479707</c:v>
                </c:pt>
                <c:pt idx="6">
                  <c:v>4.3092992728730977</c:v>
                </c:pt>
                <c:pt idx="7">
                  <c:v>4.4666190232525151</c:v>
                </c:pt>
                <c:pt idx="8">
                  <c:v>4.3962085259364718</c:v>
                </c:pt>
                <c:pt idx="9">
                  <c:v>3.6797755248946937</c:v>
                </c:pt>
                <c:pt idx="10">
                  <c:v>3.4678333889732302</c:v>
                </c:pt>
                <c:pt idx="11">
                  <c:v>3.6011080750419677</c:v>
                </c:pt>
                <c:pt idx="12">
                  <c:v>3.6486080650148023</c:v>
                </c:pt>
                <c:pt idx="13">
                  <c:v>4.0377107249091697</c:v>
                </c:pt>
                <c:pt idx="14">
                  <c:v>4.1321030587808458</c:v>
                </c:pt>
                <c:pt idx="15">
                  <c:v>4.0226424273565096</c:v>
                </c:pt>
                <c:pt idx="16">
                  <c:v>4.0458000879943885</c:v>
                </c:pt>
                <c:pt idx="17">
                  <c:v>4.8901062077360038</c:v>
                </c:pt>
                <c:pt idx="18">
                  <c:v>5.095948758825628</c:v>
                </c:pt>
                <c:pt idx="19">
                  <c:v>4.930748218643271</c:v>
                </c:pt>
                <c:pt idx="20">
                  <c:v>4.8785317954585627</c:v>
                </c:pt>
                <c:pt idx="21">
                  <c:v>4.7977501911909881</c:v>
                </c:pt>
                <c:pt idx="22">
                  <c:v>4.9491770404395989</c:v>
                </c:pt>
                <c:pt idx="23">
                  <c:v>4.9734125970149883</c:v>
                </c:pt>
                <c:pt idx="24">
                  <c:v>4.7637645420882793</c:v>
                </c:pt>
                <c:pt idx="25">
                  <c:v>4.8410594224829504</c:v>
                </c:pt>
                <c:pt idx="26">
                  <c:v>4.8722391749565714</c:v>
                </c:pt>
                <c:pt idx="27">
                  <c:v>4.7553621629511209</c:v>
                </c:pt>
                <c:pt idx="28">
                  <c:v>4.7062310305421455</c:v>
                </c:pt>
                <c:pt idx="29">
                  <c:v>4.9274421399307666</c:v>
                </c:pt>
                <c:pt idx="30">
                  <c:v>4.8821343022013259</c:v>
                </c:pt>
                <c:pt idx="31">
                  <c:v>5.1792055546953595</c:v>
                </c:pt>
                <c:pt idx="32">
                  <c:v>4.5525582849246202</c:v>
                </c:pt>
                <c:pt idx="33">
                  <c:v>5.7546708431948117</c:v>
                </c:pt>
                <c:pt idx="34">
                  <c:v>5.8396157413240983</c:v>
                </c:pt>
                <c:pt idx="35">
                  <c:v>5.3659376601835449</c:v>
                </c:pt>
                <c:pt idx="36">
                  <c:v>5.7623471019393442</c:v>
                </c:pt>
                <c:pt idx="37">
                  <c:v>5.5116144473611852</c:v>
                </c:pt>
                <c:pt idx="38">
                  <c:v>5.6056148249524353</c:v>
                </c:pt>
                <c:pt idx="39">
                  <c:v>5.8251509054658177</c:v>
                </c:pt>
                <c:pt idx="40">
                  <c:v>5.8790285807002114</c:v>
                </c:pt>
                <c:pt idx="41">
                  <c:v>6.5536789687618269</c:v>
                </c:pt>
                <c:pt idx="42">
                  <c:v>5.9677743934408847</c:v>
                </c:pt>
                <c:pt idx="43">
                  <c:v>6.17383363649627</c:v>
                </c:pt>
                <c:pt idx="44">
                  <c:v>5.9423985868670579</c:v>
                </c:pt>
                <c:pt idx="45">
                  <c:v>5.9721411892113352</c:v>
                </c:pt>
                <c:pt idx="46">
                  <c:v>7.0017917044973013</c:v>
                </c:pt>
                <c:pt idx="47">
                  <c:v>7.7223689968749074</c:v>
                </c:pt>
                <c:pt idx="48">
                  <c:v>7.3365323245364999</c:v>
                </c:pt>
                <c:pt idx="49">
                  <c:v>7.52310455694463</c:v>
                </c:pt>
                <c:pt idx="50">
                  <c:v>7.7590149237620887</c:v>
                </c:pt>
                <c:pt idx="51">
                  <c:v>6.6390192493776574</c:v>
                </c:pt>
                <c:pt idx="52">
                  <c:v>6.6042709660664407</c:v>
                </c:pt>
                <c:pt idx="53">
                  <c:v>6.6492446824161089</c:v>
                </c:pt>
                <c:pt idx="54">
                  <c:v>6.4820947289050563</c:v>
                </c:pt>
                <c:pt idx="55">
                  <c:v>6.267977982204223</c:v>
                </c:pt>
                <c:pt idx="56">
                  <c:v>6.3247431303243058</c:v>
                </c:pt>
                <c:pt idx="57">
                  <c:v>6.3511902653130381</c:v>
                </c:pt>
                <c:pt idx="58">
                  <c:v>6.3969010757461486</c:v>
                </c:pt>
                <c:pt idx="59">
                  <c:v>6.3967197935359152</c:v>
                </c:pt>
                <c:pt idx="60">
                  <c:v>5.6816630943120492</c:v>
                </c:pt>
                <c:pt idx="61">
                  <c:v>5.4681270319595017</c:v>
                </c:pt>
                <c:pt idx="62">
                  <c:v>5.6109970232239785</c:v>
                </c:pt>
                <c:pt idx="63">
                  <c:v>6.6879333688111346</c:v>
                </c:pt>
                <c:pt idx="64">
                  <c:v>6.5748699164539861</c:v>
                </c:pt>
                <c:pt idx="65">
                  <c:v>5.9828193589143144</c:v>
                </c:pt>
                <c:pt idx="66">
                  <c:v>5.9123676584604965</c:v>
                </c:pt>
                <c:pt idx="67">
                  <c:v>6.0464676416230887</c:v>
                </c:pt>
                <c:pt idx="68">
                  <c:v>5.8310763314044838</c:v>
                </c:pt>
                <c:pt idx="69">
                  <c:v>5.3217904076696181</c:v>
                </c:pt>
                <c:pt idx="70">
                  <c:v>5.0324529190238163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4C-4DF8-B888-285983F921C2}"/>
            </c:ext>
          </c:extLst>
        </c:ser>
        <c:ser>
          <c:idx val="1"/>
          <c:order val="1"/>
          <c:tx>
            <c:strRef>
              <c:f>'2022'!$D$1</c:f>
              <c:strCache>
                <c:ptCount val="1"/>
                <c:pt idx="0">
                  <c:v>maa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7001312335958"/>
                  <c:y val="4.0546293979977437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'2022'!$AJ$3:$AJ$73</c:f>
              <c:numCache>
                <c:formatCode>0.00</c:formatCode>
                <c:ptCount val="71"/>
                <c:pt idx="0">
                  <c:v>3.7101646032174225</c:v>
                </c:pt>
                <c:pt idx="1">
                  <c:v>3.8065107019357241</c:v>
                </c:pt>
                <c:pt idx="2">
                  <c:v>3.8264734565961387</c:v>
                </c:pt>
                <c:pt idx="3">
                  <c:v>3.7648911986911773</c:v>
                </c:pt>
                <c:pt idx="4">
                  <c:v>3.6179671150443271</c:v>
                </c:pt>
                <c:pt idx="5">
                  <c:v>3.5627079798113712</c:v>
                </c:pt>
                <c:pt idx="6">
                  <c:v>3.5668059158019467</c:v>
                </c:pt>
                <c:pt idx="7">
                  <c:v>3.5060722129445727</c:v>
                </c:pt>
                <c:pt idx="8">
                  <c:v>3.4525221080400841</c:v>
                </c:pt>
                <c:pt idx="9">
                  <c:v>3.0581487023385474</c:v>
                </c:pt>
                <c:pt idx="10">
                  <c:v>2.8684893955518462</c:v>
                </c:pt>
                <c:pt idx="11">
                  <c:v>2.9842002838835264</c:v>
                </c:pt>
                <c:pt idx="12">
                  <c:v>2.8850246718942398</c:v>
                </c:pt>
                <c:pt idx="13">
                  <c:v>2.9163004727139339</c:v>
                </c:pt>
                <c:pt idx="14">
                  <c:v>3.0198029076027839</c:v>
                </c:pt>
                <c:pt idx="15">
                  <c:v>2.952228365388438</c:v>
                </c:pt>
                <c:pt idx="16">
                  <c:v>3.0950466592041015</c:v>
                </c:pt>
                <c:pt idx="17">
                  <c:v>3.9859643568173873</c:v>
                </c:pt>
                <c:pt idx="18">
                  <c:v>4.0809994870617317</c:v>
                </c:pt>
                <c:pt idx="19">
                  <c:v>4.0955416053372673</c:v>
                </c:pt>
                <c:pt idx="20">
                  <c:v>3.9849250054130221</c:v>
                </c:pt>
                <c:pt idx="21">
                  <c:v>3.8937738200382377</c:v>
                </c:pt>
                <c:pt idx="22">
                  <c:v>3.9598616088195793</c:v>
                </c:pt>
                <c:pt idx="23">
                  <c:v>3.9762411896126157</c:v>
                </c:pt>
                <c:pt idx="24">
                  <c:v>3.9786620149246961</c:v>
                </c:pt>
                <c:pt idx="25">
                  <c:v>4.0346962606310859</c:v>
                </c:pt>
                <c:pt idx="26">
                  <c:v>4.0775613624920197</c:v>
                </c:pt>
                <c:pt idx="27">
                  <c:v>3.9616733567915698</c:v>
                </c:pt>
                <c:pt idx="28">
                  <c:v>3.9305507042549701</c:v>
                </c:pt>
                <c:pt idx="29">
                  <c:v>4.1096577340110887</c:v>
                </c:pt>
                <c:pt idx="30">
                  <c:v>4.0719683658793677</c:v>
                </c:pt>
                <c:pt idx="31">
                  <c:v>4.3456697919556682</c:v>
                </c:pt>
                <c:pt idx="32">
                  <c:v>3.7981316632753899</c:v>
                </c:pt>
                <c:pt idx="33">
                  <c:v>4.763544547194817</c:v>
                </c:pt>
                <c:pt idx="34">
                  <c:v>4.7961406258211321</c:v>
                </c:pt>
                <c:pt idx="35">
                  <c:v>4.4745957463163721</c:v>
                </c:pt>
                <c:pt idx="36">
                  <c:v>4.8153318013828912</c:v>
                </c:pt>
                <c:pt idx="37">
                  <c:v>4.6389007584692594</c:v>
                </c:pt>
                <c:pt idx="38">
                  <c:v>4.7409354101405157</c:v>
                </c:pt>
                <c:pt idx="39">
                  <c:v>4.8637320870681018</c:v>
                </c:pt>
                <c:pt idx="40">
                  <c:v>4.7765268326527082</c:v>
                </c:pt>
                <c:pt idx="41">
                  <c:v>5.2359203349326764</c:v>
                </c:pt>
                <c:pt idx="42">
                  <c:v>4.8809075967950619</c:v>
                </c:pt>
                <c:pt idx="43">
                  <c:v>5.0410084363295562</c:v>
                </c:pt>
                <c:pt idx="44">
                  <c:v>4.6169287898684868</c:v>
                </c:pt>
                <c:pt idx="45">
                  <c:v>4.6503246506174509</c:v>
                </c:pt>
                <c:pt idx="46">
                  <c:v>5.4612806648931063</c:v>
                </c:pt>
                <c:pt idx="47">
                  <c:v>6.1296787219532805</c:v>
                </c:pt>
                <c:pt idx="48">
                  <c:v>5.9101649566946239</c:v>
                </c:pt>
                <c:pt idx="49">
                  <c:v>6.0649120959265836</c:v>
                </c:pt>
                <c:pt idx="50">
                  <c:v>6.051550621116375</c:v>
                </c:pt>
                <c:pt idx="51">
                  <c:v>5.264812219909536</c:v>
                </c:pt>
                <c:pt idx="52">
                  <c:v>5.3246722832712043</c:v>
                </c:pt>
                <c:pt idx="53">
                  <c:v>5.2689274478899781</c:v>
                </c:pt>
                <c:pt idx="54">
                  <c:v>5.1550879387017439</c:v>
                </c:pt>
                <c:pt idx="55">
                  <c:v>5.0175915087533225</c:v>
                </c:pt>
                <c:pt idx="56">
                  <c:v>5.0922750051319845</c:v>
                </c:pt>
                <c:pt idx="57">
                  <c:v>5.1564017921626304</c:v>
                </c:pt>
                <c:pt idx="58">
                  <c:v>5.1179855712850957</c:v>
                </c:pt>
                <c:pt idx="59">
                  <c:v>5.1313430165244593</c:v>
                </c:pt>
                <c:pt idx="60">
                  <c:v>4.3901981439831923</c:v>
                </c:pt>
                <c:pt idx="61">
                  <c:v>4.1944694438101262</c:v>
                </c:pt>
                <c:pt idx="62">
                  <c:v>4.2958074314110855</c:v>
                </c:pt>
                <c:pt idx="63">
                  <c:v>4.8646377523137385</c:v>
                </c:pt>
                <c:pt idx="64">
                  <c:v>4.8166825079418665</c:v>
                </c:pt>
                <c:pt idx="65">
                  <c:v>4.6987090875953026</c:v>
                </c:pt>
                <c:pt idx="66">
                  <c:v>4.5523713092149789</c:v>
                </c:pt>
                <c:pt idx="67">
                  <c:v>4.6604921123438832</c:v>
                </c:pt>
                <c:pt idx="68">
                  <c:v>4.539020817082343</c:v>
                </c:pt>
                <c:pt idx="69">
                  <c:v>4.1565057620492754</c:v>
                </c:pt>
                <c:pt idx="70">
                  <c:v>3.9475337114308715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4C-4DF8-B888-285983F921C2}"/>
            </c:ext>
          </c:extLst>
        </c:ser>
        <c:ser>
          <c:idx val="2"/>
          <c:order val="2"/>
          <c:tx>
            <c:strRef>
              <c:f>'2022'!$AL$2</c:f>
              <c:strCache>
                <c:ptCount val="1"/>
                <c:pt idx="0">
                  <c:v>mean_envelope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597157761650836"/>
                  <c:y val="0.153648417940670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'2022'!$AL$3:$AL$73</c:f>
              <c:numCache>
                <c:formatCode>0.00</c:formatCode>
                <c:ptCount val="71"/>
                <c:pt idx="0">
                  <c:v>3.7041993633606389</c:v>
                </c:pt>
                <c:pt idx="1">
                  <c:v>3.7981403339245405</c:v>
                </c:pt>
                <c:pt idx="2">
                  <c:v>3.8188056529986656</c:v>
                </c:pt>
                <c:pt idx="3">
                  <c:v>3.7550126128923633</c:v>
                </c:pt>
                <c:pt idx="4">
                  <c:v>3.6106199881037497</c:v>
                </c:pt>
                <c:pt idx="5">
                  <c:v>3.5571198987715076</c:v>
                </c:pt>
                <c:pt idx="6">
                  <c:v>3.5623621728377666</c:v>
                </c:pt>
                <c:pt idx="7">
                  <c:v>3.5007529611424633</c:v>
                </c:pt>
                <c:pt idx="8">
                  <c:v>3.4488808181951809</c:v>
                </c:pt>
                <c:pt idx="9">
                  <c:v>3.0576633480307409</c:v>
                </c:pt>
                <c:pt idx="10">
                  <c:v>2.8665538180589833</c:v>
                </c:pt>
                <c:pt idx="11">
                  <c:v>2.981937849084686</c:v>
                </c:pt>
                <c:pt idx="12">
                  <c:v>2.8833014847228458</c:v>
                </c:pt>
                <c:pt idx="13">
                  <c:v>2.9172107839255199</c:v>
                </c:pt>
                <c:pt idx="14">
                  <c:v>3.0174910263329084</c:v>
                </c:pt>
                <c:pt idx="15">
                  <c:v>2.9476976989148342</c:v>
                </c:pt>
                <c:pt idx="16">
                  <c:v>3.0946440793216992</c:v>
                </c:pt>
                <c:pt idx="17">
                  <c:v>3.9824954144200708</c:v>
                </c:pt>
                <c:pt idx="18">
                  <c:v>4.0766693570133414</c:v>
                </c:pt>
                <c:pt idx="19">
                  <c:v>4.0884796692866834</c:v>
                </c:pt>
                <c:pt idx="20">
                  <c:v>3.9762030431119451</c:v>
                </c:pt>
                <c:pt idx="21">
                  <c:v>3.8871625897184434</c:v>
                </c:pt>
                <c:pt idx="22">
                  <c:v>3.9514183145935031</c:v>
                </c:pt>
                <c:pt idx="23">
                  <c:v>3.9666510115320937</c:v>
                </c:pt>
                <c:pt idx="24">
                  <c:v>3.9734597289499556</c:v>
                </c:pt>
                <c:pt idx="25">
                  <c:v>4.0288965692580909</c:v>
                </c:pt>
                <c:pt idx="26">
                  <c:v>4.0702249890518143</c:v>
                </c:pt>
                <c:pt idx="27">
                  <c:v>3.953928536998089</c:v>
                </c:pt>
                <c:pt idx="28">
                  <c:v>3.9251360325703151</c:v>
                </c:pt>
                <c:pt idx="29">
                  <c:v>4.1024268095674623</c:v>
                </c:pt>
                <c:pt idx="30">
                  <c:v>4.0634122109031638</c:v>
                </c:pt>
                <c:pt idx="31">
                  <c:v>4.3373192885183336</c:v>
                </c:pt>
                <c:pt idx="32">
                  <c:v>3.7930826816456276</c:v>
                </c:pt>
                <c:pt idx="33">
                  <c:v>4.7516540576062454</c:v>
                </c:pt>
                <c:pt idx="34">
                  <c:v>4.7868751479256284</c:v>
                </c:pt>
                <c:pt idx="35">
                  <c:v>4.4667358568056814</c:v>
                </c:pt>
                <c:pt idx="36">
                  <c:v>4.8055736315605637</c:v>
                </c:pt>
                <c:pt idx="37">
                  <c:v>4.6319722155573482</c:v>
                </c:pt>
                <c:pt idx="38">
                  <c:v>4.7334285617590792</c:v>
                </c:pt>
                <c:pt idx="39">
                  <c:v>4.8548858628062108</c:v>
                </c:pt>
                <c:pt idx="40">
                  <c:v>4.7627370107641083</c:v>
                </c:pt>
                <c:pt idx="41">
                  <c:v>5.2153233742009633</c:v>
                </c:pt>
                <c:pt idx="42">
                  <c:v>4.8711170670439641</c:v>
                </c:pt>
                <c:pt idx="43">
                  <c:v>5.0253109905628879</c:v>
                </c:pt>
                <c:pt idx="44">
                  <c:v>4.6117370177322003</c:v>
                </c:pt>
                <c:pt idx="45">
                  <c:v>4.6426128109213831</c:v>
                </c:pt>
                <c:pt idx="46">
                  <c:v>5.444338265125646</c:v>
                </c:pt>
                <c:pt idx="47">
                  <c:v>6.1111500664956813</c:v>
                </c:pt>
                <c:pt idx="48">
                  <c:v>5.8908127854437868</c:v>
                </c:pt>
                <c:pt idx="49">
                  <c:v>6.0432857385071594</c:v>
                </c:pt>
                <c:pt idx="50">
                  <c:v>6.0382585504002613</c:v>
                </c:pt>
                <c:pt idx="51">
                  <c:v>5.2526300555028085</c:v>
                </c:pt>
                <c:pt idx="52">
                  <c:v>5.313394753014137</c:v>
                </c:pt>
                <c:pt idx="53">
                  <c:v>5.2564889225217728</c:v>
                </c:pt>
                <c:pt idx="54">
                  <c:v>5.1404886801481799</c:v>
                </c:pt>
                <c:pt idx="55">
                  <c:v>5.0029828187512413</c:v>
                </c:pt>
                <c:pt idx="56">
                  <c:v>5.0826833814886907</c:v>
                </c:pt>
                <c:pt idx="57">
                  <c:v>5.1461189757579415</c:v>
                </c:pt>
                <c:pt idx="58">
                  <c:v>5.1083417351334068</c:v>
                </c:pt>
                <c:pt idx="59">
                  <c:v>5.1161026065616255</c:v>
                </c:pt>
                <c:pt idx="60">
                  <c:v>4.3828433847122383</c:v>
                </c:pt>
                <c:pt idx="61">
                  <c:v>4.187316773706077</c:v>
                </c:pt>
                <c:pt idx="62">
                  <c:v>4.2883028405992585</c:v>
                </c:pt>
                <c:pt idx="63">
                  <c:v>4.8535671328881351</c:v>
                </c:pt>
                <c:pt idx="64">
                  <c:v>4.8102645774979136</c:v>
                </c:pt>
                <c:pt idx="65">
                  <c:v>4.6874913292836062</c:v>
                </c:pt>
                <c:pt idx="66">
                  <c:v>4.5440088515635484</c:v>
                </c:pt>
                <c:pt idx="67">
                  <c:v>4.6493134477097238</c:v>
                </c:pt>
                <c:pt idx="68">
                  <c:v>4.5300800548861755</c:v>
                </c:pt>
                <c:pt idx="69">
                  <c:v>4.1484885329389281</c:v>
                </c:pt>
                <c:pt idx="70">
                  <c:v>3.9446909915831849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4C-4DF8-B888-285983F92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537199"/>
        <c:axId val="1457549199"/>
      </c:scatterChart>
      <c:valAx>
        <c:axId val="1457537199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49199"/>
        <c:crosses val="autoZero"/>
        <c:crossBetween val="midCat"/>
      </c:valAx>
      <c:valAx>
        <c:axId val="14575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3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'2022'!$D$1</c:f>
              <c:strCache>
                <c:ptCount val="1"/>
                <c:pt idx="0">
                  <c:v>maa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67001312335958"/>
                  <c:y val="4.0546293979977437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'2022'!$AJ$3:$AJ$73</c:f>
              <c:numCache>
                <c:formatCode>0.00</c:formatCode>
                <c:ptCount val="71"/>
                <c:pt idx="0">
                  <c:v>3.7101646032174225</c:v>
                </c:pt>
                <c:pt idx="1">
                  <c:v>3.8065107019357241</c:v>
                </c:pt>
                <c:pt idx="2">
                  <c:v>3.8264734565961387</c:v>
                </c:pt>
                <c:pt idx="3">
                  <c:v>3.7648911986911773</c:v>
                </c:pt>
                <c:pt idx="4">
                  <c:v>3.6179671150443271</c:v>
                </c:pt>
                <c:pt idx="5">
                  <c:v>3.5627079798113712</c:v>
                </c:pt>
                <c:pt idx="6">
                  <c:v>3.5668059158019467</c:v>
                </c:pt>
                <c:pt idx="7">
                  <c:v>3.5060722129445727</c:v>
                </c:pt>
                <c:pt idx="8">
                  <c:v>3.4525221080400841</c:v>
                </c:pt>
                <c:pt idx="9">
                  <c:v>3.0581487023385474</c:v>
                </c:pt>
                <c:pt idx="10">
                  <c:v>2.8684893955518462</c:v>
                </c:pt>
                <c:pt idx="11">
                  <c:v>2.9842002838835264</c:v>
                </c:pt>
                <c:pt idx="12">
                  <c:v>2.8850246718942398</c:v>
                </c:pt>
                <c:pt idx="13">
                  <c:v>2.9163004727139339</c:v>
                </c:pt>
                <c:pt idx="14">
                  <c:v>3.0198029076027839</c:v>
                </c:pt>
                <c:pt idx="15">
                  <c:v>2.952228365388438</c:v>
                </c:pt>
                <c:pt idx="16">
                  <c:v>3.0950466592041015</c:v>
                </c:pt>
                <c:pt idx="17">
                  <c:v>3.9859643568173873</c:v>
                </c:pt>
                <c:pt idx="18">
                  <c:v>4.0809994870617317</c:v>
                </c:pt>
                <c:pt idx="19">
                  <c:v>4.0955416053372673</c:v>
                </c:pt>
                <c:pt idx="20">
                  <c:v>3.9849250054130221</c:v>
                </c:pt>
                <c:pt idx="21">
                  <c:v>3.8937738200382377</c:v>
                </c:pt>
                <c:pt idx="22">
                  <c:v>3.9598616088195793</c:v>
                </c:pt>
                <c:pt idx="23">
                  <c:v>3.9762411896126157</c:v>
                </c:pt>
                <c:pt idx="24">
                  <c:v>3.9786620149246961</c:v>
                </c:pt>
                <c:pt idx="25">
                  <c:v>4.0346962606310859</c:v>
                </c:pt>
                <c:pt idx="26">
                  <c:v>4.0775613624920197</c:v>
                </c:pt>
                <c:pt idx="27">
                  <c:v>3.9616733567915698</c:v>
                </c:pt>
                <c:pt idx="28">
                  <c:v>3.9305507042549701</c:v>
                </c:pt>
                <c:pt idx="29">
                  <c:v>4.1096577340110887</c:v>
                </c:pt>
                <c:pt idx="30">
                  <c:v>4.0719683658793677</c:v>
                </c:pt>
                <c:pt idx="31">
                  <c:v>4.3456697919556682</c:v>
                </c:pt>
                <c:pt idx="32">
                  <c:v>3.7981316632753899</c:v>
                </c:pt>
                <c:pt idx="33">
                  <c:v>4.763544547194817</c:v>
                </c:pt>
                <c:pt idx="34">
                  <c:v>4.7961406258211321</c:v>
                </c:pt>
                <c:pt idx="35">
                  <c:v>4.4745957463163721</c:v>
                </c:pt>
                <c:pt idx="36">
                  <c:v>4.8153318013828912</c:v>
                </c:pt>
                <c:pt idx="37">
                  <c:v>4.6389007584692594</c:v>
                </c:pt>
                <c:pt idx="38">
                  <c:v>4.7409354101405157</c:v>
                </c:pt>
                <c:pt idx="39">
                  <c:v>4.8637320870681018</c:v>
                </c:pt>
                <c:pt idx="40">
                  <c:v>4.7765268326527082</c:v>
                </c:pt>
                <c:pt idx="41">
                  <c:v>5.2359203349326764</c:v>
                </c:pt>
                <c:pt idx="42">
                  <c:v>4.8809075967950619</c:v>
                </c:pt>
                <c:pt idx="43">
                  <c:v>5.0410084363295562</c:v>
                </c:pt>
                <c:pt idx="44">
                  <c:v>4.6169287898684868</c:v>
                </c:pt>
                <c:pt idx="45">
                  <c:v>4.6503246506174509</c:v>
                </c:pt>
                <c:pt idx="46">
                  <c:v>5.4612806648931063</c:v>
                </c:pt>
                <c:pt idx="47">
                  <c:v>6.1296787219532805</c:v>
                </c:pt>
                <c:pt idx="48">
                  <c:v>5.9101649566946239</c:v>
                </c:pt>
                <c:pt idx="49">
                  <c:v>6.0649120959265836</c:v>
                </c:pt>
                <c:pt idx="50">
                  <c:v>6.051550621116375</c:v>
                </c:pt>
                <c:pt idx="51">
                  <c:v>5.264812219909536</c:v>
                </c:pt>
                <c:pt idx="52">
                  <c:v>5.3246722832712043</c:v>
                </c:pt>
                <c:pt idx="53">
                  <c:v>5.2689274478899781</c:v>
                </c:pt>
                <c:pt idx="54">
                  <c:v>5.1550879387017439</c:v>
                </c:pt>
                <c:pt idx="55">
                  <c:v>5.0175915087533225</c:v>
                </c:pt>
                <c:pt idx="56">
                  <c:v>5.0922750051319845</c:v>
                </c:pt>
                <c:pt idx="57">
                  <c:v>5.1564017921626304</c:v>
                </c:pt>
                <c:pt idx="58">
                  <c:v>5.1179855712850957</c:v>
                </c:pt>
                <c:pt idx="59">
                  <c:v>5.1313430165244593</c:v>
                </c:pt>
                <c:pt idx="60">
                  <c:v>4.3901981439831923</c:v>
                </c:pt>
                <c:pt idx="61">
                  <c:v>4.1944694438101262</c:v>
                </c:pt>
                <c:pt idx="62">
                  <c:v>4.2958074314110855</c:v>
                </c:pt>
                <c:pt idx="63">
                  <c:v>4.8646377523137385</c:v>
                </c:pt>
                <c:pt idx="64">
                  <c:v>4.8166825079418665</c:v>
                </c:pt>
                <c:pt idx="65">
                  <c:v>4.6987090875953026</c:v>
                </c:pt>
                <c:pt idx="66">
                  <c:v>4.5523713092149789</c:v>
                </c:pt>
                <c:pt idx="67">
                  <c:v>4.6604921123438832</c:v>
                </c:pt>
                <c:pt idx="68">
                  <c:v>4.539020817082343</c:v>
                </c:pt>
                <c:pt idx="69">
                  <c:v>4.1565057620492754</c:v>
                </c:pt>
                <c:pt idx="70">
                  <c:v>3.9475337114308715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15-42E3-9A2F-A3DA9DCD536C}"/>
            </c:ext>
          </c:extLst>
        </c:ser>
        <c:ser>
          <c:idx val="2"/>
          <c:order val="1"/>
          <c:tx>
            <c:strRef>
              <c:f>'2022'!$AL$2</c:f>
              <c:strCache>
                <c:ptCount val="1"/>
                <c:pt idx="0">
                  <c:v>mean_envelope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7597157761650836"/>
                  <c:y val="0.1536484179406706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'2022'!$B$2:$B$73</c:f>
              <c:numCache>
                <c:formatCode>0.000</c:formatCode>
                <c:ptCount val="72"/>
                <c:pt idx="0">
                  <c:v>0.36806210257484301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0.34238738474798203</c:v>
                </c:pt>
                <c:pt idx="4">
                  <c:v>0.36328325080216001</c:v>
                </c:pt>
                <c:pt idx="5">
                  <c:v>0.36328325080216001</c:v>
                </c:pt>
                <c:pt idx="6">
                  <c:v>0.368327325120411</c:v>
                </c:pt>
                <c:pt idx="7">
                  <c:v>0.36342783558528602</c:v>
                </c:pt>
                <c:pt idx="8">
                  <c:v>0.36342783558528602</c:v>
                </c:pt>
                <c:pt idx="9">
                  <c:v>0.46686545511200001</c:v>
                </c:pt>
                <c:pt idx="10">
                  <c:v>0.46686545511200001</c:v>
                </c:pt>
                <c:pt idx="11">
                  <c:v>0.46686545511200001</c:v>
                </c:pt>
                <c:pt idx="12">
                  <c:v>0.39573120856100902</c:v>
                </c:pt>
                <c:pt idx="13">
                  <c:v>0.43651642997928197</c:v>
                </c:pt>
                <c:pt idx="14">
                  <c:v>0.43651642997928197</c:v>
                </c:pt>
                <c:pt idx="15">
                  <c:v>0.43651642997928197</c:v>
                </c:pt>
                <c:pt idx="16">
                  <c:v>0.368685200781385</c:v>
                </c:pt>
                <c:pt idx="17">
                  <c:v>0.41193536150641702</c:v>
                </c:pt>
                <c:pt idx="18">
                  <c:v>0.41193536150641702</c:v>
                </c:pt>
                <c:pt idx="19">
                  <c:v>0.38446658554131402</c:v>
                </c:pt>
                <c:pt idx="20">
                  <c:v>0.42948982380128797</c:v>
                </c:pt>
                <c:pt idx="21">
                  <c:v>0.42948982380128797</c:v>
                </c:pt>
                <c:pt idx="22">
                  <c:v>0.41319095145866302</c:v>
                </c:pt>
                <c:pt idx="23">
                  <c:v>0.41319095145866302</c:v>
                </c:pt>
                <c:pt idx="24">
                  <c:v>0.452968146379014</c:v>
                </c:pt>
                <c:pt idx="25">
                  <c:v>0.452968146379014</c:v>
                </c:pt>
                <c:pt idx="26">
                  <c:v>0.452968146379014</c:v>
                </c:pt>
                <c:pt idx="27">
                  <c:v>0.45740310650690502</c:v>
                </c:pt>
                <c:pt idx="28">
                  <c:v>0.45740310650690502</c:v>
                </c:pt>
                <c:pt idx="29">
                  <c:v>0.45740310650690502</c:v>
                </c:pt>
                <c:pt idx="30">
                  <c:v>0.49084660866292901</c:v>
                </c:pt>
                <c:pt idx="31">
                  <c:v>0.49084660866292901</c:v>
                </c:pt>
                <c:pt idx="32">
                  <c:v>0.49084660866292901</c:v>
                </c:pt>
                <c:pt idx="33">
                  <c:v>0.462678059372443</c:v>
                </c:pt>
                <c:pt idx="34">
                  <c:v>0.462678059372443</c:v>
                </c:pt>
                <c:pt idx="35">
                  <c:v>0.462678059372443</c:v>
                </c:pt>
                <c:pt idx="36">
                  <c:v>0.51066082864599005</c:v>
                </c:pt>
                <c:pt idx="37">
                  <c:v>0.51066082864599005</c:v>
                </c:pt>
                <c:pt idx="38">
                  <c:v>0.51066082864599005</c:v>
                </c:pt>
                <c:pt idx="39">
                  <c:v>0.51066082864599005</c:v>
                </c:pt>
                <c:pt idx="40">
                  <c:v>0.49948880760551201</c:v>
                </c:pt>
                <c:pt idx="41">
                  <c:v>0.49948880760551201</c:v>
                </c:pt>
                <c:pt idx="42">
                  <c:v>0.49948880760551201</c:v>
                </c:pt>
                <c:pt idx="43">
                  <c:v>0.49948880760551201</c:v>
                </c:pt>
                <c:pt idx="44">
                  <c:v>0.52493217096050204</c:v>
                </c:pt>
                <c:pt idx="45">
                  <c:v>0.52493217096050204</c:v>
                </c:pt>
                <c:pt idx="46">
                  <c:v>0.52493217096050204</c:v>
                </c:pt>
                <c:pt idx="47">
                  <c:v>0.55313073676003</c:v>
                </c:pt>
                <c:pt idx="48">
                  <c:v>0.55313073676003</c:v>
                </c:pt>
                <c:pt idx="49">
                  <c:v>0.55313073676003</c:v>
                </c:pt>
                <c:pt idx="50">
                  <c:v>0.54902198216375997</c:v>
                </c:pt>
                <c:pt idx="51">
                  <c:v>0.51518808111729397</c:v>
                </c:pt>
                <c:pt idx="52">
                  <c:v>0.51518808111729397</c:v>
                </c:pt>
                <c:pt idx="53">
                  <c:v>0.51518808111729397</c:v>
                </c:pt>
                <c:pt idx="54">
                  <c:v>0.51518808111729397</c:v>
                </c:pt>
                <c:pt idx="55">
                  <c:v>0.50858816053242095</c:v>
                </c:pt>
                <c:pt idx="56">
                  <c:v>0.50858816053242095</c:v>
                </c:pt>
                <c:pt idx="57">
                  <c:v>0.50858816053242095</c:v>
                </c:pt>
                <c:pt idx="58">
                  <c:v>0.50858816053242095</c:v>
                </c:pt>
                <c:pt idx="59">
                  <c:v>0.50858816053242095</c:v>
                </c:pt>
                <c:pt idx="60">
                  <c:v>0.46638934380788899</c:v>
                </c:pt>
                <c:pt idx="61">
                  <c:v>0.46638934380788899</c:v>
                </c:pt>
                <c:pt idx="62">
                  <c:v>0.46638934380788899</c:v>
                </c:pt>
                <c:pt idx="63">
                  <c:v>0.46357925032941799</c:v>
                </c:pt>
                <c:pt idx="64">
                  <c:v>0.46357925032941799</c:v>
                </c:pt>
                <c:pt idx="65">
                  <c:v>0.47994966020721702</c:v>
                </c:pt>
                <c:pt idx="66">
                  <c:v>0.47994966020721702</c:v>
                </c:pt>
                <c:pt idx="67">
                  <c:v>0.47994966020721702</c:v>
                </c:pt>
                <c:pt idx="68">
                  <c:v>0.47994966020721702</c:v>
                </c:pt>
                <c:pt idx="69">
                  <c:v>0.47939185305731202</c:v>
                </c:pt>
                <c:pt idx="70">
                  <c:v>0.47939185305731202</c:v>
                </c:pt>
                <c:pt idx="71">
                  <c:v>0.47939185305731202</c:v>
                </c:pt>
              </c:numCache>
            </c:numRef>
          </c:xVal>
          <c:yVal>
            <c:numRef>
              <c:f>'2022'!$AL$3:$AL$73</c:f>
              <c:numCache>
                <c:formatCode>0.00</c:formatCode>
                <c:ptCount val="71"/>
                <c:pt idx="0">
                  <c:v>3.7041993633606389</c:v>
                </c:pt>
                <c:pt idx="1">
                  <c:v>3.7981403339245405</c:v>
                </c:pt>
                <c:pt idx="2">
                  <c:v>3.8188056529986656</c:v>
                </c:pt>
                <c:pt idx="3">
                  <c:v>3.7550126128923633</c:v>
                </c:pt>
                <c:pt idx="4">
                  <c:v>3.6106199881037497</c:v>
                </c:pt>
                <c:pt idx="5">
                  <c:v>3.5571198987715076</c:v>
                </c:pt>
                <c:pt idx="6">
                  <c:v>3.5623621728377666</c:v>
                </c:pt>
                <c:pt idx="7">
                  <c:v>3.5007529611424633</c:v>
                </c:pt>
                <c:pt idx="8">
                  <c:v>3.4488808181951809</c:v>
                </c:pt>
                <c:pt idx="9">
                  <c:v>3.0576633480307409</c:v>
                </c:pt>
                <c:pt idx="10">
                  <c:v>2.8665538180589833</c:v>
                </c:pt>
                <c:pt idx="11">
                  <c:v>2.981937849084686</c:v>
                </c:pt>
                <c:pt idx="12">
                  <c:v>2.8833014847228458</c:v>
                </c:pt>
                <c:pt idx="13">
                  <c:v>2.9172107839255199</c:v>
                </c:pt>
                <c:pt idx="14">
                  <c:v>3.0174910263329084</c:v>
                </c:pt>
                <c:pt idx="15">
                  <c:v>2.9476976989148342</c:v>
                </c:pt>
                <c:pt idx="16">
                  <c:v>3.0946440793216992</c:v>
                </c:pt>
                <c:pt idx="17">
                  <c:v>3.9824954144200708</c:v>
                </c:pt>
                <c:pt idx="18">
                  <c:v>4.0766693570133414</c:v>
                </c:pt>
                <c:pt idx="19">
                  <c:v>4.0884796692866834</c:v>
                </c:pt>
                <c:pt idx="20">
                  <c:v>3.9762030431119451</c:v>
                </c:pt>
                <c:pt idx="21">
                  <c:v>3.8871625897184434</c:v>
                </c:pt>
                <c:pt idx="22">
                  <c:v>3.9514183145935031</c:v>
                </c:pt>
                <c:pt idx="23">
                  <c:v>3.9666510115320937</c:v>
                </c:pt>
                <c:pt idx="24">
                  <c:v>3.9734597289499556</c:v>
                </c:pt>
                <c:pt idx="25">
                  <c:v>4.0288965692580909</c:v>
                </c:pt>
                <c:pt idx="26">
                  <c:v>4.0702249890518143</c:v>
                </c:pt>
                <c:pt idx="27">
                  <c:v>3.953928536998089</c:v>
                </c:pt>
                <c:pt idx="28">
                  <c:v>3.9251360325703151</c:v>
                </c:pt>
                <c:pt idx="29">
                  <c:v>4.1024268095674623</c:v>
                </c:pt>
                <c:pt idx="30">
                  <c:v>4.0634122109031638</c:v>
                </c:pt>
                <c:pt idx="31">
                  <c:v>4.3373192885183336</c:v>
                </c:pt>
                <c:pt idx="32">
                  <c:v>3.7930826816456276</c:v>
                </c:pt>
                <c:pt idx="33">
                  <c:v>4.7516540576062454</c:v>
                </c:pt>
                <c:pt idx="34">
                  <c:v>4.7868751479256284</c:v>
                </c:pt>
                <c:pt idx="35">
                  <c:v>4.4667358568056814</c:v>
                </c:pt>
                <c:pt idx="36">
                  <c:v>4.8055736315605637</c:v>
                </c:pt>
                <c:pt idx="37">
                  <c:v>4.6319722155573482</c:v>
                </c:pt>
                <c:pt idx="38">
                  <c:v>4.7334285617590792</c:v>
                </c:pt>
                <c:pt idx="39">
                  <c:v>4.8548858628062108</c:v>
                </c:pt>
                <c:pt idx="40">
                  <c:v>4.7627370107641083</c:v>
                </c:pt>
                <c:pt idx="41">
                  <c:v>5.2153233742009633</c:v>
                </c:pt>
                <c:pt idx="42">
                  <c:v>4.8711170670439641</c:v>
                </c:pt>
                <c:pt idx="43">
                  <c:v>5.0253109905628879</c:v>
                </c:pt>
                <c:pt idx="44">
                  <c:v>4.6117370177322003</c:v>
                </c:pt>
                <c:pt idx="45">
                  <c:v>4.6426128109213831</c:v>
                </c:pt>
                <c:pt idx="46">
                  <c:v>5.444338265125646</c:v>
                </c:pt>
                <c:pt idx="47">
                  <c:v>6.1111500664956813</c:v>
                </c:pt>
                <c:pt idx="48">
                  <c:v>5.8908127854437868</c:v>
                </c:pt>
                <c:pt idx="49">
                  <c:v>6.0432857385071594</c:v>
                </c:pt>
                <c:pt idx="50">
                  <c:v>6.0382585504002613</c:v>
                </c:pt>
                <c:pt idx="51">
                  <c:v>5.2526300555028085</c:v>
                </c:pt>
                <c:pt idx="52">
                  <c:v>5.313394753014137</c:v>
                </c:pt>
                <c:pt idx="53">
                  <c:v>5.2564889225217728</c:v>
                </c:pt>
                <c:pt idx="54">
                  <c:v>5.1404886801481799</c:v>
                </c:pt>
                <c:pt idx="55">
                  <c:v>5.0029828187512413</c:v>
                </c:pt>
                <c:pt idx="56">
                  <c:v>5.0826833814886907</c:v>
                </c:pt>
                <c:pt idx="57">
                  <c:v>5.1461189757579415</c:v>
                </c:pt>
                <c:pt idx="58">
                  <c:v>5.1083417351334068</c:v>
                </c:pt>
                <c:pt idx="59">
                  <c:v>5.1161026065616255</c:v>
                </c:pt>
                <c:pt idx="60">
                  <c:v>4.3828433847122383</c:v>
                </c:pt>
                <c:pt idx="61">
                  <c:v>4.187316773706077</c:v>
                </c:pt>
                <c:pt idx="62">
                  <c:v>4.2883028405992585</c:v>
                </c:pt>
                <c:pt idx="63">
                  <c:v>4.8535671328881351</c:v>
                </c:pt>
                <c:pt idx="64">
                  <c:v>4.8102645774979136</c:v>
                </c:pt>
                <c:pt idx="65">
                  <c:v>4.6874913292836062</c:v>
                </c:pt>
                <c:pt idx="66">
                  <c:v>4.5440088515635484</c:v>
                </c:pt>
                <c:pt idx="67">
                  <c:v>4.6493134477097238</c:v>
                </c:pt>
                <c:pt idx="68">
                  <c:v>4.5300800548861755</c:v>
                </c:pt>
                <c:pt idx="69">
                  <c:v>4.1484885329389281</c:v>
                </c:pt>
                <c:pt idx="70">
                  <c:v>3.9446909915831849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15-42E3-9A2F-A3DA9DCD5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537199"/>
        <c:axId val="1457549199"/>
      </c:scatterChart>
      <c:valAx>
        <c:axId val="1457537199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49199"/>
        <c:crosses val="autoZero"/>
        <c:crossBetween val="midCat"/>
      </c:valAx>
      <c:valAx>
        <c:axId val="14575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3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Matched Tau (Cal vs Match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260236220472442"/>
                  <c:y val="-1.8935185185185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19-4378-896B-8589CF406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452240"/>
        <c:axId val="744457040"/>
      </c:scatterChart>
      <c:valAx>
        <c:axId val="74445224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57040"/>
        <c:crosses val="autoZero"/>
        <c:crossBetween val="midCat"/>
      </c:valAx>
      <c:valAx>
        <c:axId val="744457040"/>
        <c:scaling>
          <c:orientation val="minMax"/>
          <c:min val="0.31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5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RMS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'2023'!$C$2:$C$42</c:f>
              <c:numCache>
                <c:formatCode>0.00E+00</c:formatCode>
                <c:ptCount val="41"/>
                <c:pt idx="0">
                  <c:v>2.4207241508201001E-5</c:v>
                </c:pt>
                <c:pt idx="1">
                  <c:v>2.4207241508201001E-5</c:v>
                </c:pt>
                <c:pt idx="2">
                  <c:v>2.4207241508201001E-5</c:v>
                </c:pt>
                <c:pt idx="3">
                  <c:v>2.4207241508201001E-5</c:v>
                </c:pt>
                <c:pt idx="4">
                  <c:v>2.4207241508201001E-5</c:v>
                </c:pt>
                <c:pt idx="5">
                  <c:v>1.88450378444053E-5</c:v>
                </c:pt>
                <c:pt idx="6">
                  <c:v>1.88450378444053E-5</c:v>
                </c:pt>
                <c:pt idx="7">
                  <c:v>1.88450378444053E-5</c:v>
                </c:pt>
                <c:pt idx="8">
                  <c:v>1.88450378444053E-5</c:v>
                </c:pt>
                <c:pt idx="9">
                  <c:v>1.88450378444053E-5</c:v>
                </c:pt>
                <c:pt idx="10">
                  <c:v>1.90134334671753E-5</c:v>
                </c:pt>
                <c:pt idx="11">
                  <c:v>1.90134334671753E-5</c:v>
                </c:pt>
                <c:pt idx="12">
                  <c:v>1.90134334671753E-5</c:v>
                </c:pt>
                <c:pt idx="13">
                  <c:v>1.90134334671753E-5</c:v>
                </c:pt>
                <c:pt idx="14">
                  <c:v>1.90134334671753E-5</c:v>
                </c:pt>
                <c:pt idx="15">
                  <c:v>2.4865280330097399E-5</c:v>
                </c:pt>
                <c:pt idx="16">
                  <c:v>2.4865280330097399E-5</c:v>
                </c:pt>
                <c:pt idx="17">
                  <c:v>2.4865280330097399E-5</c:v>
                </c:pt>
                <c:pt idx="18">
                  <c:v>2.4865280330097399E-5</c:v>
                </c:pt>
                <c:pt idx="19">
                  <c:v>2.4865280330097399E-5</c:v>
                </c:pt>
                <c:pt idx="20">
                  <c:v>3.2729522036105199E-5</c:v>
                </c:pt>
                <c:pt idx="21">
                  <c:v>3.2729522036105199E-5</c:v>
                </c:pt>
                <c:pt idx="22">
                  <c:v>3.2729522036105199E-5</c:v>
                </c:pt>
                <c:pt idx="23">
                  <c:v>3.2729522036105199E-5</c:v>
                </c:pt>
                <c:pt idx="24">
                  <c:v>3.2729522036105199E-5</c:v>
                </c:pt>
                <c:pt idx="25">
                  <c:v>3.20023145662864E-5</c:v>
                </c:pt>
                <c:pt idx="26">
                  <c:v>3.20023145662864E-5</c:v>
                </c:pt>
                <c:pt idx="27">
                  <c:v>3.20023145662864E-5</c:v>
                </c:pt>
                <c:pt idx="28">
                  <c:v>3.20023145662864E-5</c:v>
                </c:pt>
                <c:pt idx="29">
                  <c:v>3.20023145662864E-5</c:v>
                </c:pt>
                <c:pt idx="30">
                  <c:v>3.4750602929770602E-5</c:v>
                </c:pt>
                <c:pt idx="31">
                  <c:v>3.4750602929770602E-5</c:v>
                </c:pt>
                <c:pt idx="32">
                  <c:v>3.4750602929770602E-5</c:v>
                </c:pt>
                <c:pt idx="33">
                  <c:v>3.0690122650268203E-5</c:v>
                </c:pt>
                <c:pt idx="34">
                  <c:v>3.0690122650268203E-5</c:v>
                </c:pt>
                <c:pt idx="35">
                  <c:v>3.0690122650268203E-5</c:v>
                </c:pt>
                <c:pt idx="36">
                  <c:v>3.0690122650268203E-5</c:v>
                </c:pt>
                <c:pt idx="37">
                  <c:v>2.6396715786245701E-5</c:v>
                </c:pt>
                <c:pt idx="38">
                  <c:v>2.6396715786245701E-5</c:v>
                </c:pt>
                <c:pt idx="39">
                  <c:v>2.6396715786245701E-5</c:v>
                </c:pt>
                <c:pt idx="40">
                  <c:v>2.6396715786245701E-5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3-47A1-8F8B-E82084A1D961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'2023'!$M$2:$M$42</c:f>
              <c:numCache>
                <c:formatCode>0.00E+00</c:formatCode>
                <c:ptCount val="41"/>
                <c:pt idx="0">
                  <c:v>1.22206683858733E-5</c:v>
                </c:pt>
                <c:pt idx="1">
                  <c:v>1.05948219401146E-5</c:v>
                </c:pt>
                <c:pt idx="2">
                  <c:v>1.26883452607172E-5</c:v>
                </c:pt>
                <c:pt idx="3">
                  <c:v>1.2584860875205E-5</c:v>
                </c:pt>
                <c:pt idx="4">
                  <c:v>1.2624465186560499E-5</c:v>
                </c:pt>
                <c:pt idx="5">
                  <c:v>1.30919543779783E-5</c:v>
                </c:pt>
                <c:pt idx="6">
                  <c:v>1.18494107362003E-5</c:v>
                </c:pt>
                <c:pt idx="7">
                  <c:v>1.2223235155927599E-5</c:v>
                </c:pt>
                <c:pt idx="8">
                  <c:v>1.2763034451087001E-5</c:v>
                </c:pt>
                <c:pt idx="9">
                  <c:v>1.22875391715509E-5</c:v>
                </c:pt>
                <c:pt idx="10">
                  <c:v>1.176430086375E-5</c:v>
                </c:pt>
                <c:pt idx="11">
                  <c:v>1.1772383573177E-5</c:v>
                </c:pt>
                <c:pt idx="12">
                  <c:v>1.1155301283157499E-5</c:v>
                </c:pt>
                <c:pt idx="13">
                  <c:v>1.21555223789909E-5</c:v>
                </c:pt>
                <c:pt idx="14">
                  <c:v>1.22642636444682E-5</c:v>
                </c:pt>
                <c:pt idx="15">
                  <c:v>1.17103991474925E-5</c:v>
                </c:pt>
                <c:pt idx="16">
                  <c:v>1.15877895978313E-5</c:v>
                </c:pt>
                <c:pt idx="17">
                  <c:v>1.0684195468531801E-5</c:v>
                </c:pt>
                <c:pt idx="18">
                  <c:v>1.14013024555368E-5</c:v>
                </c:pt>
                <c:pt idx="19">
                  <c:v>1.1648389433414099E-5</c:v>
                </c:pt>
                <c:pt idx="20">
                  <c:v>1.0337988599848E-5</c:v>
                </c:pt>
                <c:pt idx="21">
                  <c:v>1.18673133830224E-5</c:v>
                </c:pt>
                <c:pt idx="22">
                  <c:v>1.0313337596970499E-5</c:v>
                </c:pt>
                <c:pt idx="23">
                  <c:v>1.03549871740316E-5</c:v>
                </c:pt>
                <c:pt idx="24">
                  <c:v>1.06516879853795E-5</c:v>
                </c:pt>
                <c:pt idx="25">
                  <c:v>1.0240113075910099E-5</c:v>
                </c:pt>
                <c:pt idx="26">
                  <c:v>1.0643006377590301E-5</c:v>
                </c:pt>
                <c:pt idx="27">
                  <c:v>1.1702367312793301E-5</c:v>
                </c:pt>
                <c:pt idx="28">
                  <c:v>1.1404927743207799E-5</c:v>
                </c:pt>
                <c:pt idx="29">
                  <c:v>1.26906637045341E-5</c:v>
                </c:pt>
                <c:pt idx="30">
                  <c:v>9.8282466467186501E-6</c:v>
                </c:pt>
                <c:pt idx="31">
                  <c:v>1.08871079687436E-5</c:v>
                </c:pt>
                <c:pt idx="32">
                  <c:v>1.07014826689323E-5</c:v>
                </c:pt>
                <c:pt idx="33">
                  <c:v>1.08763489067749E-5</c:v>
                </c:pt>
                <c:pt idx="34">
                  <c:v>1.03861985696529E-5</c:v>
                </c:pt>
                <c:pt idx="35">
                  <c:v>1.05257968314366E-5</c:v>
                </c:pt>
                <c:pt idx="36">
                  <c:v>1.0155468712654E-5</c:v>
                </c:pt>
                <c:pt idx="37">
                  <c:v>1.08763489067749E-5</c:v>
                </c:pt>
                <c:pt idx="38">
                  <c:v>1.03861985696529E-5</c:v>
                </c:pt>
                <c:pt idx="39">
                  <c:v>1.05257968314366E-5</c:v>
                </c:pt>
                <c:pt idx="40">
                  <c:v>1.0155468712654E-5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83-47A1-8F8B-E82084A1D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Root Mean Square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MAA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'2023'!$D$2:$D$42</c:f>
              <c:numCache>
                <c:formatCode>0.00E+00</c:formatCode>
                <c:ptCount val="41"/>
                <c:pt idx="0">
                  <c:v>1.51093439110471E-5</c:v>
                </c:pt>
                <c:pt idx="1">
                  <c:v>1.51093439110471E-5</c:v>
                </c:pt>
                <c:pt idx="2">
                  <c:v>1.51093439110471E-5</c:v>
                </c:pt>
                <c:pt idx="3">
                  <c:v>1.51093439110471E-5</c:v>
                </c:pt>
                <c:pt idx="4">
                  <c:v>1.51093439110471E-5</c:v>
                </c:pt>
                <c:pt idx="5">
                  <c:v>1.1907082800969201E-5</c:v>
                </c:pt>
                <c:pt idx="6">
                  <c:v>1.1907082800969201E-5</c:v>
                </c:pt>
                <c:pt idx="7">
                  <c:v>1.1907082800969201E-5</c:v>
                </c:pt>
                <c:pt idx="8">
                  <c:v>1.1907082800969201E-5</c:v>
                </c:pt>
                <c:pt idx="9">
                  <c:v>1.1907082800969201E-5</c:v>
                </c:pt>
                <c:pt idx="10">
                  <c:v>1.17680658520211E-5</c:v>
                </c:pt>
                <c:pt idx="11">
                  <c:v>1.17680658520211E-5</c:v>
                </c:pt>
                <c:pt idx="12">
                  <c:v>1.17680658520211E-5</c:v>
                </c:pt>
                <c:pt idx="13">
                  <c:v>1.17680658520211E-5</c:v>
                </c:pt>
                <c:pt idx="14">
                  <c:v>1.17680658520211E-5</c:v>
                </c:pt>
                <c:pt idx="15">
                  <c:v>1.6175033284986099E-5</c:v>
                </c:pt>
                <c:pt idx="16">
                  <c:v>1.6175033284986099E-5</c:v>
                </c:pt>
                <c:pt idx="17">
                  <c:v>1.6175033284986099E-5</c:v>
                </c:pt>
                <c:pt idx="18">
                  <c:v>1.6175033284986099E-5</c:v>
                </c:pt>
                <c:pt idx="19">
                  <c:v>1.6175033284986099E-5</c:v>
                </c:pt>
                <c:pt idx="20">
                  <c:v>2.05532327060969E-5</c:v>
                </c:pt>
                <c:pt idx="21">
                  <c:v>2.05532327060969E-5</c:v>
                </c:pt>
                <c:pt idx="22">
                  <c:v>2.05532327060969E-5</c:v>
                </c:pt>
                <c:pt idx="23">
                  <c:v>2.05532327060969E-5</c:v>
                </c:pt>
                <c:pt idx="24">
                  <c:v>2.05532327060969E-5</c:v>
                </c:pt>
                <c:pt idx="25">
                  <c:v>1.9515627927160801E-5</c:v>
                </c:pt>
                <c:pt idx="26">
                  <c:v>1.9515627927160801E-5</c:v>
                </c:pt>
                <c:pt idx="27">
                  <c:v>1.9515627927160801E-5</c:v>
                </c:pt>
                <c:pt idx="28">
                  <c:v>1.9515627927160801E-5</c:v>
                </c:pt>
                <c:pt idx="29">
                  <c:v>1.9515627927160801E-5</c:v>
                </c:pt>
                <c:pt idx="30">
                  <c:v>2.1295661010322899E-5</c:v>
                </c:pt>
                <c:pt idx="31">
                  <c:v>2.1295661010322899E-5</c:v>
                </c:pt>
                <c:pt idx="32">
                  <c:v>2.1295661010322899E-5</c:v>
                </c:pt>
                <c:pt idx="33">
                  <c:v>1.8569743078620101E-5</c:v>
                </c:pt>
                <c:pt idx="34">
                  <c:v>1.8569743078620101E-5</c:v>
                </c:pt>
                <c:pt idx="35">
                  <c:v>1.8569743078620101E-5</c:v>
                </c:pt>
                <c:pt idx="36">
                  <c:v>1.8569743078620101E-5</c:v>
                </c:pt>
                <c:pt idx="37">
                  <c:v>1.6218660918437701E-5</c:v>
                </c:pt>
                <c:pt idx="38">
                  <c:v>1.6218660918437701E-5</c:v>
                </c:pt>
                <c:pt idx="39">
                  <c:v>1.6218660918437701E-5</c:v>
                </c:pt>
                <c:pt idx="40">
                  <c:v>1.6218660918437701E-5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2-43E5-B3D9-88CC5439A562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'2023'!$N$2:$N$42</c:f>
              <c:numCache>
                <c:formatCode>0.00E+00</c:formatCode>
                <c:ptCount val="41"/>
                <c:pt idx="0">
                  <c:v>9.4296044496292403E-6</c:v>
                </c:pt>
                <c:pt idx="1">
                  <c:v>7.9832102476260307E-6</c:v>
                </c:pt>
                <c:pt idx="2">
                  <c:v>9.5774045707034001E-6</c:v>
                </c:pt>
                <c:pt idx="3">
                  <c:v>9.4587766327396807E-6</c:v>
                </c:pt>
                <c:pt idx="4">
                  <c:v>9.3775733200801399E-6</c:v>
                </c:pt>
                <c:pt idx="5">
                  <c:v>9.8221265920171307E-6</c:v>
                </c:pt>
                <c:pt idx="6">
                  <c:v>8.8312113499883297E-6</c:v>
                </c:pt>
                <c:pt idx="7">
                  <c:v>9.0499635309524507E-6</c:v>
                </c:pt>
                <c:pt idx="8">
                  <c:v>9.2237204282548107E-6</c:v>
                </c:pt>
                <c:pt idx="9">
                  <c:v>9.0958741196205603E-6</c:v>
                </c:pt>
                <c:pt idx="10">
                  <c:v>8.5035280751777103E-6</c:v>
                </c:pt>
                <c:pt idx="11">
                  <c:v>8.4736316498365496E-6</c:v>
                </c:pt>
                <c:pt idx="12">
                  <c:v>7.8797236263774998E-6</c:v>
                </c:pt>
                <c:pt idx="13">
                  <c:v>8.5108921571154908E-6</c:v>
                </c:pt>
                <c:pt idx="14">
                  <c:v>8.9783737786361207E-6</c:v>
                </c:pt>
                <c:pt idx="15">
                  <c:v>8.6464234351696805E-6</c:v>
                </c:pt>
                <c:pt idx="16">
                  <c:v>8.6143893929626603E-6</c:v>
                </c:pt>
                <c:pt idx="17">
                  <c:v>7.9801418121096506E-6</c:v>
                </c:pt>
                <c:pt idx="18">
                  <c:v>8.5663403709211104E-6</c:v>
                </c:pt>
                <c:pt idx="19">
                  <c:v>8.4666341798058493E-6</c:v>
                </c:pt>
                <c:pt idx="20">
                  <c:v>7.8853983541153495E-6</c:v>
                </c:pt>
                <c:pt idx="21">
                  <c:v>8.9834965472443503E-6</c:v>
                </c:pt>
                <c:pt idx="22">
                  <c:v>7.6596813634240602E-6</c:v>
                </c:pt>
                <c:pt idx="23">
                  <c:v>7.7111360386158999E-6</c:v>
                </c:pt>
                <c:pt idx="24">
                  <c:v>8.0601554732132195E-6</c:v>
                </c:pt>
                <c:pt idx="25">
                  <c:v>7.9291476471975499E-6</c:v>
                </c:pt>
                <c:pt idx="26">
                  <c:v>8.1100310227295295E-6</c:v>
                </c:pt>
                <c:pt idx="27">
                  <c:v>8.9443360268077206E-6</c:v>
                </c:pt>
                <c:pt idx="28">
                  <c:v>8.6471460443852106E-6</c:v>
                </c:pt>
                <c:pt idx="29">
                  <c:v>9.5877701345353301E-6</c:v>
                </c:pt>
                <c:pt idx="30">
                  <c:v>7.6188257732343596E-6</c:v>
                </c:pt>
                <c:pt idx="31">
                  <c:v>8.1143601459620494E-6</c:v>
                </c:pt>
                <c:pt idx="32">
                  <c:v>8.1122739690742604E-6</c:v>
                </c:pt>
                <c:pt idx="33">
                  <c:v>8.2154446018861604E-6</c:v>
                </c:pt>
                <c:pt idx="34">
                  <c:v>7.9815853975255596E-6</c:v>
                </c:pt>
                <c:pt idx="35">
                  <c:v>7.9699248526587795E-6</c:v>
                </c:pt>
                <c:pt idx="36">
                  <c:v>7.7314662610539695E-6</c:v>
                </c:pt>
                <c:pt idx="37">
                  <c:v>8.2154446018861604E-6</c:v>
                </c:pt>
                <c:pt idx="38">
                  <c:v>7.9815853975255596E-6</c:v>
                </c:pt>
                <c:pt idx="39">
                  <c:v>7.9699248526587795E-6</c:v>
                </c:pt>
                <c:pt idx="40">
                  <c:v>7.7314662610539695E-6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B2-43E5-B3D9-88CC5439A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Absolute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Max 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'2023'!$E$2:$E$42</c:f>
              <c:numCache>
                <c:formatCode>0.00000</c:formatCode>
                <c:ptCount val="41"/>
                <c:pt idx="0">
                  <c:v>5.4444072773682402E-4</c:v>
                </c:pt>
                <c:pt idx="1">
                  <c:v>5.4444072773682402E-4</c:v>
                </c:pt>
                <c:pt idx="2">
                  <c:v>5.4444072773682402E-4</c:v>
                </c:pt>
                <c:pt idx="3">
                  <c:v>5.4444072773682402E-4</c:v>
                </c:pt>
                <c:pt idx="4">
                  <c:v>5.4444072773682402E-4</c:v>
                </c:pt>
                <c:pt idx="5">
                  <c:v>5.4444072773682402E-4</c:v>
                </c:pt>
                <c:pt idx="6">
                  <c:v>5.4444072773682402E-4</c:v>
                </c:pt>
                <c:pt idx="7">
                  <c:v>5.4444072773682402E-4</c:v>
                </c:pt>
                <c:pt idx="8">
                  <c:v>5.4444072773682402E-4</c:v>
                </c:pt>
                <c:pt idx="9">
                  <c:v>5.4444072773682402E-4</c:v>
                </c:pt>
                <c:pt idx="10">
                  <c:v>4.7746587630888201E-4</c:v>
                </c:pt>
                <c:pt idx="11">
                  <c:v>4.7746587630888201E-4</c:v>
                </c:pt>
                <c:pt idx="12">
                  <c:v>4.7746587630888201E-4</c:v>
                </c:pt>
                <c:pt idx="13">
                  <c:v>4.7746587630888201E-4</c:v>
                </c:pt>
                <c:pt idx="14">
                  <c:v>4.7746587630888201E-4</c:v>
                </c:pt>
                <c:pt idx="15">
                  <c:v>7.84253905430426E-4</c:v>
                </c:pt>
                <c:pt idx="16">
                  <c:v>7.84253905430426E-4</c:v>
                </c:pt>
                <c:pt idx="17">
                  <c:v>7.84253905430426E-4</c:v>
                </c:pt>
                <c:pt idx="18">
                  <c:v>7.84253905430426E-4</c:v>
                </c:pt>
                <c:pt idx="19">
                  <c:v>7.84253905430426E-4</c:v>
                </c:pt>
                <c:pt idx="20">
                  <c:v>9.48450315382802E-4</c:v>
                </c:pt>
                <c:pt idx="21">
                  <c:v>9.48450315382802E-4</c:v>
                </c:pt>
                <c:pt idx="22">
                  <c:v>9.48450315382802E-4</c:v>
                </c:pt>
                <c:pt idx="23">
                  <c:v>9.48450315382802E-4</c:v>
                </c:pt>
                <c:pt idx="24">
                  <c:v>9.48450315382802E-4</c:v>
                </c:pt>
                <c:pt idx="25">
                  <c:v>7.4536528202065304E-4</c:v>
                </c:pt>
                <c:pt idx="26">
                  <c:v>7.4536528202065304E-4</c:v>
                </c:pt>
                <c:pt idx="27">
                  <c:v>7.4536528202065304E-4</c:v>
                </c:pt>
                <c:pt idx="28">
                  <c:v>7.4536528202065304E-4</c:v>
                </c:pt>
                <c:pt idx="29">
                  <c:v>7.4536528202065304E-4</c:v>
                </c:pt>
                <c:pt idx="30">
                  <c:v>7.3456288662904895E-4</c:v>
                </c:pt>
                <c:pt idx="31">
                  <c:v>7.3456288662904895E-4</c:v>
                </c:pt>
                <c:pt idx="32">
                  <c:v>7.3456288662904895E-4</c:v>
                </c:pt>
                <c:pt idx="33">
                  <c:v>7.7129103096050197E-4</c:v>
                </c:pt>
                <c:pt idx="34">
                  <c:v>7.7129103096050197E-4</c:v>
                </c:pt>
                <c:pt idx="35">
                  <c:v>7.7129103096050197E-4</c:v>
                </c:pt>
                <c:pt idx="36">
                  <c:v>7.7129103096050197E-4</c:v>
                </c:pt>
                <c:pt idx="37">
                  <c:v>6.9135330506263403E-4</c:v>
                </c:pt>
                <c:pt idx="38">
                  <c:v>6.9135330506263403E-4</c:v>
                </c:pt>
                <c:pt idx="39">
                  <c:v>6.9135330506263403E-4</c:v>
                </c:pt>
                <c:pt idx="40">
                  <c:v>6.9135330506263403E-4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D0-40CD-97C6-01574C11FE96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'2023'!$O$2:$O$42</c:f>
              <c:numCache>
                <c:formatCode>General</c:formatCode>
                <c:ptCount val="41"/>
                <c:pt idx="0">
                  <c:v>1.55554493639092E-4</c:v>
                </c:pt>
                <c:pt idx="1">
                  <c:v>1.5771497271741301E-4</c:v>
                </c:pt>
                <c:pt idx="2">
                  <c:v>1.9876407520550701E-4</c:v>
                </c:pt>
                <c:pt idx="3">
                  <c:v>4.1049102488093902E-4</c:v>
                </c:pt>
                <c:pt idx="4">
                  <c:v>2.6573892663344999E-4</c:v>
                </c:pt>
                <c:pt idx="5">
                  <c:v>1.771592844223E-4</c:v>
                </c:pt>
                <c:pt idx="6">
                  <c:v>3.2839281990475102E-4</c:v>
                </c:pt>
                <c:pt idx="7">
                  <c:v>3.0246707096490198E-4</c:v>
                </c:pt>
                <c:pt idx="8">
                  <c:v>3.3703473621803402E-4</c:v>
                </c:pt>
                <c:pt idx="9">
                  <c:v>2.7005988479009098E-4</c:v>
                </c:pt>
                <c:pt idx="10">
                  <c:v>4.32095815664146E-4</c:v>
                </c:pt>
                <c:pt idx="11">
                  <c:v>2.6141796847680798E-4</c:v>
                </c:pt>
                <c:pt idx="12">
                  <c:v>3.80244317784449E-4</c:v>
                </c:pt>
                <c:pt idx="13">
                  <c:v>3.8672575501941101E-4</c:v>
                </c:pt>
                <c:pt idx="14">
                  <c:v>3.7592335962780698E-4</c:v>
                </c:pt>
                <c:pt idx="15">
                  <c:v>2.16047907832073E-4</c:v>
                </c:pt>
                <c:pt idx="16">
                  <c:v>2.6573892663344999E-4</c:v>
                </c:pt>
                <c:pt idx="17">
                  <c:v>1.9876407520550701E-4</c:v>
                </c:pt>
                <c:pt idx="18">
                  <c:v>1.85801200735583E-4</c:v>
                </c:pt>
                <c:pt idx="19">
                  <c:v>3.3703473621803402E-4</c:v>
                </c:pt>
                <c:pt idx="20">
                  <c:v>1.10184432994357E-4</c:v>
                </c:pt>
                <c:pt idx="21">
                  <c:v>2.0308503336214799E-4</c:v>
                </c:pt>
                <c:pt idx="22">
                  <c:v>2.3333174045863899E-4</c:v>
                </c:pt>
                <c:pt idx="23">
                  <c:v>1.771592844223E-4</c:v>
                </c:pt>
                <c:pt idx="24">
                  <c:v>1.4907305640413001E-4</c:v>
                </c:pt>
                <c:pt idx="25">
                  <c:v>1.9012215889222401E-4</c:v>
                </c:pt>
                <c:pt idx="26">
                  <c:v>1.1666587022931899E-4</c:v>
                </c:pt>
                <c:pt idx="27">
                  <c:v>1.4907305640413001E-4</c:v>
                </c:pt>
                <c:pt idx="28">
                  <c:v>2.89504196494978E-4</c:v>
                </c:pt>
                <c:pt idx="29">
                  <c:v>2.18208386910394E-4</c:v>
                </c:pt>
                <c:pt idx="30">
                  <c:v>1.2098682838596101E-4</c:v>
                </c:pt>
                <c:pt idx="31">
                  <c:v>2.2468982414535599E-4</c:v>
                </c:pt>
                <c:pt idx="32">
                  <c:v>2.1388742875375199E-4</c:v>
                </c:pt>
                <c:pt idx="33">
                  <c:v>2.2252934506703499E-4</c:v>
                </c:pt>
                <c:pt idx="34" formatCode="0.00E+00">
                  <c:v>9.5061079446112195E-5</c:v>
                </c:pt>
                <c:pt idx="35">
                  <c:v>1.2962874469924399E-4</c:v>
                </c:pt>
                <c:pt idx="36">
                  <c:v>1.6851736810901701E-4</c:v>
                </c:pt>
                <c:pt idx="37">
                  <c:v>2.2252934506703499E-4</c:v>
                </c:pt>
                <c:pt idx="38" formatCode="0.00E+00">
                  <c:v>9.5061079446112195E-5</c:v>
                </c:pt>
                <c:pt idx="39">
                  <c:v>1.2962874469924399E-4</c:v>
                </c:pt>
                <c:pt idx="40">
                  <c:v>1.6851736810901701E-4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D0-40CD-97C6-01574C11F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Mean Envelope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'2023'!$F$2:$F$42</c:f>
              <c:numCache>
                <c:formatCode>0.00E+00</c:formatCode>
                <c:ptCount val="41"/>
                <c:pt idx="0">
                  <c:v>2.3761578150796201E-5</c:v>
                </c:pt>
                <c:pt idx="1">
                  <c:v>2.3761578150796201E-5</c:v>
                </c:pt>
                <c:pt idx="2">
                  <c:v>2.3761578150796201E-5</c:v>
                </c:pt>
                <c:pt idx="3">
                  <c:v>2.3761578150796201E-5</c:v>
                </c:pt>
                <c:pt idx="4">
                  <c:v>2.3761578150796201E-5</c:v>
                </c:pt>
                <c:pt idx="5">
                  <c:v>1.8741931464072901E-5</c:v>
                </c:pt>
                <c:pt idx="6">
                  <c:v>1.8741931464072901E-5</c:v>
                </c:pt>
                <c:pt idx="7">
                  <c:v>1.8741931464072901E-5</c:v>
                </c:pt>
                <c:pt idx="8">
                  <c:v>1.8741931464072901E-5</c:v>
                </c:pt>
                <c:pt idx="9">
                  <c:v>1.8741931464072901E-5</c:v>
                </c:pt>
                <c:pt idx="10">
                  <c:v>1.85315482535712E-5</c:v>
                </c:pt>
                <c:pt idx="11">
                  <c:v>1.85315482535712E-5</c:v>
                </c:pt>
                <c:pt idx="12">
                  <c:v>1.85315482535712E-5</c:v>
                </c:pt>
                <c:pt idx="13">
                  <c:v>1.85315482535712E-5</c:v>
                </c:pt>
                <c:pt idx="14">
                  <c:v>1.85315482535712E-5</c:v>
                </c:pt>
                <c:pt idx="15">
                  <c:v>2.5434742648810199E-5</c:v>
                </c:pt>
                <c:pt idx="16">
                  <c:v>2.5434742648810199E-5</c:v>
                </c:pt>
                <c:pt idx="17">
                  <c:v>2.5434742648810199E-5</c:v>
                </c:pt>
                <c:pt idx="18">
                  <c:v>2.5434742648810199E-5</c:v>
                </c:pt>
                <c:pt idx="19">
                  <c:v>2.5434742648810199E-5</c:v>
                </c:pt>
                <c:pt idx="20">
                  <c:v>3.2301035006125902E-5</c:v>
                </c:pt>
                <c:pt idx="21">
                  <c:v>3.2301035006125902E-5</c:v>
                </c:pt>
                <c:pt idx="22">
                  <c:v>3.2301035006125902E-5</c:v>
                </c:pt>
                <c:pt idx="23">
                  <c:v>3.2301035006125902E-5</c:v>
                </c:pt>
                <c:pt idx="24">
                  <c:v>3.2301035006125902E-5</c:v>
                </c:pt>
                <c:pt idx="25">
                  <c:v>3.0676662889353397E-5</c:v>
                </c:pt>
                <c:pt idx="26">
                  <c:v>3.0676662889353397E-5</c:v>
                </c:pt>
                <c:pt idx="27">
                  <c:v>3.0676662889353397E-5</c:v>
                </c:pt>
                <c:pt idx="28">
                  <c:v>3.0676662889353397E-5</c:v>
                </c:pt>
                <c:pt idx="29">
                  <c:v>3.0676662889353397E-5</c:v>
                </c:pt>
                <c:pt idx="30">
                  <c:v>3.3456841347806697E-5</c:v>
                </c:pt>
                <c:pt idx="31">
                  <c:v>3.3456841347806697E-5</c:v>
                </c:pt>
                <c:pt idx="32">
                  <c:v>3.3456841347806697E-5</c:v>
                </c:pt>
                <c:pt idx="33">
                  <c:v>2.92005668798482E-5</c:v>
                </c:pt>
                <c:pt idx="34">
                  <c:v>2.92005668798482E-5</c:v>
                </c:pt>
                <c:pt idx="35">
                  <c:v>2.92005668798482E-5</c:v>
                </c:pt>
                <c:pt idx="36">
                  <c:v>2.92005668798482E-5</c:v>
                </c:pt>
                <c:pt idx="37">
                  <c:v>2.5510539990300699E-5</c:v>
                </c:pt>
                <c:pt idx="38">
                  <c:v>2.5510539990300699E-5</c:v>
                </c:pt>
                <c:pt idx="39">
                  <c:v>2.5510539990300699E-5</c:v>
                </c:pt>
                <c:pt idx="40">
                  <c:v>2.5510539990300699E-5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55-4374-9A81-E790BD920AC6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'2023'!$P$2:$P$42</c:f>
              <c:numCache>
                <c:formatCode>0.00E+00</c:formatCode>
                <c:ptCount val="41"/>
                <c:pt idx="0">
                  <c:v>1.4861526221896201E-5</c:v>
                </c:pt>
                <c:pt idx="1">
                  <c:v>1.26006551101013E-5</c:v>
                </c:pt>
                <c:pt idx="2">
                  <c:v>1.5081408447538001E-5</c:v>
                </c:pt>
                <c:pt idx="3">
                  <c:v>1.4888615578985E-5</c:v>
                </c:pt>
                <c:pt idx="4">
                  <c:v>1.4779330401654201E-5</c:v>
                </c:pt>
                <c:pt idx="5">
                  <c:v>1.5432241626043701E-5</c:v>
                </c:pt>
                <c:pt idx="6">
                  <c:v>1.39205551811642E-5</c:v>
                </c:pt>
                <c:pt idx="7">
                  <c:v>1.4262931882435099E-5</c:v>
                </c:pt>
                <c:pt idx="8">
                  <c:v>1.4534597526122501E-5</c:v>
                </c:pt>
                <c:pt idx="9">
                  <c:v>1.4323382914739099E-5</c:v>
                </c:pt>
                <c:pt idx="10">
                  <c:v>1.34059824125186E-5</c:v>
                </c:pt>
                <c:pt idx="11">
                  <c:v>1.3370494309183599E-5</c:v>
                </c:pt>
                <c:pt idx="12">
                  <c:v>1.2434722857851199E-5</c:v>
                </c:pt>
                <c:pt idx="13">
                  <c:v>1.34237752694392E-5</c:v>
                </c:pt>
                <c:pt idx="14">
                  <c:v>1.41442861998561E-5</c:v>
                </c:pt>
                <c:pt idx="15">
                  <c:v>1.3625053832421099E-5</c:v>
                </c:pt>
                <c:pt idx="16">
                  <c:v>1.35436032605697E-5</c:v>
                </c:pt>
                <c:pt idx="17">
                  <c:v>1.2579283023381399E-5</c:v>
                </c:pt>
                <c:pt idx="18">
                  <c:v>1.3497555586960699E-5</c:v>
                </c:pt>
                <c:pt idx="19">
                  <c:v>1.33498236765657E-5</c:v>
                </c:pt>
                <c:pt idx="20">
                  <c:v>1.24410059973563E-5</c:v>
                </c:pt>
                <c:pt idx="21">
                  <c:v>1.41441845908959E-5</c:v>
                </c:pt>
                <c:pt idx="22">
                  <c:v>1.2091352270409799E-5</c:v>
                </c:pt>
                <c:pt idx="23">
                  <c:v>1.21619352606039E-5</c:v>
                </c:pt>
                <c:pt idx="24">
                  <c:v>1.27053155803973E-5</c:v>
                </c:pt>
                <c:pt idx="25">
                  <c:v>1.25027539353358E-5</c:v>
                </c:pt>
                <c:pt idx="26">
                  <c:v>1.27753084616911E-5</c:v>
                </c:pt>
                <c:pt idx="27">
                  <c:v>1.40940577239636E-5</c:v>
                </c:pt>
                <c:pt idx="28">
                  <c:v>1.3609142101353601E-5</c:v>
                </c:pt>
                <c:pt idx="29">
                  <c:v>1.50802367252214E-5</c:v>
                </c:pt>
                <c:pt idx="30">
                  <c:v>1.20159863771935E-5</c:v>
                </c:pt>
                <c:pt idx="31">
                  <c:v>1.2805372501325701E-5</c:v>
                </c:pt>
                <c:pt idx="32">
                  <c:v>1.27899274107231E-5</c:v>
                </c:pt>
                <c:pt idx="33">
                  <c:v>1.29486947221905E-5</c:v>
                </c:pt>
                <c:pt idx="34">
                  <c:v>1.25826559899673E-5</c:v>
                </c:pt>
                <c:pt idx="35">
                  <c:v>1.2570136317746901E-5</c:v>
                </c:pt>
                <c:pt idx="36">
                  <c:v>1.2206481596866E-5</c:v>
                </c:pt>
                <c:pt idx="37">
                  <c:v>1.29486947221905E-5</c:v>
                </c:pt>
                <c:pt idx="38">
                  <c:v>1.25826559899673E-5</c:v>
                </c:pt>
                <c:pt idx="39">
                  <c:v>1.2570136317746901E-5</c:v>
                </c:pt>
                <c:pt idx="40">
                  <c:v>1.2206481596866E-5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55-4374-9A81-E790BD920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Envelope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Std Envelope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'2023'!$G$2:$G$42</c:f>
              <c:numCache>
                <c:formatCode>0.00E+00</c:formatCode>
                <c:ptCount val="41"/>
                <c:pt idx="0">
                  <c:v>2.4644846994177601E-5</c:v>
                </c:pt>
                <c:pt idx="1">
                  <c:v>2.4644846994177601E-5</c:v>
                </c:pt>
                <c:pt idx="2">
                  <c:v>2.4644846994177601E-5</c:v>
                </c:pt>
                <c:pt idx="3">
                  <c:v>2.4644846994177601E-5</c:v>
                </c:pt>
                <c:pt idx="4">
                  <c:v>2.4644846994177601E-5</c:v>
                </c:pt>
                <c:pt idx="5">
                  <c:v>1.8947581250799299E-5</c:v>
                </c:pt>
                <c:pt idx="6">
                  <c:v>1.8947581250799299E-5</c:v>
                </c:pt>
                <c:pt idx="7">
                  <c:v>1.8947581250799299E-5</c:v>
                </c:pt>
                <c:pt idx="8">
                  <c:v>1.8947581250799299E-5</c:v>
                </c:pt>
                <c:pt idx="9">
                  <c:v>1.8947581250799299E-5</c:v>
                </c:pt>
                <c:pt idx="10">
                  <c:v>1.9483402081028001E-5</c:v>
                </c:pt>
                <c:pt idx="11">
                  <c:v>1.9483402081028001E-5</c:v>
                </c:pt>
                <c:pt idx="12">
                  <c:v>1.9483402081028001E-5</c:v>
                </c:pt>
                <c:pt idx="13">
                  <c:v>1.9483402081028001E-5</c:v>
                </c:pt>
                <c:pt idx="14">
                  <c:v>1.9483402081028001E-5</c:v>
                </c:pt>
                <c:pt idx="15">
                  <c:v>2.4282464787393301E-5</c:v>
                </c:pt>
                <c:pt idx="16">
                  <c:v>2.4282464787393301E-5</c:v>
                </c:pt>
                <c:pt idx="17">
                  <c:v>2.4282464787393301E-5</c:v>
                </c:pt>
                <c:pt idx="18">
                  <c:v>2.4282464787393301E-5</c:v>
                </c:pt>
                <c:pt idx="19">
                  <c:v>2.4282464787393301E-5</c:v>
                </c:pt>
                <c:pt idx="20">
                  <c:v>3.3152469622410902E-5</c:v>
                </c:pt>
                <c:pt idx="21">
                  <c:v>3.3152469622410902E-5</c:v>
                </c:pt>
                <c:pt idx="22">
                  <c:v>3.3152469622410902E-5</c:v>
                </c:pt>
                <c:pt idx="23">
                  <c:v>3.3152469622410902E-5</c:v>
                </c:pt>
                <c:pt idx="24">
                  <c:v>3.3152469622410902E-5</c:v>
                </c:pt>
                <c:pt idx="25">
                  <c:v>3.3275194984422199E-5</c:v>
                </c:pt>
                <c:pt idx="26">
                  <c:v>3.3275194984422199E-5</c:v>
                </c:pt>
                <c:pt idx="27">
                  <c:v>3.3275194984422199E-5</c:v>
                </c:pt>
                <c:pt idx="28">
                  <c:v>3.3275194984422199E-5</c:v>
                </c:pt>
                <c:pt idx="29">
                  <c:v>3.3275194984422199E-5</c:v>
                </c:pt>
                <c:pt idx="30">
                  <c:v>3.5997895768729003E-5</c:v>
                </c:pt>
                <c:pt idx="31">
                  <c:v>3.5997895768729003E-5</c:v>
                </c:pt>
                <c:pt idx="32">
                  <c:v>3.5997895768729003E-5</c:v>
                </c:pt>
                <c:pt idx="33">
                  <c:v>3.211065384099E-5</c:v>
                </c:pt>
                <c:pt idx="34">
                  <c:v>3.211065384099E-5</c:v>
                </c:pt>
                <c:pt idx="35">
                  <c:v>3.211065384099E-5</c:v>
                </c:pt>
                <c:pt idx="36">
                  <c:v>3.211065384099E-5</c:v>
                </c:pt>
                <c:pt idx="37">
                  <c:v>2.72540918817656E-5</c:v>
                </c:pt>
                <c:pt idx="38">
                  <c:v>2.72540918817656E-5</c:v>
                </c:pt>
                <c:pt idx="39">
                  <c:v>2.72540918817656E-5</c:v>
                </c:pt>
                <c:pt idx="40">
                  <c:v>2.72540918817656E-5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6E-49C8-9A17-A30ACABB65B0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'2023'!$Q$2:$Q$42</c:f>
              <c:numCache>
                <c:formatCode>0.00E+00</c:formatCode>
                <c:ptCount val="41"/>
                <c:pt idx="0">
                  <c:v>8.8217998978148202E-6</c:v>
                </c:pt>
                <c:pt idx="1">
                  <c:v>8.1070157266630092E-6</c:v>
                </c:pt>
                <c:pt idx="2">
                  <c:v>9.7231063729453607E-6</c:v>
                </c:pt>
                <c:pt idx="3">
                  <c:v>9.7512194090124399E-6</c:v>
                </c:pt>
                <c:pt idx="4">
                  <c:v>1.00162283776902E-5</c:v>
                </c:pt>
                <c:pt idx="5">
                  <c:v>1.02295867779071E-5</c:v>
                </c:pt>
                <c:pt idx="6">
                  <c:v>9.32920699471087E-6</c:v>
                </c:pt>
                <c:pt idx="7">
                  <c:v>9.7664282379617399E-6</c:v>
                </c:pt>
                <c:pt idx="8">
                  <c:v>1.0702111766818099E-5</c:v>
                </c:pt>
                <c:pt idx="9">
                  <c:v>9.8390524055763403E-6</c:v>
                </c:pt>
                <c:pt idx="10">
                  <c:v>9.8527452315904302E-6</c:v>
                </c:pt>
                <c:pt idx="11">
                  <c:v>9.9200677789440901E-6</c:v>
                </c:pt>
                <c:pt idx="12">
                  <c:v>9.7086854022988994E-6</c:v>
                </c:pt>
                <c:pt idx="13">
                  <c:v>1.0738496233332299E-5</c:v>
                </c:pt>
                <c:pt idx="14">
                  <c:v>1.00380647995848E-5</c:v>
                </c:pt>
                <c:pt idx="15">
                  <c:v>9.4140570981038905E-6</c:v>
                </c:pt>
                <c:pt idx="16">
                  <c:v>9.2262756049399703E-6</c:v>
                </c:pt>
                <c:pt idx="17">
                  <c:v>8.3704838256386796E-6</c:v>
                </c:pt>
                <c:pt idx="18">
                  <c:v>8.8201195505269795E-6</c:v>
                </c:pt>
                <c:pt idx="19">
                  <c:v>9.6515086898065197E-6</c:v>
                </c:pt>
                <c:pt idx="20">
                  <c:v>7.6791486055515793E-6</c:v>
                </c:pt>
                <c:pt idx="21">
                  <c:v>9.0337233700550803E-6</c:v>
                </c:pt>
                <c:pt idx="22">
                  <c:v>8.1565331293804397E-6</c:v>
                </c:pt>
                <c:pt idx="23">
                  <c:v>8.1571137693703098E-6</c:v>
                </c:pt>
                <c:pt idx="24">
                  <c:v>8.0926363182176503E-6</c:v>
                </c:pt>
                <c:pt idx="25">
                  <c:v>7.3075285509042097E-6</c:v>
                </c:pt>
                <c:pt idx="26">
                  <c:v>7.95853745977731E-6</c:v>
                </c:pt>
                <c:pt idx="27">
                  <c:v>8.6745626172476701E-6</c:v>
                </c:pt>
                <c:pt idx="28">
                  <c:v>8.6565370632305305E-6</c:v>
                </c:pt>
                <c:pt idx="29">
                  <c:v>9.7309487915971802E-6</c:v>
                </c:pt>
                <c:pt idx="30">
                  <c:v>6.9860430898470503E-6</c:v>
                </c:pt>
                <c:pt idx="31">
                  <c:v>8.5486823439542004E-6</c:v>
                </c:pt>
                <c:pt idx="32">
                  <c:v>8.09077596896846E-6</c:v>
                </c:pt>
                <c:pt idx="33">
                  <c:v>8.3018811338709796E-6</c:v>
                </c:pt>
                <c:pt idx="34">
                  <c:v>7.5777436874146202E-6</c:v>
                </c:pt>
                <c:pt idx="35">
                  <c:v>7.9734568506883607E-6</c:v>
                </c:pt>
                <c:pt idx="36">
                  <c:v>7.5675751983104302E-6</c:v>
                </c:pt>
                <c:pt idx="37">
                  <c:v>8.3018811338709796E-6</c:v>
                </c:pt>
                <c:pt idx="38">
                  <c:v>7.5777436874146202E-6</c:v>
                </c:pt>
                <c:pt idx="39">
                  <c:v>7.9734568506883607E-6</c:v>
                </c:pt>
                <c:pt idx="40">
                  <c:v>7.5675751983104302E-6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6E-49C8-9A17-A30ACABB6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Envelope Standar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</a:t>
            </a:r>
            <a:r>
              <a:rPr lang="en-US" baseline="0"/>
              <a:t> vs p90 Envelope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'2023'!$B$1</c:f>
              <c:strCache>
                <c:ptCount val="1"/>
                <c:pt idx="0">
                  <c:v>Calibration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817585301837274E-2"/>
                  <c:y val="-3.63188976377952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'2023'!$H$2:$H$42</c:f>
              <c:numCache>
                <c:formatCode>0.00E+00</c:formatCode>
                <c:ptCount val="41"/>
                <c:pt idx="0">
                  <c:v>4.6050444005698603E-5</c:v>
                </c:pt>
                <c:pt idx="1">
                  <c:v>4.6050444005698603E-5</c:v>
                </c:pt>
                <c:pt idx="2">
                  <c:v>4.6050444005698603E-5</c:v>
                </c:pt>
                <c:pt idx="3">
                  <c:v>4.6050444005698603E-5</c:v>
                </c:pt>
                <c:pt idx="4">
                  <c:v>4.6050444005698603E-5</c:v>
                </c:pt>
                <c:pt idx="5">
                  <c:v>3.6794880954068402E-5</c:v>
                </c:pt>
                <c:pt idx="6">
                  <c:v>3.6794880954068402E-5</c:v>
                </c:pt>
                <c:pt idx="7">
                  <c:v>3.6794880954068402E-5</c:v>
                </c:pt>
                <c:pt idx="8">
                  <c:v>3.6794880954068402E-5</c:v>
                </c:pt>
                <c:pt idx="9">
                  <c:v>3.6794880954068402E-5</c:v>
                </c:pt>
                <c:pt idx="10">
                  <c:v>3.6304853892261698E-5</c:v>
                </c:pt>
                <c:pt idx="11">
                  <c:v>3.6304853892261698E-5</c:v>
                </c:pt>
                <c:pt idx="12">
                  <c:v>3.6304853892261698E-5</c:v>
                </c:pt>
                <c:pt idx="13">
                  <c:v>3.6304853892261698E-5</c:v>
                </c:pt>
                <c:pt idx="14">
                  <c:v>3.6304853892261698E-5</c:v>
                </c:pt>
                <c:pt idx="15">
                  <c:v>4.87254193614906E-5</c:v>
                </c:pt>
                <c:pt idx="16">
                  <c:v>4.87254193614906E-5</c:v>
                </c:pt>
                <c:pt idx="17">
                  <c:v>4.87254193614906E-5</c:v>
                </c:pt>
                <c:pt idx="18">
                  <c:v>4.87254193614906E-5</c:v>
                </c:pt>
                <c:pt idx="19">
                  <c:v>4.87254193614906E-5</c:v>
                </c:pt>
                <c:pt idx="20">
                  <c:v>6.34588788355474E-5</c:v>
                </c:pt>
                <c:pt idx="21">
                  <c:v>6.34588788355474E-5</c:v>
                </c:pt>
                <c:pt idx="22">
                  <c:v>6.34588788355474E-5</c:v>
                </c:pt>
                <c:pt idx="23">
                  <c:v>6.34588788355474E-5</c:v>
                </c:pt>
                <c:pt idx="24">
                  <c:v>6.34588788355474E-5</c:v>
                </c:pt>
                <c:pt idx="25">
                  <c:v>6.05125252374507E-5</c:v>
                </c:pt>
                <c:pt idx="26">
                  <c:v>6.05125252374507E-5</c:v>
                </c:pt>
                <c:pt idx="27">
                  <c:v>6.05125252374507E-5</c:v>
                </c:pt>
                <c:pt idx="28">
                  <c:v>6.05125252374507E-5</c:v>
                </c:pt>
                <c:pt idx="29">
                  <c:v>6.05125252374507E-5</c:v>
                </c:pt>
                <c:pt idx="30">
                  <c:v>6.4764646565544897E-5</c:v>
                </c:pt>
                <c:pt idx="31">
                  <c:v>6.4764646565544897E-5</c:v>
                </c:pt>
                <c:pt idx="32">
                  <c:v>6.4764646565544897E-5</c:v>
                </c:pt>
                <c:pt idx="33">
                  <c:v>5.68150891096771E-5</c:v>
                </c:pt>
                <c:pt idx="34">
                  <c:v>5.68150891096771E-5</c:v>
                </c:pt>
                <c:pt idx="35">
                  <c:v>5.68150891096771E-5</c:v>
                </c:pt>
                <c:pt idx="36">
                  <c:v>5.68150891096771E-5</c:v>
                </c:pt>
                <c:pt idx="37">
                  <c:v>4.9690548003291298E-5</c:v>
                </c:pt>
                <c:pt idx="38">
                  <c:v>4.9690548003291298E-5</c:v>
                </c:pt>
                <c:pt idx="39">
                  <c:v>4.9690548003291298E-5</c:v>
                </c:pt>
                <c:pt idx="40">
                  <c:v>4.9690548003291298E-5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F4-44DA-8A47-56E06E3F5FA3}"/>
            </c:ext>
          </c:extLst>
        </c:ser>
        <c:ser>
          <c:idx val="1"/>
          <c:order val="1"/>
          <c:tx>
            <c:strRef>
              <c:f>'2023'!$L$1</c:f>
              <c:strCache>
                <c:ptCount val="1"/>
                <c:pt idx="0">
                  <c:v>Match Tau (Pa)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39107611548559E-2"/>
                  <c:y val="-0.12658428113152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'2023'!$L$2:$L$42</c:f>
              <c:numCache>
                <c:formatCode>0.000</c:formatCode>
                <c:ptCount val="41"/>
                <c:pt idx="0">
                  <c:v>0.35506608000000001</c:v>
                </c:pt>
                <c:pt idx="1">
                  <c:v>0.35506608000000001</c:v>
                </c:pt>
                <c:pt idx="2">
                  <c:v>0.35506608000000001</c:v>
                </c:pt>
                <c:pt idx="3">
                  <c:v>0.35506608000000001</c:v>
                </c:pt>
                <c:pt idx="4">
                  <c:v>0.35506608000000001</c:v>
                </c:pt>
                <c:pt idx="5">
                  <c:v>0.376777213</c:v>
                </c:pt>
                <c:pt idx="6">
                  <c:v>0.376777213</c:v>
                </c:pt>
                <c:pt idx="7">
                  <c:v>0.376777213</c:v>
                </c:pt>
                <c:pt idx="8">
                  <c:v>0.376777213</c:v>
                </c:pt>
                <c:pt idx="9">
                  <c:v>0.376777213</c:v>
                </c:pt>
                <c:pt idx="10">
                  <c:v>0.39953381599999999</c:v>
                </c:pt>
                <c:pt idx="11">
                  <c:v>0.39953381599999999</c:v>
                </c:pt>
                <c:pt idx="12">
                  <c:v>0.39953381599999999</c:v>
                </c:pt>
                <c:pt idx="13">
                  <c:v>0.39953381599999999</c:v>
                </c:pt>
                <c:pt idx="14">
                  <c:v>0.39953381599999999</c:v>
                </c:pt>
                <c:pt idx="15">
                  <c:v>0.44939223900000003</c:v>
                </c:pt>
                <c:pt idx="16">
                  <c:v>0.44939223900000003</c:v>
                </c:pt>
                <c:pt idx="17">
                  <c:v>0.44939223900000003</c:v>
                </c:pt>
                <c:pt idx="18">
                  <c:v>0.44939223900000003</c:v>
                </c:pt>
                <c:pt idx="19">
                  <c:v>0.44939223900000003</c:v>
                </c:pt>
                <c:pt idx="20">
                  <c:v>0.50323377899999999</c:v>
                </c:pt>
                <c:pt idx="21">
                  <c:v>0.50323377899999999</c:v>
                </c:pt>
                <c:pt idx="22">
                  <c:v>0.50323377899999999</c:v>
                </c:pt>
                <c:pt idx="23">
                  <c:v>0.50323377899999999</c:v>
                </c:pt>
                <c:pt idx="24">
                  <c:v>0.50323377899999999</c:v>
                </c:pt>
                <c:pt idx="25">
                  <c:v>0.56216848100000005</c:v>
                </c:pt>
                <c:pt idx="26">
                  <c:v>0.56216848100000005</c:v>
                </c:pt>
                <c:pt idx="27">
                  <c:v>0.56216848100000005</c:v>
                </c:pt>
                <c:pt idx="28">
                  <c:v>0.56216848100000005</c:v>
                </c:pt>
                <c:pt idx="29">
                  <c:v>0.56216848100000005</c:v>
                </c:pt>
                <c:pt idx="30">
                  <c:v>0.562700329</c:v>
                </c:pt>
                <c:pt idx="31">
                  <c:v>0.562700329</c:v>
                </c:pt>
                <c:pt idx="32">
                  <c:v>0.562700329</c:v>
                </c:pt>
                <c:pt idx="33">
                  <c:v>0.475692385</c:v>
                </c:pt>
                <c:pt idx="34">
                  <c:v>0.475692385</c:v>
                </c:pt>
                <c:pt idx="35">
                  <c:v>0.475692385</c:v>
                </c:pt>
                <c:pt idx="36">
                  <c:v>0.475692385</c:v>
                </c:pt>
                <c:pt idx="37">
                  <c:v>0.475692385</c:v>
                </c:pt>
                <c:pt idx="38">
                  <c:v>0.475692385</c:v>
                </c:pt>
                <c:pt idx="39">
                  <c:v>0.475692385</c:v>
                </c:pt>
                <c:pt idx="40">
                  <c:v>0.475692385</c:v>
                </c:pt>
              </c:numCache>
            </c:numRef>
          </c:xVal>
          <c:yVal>
            <c:numRef>
              <c:f>'2023'!$R$2:$R$42</c:f>
              <c:numCache>
                <c:formatCode>0.00E+00</c:formatCode>
                <c:ptCount val="41"/>
                <c:pt idx="0">
                  <c:v>2.5859967301734999E-5</c:v>
                </c:pt>
                <c:pt idx="1">
                  <c:v>2.1984943331226699E-5</c:v>
                </c:pt>
                <c:pt idx="2">
                  <c:v>2.64005867639817E-5</c:v>
                </c:pt>
                <c:pt idx="3">
                  <c:v>2.5947784237006699E-5</c:v>
                </c:pt>
                <c:pt idx="4">
                  <c:v>2.60161157472176E-5</c:v>
                </c:pt>
                <c:pt idx="5">
                  <c:v>2.7278724423793602E-5</c:v>
                </c:pt>
                <c:pt idx="6">
                  <c:v>2.4626765332813401E-5</c:v>
                </c:pt>
                <c:pt idx="7">
                  <c:v>2.48349739636668E-5</c:v>
                </c:pt>
                <c:pt idx="8">
                  <c:v>2.5200359649271599E-5</c:v>
                </c:pt>
                <c:pt idx="9">
                  <c:v>2.4944956625353998E-5</c:v>
                </c:pt>
                <c:pt idx="10">
                  <c:v>2.3605232172209099E-5</c:v>
                </c:pt>
                <c:pt idx="11">
                  <c:v>2.3454204015199001E-5</c:v>
                </c:pt>
                <c:pt idx="12">
                  <c:v>2.1615291757642601E-5</c:v>
                </c:pt>
                <c:pt idx="13">
                  <c:v>2.34333456593813E-5</c:v>
                </c:pt>
                <c:pt idx="14">
                  <c:v>2.4294647269364902E-5</c:v>
                </c:pt>
                <c:pt idx="15">
                  <c:v>2.3928058730989902E-5</c:v>
                </c:pt>
                <c:pt idx="16">
                  <c:v>2.3897207279963801E-5</c:v>
                </c:pt>
                <c:pt idx="17">
                  <c:v>2.2132398582652199E-5</c:v>
                </c:pt>
                <c:pt idx="18">
                  <c:v>2.3860876716923199E-5</c:v>
                </c:pt>
                <c:pt idx="19">
                  <c:v>2.3364677068823399E-5</c:v>
                </c:pt>
                <c:pt idx="20">
                  <c:v>2.1743408675047499E-5</c:v>
                </c:pt>
                <c:pt idx="21">
                  <c:v>2.4765582034495399E-5</c:v>
                </c:pt>
                <c:pt idx="22">
                  <c:v>2.1024073626398802E-5</c:v>
                </c:pt>
                <c:pt idx="23">
                  <c:v>2.1237476060084999E-5</c:v>
                </c:pt>
                <c:pt idx="24">
                  <c:v>2.23406371335024E-5</c:v>
                </c:pt>
                <c:pt idx="25">
                  <c:v>2.1718746636232202E-5</c:v>
                </c:pt>
                <c:pt idx="26">
                  <c:v>2.2130704825700299E-5</c:v>
                </c:pt>
                <c:pt idx="27">
                  <c:v>2.46828935558184E-5</c:v>
                </c:pt>
                <c:pt idx="28">
                  <c:v>2.4024499271058699E-5</c:v>
                </c:pt>
                <c:pt idx="29">
                  <c:v>2.6403321185912401E-5</c:v>
                </c:pt>
                <c:pt idx="30">
                  <c:v>2.08308144280564E-5</c:v>
                </c:pt>
                <c:pt idx="31">
                  <c:v>2.2278821536138301E-5</c:v>
                </c:pt>
                <c:pt idx="32">
                  <c:v>2.2272709470740599E-5</c:v>
                </c:pt>
                <c:pt idx="33">
                  <c:v>2.2582291106424199E-5</c:v>
                </c:pt>
                <c:pt idx="34">
                  <c:v>2.2084241329660801E-5</c:v>
                </c:pt>
                <c:pt idx="35">
                  <c:v>2.1921143941074601E-5</c:v>
                </c:pt>
                <c:pt idx="36">
                  <c:v>2.1379303050026002E-5</c:v>
                </c:pt>
                <c:pt idx="37">
                  <c:v>2.2582291106424199E-5</c:v>
                </c:pt>
                <c:pt idx="38">
                  <c:v>2.2084241329660801E-5</c:v>
                </c:pt>
                <c:pt idx="39">
                  <c:v>2.1921143941074601E-5</c:v>
                </c:pt>
                <c:pt idx="40">
                  <c:v>2.1379303050026002E-5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F4-44DA-8A47-56E06E3F5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30000"/>
        <c:axId val="744513680"/>
      </c:scatterChart>
      <c:valAx>
        <c:axId val="744530000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3680"/>
        <c:crosses val="autoZero"/>
        <c:crossBetween val="midCat"/>
      </c:valAx>
      <c:valAx>
        <c:axId val="7445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Envelope 90th 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'2023'!$AJ$2</c:f>
              <c:strCache>
                <c:ptCount val="1"/>
                <c:pt idx="0">
                  <c:v>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74106291836936"/>
                  <c:y val="0.2159731951933918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'2023'!$AJ$3:$AJ$43</c:f>
              <c:numCache>
                <c:formatCode>0.00</c:formatCode>
                <c:ptCount val="41"/>
                <c:pt idx="0">
                  <c:v>1.9808443158627718</c:v>
                </c:pt>
                <c:pt idx="1">
                  <c:v>2.2848181540971852</c:v>
                </c:pt>
                <c:pt idx="2">
                  <c:v>1.9078328190789398</c:v>
                </c:pt>
                <c:pt idx="3">
                  <c:v>1.9235207880521508</c:v>
                </c:pt>
                <c:pt idx="4">
                  <c:v>1.9174864955048601</c:v>
                </c:pt>
                <c:pt idx="5">
                  <c:v>1.4394365654148733</c:v>
                </c:pt>
                <c:pt idx="6">
                  <c:v>1.5903776368248552</c:v>
                </c:pt>
                <c:pt idx="7">
                  <c:v>1.5417389589585446</c:v>
                </c:pt>
                <c:pt idx="8">
                  <c:v>1.4765327098839185</c:v>
                </c:pt>
                <c:pt idx="9">
                  <c:v>1.5336706220263248</c:v>
                </c:pt>
                <c:pt idx="10">
                  <c:v>1.6161974848639291</c:v>
                </c:pt>
                <c:pt idx="11">
                  <c:v>1.6150878323822884</c:v>
                </c:pt>
                <c:pt idx="12">
                  <c:v>1.7044302959241602</c:v>
                </c:pt>
                <c:pt idx="13">
                  <c:v>1.5641806970005112</c:v>
                </c:pt>
                <c:pt idx="14">
                  <c:v>1.5503118669298432</c:v>
                </c:pt>
                <c:pt idx="15">
                  <c:v>2.123350367217987</c:v>
                </c:pt>
                <c:pt idx="16">
                  <c:v>2.1458173813193011</c:v>
                </c:pt>
                <c:pt idx="17">
                  <c:v>2.3272955276167679</c:v>
                </c:pt>
                <c:pt idx="18">
                  <c:v>2.1809157705505924</c:v>
                </c:pt>
                <c:pt idx="19">
                  <c:v>2.1346539341112565</c:v>
                </c:pt>
                <c:pt idx="20">
                  <c:v>3.1659468106384274</c:v>
                </c:pt>
                <c:pt idx="21">
                  <c:v>2.7579554849312959</c:v>
                </c:pt>
                <c:pt idx="22">
                  <c:v>3.1735140761531322</c:v>
                </c:pt>
                <c:pt idx="23">
                  <c:v>3.1607496451743375</c:v>
                </c:pt>
                <c:pt idx="24">
                  <c:v>3.0727075446661334</c:v>
                </c:pt>
                <c:pt idx="25">
                  <c:v>3.1251915217198092</c:v>
                </c:pt>
                <c:pt idx="26">
                  <c:v>3.0068867226904823</c:v>
                </c:pt>
                <c:pt idx="27">
                  <c:v>2.734687239845969</c:v>
                </c:pt>
                <c:pt idx="28">
                  <c:v>2.8060076562383629</c:v>
                </c:pt>
                <c:pt idx="29">
                  <c:v>2.5217211102089689</c:v>
                </c:pt>
                <c:pt idx="30">
                  <c:v>3.5357886486673351</c:v>
                </c:pt>
                <c:pt idx="31">
                  <c:v>3.1919039500240127</c:v>
                </c:pt>
                <c:pt idx="32">
                  <c:v>3.2472699349087217</c:v>
                </c:pt>
                <c:pt idx="33">
                  <c:v>2.8217302436069573</c:v>
                </c:pt>
                <c:pt idx="34">
                  <c:v>2.9548946560621983</c:v>
                </c:pt>
                <c:pt idx="35">
                  <c:v>2.9157053990067849</c:v>
                </c:pt>
                <c:pt idx="36">
                  <c:v>3.0220291666132009</c:v>
                </c:pt>
                <c:pt idx="37">
                  <c:v>2.4269831735356644</c:v>
                </c:pt>
                <c:pt idx="38">
                  <c:v>2.5415184977662006</c:v>
                </c:pt>
                <c:pt idx="39">
                  <c:v>2.5078116373487878</c:v>
                </c:pt>
                <c:pt idx="40">
                  <c:v>2.5992611993727723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5A-45F1-B751-0B8A353C6831}"/>
            </c:ext>
          </c:extLst>
        </c:ser>
        <c:ser>
          <c:idx val="1"/>
          <c:order val="1"/>
          <c:tx>
            <c:strRef>
              <c:f>'2023'!$D$1</c:f>
              <c:strCache>
                <c:ptCount val="1"/>
                <c:pt idx="0">
                  <c:v>maa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807802323534589"/>
                  <c:y val="0.2568377498212421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'2023'!$AK$3:$AK$43</c:f>
              <c:numCache>
                <c:formatCode>0.00</c:formatCode>
                <c:ptCount val="41"/>
                <c:pt idx="0">
                  <c:v>1.6023306164916791</c:v>
                </c:pt>
                <c:pt idx="1">
                  <c:v>1.8926401087257059</c:v>
                </c:pt>
                <c:pt idx="2">
                  <c:v>1.577603180434239</c:v>
                </c:pt>
                <c:pt idx="3">
                  <c:v>1.597388805942314</c:v>
                </c:pt>
                <c:pt idx="4">
                  <c:v>1.6112210905025457</c:v>
                </c:pt>
                <c:pt idx="5">
                  <c:v>1.2122713639881819</c:v>
                </c:pt>
                <c:pt idx="6">
                  <c:v>1.3482955315054186</c:v>
                </c:pt>
                <c:pt idx="7">
                  <c:v>1.3157050589480173</c:v>
                </c:pt>
                <c:pt idx="8">
                  <c:v>1.2909197425904744</c:v>
                </c:pt>
                <c:pt idx="9">
                  <c:v>1.3090641585820353</c:v>
                </c:pt>
                <c:pt idx="10">
                  <c:v>1.383903921758401</c:v>
                </c:pt>
                <c:pt idx="11">
                  <c:v>1.3887865720771682</c:v>
                </c:pt>
                <c:pt idx="12">
                  <c:v>1.4934617519613649</c:v>
                </c:pt>
                <c:pt idx="13">
                  <c:v>1.3827064936056632</c:v>
                </c:pt>
                <c:pt idx="14">
                  <c:v>1.3107124009498248</c:v>
                </c:pt>
                <c:pt idx="15">
                  <c:v>1.8707195415844995</c:v>
                </c:pt>
                <c:pt idx="16">
                  <c:v>1.8776761238817394</c:v>
                </c:pt>
                <c:pt idx="17">
                  <c:v>2.026910506833465</c:v>
                </c:pt>
                <c:pt idx="18">
                  <c:v>1.888208101080491</c:v>
                </c:pt>
                <c:pt idx="19">
                  <c:v>1.9104443325974683</c:v>
                </c:pt>
                <c:pt idx="20">
                  <c:v>2.6064926314559962</c:v>
                </c:pt>
                <c:pt idx="21">
                  <c:v>2.2878878617036391</c:v>
                </c:pt>
                <c:pt idx="22">
                  <c:v>2.6833012668439662</c:v>
                </c:pt>
                <c:pt idx="23">
                  <c:v>2.6653962014377943</c:v>
                </c:pt>
                <c:pt idx="24">
                  <c:v>2.549979683940669</c:v>
                </c:pt>
                <c:pt idx="25">
                  <c:v>2.4612516748957671</c:v>
                </c:pt>
                <c:pt idx="26">
                  <c:v>2.4063567540574682</c:v>
                </c:pt>
                <c:pt idx="27">
                  <c:v>2.1818978925511177</c:v>
                </c:pt>
                <c:pt idx="28">
                  <c:v>2.2568865874345612</c:v>
                </c:pt>
                <c:pt idx="29">
                  <c:v>2.0354709857785531</c:v>
                </c:pt>
                <c:pt idx="30">
                  <c:v>2.7951368943409269</c:v>
                </c:pt>
                <c:pt idx="31">
                  <c:v>2.6244411915732213</c:v>
                </c:pt>
                <c:pt idx="32">
                  <c:v>2.6251161008006578</c:v>
                </c:pt>
                <c:pt idx="33">
                  <c:v>2.2603454807980481</c:v>
                </c:pt>
                <c:pt idx="34">
                  <c:v>2.3265732500183569</c:v>
                </c:pt>
                <c:pt idx="35">
                  <c:v>2.3299771857227998</c:v>
                </c:pt>
                <c:pt idx="36">
                  <c:v>2.4018397612574764</c:v>
                </c:pt>
                <c:pt idx="37">
                  <c:v>1.9741671576379574</c:v>
                </c:pt>
                <c:pt idx="38">
                  <c:v>2.0320099467288526</c:v>
                </c:pt>
                <c:pt idx="39">
                  <c:v>2.0349829161848532</c:v>
                </c:pt>
                <c:pt idx="40">
                  <c:v>2.0977470987795193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5A-45F1-B751-0B8A353C6831}"/>
            </c:ext>
          </c:extLst>
        </c:ser>
        <c:ser>
          <c:idx val="2"/>
          <c:order val="2"/>
          <c:tx>
            <c:strRef>
              <c:f>'2023'!$AM$2</c:f>
              <c:strCache>
                <c:ptCount val="1"/>
                <c:pt idx="0">
                  <c:v>mean_envelope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763535772264539"/>
                  <c:y val="0.359036280869664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'2023'!$AM$3:$AM$43</c:f>
              <c:numCache>
                <c:formatCode>0.00</c:formatCode>
                <c:ptCount val="41"/>
                <c:pt idx="0">
                  <c:v>1.5988652710370437</c:v>
                </c:pt>
                <c:pt idx="1">
                  <c:v>1.8857414906743826</c:v>
                </c:pt>
                <c:pt idx="2">
                  <c:v>1.5755543146684827</c:v>
                </c:pt>
                <c:pt idx="3">
                  <c:v>1.5959561871108567</c:v>
                </c:pt>
                <c:pt idx="4">
                  <c:v>1.6077574223617497</c:v>
                </c:pt>
                <c:pt idx="5">
                  <c:v>1.2144659161144622</c:v>
                </c:pt>
                <c:pt idx="6">
                  <c:v>1.3463494250166452</c:v>
                </c:pt>
                <c:pt idx="7">
                  <c:v>1.3140307770209378</c:v>
                </c:pt>
                <c:pt idx="8">
                  <c:v>1.289470274659392</c:v>
                </c:pt>
                <c:pt idx="9">
                  <c:v>1.3084849840038146</c:v>
                </c:pt>
                <c:pt idx="10">
                  <c:v>1.3823342208972549</c:v>
                </c:pt>
                <c:pt idx="11">
                  <c:v>1.3860032265854749</c:v>
                </c:pt>
                <c:pt idx="12">
                  <c:v>1.4903064962055432</c:v>
                </c:pt>
                <c:pt idx="13">
                  <c:v>1.3805019736705846</c:v>
                </c:pt>
                <c:pt idx="14">
                  <c:v>1.3101791063701564</c:v>
                </c:pt>
                <c:pt idx="15">
                  <c:v>1.8667627270791181</c:v>
                </c:pt>
                <c:pt idx="16">
                  <c:v>1.8779893474035734</c:v>
                </c:pt>
                <c:pt idx="17">
                  <c:v>2.0219548762464492</c:v>
                </c:pt>
                <c:pt idx="18">
                  <c:v>1.884396214184249</c:v>
                </c:pt>
                <c:pt idx="19">
                  <c:v>1.9052493325030491</c:v>
                </c:pt>
                <c:pt idx="20">
                  <c:v>2.596336261954205</c:v>
                </c:pt>
                <c:pt idx="21">
                  <c:v>2.2836972183548077</c:v>
                </c:pt>
                <c:pt idx="22">
                  <c:v>2.6714162554980425</c:v>
                </c:pt>
                <c:pt idx="23">
                  <c:v>2.6559124279142066</c:v>
                </c:pt>
                <c:pt idx="24">
                  <c:v>2.5423244941638701</c:v>
                </c:pt>
                <c:pt idx="25">
                  <c:v>2.4535924683484129</c:v>
                </c:pt>
                <c:pt idx="26">
                  <c:v>2.4012463559171588</c:v>
                </c:pt>
                <c:pt idx="27">
                  <c:v>2.1765671384469365</c:v>
                </c:pt>
                <c:pt idx="28">
                  <c:v>2.2541217264754856</c:v>
                </c:pt>
                <c:pt idx="29">
                  <c:v>2.0342295315594932</c:v>
                </c:pt>
                <c:pt idx="30">
                  <c:v>2.7843607921617006</c:v>
                </c:pt>
                <c:pt idx="31">
                  <c:v>2.6127191024191614</c:v>
                </c:pt>
                <c:pt idx="32">
                  <c:v>2.6158742167493787</c:v>
                </c:pt>
                <c:pt idx="33">
                  <c:v>2.2550973288300993</c:v>
                </c:pt>
                <c:pt idx="34">
                  <c:v>2.3206997714259283</c:v>
                </c:pt>
                <c:pt idx="35">
                  <c:v>2.3230111545108665</c:v>
                </c:pt>
                <c:pt idx="36">
                  <c:v>2.3922181546028307</c:v>
                </c:pt>
                <c:pt idx="37">
                  <c:v>1.9701244440169443</c:v>
                </c:pt>
                <c:pt idx="38">
                  <c:v>2.0274368154578304</c:v>
                </c:pt>
                <c:pt idx="39">
                  <c:v>2.029456112920919</c:v>
                </c:pt>
                <c:pt idx="40">
                  <c:v>2.0899175399445569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5A-45F1-B751-0B8A353C6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537199"/>
        <c:axId val="1457549199"/>
      </c:scatterChart>
      <c:valAx>
        <c:axId val="1457537199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49199"/>
        <c:crosses val="autoZero"/>
        <c:crossBetween val="midCat"/>
      </c:valAx>
      <c:valAx>
        <c:axId val="14575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3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'2023'!$AJ$2</c:f>
              <c:strCache>
                <c:ptCount val="1"/>
                <c:pt idx="0">
                  <c:v>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474106291836936"/>
                  <c:y val="0.2159731951933918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'2023'!$AJ$3:$AJ$43</c:f>
              <c:numCache>
                <c:formatCode>0.00</c:formatCode>
                <c:ptCount val="41"/>
                <c:pt idx="0">
                  <c:v>1.9808443158627718</c:v>
                </c:pt>
                <c:pt idx="1">
                  <c:v>2.2848181540971852</c:v>
                </c:pt>
                <c:pt idx="2">
                  <c:v>1.9078328190789398</c:v>
                </c:pt>
                <c:pt idx="3">
                  <c:v>1.9235207880521508</c:v>
                </c:pt>
                <c:pt idx="4">
                  <c:v>1.9174864955048601</c:v>
                </c:pt>
                <c:pt idx="5">
                  <c:v>1.4394365654148733</c:v>
                </c:pt>
                <c:pt idx="6">
                  <c:v>1.5903776368248552</c:v>
                </c:pt>
                <c:pt idx="7">
                  <c:v>1.5417389589585446</c:v>
                </c:pt>
                <c:pt idx="8">
                  <c:v>1.4765327098839185</c:v>
                </c:pt>
                <c:pt idx="9">
                  <c:v>1.5336706220263248</c:v>
                </c:pt>
                <c:pt idx="10">
                  <c:v>1.6161974848639291</c:v>
                </c:pt>
                <c:pt idx="11">
                  <c:v>1.6150878323822884</c:v>
                </c:pt>
                <c:pt idx="12">
                  <c:v>1.7044302959241602</c:v>
                </c:pt>
                <c:pt idx="13">
                  <c:v>1.5641806970005112</c:v>
                </c:pt>
                <c:pt idx="14">
                  <c:v>1.5503118669298432</c:v>
                </c:pt>
                <c:pt idx="15">
                  <c:v>2.123350367217987</c:v>
                </c:pt>
                <c:pt idx="16">
                  <c:v>2.1458173813193011</c:v>
                </c:pt>
                <c:pt idx="17">
                  <c:v>2.3272955276167679</c:v>
                </c:pt>
                <c:pt idx="18">
                  <c:v>2.1809157705505924</c:v>
                </c:pt>
                <c:pt idx="19">
                  <c:v>2.1346539341112565</c:v>
                </c:pt>
                <c:pt idx="20">
                  <c:v>3.1659468106384274</c:v>
                </c:pt>
                <c:pt idx="21">
                  <c:v>2.7579554849312959</c:v>
                </c:pt>
                <c:pt idx="22">
                  <c:v>3.1735140761531322</c:v>
                </c:pt>
                <c:pt idx="23">
                  <c:v>3.1607496451743375</c:v>
                </c:pt>
                <c:pt idx="24">
                  <c:v>3.0727075446661334</c:v>
                </c:pt>
                <c:pt idx="25">
                  <c:v>3.1251915217198092</c:v>
                </c:pt>
                <c:pt idx="26">
                  <c:v>3.0068867226904823</c:v>
                </c:pt>
                <c:pt idx="27">
                  <c:v>2.734687239845969</c:v>
                </c:pt>
                <c:pt idx="28">
                  <c:v>2.8060076562383629</c:v>
                </c:pt>
                <c:pt idx="29">
                  <c:v>2.5217211102089689</c:v>
                </c:pt>
                <c:pt idx="30">
                  <c:v>3.5357886486673351</c:v>
                </c:pt>
                <c:pt idx="31">
                  <c:v>3.1919039500240127</c:v>
                </c:pt>
                <c:pt idx="32">
                  <c:v>3.2472699349087217</c:v>
                </c:pt>
                <c:pt idx="33">
                  <c:v>2.8217302436069573</c:v>
                </c:pt>
                <c:pt idx="34">
                  <c:v>2.9548946560621983</c:v>
                </c:pt>
                <c:pt idx="35">
                  <c:v>2.9157053990067849</c:v>
                </c:pt>
                <c:pt idx="36">
                  <c:v>3.0220291666132009</c:v>
                </c:pt>
                <c:pt idx="37">
                  <c:v>2.4269831735356644</c:v>
                </c:pt>
                <c:pt idx="38">
                  <c:v>2.5415184977662006</c:v>
                </c:pt>
                <c:pt idx="39">
                  <c:v>2.5078116373487878</c:v>
                </c:pt>
                <c:pt idx="40">
                  <c:v>2.5992611993727723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00-4F3E-8E58-EAFB13239865}"/>
            </c:ext>
          </c:extLst>
        </c:ser>
        <c:ser>
          <c:idx val="1"/>
          <c:order val="1"/>
          <c:tx>
            <c:strRef>
              <c:f>'2023'!$D$1</c:f>
              <c:strCache>
                <c:ptCount val="1"/>
                <c:pt idx="0">
                  <c:v>maa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1807802323534589"/>
                  <c:y val="0.2568377498212421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'2023'!$AK$3:$AK$43</c:f>
              <c:numCache>
                <c:formatCode>0.00</c:formatCode>
                <c:ptCount val="41"/>
                <c:pt idx="0">
                  <c:v>1.6023306164916791</c:v>
                </c:pt>
                <c:pt idx="1">
                  <c:v>1.8926401087257059</c:v>
                </c:pt>
                <c:pt idx="2">
                  <c:v>1.577603180434239</c:v>
                </c:pt>
                <c:pt idx="3">
                  <c:v>1.597388805942314</c:v>
                </c:pt>
                <c:pt idx="4">
                  <c:v>1.6112210905025457</c:v>
                </c:pt>
                <c:pt idx="5">
                  <c:v>1.2122713639881819</c:v>
                </c:pt>
                <c:pt idx="6">
                  <c:v>1.3482955315054186</c:v>
                </c:pt>
                <c:pt idx="7">
                  <c:v>1.3157050589480173</c:v>
                </c:pt>
                <c:pt idx="8">
                  <c:v>1.2909197425904744</c:v>
                </c:pt>
                <c:pt idx="9">
                  <c:v>1.3090641585820353</c:v>
                </c:pt>
                <c:pt idx="10">
                  <c:v>1.383903921758401</c:v>
                </c:pt>
                <c:pt idx="11">
                  <c:v>1.3887865720771682</c:v>
                </c:pt>
                <c:pt idx="12">
                  <c:v>1.4934617519613649</c:v>
                </c:pt>
                <c:pt idx="13">
                  <c:v>1.3827064936056632</c:v>
                </c:pt>
                <c:pt idx="14">
                  <c:v>1.3107124009498248</c:v>
                </c:pt>
                <c:pt idx="15">
                  <c:v>1.8707195415844995</c:v>
                </c:pt>
                <c:pt idx="16">
                  <c:v>1.8776761238817394</c:v>
                </c:pt>
                <c:pt idx="17">
                  <c:v>2.026910506833465</c:v>
                </c:pt>
                <c:pt idx="18">
                  <c:v>1.888208101080491</c:v>
                </c:pt>
                <c:pt idx="19">
                  <c:v>1.9104443325974683</c:v>
                </c:pt>
                <c:pt idx="20">
                  <c:v>2.6064926314559962</c:v>
                </c:pt>
                <c:pt idx="21">
                  <c:v>2.2878878617036391</c:v>
                </c:pt>
                <c:pt idx="22">
                  <c:v>2.6833012668439662</c:v>
                </c:pt>
                <c:pt idx="23">
                  <c:v>2.6653962014377943</c:v>
                </c:pt>
                <c:pt idx="24">
                  <c:v>2.549979683940669</c:v>
                </c:pt>
                <c:pt idx="25">
                  <c:v>2.4612516748957671</c:v>
                </c:pt>
                <c:pt idx="26">
                  <c:v>2.4063567540574682</c:v>
                </c:pt>
                <c:pt idx="27">
                  <c:v>2.1818978925511177</c:v>
                </c:pt>
                <c:pt idx="28">
                  <c:v>2.2568865874345612</c:v>
                </c:pt>
                <c:pt idx="29">
                  <c:v>2.0354709857785531</c:v>
                </c:pt>
                <c:pt idx="30">
                  <c:v>2.7951368943409269</c:v>
                </c:pt>
                <c:pt idx="31">
                  <c:v>2.6244411915732213</c:v>
                </c:pt>
                <c:pt idx="32">
                  <c:v>2.6251161008006578</c:v>
                </c:pt>
                <c:pt idx="33">
                  <c:v>2.2603454807980481</c:v>
                </c:pt>
                <c:pt idx="34">
                  <c:v>2.3265732500183569</c:v>
                </c:pt>
                <c:pt idx="35">
                  <c:v>2.3299771857227998</c:v>
                </c:pt>
                <c:pt idx="36">
                  <c:v>2.4018397612574764</c:v>
                </c:pt>
                <c:pt idx="37">
                  <c:v>1.9741671576379574</c:v>
                </c:pt>
                <c:pt idx="38">
                  <c:v>2.0320099467288526</c:v>
                </c:pt>
                <c:pt idx="39">
                  <c:v>2.0349829161848532</c:v>
                </c:pt>
                <c:pt idx="40">
                  <c:v>2.0977470987795193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00-4F3E-8E58-EAFB13239865}"/>
            </c:ext>
          </c:extLst>
        </c:ser>
        <c:ser>
          <c:idx val="2"/>
          <c:order val="2"/>
          <c:tx>
            <c:strRef>
              <c:f>'2023'!$AM$2</c:f>
              <c:strCache>
                <c:ptCount val="1"/>
                <c:pt idx="0">
                  <c:v>mean_envelope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763535772264539"/>
                  <c:y val="0.359036280869664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'2023'!$AM$3:$AM$43</c:f>
              <c:numCache>
                <c:formatCode>0.00</c:formatCode>
                <c:ptCount val="41"/>
                <c:pt idx="0">
                  <c:v>1.5988652710370437</c:v>
                </c:pt>
                <c:pt idx="1">
                  <c:v>1.8857414906743826</c:v>
                </c:pt>
                <c:pt idx="2">
                  <c:v>1.5755543146684827</c:v>
                </c:pt>
                <c:pt idx="3">
                  <c:v>1.5959561871108567</c:v>
                </c:pt>
                <c:pt idx="4">
                  <c:v>1.6077574223617497</c:v>
                </c:pt>
                <c:pt idx="5">
                  <c:v>1.2144659161144622</c:v>
                </c:pt>
                <c:pt idx="6">
                  <c:v>1.3463494250166452</c:v>
                </c:pt>
                <c:pt idx="7">
                  <c:v>1.3140307770209378</c:v>
                </c:pt>
                <c:pt idx="8">
                  <c:v>1.289470274659392</c:v>
                </c:pt>
                <c:pt idx="9">
                  <c:v>1.3084849840038146</c:v>
                </c:pt>
                <c:pt idx="10">
                  <c:v>1.3823342208972549</c:v>
                </c:pt>
                <c:pt idx="11">
                  <c:v>1.3860032265854749</c:v>
                </c:pt>
                <c:pt idx="12">
                  <c:v>1.4903064962055432</c:v>
                </c:pt>
                <c:pt idx="13">
                  <c:v>1.3805019736705846</c:v>
                </c:pt>
                <c:pt idx="14">
                  <c:v>1.3101791063701564</c:v>
                </c:pt>
                <c:pt idx="15">
                  <c:v>1.8667627270791181</c:v>
                </c:pt>
                <c:pt idx="16">
                  <c:v>1.8779893474035734</c:v>
                </c:pt>
                <c:pt idx="17">
                  <c:v>2.0219548762464492</c:v>
                </c:pt>
                <c:pt idx="18">
                  <c:v>1.884396214184249</c:v>
                </c:pt>
                <c:pt idx="19">
                  <c:v>1.9052493325030491</c:v>
                </c:pt>
                <c:pt idx="20">
                  <c:v>2.596336261954205</c:v>
                </c:pt>
                <c:pt idx="21">
                  <c:v>2.2836972183548077</c:v>
                </c:pt>
                <c:pt idx="22">
                  <c:v>2.6714162554980425</c:v>
                </c:pt>
                <c:pt idx="23">
                  <c:v>2.6559124279142066</c:v>
                </c:pt>
                <c:pt idx="24">
                  <c:v>2.5423244941638701</c:v>
                </c:pt>
                <c:pt idx="25">
                  <c:v>2.4535924683484129</c:v>
                </c:pt>
                <c:pt idx="26">
                  <c:v>2.4012463559171588</c:v>
                </c:pt>
                <c:pt idx="27">
                  <c:v>2.1765671384469365</c:v>
                </c:pt>
                <c:pt idx="28">
                  <c:v>2.2541217264754856</c:v>
                </c:pt>
                <c:pt idx="29">
                  <c:v>2.0342295315594932</c:v>
                </c:pt>
                <c:pt idx="30">
                  <c:v>2.7843607921617006</c:v>
                </c:pt>
                <c:pt idx="31">
                  <c:v>2.6127191024191614</c:v>
                </c:pt>
                <c:pt idx="32">
                  <c:v>2.6158742167493787</c:v>
                </c:pt>
                <c:pt idx="33">
                  <c:v>2.2550973288300993</c:v>
                </c:pt>
                <c:pt idx="34">
                  <c:v>2.3206997714259283</c:v>
                </c:pt>
                <c:pt idx="35">
                  <c:v>2.3230111545108665</c:v>
                </c:pt>
                <c:pt idx="36">
                  <c:v>2.3922181546028307</c:v>
                </c:pt>
                <c:pt idx="37">
                  <c:v>1.9701244440169443</c:v>
                </c:pt>
                <c:pt idx="38">
                  <c:v>2.0274368154578304</c:v>
                </c:pt>
                <c:pt idx="39">
                  <c:v>2.029456112920919</c:v>
                </c:pt>
                <c:pt idx="40">
                  <c:v>2.0899175399445569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00-4F3E-8E58-EAFB13239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537199"/>
        <c:axId val="1457549199"/>
      </c:scatterChart>
      <c:valAx>
        <c:axId val="1457537199"/>
        <c:scaling>
          <c:orientation val="minMax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49199"/>
        <c:crosses val="autoZero"/>
        <c:crossBetween val="midCat"/>
      </c:valAx>
      <c:valAx>
        <c:axId val="14575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3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'2023'!$F$1</c:f>
              <c:strCache>
                <c:ptCount val="1"/>
                <c:pt idx="0">
                  <c:v>mean_envelope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40"/>
            <c:dispRSqr val="1"/>
            <c:dispEq val="1"/>
            <c:trendlineLbl>
              <c:layout>
                <c:manualLayout>
                  <c:x val="0.7271570446796517"/>
                  <c:y val="-0.2200348876703123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40"/>
            <c:dispRSqr val="1"/>
            <c:dispEq val="1"/>
            <c:trendlineLbl>
              <c:layout>
                <c:manualLayout>
                  <c:x val="0.26342893407627116"/>
                  <c:y val="0.41253614903490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'2023'!$B$2:$B$42</c:f>
              <c:numCache>
                <c:formatCode>0.000</c:formatCode>
                <c:ptCount val="41"/>
                <c:pt idx="0">
                  <c:v>0.35736499964336899</c:v>
                </c:pt>
                <c:pt idx="1">
                  <c:v>0.35736499964336899</c:v>
                </c:pt>
                <c:pt idx="2">
                  <c:v>0.35736499964336899</c:v>
                </c:pt>
                <c:pt idx="3">
                  <c:v>0.35736499964336899</c:v>
                </c:pt>
                <c:pt idx="4">
                  <c:v>0.35736499964336899</c:v>
                </c:pt>
                <c:pt idx="5">
                  <c:v>0.37497654782332401</c:v>
                </c:pt>
                <c:pt idx="6">
                  <c:v>0.37497654782332401</c:v>
                </c:pt>
                <c:pt idx="7">
                  <c:v>0.37497654782332401</c:v>
                </c:pt>
                <c:pt idx="8">
                  <c:v>0.37497654782332401</c:v>
                </c:pt>
                <c:pt idx="9">
                  <c:v>0.37497654782332401</c:v>
                </c:pt>
                <c:pt idx="10">
                  <c:v>0.39573120856100902</c:v>
                </c:pt>
                <c:pt idx="11">
                  <c:v>0.39573120856100902</c:v>
                </c:pt>
                <c:pt idx="12">
                  <c:v>0.39573120856100902</c:v>
                </c:pt>
                <c:pt idx="13">
                  <c:v>0.39573120856100902</c:v>
                </c:pt>
                <c:pt idx="14">
                  <c:v>0.39573120856100902</c:v>
                </c:pt>
                <c:pt idx="15">
                  <c:v>0.452968146379014</c:v>
                </c:pt>
                <c:pt idx="16">
                  <c:v>0.452968146379014</c:v>
                </c:pt>
                <c:pt idx="17">
                  <c:v>0.452968146379014</c:v>
                </c:pt>
                <c:pt idx="18">
                  <c:v>0.452968146379014</c:v>
                </c:pt>
                <c:pt idx="19">
                  <c:v>0.452968146379014</c:v>
                </c:pt>
                <c:pt idx="20">
                  <c:v>0.49948880760551201</c:v>
                </c:pt>
                <c:pt idx="21">
                  <c:v>0.49948880760551201</c:v>
                </c:pt>
                <c:pt idx="22">
                  <c:v>0.49948880760551201</c:v>
                </c:pt>
                <c:pt idx="23">
                  <c:v>0.49948880760551201</c:v>
                </c:pt>
                <c:pt idx="24">
                  <c:v>0.49948880760551201</c:v>
                </c:pt>
                <c:pt idx="25">
                  <c:v>0.559252924609559</c:v>
                </c:pt>
                <c:pt idx="26">
                  <c:v>0.559252924609559</c:v>
                </c:pt>
                <c:pt idx="27">
                  <c:v>0.559252924609559</c:v>
                </c:pt>
                <c:pt idx="28">
                  <c:v>0.559252924609559</c:v>
                </c:pt>
                <c:pt idx="29">
                  <c:v>0.559252924609559</c:v>
                </c:pt>
                <c:pt idx="30">
                  <c:v>0.56639289032680296</c:v>
                </c:pt>
                <c:pt idx="31">
                  <c:v>0.56639289032680296</c:v>
                </c:pt>
                <c:pt idx="32">
                  <c:v>0.56639289032680296</c:v>
                </c:pt>
                <c:pt idx="33">
                  <c:v>0.47994966020721702</c:v>
                </c:pt>
                <c:pt idx="34">
                  <c:v>0.47994966020721702</c:v>
                </c:pt>
                <c:pt idx="35">
                  <c:v>0.47994966020721702</c:v>
                </c:pt>
                <c:pt idx="36">
                  <c:v>0.47994966020721702</c:v>
                </c:pt>
                <c:pt idx="37">
                  <c:v>0.47939185305731202</c:v>
                </c:pt>
                <c:pt idx="38">
                  <c:v>0.47939185305731202</c:v>
                </c:pt>
                <c:pt idx="39">
                  <c:v>0.47939185305731202</c:v>
                </c:pt>
                <c:pt idx="40">
                  <c:v>0.47939185305731202</c:v>
                </c:pt>
              </c:numCache>
            </c:numRef>
          </c:xVal>
          <c:yVal>
            <c:numRef>
              <c:f>'2023'!$AM$3:$AM$43</c:f>
              <c:numCache>
                <c:formatCode>0.00</c:formatCode>
                <c:ptCount val="41"/>
                <c:pt idx="0">
                  <c:v>1.5988652710370437</c:v>
                </c:pt>
                <c:pt idx="1">
                  <c:v>1.8857414906743826</c:v>
                </c:pt>
                <c:pt idx="2">
                  <c:v>1.5755543146684827</c:v>
                </c:pt>
                <c:pt idx="3">
                  <c:v>1.5959561871108567</c:v>
                </c:pt>
                <c:pt idx="4">
                  <c:v>1.6077574223617497</c:v>
                </c:pt>
                <c:pt idx="5">
                  <c:v>1.2144659161144622</c:v>
                </c:pt>
                <c:pt idx="6">
                  <c:v>1.3463494250166452</c:v>
                </c:pt>
                <c:pt idx="7">
                  <c:v>1.3140307770209378</c:v>
                </c:pt>
                <c:pt idx="8">
                  <c:v>1.289470274659392</c:v>
                </c:pt>
                <c:pt idx="9">
                  <c:v>1.3084849840038146</c:v>
                </c:pt>
                <c:pt idx="10">
                  <c:v>1.3823342208972549</c:v>
                </c:pt>
                <c:pt idx="11">
                  <c:v>1.3860032265854749</c:v>
                </c:pt>
                <c:pt idx="12">
                  <c:v>1.4903064962055432</c:v>
                </c:pt>
                <c:pt idx="13">
                  <c:v>1.3805019736705846</c:v>
                </c:pt>
                <c:pt idx="14">
                  <c:v>1.3101791063701564</c:v>
                </c:pt>
                <c:pt idx="15">
                  <c:v>1.8667627270791181</c:v>
                </c:pt>
                <c:pt idx="16">
                  <c:v>1.8779893474035734</c:v>
                </c:pt>
                <c:pt idx="17">
                  <c:v>2.0219548762464492</c:v>
                </c:pt>
                <c:pt idx="18">
                  <c:v>1.884396214184249</c:v>
                </c:pt>
                <c:pt idx="19">
                  <c:v>1.9052493325030491</c:v>
                </c:pt>
                <c:pt idx="20">
                  <c:v>2.596336261954205</c:v>
                </c:pt>
                <c:pt idx="21">
                  <c:v>2.2836972183548077</c:v>
                </c:pt>
                <c:pt idx="22">
                  <c:v>2.6714162554980425</c:v>
                </c:pt>
                <c:pt idx="23">
                  <c:v>2.6559124279142066</c:v>
                </c:pt>
                <c:pt idx="24">
                  <c:v>2.5423244941638701</c:v>
                </c:pt>
                <c:pt idx="25">
                  <c:v>2.4535924683484129</c:v>
                </c:pt>
                <c:pt idx="26">
                  <c:v>2.4012463559171588</c:v>
                </c:pt>
                <c:pt idx="27">
                  <c:v>2.1765671384469365</c:v>
                </c:pt>
                <c:pt idx="28">
                  <c:v>2.2541217264754856</c:v>
                </c:pt>
                <c:pt idx="29">
                  <c:v>2.0342295315594932</c:v>
                </c:pt>
                <c:pt idx="30">
                  <c:v>2.7843607921617006</c:v>
                </c:pt>
                <c:pt idx="31">
                  <c:v>2.6127191024191614</c:v>
                </c:pt>
                <c:pt idx="32">
                  <c:v>2.6158742167493787</c:v>
                </c:pt>
                <c:pt idx="33">
                  <c:v>2.2550973288300993</c:v>
                </c:pt>
                <c:pt idx="34">
                  <c:v>2.3206997714259283</c:v>
                </c:pt>
                <c:pt idx="35">
                  <c:v>2.3230111545108665</c:v>
                </c:pt>
                <c:pt idx="36">
                  <c:v>2.3922181546028307</c:v>
                </c:pt>
                <c:pt idx="37">
                  <c:v>1.9701244440169443</c:v>
                </c:pt>
                <c:pt idx="38">
                  <c:v>2.0274368154578304</c:v>
                </c:pt>
                <c:pt idx="39">
                  <c:v>2.029456112920919</c:v>
                </c:pt>
                <c:pt idx="40">
                  <c:v>2.0899175399445569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77-4230-AEF4-2F2688B45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537199"/>
        <c:axId val="1457549199"/>
      </c:scatterChart>
      <c:valAx>
        <c:axId val="145753719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49199"/>
        <c:crosses val="autoZero"/>
        <c:crossBetween val="midCat"/>
      </c:valAx>
      <c:valAx>
        <c:axId val="14575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3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300036</xdr:colOff>
      <xdr:row>1</xdr:row>
      <xdr:rowOff>52388</xdr:rowOff>
    </xdr:from>
    <xdr:to>
      <xdr:col>24</xdr:col>
      <xdr:colOff>185738</xdr:colOff>
      <xdr:row>15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6CD6E-3F1D-527D-F5A5-62ABF0C99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280988</xdr:colOff>
      <xdr:row>1</xdr:row>
      <xdr:rowOff>66676</xdr:rowOff>
    </xdr:from>
    <xdr:to>
      <xdr:col>28</xdr:col>
      <xdr:colOff>471489</xdr:colOff>
      <xdr:row>15</xdr:row>
      <xdr:rowOff>142876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A13968-CDBE-4BE9-BDD5-C94034152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319087</xdr:colOff>
      <xdr:row>15</xdr:row>
      <xdr:rowOff>171451</xdr:rowOff>
    </xdr:from>
    <xdr:to>
      <xdr:col>24</xdr:col>
      <xdr:colOff>204789</xdr:colOff>
      <xdr:row>30</xdr:row>
      <xdr:rowOff>57151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F18DBC-852E-4307-BCAD-036069363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557213</xdr:colOff>
      <xdr:row>1</xdr:row>
      <xdr:rowOff>57151</xdr:rowOff>
    </xdr:from>
    <xdr:to>
      <xdr:col>33</xdr:col>
      <xdr:colOff>133351</xdr:colOff>
      <xdr:row>15</xdr:row>
      <xdr:rowOff>133351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CC34B6-5036-4256-B195-7CA42EB30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271463</xdr:colOff>
      <xdr:row>16</xdr:row>
      <xdr:rowOff>28576</xdr:rowOff>
    </xdr:from>
    <xdr:to>
      <xdr:col>28</xdr:col>
      <xdr:colOff>461964</xdr:colOff>
      <xdr:row>30</xdr:row>
      <xdr:rowOff>104776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5D8E7F-9204-44A8-A97D-5EAFD5AD1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557213</xdr:colOff>
      <xdr:row>16</xdr:row>
      <xdr:rowOff>9526</xdr:rowOff>
    </xdr:from>
    <xdr:to>
      <xdr:col>33</xdr:col>
      <xdr:colOff>133351</xdr:colOff>
      <xdr:row>30</xdr:row>
      <xdr:rowOff>85726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3EB74E-E05C-42F9-9444-59A1CBF33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192664</xdr:colOff>
      <xdr:row>30</xdr:row>
      <xdr:rowOff>174914</xdr:rowOff>
    </xdr:from>
    <xdr:to>
      <xdr:col>24</xdr:col>
      <xdr:colOff>250682</xdr:colOff>
      <xdr:row>41</xdr:row>
      <xdr:rowOff>79665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F2D0A3-6B94-76B4-8CA4-19790479B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116133</xdr:colOff>
      <xdr:row>31</xdr:row>
      <xdr:rowOff>126931</xdr:rowOff>
    </xdr:from>
    <xdr:to>
      <xdr:col>32</xdr:col>
      <xdr:colOff>444160</xdr:colOff>
      <xdr:row>50</xdr:row>
      <xdr:rowOff>61122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D9A0BC5-5C29-0F51-3053-CD5D03983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291604</xdr:colOff>
      <xdr:row>50</xdr:row>
      <xdr:rowOff>143089</xdr:rowOff>
    </xdr:from>
    <xdr:to>
      <xdr:col>33</xdr:col>
      <xdr:colOff>8717</xdr:colOff>
      <xdr:row>69</xdr:row>
      <xdr:rowOff>77280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14047A2-0930-4AE2-8606-288527717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435428</xdr:colOff>
      <xdr:row>31</xdr:row>
      <xdr:rowOff>8004</xdr:rowOff>
    </xdr:from>
    <xdr:to>
      <xdr:col>23</xdr:col>
      <xdr:colOff>485052</xdr:colOff>
      <xdr:row>42</xdr:row>
      <xdr:rowOff>118942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09F50-9FF7-1D30-E6AE-EDD716545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353785</xdr:colOff>
      <xdr:row>1</xdr:row>
      <xdr:rowOff>2720</xdr:rowOff>
    </xdr:from>
    <xdr:to>
      <xdr:col>24</xdr:col>
      <xdr:colOff>231321</xdr:colOff>
      <xdr:row>15</xdr:row>
      <xdr:rowOff>78920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8F738D-9650-E6E4-0AF6-B77E0F5C8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285750</xdr:colOff>
      <xdr:row>0</xdr:row>
      <xdr:rowOff>176892</xdr:rowOff>
    </xdr:from>
    <xdr:to>
      <xdr:col>29</xdr:col>
      <xdr:colOff>163286</xdr:colOff>
      <xdr:row>15</xdr:row>
      <xdr:rowOff>62592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B34848-3FCC-4661-B1D7-F8652D7CF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394608</xdr:colOff>
      <xdr:row>15</xdr:row>
      <xdr:rowOff>136072</xdr:rowOff>
    </xdr:from>
    <xdr:to>
      <xdr:col>24</xdr:col>
      <xdr:colOff>272144</xdr:colOff>
      <xdr:row>30</xdr:row>
      <xdr:rowOff>21772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F0856C-6A43-4FD1-AE86-A1438F39D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231322</xdr:colOff>
      <xdr:row>1</xdr:row>
      <xdr:rowOff>0</xdr:rowOff>
    </xdr:from>
    <xdr:to>
      <xdr:col>34</xdr:col>
      <xdr:colOff>108858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C2932F-9ED0-494E-A22B-E5AF12E83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408215</xdr:colOff>
      <xdr:row>15</xdr:row>
      <xdr:rowOff>136071</xdr:rowOff>
    </xdr:from>
    <xdr:to>
      <xdr:col>29</xdr:col>
      <xdr:colOff>285751</xdr:colOff>
      <xdr:row>30</xdr:row>
      <xdr:rowOff>21771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B7F4ED-C17B-4C2E-99DC-971680288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326572</xdr:colOff>
      <xdr:row>15</xdr:row>
      <xdr:rowOff>136071</xdr:rowOff>
    </xdr:from>
    <xdr:to>
      <xdr:col>34</xdr:col>
      <xdr:colOff>204108</xdr:colOff>
      <xdr:row>30</xdr:row>
      <xdr:rowOff>21771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088565-D795-4B59-8282-B8D33290E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312964</xdr:colOff>
      <xdr:row>30</xdr:row>
      <xdr:rowOff>136071</xdr:rowOff>
    </xdr:from>
    <xdr:to>
      <xdr:col>32</xdr:col>
      <xdr:colOff>590564</xdr:colOff>
      <xdr:row>49</xdr:row>
      <xdr:rowOff>70262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EB7242-DF59-4A73-ABE5-8026DD2A5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282465</xdr:colOff>
      <xdr:row>49</xdr:row>
      <xdr:rowOff>164225</xdr:rowOff>
    </xdr:from>
    <xdr:to>
      <xdr:col>32</xdr:col>
      <xdr:colOff>560065</xdr:colOff>
      <xdr:row>68</xdr:row>
      <xdr:rowOff>98416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B77262-E284-47EC-84BA-FA157D1C9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448175</xdr:colOff>
      <xdr:row>69</xdr:row>
      <xdr:rowOff>158840</xdr:rowOff>
    </xdr:from>
    <xdr:to>
      <xdr:col>33</xdr:col>
      <xdr:colOff>116175</xdr:colOff>
      <xdr:row>88</xdr:row>
      <xdr:rowOff>93031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480C163-7DEA-4FEC-AC8E-1D300F94E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0"/>
  <sheetViews>
    <sheetView topLeftCell="U42" zoomScale="115" zoomScaleNormal="115" workbookViewId="0">
      <selection activeCell="AI68" sqref="AI68"/>
    </sheetView>
  </sheetViews>
  <sheetFormatPr defaultRowHeight="15" x14ac:dyDescent="0.25"/>
  <cols>
    <col min="1" max="1" width="25.7109375" style="3" customWidth="1"/>
    <col min="2" max="2" width="18.85546875" customWidth="1"/>
    <col min="3" max="3" width="12.140625" style="3" customWidth="1"/>
    <col min="4" max="4" width="11.42578125" style="3" customWidth="1"/>
    <col min="5" max="5" width="10.140625" style="3" customWidth="1"/>
    <col min="6" max="6" width="16.42578125" style="3" customWidth="1"/>
    <col min="7" max="7" width="15" style="3" customWidth="1"/>
    <col min="8" max="8" width="14" style="3" customWidth="1"/>
    <col min="9" max="9" width="10.85546875" style="3" customWidth="1"/>
    <col min="11" max="11" width="14.7109375" customWidth="1"/>
    <col min="12" max="13" width="18.140625" style="3" customWidth="1"/>
    <col min="14" max="14" width="11.85546875" customWidth="1"/>
    <col min="15" max="15" width="17" customWidth="1"/>
    <col min="16" max="16" width="11.140625" customWidth="1"/>
    <col min="17" max="17" width="16.7109375" customWidth="1"/>
    <col min="18" max="18" width="14.7109375" customWidth="1"/>
    <col min="19" max="19" width="16" customWidth="1"/>
    <col min="20" max="20" width="19.7109375" customWidth="1"/>
    <col min="21" max="21" width="13.85546875" customWidth="1"/>
  </cols>
  <sheetData>
    <row r="1" spans="1:40" x14ac:dyDescent="0.25">
      <c r="A1" s="3" t="s">
        <v>11</v>
      </c>
      <c r="B1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L1" s="3" t="s">
        <v>87</v>
      </c>
      <c r="M1" s="3" t="s">
        <v>12</v>
      </c>
      <c r="N1" s="3" t="s">
        <v>0</v>
      </c>
      <c r="O1" s="3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AI1" s="8" t="s">
        <v>26</v>
      </c>
    </row>
    <row r="2" spans="1:40" x14ac:dyDescent="0.25">
      <c r="A2" s="4">
        <v>45189.583333333336</v>
      </c>
      <c r="B2" s="2">
        <v>0.36806210257484301</v>
      </c>
      <c r="C2" s="5">
        <v>2.46321793820587E-5</v>
      </c>
      <c r="D2" s="5">
        <v>1.44866262338468E-5</v>
      </c>
      <c r="E2" s="5">
        <v>8.66352110406614E-4</v>
      </c>
      <c r="F2" s="5">
        <v>2.27932348927342E-5</v>
      </c>
      <c r="G2" s="5">
        <v>2.6343061214527799E-5</v>
      </c>
      <c r="H2" s="5">
        <v>4.3708831521806497E-5</v>
      </c>
      <c r="I2" s="3" t="s">
        <v>32</v>
      </c>
      <c r="K2" s="1">
        <v>44684.6875</v>
      </c>
      <c r="L2" s="1">
        <v>44684.6875</v>
      </c>
      <c r="M2" s="2">
        <v>0.36900434300000001</v>
      </c>
      <c r="N2" s="5">
        <v>5.06317663685646E-6</v>
      </c>
      <c r="O2" s="5">
        <v>3.9045777702919497E-6</v>
      </c>
      <c r="P2" s="5">
        <v>5.9833134439221001E-5</v>
      </c>
      <c r="Q2" s="5">
        <v>6.15334992986312E-6</v>
      </c>
      <c r="R2" s="5">
        <v>3.6616552502802799E-6</v>
      </c>
      <c r="S2" s="5">
        <v>1.06521393803849E-5</v>
      </c>
      <c r="T2" s="3" t="s">
        <v>33</v>
      </c>
      <c r="U2" s="2"/>
      <c r="AI2" s="3" t="s">
        <v>0</v>
      </c>
      <c r="AJ2" s="3" t="s">
        <v>1</v>
      </c>
      <c r="AK2" s="3" t="s">
        <v>2</v>
      </c>
      <c r="AL2" s="3" t="s">
        <v>3</v>
      </c>
      <c r="AM2" s="3" t="s">
        <v>4</v>
      </c>
      <c r="AN2" s="3" t="s">
        <v>5</v>
      </c>
    </row>
    <row r="3" spans="1:40" x14ac:dyDescent="0.25">
      <c r="A3" s="4">
        <v>45189.584027777775</v>
      </c>
      <c r="B3" s="2">
        <v>0.35736499964336899</v>
      </c>
      <c r="C3" s="5">
        <v>2.4207241508201001E-5</v>
      </c>
      <c r="D3" s="5">
        <v>1.51093439110471E-5</v>
      </c>
      <c r="E3" s="5">
        <v>5.4444072773682402E-4</v>
      </c>
      <c r="F3" s="5">
        <v>2.3761578150796201E-5</v>
      </c>
      <c r="G3" s="5">
        <v>2.4644846994177601E-5</v>
      </c>
      <c r="H3" s="5">
        <v>4.6050444005698603E-5</v>
      </c>
      <c r="I3" s="3" t="s">
        <v>32</v>
      </c>
      <c r="K3" s="1">
        <v>44686.760416666664</v>
      </c>
      <c r="L3" s="1">
        <v>44686.760416666664</v>
      </c>
      <c r="M3" s="2">
        <v>0.35717122499999998</v>
      </c>
      <c r="N3" s="5">
        <v>5.0970696759601704E-6</v>
      </c>
      <c r="O3" s="5">
        <v>3.9693422911864002E-6</v>
      </c>
      <c r="P3" s="5">
        <v>6.0798184994692297E-5</v>
      </c>
      <c r="Q3" s="5">
        <v>6.2561085325259297E-6</v>
      </c>
      <c r="R3" s="5">
        <v>3.5806904857677701E-6</v>
      </c>
      <c r="S3" s="5">
        <v>1.0874419966700901E-5</v>
      </c>
      <c r="T3" s="3" t="s">
        <v>34</v>
      </c>
      <c r="U3" s="2"/>
      <c r="AI3" s="7">
        <f>C2/N2</f>
        <v>4.8649654453595979</v>
      </c>
      <c r="AJ3" s="7">
        <f t="shared" ref="AJ3:AM18" si="0">D2/O2</f>
        <v>3.7101646032174225</v>
      </c>
      <c r="AK3" s="7">
        <f t="shared" si="0"/>
        <v>14.479470589772657</v>
      </c>
      <c r="AL3" s="7">
        <f>F2/Q2</f>
        <v>3.7041993633606389</v>
      </c>
      <c r="AM3" s="7">
        <f t="shared" si="0"/>
        <v>7.194304054842787</v>
      </c>
      <c r="AN3" s="7">
        <f>H2/S2</f>
        <v>4.1032913634507047</v>
      </c>
    </row>
    <row r="4" spans="1:40" x14ac:dyDescent="0.25">
      <c r="A4" s="4">
        <v>45189.584027777775</v>
      </c>
      <c r="B4" s="2">
        <v>0.35736499964336899</v>
      </c>
      <c r="C4" s="5">
        <v>2.4207241508201001E-5</v>
      </c>
      <c r="D4" s="5">
        <v>1.51093439110471E-5</v>
      </c>
      <c r="E4" s="5">
        <v>5.4444072773682402E-4</v>
      </c>
      <c r="F4" s="5">
        <v>2.3761578150796201E-5</v>
      </c>
      <c r="G4" s="5">
        <v>2.4644846994177601E-5</v>
      </c>
      <c r="H4" s="5">
        <v>4.6050444005698603E-5</v>
      </c>
      <c r="I4" s="3" t="s">
        <v>32</v>
      </c>
      <c r="K4" s="1">
        <v>44686.75</v>
      </c>
      <c r="L4" s="1">
        <v>44686.75</v>
      </c>
      <c r="M4" s="2">
        <v>0.35787883599999998</v>
      </c>
      <c r="N4" s="5">
        <v>5.0840546534592696E-6</v>
      </c>
      <c r="O4" s="5">
        <v>3.9486341882239798E-6</v>
      </c>
      <c r="P4" s="5">
        <v>6.6588488327520097E-5</v>
      </c>
      <c r="Q4" s="5">
        <v>6.2222538431977399E-6</v>
      </c>
      <c r="R4" s="5">
        <v>3.6026060530874802E-6</v>
      </c>
      <c r="S4" s="5">
        <v>1.08202518908512E-5</v>
      </c>
      <c r="T4" s="3" t="s">
        <v>35</v>
      </c>
      <c r="U4" s="2"/>
      <c r="AI4" s="7">
        <f t="shared" ref="AI4:AJ67" si="1">C3/N3</f>
        <v>4.7492467333480022</v>
      </c>
      <c r="AJ4" s="7">
        <f t="shared" si="0"/>
        <v>3.8065107019357241</v>
      </c>
      <c r="AK4" s="7">
        <f t="shared" ref="AK4:AK67" si="2">E3/P3</f>
        <v>8.9548845542733542</v>
      </c>
      <c r="AL4" s="7">
        <f t="shared" ref="AL4:AL67" si="3">F3/Q3</f>
        <v>3.7981403339245405</v>
      </c>
      <c r="AM4" s="7">
        <f t="shared" ref="AM4:AM67" si="4">G3/R3</f>
        <v>6.8827079838745862</v>
      </c>
      <c r="AN4" s="7">
        <f t="shared" ref="AN4:AN67" si="5">H3/S3</f>
        <v>4.2347494530018102</v>
      </c>
    </row>
    <row r="5" spans="1:40" x14ac:dyDescent="0.25">
      <c r="A5" s="4">
        <v>45189.584722222222</v>
      </c>
      <c r="B5" s="2">
        <v>0.34238738474798203</v>
      </c>
      <c r="C5" s="5">
        <v>2.3819492509472601E-5</v>
      </c>
      <c r="D5" s="5">
        <v>1.4799329860444699E-5</v>
      </c>
      <c r="E5" s="5">
        <v>6.1573653732140902E-4</v>
      </c>
      <c r="F5" s="5">
        <v>2.3273497817869002E-5</v>
      </c>
      <c r="G5" s="5">
        <v>2.4353247403379002E-5</v>
      </c>
      <c r="H5" s="5">
        <v>4.5058830785134E-5</v>
      </c>
      <c r="I5" s="3" t="s">
        <v>32</v>
      </c>
      <c r="K5" s="1">
        <v>44686.885416666664</v>
      </c>
      <c r="L5" s="1">
        <v>44686.885416666664</v>
      </c>
      <c r="M5" s="2">
        <v>0.34212576900000002</v>
      </c>
      <c r="N5" s="5">
        <v>5.0403603482784E-6</v>
      </c>
      <c r="O5" s="5">
        <v>3.9308784980531501E-6</v>
      </c>
      <c r="P5" s="5">
        <v>5.8868083883749698E-5</v>
      </c>
      <c r="Q5" s="5">
        <v>6.19798126322196E-6</v>
      </c>
      <c r="R5" s="5">
        <v>3.5207196890429498E-6</v>
      </c>
      <c r="S5" s="5">
        <v>1.0755398477605001E-5</v>
      </c>
      <c r="T5" s="3" t="s">
        <v>36</v>
      </c>
      <c r="U5" s="2"/>
      <c r="AI5" s="7">
        <f t="shared" si="1"/>
        <v>4.7614046579397051</v>
      </c>
      <c r="AJ5" s="7">
        <f t="shared" si="0"/>
        <v>3.8264734565961387</v>
      </c>
      <c r="AK5" s="7">
        <f t="shared" si="2"/>
        <v>8.1761989408582831</v>
      </c>
      <c r="AL5" s="7">
        <f t="shared" si="3"/>
        <v>3.8188056529986656</v>
      </c>
      <c r="AM5" s="7">
        <f t="shared" si="4"/>
        <v>6.840838723694656</v>
      </c>
      <c r="AN5" s="7">
        <f t="shared" si="5"/>
        <v>4.2559493503691384</v>
      </c>
    </row>
    <row r="6" spans="1:40" x14ac:dyDescent="0.25">
      <c r="A6" s="4">
        <v>45189.585416666669</v>
      </c>
      <c r="B6" s="2">
        <v>0.36328325080216001</v>
      </c>
      <c r="C6" s="5">
        <v>2.2533796379805701E-5</v>
      </c>
      <c r="D6" s="5">
        <v>1.3993529952777399E-5</v>
      </c>
      <c r="E6" s="5">
        <v>5.5956408128506995E-4</v>
      </c>
      <c r="F6" s="5">
        <v>2.20077656020548E-5</v>
      </c>
      <c r="G6" s="5">
        <v>2.3047823279389101E-5</v>
      </c>
      <c r="H6" s="5">
        <v>4.1829585992807001E-5</v>
      </c>
      <c r="I6" s="3" t="s">
        <v>32</v>
      </c>
      <c r="K6" s="1">
        <v>44684.739583333336</v>
      </c>
      <c r="L6" s="1">
        <v>44684.739583333336</v>
      </c>
      <c r="M6" s="2">
        <v>0.36361488800000002</v>
      </c>
      <c r="N6" s="5">
        <v>4.9642911555031997E-6</v>
      </c>
      <c r="O6" s="5">
        <v>3.8677880444488096E-6</v>
      </c>
      <c r="P6" s="5">
        <v>4.6322426662622701E-5</v>
      </c>
      <c r="Q6" s="5">
        <v>6.0952871458546903E-6</v>
      </c>
      <c r="R6" s="5">
        <v>3.48364609583026E-6</v>
      </c>
      <c r="S6" s="5">
        <v>1.0618618108262599E-5</v>
      </c>
      <c r="T6" s="3" t="s">
        <v>37</v>
      </c>
      <c r="U6" s="2"/>
      <c r="AI6" s="7">
        <f t="shared" si="1"/>
        <v>4.7257519033551745</v>
      </c>
      <c r="AJ6" s="7">
        <f t="shared" si="0"/>
        <v>3.7648911986911773</v>
      </c>
      <c r="AK6" s="7">
        <f t="shared" si="2"/>
        <v>10.45959876216356</v>
      </c>
      <c r="AL6" s="7">
        <f t="shared" si="3"/>
        <v>3.7550126128923633</v>
      </c>
      <c r="AM6" s="7">
        <f t="shared" si="4"/>
        <v>6.9171219393495749</v>
      </c>
      <c r="AN6" s="7">
        <f t="shared" si="5"/>
        <v>4.1894152856312994</v>
      </c>
    </row>
    <row r="7" spans="1:40" x14ac:dyDescent="0.25">
      <c r="A7" s="4">
        <v>45189.585416666669</v>
      </c>
      <c r="B7" s="2">
        <v>0.36328325080216001</v>
      </c>
      <c r="C7" s="5">
        <v>2.2533796379805701E-5</v>
      </c>
      <c r="D7" s="5">
        <v>1.3993529952777399E-5</v>
      </c>
      <c r="E7" s="5">
        <v>5.5956408128506995E-4</v>
      </c>
      <c r="F7" s="5">
        <v>2.20077656020548E-5</v>
      </c>
      <c r="G7" s="5">
        <v>2.3047823279389101E-5</v>
      </c>
      <c r="H7" s="5">
        <v>4.1829585992807001E-5</v>
      </c>
      <c r="I7" s="3" t="s">
        <v>32</v>
      </c>
      <c r="K7" s="1">
        <v>44686.729166666664</v>
      </c>
      <c r="L7" s="1">
        <v>44686.729166666664</v>
      </c>
      <c r="M7" s="2">
        <v>0.36405791500000001</v>
      </c>
      <c r="N7" s="5">
        <v>5.0438001703778202E-6</v>
      </c>
      <c r="O7" s="5">
        <v>3.9277791028829401E-6</v>
      </c>
      <c r="P7" s="5">
        <v>7.3343842215819295E-5</v>
      </c>
      <c r="Q7" s="5">
        <v>6.18696198844898E-6</v>
      </c>
      <c r="R7" s="5">
        <v>3.5498246236212698E-6</v>
      </c>
      <c r="S7" s="5">
        <v>1.0702076824346699E-5</v>
      </c>
      <c r="T7" s="3" t="s">
        <v>38</v>
      </c>
      <c r="U7" s="2"/>
      <c r="AI7" s="7">
        <f t="shared" si="1"/>
        <v>4.5391770292976679</v>
      </c>
      <c r="AJ7" s="7">
        <f t="shared" si="0"/>
        <v>3.6179671150443271</v>
      </c>
      <c r="AK7" s="7">
        <f t="shared" si="2"/>
        <v>12.07976614352501</v>
      </c>
      <c r="AL7" s="7">
        <f t="shared" si="3"/>
        <v>3.6106199881037497</v>
      </c>
      <c r="AM7" s="7">
        <f t="shared" si="4"/>
        <v>6.6160059447416675</v>
      </c>
      <c r="AN7" s="7">
        <f t="shared" si="5"/>
        <v>3.9392683272278535</v>
      </c>
    </row>
    <row r="8" spans="1:40" x14ac:dyDescent="0.25">
      <c r="A8" s="4">
        <v>45189.586111111108</v>
      </c>
      <c r="B8" s="2">
        <v>0.368327325120411</v>
      </c>
      <c r="C8" s="5">
        <v>2.18187433996336E-5</v>
      </c>
      <c r="D8" s="5">
        <v>1.39268710897861E-5</v>
      </c>
      <c r="E8" s="5">
        <v>4.6666348091727798E-4</v>
      </c>
      <c r="F8" s="5">
        <v>2.1920461026378301E-5</v>
      </c>
      <c r="G8" s="5">
        <v>2.1716549149289E-5</v>
      </c>
      <c r="H8" s="5">
        <v>4.26901582793384E-5</v>
      </c>
      <c r="I8" s="3" t="s">
        <v>32</v>
      </c>
      <c r="K8" s="1">
        <v>44684.6875</v>
      </c>
      <c r="L8" s="1">
        <v>44684.6875</v>
      </c>
      <c r="M8" s="2">
        <v>0.36900434300000001</v>
      </c>
      <c r="N8" s="5">
        <v>5.06317663685646E-6</v>
      </c>
      <c r="O8" s="5">
        <v>3.9045777702919497E-6</v>
      </c>
      <c r="P8" s="5">
        <v>5.9833134439221001E-5</v>
      </c>
      <c r="Q8" s="5">
        <v>6.15334992986312E-6</v>
      </c>
      <c r="R8" s="5">
        <v>3.6616552502802799E-6</v>
      </c>
      <c r="S8" s="5">
        <v>1.06521393803849E-5</v>
      </c>
      <c r="T8" s="3" t="s">
        <v>33</v>
      </c>
      <c r="U8" s="2"/>
      <c r="AI8" s="7">
        <f t="shared" si="1"/>
        <v>4.4676227484479707</v>
      </c>
      <c r="AJ8" s="7">
        <f t="shared" si="0"/>
        <v>3.5627079798113712</v>
      </c>
      <c r="AK8" s="7">
        <f t="shared" si="2"/>
        <v>7.6293259853842157</v>
      </c>
      <c r="AL8" s="7">
        <f t="shared" si="3"/>
        <v>3.5571198987715076</v>
      </c>
      <c r="AM8" s="7">
        <f t="shared" si="4"/>
        <v>6.4926653350771479</v>
      </c>
      <c r="AN8" s="7">
        <f t="shared" si="5"/>
        <v>3.9085484695500172</v>
      </c>
    </row>
    <row r="9" spans="1:40" x14ac:dyDescent="0.25">
      <c r="A9" s="4">
        <v>45189.586805555555</v>
      </c>
      <c r="B9" s="2">
        <v>0.36342783558528602</v>
      </c>
      <c r="C9" s="5">
        <v>2.2173597312134801E-5</v>
      </c>
      <c r="D9" s="5">
        <v>1.3560744188201199E-5</v>
      </c>
      <c r="E9" s="5">
        <v>1.1212886416484601E-3</v>
      </c>
      <c r="F9" s="5">
        <v>2.1338094524864401E-5</v>
      </c>
      <c r="G9" s="5">
        <v>2.2978740717765901E-5</v>
      </c>
      <c r="H9" s="5">
        <v>4.1114845598501999E-5</v>
      </c>
      <c r="I9" s="3" t="s">
        <v>32</v>
      </c>
      <c r="K9" s="1">
        <v>44684.739583333336</v>
      </c>
      <c r="L9" s="1">
        <v>44684.739583333336</v>
      </c>
      <c r="M9" s="2">
        <v>0.36361488800000002</v>
      </c>
      <c r="N9" s="5">
        <v>4.9642911555031997E-6</v>
      </c>
      <c r="O9" s="5">
        <v>3.8677880444488096E-6</v>
      </c>
      <c r="P9" s="5">
        <v>4.6322426662622701E-5</v>
      </c>
      <c r="Q9" s="5">
        <v>6.0952871458546903E-6</v>
      </c>
      <c r="R9" s="5">
        <v>3.48364609583026E-6</v>
      </c>
      <c r="S9" s="5">
        <v>1.0618618108262599E-5</v>
      </c>
      <c r="T9" s="3" t="s">
        <v>37</v>
      </c>
      <c r="U9" s="2"/>
      <c r="AI9" s="7">
        <f t="shared" si="1"/>
        <v>4.3092992728730977</v>
      </c>
      <c r="AJ9" s="7">
        <f t="shared" si="0"/>
        <v>3.5668059158019467</v>
      </c>
      <c r="AK9" s="7">
        <f t="shared" si="2"/>
        <v>7.7994155795284072</v>
      </c>
      <c r="AL9" s="7">
        <f t="shared" si="3"/>
        <v>3.5623621728377666</v>
      </c>
      <c r="AM9" s="7">
        <f t="shared" si="4"/>
        <v>5.9308011445443194</v>
      </c>
      <c r="AN9" s="7">
        <f t="shared" si="5"/>
        <v>4.0076605041377009</v>
      </c>
    </row>
    <row r="10" spans="1:40" x14ac:dyDescent="0.25">
      <c r="A10" s="4">
        <v>45189.586805555555</v>
      </c>
      <c r="B10" s="2">
        <v>0.36342783558528602</v>
      </c>
      <c r="C10" s="5">
        <v>2.2173597312134801E-5</v>
      </c>
      <c r="D10" s="5">
        <v>1.3560744188201199E-5</v>
      </c>
      <c r="E10" s="5">
        <v>1.1212886416484601E-3</v>
      </c>
      <c r="F10" s="5">
        <v>2.1338094524864401E-5</v>
      </c>
      <c r="G10" s="5">
        <v>2.2978740717765901E-5</v>
      </c>
      <c r="H10" s="5">
        <v>4.1114845598501999E-5</v>
      </c>
      <c r="I10" s="3" t="s">
        <v>32</v>
      </c>
      <c r="K10" s="1">
        <v>44686.729166666664</v>
      </c>
      <c r="L10" s="1">
        <v>44686.729166666664</v>
      </c>
      <c r="M10" s="2">
        <v>0.36405791500000001</v>
      </c>
      <c r="N10" s="5">
        <v>5.0438001703778202E-6</v>
      </c>
      <c r="O10" s="5">
        <v>3.9277791028829401E-6</v>
      </c>
      <c r="P10" s="5">
        <v>7.3343842215819295E-5</v>
      </c>
      <c r="Q10" s="5">
        <v>6.18696198844898E-6</v>
      </c>
      <c r="R10" s="5">
        <v>3.5498246236212698E-6</v>
      </c>
      <c r="S10" s="5">
        <v>1.0702076824346699E-5</v>
      </c>
      <c r="T10" s="3" t="s">
        <v>38</v>
      </c>
      <c r="U10" s="2"/>
      <c r="AI10" s="7">
        <f t="shared" si="1"/>
        <v>4.4666190232525151</v>
      </c>
      <c r="AJ10" s="7">
        <f t="shared" si="0"/>
        <v>3.5060722129445727</v>
      </c>
      <c r="AK10" s="7">
        <f t="shared" si="2"/>
        <v>24.206172310770182</v>
      </c>
      <c r="AL10" s="7">
        <f t="shared" si="3"/>
        <v>3.5007529611424633</v>
      </c>
      <c r="AM10" s="7">
        <f t="shared" si="4"/>
        <v>6.5961754109495327</v>
      </c>
      <c r="AN10" s="7">
        <f t="shared" si="5"/>
        <v>3.8719582133299966</v>
      </c>
    </row>
    <row r="11" spans="1:40" x14ac:dyDescent="0.25">
      <c r="A11" s="4">
        <v>45189.587500000001</v>
      </c>
      <c r="B11" s="2">
        <v>0.46686545511200001</v>
      </c>
      <c r="C11" s="5">
        <v>1.8485142598345201E-5</v>
      </c>
      <c r="D11" s="5">
        <v>1.1958501549827199E-5</v>
      </c>
      <c r="E11" s="5">
        <v>4.1265150395926E-4</v>
      </c>
      <c r="F11" s="5">
        <v>1.8829341548201101E-5</v>
      </c>
      <c r="G11" s="5">
        <v>1.8134410374839101E-5</v>
      </c>
      <c r="H11" s="5">
        <v>3.66452972363121E-5</v>
      </c>
      <c r="I11" s="3" t="s">
        <v>32</v>
      </c>
      <c r="K11" s="1">
        <v>44684.020833333336</v>
      </c>
      <c r="L11" s="1">
        <v>44684.020833333336</v>
      </c>
      <c r="M11" s="2">
        <v>0.46691834300000001</v>
      </c>
      <c r="N11" s="5">
        <v>5.0234429989786402E-6</v>
      </c>
      <c r="O11" s="5">
        <v>3.9103728149918304E-6</v>
      </c>
      <c r="P11" s="5">
        <v>9.2644853325245496E-5</v>
      </c>
      <c r="Q11" s="5">
        <v>6.1580819746974304E-6</v>
      </c>
      <c r="R11" s="5">
        <v>3.5423085018252E-6</v>
      </c>
      <c r="S11" s="5">
        <v>1.06416508053476E-5</v>
      </c>
      <c r="T11" s="3" t="s">
        <v>39</v>
      </c>
      <c r="U11" s="2"/>
      <c r="AI11" s="7">
        <f t="shared" si="1"/>
        <v>4.3962085259364718</v>
      </c>
      <c r="AJ11" s="7">
        <f t="shared" si="0"/>
        <v>3.4525221080400841</v>
      </c>
      <c r="AK11" s="7">
        <f t="shared" si="2"/>
        <v>15.288108827854849</v>
      </c>
      <c r="AL11" s="7">
        <f t="shared" si="3"/>
        <v>3.4488808181951809</v>
      </c>
      <c r="AM11" s="7">
        <f t="shared" si="4"/>
        <v>6.4732044971632092</v>
      </c>
      <c r="AN11" s="7">
        <f t="shared" si="5"/>
        <v>3.8417632645812954</v>
      </c>
    </row>
    <row r="12" spans="1:40" x14ac:dyDescent="0.25">
      <c r="A12" s="4">
        <v>45189.587500000001</v>
      </c>
      <c r="B12" s="2">
        <v>0.46686545511200001</v>
      </c>
      <c r="C12" s="5">
        <v>1.8485142598345201E-5</v>
      </c>
      <c r="D12" s="5">
        <v>1.1958501549827199E-5</v>
      </c>
      <c r="E12" s="5">
        <v>4.1265150395926E-4</v>
      </c>
      <c r="F12" s="5">
        <v>1.8829341548201101E-5</v>
      </c>
      <c r="G12" s="5">
        <v>1.8134410374839101E-5</v>
      </c>
      <c r="H12" s="5">
        <v>3.66452972363121E-5</v>
      </c>
      <c r="I12" s="3" t="s">
        <v>32</v>
      </c>
      <c r="K12" s="1">
        <v>44683.28125</v>
      </c>
      <c r="L12" s="1">
        <v>44683.28125</v>
      </c>
      <c r="M12" s="2">
        <v>0.466682659</v>
      </c>
      <c r="N12" s="5">
        <v>5.3304586826815099E-6</v>
      </c>
      <c r="O12" s="5">
        <v>4.1689195603690199E-6</v>
      </c>
      <c r="P12" s="5">
        <v>7.5273943326761901E-5</v>
      </c>
      <c r="Q12" s="5">
        <v>6.5686335381454402E-6</v>
      </c>
      <c r="R12" s="5">
        <v>3.6987300872686499E-6</v>
      </c>
      <c r="S12" s="5">
        <v>1.13986641178721E-5</v>
      </c>
      <c r="T12" s="3" t="s">
        <v>40</v>
      </c>
      <c r="U12" s="2"/>
      <c r="AI12" s="7">
        <f t="shared" si="1"/>
        <v>3.6797755248946937</v>
      </c>
      <c r="AJ12" s="7">
        <f t="shared" si="0"/>
        <v>3.0581487023385474</v>
      </c>
      <c r="AK12" s="7">
        <f t="shared" si="2"/>
        <v>4.4541222652765908</v>
      </c>
      <c r="AL12" s="7">
        <f t="shared" si="3"/>
        <v>3.0576633480307409</v>
      </c>
      <c r="AM12" s="7">
        <f t="shared" si="4"/>
        <v>5.1193763517477979</v>
      </c>
      <c r="AN12" s="7">
        <f t="shared" si="5"/>
        <v>3.4435726097963348</v>
      </c>
    </row>
    <row r="13" spans="1:40" x14ac:dyDescent="0.25">
      <c r="A13" s="4">
        <v>45189.587500000001</v>
      </c>
      <c r="B13" s="2">
        <v>0.46686545511200001</v>
      </c>
      <c r="C13" s="5">
        <v>1.8485142598345201E-5</v>
      </c>
      <c r="D13" s="5">
        <v>1.1958501549827199E-5</v>
      </c>
      <c r="E13" s="5">
        <v>4.1265150395926E-4</v>
      </c>
      <c r="F13" s="5">
        <v>1.8829341548201101E-5</v>
      </c>
      <c r="G13" s="5">
        <v>1.8134410374839101E-5</v>
      </c>
      <c r="H13" s="5">
        <v>3.66452972363121E-5</v>
      </c>
      <c r="I13" s="3" t="s">
        <v>32</v>
      </c>
      <c r="K13" s="1">
        <v>44684.010416666664</v>
      </c>
      <c r="L13" s="1">
        <v>44684.010416666664</v>
      </c>
      <c r="M13" s="2">
        <v>0.46737427999999998</v>
      </c>
      <c r="N13" s="5">
        <v>5.1331818465708704E-6</v>
      </c>
      <c r="O13" s="5">
        <v>4.0072717687248703E-6</v>
      </c>
      <c r="P13" s="5">
        <v>7.7204044437704494E-5</v>
      </c>
      <c r="Q13" s="5">
        <v>6.3144647880507703E-6</v>
      </c>
      <c r="R13" s="5">
        <v>3.5814254182722798E-6</v>
      </c>
      <c r="S13" s="5">
        <v>1.08923624478385E-5</v>
      </c>
      <c r="T13" s="3" t="s">
        <v>41</v>
      </c>
      <c r="U13" s="2"/>
      <c r="AI13" s="7">
        <f t="shared" si="1"/>
        <v>3.4678333889732302</v>
      </c>
      <c r="AJ13" s="7">
        <f t="shared" si="0"/>
        <v>2.8684893955518462</v>
      </c>
      <c r="AK13" s="7">
        <f t="shared" si="2"/>
        <v>5.4819966341865785</v>
      </c>
      <c r="AL13" s="7">
        <f t="shared" si="3"/>
        <v>2.8665538180589833</v>
      </c>
      <c r="AM13" s="7">
        <f t="shared" si="4"/>
        <v>4.9028747561924879</v>
      </c>
      <c r="AN13" s="7">
        <f t="shared" si="5"/>
        <v>3.2148764852940537</v>
      </c>
    </row>
    <row r="14" spans="1:40" x14ac:dyDescent="0.25">
      <c r="A14" s="4">
        <v>45189.588888888888</v>
      </c>
      <c r="B14" s="2">
        <v>0.39573120856100902</v>
      </c>
      <c r="C14" s="5">
        <v>1.90134334671753E-5</v>
      </c>
      <c r="D14" s="5">
        <v>1.17680658520211E-5</v>
      </c>
      <c r="E14" s="5">
        <v>4.7746587630888201E-4</v>
      </c>
      <c r="F14" s="5">
        <v>1.85315482535712E-5</v>
      </c>
      <c r="G14" s="5">
        <v>1.9483402081028001E-5</v>
      </c>
      <c r="H14" s="5">
        <v>3.6304853892261698E-5</v>
      </c>
      <c r="I14" s="3" t="s">
        <v>32</v>
      </c>
      <c r="K14" s="1">
        <v>44684.322916666664</v>
      </c>
      <c r="L14" s="1">
        <v>44684.322916666664</v>
      </c>
      <c r="M14" s="2">
        <v>0.396084306</v>
      </c>
      <c r="N14" s="5">
        <v>5.2111471356675199E-6</v>
      </c>
      <c r="O14" s="5">
        <v>4.0790174055234204E-6</v>
      </c>
      <c r="P14" s="5">
        <v>9.4574954436188103E-5</v>
      </c>
      <c r="Q14" s="5">
        <v>6.4271975552194203E-6</v>
      </c>
      <c r="R14" s="5">
        <v>3.6060004722924499E-6</v>
      </c>
      <c r="S14" s="5">
        <v>1.10221899136588E-5</v>
      </c>
      <c r="T14" s="3" t="s">
        <v>42</v>
      </c>
      <c r="U14" s="2"/>
      <c r="AI14" s="7">
        <f t="shared" si="1"/>
        <v>3.6011080750419677</v>
      </c>
      <c r="AJ14" s="7">
        <f t="shared" si="0"/>
        <v>2.9842002838835264</v>
      </c>
      <c r="AK14" s="7">
        <f t="shared" si="2"/>
        <v>5.344946718331915</v>
      </c>
      <c r="AL14" s="7">
        <f t="shared" si="3"/>
        <v>2.981937849084686</v>
      </c>
      <c r="AM14" s="7">
        <f t="shared" si="4"/>
        <v>5.0634616826915098</v>
      </c>
      <c r="AN14" s="7">
        <f t="shared" si="5"/>
        <v>3.3643112237404531</v>
      </c>
    </row>
    <row r="15" spans="1:40" x14ac:dyDescent="0.25">
      <c r="A15" s="4">
        <v>45189.589583333334</v>
      </c>
      <c r="B15" s="2">
        <v>0.43651642997928197</v>
      </c>
      <c r="C15" s="5">
        <v>2.11296536376322E-5</v>
      </c>
      <c r="D15" s="5">
        <v>1.2053313594458901E-5</v>
      </c>
      <c r="E15" s="5">
        <v>8.2746348699684104E-4</v>
      </c>
      <c r="F15" s="5">
        <v>1.8970347045272599E-5</v>
      </c>
      <c r="G15" s="5">
        <v>2.3087884905239201E-5</v>
      </c>
      <c r="H15" s="5">
        <v>3.6322904270023501E-5</v>
      </c>
      <c r="I15" s="3" t="s">
        <v>32</v>
      </c>
      <c r="K15" s="1">
        <v>44683.34375</v>
      </c>
      <c r="L15" s="1">
        <v>44683.34375</v>
      </c>
      <c r="M15" s="2">
        <v>0.43650973599999998</v>
      </c>
      <c r="N15" s="5">
        <v>5.2330776217524896E-6</v>
      </c>
      <c r="O15" s="5">
        <v>4.1330835787445401E-6</v>
      </c>
      <c r="P15" s="5">
        <v>6.5623437772048895E-5</v>
      </c>
      <c r="Q15" s="5">
        <v>6.5029058406761102E-6</v>
      </c>
      <c r="R15" s="5">
        <v>3.53304521054898E-6</v>
      </c>
      <c r="S15" s="5">
        <v>1.12088936763614E-5</v>
      </c>
      <c r="T15" s="3" t="s">
        <v>43</v>
      </c>
      <c r="U15" s="2"/>
      <c r="AI15" s="7">
        <f t="shared" si="1"/>
        <v>3.6486080650148023</v>
      </c>
      <c r="AJ15" s="7">
        <f t="shared" si="0"/>
        <v>2.8850246718942398</v>
      </c>
      <c r="AK15" s="7">
        <f t="shared" si="2"/>
        <v>5.0485446084041117</v>
      </c>
      <c r="AL15" s="7">
        <f t="shared" si="3"/>
        <v>2.8833014847228458</v>
      </c>
      <c r="AM15" s="7">
        <f t="shared" si="4"/>
        <v>5.4030503408785684</v>
      </c>
      <c r="AN15" s="7">
        <f t="shared" si="5"/>
        <v>3.2937968023280373</v>
      </c>
    </row>
    <row r="16" spans="1:40" x14ac:dyDescent="0.25">
      <c r="A16" s="4">
        <v>45189.589583333334</v>
      </c>
      <c r="B16" s="2">
        <v>0.43651642997928197</v>
      </c>
      <c r="C16" s="5">
        <v>2.11296536376322E-5</v>
      </c>
      <c r="D16" s="5">
        <v>1.2053313594458901E-5</v>
      </c>
      <c r="E16" s="5">
        <v>8.2746348699684104E-4</v>
      </c>
      <c r="F16" s="5">
        <v>1.8970347045272599E-5</v>
      </c>
      <c r="G16" s="5">
        <v>2.3087884905239201E-5</v>
      </c>
      <c r="H16" s="5">
        <v>3.6322904270023501E-5</v>
      </c>
      <c r="I16" s="3" t="s">
        <v>32</v>
      </c>
      <c r="K16" s="1">
        <v>44682.458333333336</v>
      </c>
      <c r="L16" s="1">
        <v>44682.458333333336</v>
      </c>
      <c r="M16" s="2">
        <v>0.43665774000000002</v>
      </c>
      <c r="N16" s="5">
        <v>5.1135350055539003E-6</v>
      </c>
      <c r="O16" s="5">
        <v>3.9914239317118898E-6</v>
      </c>
      <c r="P16" s="3">
        <v>1.06155561101843E-4</v>
      </c>
      <c r="Q16" s="5">
        <v>6.2867948503319499E-6</v>
      </c>
      <c r="R16" s="5">
        <v>3.57388650371752E-6</v>
      </c>
      <c r="S16" s="5">
        <v>1.08086765231345E-5</v>
      </c>
      <c r="T16" s="3" t="s">
        <v>44</v>
      </c>
      <c r="U16" s="2"/>
      <c r="AI16" s="7">
        <f t="shared" si="1"/>
        <v>4.0377107249091697</v>
      </c>
      <c r="AJ16" s="7">
        <f t="shared" si="0"/>
        <v>2.9163004727139339</v>
      </c>
      <c r="AK16" s="7">
        <f t="shared" si="2"/>
        <v>12.609267589289326</v>
      </c>
      <c r="AL16" s="7">
        <f t="shared" si="3"/>
        <v>2.9172107839255199</v>
      </c>
      <c r="AM16" s="7">
        <f t="shared" si="4"/>
        <v>6.5348399268436488</v>
      </c>
      <c r="AN16" s="7">
        <f t="shared" si="5"/>
        <v>3.2405432078123289</v>
      </c>
    </row>
    <row r="17" spans="1:40" x14ac:dyDescent="0.25">
      <c r="A17" s="4">
        <v>45189.589583333334</v>
      </c>
      <c r="B17" s="2">
        <v>0.43651642997928197</v>
      </c>
      <c r="C17" s="5">
        <v>2.11296536376322E-5</v>
      </c>
      <c r="D17" s="5">
        <v>1.2053313594458901E-5</v>
      </c>
      <c r="E17" s="5">
        <v>8.2746348699684104E-4</v>
      </c>
      <c r="F17" s="5">
        <v>1.8970347045272599E-5</v>
      </c>
      <c r="G17" s="5">
        <v>2.3087884905239201E-5</v>
      </c>
      <c r="H17" s="5">
        <v>3.6322904270023501E-5</v>
      </c>
      <c r="I17" s="3" t="s">
        <v>32</v>
      </c>
      <c r="K17" s="1">
        <v>44685.84375</v>
      </c>
      <c r="L17" s="1">
        <v>44685.84375</v>
      </c>
      <c r="M17" s="2">
        <v>0.43618821200000002</v>
      </c>
      <c r="N17" s="5">
        <v>5.2526800527775497E-6</v>
      </c>
      <c r="O17" s="5">
        <v>4.0827849687275096E-6</v>
      </c>
      <c r="P17" s="5">
        <v>6.1763235550163601E-5</v>
      </c>
      <c r="Q17" s="5">
        <v>6.4356487614915002E-6</v>
      </c>
      <c r="R17" s="5">
        <v>3.70994749872242E-6</v>
      </c>
      <c r="S17" s="5">
        <v>1.12068702640427E-5</v>
      </c>
      <c r="T17" s="3" t="s">
        <v>45</v>
      </c>
      <c r="U17" s="2"/>
      <c r="AI17" s="7">
        <f t="shared" si="1"/>
        <v>4.1321030587808458</v>
      </c>
      <c r="AJ17" s="7">
        <f t="shared" si="0"/>
        <v>3.0198029076027839</v>
      </c>
      <c r="AK17" s="7">
        <f t="shared" si="2"/>
        <v>7.7948199642880054</v>
      </c>
      <c r="AL17" s="7">
        <f t="shared" si="3"/>
        <v>3.0174910263329084</v>
      </c>
      <c r="AM17" s="7">
        <f t="shared" si="4"/>
        <v>6.460161754220068</v>
      </c>
      <c r="AN17" s="7">
        <f t="shared" si="5"/>
        <v>3.3605320866323707</v>
      </c>
    </row>
    <row r="18" spans="1:40" x14ac:dyDescent="0.25">
      <c r="A18" s="4">
        <v>45189.590277777781</v>
      </c>
      <c r="B18" s="2">
        <v>0.368685200781385</v>
      </c>
      <c r="C18" s="5">
        <v>2.0484600482925E-5</v>
      </c>
      <c r="D18" s="5">
        <v>1.2084850383544699E-5</v>
      </c>
      <c r="E18" s="5">
        <v>5.14194020640334E-4</v>
      </c>
      <c r="F18" s="5">
        <v>1.9042427928445498E-5</v>
      </c>
      <c r="G18" s="5">
        <v>2.1831709638163199E-5</v>
      </c>
      <c r="H18" s="5">
        <v>3.7138764305904301E-5</v>
      </c>
      <c r="I18" s="3" t="s">
        <v>32</v>
      </c>
      <c r="K18" s="1">
        <v>44684.6875</v>
      </c>
      <c r="L18" s="1">
        <v>44684.6875</v>
      </c>
      <c r="M18" s="2">
        <v>0.36900434300000001</v>
      </c>
      <c r="N18" s="5">
        <v>5.06317663685646E-6</v>
      </c>
      <c r="O18" s="5">
        <v>3.9045777702919497E-6</v>
      </c>
      <c r="P18" s="5">
        <v>5.9833134439221001E-5</v>
      </c>
      <c r="Q18" s="5">
        <v>6.15334992986312E-6</v>
      </c>
      <c r="R18" s="5">
        <v>3.6616552502802799E-6</v>
      </c>
      <c r="S18" s="5">
        <v>1.06521393803849E-5</v>
      </c>
      <c r="T18" s="3" t="s">
        <v>33</v>
      </c>
      <c r="U18" s="2"/>
      <c r="AI18" s="7">
        <f t="shared" si="1"/>
        <v>4.0226424273565096</v>
      </c>
      <c r="AJ18" s="7">
        <f t="shared" si="0"/>
        <v>2.952228365388438</v>
      </c>
      <c r="AK18" s="7">
        <f t="shared" si="2"/>
        <v>13.397346813619922</v>
      </c>
      <c r="AL18" s="7">
        <f t="shared" si="3"/>
        <v>2.9476976989148342</v>
      </c>
      <c r="AM18" s="7">
        <f t="shared" si="4"/>
        <v>6.2232376369719207</v>
      </c>
      <c r="AN18" s="7">
        <f t="shared" si="5"/>
        <v>3.2411282913273052</v>
      </c>
    </row>
    <row r="19" spans="1:40" x14ac:dyDescent="0.25">
      <c r="A19" s="4">
        <v>45189.635416666664</v>
      </c>
      <c r="B19" s="2">
        <v>0.41193536150641702</v>
      </c>
      <c r="C19" s="5">
        <v>2.6313722741064401E-5</v>
      </c>
      <c r="D19" s="5">
        <v>1.6627879007988699E-5</v>
      </c>
      <c r="E19" s="5">
        <v>6.4814372349621997E-4</v>
      </c>
      <c r="F19" s="5">
        <v>2.61579590818405E-5</v>
      </c>
      <c r="G19" s="5">
        <v>2.6468568596747801E-5</v>
      </c>
      <c r="H19" s="5">
        <v>5.0038441847709202E-5</v>
      </c>
      <c r="I19" s="3" t="s">
        <v>7</v>
      </c>
      <c r="K19" s="1">
        <v>44685.427083333336</v>
      </c>
      <c r="L19" s="1">
        <v>44685.427083333336</v>
      </c>
      <c r="M19" s="2">
        <v>0.41177170499999999</v>
      </c>
      <c r="N19" s="5">
        <v>5.3810125226803599E-6</v>
      </c>
      <c r="O19" s="5">
        <v>4.1716075507672904E-6</v>
      </c>
      <c r="P19" s="5">
        <v>6.8518589438462798E-5</v>
      </c>
      <c r="Q19" s="5">
        <v>6.5682333210293498E-6</v>
      </c>
      <c r="R19" s="5">
        <v>3.8430321173794901E-6</v>
      </c>
      <c r="S19" s="5">
        <v>1.1384354571005901E-5</v>
      </c>
      <c r="T19" s="3" t="s">
        <v>46</v>
      </c>
      <c r="U19" s="2"/>
      <c r="AI19" s="7">
        <f t="shared" si="1"/>
        <v>4.0458000879943885</v>
      </c>
      <c r="AJ19" s="7">
        <f t="shared" si="1"/>
        <v>3.0950466592041015</v>
      </c>
      <c r="AK19" s="7">
        <f t="shared" si="2"/>
        <v>8.5938004996655586</v>
      </c>
      <c r="AL19" s="7">
        <f t="shared" si="3"/>
        <v>3.0946440793216992</v>
      </c>
      <c r="AM19" s="7">
        <f t="shared" si="4"/>
        <v>5.9622515354202443</v>
      </c>
      <c r="AN19" s="7">
        <f t="shared" si="5"/>
        <v>3.4865075436670026</v>
      </c>
    </row>
    <row r="20" spans="1:40" x14ac:dyDescent="0.25">
      <c r="A20" s="4">
        <v>45189.635416666664</v>
      </c>
      <c r="B20" s="2">
        <v>0.41193536150641702</v>
      </c>
      <c r="C20" s="5">
        <v>2.6313722741064401E-5</v>
      </c>
      <c r="D20" s="5">
        <v>1.6627879007988699E-5</v>
      </c>
      <c r="E20" s="5">
        <v>6.4814372349621997E-4</v>
      </c>
      <c r="F20" s="5">
        <v>2.61579590818405E-5</v>
      </c>
      <c r="G20" s="5">
        <v>2.6468568596747801E-5</v>
      </c>
      <c r="H20" s="5">
        <v>5.0038441847709202E-5</v>
      </c>
      <c r="I20" s="3" t="s">
        <v>7</v>
      </c>
      <c r="K20" s="1">
        <v>44682.322916666664</v>
      </c>
      <c r="L20" s="1">
        <v>44682.322916666664</v>
      </c>
      <c r="M20" s="2">
        <v>0.41160944500000002</v>
      </c>
      <c r="N20" s="5">
        <v>5.1636552850912997E-6</v>
      </c>
      <c r="O20" s="5">
        <v>4.0744624106680696E-6</v>
      </c>
      <c r="P20" s="5">
        <v>7.3343842215819295E-5</v>
      </c>
      <c r="Q20" s="5">
        <v>6.4165024904066298E-6</v>
      </c>
      <c r="R20" s="5">
        <v>3.4864231924726199E-6</v>
      </c>
      <c r="S20" s="5">
        <v>1.0981441946152601E-5</v>
      </c>
      <c r="T20" s="3" t="s">
        <v>47</v>
      </c>
      <c r="U20" s="2"/>
      <c r="AI20" s="7">
        <f t="shared" si="1"/>
        <v>4.8901062077360038</v>
      </c>
      <c r="AJ20" s="7">
        <f t="shared" si="1"/>
        <v>3.9859643568173873</v>
      </c>
      <c r="AK20" s="7">
        <f t="shared" si="2"/>
        <v>9.4593850925422807</v>
      </c>
      <c r="AL20" s="7">
        <f t="shared" si="3"/>
        <v>3.9824954144200708</v>
      </c>
      <c r="AM20" s="7">
        <f t="shared" si="4"/>
        <v>6.8874180044054247</v>
      </c>
      <c r="AN20" s="7">
        <f t="shared" si="5"/>
        <v>4.3953692355251279</v>
      </c>
    </row>
    <row r="21" spans="1:40" x14ac:dyDescent="0.25">
      <c r="A21" s="4">
        <v>45189.636111111111</v>
      </c>
      <c r="B21" s="2">
        <v>0.38446658554131402</v>
      </c>
      <c r="C21" s="5">
        <v>2.5319184712057701E-5</v>
      </c>
      <c r="D21" s="5">
        <v>1.6239225478553598E-5</v>
      </c>
      <c r="E21" s="5">
        <v>5.4228024865850396E-4</v>
      </c>
      <c r="F21" s="5">
        <v>2.55381265832761E-5</v>
      </c>
      <c r="G21" s="5">
        <v>2.50983309222576E-5</v>
      </c>
      <c r="H21" s="5">
        <v>4.9396209510195399E-5</v>
      </c>
      <c r="I21" s="3" t="s">
        <v>7</v>
      </c>
      <c r="K21" s="1">
        <v>44684.802083333336</v>
      </c>
      <c r="L21" s="1">
        <v>44684.802083333336</v>
      </c>
      <c r="M21" s="2">
        <v>0.384912586</v>
      </c>
      <c r="N21" s="5">
        <v>5.1349579393093499E-6</v>
      </c>
      <c r="O21" s="5">
        <v>3.9650984029537899E-6</v>
      </c>
      <c r="P21" s="5">
        <v>6.9483639993934095E-5</v>
      </c>
      <c r="Q21" s="5">
        <v>6.2463626210795701E-6</v>
      </c>
      <c r="R21" s="5">
        <v>3.7038383748299801E-6</v>
      </c>
      <c r="S21" s="5">
        <v>1.08269088747622E-5</v>
      </c>
      <c r="T21" s="3" t="s">
        <v>17</v>
      </c>
      <c r="U21" s="2"/>
      <c r="V21" s="5"/>
      <c r="AI21" s="7">
        <f t="shared" si="1"/>
        <v>5.095948758825628</v>
      </c>
      <c r="AJ21" s="7">
        <f t="shared" si="1"/>
        <v>4.0809994870617317</v>
      </c>
      <c r="AK21" s="7">
        <f t="shared" si="2"/>
        <v>8.8370571259276627</v>
      </c>
      <c r="AL21" s="7">
        <f t="shared" si="3"/>
        <v>4.0766693570133414</v>
      </c>
      <c r="AM21" s="7">
        <f t="shared" si="4"/>
        <v>7.5918978091629556</v>
      </c>
      <c r="AN21" s="7">
        <f t="shared" si="5"/>
        <v>4.5566367416111877</v>
      </c>
    </row>
    <row r="22" spans="1:40" x14ac:dyDescent="0.25">
      <c r="A22" s="4">
        <v>45189.636805555558</v>
      </c>
      <c r="B22" s="2">
        <v>0.42948982380128797</v>
      </c>
      <c r="C22" s="5">
        <v>2.5988430585606899E-5</v>
      </c>
      <c r="D22" s="5">
        <v>1.6330420394569699E-5</v>
      </c>
      <c r="E22" s="5">
        <v>8.2530300791852E-4</v>
      </c>
      <c r="F22" s="5">
        <v>2.5674411746255199E-5</v>
      </c>
      <c r="G22" s="5">
        <v>2.6298698049598801E-5</v>
      </c>
      <c r="H22" s="5">
        <v>4.8845439035860798E-5</v>
      </c>
      <c r="I22" s="3" t="s">
        <v>7</v>
      </c>
      <c r="K22" s="1">
        <v>44685.916666666664</v>
      </c>
      <c r="L22" s="1">
        <v>44685.916666666664</v>
      </c>
      <c r="M22" s="2">
        <v>0.42966817299999999</v>
      </c>
      <c r="N22" s="5">
        <v>5.3271007908157104E-6</v>
      </c>
      <c r="O22" s="5">
        <v>4.0980496175930199E-6</v>
      </c>
      <c r="P22" s="5">
        <v>9.1679802769774105E-5</v>
      </c>
      <c r="Q22" s="5">
        <v>6.4570172770053804E-6</v>
      </c>
      <c r="R22" s="5">
        <v>3.8810946953285199E-6</v>
      </c>
      <c r="S22" s="5">
        <v>1.12321934967361E-5</v>
      </c>
      <c r="T22" s="3" t="s">
        <v>24</v>
      </c>
      <c r="U22" s="2"/>
      <c r="V22" s="5"/>
      <c r="AI22" s="7">
        <f t="shared" si="1"/>
        <v>4.930748218643271</v>
      </c>
      <c r="AJ22" s="7">
        <f t="shared" si="1"/>
        <v>4.0955416053372673</v>
      </c>
      <c r="AK22" s="7">
        <f t="shared" si="2"/>
        <v>7.8044306358424071</v>
      </c>
      <c r="AL22" s="7">
        <f t="shared" si="3"/>
        <v>4.0884796692866834</v>
      </c>
      <c r="AM22" s="7">
        <f t="shared" si="4"/>
        <v>6.7763029544748168</v>
      </c>
      <c r="AN22" s="7">
        <f t="shared" si="5"/>
        <v>4.5623557085013635</v>
      </c>
    </row>
    <row r="23" spans="1:40" x14ac:dyDescent="0.25">
      <c r="A23" s="4">
        <v>45189.636805555558</v>
      </c>
      <c r="B23" s="2">
        <v>0.42948982380128797</v>
      </c>
      <c r="C23" s="5">
        <v>2.5988430585606899E-5</v>
      </c>
      <c r="D23" s="5">
        <v>1.6330420394569699E-5</v>
      </c>
      <c r="E23" s="5">
        <v>8.2530300791852E-4</v>
      </c>
      <c r="F23" s="5">
        <v>2.5674411746255199E-5</v>
      </c>
      <c r="G23" s="5">
        <v>2.6298698049598801E-5</v>
      </c>
      <c r="H23" s="5">
        <v>4.8845439035860798E-5</v>
      </c>
      <c r="I23" s="3" t="s">
        <v>7</v>
      </c>
      <c r="K23" s="1">
        <v>44685.364583333336</v>
      </c>
      <c r="L23" s="1">
        <v>44685.364583333336</v>
      </c>
      <c r="M23" s="2">
        <v>0.42922103099999998</v>
      </c>
      <c r="N23" s="5">
        <v>5.4167952790296401E-6</v>
      </c>
      <c r="O23" s="5">
        <v>4.1939827913295E-6</v>
      </c>
      <c r="P23" s="3">
        <v>1.12910914990142E-4</v>
      </c>
      <c r="Q23" s="5">
        <v>6.6049235537932204E-6</v>
      </c>
      <c r="R23" s="5">
        <v>3.88050453772529E-6</v>
      </c>
      <c r="S23" s="5">
        <v>1.15471445282842E-5</v>
      </c>
      <c r="T23" s="3" t="s">
        <v>48</v>
      </c>
      <c r="AI23" s="7">
        <f t="shared" si="1"/>
        <v>4.8785317954585627</v>
      </c>
      <c r="AJ23" s="7">
        <f t="shared" si="1"/>
        <v>3.9849250054130221</v>
      </c>
      <c r="AK23" s="7">
        <f t="shared" si="2"/>
        <v>9.002015525611645</v>
      </c>
      <c r="AL23" s="7">
        <f t="shared" si="3"/>
        <v>3.9762030431119451</v>
      </c>
      <c r="AM23" s="7">
        <f t="shared" si="4"/>
        <v>6.7761031652366617</v>
      </c>
      <c r="AN23" s="7">
        <f t="shared" si="5"/>
        <v>4.3486999266932607</v>
      </c>
    </row>
    <row r="24" spans="1:40" x14ac:dyDescent="0.25">
      <c r="A24" s="4">
        <v>45189.637499999997</v>
      </c>
      <c r="B24" s="2">
        <v>0.41319095145866302</v>
      </c>
      <c r="C24" s="5">
        <v>2.5897705244368698E-5</v>
      </c>
      <c r="D24" s="5">
        <v>1.6166451790234399E-5</v>
      </c>
      <c r="E24" s="5">
        <v>5.5308264405010696E-4</v>
      </c>
      <c r="F24" s="5">
        <v>2.54220630809118E-5</v>
      </c>
      <c r="G24" s="5">
        <v>2.6364766159581999E-5</v>
      </c>
      <c r="H24" s="5">
        <v>4.7990223613642102E-5</v>
      </c>
      <c r="I24" s="3" t="s">
        <v>7</v>
      </c>
      <c r="K24" s="1">
        <v>44684.416666666664</v>
      </c>
      <c r="L24" s="1">
        <v>44684.416666666664</v>
      </c>
      <c r="M24" s="2">
        <v>0.41310868099999998</v>
      </c>
      <c r="N24" s="5">
        <v>5.2327296099450898E-6</v>
      </c>
      <c r="O24" s="5">
        <v>4.0825799957826204E-6</v>
      </c>
      <c r="P24" s="5">
        <v>8.1064246659589802E-5</v>
      </c>
      <c r="Q24" s="5">
        <v>6.43365522375149E-6</v>
      </c>
      <c r="R24" s="5">
        <v>3.6566294480543401E-6</v>
      </c>
      <c r="S24" s="5">
        <v>1.10762150923902E-5</v>
      </c>
      <c r="T24" s="3" t="s">
        <v>16</v>
      </c>
      <c r="AI24" s="7">
        <f t="shared" si="1"/>
        <v>4.7977501911909881</v>
      </c>
      <c r="AJ24" s="7">
        <f t="shared" si="1"/>
        <v>3.8937738200382377</v>
      </c>
      <c r="AK24" s="7">
        <f t="shared" si="2"/>
        <v>7.3093288455821597</v>
      </c>
      <c r="AL24" s="7">
        <f t="shared" si="3"/>
        <v>3.8871625897184434</v>
      </c>
      <c r="AM24" s="7">
        <f t="shared" si="4"/>
        <v>6.7771336932941235</v>
      </c>
      <c r="AN24" s="7">
        <f t="shared" si="5"/>
        <v>4.2300881327168058</v>
      </c>
    </row>
    <row r="25" spans="1:40" x14ac:dyDescent="0.25">
      <c r="A25" s="4">
        <v>45189.637499999997</v>
      </c>
      <c r="B25" s="2">
        <v>0.41319095145866302</v>
      </c>
      <c r="C25" s="5">
        <v>2.5897705244368698E-5</v>
      </c>
      <c r="D25" s="5">
        <v>1.6166451790234399E-5</v>
      </c>
      <c r="E25" s="5">
        <v>5.5308264405010696E-4</v>
      </c>
      <c r="F25" s="5">
        <v>2.54220630809118E-5</v>
      </c>
      <c r="G25" s="5">
        <v>2.6364766159581999E-5</v>
      </c>
      <c r="H25" s="5">
        <v>4.7990223613642102E-5</v>
      </c>
      <c r="I25" s="3" t="s">
        <v>7</v>
      </c>
      <c r="K25" s="1">
        <v>44683.395833333336</v>
      </c>
      <c r="L25" s="1">
        <v>44683.395833333336</v>
      </c>
      <c r="M25" s="2">
        <v>0.41303403500000002</v>
      </c>
      <c r="N25" s="5">
        <v>5.2072303954657497E-6</v>
      </c>
      <c r="O25" s="5">
        <v>4.0657623668471204E-6</v>
      </c>
      <c r="P25" s="5">
        <v>5.8868083883749698E-5</v>
      </c>
      <c r="Q25" s="5">
        <v>6.4089487597984303E-6</v>
      </c>
      <c r="R25" s="5">
        <v>3.6270876160575499E-6</v>
      </c>
      <c r="S25" s="5">
        <v>1.10597358583211E-5</v>
      </c>
      <c r="T25" s="3" t="s">
        <v>49</v>
      </c>
      <c r="AI25" s="7">
        <f t="shared" si="1"/>
        <v>4.9491770404395989</v>
      </c>
      <c r="AJ25" s="7">
        <f t="shared" si="1"/>
        <v>3.9598616088195793</v>
      </c>
      <c r="AK25" s="7">
        <f t="shared" si="2"/>
        <v>6.8227691842082638</v>
      </c>
      <c r="AL25" s="7">
        <f t="shared" si="3"/>
        <v>3.9514183145935031</v>
      </c>
      <c r="AM25" s="7">
        <f t="shared" si="4"/>
        <v>7.2101279427179739</v>
      </c>
      <c r="AN25" s="7">
        <f t="shared" si="5"/>
        <v>4.3327276703585591</v>
      </c>
    </row>
    <row r="26" spans="1:40" x14ac:dyDescent="0.25">
      <c r="A26" s="4">
        <v>45189.638194444444</v>
      </c>
      <c r="B26" s="2">
        <v>0.452968146379014</v>
      </c>
      <c r="C26" s="5">
        <v>2.4865280330097399E-5</v>
      </c>
      <c r="D26" s="5">
        <v>1.6175033284986099E-5</v>
      </c>
      <c r="E26" s="5">
        <v>7.84253905430426E-4</v>
      </c>
      <c r="F26" s="5">
        <v>2.5434742648810199E-5</v>
      </c>
      <c r="G26" s="5">
        <v>2.4282464787393301E-5</v>
      </c>
      <c r="H26" s="5">
        <v>4.87254193614906E-5</v>
      </c>
      <c r="I26" s="3" t="s">
        <v>7</v>
      </c>
      <c r="K26" s="1">
        <v>44683.885416666664</v>
      </c>
      <c r="L26" s="1">
        <v>44683.885416666664</v>
      </c>
      <c r="M26" s="2">
        <v>0.452999928</v>
      </c>
      <c r="N26" s="5">
        <v>5.2196703070461304E-6</v>
      </c>
      <c r="O26" s="5">
        <v>4.0654454246956797E-6</v>
      </c>
      <c r="P26" s="5">
        <v>6.4658387216577504E-5</v>
      </c>
      <c r="Q26" s="5">
        <v>6.4011577778168899E-6</v>
      </c>
      <c r="R26" s="5">
        <v>3.6762881989731498E-6</v>
      </c>
      <c r="S26" s="5">
        <v>1.1045219900448801E-5</v>
      </c>
      <c r="T26" s="3" t="s">
        <v>50</v>
      </c>
      <c r="AI26" s="7">
        <f t="shared" si="1"/>
        <v>4.9734125970149883</v>
      </c>
      <c r="AJ26" s="7">
        <f t="shared" si="1"/>
        <v>3.9762411896126157</v>
      </c>
      <c r="AK26" s="7">
        <f t="shared" si="2"/>
        <v>9.3952887126802374</v>
      </c>
      <c r="AL26" s="7">
        <f t="shared" si="3"/>
        <v>3.9666510115320937</v>
      </c>
      <c r="AM26" s="7">
        <f t="shared" si="4"/>
        <v>7.2688528512137482</v>
      </c>
      <c r="AN26" s="7">
        <f t="shared" si="5"/>
        <v>4.3391835237670096</v>
      </c>
    </row>
    <row r="27" spans="1:40" x14ac:dyDescent="0.25">
      <c r="A27" s="4">
        <v>45189.638194444444</v>
      </c>
      <c r="B27" s="2">
        <v>0.452968146379014</v>
      </c>
      <c r="C27" s="5">
        <v>2.4865280330097399E-5</v>
      </c>
      <c r="D27" s="5">
        <v>1.6175033284986099E-5</v>
      </c>
      <c r="E27" s="5">
        <v>7.84253905430426E-4</v>
      </c>
      <c r="F27" s="5">
        <v>2.5434742648810199E-5</v>
      </c>
      <c r="G27" s="5">
        <v>2.4282464787393301E-5</v>
      </c>
      <c r="H27" s="5">
        <v>4.87254193614906E-5</v>
      </c>
      <c r="I27" s="3" t="s">
        <v>7</v>
      </c>
      <c r="K27" s="1">
        <v>44682.989583333336</v>
      </c>
      <c r="L27" s="1">
        <v>44682.989583333336</v>
      </c>
      <c r="M27" s="2">
        <v>0.45331579399999999</v>
      </c>
      <c r="N27" s="5">
        <v>5.13633032774139E-6</v>
      </c>
      <c r="O27" s="5">
        <v>4.0089841316719303E-6</v>
      </c>
      <c r="P27" s="5">
        <v>7.1413741104876701E-5</v>
      </c>
      <c r="Q27" s="5">
        <v>6.31307908048231E-6</v>
      </c>
      <c r="R27" s="5">
        <v>3.5928788714700398E-6</v>
      </c>
      <c r="S27" s="5">
        <v>1.0905749510822699E-5</v>
      </c>
      <c r="T27" s="3" t="s">
        <v>51</v>
      </c>
      <c r="AI27" s="7">
        <f t="shared" si="1"/>
        <v>4.7637645420882793</v>
      </c>
      <c r="AJ27" s="7">
        <f t="shared" si="1"/>
        <v>3.9786620149246961</v>
      </c>
      <c r="AK27" s="7">
        <f t="shared" si="2"/>
        <v>12.129190646273255</v>
      </c>
      <c r="AL27" s="7">
        <f t="shared" si="3"/>
        <v>3.9734597289499556</v>
      </c>
      <c r="AM27" s="7">
        <f t="shared" si="4"/>
        <v>6.6051581032672599</v>
      </c>
      <c r="AN27" s="7">
        <f t="shared" si="5"/>
        <v>4.4114485542755686</v>
      </c>
    </row>
    <row r="28" spans="1:40" x14ac:dyDescent="0.25">
      <c r="A28" s="4">
        <v>45189.638194444444</v>
      </c>
      <c r="B28" s="2">
        <v>0.452968146379014</v>
      </c>
      <c r="C28" s="5">
        <v>2.4865280330097399E-5</v>
      </c>
      <c r="D28" s="5">
        <v>1.6175033284986099E-5</v>
      </c>
      <c r="E28" s="5">
        <v>7.84253905430426E-4</v>
      </c>
      <c r="F28" s="5">
        <v>2.5434742648810199E-5</v>
      </c>
      <c r="G28" s="5">
        <v>2.4282464787393301E-5</v>
      </c>
      <c r="H28" s="5">
        <v>4.87254193614906E-5</v>
      </c>
      <c r="I28" s="3" t="s">
        <v>7</v>
      </c>
      <c r="K28" s="1">
        <v>44685.65625</v>
      </c>
      <c r="L28" s="1">
        <v>44685.65625</v>
      </c>
      <c r="M28" s="2">
        <v>0.45348789900000003</v>
      </c>
      <c r="N28" s="5">
        <v>5.1034605316392401E-6</v>
      </c>
      <c r="O28" s="5">
        <v>3.9668399435442598E-6</v>
      </c>
      <c r="P28" s="5">
        <v>6.7553538882991502E-5</v>
      </c>
      <c r="Q28" s="5">
        <v>6.24897707552412E-6</v>
      </c>
      <c r="R28" s="5">
        <v>3.6112139986340901E-6</v>
      </c>
      <c r="S28" s="5">
        <v>1.07649017670494E-5</v>
      </c>
      <c r="T28" s="3" t="s">
        <v>23</v>
      </c>
      <c r="AI28" s="7">
        <f t="shared" si="1"/>
        <v>4.8410594224829504</v>
      </c>
      <c r="AJ28" s="7">
        <f t="shared" si="1"/>
        <v>4.0346962606310859</v>
      </c>
      <c r="AK28" s="7">
        <f t="shared" si="2"/>
        <v>10.981834774328478</v>
      </c>
      <c r="AL28" s="7">
        <f t="shared" si="3"/>
        <v>4.0288965692580909</v>
      </c>
      <c r="AM28" s="7">
        <f t="shared" si="4"/>
        <v>6.7584980334886824</v>
      </c>
      <c r="AN28" s="7">
        <f t="shared" si="5"/>
        <v>4.4678652588835126</v>
      </c>
    </row>
    <row r="29" spans="1:40" x14ac:dyDescent="0.25">
      <c r="A29" s="4">
        <v>45189.638888888891</v>
      </c>
      <c r="B29" s="2">
        <v>0.45740310650690502</v>
      </c>
      <c r="C29" s="5">
        <v>2.4698933183915802E-5</v>
      </c>
      <c r="D29" s="5">
        <v>1.6103510486292E-5</v>
      </c>
      <c r="E29" s="5">
        <v>5.4660120681514505E-4</v>
      </c>
      <c r="F29" s="5">
        <v>2.5331126483507599E-5</v>
      </c>
      <c r="G29" s="5">
        <v>2.4050124774344501E-5</v>
      </c>
      <c r="H29" s="5">
        <v>4.9065792695487503E-5</v>
      </c>
      <c r="I29" s="3" t="s">
        <v>7</v>
      </c>
      <c r="K29" s="1">
        <v>44683.302083333336</v>
      </c>
      <c r="L29" s="1">
        <v>44683.302083333336</v>
      </c>
      <c r="M29" s="2">
        <v>0.45756461799999998</v>
      </c>
      <c r="N29" s="5">
        <v>5.1939121222657702E-6</v>
      </c>
      <c r="O29" s="5">
        <v>4.0648253997734198E-6</v>
      </c>
      <c r="P29" s="5">
        <v>8.0099196104118397E-5</v>
      </c>
      <c r="Q29" s="5">
        <v>6.4065716530981002E-6</v>
      </c>
      <c r="R29" s="5">
        <v>3.5929455140411201E-6</v>
      </c>
      <c r="S29" s="5">
        <v>1.10042654567884E-5</v>
      </c>
      <c r="T29" s="3" t="s">
        <v>52</v>
      </c>
      <c r="AI29" s="7">
        <f t="shared" si="1"/>
        <v>4.8722391749565714</v>
      </c>
      <c r="AJ29" s="7">
        <f t="shared" si="1"/>
        <v>4.0775613624920197</v>
      </c>
      <c r="AK29" s="7">
        <f t="shared" si="2"/>
        <v>11.609368190004387</v>
      </c>
      <c r="AL29" s="7">
        <f t="shared" si="3"/>
        <v>4.0702249890518143</v>
      </c>
      <c r="AM29" s="7">
        <f t="shared" si="4"/>
        <v>6.7241832792456862</v>
      </c>
      <c r="AN29" s="7">
        <f t="shared" si="5"/>
        <v>4.5263227120785858</v>
      </c>
    </row>
    <row r="30" spans="1:40" x14ac:dyDescent="0.25">
      <c r="A30" s="4">
        <v>45189.638888888891</v>
      </c>
      <c r="B30" s="2">
        <v>0.45740310650690502</v>
      </c>
      <c r="C30" s="5">
        <v>2.4698933183915802E-5</v>
      </c>
      <c r="D30" s="5">
        <v>1.6103510486292E-5</v>
      </c>
      <c r="E30" s="5">
        <v>5.4660120681514505E-4</v>
      </c>
      <c r="F30" s="5">
        <v>2.5331126483507599E-5</v>
      </c>
      <c r="G30" s="5">
        <v>2.4050124774344501E-5</v>
      </c>
      <c r="H30" s="5">
        <v>4.9065792695487503E-5</v>
      </c>
      <c r="I30" s="3" t="s">
        <v>7</v>
      </c>
      <c r="K30" s="1">
        <v>44683.875</v>
      </c>
      <c r="L30" s="1">
        <v>44683.875</v>
      </c>
      <c r="M30" s="2">
        <v>0.457100281</v>
      </c>
      <c r="N30" s="5">
        <v>5.2481344463598404E-6</v>
      </c>
      <c r="O30" s="5">
        <v>4.0970112582085097E-6</v>
      </c>
      <c r="P30" s="5">
        <v>5.7903033328278401E-5</v>
      </c>
      <c r="Q30" s="5">
        <v>6.4535665193035102E-6</v>
      </c>
      <c r="R30" s="5">
        <v>3.6656906180531301E-6</v>
      </c>
      <c r="S30" s="5">
        <v>1.11459675039645E-5</v>
      </c>
      <c r="T30" s="3" t="s">
        <v>53</v>
      </c>
      <c r="AI30" s="7">
        <f t="shared" si="1"/>
        <v>4.7553621629511209</v>
      </c>
      <c r="AJ30" s="7">
        <f t="shared" si="1"/>
        <v>3.9616733567915698</v>
      </c>
      <c r="AK30" s="7">
        <f t="shared" si="2"/>
        <v>6.8240535910577123</v>
      </c>
      <c r="AL30" s="7">
        <f t="shared" si="3"/>
        <v>3.953928536998089</v>
      </c>
      <c r="AM30" s="7">
        <f t="shared" si="4"/>
        <v>6.6937070657924966</v>
      </c>
      <c r="AN30" s="7">
        <f t="shared" si="5"/>
        <v>4.458797626080476</v>
      </c>
    </row>
    <row r="31" spans="1:40" x14ac:dyDescent="0.25">
      <c r="A31" s="4">
        <v>45189.638888888891</v>
      </c>
      <c r="B31" s="2">
        <v>0.45740310650690502</v>
      </c>
      <c r="C31" s="5">
        <v>2.4698933183915802E-5</v>
      </c>
      <c r="D31" s="5">
        <v>1.6103510486292E-5</v>
      </c>
      <c r="E31" s="5">
        <v>5.4660120681514505E-4</v>
      </c>
      <c r="F31" s="5">
        <v>2.5331126483507599E-5</v>
      </c>
      <c r="G31" s="5">
        <v>2.4050124774344501E-5</v>
      </c>
      <c r="H31" s="5">
        <v>4.9065792695487503E-5</v>
      </c>
      <c r="I31" s="3" t="s">
        <v>7</v>
      </c>
      <c r="K31" s="1">
        <v>44683.708333333336</v>
      </c>
      <c r="L31" s="1">
        <v>44683.708333333336</v>
      </c>
      <c r="M31" s="2">
        <v>0.457856814</v>
      </c>
      <c r="N31" s="5">
        <v>5.0125262727616396E-6</v>
      </c>
      <c r="O31" s="5">
        <v>3.9184553869343099E-6</v>
      </c>
      <c r="P31" s="5">
        <v>7.2378791660347998E-5</v>
      </c>
      <c r="Q31" s="5">
        <v>6.1746687166805003E-6</v>
      </c>
      <c r="R31" s="5">
        <v>3.4819934146209102E-6</v>
      </c>
      <c r="S31" s="5">
        <v>1.0665111586541701E-5</v>
      </c>
      <c r="T31" s="3" t="s">
        <v>54</v>
      </c>
      <c r="AI31" s="7">
        <f t="shared" si="1"/>
        <v>4.7062310305421455</v>
      </c>
      <c r="AJ31" s="7">
        <f t="shared" si="1"/>
        <v>3.9305507042549701</v>
      </c>
      <c r="AK31" s="7">
        <f t="shared" si="2"/>
        <v>9.4399408009631625</v>
      </c>
      <c r="AL31" s="7">
        <f t="shared" si="3"/>
        <v>3.9251360325703151</v>
      </c>
      <c r="AM31" s="7">
        <f t="shared" si="4"/>
        <v>6.5608714101239851</v>
      </c>
      <c r="AN31" s="7">
        <f t="shared" si="5"/>
        <v>4.4021115868169662</v>
      </c>
    </row>
    <row r="32" spans="1:40" x14ac:dyDescent="0.25">
      <c r="A32" s="4">
        <v>45189.63958333333</v>
      </c>
      <c r="B32" s="2">
        <v>0.49084660866292901</v>
      </c>
      <c r="C32" s="5">
        <v>2.5043518351924701E-5</v>
      </c>
      <c r="D32" s="5">
        <v>1.64550619109203E-5</v>
      </c>
      <c r="E32" s="5">
        <v>4.4505869013407101E-4</v>
      </c>
      <c r="F32" s="5">
        <v>2.5871243920167901E-5</v>
      </c>
      <c r="G32" s="5">
        <v>2.41874819495546E-5</v>
      </c>
      <c r="H32" s="5">
        <v>5.0233863159396597E-5</v>
      </c>
      <c r="I32" s="3" t="s">
        <v>7</v>
      </c>
      <c r="K32" s="1">
        <v>44682.208333333336</v>
      </c>
      <c r="L32" s="1">
        <v>44682.208333333336</v>
      </c>
      <c r="M32" s="2">
        <v>0.49077843599999998</v>
      </c>
      <c r="N32" s="5">
        <v>5.1296250372777998E-6</v>
      </c>
      <c r="O32" s="5">
        <v>4.0410583856210101E-6</v>
      </c>
      <c r="P32" s="5">
        <v>5.1147679439979197E-5</v>
      </c>
      <c r="Q32" s="5">
        <v>6.3668765503900399E-6</v>
      </c>
      <c r="R32" s="5">
        <v>3.4769200845814802E-6</v>
      </c>
      <c r="S32" s="5">
        <v>1.0898890797579401E-5</v>
      </c>
      <c r="T32" s="3" t="s">
        <v>55</v>
      </c>
      <c r="AI32" s="7">
        <f t="shared" si="1"/>
        <v>4.9274421399307666</v>
      </c>
      <c r="AJ32" s="7">
        <f t="shared" si="1"/>
        <v>4.1096577340110887</v>
      </c>
      <c r="AK32" s="7">
        <f t="shared" si="2"/>
        <v>7.55195264077053</v>
      </c>
      <c r="AL32" s="7">
        <f t="shared" si="3"/>
        <v>4.1024268095674623</v>
      </c>
      <c r="AM32" s="7">
        <f t="shared" si="4"/>
        <v>6.9069989257756461</v>
      </c>
      <c r="AN32" s="7">
        <f t="shared" si="5"/>
        <v>4.6005887793432567</v>
      </c>
    </row>
    <row r="33" spans="1:40" x14ac:dyDescent="0.25">
      <c r="A33" s="4">
        <v>45189.63958333333</v>
      </c>
      <c r="B33" s="2">
        <v>0.49084660866292901</v>
      </c>
      <c r="C33" s="5">
        <v>2.5043518351924701E-5</v>
      </c>
      <c r="D33" s="5">
        <v>1.64550619109203E-5</v>
      </c>
      <c r="E33" s="5">
        <v>4.4505869013407101E-4</v>
      </c>
      <c r="F33" s="5">
        <v>2.5871243920167901E-5</v>
      </c>
      <c r="G33" s="5">
        <v>2.41874819495546E-5</v>
      </c>
      <c r="H33" s="5">
        <v>5.0233863159396597E-5</v>
      </c>
      <c r="I33" s="3" t="s">
        <v>7</v>
      </c>
      <c r="K33" s="1">
        <v>44679.90625</v>
      </c>
      <c r="L33" s="1">
        <v>44679.90625</v>
      </c>
      <c r="M33" s="2">
        <v>0.49063866900000003</v>
      </c>
      <c r="N33" s="5">
        <v>4.8353976468882898E-6</v>
      </c>
      <c r="O33" s="5">
        <v>3.78654216695905E-6</v>
      </c>
      <c r="P33" s="5">
        <v>6.1763235550163601E-5</v>
      </c>
      <c r="Q33" s="5">
        <v>5.9648004214616497E-6</v>
      </c>
      <c r="R33" s="5">
        <v>3.3441412680476101E-6</v>
      </c>
      <c r="S33" s="5">
        <v>1.0273686073618699E-5</v>
      </c>
      <c r="T33" s="3" t="s">
        <v>56</v>
      </c>
      <c r="AI33" s="7">
        <f t="shared" si="1"/>
        <v>4.8821343022013259</v>
      </c>
      <c r="AJ33" s="7">
        <f t="shared" si="1"/>
        <v>4.0719683658793677</v>
      </c>
      <c r="AK33" s="7">
        <f t="shared" si="2"/>
        <v>8.7014444253788419</v>
      </c>
      <c r="AL33" s="7">
        <f t="shared" si="3"/>
        <v>4.0634122109031638</v>
      </c>
      <c r="AM33" s="7">
        <f t="shared" si="4"/>
        <v>6.9565826539456017</v>
      </c>
      <c r="AN33" s="7">
        <f t="shared" si="5"/>
        <v>4.609080326830445</v>
      </c>
    </row>
    <row r="34" spans="1:40" x14ac:dyDescent="0.25">
      <c r="A34" s="4">
        <v>45189.63958333333</v>
      </c>
      <c r="B34" s="2">
        <v>0.49084660866292901</v>
      </c>
      <c r="C34" s="5">
        <v>2.5043518351924701E-5</v>
      </c>
      <c r="D34" s="5">
        <v>1.64550619109203E-5</v>
      </c>
      <c r="E34" s="5">
        <v>4.4505869013407101E-4</v>
      </c>
      <c r="F34" s="5">
        <v>2.5871243920167901E-5</v>
      </c>
      <c r="G34" s="5">
        <v>2.41874819495546E-5</v>
      </c>
      <c r="H34" s="5">
        <v>5.0233863159396597E-5</v>
      </c>
      <c r="I34" s="3" t="s">
        <v>7</v>
      </c>
      <c r="K34" s="1">
        <v>44680.302083333336</v>
      </c>
      <c r="L34" s="1">
        <v>44680.302083333336</v>
      </c>
      <c r="M34" s="2">
        <v>0.49107450000000002</v>
      </c>
      <c r="N34" s="5">
        <v>5.5009769858090598E-6</v>
      </c>
      <c r="O34" s="5">
        <v>4.3324095554733799E-6</v>
      </c>
      <c r="P34" s="5">
        <v>6.1763235550163601E-5</v>
      </c>
      <c r="Q34" s="5">
        <v>6.8206380117566201E-6</v>
      </c>
      <c r="R34" s="5">
        <v>3.7417080814187999E-6</v>
      </c>
      <c r="S34" s="5">
        <v>1.17284069219309E-5</v>
      </c>
      <c r="T34" s="3" t="s">
        <v>57</v>
      </c>
      <c r="AI34" s="7">
        <f t="shared" si="1"/>
        <v>5.1792055546953595</v>
      </c>
      <c r="AJ34" s="7">
        <f t="shared" si="1"/>
        <v>4.3456697919556682</v>
      </c>
      <c r="AK34" s="7">
        <f t="shared" si="2"/>
        <v>7.2058836647668487</v>
      </c>
      <c r="AL34" s="7">
        <f t="shared" si="3"/>
        <v>4.3373192885183336</v>
      </c>
      <c r="AM34" s="7">
        <f t="shared" si="4"/>
        <v>7.2327931181196279</v>
      </c>
      <c r="AN34" s="7">
        <f t="shared" si="5"/>
        <v>4.8895657118032547</v>
      </c>
    </row>
    <row r="35" spans="1:40" x14ac:dyDescent="0.25">
      <c r="A35" s="4">
        <v>45189.640277777777</v>
      </c>
      <c r="B35" s="2">
        <v>0.462678059372443</v>
      </c>
      <c r="C35" s="5">
        <v>2.95838204877705E-5</v>
      </c>
      <c r="D35" s="5">
        <v>1.9103713729553699E-5</v>
      </c>
      <c r="E35" s="5">
        <v>1.01758564588906E-3</v>
      </c>
      <c r="F35" s="5">
        <v>3.0025893965264799E-5</v>
      </c>
      <c r="G35" s="5">
        <v>2.9135037733630299E-5</v>
      </c>
      <c r="H35" s="5">
        <v>5.89223528593316E-5</v>
      </c>
      <c r="I35" s="3" t="s">
        <v>7</v>
      </c>
      <c r="K35" s="1">
        <v>44684.46875</v>
      </c>
      <c r="L35" s="1">
        <v>44684.46875</v>
      </c>
      <c r="M35" s="2">
        <v>0.46243681399999997</v>
      </c>
      <c r="N35" s="5">
        <v>5.1408362517822996E-6</v>
      </c>
      <c r="O35" s="5">
        <v>4.0103988826563198E-6</v>
      </c>
      <c r="P35" s="5">
        <v>6.7553538882991502E-5</v>
      </c>
      <c r="Q35" s="5">
        <v>6.3190404017734896E-6</v>
      </c>
      <c r="R35" s="5">
        <v>3.5952839459573601E-6</v>
      </c>
      <c r="S35" s="5">
        <v>1.08429184413934E-5</v>
      </c>
      <c r="T35" s="3" t="s">
        <v>58</v>
      </c>
      <c r="AI35" s="7">
        <f t="shared" si="1"/>
        <v>4.5525582849246202</v>
      </c>
      <c r="AJ35" s="7">
        <f t="shared" si="1"/>
        <v>3.7981316632753899</v>
      </c>
      <c r="AK35" s="7">
        <f t="shared" si="2"/>
        <v>7.2058836647668487</v>
      </c>
      <c r="AL35" s="7">
        <f t="shared" si="3"/>
        <v>3.7930826816456276</v>
      </c>
      <c r="AM35" s="7">
        <f t="shared" si="4"/>
        <v>6.4642888817726973</v>
      </c>
      <c r="AN35" s="7">
        <f t="shared" si="5"/>
        <v>4.2830934749939908</v>
      </c>
    </row>
    <row r="36" spans="1:40" x14ac:dyDescent="0.25">
      <c r="A36" s="4">
        <v>45189.640277777777</v>
      </c>
      <c r="B36" s="2">
        <v>0.462678059372443</v>
      </c>
      <c r="C36" s="5">
        <v>2.95838204877705E-5</v>
      </c>
      <c r="D36" s="5">
        <v>1.9103713729553699E-5</v>
      </c>
      <c r="E36" s="5">
        <v>1.01758564588906E-3</v>
      </c>
      <c r="F36" s="5">
        <v>3.0025893965264799E-5</v>
      </c>
      <c r="G36" s="5">
        <v>2.9135037733630299E-5</v>
      </c>
      <c r="H36" s="5">
        <v>5.89223528593316E-5</v>
      </c>
      <c r="I36" s="3" t="s">
        <v>7</v>
      </c>
      <c r="K36" s="1">
        <v>44680.71875</v>
      </c>
      <c r="L36" s="1">
        <v>44680.71875</v>
      </c>
      <c r="M36" s="2">
        <v>0.46315093400000001</v>
      </c>
      <c r="N36" s="5">
        <v>5.0660560211899396E-6</v>
      </c>
      <c r="O36" s="5">
        <v>3.9831429517942904E-6</v>
      </c>
      <c r="P36" s="5">
        <v>6.4658387216577504E-5</v>
      </c>
      <c r="Q36" s="5">
        <v>6.2725458754186199E-6</v>
      </c>
      <c r="R36" s="5">
        <v>3.4619340557745098E-6</v>
      </c>
      <c r="S36" s="5">
        <v>1.07775470743304E-5</v>
      </c>
      <c r="T36" s="3" t="s">
        <v>59</v>
      </c>
      <c r="AI36" s="7">
        <f t="shared" si="1"/>
        <v>5.7546708431948117</v>
      </c>
      <c r="AJ36" s="7">
        <f t="shared" si="1"/>
        <v>4.763544547194817</v>
      </c>
      <c r="AK36" s="7">
        <f t="shared" si="2"/>
        <v>15.063395089509747</v>
      </c>
      <c r="AL36" s="7">
        <f t="shared" si="3"/>
        <v>4.7516540576062454</v>
      </c>
      <c r="AM36" s="7">
        <f t="shared" si="4"/>
        <v>8.1036819821673802</v>
      </c>
      <c r="AN36" s="7">
        <f t="shared" si="5"/>
        <v>5.4341783697636679</v>
      </c>
    </row>
    <row r="37" spans="1:40" x14ac:dyDescent="0.25">
      <c r="A37" s="4">
        <v>45189.640277777777</v>
      </c>
      <c r="B37" s="2">
        <v>0.462678059372443</v>
      </c>
      <c r="C37" s="5">
        <v>2.95838204877705E-5</v>
      </c>
      <c r="D37" s="5">
        <v>1.9103713729553699E-5</v>
      </c>
      <c r="E37" s="5">
        <v>1.01758564588906E-3</v>
      </c>
      <c r="F37" s="5">
        <v>3.0025893965264799E-5</v>
      </c>
      <c r="G37" s="5">
        <v>2.9135037733630299E-5</v>
      </c>
      <c r="H37" s="5">
        <v>5.89223528593316E-5</v>
      </c>
      <c r="I37" s="3" t="s">
        <v>7</v>
      </c>
      <c r="K37" s="1">
        <v>44685.479166666664</v>
      </c>
      <c r="L37" s="1">
        <v>44685.479166666664</v>
      </c>
      <c r="M37" s="2">
        <v>0.46218569100000001</v>
      </c>
      <c r="N37" s="5">
        <v>5.5132620543263203E-6</v>
      </c>
      <c r="O37" s="5">
        <v>4.2693719863477002E-6</v>
      </c>
      <c r="P37" s="3">
        <v>1.15806066656556E-4</v>
      </c>
      <c r="Q37" s="5">
        <v>6.7221109391360703E-6</v>
      </c>
      <c r="R37" s="5">
        <v>3.9503447153277499E-6</v>
      </c>
      <c r="S37" s="5">
        <v>1.16342846821548E-5</v>
      </c>
      <c r="T37" s="3" t="s">
        <v>21</v>
      </c>
      <c r="AI37" s="7">
        <f t="shared" si="1"/>
        <v>5.8396157413240983</v>
      </c>
      <c r="AJ37" s="7">
        <f t="shared" si="1"/>
        <v>4.7961406258211321</v>
      </c>
      <c r="AK37" s="7">
        <f t="shared" si="2"/>
        <v>15.737875466651994</v>
      </c>
      <c r="AL37" s="7">
        <f t="shared" si="3"/>
        <v>4.7868751479256284</v>
      </c>
      <c r="AM37" s="7">
        <f t="shared" si="4"/>
        <v>8.4158268945166714</v>
      </c>
      <c r="AN37" s="7">
        <f t="shared" si="5"/>
        <v>5.4671394569614895</v>
      </c>
    </row>
    <row r="38" spans="1:40" x14ac:dyDescent="0.25">
      <c r="A38" s="4">
        <v>45189.640972222223</v>
      </c>
      <c r="B38" s="2">
        <v>0.51066082864599005</v>
      </c>
      <c r="C38" s="5">
        <v>2.97391012446417E-5</v>
      </c>
      <c r="D38" s="5">
        <v>1.9504785522897402E-5</v>
      </c>
      <c r="E38" s="5">
        <v>5.79008392989956E-4</v>
      </c>
      <c r="F38" s="5">
        <v>3.0666525727390198E-5</v>
      </c>
      <c r="G38" s="5">
        <v>2.87818043169577E-5</v>
      </c>
      <c r="H38" s="5">
        <v>5.9122213606478901E-5</v>
      </c>
      <c r="I38" s="3" t="s">
        <v>7</v>
      </c>
      <c r="K38" s="1">
        <v>44681.708333333336</v>
      </c>
      <c r="L38" s="1">
        <v>44681.708333333336</v>
      </c>
      <c r="M38" s="2">
        <v>0.51070743600000001</v>
      </c>
      <c r="N38" s="5">
        <v>5.1609354172074901E-6</v>
      </c>
      <c r="O38" s="5">
        <v>4.0505589910327503E-6</v>
      </c>
      <c r="P38" s="5">
        <v>4.9217578329036597E-5</v>
      </c>
      <c r="Q38" s="5">
        <v>6.3814495580690001E-6</v>
      </c>
      <c r="R38" s="5">
        <v>3.5422521747972002E-6</v>
      </c>
      <c r="S38" s="5">
        <v>1.1069114409014801E-5</v>
      </c>
      <c r="T38" s="3" t="s">
        <v>60</v>
      </c>
      <c r="AI38" s="7">
        <f t="shared" si="1"/>
        <v>5.3659376601835449</v>
      </c>
      <c r="AJ38" s="7">
        <f t="shared" si="1"/>
        <v>4.4745957463163721</v>
      </c>
      <c r="AK38" s="7">
        <f t="shared" si="2"/>
        <v>8.7869804688807509</v>
      </c>
      <c r="AL38" s="7">
        <f t="shared" si="3"/>
        <v>4.4667358568056814</v>
      </c>
      <c r="AM38" s="7">
        <f t="shared" si="4"/>
        <v>7.3753152783308531</v>
      </c>
      <c r="AN38" s="7">
        <f t="shared" si="5"/>
        <v>5.0645445310195489</v>
      </c>
    </row>
    <row r="39" spans="1:40" x14ac:dyDescent="0.25">
      <c r="A39" s="4">
        <v>45189.640972222223</v>
      </c>
      <c r="B39" s="2">
        <v>0.51066082864599005</v>
      </c>
      <c r="C39" s="5">
        <v>2.97391012446417E-5</v>
      </c>
      <c r="D39" s="5">
        <v>1.9504785522897402E-5</v>
      </c>
      <c r="E39" s="5">
        <v>5.79008392989956E-4</v>
      </c>
      <c r="F39" s="5">
        <v>3.0666525727390198E-5</v>
      </c>
      <c r="G39" s="5">
        <v>2.87818043169577E-5</v>
      </c>
      <c r="H39" s="5">
        <v>5.9122213606478901E-5</v>
      </c>
      <c r="I39" s="3" t="s">
        <v>7</v>
      </c>
      <c r="K39" s="1">
        <v>44685.25</v>
      </c>
      <c r="L39" s="1">
        <v>44685.25</v>
      </c>
      <c r="M39" s="2">
        <v>0.51048112000000001</v>
      </c>
      <c r="N39" s="5">
        <v>5.3957150901366096E-6</v>
      </c>
      <c r="O39" s="5">
        <v>4.2046136657024701E-6</v>
      </c>
      <c r="P39" s="5">
        <v>8.1064246659589802E-5</v>
      </c>
      <c r="Q39" s="5">
        <v>6.62061953316363E-6</v>
      </c>
      <c r="R39" s="5">
        <v>3.7940582338624399E-6</v>
      </c>
      <c r="S39" s="5">
        <v>1.14863034124645E-5</v>
      </c>
      <c r="T39" s="3" t="s">
        <v>20</v>
      </c>
      <c r="AI39" s="7">
        <f t="shared" si="1"/>
        <v>5.7623471019393442</v>
      </c>
      <c r="AJ39" s="7">
        <f t="shared" si="1"/>
        <v>4.8153318013828912</v>
      </c>
      <c r="AK39" s="7">
        <f t="shared" si="2"/>
        <v>11.764260100712065</v>
      </c>
      <c r="AL39" s="7">
        <f t="shared" si="3"/>
        <v>4.8055736315605637</v>
      </c>
      <c r="AM39" s="7">
        <f t="shared" si="4"/>
        <v>8.1252838298011643</v>
      </c>
      <c r="AN39" s="7">
        <f t="shared" si="5"/>
        <v>5.3411873273555797</v>
      </c>
    </row>
    <row r="40" spans="1:40" x14ac:dyDescent="0.25">
      <c r="A40" s="4">
        <v>45189.640972222223</v>
      </c>
      <c r="B40" s="2">
        <v>0.51066082864599005</v>
      </c>
      <c r="C40" s="5">
        <v>2.97391012446417E-5</v>
      </c>
      <c r="D40" s="5">
        <v>1.9504785522897402E-5</v>
      </c>
      <c r="E40" s="5">
        <v>5.79008392989956E-4</v>
      </c>
      <c r="F40" s="5">
        <v>3.0666525727390198E-5</v>
      </c>
      <c r="G40" s="5">
        <v>2.87818043169577E-5</v>
      </c>
      <c r="H40" s="5">
        <v>5.9122213606478901E-5</v>
      </c>
      <c r="I40" s="3" t="s">
        <v>7</v>
      </c>
      <c r="K40" s="1">
        <v>44685.083333333336</v>
      </c>
      <c r="L40" s="1">
        <v>44685.083333333336</v>
      </c>
      <c r="M40" s="2">
        <v>0.51096847400000001</v>
      </c>
      <c r="N40" s="5">
        <v>5.3052345145555097E-6</v>
      </c>
      <c r="O40" s="5">
        <v>4.1141217577396404E-6</v>
      </c>
      <c r="P40" s="5">
        <v>6.8518589438462798E-5</v>
      </c>
      <c r="Q40" s="5">
        <v>6.4787131203673697E-6</v>
      </c>
      <c r="R40" s="5">
        <v>3.7838176696713E-6</v>
      </c>
      <c r="S40" s="5">
        <v>1.1180749721379E-5</v>
      </c>
      <c r="T40" s="3" t="s">
        <v>61</v>
      </c>
      <c r="AI40" s="7">
        <f t="shared" si="1"/>
        <v>5.5116144473611852</v>
      </c>
      <c r="AJ40" s="7">
        <f t="shared" si="1"/>
        <v>4.6389007584692594</v>
      </c>
      <c r="AK40" s="7">
        <f t="shared" si="2"/>
        <v>7.1425864897180293</v>
      </c>
      <c r="AL40" s="7">
        <f t="shared" si="3"/>
        <v>4.6319722155573482</v>
      </c>
      <c r="AM40" s="7">
        <f t="shared" si="4"/>
        <v>7.5860207047104682</v>
      </c>
      <c r="AN40" s="7">
        <f t="shared" si="5"/>
        <v>5.1471923980626979</v>
      </c>
    </row>
    <row r="41" spans="1:40" x14ac:dyDescent="0.25">
      <c r="A41" s="4">
        <v>45189.640972222223</v>
      </c>
      <c r="B41" s="2">
        <v>0.51066082864599005</v>
      </c>
      <c r="C41" s="5">
        <v>2.97391012446417E-5</v>
      </c>
      <c r="D41" s="5">
        <v>1.9504785522897402E-5</v>
      </c>
      <c r="E41" s="5">
        <v>5.79008392989956E-4</v>
      </c>
      <c r="F41" s="5">
        <v>3.0666525727390198E-5</v>
      </c>
      <c r="G41" s="5">
        <v>2.87818043169577E-5</v>
      </c>
      <c r="H41" s="5">
        <v>5.9122213606478901E-5</v>
      </c>
      <c r="I41" s="3" t="s">
        <v>7</v>
      </c>
      <c r="K41" s="1">
        <v>44681.020833333336</v>
      </c>
      <c r="L41" s="1">
        <v>44681.020833333336</v>
      </c>
      <c r="M41" s="2">
        <v>0.51099338100000002</v>
      </c>
      <c r="N41" s="5">
        <v>5.1052928460165897E-6</v>
      </c>
      <c r="O41" s="5">
        <v>4.0102508061160596E-6</v>
      </c>
      <c r="P41" s="5">
        <v>5.1147679439979197E-5</v>
      </c>
      <c r="Q41" s="5">
        <v>6.3166316560250496E-6</v>
      </c>
      <c r="R41" s="5">
        <v>3.49687146043091E-6</v>
      </c>
      <c r="S41" s="5">
        <v>1.08924131853782E-5</v>
      </c>
      <c r="T41" s="3" t="s">
        <v>62</v>
      </c>
      <c r="AI41" s="7">
        <f t="shared" si="1"/>
        <v>5.6056148249524353</v>
      </c>
      <c r="AJ41" s="7">
        <f t="shared" si="1"/>
        <v>4.7409354101405157</v>
      </c>
      <c r="AK41" s="7">
        <f t="shared" si="2"/>
        <v>8.4503840160044295</v>
      </c>
      <c r="AL41" s="7">
        <f t="shared" si="3"/>
        <v>4.7334285617590792</v>
      </c>
      <c r="AM41" s="7">
        <f t="shared" si="4"/>
        <v>7.60655159144018</v>
      </c>
      <c r="AN41" s="7">
        <f t="shared" si="5"/>
        <v>5.2878577089897458</v>
      </c>
    </row>
    <row r="42" spans="1:40" x14ac:dyDescent="0.25">
      <c r="A42" s="4">
        <v>45189.64166666667</v>
      </c>
      <c r="B42" s="2">
        <v>0.49948880760551201</v>
      </c>
      <c r="C42" s="5">
        <v>3.2729522036105199E-5</v>
      </c>
      <c r="D42" s="5">
        <v>2.05532327060969E-5</v>
      </c>
      <c r="E42" s="5">
        <v>9.48450315382802E-4</v>
      </c>
      <c r="F42" s="5">
        <v>3.2301035006125902E-5</v>
      </c>
      <c r="G42" s="5">
        <v>3.3152469622410902E-5</v>
      </c>
      <c r="H42" s="5">
        <v>6.34588788355474E-5</v>
      </c>
      <c r="I42" s="3" t="s">
        <v>7</v>
      </c>
      <c r="K42" s="1">
        <v>44685.510416666664</v>
      </c>
      <c r="L42" s="1">
        <v>44685.510416666664</v>
      </c>
      <c r="M42" s="2">
        <v>0.49938245199999998</v>
      </c>
      <c r="N42" s="5">
        <v>5.5671649808865202E-6</v>
      </c>
      <c r="O42" s="5">
        <v>4.3029660307974001E-6</v>
      </c>
      <c r="P42" s="5">
        <v>8.4924448881475002E-5</v>
      </c>
      <c r="Q42" s="5">
        <v>6.7820320402162397E-6</v>
      </c>
      <c r="R42" s="5">
        <v>3.9988230506608298E-6</v>
      </c>
      <c r="S42" s="5">
        <v>1.17638003472206E-5</v>
      </c>
      <c r="T42" s="3" t="s">
        <v>63</v>
      </c>
      <c r="AI42" s="7">
        <f t="shared" si="1"/>
        <v>5.8251509054658177</v>
      </c>
      <c r="AJ42" s="7">
        <f t="shared" si="1"/>
        <v>4.8637320870681018</v>
      </c>
      <c r="AK42" s="7">
        <f t="shared" si="2"/>
        <v>11.32032575728897</v>
      </c>
      <c r="AL42" s="7">
        <f t="shared" si="3"/>
        <v>4.8548858628062108</v>
      </c>
      <c r="AM42" s="7">
        <f t="shared" si="4"/>
        <v>8.2307298517089311</v>
      </c>
      <c r="AN42" s="7">
        <f t="shared" si="5"/>
        <v>5.4278342732943337</v>
      </c>
    </row>
    <row r="43" spans="1:40" x14ac:dyDescent="0.25">
      <c r="A43" s="4">
        <v>45189.64166666667</v>
      </c>
      <c r="B43" s="2">
        <v>0.49948880760551201</v>
      </c>
      <c r="C43" s="5">
        <v>3.2729522036105199E-5</v>
      </c>
      <c r="D43" s="5">
        <v>2.05532327060969E-5</v>
      </c>
      <c r="E43" s="5">
        <v>9.48450315382802E-4</v>
      </c>
      <c r="F43" s="5">
        <v>3.2301035006125902E-5</v>
      </c>
      <c r="G43" s="5">
        <v>3.3152469622410902E-5</v>
      </c>
      <c r="H43" s="5">
        <v>6.34588788355474E-5</v>
      </c>
      <c r="I43" s="3" t="s">
        <v>7</v>
      </c>
      <c r="K43" s="1">
        <v>44681.447916666664</v>
      </c>
      <c r="L43" s="1">
        <v>44681.447916666664</v>
      </c>
      <c r="M43" s="2">
        <v>0.49932583800000002</v>
      </c>
      <c r="N43" s="5">
        <v>4.9940685517418197E-6</v>
      </c>
      <c r="O43" s="5">
        <v>3.9254288437070297E-6</v>
      </c>
      <c r="P43" s="5">
        <v>5.3077780550921898E-5</v>
      </c>
      <c r="Q43" s="5">
        <v>6.1934865181921203E-6</v>
      </c>
      <c r="R43" s="5">
        <v>3.3944279057131898E-6</v>
      </c>
      <c r="S43" s="5">
        <v>1.0654177794495601E-5</v>
      </c>
      <c r="T43" s="3" t="s">
        <v>64</v>
      </c>
      <c r="AI43" s="7">
        <f t="shared" si="1"/>
        <v>5.8790285807002114</v>
      </c>
      <c r="AJ43" s="7">
        <f t="shared" si="1"/>
        <v>4.7765268326527082</v>
      </c>
      <c r="AK43" s="7">
        <f t="shared" si="2"/>
        <v>11.168165679903426</v>
      </c>
      <c r="AL43" s="7">
        <f t="shared" si="3"/>
        <v>4.7627370107641083</v>
      </c>
      <c r="AM43" s="7">
        <f t="shared" si="4"/>
        <v>8.2905567969386027</v>
      </c>
      <c r="AN43" s="7">
        <f t="shared" si="5"/>
        <v>5.3944199121451986</v>
      </c>
    </row>
    <row r="44" spans="1:40" x14ac:dyDescent="0.25">
      <c r="A44" s="4">
        <v>45189.64166666667</v>
      </c>
      <c r="B44" s="2">
        <v>0.49948880760551201</v>
      </c>
      <c r="C44" s="5">
        <v>3.2729522036105199E-5</v>
      </c>
      <c r="D44" s="5">
        <v>2.05532327060969E-5</v>
      </c>
      <c r="E44" s="5">
        <v>9.48450315382802E-4</v>
      </c>
      <c r="F44" s="5">
        <v>3.2301035006125902E-5</v>
      </c>
      <c r="G44" s="5">
        <v>3.3152469622410902E-5</v>
      </c>
      <c r="H44" s="5">
        <v>6.34588788355474E-5</v>
      </c>
      <c r="I44" s="3" t="s">
        <v>7</v>
      </c>
      <c r="K44" s="1">
        <v>44685.53125</v>
      </c>
      <c r="L44" s="1">
        <v>44685.53125</v>
      </c>
      <c r="M44" s="2">
        <v>0.49915680200000001</v>
      </c>
      <c r="N44" s="5">
        <v>5.48437656625858E-6</v>
      </c>
      <c r="O44" s="5">
        <v>4.2109448495998401E-6</v>
      </c>
      <c r="P44" s="5">
        <v>8.5889499436946298E-5</v>
      </c>
      <c r="Q44" s="5">
        <v>6.6311350274584498E-6</v>
      </c>
      <c r="R44" s="5">
        <v>4.0230316733552798E-6</v>
      </c>
      <c r="S44" s="5">
        <v>1.1608644957148301E-5</v>
      </c>
      <c r="T44" s="3" t="s">
        <v>22</v>
      </c>
      <c r="AI44" s="7">
        <f t="shared" si="1"/>
        <v>6.5536789687618269</v>
      </c>
      <c r="AJ44" s="7">
        <f t="shared" si="1"/>
        <v>5.2359203349326764</v>
      </c>
      <c r="AK44" s="7">
        <f t="shared" si="2"/>
        <v>17.869065087845474</v>
      </c>
      <c r="AL44" s="7">
        <f t="shared" si="3"/>
        <v>5.2153233742009633</v>
      </c>
      <c r="AM44" s="7">
        <f t="shared" si="4"/>
        <v>9.7667325815380277</v>
      </c>
      <c r="AN44" s="7">
        <f t="shared" si="5"/>
        <v>5.9562436501043701</v>
      </c>
    </row>
    <row r="45" spans="1:40" x14ac:dyDescent="0.25">
      <c r="A45" s="4">
        <v>45189.64166666667</v>
      </c>
      <c r="B45" s="2">
        <v>0.49948880760551201</v>
      </c>
      <c r="C45" s="5">
        <v>3.2729522036105199E-5</v>
      </c>
      <c r="D45" s="5">
        <v>2.05532327060969E-5</v>
      </c>
      <c r="E45" s="5">
        <v>9.48450315382802E-4</v>
      </c>
      <c r="F45" s="5">
        <v>3.2301035006125902E-5</v>
      </c>
      <c r="G45" s="5">
        <v>3.3152469622410902E-5</v>
      </c>
      <c r="H45" s="5">
        <v>6.34588788355474E-5</v>
      </c>
      <c r="I45" s="3" t="s">
        <v>7</v>
      </c>
      <c r="K45" s="1">
        <v>44684.520833333336</v>
      </c>
      <c r="L45" s="1">
        <v>44684.520833333336</v>
      </c>
      <c r="M45" s="2">
        <v>0.49914797100000002</v>
      </c>
      <c r="N45" s="5">
        <v>5.3013287955520003E-6</v>
      </c>
      <c r="O45" s="5">
        <v>4.0772065680298797E-6</v>
      </c>
      <c r="P45" s="3">
        <v>1.05190510546372E-4</v>
      </c>
      <c r="Q45" s="5">
        <v>6.4276688680132497E-6</v>
      </c>
      <c r="R45" s="5">
        <v>3.85917302514019E-6</v>
      </c>
      <c r="S45" s="5">
        <v>1.10883050931786E-5</v>
      </c>
      <c r="T45" s="3" t="s">
        <v>65</v>
      </c>
      <c r="V45" s="8"/>
      <c r="W45" s="8"/>
      <c r="X45" s="3"/>
      <c r="AI45" s="7">
        <f t="shared" si="1"/>
        <v>5.9677743934408847</v>
      </c>
      <c r="AJ45" s="7">
        <f t="shared" si="1"/>
        <v>4.8809075967950619</v>
      </c>
      <c r="AK45" s="7">
        <f t="shared" si="2"/>
        <v>11.042680672264062</v>
      </c>
      <c r="AL45" s="7">
        <f t="shared" si="3"/>
        <v>4.8711170670439641</v>
      </c>
      <c r="AM45" s="7">
        <f t="shared" si="4"/>
        <v>8.2406683104140601</v>
      </c>
      <c r="AN45" s="7">
        <f t="shared" si="5"/>
        <v>5.4665190528090948</v>
      </c>
    </row>
    <row r="46" spans="1:40" x14ac:dyDescent="0.25">
      <c r="A46" s="4">
        <v>45190.445138888892</v>
      </c>
      <c r="B46" s="2">
        <v>0.52493217096050204</v>
      </c>
      <c r="C46" s="5">
        <v>3.199331378081E-5</v>
      </c>
      <c r="D46" s="5">
        <v>1.94331541286941E-5</v>
      </c>
      <c r="E46" s="5">
        <v>6.3518084902629496E-4</v>
      </c>
      <c r="F46" s="5">
        <v>3.0555889543377097E-5</v>
      </c>
      <c r="G46" s="5">
        <v>3.3368872948247003E-5</v>
      </c>
      <c r="H46" s="5">
        <v>6.0114035752263801E-5</v>
      </c>
      <c r="I46" s="3" t="s">
        <v>8</v>
      </c>
      <c r="K46" s="1">
        <v>44685.229166666664</v>
      </c>
      <c r="L46" s="1">
        <v>44685.229166666664</v>
      </c>
      <c r="M46" s="2">
        <v>0.52486338700000001</v>
      </c>
      <c r="N46" s="5">
        <v>5.3839057264715501E-6</v>
      </c>
      <c r="O46" s="5">
        <v>4.2091084816683198E-6</v>
      </c>
      <c r="P46" s="5">
        <v>6.6588488327520097E-5</v>
      </c>
      <c r="Q46" s="5">
        <v>6.6256790935582898E-6</v>
      </c>
      <c r="R46" s="5">
        <v>3.7514328613751901E-6</v>
      </c>
      <c r="S46" s="5">
        <v>1.14839828037769E-5</v>
      </c>
      <c r="T46" s="3" t="s">
        <v>19</v>
      </c>
      <c r="W46" s="3"/>
      <c r="X46" s="3"/>
      <c r="Y46" s="3"/>
      <c r="Z46" s="3"/>
      <c r="AA46" s="3"/>
      <c r="AB46" s="3"/>
      <c r="AI46" s="7">
        <f t="shared" si="1"/>
        <v>6.17383363649627</v>
      </c>
      <c r="AJ46" s="7">
        <f t="shared" si="1"/>
        <v>5.0410084363295562</v>
      </c>
      <c r="AK46" s="7">
        <f t="shared" si="2"/>
        <v>9.016500732399134</v>
      </c>
      <c r="AL46" s="7">
        <f t="shared" si="3"/>
        <v>5.0253109905628879</v>
      </c>
      <c r="AM46" s="7">
        <f t="shared" si="4"/>
        <v>8.5905631611857025</v>
      </c>
      <c r="AN46" s="7">
        <f t="shared" si="5"/>
        <v>5.7230458850367114</v>
      </c>
    </row>
    <row r="47" spans="1:40" x14ac:dyDescent="0.25">
      <c r="A47" s="4">
        <v>45190.445138888892</v>
      </c>
      <c r="B47" s="2">
        <v>0.52493217096050204</v>
      </c>
      <c r="C47" s="5">
        <v>3.199331378081E-5</v>
      </c>
      <c r="D47" s="5">
        <v>1.94331541286941E-5</v>
      </c>
      <c r="E47" s="5">
        <v>6.3518084902629496E-4</v>
      </c>
      <c r="F47" s="5">
        <v>3.0555889543377097E-5</v>
      </c>
      <c r="G47" s="5">
        <v>3.3368872948247003E-5</v>
      </c>
      <c r="H47" s="5">
        <v>6.0114035752263801E-5</v>
      </c>
      <c r="I47" s="3" t="s">
        <v>8</v>
      </c>
      <c r="K47" s="1">
        <v>44685.197916666664</v>
      </c>
      <c r="L47" s="1">
        <v>44685.197916666664</v>
      </c>
      <c r="M47" s="2">
        <v>0.52520419200000001</v>
      </c>
      <c r="N47" s="5">
        <v>5.3570926686405001E-6</v>
      </c>
      <c r="O47" s="5">
        <v>4.1788811725464902E-6</v>
      </c>
      <c r="P47" s="5">
        <v>6.5623437772048895E-5</v>
      </c>
      <c r="Q47" s="5">
        <v>6.5816148767557702E-6</v>
      </c>
      <c r="R47" s="5">
        <v>3.7522293326804198E-6</v>
      </c>
      <c r="S47" s="5">
        <v>1.14075044295072E-5</v>
      </c>
      <c r="T47" s="3" t="s">
        <v>66</v>
      </c>
      <c r="X47" s="7"/>
      <c r="Y47" s="7"/>
      <c r="Z47" s="7"/>
      <c r="AA47" s="7"/>
      <c r="AB47" s="7"/>
      <c r="AI47" s="7">
        <f t="shared" si="1"/>
        <v>5.9423985868670579</v>
      </c>
      <c r="AJ47" s="7">
        <f t="shared" si="1"/>
        <v>4.6169287898684868</v>
      </c>
      <c r="AK47" s="7">
        <f t="shared" si="2"/>
        <v>9.5388987643346681</v>
      </c>
      <c r="AL47" s="7">
        <f t="shared" si="3"/>
        <v>4.6117370177322003</v>
      </c>
      <c r="AM47" s="7">
        <f t="shared" si="4"/>
        <v>8.8949673848127269</v>
      </c>
      <c r="AN47" s="7">
        <f t="shared" si="5"/>
        <v>5.2345982033770762</v>
      </c>
    </row>
    <row r="48" spans="1:40" x14ac:dyDescent="0.25">
      <c r="A48" s="4">
        <v>45190.445138888892</v>
      </c>
      <c r="B48" s="2">
        <v>0.52493217096050204</v>
      </c>
      <c r="C48" s="5">
        <v>3.199331378081E-5</v>
      </c>
      <c r="D48" s="5">
        <v>1.94331541286941E-5</v>
      </c>
      <c r="E48" s="5">
        <v>6.3518084902629496E-4</v>
      </c>
      <c r="F48" s="5">
        <v>3.0555889543377097E-5</v>
      </c>
      <c r="G48" s="5">
        <v>3.3368872948247003E-5</v>
      </c>
      <c r="H48" s="5">
        <v>6.0114035752263801E-5</v>
      </c>
      <c r="I48" s="3" t="s">
        <v>8</v>
      </c>
      <c r="K48" s="1">
        <v>44679.729166666664</v>
      </c>
      <c r="L48" s="1">
        <v>44679.729166666664</v>
      </c>
      <c r="M48" s="2">
        <v>0.52533704299999995</v>
      </c>
      <c r="N48" s="5">
        <v>4.56930384836505E-6</v>
      </c>
      <c r="O48" s="5">
        <v>3.5583511123346498E-6</v>
      </c>
      <c r="P48" s="3">
        <v>1.42827482209753E-4</v>
      </c>
      <c r="Q48" s="5">
        <v>5.61241569780968E-6</v>
      </c>
      <c r="R48" s="5">
        <v>3.2027778478136999E-6</v>
      </c>
      <c r="S48" s="5">
        <v>9.68038905101397E-6</v>
      </c>
      <c r="T48" s="3" t="s">
        <v>67</v>
      </c>
      <c r="W48" s="7"/>
      <c r="X48" s="7"/>
      <c r="Y48" s="7"/>
      <c r="Z48" s="7"/>
      <c r="AA48" s="7"/>
      <c r="AB48" s="7"/>
      <c r="AI48" s="7">
        <f t="shared" si="1"/>
        <v>5.9721411892113352</v>
      </c>
      <c r="AJ48" s="7">
        <f t="shared" si="1"/>
        <v>4.6503246506174509</v>
      </c>
      <c r="AK48" s="7">
        <f t="shared" si="2"/>
        <v>9.6791766873395755</v>
      </c>
      <c r="AL48" s="7">
        <f t="shared" si="3"/>
        <v>4.6426128109213831</v>
      </c>
      <c r="AM48" s="7">
        <f t="shared" si="4"/>
        <v>8.8930792842584108</v>
      </c>
      <c r="AN48" s="7">
        <f t="shared" si="5"/>
        <v>5.2696920806596346</v>
      </c>
    </row>
    <row r="49" spans="1:40" x14ac:dyDescent="0.25">
      <c r="A49" s="4">
        <v>45190.446527777778</v>
      </c>
      <c r="B49" s="2">
        <v>0.55313073676003</v>
      </c>
      <c r="C49" s="5">
        <v>3.7878081407410102E-5</v>
      </c>
      <c r="D49" s="5">
        <v>2.36589646560851E-5</v>
      </c>
      <c r="E49" s="5">
        <v>7.9073534266538802E-4</v>
      </c>
      <c r="F49" s="5">
        <v>3.7165488316377101E-5</v>
      </c>
      <c r="G49" s="5">
        <v>3.8577512940155798E-5</v>
      </c>
      <c r="H49" s="5">
        <v>7.3497730052658901E-5</v>
      </c>
      <c r="I49" s="3" t="s">
        <v>8</v>
      </c>
      <c r="K49" s="1">
        <v>44680.5625</v>
      </c>
      <c r="L49" s="1">
        <v>44680.5625</v>
      </c>
      <c r="M49" s="2">
        <v>0.55257187399999996</v>
      </c>
      <c r="N49" s="5">
        <v>4.9049820622063804E-6</v>
      </c>
      <c r="O49" s="5">
        <v>3.8597397562373296E-6</v>
      </c>
      <c r="P49" s="5">
        <v>6.1763235550163601E-5</v>
      </c>
      <c r="Q49" s="5">
        <v>6.0815865936816899E-6</v>
      </c>
      <c r="R49" s="5">
        <v>3.33646079088096E-6</v>
      </c>
      <c r="S49" s="5">
        <v>1.0487936683659601E-5</v>
      </c>
      <c r="T49" s="3" t="s">
        <v>68</v>
      </c>
      <c r="W49" s="7"/>
      <c r="X49" s="7"/>
      <c r="Y49" s="7"/>
      <c r="Z49" s="7"/>
      <c r="AA49" s="7"/>
      <c r="AB49" s="7"/>
      <c r="AI49" s="7">
        <f t="shared" si="1"/>
        <v>7.0017917044973013</v>
      </c>
      <c r="AJ49" s="7">
        <f t="shared" si="1"/>
        <v>5.4612806648931063</v>
      </c>
      <c r="AK49" s="7">
        <f t="shared" si="2"/>
        <v>4.4471892887776576</v>
      </c>
      <c r="AL49" s="7">
        <f t="shared" si="3"/>
        <v>5.444338265125646</v>
      </c>
      <c r="AM49" s="7">
        <f t="shared" si="4"/>
        <v>10.418728533115548</v>
      </c>
      <c r="AN49" s="7">
        <f t="shared" si="5"/>
        <v>6.2098780777790301</v>
      </c>
    </row>
    <row r="50" spans="1:40" x14ac:dyDescent="0.25">
      <c r="A50" s="4">
        <v>45190.446527777778</v>
      </c>
      <c r="B50" s="2">
        <v>0.55313073676003</v>
      </c>
      <c r="C50" s="5">
        <v>3.7878081407410102E-5</v>
      </c>
      <c r="D50" s="5">
        <v>2.36589646560851E-5</v>
      </c>
      <c r="E50" s="5">
        <v>7.9073534266538802E-4</v>
      </c>
      <c r="F50" s="5">
        <v>3.7165488316377101E-5</v>
      </c>
      <c r="G50" s="5">
        <v>3.8577512940155798E-5</v>
      </c>
      <c r="H50" s="5">
        <v>7.3497730052658901E-5</v>
      </c>
      <c r="I50" s="3" t="s">
        <v>8</v>
      </c>
      <c r="K50" s="1">
        <v>44682.625</v>
      </c>
      <c r="L50" s="1">
        <v>44682.625</v>
      </c>
      <c r="M50" s="2">
        <v>0.55245182299999995</v>
      </c>
      <c r="N50" s="5">
        <v>5.1629407098404798E-6</v>
      </c>
      <c r="O50" s="5">
        <v>4.00309717739534E-6</v>
      </c>
      <c r="P50" s="5">
        <v>7.2378791660347998E-5</v>
      </c>
      <c r="Q50" s="5">
        <v>6.30905949145305E-6</v>
      </c>
      <c r="R50" s="5">
        <v>3.67527527177227E-6</v>
      </c>
      <c r="S50" s="5">
        <v>1.08690273585496E-5</v>
      </c>
      <c r="T50" s="3" t="s">
        <v>69</v>
      </c>
      <c r="W50" s="7"/>
      <c r="X50" s="7"/>
      <c r="Y50" s="7"/>
      <c r="Z50" s="7"/>
      <c r="AA50" s="7"/>
      <c r="AB50" s="7"/>
      <c r="AI50" s="7">
        <f t="shared" si="1"/>
        <v>7.7223689968749074</v>
      </c>
      <c r="AJ50" s="7">
        <f t="shared" si="1"/>
        <v>6.1296787219532805</v>
      </c>
      <c r="AK50" s="7">
        <f t="shared" si="2"/>
        <v>12.802686511187698</v>
      </c>
      <c r="AL50" s="7">
        <f t="shared" si="3"/>
        <v>6.1111500664956813</v>
      </c>
      <c r="AM50" s="7">
        <f t="shared" si="4"/>
        <v>11.562405602245899</v>
      </c>
      <c r="AN50" s="7">
        <f t="shared" si="5"/>
        <v>7.0078350269953216</v>
      </c>
    </row>
    <row r="51" spans="1:40" x14ac:dyDescent="0.25">
      <c r="A51" s="4">
        <v>45190.446527777778</v>
      </c>
      <c r="B51" s="2">
        <v>0.55313073676003</v>
      </c>
      <c r="C51" s="5">
        <v>3.7878081407410102E-5</v>
      </c>
      <c r="D51" s="5">
        <v>2.36589646560851E-5</v>
      </c>
      <c r="E51" s="5">
        <v>7.9073534266538802E-4</v>
      </c>
      <c r="F51" s="5">
        <v>3.7165488316377101E-5</v>
      </c>
      <c r="G51" s="5">
        <v>3.8577512940155798E-5</v>
      </c>
      <c r="H51" s="5">
        <v>7.3497730052658901E-5</v>
      </c>
      <c r="I51" s="3" t="s">
        <v>8</v>
      </c>
      <c r="K51" s="1">
        <v>44683.635416666664</v>
      </c>
      <c r="L51" s="1">
        <v>44683.635416666664</v>
      </c>
      <c r="M51" s="2">
        <v>0.55237219900000001</v>
      </c>
      <c r="N51" s="5">
        <v>5.0349003022222499E-6</v>
      </c>
      <c r="O51" s="5">
        <v>3.9009575541870304E-6</v>
      </c>
      <c r="P51" s="5">
        <v>7.8169094993175804E-5</v>
      </c>
      <c r="Q51" s="5">
        <v>6.1498810290505796E-6</v>
      </c>
      <c r="R51" s="5">
        <v>3.5887733878127302E-6</v>
      </c>
      <c r="S51" s="5">
        <v>1.06443247448525E-5</v>
      </c>
      <c r="T51" s="3" t="s">
        <v>15</v>
      </c>
      <c r="W51" s="7"/>
      <c r="X51" s="7"/>
      <c r="Y51" s="7"/>
      <c r="Z51" s="7"/>
      <c r="AA51" s="7"/>
      <c r="AB51" s="7"/>
      <c r="AI51" s="7">
        <f t="shared" si="1"/>
        <v>7.3365323245364999</v>
      </c>
      <c r="AJ51" s="7">
        <f t="shared" si="1"/>
        <v>5.9101649566946239</v>
      </c>
      <c r="AK51" s="7">
        <f t="shared" si="2"/>
        <v>10.924959156213498</v>
      </c>
      <c r="AL51" s="7">
        <f t="shared" si="3"/>
        <v>5.8908127854437868</v>
      </c>
      <c r="AM51" s="7">
        <f t="shared" si="4"/>
        <v>10.496496204365441</v>
      </c>
      <c r="AN51" s="7">
        <f t="shared" si="5"/>
        <v>6.7621257752052149</v>
      </c>
    </row>
    <row r="52" spans="1:40" x14ac:dyDescent="0.25">
      <c r="A52" s="4">
        <v>45190.447222222225</v>
      </c>
      <c r="B52" s="2">
        <v>0.54902198216375997</v>
      </c>
      <c r="C52" s="5">
        <v>3.9673159493006399E-5</v>
      </c>
      <c r="D52" s="5">
        <v>2.4328066496354699E-5</v>
      </c>
      <c r="E52" s="5">
        <v>1.4345581080049601E-3</v>
      </c>
      <c r="F52" s="5">
        <v>3.8229296230765899E-5</v>
      </c>
      <c r="G52" s="5">
        <v>4.1066287640674303E-5</v>
      </c>
      <c r="H52" s="5">
        <v>7.6029249562474093E-5</v>
      </c>
      <c r="I52" s="3" t="s">
        <v>8</v>
      </c>
      <c r="K52" s="1">
        <v>44681.104166666664</v>
      </c>
      <c r="L52" s="1">
        <v>44681.104166666664</v>
      </c>
      <c r="M52" s="2">
        <v>0.54938555099999997</v>
      </c>
      <c r="N52" s="5">
        <v>5.1131696333650304E-6</v>
      </c>
      <c r="O52" s="5">
        <v>4.0201376505823096E-6</v>
      </c>
      <c r="P52" s="5">
        <v>5.01826288845079E-5</v>
      </c>
      <c r="Q52" s="5">
        <v>6.3311790827889898E-6</v>
      </c>
      <c r="R52" s="5">
        <v>3.4935828751030298E-6</v>
      </c>
      <c r="S52" s="5">
        <v>1.0912234052707801E-5</v>
      </c>
      <c r="T52" s="3" t="s">
        <v>13</v>
      </c>
      <c r="W52" s="7"/>
      <c r="X52" s="7"/>
      <c r="Y52" s="7"/>
      <c r="Z52" s="7"/>
      <c r="AA52" s="7"/>
      <c r="AB52" s="7"/>
      <c r="AI52" s="7">
        <f t="shared" si="1"/>
        <v>7.52310455694463</v>
      </c>
      <c r="AJ52" s="7">
        <f t="shared" si="1"/>
        <v>6.0649120959265836</v>
      </c>
      <c r="AK52" s="7">
        <f t="shared" si="2"/>
        <v>10.11570292241991</v>
      </c>
      <c r="AL52" s="7">
        <f t="shared" si="3"/>
        <v>6.0432857385071594</v>
      </c>
      <c r="AM52" s="7">
        <f t="shared" si="4"/>
        <v>10.749498163122484</v>
      </c>
      <c r="AN52" s="7">
        <f t="shared" si="5"/>
        <v>6.9048748337184795</v>
      </c>
    </row>
    <row r="53" spans="1:40" x14ac:dyDescent="0.25">
      <c r="A53" s="4">
        <v>45190.447916666664</v>
      </c>
      <c r="B53" s="2">
        <v>0.51518808111729397</v>
      </c>
      <c r="C53" s="5">
        <v>3.4336616905541297E-5</v>
      </c>
      <c r="D53" s="5">
        <v>2.1325088760308399E-5</v>
      </c>
      <c r="E53" s="5">
        <v>7.1295809584584198E-4</v>
      </c>
      <c r="F53" s="5">
        <v>3.3521766798695801E-5</v>
      </c>
      <c r="G53" s="5">
        <v>3.5132571986734603E-5</v>
      </c>
      <c r="H53" s="5">
        <v>6.6813993718852903E-5</v>
      </c>
      <c r="I53" s="3" t="s">
        <v>8</v>
      </c>
      <c r="K53" s="1">
        <v>44681.697916666664</v>
      </c>
      <c r="L53" s="1">
        <v>44681.697916666664</v>
      </c>
      <c r="M53" s="2">
        <v>0.51508288599999996</v>
      </c>
      <c r="N53" s="5">
        <v>5.1719411581401899E-6</v>
      </c>
      <c r="O53" s="5">
        <v>4.0504937060556402E-6</v>
      </c>
      <c r="P53" s="5">
        <v>4.82525277735653E-5</v>
      </c>
      <c r="Q53" s="5">
        <v>6.3819013417054602E-6</v>
      </c>
      <c r="R53" s="5">
        <v>3.5734079437134102E-6</v>
      </c>
      <c r="S53" s="5">
        <v>1.1017003113986601E-5</v>
      </c>
      <c r="T53" s="3" t="s">
        <v>70</v>
      </c>
      <c r="W53" s="7"/>
      <c r="X53" s="7"/>
      <c r="Y53" s="7"/>
      <c r="Z53" s="7"/>
      <c r="AA53" s="7"/>
      <c r="AB53" s="7"/>
      <c r="AI53" s="7">
        <f t="shared" si="1"/>
        <v>7.7590149237620887</v>
      </c>
      <c r="AJ53" s="7">
        <f t="shared" si="1"/>
        <v>6.051550621116375</v>
      </c>
      <c r="AK53" s="7">
        <f t="shared" si="2"/>
        <v>28.586746846334087</v>
      </c>
      <c r="AL53" s="7">
        <f t="shared" si="3"/>
        <v>6.0382585504002613</v>
      </c>
      <c r="AM53" s="7">
        <f t="shared" si="4"/>
        <v>11.754777003669394</v>
      </c>
      <c r="AN53" s="7">
        <f t="shared" si="5"/>
        <v>6.9673404359951316</v>
      </c>
    </row>
    <row r="54" spans="1:40" x14ac:dyDescent="0.25">
      <c r="A54" s="4">
        <v>45190.447916666664</v>
      </c>
      <c r="B54" s="2">
        <v>0.51518808111729397</v>
      </c>
      <c r="C54" s="5">
        <v>3.4336616905541297E-5</v>
      </c>
      <c r="D54" s="5">
        <v>2.1325088760308399E-5</v>
      </c>
      <c r="E54" s="5">
        <v>7.1295809584584198E-4</v>
      </c>
      <c r="F54" s="5">
        <v>3.3521766798695801E-5</v>
      </c>
      <c r="G54" s="5">
        <v>3.5132571986734603E-5</v>
      </c>
      <c r="H54" s="5">
        <v>6.6813993718852903E-5</v>
      </c>
      <c r="I54" s="3" t="s">
        <v>8</v>
      </c>
      <c r="K54" s="1">
        <v>44683.65625</v>
      </c>
      <c r="L54" s="1">
        <v>44683.65625</v>
      </c>
      <c r="M54" s="2">
        <v>0.51541952400000002</v>
      </c>
      <c r="N54" s="5">
        <v>5.1991532573340904E-6</v>
      </c>
      <c r="O54" s="5">
        <v>4.00495798160321E-6</v>
      </c>
      <c r="P54" s="5">
        <v>9.0714752214302795E-5</v>
      </c>
      <c r="Q54" s="5">
        <v>6.3089170590383596E-6</v>
      </c>
      <c r="R54" s="5">
        <v>3.7762346422851901E-6</v>
      </c>
      <c r="S54" s="5">
        <v>1.09227369580291E-5</v>
      </c>
      <c r="T54" s="3" t="s">
        <v>71</v>
      </c>
      <c r="W54" s="7"/>
      <c r="X54" s="7"/>
      <c r="Y54" s="7"/>
      <c r="Z54" s="7"/>
      <c r="AA54" s="7"/>
      <c r="AB54" s="7"/>
      <c r="AI54" s="7">
        <f t="shared" si="1"/>
        <v>6.6390192493776574</v>
      </c>
      <c r="AJ54" s="7">
        <f t="shared" si="1"/>
        <v>5.264812219909536</v>
      </c>
      <c r="AK54" s="7">
        <f t="shared" si="2"/>
        <v>14.775559514551059</v>
      </c>
      <c r="AL54" s="7">
        <f t="shared" si="3"/>
        <v>5.2526300555028085</v>
      </c>
      <c r="AM54" s="7">
        <f t="shared" si="4"/>
        <v>9.831671205786142</v>
      </c>
      <c r="AN54" s="7">
        <f t="shared" si="5"/>
        <v>6.064625109711498</v>
      </c>
    </row>
    <row r="55" spans="1:40" x14ac:dyDescent="0.25">
      <c r="A55" s="4">
        <v>45190.447916666664</v>
      </c>
      <c r="B55" s="2">
        <v>0.51518808111729397</v>
      </c>
      <c r="C55" s="5">
        <v>3.4336616905541297E-5</v>
      </c>
      <c r="D55" s="5">
        <v>2.1325088760308399E-5</v>
      </c>
      <c r="E55" s="5">
        <v>7.1295809584584198E-4</v>
      </c>
      <c r="F55" s="5">
        <v>3.3521766798695801E-5</v>
      </c>
      <c r="G55" s="5">
        <v>3.5132571986734603E-5</v>
      </c>
      <c r="H55" s="5">
        <v>6.6813993718852903E-5</v>
      </c>
      <c r="I55" s="3" t="s">
        <v>8</v>
      </c>
      <c r="K55" s="1">
        <v>44682</v>
      </c>
      <c r="L55" s="1">
        <v>44682</v>
      </c>
      <c r="M55" s="2">
        <v>0.51544472600000002</v>
      </c>
      <c r="N55" s="5">
        <v>5.1639875723545403E-6</v>
      </c>
      <c r="O55" s="5">
        <v>4.0473301200699499E-6</v>
      </c>
      <c r="P55" s="5">
        <v>7.6238993882233198E-5</v>
      </c>
      <c r="Q55" s="5">
        <v>6.3772162926225497E-6</v>
      </c>
      <c r="R55" s="5">
        <v>3.5587414683006001E-6</v>
      </c>
      <c r="S55" s="5">
        <v>1.09480887927788E-5</v>
      </c>
      <c r="T55" s="3" t="s">
        <v>72</v>
      </c>
      <c r="W55" s="7"/>
      <c r="X55" s="7"/>
      <c r="Y55" s="7"/>
      <c r="Z55" s="7"/>
      <c r="AA55" s="7"/>
      <c r="AB55" s="7"/>
      <c r="AI55" s="7">
        <f t="shared" si="1"/>
        <v>6.6042709660664407</v>
      </c>
      <c r="AJ55" s="7">
        <f t="shared" si="1"/>
        <v>5.3246722832712043</v>
      </c>
      <c r="AK55" s="7">
        <f t="shared" si="2"/>
        <v>7.8593401673143903</v>
      </c>
      <c r="AL55" s="7">
        <f t="shared" si="3"/>
        <v>5.313394753014137</v>
      </c>
      <c r="AM55" s="7">
        <f t="shared" si="4"/>
        <v>9.303598773585243</v>
      </c>
      <c r="AN55" s="7">
        <f t="shared" si="5"/>
        <v>6.1169644545673316</v>
      </c>
    </row>
    <row r="56" spans="1:40" x14ac:dyDescent="0.25">
      <c r="A56" s="4">
        <v>45190.447916666664</v>
      </c>
      <c r="B56" s="2">
        <v>0.51518808111729397</v>
      </c>
      <c r="C56" s="5">
        <v>3.4336616905541297E-5</v>
      </c>
      <c r="D56" s="5">
        <v>2.1325088760308399E-5</v>
      </c>
      <c r="E56" s="5">
        <v>7.1295809584584198E-4</v>
      </c>
      <c r="F56" s="5">
        <v>3.3521766798695801E-5</v>
      </c>
      <c r="G56" s="5">
        <v>3.5132571986734603E-5</v>
      </c>
      <c r="H56" s="5">
        <v>6.6813993718852903E-5</v>
      </c>
      <c r="I56" s="3" t="s">
        <v>8</v>
      </c>
      <c r="K56" s="1">
        <v>44685.166666666664</v>
      </c>
      <c r="L56" s="1">
        <v>44685.166666666664</v>
      </c>
      <c r="M56" s="2">
        <v>0.51558875699999995</v>
      </c>
      <c r="N56" s="5">
        <v>5.2971482740643898E-6</v>
      </c>
      <c r="O56" s="5">
        <v>4.1367070773343399E-6</v>
      </c>
      <c r="P56" s="5">
        <v>5.6937982772807098E-5</v>
      </c>
      <c r="Q56" s="5">
        <v>6.5211245242406604E-6</v>
      </c>
      <c r="R56" s="5">
        <v>3.6870707586684198E-6</v>
      </c>
      <c r="S56" s="5">
        <v>1.1286811890617101E-5</v>
      </c>
      <c r="T56" s="3" t="s">
        <v>18</v>
      </c>
      <c r="W56" s="7"/>
      <c r="X56" s="7"/>
      <c r="Y56" s="7"/>
      <c r="Z56" s="7"/>
      <c r="AA56" s="7"/>
      <c r="AB56" s="7"/>
      <c r="AI56" s="7">
        <f t="shared" si="1"/>
        <v>6.6492446824161089</v>
      </c>
      <c r="AJ56" s="7">
        <f t="shared" si="1"/>
        <v>5.2689274478899781</v>
      </c>
      <c r="AK56" s="7">
        <f t="shared" si="2"/>
        <v>9.3516199459183884</v>
      </c>
      <c r="AL56" s="7">
        <f t="shared" si="3"/>
        <v>5.2564889225217728</v>
      </c>
      <c r="AM56" s="7">
        <f t="shared" si="4"/>
        <v>9.8721900142724905</v>
      </c>
      <c r="AN56" s="7">
        <f t="shared" si="5"/>
        <v>6.1027997656469903</v>
      </c>
    </row>
    <row r="57" spans="1:40" x14ac:dyDescent="0.25">
      <c r="A57" s="4">
        <v>45190.448611111111</v>
      </c>
      <c r="B57" s="2">
        <v>0.50858816053242095</v>
      </c>
      <c r="C57" s="5">
        <v>3.2660963466574699E-5</v>
      </c>
      <c r="D57" s="5">
        <v>2.05672562239238E-5</v>
      </c>
      <c r="E57" s="5">
        <v>6.5894611888782297E-4</v>
      </c>
      <c r="F57" s="5">
        <v>3.2331713661681799E-5</v>
      </c>
      <c r="G57" s="5">
        <v>3.2986926226823502E-5</v>
      </c>
      <c r="H57" s="5">
        <v>6.4020704572792999E-5</v>
      </c>
      <c r="I57" s="3" t="s">
        <v>9</v>
      </c>
      <c r="K57" s="1">
        <v>44682.010416666664</v>
      </c>
      <c r="L57" s="1">
        <v>44682.010416666664</v>
      </c>
      <c r="M57" s="2">
        <v>0.50856278099999996</v>
      </c>
      <c r="N57" s="5">
        <v>5.2107655067239101E-6</v>
      </c>
      <c r="O57" s="5">
        <v>4.0990296216907399E-6</v>
      </c>
      <c r="P57" s="5">
        <v>4.7287477218093997E-5</v>
      </c>
      <c r="Q57" s="5">
        <v>6.4624874465892901E-6</v>
      </c>
      <c r="R57" s="5">
        <v>3.54124301630534E-6</v>
      </c>
      <c r="S57" s="5">
        <v>1.11242796773165E-5</v>
      </c>
      <c r="T57" s="3" t="s">
        <v>73</v>
      </c>
      <c r="W57" s="7"/>
      <c r="X57" s="7"/>
      <c r="Y57" s="7"/>
      <c r="Z57" s="7"/>
      <c r="AA57" s="7"/>
      <c r="AB57" s="7"/>
      <c r="AI57" s="7">
        <f t="shared" si="1"/>
        <v>6.4820947289050563</v>
      </c>
      <c r="AJ57" s="7">
        <f t="shared" si="1"/>
        <v>5.1550879387017439</v>
      </c>
      <c r="AK57" s="7">
        <f t="shared" si="2"/>
        <v>12.521660605551736</v>
      </c>
      <c r="AL57" s="7">
        <f t="shared" si="3"/>
        <v>5.1404886801481799</v>
      </c>
      <c r="AM57" s="7">
        <f t="shared" si="4"/>
        <v>9.5285863185936464</v>
      </c>
      <c r="AN57" s="7">
        <f t="shared" si="5"/>
        <v>5.919651569137641</v>
      </c>
    </row>
    <row r="58" spans="1:40" x14ac:dyDescent="0.25">
      <c r="A58" s="4">
        <v>45190.448611111111</v>
      </c>
      <c r="B58" s="2">
        <v>0.50858816053242095</v>
      </c>
      <c r="C58" s="5">
        <v>3.2660963466574699E-5</v>
      </c>
      <c r="D58" s="5">
        <v>2.05672562239238E-5</v>
      </c>
      <c r="E58" s="5">
        <v>6.5894611888782297E-4</v>
      </c>
      <c r="F58" s="5">
        <v>3.2331713661681799E-5</v>
      </c>
      <c r="G58" s="5">
        <v>3.2986926226823502E-5</v>
      </c>
      <c r="H58" s="5">
        <v>6.4020704572792999E-5</v>
      </c>
      <c r="I58" s="3" t="s">
        <v>9</v>
      </c>
      <c r="K58" s="1">
        <v>44680.958333333336</v>
      </c>
      <c r="L58" s="1">
        <v>44680.958333333336</v>
      </c>
      <c r="M58" s="2">
        <v>0.50843840100000004</v>
      </c>
      <c r="N58" s="5">
        <v>5.16399840967138E-6</v>
      </c>
      <c r="O58" s="5">
        <v>4.0389130993899898E-6</v>
      </c>
      <c r="P58" s="5">
        <v>8.8784651103360201E-5</v>
      </c>
      <c r="Q58" s="5">
        <v>6.3611504465210297E-6</v>
      </c>
      <c r="R58" s="5">
        <v>3.5874058799413001E-6</v>
      </c>
      <c r="S58" s="5">
        <v>1.09086746141747E-5</v>
      </c>
      <c r="T58" s="3" t="s">
        <v>74</v>
      </c>
      <c r="W58" s="7"/>
      <c r="X58" s="7"/>
      <c r="Y58" s="7"/>
      <c r="Z58" s="7"/>
      <c r="AA58" s="7"/>
      <c r="AB58" s="7"/>
      <c r="AI58" s="7">
        <f t="shared" si="1"/>
        <v>6.267977982204223</v>
      </c>
      <c r="AJ58" s="7">
        <f t="shared" si="1"/>
        <v>5.0175915087533225</v>
      </c>
      <c r="AK58" s="7">
        <f t="shared" si="2"/>
        <v>13.934896882925381</v>
      </c>
      <c r="AL58" s="7">
        <f t="shared" si="3"/>
        <v>5.0029828187512413</v>
      </c>
      <c r="AM58" s="7">
        <f t="shared" si="4"/>
        <v>9.3150698991676428</v>
      </c>
      <c r="AN58" s="7">
        <f t="shared" si="5"/>
        <v>5.755042702076028</v>
      </c>
    </row>
    <row r="59" spans="1:40" x14ac:dyDescent="0.25">
      <c r="A59" s="4">
        <v>45190.448611111111</v>
      </c>
      <c r="B59" s="2">
        <v>0.50858816053242095</v>
      </c>
      <c r="C59" s="5">
        <v>3.2660963466574699E-5</v>
      </c>
      <c r="D59" s="5">
        <v>2.05672562239238E-5</v>
      </c>
      <c r="E59" s="5">
        <v>6.5894611888782297E-4</v>
      </c>
      <c r="F59" s="5">
        <v>3.2331713661681799E-5</v>
      </c>
      <c r="G59" s="5">
        <v>3.2986926226823502E-5</v>
      </c>
      <c r="H59" s="5">
        <v>6.4020704572792999E-5</v>
      </c>
      <c r="I59" s="3" t="s">
        <v>9</v>
      </c>
      <c r="K59" s="1">
        <v>44684.541666666664</v>
      </c>
      <c r="L59" s="1">
        <v>44684.541666666664</v>
      </c>
      <c r="M59" s="2">
        <v>0.50887982099999995</v>
      </c>
      <c r="N59" s="5">
        <v>5.1424948871319797E-6</v>
      </c>
      <c r="O59" s="5">
        <v>3.9886837862760403E-6</v>
      </c>
      <c r="P59" s="3">
        <v>1.00365257769015E-4</v>
      </c>
      <c r="Q59" s="5">
        <v>6.2827373043624299E-6</v>
      </c>
      <c r="R59" s="5">
        <v>3.6630200848887598E-6</v>
      </c>
      <c r="S59" s="5">
        <v>1.0837646979565901E-5</v>
      </c>
      <c r="T59" s="3" t="s">
        <v>75</v>
      </c>
      <c r="W59" s="7"/>
      <c r="X59" s="7"/>
      <c r="Y59" s="7"/>
      <c r="Z59" s="7"/>
      <c r="AA59" s="7"/>
      <c r="AB59" s="7"/>
      <c r="AI59" s="7">
        <f t="shared" si="1"/>
        <v>6.3247431303243058</v>
      </c>
      <c r="AJ59" s="7">
        <f t="shared" si="1"/>
        <v>5.0922750051319845</v>
      </c>
      <c r="AK59" s="7">
        <f t="shared" si="2"/>
        <v>7.4218472528624275</v>
      </c>
      <c r="AL59" s="7">
        <f t="shared" si="3"/>
        <v>5.0826833814886907</v>
      </c>
      <c r="AM59" s="7">
        <f t="shared" si="4"/>
        <v>9.1952032557194947</v>
      </c>
      <c r="AN59" s="7">
        <f t="shared" si="5"/>
        <v>5.8687885409658005</v>
      </c>
    </row>
    <row r="60" spans="1:40" x14ac:dyDescent="0.25">
      <c r="A60" s="4">
        <v>45190.448611111111</v>
      </c>
      <c r="B60" s="2">
        <v>0.50858816053242095</v>
      </c>
      <c r="C60" s="5">
        <v>3.2660963466574699E-5</v>
      </c>
      <c r="D60" s="5">
        <v>2.05672562239238E-5</v>
      </c>
      <c r="E60" s="5">
        <v>6.5894611888782297E-4</v>
      </c>
      <c r="F60" s="5">
        <v>3.2331713661681799E-5</v>
      </c>
      <c r="G60" s="5">
        <v>3.2986926226823502E-5</v>
      </c>
      <c r="H60" s="5">
        <v>6.4020704572792999E-5</v>
      </c>
      <c r="I60" s="3" t="s">
        <v>9</v>
      </c>
      <c r="K60" s="1">
        <v>44680.947916666664</v>
      </c>
      <c r="L60" s="1">
        <v>44680.947916666664</v>
      </c>
      <c r="M60" s="2">
        <v>0.50812411000000002</v>
      </c>
      <c r="N60" s="5">
        <v>5.1057477800319198E-6</v>
      </c>
      <c r="O60" s="5">
        <v>4.0186233308898298E-6</v>
      </c>
      <c r="P60" s="5">
        <v>4.82525277735653E-5</v>
      </c>
      <c r="Q60" s="5">
        <v>6.3291994424169899E-6</v>
      </c>
      <c r="R60" s="5">
        <v>3.4754186957544899E-6</v>
      </c>
      <c r="S60" s="5">
        <v>1.09089152351565E-5</v>
      </c>
      <c r="T60" s="3" t="s">
        <v>76</v>
      </c>
      <c r="W60" s="7"/>
      <c r="X60" s="7"/>
      <c r="Y60" s="7"/>
      <c r="Z60" s="7"/>
      <c r="AA60" s="7"/>
      <c r="AB60" s="7"/>
      <c r="AI60" s="7">
        <f t="shared" si="1"/>
        <v>6.3511902653130381</v>
      </c>
      <c r="AJ60" s="7">
        <f t="shared" si="1"/>
        <v>5.1564017921626304</v>
      </c>
      <c r="AK60" s="7">
        <f t="shared" si="2"/>
        <v>6.565480262147589</v>
      </c>
      <c r="AL60" s="7">
        <f t="shared" si="3"/>
        <v>5.1461189757579415</v>
      </c>
      <c r="AM60" s="7">
        <f t="shared" si="4"/>
        <v>9.0053904871846377</v>
      </c>
      <c r="AN60" s="7">
        <f t="shared" si="5"/>
        <v>5.9072513335692109</v>
      </c>
    </row>
    <row r="61" spans="1:40" x14ac:dyDescent="0.25">
      <c r="A61" s="4">
        <v>45190.448611111111</v>
      </c>
      <c r="B61" s="2">
        <v>0.50858816053242095</v>
      </c>
      <c r="C61" s="5">
        <v>3.2660963466574699E-5</v>
      </c>
      <c r="D61" s="5">
        <v>2.05672562239238E-5</v>
      </c>
      <c r="E61" s="5">
        <v>6.5894611888782297E-4</v>
      </c>
      <c r="F61" s="5">
        <v>3.2331713661681799E-5</v>
      </c>
      <c r="G61" s="5">
        <v>3.2986926226823502E-5</v>
      </c>
      <c r="H61" s="5">
        <v>6.4020704572792999E-5</v>
      </c>
      <c r="I61" s="3" t="s">
        <v>9</v>
      </c>
      <c r="K61" s="1">
        <v>44681.875</v>
      </c>
      <c r="L61" s="1">
        <v>44681.875</v>
      </c>
      <c r="M61" s="2">
        <v>0.50799645199999999</v>
      </c>
      <c r="N61" s="5">
        <v>5.1058924762625403E-6</v>
      </c>
      <c r="O61" s="5">
        <v>4.0081624162896701E-6</v>
      </c>
      <c r="P61" s="5">
        <v>5.6937982772807098E-5</v>
      </c>
      <c r="Q61" s="5">
        <v>6.3195983638433997E-6</v>
      </c>
      <c r="R61" s="5">
        <v>3.49327081670616E-6</v>
      </c>
      <c r="S61" s="5">
        <v>1.08559464891375E-5</v>
      </c>
      <c r="T61" s="3" t="s">
        <v>77</v>
      </c>
      <c r="W61" s="7"/>
      <c r="X61" s="7"/>
      <c r="Y61" s="7"/>
      <c r="Z61" s="7"/>
      <c r="AA61" s="7"/>
      <c r="AB61" s="7"/>
      <c r="AI61" s="7">
        <f t="shared" si="1"/>
        <v>6.3969010757461486</v>
      </c>
      <c r="AJ61" s="7">
        <f t="shared" si="1"/>
        <v>5.1179855712850957</v>
      </c>
      <c r="AK61" s="7">
        <f t="shared" si="2"/>
        <v>13.656198945266873</v>
      </c>
      <c r="AL61" s="7">
        <f t="shared" si="3"/>
        <v>5.1083417351334068</v>
      </c>
      <c r="AM61" s="7">
        <f t="shared" si="4"/>
        <v>9.4914970294427405</v>
      </c>
      <c r="AN61" s="7">
        <f t="shared" si="5"/>
        <v>5.8686590914623196</v>
      </c>
    </row>
    <row r="62" spans="1:40" x14ac:dyDescent="0.25">
      <c r="A62" s="4">
        <v>45190.449305555558</v>
      </c>
      <c r="B62" s="2">
        <v>0.46638934380788899</v>
      </c>
      <c r="C62" s="5">
        <v>2.9147625215514002E-5</v>
      </c>
      <c r="D62" s="5">
        <v>1.74864057096702E-5</v>
      </c>
      <c r="E62" s="5">
        <v>5.2283593695361705E-4</v>
      </c>
      <c r="F62" s="5">
        <v>2.75049493946047E-5</v>
      </c>
      <c r="G62" s="5">
        <v>3.07025365732952E-5</v>
      </c>
      <c r="H62" s="5">
        <v>5.5067477439803397E-5</v>
      </c>
      <c r="I62" s="3" t="s">
        <v>9</v>
      </c>
      <c r="K62" s="1">
        <v>44685.635416666664</v>
      </c>
      <c r="L62" s="1">
        <v>44685.635416666664</v>
      </c>
      <c r="M62" s="2">
        <v>0.46634219700000001</v>
      </c>
      <c r="N62" s="5">
        <v>5.1301220666698604E-6</v>
      </c>
      <c r="O62" s="5">
        <v>3.9830561483051697E-6</v>
      </c>
      <c r="P62" s="5">
        <v>8.5889499436946298E-5</v>
      </c>
      <c r="Q62" s="5">
        <v>6.2755948548251802E-6</v>
      </c>
      <c r="R62" s="5">
        <v>3.64048899547551E-6</v>
      </c>
      <c r="S62" s="5">
        <v>1.08211190995866E-5</v>
      </c>
      <c r="T62" s="3" t="s">
        <v>78</v>
      </c>
      <c r="W62" s="7"/>
      <c r="X62" s="7"/>
      <c r="Y62" s="7"/>
      <c r="Z62" s="7"/>
      <c r="AA62" s="7"/>
      <c r="AB62" s="7"/>
      <c r="AI62" s="7">
        <f t="shared" si="1"/>
        <v>6.3967197935359152</v>
      </c>
      <c r="AJ62" s="7">
        <f t="shared" si="1"/>
        <v>5.1313430165244593</v>
      </c>
      <c r="AK62" s="7">
        <f t="shared" si="2"/>
        <v>11.573049953615985</v>
      </c>
      <c r="AL62" s="7">
        <f t="shared" si="3"/>
        <v>5.1161026065616255</v>
      </c>
      <c r="AM62" s="7">
        <f t="shared" si="4"/>
        <v>9.4429913847696483</v>
      </c>
      <c r="AN62" s="7">
        <f t="shared" si="5"/>
        <v>5.897293675577008</v>
      </c>
    </row>
    <row r="63" spans="1:40" x14ac:dyDescent="0.25">
      <c r="A63" s="4">
        <v>45190.449305555558</v>
      </c>
      <c r="B63" s="2">
        <v>0.46638934380788899</v>
      </c>
      <c r="C63" s="5">
        <v>2.9147625215514002E-5</v>
      </c>
      <c r="D63" s="5">
        <v>1.74864057096702E-5</v>
      </c>
      <c r="E63" s="5">
        <v>5.2283593695361705E-4</v>
      </c>
      <c r="F63" s="5">
        <v>2.75049493946047E-5</v>
      </c>
      <c r="G63" s="5">
        <v>3.07025365732952E-5</v>
      </c>
      <c r="H63" s="5">
        <v>5.5067477439803397E-5</v>
      </c>
      <c r="I63" s="3" t="s">
        <v>9</v>
      </c>
      <c r="K63" s="1">
        <v>44683.28125</v>
      </c>
      <c r="L63" s="1">
        <v>44683.28125</v>
      </c>
      <c r="M63" s="2">
        <v>0.466682659</v>
      </c>
      <c r="N63" s="5">
        <v>5.3304586826815099E-6</v>
      </c>
      <c r="O63" s="5">
        <v>4.1689195603690199E-6</v>
      </c>
      <c r="P63" s="5">
        <v>7.5273943326761901E-5</v>
      </c>
      <c r="Q63" s="5">
        <v>6.5686335381454402E-6</v>
      </c>
      <c r="R63" s="5">
        <v>3.6987300872686499E-6</v>
      </c>
      <c r="S63" s="5">
        <v>1.13986641178721E-5</v>
      </c>
      <c r="T63" s="3" t="s">
        <v>40</v>
      </c>
      <c r="W63" s="7"/>
      <c r="X63" s="7"/>
      <c r="Y63" s="7"/>
      <c r="Z63" s="7"/>
      <c r="AA63" s="7"/>
      <c r="AB63" s="7"/>
      <c r="AI63" s="7">
        <f t="shared" si="1"/>
        <v>5.6816630943120492</v>
      </c>
      <c r="AJ63" s="7">
        <f t="shared" si="1"/>
        <v>4.3901981439831923</v>
      </c>
      <c r="AK63" s="7">
        <f t="shared" si="2"/>
        <v>6.0873091632981797</v>
      </c>
      <c r="AL63" s="7">
        <f t="shared" si="3"/>
        <v>4.3828433847122383</v>
      </c>
      <c r="AM63" s="7">
        <f t="shared" si="4"/>
        <v>8.4336298259527975</v>
      </c>
      <c r="AN63" s="7">
        <f t="shared" si="5"/>
        <v>5.0888893221688267</v>
      </c>
    </row>
    <row r="64" spans="1:40" x14ac:dyDescent="0.25">
      <c r="A64" s="4">
        <v>45190.449305555558</v>
      </c>
      <c r="B64" s="2">
        <v>0.46638934380788899</v>
      </c>
      <c r="C64" s="5">
        <v>2.9147625215514002E-5</v>
      </c>
      <c r="D64" s="5">
        <v>1.74864057096702E-5</v>
      </c>
      <c r="E64" s="5">
        <v>5.2283593695361705E-4</v>
      </c>
      <c r="F64" s="5">
        <v>2.75049493946047E-5</v>
      </c>
      <c r="G64" s="5">
        <v>3.07025365732952E-5</v>
      </c>
      <c r="H64" s="5">
        <v>5.5067477439803397E-5</v>
      </c>
      <c r="I64" s="3" t="s">
        <v>9</v>
      </c>
      <c r="K64" s="1">
        <v>44684.052083333336</v>
      </c>
      <c r="L64" s="1">
        <v>44684.052083333336</v>
      </c>
      <c r="M64" s="2">
        <v>0.466067024</v>
      </c>
      <c r="N64" s="5">
        <v>5.1947318978911697E-6</v>
      </c>
      <c r="O64" s="5">
        <v>4.07057485440549E-6</v>
      </c>
      <c r="P64" s="5">
        <v>7.5273943326761901E-5</v>
      </c>
      <c r="Q64" s="5">
        <v>6.4139475258610903E-6</v>
      </c>
      <c r="R64" s="5">
        <v>3.5821438322996601E-6</v>
      </c>
      <c r="S64" s="5">
        <v>1.102338608946E-5</v>
      </c>
      <c r="T64" s="3" t="s">
        <v>79</v>
      </c>
      <c r="W64" s="7"/>
      <c r="X64" s="7"/>
      <c r="Y64" s="7"/>
      <c r="Z64" s="7"/>
      <c r="AA64" s="7"/>
      <c r="AB64" s="7"/>
      <c r="AI64" s="7">
        <f t="shared" si="1"/>
        <v>5.4681270319595017</v>
      </c>
      <c r="AJ64" s="7">
        <f t="shared" si="1"/>
        <v>4.1944694438101262</v>
      </c>
      <c r="AK64" s="7">
        <f t="shared" si="2"/>
        <v>6.9457758401735665</v>
      </c>
      <c r="AL64" s="7">
        <f t="shared" si="3"/>
        <v>4.187316773706077</v>
      </c>
      <c r="AM64" s="7">
        <f t="shared" si="4"/>
        <v>8.3008318663143328</v>
      </c>
      <c r="AN64" s="7">
        <f t="shared" si="5"/>
        <v>4.8310465919828669</v>
      </c>
    </row>
    <row r="65" spans="1:40" x14ac:dyDescent="0.25">
      <c r="A65" s="4">
        <v>45190.45</v>
      </c>
      <c r="B65" s="2">
        <v>0.46357925032941799</v>
      </c>
      <c r="C65" s="5">
        <v>3.4195896272357798E-5</v>
      </c>
      <c r="D65" s="5">
        <v>1.9617822016897302E-5</v>
      </c>
      <c r="E65" s="5">
        <v>9.8517845971425404E-4</v>
      </c>
      <c r="F65" s="5">
        <v>3.0847947931295502E-5</v>
      </c>
      <c r="G65" s="5">
        <v>3.7244095345887697E-5</v>
      </c>
      <c r="H65" s="5">
        <v>6.0571709100652301E-5</v>
      </c>
      <c r="I65" s="3" t="s">
        <v>9</v>
      </c>
      <c r="K65" s="1">
        <v>44682.25</v>
      </c>
      <c r="L65" s="1">
        <v>44682.25</v>
      </c>
      <c r="M65" s="2">
        <v>0.463531586</v>
      </c>
      <c r="N65" s="5">
        <v>5.1130737085134198E-6</v>
      </c>
      <c r="O65" s="5">
        <v>4.03274056892861E-6</v>
      </c>
      <c r="P65" s="5">
        <v>4.7287477218093997E-5</v>
      </c>
      <c r="Q65" s="5">
        <v>6.3557270532568701E-6</v>
      </c>
      <c r="R65" s="5">
        <v>3.4484437091480901E-6</v>
      </c>
      <c r="S65" s="5">
        <v>1.08786293531532E-5</v>
      </c>
      <c r="T65" s="3" t="s">
        <v>80</v>
      </c>
      <c r="W65" s="7"/>
      <c r="X65" s="7"/>
      <c r="Y65" s="7"/>
      <c r="Z65" s="7"/>
      <c r="AA65" s="7"/>
      <c r="AB65" s="7"/>
      <c r="AI65" s="7">
        <f t="shared" si="1"/>
        <v>5.6109970232239785</v>
      </c>
      <c r="AJ65" s="7">
        <f t="shared" si="1"/>
        <v>4.2958074314110855</v>
      </c>
      <c r="AK65" s="7">
        <f t="shared" si="2"/>
        <v>6.9457758401735665</v>
      </c>
      <c r="AL65" s="7">
        <f t="shared" si="3"/>
        <v>4.2883028405992585</v>
      </c>
      <c r="AM65" s="7">
        <f t="shared" si="4"/>
        <v>8.570994915518181</v>
      </c>
      <c r="AN65" s="7">
        <f t="shared" si="5"/>
        <v>4.9955138097227776</v>
      </c>
    </row>
    <row r="66" spans="1:40" x14ac:dyDescent="0.25">
      <c r="A66" s="4">
        <v>45190.45</v>
      </c>
      <c r="B66" s="2">
        <v>0.46357925032941799</v>
      </c>
      <c r="C66" s="5">
        <v>3.4195896272357798E-5</v>
      </c>
      <c r="D66" s="5">
        <v>1.9617822016897302E-5</v>
      </c>
      <c r="E66" s="5">
        <v>9.8517845971425404E-4</v>
      </c>
      <c r="F66" s="5">
        <v>3.0847947931295502E-5</v>
      </c>
      <c r="G66" s="5">
        <v>3.7244095345887697E-5</v>
      </c>
      <c r="H66" s="5">
        <v>6.0571709100652301E-5</v>
      </c>
      <c r="I66" s="3" t="s">
        <v>9</v>
      </c>
      <c r="K66" s="1">
        <v>44683.291666666664</v>
      </c>
      <c r="L66" s="1">
        <v>44683.291666666664</v>
      </c>
      <c r="M66" s="2">
        <v>0.46331149900000002</v>
      </c>
      <c r="N66" s="5">
        <v>5.2009996710019499E-6</v>
      </c>
      <c r="O66" s="5">
        <v>4.0728908298504102E-6</v>
      </c>
      <c r="P66" s="5">
        <v>6.4658387216577504E-5</v>
      </c>
      <c r="Q66" s="5">
        <v>6.4129420397372903E-6</v>
      </c>
      <c r="R66" s="5">
        <v>3.6020745029906002E-6</v>
      </c>
      <c r="S66" s="5">
        <v>1.1058613249488999E-5</v>
      </c>
      <c r="T66" s="3" t="s">
        <v>14</v>
      </c>
      <c r="W66" s="7"/>
      <c r="X66" s="7"/>
      <c r="Y66" s="7"/>
      <c r="Z66" s="7"/>
      <c r="AA66" s="7"/>
      <c r="AB66" s="7"/>
      <c r="AI66" s="7">
        <f t="shared" si="1"/>
        <v>6.6879333688111346</v>
      </c>
      <c r="AJ66" s="7">
        <f t="shared" si="1"/>
        <v>4.8646377523137385</v>
      </c>
      <c r="AK66" s="7">
        <f t="shared" si="2"/>
        <v>20.833813044635992</v>
      </c>
      <c r="AL66" s="7">
        <f t="shared" si="3"/>
        <v>4.8535671328881351</v>
      </c>
      <c r="AM66" s="7">
        <f t="shared" si="4"/>
        <v>10.800261940505489</v>
      </c>
      <c r="AN66" s="7">
        <f t="shared" si="5"/>
        <v>5.567954117592528</v>
      </c>
    </row>
    <row r="67" spans="1:40" x14ac:dyDescent="0.25">
      <c r="A67" s="4">
        <v>45190.450694444444</v>
      </c>
      <c r="B67" s="2">
        <v>0.47994966020721702</v>
      </c>
      <c r="C67" s="5">
        <v>3.0690122650268203E-5</v>
      </c>
      <c r="D67" s="5">
        <v>1.8569743078620101E-5</v>
      </c>
      <c r="E67" s="5">
        <v>7.7129103096050197E-4</v>
      </c>
      <c r="F67" s="5">
        <v>2.92005668798482E-5</v>
      </c>
      <c r="G67" s="5">
        <v>3.211065384099E-5</v>
      </c>
      <c r="H67" s="5">
        <v>5.68150891096771E-5</v>
      </c>
      <c r="I67" s="3" t="s">
        <v>9</v>
      </c>
      <c r="K67" s="1">
        <v>44686.541666666664</v>
      </c>
      <c r="L67" s="1">
        <v>44686.541666666664</v>
      </c>
      <c r="M67" s="2">
        <v>0.48003155600000003</v>
      </c>
      <c r="N67" s="5">
        <v>5.1297090567410099E-6</v>
      </c>
      <c r="O67" s="5">
        <v>3.9520946567312799E-6</v>
      </c>
      <c r="P67" s="5">
        <v>8.6854549992417595E-5</v>
      </c>
      <c r="Q67" s="5">
        <v>6.2294657906729296E-6</v>
      </c>
      <c r="R67" s="5">
        <v>3.71773844364007E-6</v>
      </c>
      <c r="S67" s="5">
        <v>1.08023663040844E-5</v>
      </c>
      <c r="T67" s="3" t="s">
        <v>25</v>
      </c>
      <c r="W67" s="7"/>
      <c r="X67" s="7"/>
      <c r="Y67" s="7"/>
      <c r="Z67" s="7"/>
      <c r="AA67" s="7"/>
      <c r="AB67" s="7"/>
      <c r="AI67" s="7">
        <f t="shared" si="1"/>
        <v>6.5748699164539861</v>
      </c>
      <c r="AJ67" s="7">
        <f t="shared" si="1"/>
        <v>4.8166825079418665</v>
      </c>
      <c r="AK67" s="7">
        <f t="shared" si="2"/>
        <v>15.236669241599458</v>
      </c>
      <c r="AL67" s="7">
        <f t="shared" si="3"/>
        <v>4.8102645774979136</v>
      </c>
      <c r="AM67" s="7">
        <f t="shared" si="4"/>
        <v>10.339623823706594</v>
      </c>
      <c r="AN67" s="7">
        <f t="shared" si="5"/>
        <v>5.477333164124464</v>
      </c>
    </row>
    <row r="68" spans="1:40" x14ac:dyDescent="0.25">
      <c r="A68" s="4">
        <v>45190.450694444444</v>
      </c>
      <c r="B68" s="2">
        <v>0.47994966020721702</v>
      </c>
      <c r="C68" s="5">
        <v>3.0690122650268203E-5</v>
      </c>
      <c r="D68" s="5">
        <v>1.8569743078620101E-5</v>
      </c>
      <c r="E68" s="5">
        <v>7.7129103096050197E-4</v>
      </c>
      <c r="F68" s="5">
        <v>2.92005668798482E-5</v>
      </c>
      <c r="G68" s="5">
        <v>3.211065384099E-5</v>
      </c>
      <c r="H68" s="5">
        <v>5.68150891096771E-5</v>
      </c>
      <c r="I68" s="3" t="s">
        <v>9</v>
      </c>
      <c r="K68" s="1">
        <v>44684.15625</v>
      </c>
      <c r="L68" s="1">
        <v>44684.15625</v>
      </c>
      <c r="M68" s="2">
        <v>0.47985961599999999</v>
      </c>
      <c r="N68" s="5">
        <v>5.1908346069025601E-6</v>
      </c>
      <c r="O68" s="5">
        <v>4.07913630442028E-6</v>
      </c>
      <c r="P68" s="5">
        <v>6.3693336661106194E-5</v>
      </c>
      <c r="Q68" s="5">
        <v>6.4261685735494497E-6</v>
      </c>
      <c r="R68" s="5">
        <v>3.5487790927112499E-6</v>
      </c>
      <c r="S68" s="5">
        <v>1.09726989353935E-5</v>
      </c>
      <c r="T68" s="3" t="s">
        <v>81</v>
      </c>
      <c r="W68" s="7"/>
      <c r="X68" s="3"/>
      <c r="AI68" s="7">
        <f t="shared" ref="AI68:AJ73" si="6">C67/N67</f>
        <v>5.9828193589143144</v>
      </c>
      <c r="AJ68" s="7">
        <f t="shared" si="6"/>
        <v>4.6987090875953026</v>
      </c>
      <c r="AK68" s="7">
        <f t="shared" ref="AK68:AK73" si="7">E67/P67</f>
        <v>8.880260516321087</v>
      </c>
      <c r="AL68" s="7">
        <f t="shared" ref="AL68:AL73" si="8">F67/Q67</f>
        <v>4.6874913292836062</v>
      </c>
      <c r="AM68" s="7">
        <f t="shared" ref="AM68:AM73" si="9">G67/R67</f>
        <v>8.6371471064409207</v>
      </c>
      <c r="AN68" s="7">
        <f t="shared" ref="AN68:AN73" si="10">H67/S67</f>
        <v>5.2595040299823177</v>
      </c>
    </row>
    <row r="69" spans="1:40" x14ac:dyDescent="0.25">
      <c r="A69" s="4">
        <v>45190.450694444444</v>
      </c>
      <c r="B69" s="2">
        <v>0.47994966020721702</v>
      </c>
      <c r="C69" s="5">
        <v>3.0690122650268203E-5</v>
      </c>
      <c r="D69" s="5">
        <v>1.8569743078620101E-5</v>
      </c>
      <c r="E69" s="5">
        <v>7.7129103096050197E-4</v>
      </c>
      <c r="F69" s="5">
        <v>2.92005668798482E-5</v>
      </c>
      <c r="G69" s="5">
        <v>3.211065384099E-5</v>
      </c>
      <c r="H69" s="5">
        <v>5.68150891096771E-5</v>
      </c>
      <c r="I69" s="3" t="s">
        <v>9</v>
      </c>
      <c r="K69" s="1">
        <v>44680.895833333336</v>
      </c>
      <c r="L69" s="1">
        <v>44680.895833333336</v>
      </c>
      <c r="M69" s="2">
        <v>0.48004079900000002</v>
      </c>
      <c r="N69" s="5">
        <v>5.0757110546662702E-6</v>
      </c>
      <c r="O69" s="5">
        <v>3.9845026299767499E-6</v>
      </c>
      <c r="P69" s="5">
        <v>7.8169094993175804E-5</v>
      </c>
      <c r="Q69" s="5">
        <v>6.2806191082325401E-6</v>
      </c>
      <c r="R69" s="5">
        <v>3.4755581605340501E-6</v>
      </c>
      <c r="S69" s="5">
        <v>1.07974899707997E-5</v>
      </c>
      <c r="T69" s="3" t="s">
        <v>82</v>
      </c>
      <c r="AI69" s="7">
        <f t="shared" si="6"/>
        <v>5.9123676584604965</v>
      </c>
      <c r="AJ69" s="7">
        <f t="shared" si="6"/>
        <v>4.5523713092149789</v>
      </c>
      <c r="AK69" s="7">
        <f t="shared" si="7"/>
        <v>12.109446158619672</v>
      </c>
      <c r="AL69" s="7">
        <f t="shared" si="8"/>
        <v>4.5440088515635484</v>
      </c>
      <c r="AM69" s="7">
        <f t="shared" si="9"/>
        <v>9.0483664950972233</v>
      </c>
      <c r="AN69" s="7">
        <f t="shared" si="10"/>
        <v>5.1778591068797617</v>
      </c>
    </row>
    <row r="70" spans="1:40" x14ac:dyDescent="0.25">
      <c r="A70" s="4">
        <v>45190.450694444444</v>
      </c>
      <c r="B70" s="2">
        <v>0.47994966020721702</v>
      </c>
      <c r="C70" s="5">
        <v>3.0690122650268203E-5</v>
      </c>
      <c r="D70" s="5">
        <v>1.8569743078620101E-5</v>
      </c>
      <c r="E70" s="5">
        <v>7.7129103096050197E-4</v>
      </c>
      <c r="F70" s="5">
        <v>2.92005668798482E-5</v>
      </c>
      <c r="G70" s="5">
        <v>3.211065384099E-5</v>
      </c>
      <c r="H70" s="5">
        <v>5.68150891096771E-5</v>
      </c>
      <c r="I70" s="3" t="s">
        <v>9</v>
      </c>
      <c r="K70" s="1">
        <v>44686.125</v>
      </c>
      <c r="L70" s="1">
        <v>44686.125</v>
      </c>
      <c r="M70" s="2">
        <v>0.48004130900000003</v>
      </c>
      <c r="N70" s="5">
        <v>5.26320029202501E-6</v>
      </c>
      <c r="O70" s="5">
        <v>4.09113415138656E-6</v>
      </c>
      <c r="P70" s="5">
        <v>8.9749701658831498E-5</v>
      </c>
      <c r="Q70" s="5">
        <v>6.4459273403683603E-6</v>
      </c>
      <c r="R70" s="5">
        <v>3.7219035854969302E-6</v>
      </c>
      <c r="S70" s="5">
        <v>1.1177824685613799E-5</v>
      </c>
      <c r="T70" s="3" t="s">
        <v>83</v>
      </c>
      <c r="AI70" s="7">
        <f t="shared" si="6"/>
        <v>6.0464676416230887</v>
      </c>
      <c r="AJ70" s="7">
        <f t="shared" si="6"/>
        <v>4.6604921123438832</v>
      </c>
      <c r="AK70" s="7">
        <f t="shared" si="7"/>
        <v>9.866956129245656</v>
      </c>
      <c r="AL70" s="7">
        <f t="shared" si="8"/>
        <v>4.6493134477097238</v>
      </c>
      <c r="AM70" s="7">
        <f t="shared" si="9"/>
        <v>9.2389919425361917</v>
      </c>
      <c r="AN70" s="7">
        <f t="shared" si="10"/>
        <v>5.2618793130001098</v>
      </c>
    </row>
    <row r="71" spans="1:40" x14ac:dyDescent="0.25">
      <c r="A71" s="4">
        <v>45190.451388888891</v>
      </c>
      <c r="B71" s="2">
        <v>0.47939185305731202</v>
      </c>
      <c r="C71" s="5">
        <v>2.6396715786245701E-5</v>
      </c>
      <c r="D71" s="5">
        <v>1.6218660918437701E-5</v>
      </c>
      <c r="E71" s="5">
        <v>6.9135330506263403E-4</v>
      </c>
      <c r="F71" s="5">
        <v>2.5510539990300699E-5</v>
      </c>
      <c r="G71" s="5">
        <v>2.72540918817656E-5</v>
      </c>
      <c r="H71" s="5">
        <v>4.9690548003291298E-5</v>
      </c>
      <c r="I71" s="3" t="s">
        <v>9</v>
      </c>
      <c r="K71" s="1">
        <v>44679.958333333336</v>
      </c>
      <c r="L71" s="1">
        <v>44679.958333333336</v>
      </c>
      <c r="M71" s="2">
        <v>0.47932750400000002</v>
      </c>
      <c r="N71" s="5">
        <v>4.9601193891821596E-6</v>
      </c>
      <c r="O71" s="5">
        <v>3.9019940899688398E-6</v>
      </c>
      <c r="P71" s="5">
        <v>4.7287477218093997E-5</v>
      </c>
      <c r="Q71" s="5">
        <v>6.1493577209500397E-6</v>
      </c>
      <c r="R71" s="5">
        <v>3.3750447311131098E-6</v>
      </c>
      <c r="S71" s="5">
        <v>1.0617136005375001E-5</v>
      </c>
      <c r="T71" s="3" t="s">
        <v>84</v>
      </c>
      <c r="AI71" s="7">
        <f t="shared" si="6"/>
        <v>5.8310763314044838</v>
      </c>
      <c r="AJ71" s="7">
        <f t="shared" si="6"/>
        <v>4.539020817082343</v>
      </c>
      <c r="AK71" s="7">
        <f t="shared" si="7"/>
        <v>8.5938004996655692</v>
      </c>
      <c r="AL71" s="7">
        <f t="shared" si="8"/>
        <v>4.5300800548861755</v>
      </c>
      <c r="AM71" s="7">
        <f t="shared" si="9"/>
        <v>8.6274813689733829</v>
      </c>
      <c r="AN71" s="7">
        <f t="shared" si="10"/>
        <v>5.0828395244738314</v>
      </c>
    </row>
    <row r="72" spans="1:40" x14ac:dyDescent="0.25">
      <c r="A72" s="4">
        <v>45190.451388888891</v>
      </c>
      <c r="B72" s="2">
        <v>0.47939185305731202</v>
      </c>
      <c r="C72" s="5">
        <v>2.6396715786245701E-5</v>
      </c>
      <c r="D72" s="5">
        <v>1.6218660918437701E-5</v>
      </c>
      <c r="E72" s="5">
        <v>6.9135330506263403E-4</v>
      </c>
      <c r="F72" s="5">
        <v>2.5510539990300699E-5</v>
      </c>
      <c r="G72" s="5">
        <v>2.72540918817656E-5</v>
      </c>
      <c r="H72" s="5">
        <v>4.9690548003291298E-5</v>
      </c>
      <c r="I72" s="3" t="s">
        <v>9</v>
      </c>
      <c r="K72" s="1">
        <v>44683.208333333336</v>
      </c>
      <c r="L72" s="1">
        <v>44683.208333333336</v>
      </c>
      <c r="M72" s="2">
        <v>0.47950638200000001</v>
      </c>
      <c r="N72" s="5">
        <v>5.2452981102833797E-6</v>
      </c>
      <c r="O72" s="5">
        <v>4.10855539281991E-6</v>
      </c>
      <c r="P72" s="5">
        <v>4.82525277735653E-5</v>
      </c>
      <c r="Q72" s="5">
        <v>6.4670566198297202E-6</v>
      </c>
      <c r="R72" s="5">
        <v>3.6336419464077402E-6</v>
      </c>
      <c r="S72" s="5">
        <v>1.11847112317197E-5</v>
      </c>
      <c r="T72" s="3" t="s">
        <v>85</v>
      </c>
      <c r="AI72" s="7">
        <f t="shared" si="6"/>
        <v>5.3217904076696181</v>
      </c>
      <c r="AJ72" s="7">
        <f t="shared" si="6"/>
        <v>4.1565057620492754</v>
      </c>
      <c r="AK72" s="7">
        <f t="shared" si="7"/>
        <v>14.620219680446302</v>
      </c>
      <c r="AL72" s="7">
        <f t="shared" si="8"/>
        <v>4.1484885329389281</v>
      </c>
      <c r="AM72" s="7">
        <f t="shared" si="9"/>
        <v>8.0751794577777449</v>
      </c>
      <c r="AN72" s="7">
        <f t="shared" si="10"/>
        <v>4.6802214813990428</v>
      </c>
    </row>
    <row r="73" spans="1:40" x14ac:dyDescent="0.25">
      <c r="A73" s="4">
        <v>45190.451388888891</v>
      </c>
      <c r="B73" s="2">
        <v>0.47939185305731202</v>
      </c>
      <c r="C73" s="5">
        <v>2.6396715786245701E-5</v>
      </c>
      <c r="D73" s="5">
        <v>1.6218660918437701E-5</v>
      </c>
      <c r="E73" s="5">
        <v>6.9135330506263403E-4</v>
      </c>
      <c r="F73" s="5">
        <v>2.5510539990300699E-5</v>
      </c>
      <c r="G73" s="5">
        <v>2.72540918817656E-5</v>
      </c>
      <c r="H73" s="5">
        <v>4.9690548003291298E-5</v>
      </c>
      <c r="I73" s="3" t="s">
        <v>9</v>
      </c>
      <c r="K73" s="1">
        <v>44679.833333333336</v>
      </c>
      <c r="L73" s="1">
        <v>44679.833333333336</v>
      </c>
      <c r="M73" s="2">
        <v>0.47922689899999998</v>
      </c>
      <c r="N73" s="5">
        <v>4.78970646147404E-6</v>
      </c>
      <c r="O73" s="5">
        <v>3.7607144817414801E-6</v>
      </c>
      <c r="P73" s="5">
        <v>5.6937982772807098E-5</v>
      </c>
      <c r="Q73" s="5">
        <v>5.9335450305834101E-6</v>
      </c>
      <c r="R73" s="5">
        <v>3.2673399090197899E-6</v>
      </c>
      <c r="S73" s="5">
        <v>1.02218323825147E-5</v>
      </c>
      <c r="T73" s="3" t="s">
        <v>86</v>
      </c>
      <c r="AI73" s="7">
        <f t="shared" si="6"/>
        <v>5.0324529190238163</v>
      </c>
      <c r="AJ73" s="7">
        <f t="shared" si="6"/>
        <v>3.9475337114308715</v>
      </c>
      <c r="AK73" s="7">
        <f t="shared" si="7"/>
        <v>14.327815286837378</v>
      </c>
      <c r="AL73" s="7">
        <f t="shared" si="8"/>
        <v>3.9446909915831849</v>
      </c>
      <c r="AM73" s="7">
        <f t="shared" si="9"/>
        <v>7.5004891191079812</v>
      </c>
      <c r="AN73" s="7">
        <f t="shared" si="10"/>
        <v>4.4427206902194785</v>
      </c>
    </row>
    <row r="74" spans="1:40" x14ac:dyDescent="0.25">
      <c r="W74" s="3"/>
      <c r="X74" s="3"/>
    </row>
    <row r="75" spans="1:40" x14ac:dyDescent="0.25">
      <c r="W75" s="3"/>
      <c r="X75" s="3"/>
    </row>
    <row r="76" spans="1:40" x14ac:dyDescent="0.25">
      <c r="AH76" t="s">
        <v>27</v>
      </c>
      <c r="AI76" s="7">
        <f>AVERAGE(AI3:AI73)</f>
        <v>5.4319844243537689</v>
      </c>
      <c r="AJ76" s="9">
        <f t="shared" ref="AJ76:AN76" si="11">AVERAGE(AJ3:AJ73)</f>
        <v>4.3441851354782477</v>
      </c>
      <c r="AK76" s="7">
        <f t="shared" si="11"/>
        <v>10.530178717983842</v>
      </c>
      <c r="AL76" s="9">
        <f>AVERAGE(AL3:AL73)</f>
        <v>4.3356728027496541</v>
      </c>
      <c r="AM76" s="7">
        <f t="shared" si="11"/>
        <v>7.9079588211272593</v>
      </c>
      <c r="AN76" s="7">
        <f t="shared" si="11"/>
        <v>4.8992274907843543</v>
      </c>
    </row>
    <row r="77" spans="1:40" x14ac:dyDescent="0.25">
      <c r="AH77" t="s">
        <v>28</v>
      </c>
      <c r="AI77" s="7">
        <f>MIN(AI3:AI73)</f>
        <v>3.4678333889732302</v>
      </c>
      <c r="AJ77" s="9">
        <f>MIN(AJ3:AJ73)</f>
        <v>2.8684893955518462</v>
      </c>
      <c r="AK77" s="7">
        <f t="shared" ref="AK77:AN77" si="12">MIN(AK3:AK73)</f>
        <v>4.4471892887776576</v>
      </c>
      <c r="AL77" s="9">
        <f t="shared" si="12"/>
        <v>2.8665538180589833</v>
      </c>
      <c r="AM77" s="7">
        <f t="shared" si="12"/>
        <v>4.9028747561924879</v>
      </c>
      <c r="AN77" s="7">
        <f t="shared" si="12"/>
        <v>3.2148764852940537</v>
      </c>
    </row>
    <row r="78" spans="1:40" x14ac:dyDescent="0.25">
      <c r="AH78" t="s">
        <v>29</v>
      </c>
      <c r="AI78" s="7">
        <f>MAX(AI3:AI73)</f>
        <v>7.7590149237620887</v>
      </c>
      <c r="AJ78" s="9">
        <f t="shared" ref="AJ78:AN78" si="13">MAX(AJ3:AJ73)</f>
        <v>6.1296787219532805</v>
      </c>
      <c r="AK78" s="7">
        <f t="shared" si="13"/>
        <v>28.586746846334087</v>
      </c>
      <c r="AL78" s="9">
        <f t="shared" si="13"/>
        <v>6.1111500664956813</v>
      </c>
      <c r="AM78" s="7">
        <f>MAX(AM3:AM73)</f>
        <v>11.754777003669394</v>
      </c>
      <c r="AN78" s="7">
        <f t="shared" si="13"/>
        <v>7.0078350269953216</v>
      </c>
    </row>
    <row r="79" spans="1:40" x14ac:dyDescent="0.25">
      <c r="AH79" t="s">
        <v>31</v>
      </c>
      <c r="AI79" s="7">
        <f>MEDIAN(AI3:AI73)</f>
        <v>5.3659376601835449</v>
      </c>
      <c r="AJ79" s="9">
        <f t="shared" ref="AJ79:AN79" si="14">MEDIAN(AJ3:AJ73)</f>
        <v>4.2958074314110855</v>
      </c>
      <c r="AK79" s="7">
        <f t="shared" si="14"/>
        <v>9.4399408009631625</v>
      </c>
      <c r="AL79" s="9">
        <f t="shared" si="14"/>
        <v>4.2883028405992585</v>
      </c>
      <c r="AM79" s="7">
        <f t="shared" si="14"/>
        <v>7.5918978091629556</v>
      </c>
      <c r="AN79" s="7">
        <f t="shared" si="14"/>
        <v>4.8895657118032547</v>
      </c>
    </row>
    <row r="80" spans="1:40" x14ac:dyDescent="0.25">
      <c r="AH80" t="s">
        <v>30</v>
      </c>
      <c r="AI80" s="7">
        <f>_xlfn.STDEV.P(AI3:AI73)</f>
        <v>1.0029270946857183</v>
      </c>
      <c r="AJ80" s="9">
        <f t="shared" ref="AJ80:AN80" si="15">_xlfn.STDEV.P(AJ3:AJ73)</f>
        <v>0.79265969518552271</v>
      </c>
      <c r="AK80" s="7">
        <f t="shared" si="15"/>
        <v>4.2383252198743948</v>
      </c>
      <c r="AL80" s="9">
        <f t="shared" si="15"/>
        <v>0.78864193722561737</v>
      </c>
      <c r="AM80" s="7">
        <f t="shared" si="15"/>
        <v>1.5584212631018977</v>
      </c>
      <c r="AN80" s="7">
        <f t="shared" si="15"/>
        <v>0.94444652265356333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4079-A6EE-4070-A855-6EDAE9ED1E0C}">
  <dimension ref="A1:AO88"/>
  <sheetViews>
    <sheetView tabSelected="1" topLeftCell="R46" zoomScaleNormal="100" workbookViewId="0">
      <selection activeCell="Z95" sqref="Z95"/>
    </sheetView>
  </sheetViews>
  <sheetFormatPr defaultRowHeight="15" x14ac:dyDescent="0.25"/>
  <cols>
    <col min="1" max="1" width="21.85546875" customWidth="1"/>
    <col min="2" max="2" width="17.5703125" customWidth="1"/>
    <col min="3" max="3" width="12.140625" customWidth="1"/>
    <col min="4" max="4" width="16.7109375" customWidth="1"/>
    <col min="5" max="5" width="15.140625" customWidth="1"/>
    <col min="6" max="6" width="17.85546875" customWidth="1"/>
    <col min="7" max="7" width="15.140625" customWidth="1"/>
    <col min="8" max="8" width="13.28515625" customWidth="1"/>
    <col min="9" max="9" width="12.85546875" customWidth="1"/>
    <col min="11" max="11" width="18.85546875" customWidth="1"/>
    <col min="12" max="12" width="14" customWidth="1"/>
    <col min="13" max="13" width="11.5703125" customWidth="1"/>
    <col min="14" max="15" width="11.140625" customWidth="1"/>
    <col min="16" max="16" width="19.140625" customWidth="1"/>
    <col min="17" max="17" width="13.85546875" customWidth="1"/>
    <col min="18" max="18" width="15.5703125" customWidth="1"/>
    <col min="19" max="19" width="15.42578125" customWidth="1"/>
    <col min="35" max="35" width="12.7109375" bestFit="1" customWidth="1"/>
    <col min="36" max="36" width="13.28515625" customWidth="1"/>
    <col min="37" max="37" width="13.5703125" customWidth="1"/>
    <col min="38" max="38" width="13.85546875" customWidth="1"/>
    <col min="39" max="39" width="18.85546875" customWidth="1"/>
    <col min="40" max="40" width="16.7109375" customWidth="1"/>
    <col min="41" max="41" width="15.140625" customWidth="1"/>
  </cols>
  <sheetData>
    <row r="1" spans="1:41" x14ac:dyDescent="0.25">
      <c r="A1" s="3" t="s">
        <v>11</v>
      </c>
      <c r="B1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/>
      <c r="K1" s="3" t="s">
        <v>87</v>
      </c>
      <c r="L1" s="3" t="s">
        <v>12</v>
      </c>
      <c r="M1" s="3" t="s">
        <v>0</v>
      </c>
      <c r="N1" s="3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AJ1" s="8" t="s">
        <v>26</v>
      </c>
    </row>
    <row r="2" spans="1:41" x14ac:dyDescent="0.25">
      <c r="A2" s="4">
        <v>45189.584027777775</v>
      </c>
      <c r="B2" s="2">
        <v>0.35736499964336899</v>
      </c>
      <c r="C2" s="5">
        <v>2.4207241508201001E-5</v>
      </c>
      <c r="D2" s="5">
        <v>1.51093439110471E-5</v>
      </c>
      <c r="E2" s="6">
        <v>5.4444072773682402E-4</v>
      </c>
      <c r="F2" s="5">
        <v>2.3761578150796201E-5</v>
      </c>
      <c r="G2" s="5">
        <v>2.4644846994177601E-5</v>
      </c>
      <c r="H2" s="5">
        <v>4.6050444005698603E-5</v>
      </c>
      <c r="I2" s="3" t="s">
        <v>32</v>
      </c>
      <c r="K2" s="4">
        <v>45131.583333333336</v>
      </c>
      <c r="L2" s="2">
        <v>0.35506608000000001</v>
      </c>
      <c r="M2" s="5">
        <v>1.22206683858733E-5</v>
      </c>
      <c r="N2" s="5">
        <v>9.4296044496292403E-6</v>
      </c>
      <c r="O2" s="3">
        <v>1.55554493639092E-4</v>
      </c>
      <c r="P2" s="5">
        <v>1.4861526221896201E-5</v>
      </c>
      <c r="Q2" s="5">
        <v>8.8217998978148202E-6</v>
      </c>
      <c r="R2" s="5">
        <v>2.5859967301734999E-5</v>
      </c>
      <c r="S2" s="3" t="s">
        <v>88</v>
      </c>
      <c r="AJ2" s="3" t="s">
        <v>0</v>
      </c>
      <c r="AK2" s="3" t="s">
        <v>1</v>
      </c>
      <c r="AL2" s="3" t="s">
        <v>2</v>
      </c>
      <c r="AM2" s="3" t="s">
        <v>3</v>
      </c>
      <c r="AN2" s="3" t="s">
        <v>4</v>
      </c>
      <c r="AO2" s="3" t="s">
        <v>5</v>
      </c>
    </row>
    <row r="3" spans="1:41" x14ac:dyDescent="0.25">
      <c r="A3" s="4">
        <v>45189.584027777775</v>
      </c>
      <c r="B3" s="2">
        <v>0.35736499964336899</v>
      </c>
      <c r="C3" s="5">
        <v>2.4207241508201001E-5</v>
      </c>
      <c r="D3" s="5">
        <v>1.51093439110471E-5</v>
      </c>
      <c r="E3" s="6">
        <v>5.4444072773682402E-4</v>
      </c>
      <c r="F3" s="5">
        <v>2.3761578150796201E-5</v>
      </c>
      <c r="G3" s="5">
        <v>2.4644846994177601E-5</v>
      </c>
      <c r="H3" s="5">
        <v>4.6050444005698603E-5</v>
      </c>
      <c r="I3" s="3" t="s">
        <v>32</v>
      </c>
      <c r="K3" s="4">
        <v>45141.75</v>
      </c>
      <c r="L3" s="2">
        <v>0.35506608000000001</v>
      </c>
      <c r="M3" s="5">
        <v>1.05948219401146E-5</v>
      </c>
      <c r="N3" s="5">
        <v>7.9832102476260307E-6</v>
      </c>
      <c r="O3" s="3">
        <v>1.5771497271741301E-4</v>
      </c>
      <c r="P3" s="5">
        <v>1.26006551101013E-5</v>
      </c>
      <c r="Q3" s="5">
        <v>8.1070157266630092E-6</v>
      </c>
      <c r="R3" s="5">
        <v>2.1984943331226699E-5</v>
      </c>
      <c r="S3" s="3" t="s">
        <v>89</v>
      </c>
      <c r="AJ3" s="7">
        <f>C2/M2</f>
        <v>1.9808443158627718</v>
      </c>
      <c r="AK3" s="7">
        <f t="shared" ref="AK3:AN3" si="0">D2/N2</f>
        <v>1.6023306164916791</v>
      </c>
      <c r="AL3" s="7">
        <f t="shared" si="0"/>
        <v>3.5000000000000129</v>
      </c>
      <c r="AM3" s="7">
        <f t="shared" si="0"/>
        <v>1.5988652710370437</v>
      </c>
      <c r="AN3" s="7">
        <f t="shared" si="0"/>
        <v>2.7936302432207949</v>
      </c>
      <c r="AO3" s="7">
        <f>H2/R2</f>
        <v>1.7807618806466543</v>
      </c>
    </row>
    <row r="4" spans="1:41" x14ac:dyDescent="0.25">
      <c r="A4" s="4">
        <v>45189.584027777775</v>
      </c>
      <c r="B4" s="2">
        <v>0.35736499964336899</v>
      </c>
      <c r="C4" s="5">
        <v>2.4207241508201001E-5</v>
      </c>
      <c r="D4" s="5">
        <v>1.51093439110471E-5</v>
      </c>
      <c r="E4" s="6">
        <v>5.4444072773682402E-4</v>
      </c>
      <c r="F4" s="5">
        <v>2.3761578150796201E-5</v>
      </c>
      <c r="G4" s="5">
        <v>2.4644846994177601E-5</v>
      </c>
      <c r="H4" s="5">
        <v>4.6050444005698603E-5</v>
      </c>
      <c r="I4" s="3" t="s">
        <v>32</v>
      </c>
      <c r="K4" s="4">
        <v>45142.572916666664</v>
      </c>
      <c r="L4" s="2">
        <v>0.35506608000000001</v>
      </c>
      <c r="M4" s="5">
        <v>1.26883452607172E-5</v>
      </c>
      <c r="N4" s="5">
        <v>9.5774045707034001E-6</v>
      </c>
      <c r="O4" s="3">
        <v>1.9876407520550701E-4</v>
      </c>
      <c r="P4" s="5">
        <v>1.5081408447538001E-5</v>
      </c>
      <c r="Q4" s="5">
        <v>9.7231063729453607E-6</v>
      </c>
      <c r="R4" s="5">
        <v>2.64005867639817E-5</v>
      </c>
      <c r="S4" s="3" t="s">
        <v>90</v>
      </c>
      <c r="AJ4" s="7">
        <f t="shared" ref="AJ4:AJ43" si="1">C3/M3</f>
        <v>2.2848181540971852</v>
      </c>
      <c r="AK4" s="7">
        <f t="shared" ref="AK4:AK43" si="2">D3/N3</f>
        <v>1.8926401087257059</v>
      </c>
      <c r="AL4" s="7">
        <f t="shared" ref="AL4:AL43" si="3">E3/O3</f>
        <v>3.4520547945205546</v>
      </c>
      <c r="AM4" s="7">
        <f t="shared" ref="AM4:AM43" si="4">F3/P3</f>
        <v>1.8857414906743826</v>
      </c>
      <c r="AN4" s="7">
        <f t="shared" ref="AN4:AN43" si="5">G3/Q3</f>
        <v>3.0399406915079288</v>
      </c>
      <c r="AO4" s="7">
        <f t="shared" ref="AO4:AO43" si="6">H3/R3</f>
        <v>2.0946355563395995</v>
      </c>
    </row>
    <row r="5" spans="1:41" x14ac:dyDescent="0.25">
      <c r="A5" s="4">
        <v>45189.584027777775</v>
      </c>
      <c r="B5" s="2">
        <v>0.35736499964336899</v>
      </c>
      <c r="C5" s="5">
        <v>2.4207241508201001E-5</v>
      </c>
      <c r="D5" s="5">
        <v>1.51093439110471E-5</v>
      </c>
      <c r="E5" s="6">
        <v>5.4444072773682402E-4</v>
      </c>
      <c r="F5" s="5">
        <v>2.3761578150796201E-5</v>
      </c>
      <c r="G5" s="5">
        <v>2.4644846994177601E-5</v>
      </c>
      <c r="H5" s="5">
        <v>4.6050444005698603E-5</v>
      </c>
      <c r="I5" s="3" t="s">
        <v>32</v>
      </c>
      <c r="K5" s="4">
        <v>45142.614583333336</v>
      </c>
      <c r="L5" s="2">
        <v>0.35506608000000001</v>
      </c>
      <c r="M5" s="5">
        <v>1.2584860875205E-5</v>
      </c>
      <c r="N5" s="5">
        <v>9.4587766327396807E-6</v>
      </c>
      <c r="O5" s="3">
        <v>4.1049102488093902E-4</v>
      </c>
      <c r="P5" s="5">
        <v>1.4888615578985E-5</v>
      </c>
      <c r="Q5" s="5">
        <v>9.7512194090124399E-6</v>
      </c>
      <c r="R5" s="5">
        <v>2.5947784237006699E-5</v>
      </c>
      <c r="S5" s="3" t="s">
        <v>91</v>
      </c>
      <c r="AJ5" s="7">
        <f t="shared" si="1"/>
        <v>1.9078328190789398</v>
      </c>
      <c r="AK5" s="7">
        <f t="shared" si="2"/>
        <v>1.577603180434239</v>
      </c>
      <c r="AL5" s="7">
        <f t="shared" si="3"/>
        <v>2.7391304347826111</v>
      </c>
      <c r="AM5" s="7">
        <f t="shared" si="4"/>
        <v>1.5755543146684827</v>
      </c>
      <c r="AN5" s="7">
        <f t="shared" si="5"/>
        <v>2.5346680421755057</v>
      </c>
      <c r="AO5" s="7">
        <f t="shared" si="6"/>
        <v>1.7442962316475932</v>
      </c>
    </row>
    <row r="6" spans="1:41" x14ac:dyDescent="0.25">
      <c r="A6" s="4">
        <v>45189.584027777775</v>
      </c>
      <c r="B6" s="2">
        <v>0.35736499964336899</v>
      </c>
      <c r="C6" s="5">
        <v>2.4207241508201001E-5</v>
      </c>
      <c r="D6" s="5">
        <v>1.51093439110471E-5</v>
      </c>
      <c r="E6" s="6">
        <v>5.4444072773682402E-4</v>
      </c>
      <c r="F6" s="5">
        <v>2.3761578150796201E-5</v>
      </c>
      <c r="G6" s="5">
        <v>2.4644846994177601E-5</v>
      </c>
      <c r="H6" s="5">
        <v>4.6050444005698603E-5</v>
      </c>
      <c r="I6" s="3" t="s">
        <v>32</v>
      </c>
      <c r="K6" s="4">
        <v>45142.6875</v>
      </c>
      <c r="L6" s="2">
        <v>0.35506608000000001</v>
      </c>
      <c r="M6" s="5">
        <v>1.2624465186560499E-5</v>
      </c>
      <c r="N6" s="5">
        <v>9.3775733200801399E-6</v>
      </c>
      <c r="O6" s="3">
        <v>2.6573892663344999E-4</v>
      </c>
      <c r="P6" s="5">
        <v>1.4779330401654201E-5</v>
      </c>
      <c r="Q6" s="5">
        <v>1.00162283776902E-5</v>
      </c>
      <c r="R6" s="5">
        <v>2.60161157472176E-5</v>
      </c>
      <c r="S6" s="3" t="s">
        <v>92</v>
      </c>
      <c r="AJ6" s="7">
        <f t="shared" si="1"/>
        <v>1.9235207880521508</v>
      </c>
      <c r="AK6" s="7">
        <f t="shared" si="2"/>
        <v>1.597388805942314</v>
      </c>
      <c r="AL6" s="7">
        <f t="shared" si="3"/>
        <v>1.3263157894736832</v>
      </c>
      <c r="AM6" s="7">
        <f t="shared" si="4"/>
        <v>1.5959561871108567</v>
      </c>
      <c r="AN6" s="7">
        <f t="shared" si="5"/>
        <v>2.5273605238950849</v>
      </c>
      <c r="AO6" s="7">
        <f t="shared" si="6"/>
        <v>1.7747351213141935</v>
      </c>
    </row>
    <row r="7" spans="1:41" x14ac:dyDescent="0.25">
      <c r="A7" s="4">
        <v>45189.588194444441</v>
      </c>
      <c r="B7" s="2">
        <v>0.37497654782332401</v>
      </c>
      <c r="C7" s="5">
        <v>1.88450378444053E-5</v>
      </c>
      <c r="D7" s="5">
        <v>1.1907082800969201E-5</v>
      </c>
      <c r="E7" s="6">
        <v>5.4444072773682402E-4</v>
      </c>
      <c r="F7" s="5">
        <v>1.8741931464072901E-5</v>
      </c>
      <c r="G7" s="5">
        <v>1.8947581250799299E-5</v>
      </c>
      <c r="H7" s="5">
        <v>3.6794880954068402E-5</v>
      </c>
      <c r="I7" s="3" t="s">
        <v>32</v>
      </c>
      <c r="K7" s="4">
        <v>45140.572916666664</v>
      </c>
      <c r="L7" s="2">
        <v>0.376777213</v>
      </c>
      <c r="M7" s="5">
        <v>1.30919543779783E-5</v>
      </c>
      <c r="N7" s="5">
        <v>9.8221265920171307E-6</v>
      </c>
      <c r="O7" s="3">
        <v>1.771592844223E-4</v>
      </c>
      <c r="P7" s="5">
        <v>1.5432241626043701E-5</v>
      </c>
      <c r="Q7" s="5">
        <v>1.02295867779071E-5</v>
      </c>
      <c r="R7" s="5">
        <v>2.7278724423793602E-5</v>
      </c>
      <c r="S7" s="3" t="s">
        <v>93</v>
      </c>
      <c r="AJ7" s="7">
        <f t="shared" si="1"/>
        <v>1.9174864955048601</v>
      </c>
      <c r="AK7" s="7">
        <f t="shared" si="2"/>
        <v>1.6112210905025457</v>
      </c>
      <c r="AL7" s="7">
        <f t="shared" si="3"/>
        <v>2.0487804878048768</v>
      </c>
      <c r="AM7" s="7">
        <f t="shared" si="4"/>
        <v>1.6077574223617497</v>
      </c>
      <c r="AN7" s="7">
        <f t="shared" si="5"/>
        <v>2.4604917205233341</v>
      </c>
      <c r="AO7" s="7">
        <f t="shared" si="6"/>
        <v>1.7700737670889113</v>
      </c>
    </row>
    <row r="8" spans="1:41" x14ac:dyDescent="0.25">
      <c r="A8" s="4">
        <v>45189.588194444441</v>
      </c>
      <c r="B8" s="2">
        <v>0.37497654782332401</v>
      </c>
      <c r="C8" s="5">
        <v>1.88450378444053E-5</v>
      </c>
      <c r="D8" s="5">
        <v>1.1907082800969201E-5</v>
      </c>
      <c r="E8" s="6">
        <v>5.4444072773682402E-4</v>
      </c>
      <c r="F8" s="5">
        <v>1.8741931464072901E-5</v>
      </c>
      <c r="G8" s="5">
        <v>1.8947581250799299E-5</v>
      </c>
      <c r="H8" s="5">
        <v>3.6794880954068402E-5</v>
      </c>
      <c r="I8" s="3" t="s">
        <v>32</v>
      </c>
      <c r="K8" s="4">
        <v>45141.677083333336</v>
      </c>
      <c r="L8" s="2">
        <v>0.376777213</v>
      </c>
      <c r="M8" s="5">
        <v>1.18494107362003E-5</v>
      </c>
      <c r="N8" s="5">
        <v>8.8312113499883297E-6</v>
      </c>
      <c r="O8" s="3">
        <v>3.2839281990475102E-4</v>
      </c>
      <c r="P8" s="5">
        <v>1.39205551811642E-5</v>
      </c>
      <c r="Q8" s="5">
        <v>9.32920699471087E-6</v>
      </c>
      <c r="R8" s="5">
        <v>2.4626765332813401E-5</v>
      </c>
      <c r="S8" s="3" t="s">
        <v>94</v>
      </c>
      <c r="AJ8" s="7">
        <f t="shared" si="1"/>
        <v>1.4394365654148733</v>
      </c>
      <c r="AK8" s="7">
        <f t="shared" si="2"/>
        <v>1.2122713639881819</v>
      </c>
      <c r="AL8" s="7">
        <f t="shared" si="3"/>
        <v>3.0731707317073149</v>
      </c>
      <c r="AM8" s="7">
        <f t="shared" si="4"/>
        <v>1.2144659161144622</v>
      </c>
      <c r="AN8" s="7">
        <f t="shared" si="5"/>
        <v>1.8522332976069478</v>
      </c>
      <c r="AO8" s="7">
        <f t="shared" si="6"/>
        <v>1.3488490290980917</v>
      </c>
    </row>
    <row r="9" spans="1:41" x14ac:dyDescent="0.25">
      <c r="A9" s="4">
        <v>45189.588194444441</v>
      </c>
      <c r="B9" s="2">
        <v>0.37497654782332401</v>
      </c>
      <c r="C9" s="5">
        <v>1.88450378444053E-5</v>
      </c>
      <c r="D9" s="5">
        <v>1.1907082800969201E-5</v>
      </c>
      <c r="E9" s="6">
        <v>5.4444072773682402E-4</v>
      </c>
      <c r="F9" s="5">
        <v>1.8741931464072901E-5</v>
      </c>
      <c r="G9" s="5">
        <v>1.8947581250799299E-5</v>
      </c>
      <c r="H9" s="5">
        <v>3.6794880954068402E-5</v>
      </c>
      <c r="I9" s="3" t="s">
        <v>32</v>
      </c>
      <c r="K9" s="4">
        <v>45143.541666666664</v>
      </c>
      <c r="L9" s="2">
        <v>0.376777213</v>
      </c>
      <c r="M9" s="5">
        <v>1.2223235155927599E-5</v>
      </c>
      <c r="N9" s="5">
        <v>9.0499635309524507E-6</v>
      </c>
      <c r="O9" s="3">
        <v>3.0246707096490198E-4</v>
      </c>
      <c r="P9" s="5">
        <v>1.4262931882435099E-5</v>
      </c>
      <c r="Q9" s="5">
        <v>9.7664282379617399E-6</v>
      </c>
      <c r="R9" s="5">
        <v>2.48349739636668E-5</v>
      </c>
      <c r="S9" s="3" t="s">
        <v>95</v>
      </c>
      <c r="AJ9" s="7">
        <f t="shared" si="1"/>
        <v>1.5903776368248552</v>
      </c>
      <c r="AK9" s="7">
        <f t="shared" si="2"/>
        <v>1.3482955315054186</v>
      </c>
      <c r="AL9" s="7">
        <f t="shared" si="3"/>
        <v>1.6578947368421051</v>
      </c>
      <c r="AM9" s="7">
        <f t="shared" si="4"/>
        <v>1.3463494250166452</v>
      </c>
      <c r="AN9" s="7">
        <f t="shared" si="5"/>
        <v>2.0309959101069897</v>
      </c>
      <c r="AO9" s="7">
        <f t="shared" si="6"/>
        <v>1.4941012535268632</v>
      </c>
    </row>
    <row r="10" spans="1:41" x14ac:dyDescent="0.25">
      <c r="A10" s="4">
        <v>45189.588194444441</v>
      </c>
      <c r="B10" s="2">
        <v>0.37497654782332401</v>
      </c>
      <c r="C10" s="5">
        <v>1.88450378444053E-5</v>
      </c>
      <c r="D10" s="5">
        <v>1.1907082800969201E-5</v>
      </c>
      <c r="E10" s="6">
        <v>5.4444072773682402E-4</v>
      </c>
      <c r="F10" s="5">
        <v>1.8741931464072901E-5</v>
      </c>
      <c r="G10" s="5">
        <v>1.8947581250799299E-5</v>
      </c>
      <c r="H10" s="5">
        <v>3.6794880954068402E-5</v>
      </c>
      <c r="I10" s="3" t="s">
        <v>32</v>
      </c>
      <c r="K10" s="4">
        <v>45143.572916666664</v>
      </c>
      <c r="L10" s="2">
        <v>0.376777213</v>
      </c>
      <c r="M10" s="5">
        <v>1.2763034451087001E-5</v>
      </c>
      <c r="N10" s="5">
        <v>9.2237204282548107E-6</v>
      </c>
      <c r="O10" s="3">
        <v>3.3703473621803402E-4</v>
      </c>
      <c r="P10" s="5">
        <v>1.4534597526122501E-5</v>
      </c>
      <c r="Q10" s="5">
        <v>1.0702111766818099E-5</v>
      </c>
      <c r="R10" s="5">
        <v>2.5200359649271599E-5</v>
      </c>
      <c r="S10" s="3" t="s">
        <v>96</v>
      </c>
      <c r="AJ10" s="7">
        <f t="shared" si="1"/>
        <v>1.5417389589585446</v>
      </c>
      <c r="AK10" s="7">
        <f t="shared" si="2"/>
        <v>1.3157050589480173</v>
      </c>
      <c r="AL10" s="7">
        <f t="shared" si="3"/>
        <v>1.8000000000000016</v>
      </c>
      <c r="AM10" s="7">
        <f t="shared" si="4"/>
        <v>1.3140307770209378</v>
      </c>
      <c r="AN10" s="7">
        <f t="shared" si="5"/>
        <v>1.9400727460578435</v>
      </c>
      <c r="AO10" s="7">
        <f t="shared" si="6"/>
        <v>1.4815751773244767</v>
      </c>
    </row>
    <row r="11" spans="1:41" x14ac:dyDescent="0.25">
      <c r="A11" s="4">
        <v>45189.588194444441</v>
      </c>
      <c r="B11" s="2">
        <v>0.37497654782332401</v>
      </c>
      <c r="C11" s="5">
        <v>1.88450378444053E-5</v>
      </c>
      <c r="D11" s="5">
        <v>1.1907082800969201E-5</v>
      </c>
      <c r="E11" s="6">
        <v>5.4444072773682402E-4</v>
      </c>
      <c r="F11" s="5">
        <v>1.8741931464072901E-5</v>
      </c>
      <c r="G11" s="5">
        <v>1.8947581250799299E-5</v>
      </c>
      <c r="H11" s="5">
        <v>3.6794880954068402E-5</v>
      </c>
      <c r="I11" s="3" t="s">
        <v>32</v>
      </c>
      <c r="K11" s="4">
        <v>45143.604166666664</v>
      </c>
      <c r="L11" s="2">
        <v>0.376777213</v>
      </c>
      <c r="M11" s="5">
        <v>1.22875391715509E-5</v>
      </c>
      <c r="N11" s="5">
        <v>9.0958741196205603E-6</v>
      </c>
      <c r="O11" s="3">
        <v>2.7005988479009098E-4</v>
      </c>
      <c r="P11" s="5">
        <v>1.4323382914739099E-5</v>
      </c>
      <c r="Q11" s="5">
        <v>9.8390524055763403E-6</v>
      </c>
      <c r="R11" s="5">
        <v>2.4944956625353998E-5</v>
      </c>
      <c r="S11" s="3" t="s">
        <v>97</v>
      </c>
      <c r="AJ11" s="7">
        <f t="shared" si="1"/>
        <v>1.4765327098839185</v>
      </c>
      <c r="AK11" s="7">
        <f t="shared" si="2"/>
        <v>1.2909197425904744</v>
      </c>
      <c r="AL11" s="7">
        <f t="shared" si="3"/>
        <v>1.615384615384615</v>
      </c>
      <c r="AM11" s="7">
        <f t="shared" si="4"/>
        <v>1.289470274659392</v>
      </c>
      <c r="AN11" s="7">
        <f t="shared" si="5"/>
        <v>1.7704525670855242</v>
      </c>
      <c r="AO11" s="7">
        <f t="shared" si="6"/>
        <v>1.4600934854170597</v>
      </c>
    </row>
    <row r="12" spans="1:41" x14ac:dyDescent="0.25">
      <c r="A12" s="4">
        <v>45189.588888888888</v>
      </c>
      <c r="B12" s="2">
        <v>0.39573120856100902</v>
      </c>
      <c r="C12" s="5">
        <v>1.90134334671753E-5</v>
      </c>
      <c r="D12" s="5">
        <v>1.17680658520211E-5</v>
      </c>
      <c r="E12" s="6">
        <v>4.7746587630888201E-4</v>
      </c>
      <c r="F12" s="5">
        <v>1.85315482535712E-5</v>
      </c>
      <c r="G12" s="5">
        <v>1.9483402081028001E-5</v>
      </c>
      <c r="H12" s="5">
        <v>3.6304853892261698E-5</v>
      </c>
      <c r="I12" s="3" t="s">
        <v>32</v>
      </c>
      <c r="K12" s="4">
        <v>45145.447916666664</v>
      </c>
      <c r="L12" s="2">
        <v>0.39953381599999999</v>
      </c>
      <c r="M12" s="5">
        <v>1.176430086375E-5</v>
      </c>
      <c r="N12" s="5">
        <v>8.5035280751777103E-6</v>
      </c>
      <c r="O12" s="3">
        <v>4.32095815664146E-4</v>
      </c>
      <c r="P12" s="5">
        <v>1.34059824125186E-5</v>
      </c>
      <c r="Q12" s="5">
        <v>9.8527452315904302E-6</v>
      </c>
      <c r="R12" s="5">
        <v>2.3605232172209099E-5</v>
      </c>
      <c r="S12" s="3" t="s">
        <v>98</v>
      </c>
      <c r="AJ12" s="7">
        <f t="shared" si="1"/>
        <v>1.5336706220263248</v>
      </c>
      <c r="AK12" s="7">
        <f t="shared" si="2"/>
        <v>1.3090641585820353</v>
      </c>
      <c r="AL12" s="7">
        <f t="shared" si="3"/>
        <v>2.0160000000000022</v>
      </c>
      <c r="AM12" s="7">
        <f t="shared" si="4"/>
        <v>1.3084849840038146</v>
      </c>
      <c r="AN12" s="7">
        <f t="shared" si="5"/>
        <v>1.9257526507390739</v>
      </c>
      <c r="AO12" s="7">
        <f t="shared" si="6"/>
        <v>1.4750428917030134</v>
      </c>
    </row>
    <row r="13" spans="1:41" x14ac:dyDescent="0.25">
      <c r="A13" s="4">
        <v>45189.588888888888</v>
      </c>
      <c r="B13" s="2">
        <v>0.39573120856100902</v>
      </c>
      <c r="C13" s="5">
        <v>1.90134334671753E-5</v>
      </c>
      <c r="D13" s="5">
        <v>1.17680658520211E-5</v>
      </c>
      <c r="E13" s="6">
        <v>4.7746587630888201E-4</v>
      </c>
      <c r="F13" s="5">
        <v>1.85315482535712E-5</v>
      </c>
      <c r="G13" s="5">
        <v>1.9483402081028001E-5</v>
      </c>
      <c r="H13" s="5">
        <v>3.6304853892261698E-5</v>
      </c>
      <c r="I13" s="3" t="s">
        <v>32</v>
      </c>
      <c r="K13" s="4">
        <v>45145.510416666664</v>
      </c>
      <c r="L13" s="2">
        <v>0.39953381599999999</v>
      </c>
      <c r="M13" s="5">
        <v>1.1772383573177E-5</v>
      </c>
      <c r="N13" s="5">
        <v>8.4736316498365496E-6</v>
      </c>
      <c r="O13" s="3">
        <v>2.6141796847680798E-4</v>
      </c>
      <c r="P13" s="5">
        <v>1.3370494309183599E-5</v>
      </c>
      <c r="Q13" s="5">
        <v>9.9200677789440901E-6</v>
      </c>
      <c r="R13" s="5">
        <v>2.3454204015199001E-5</v>
      </c>
      <c r="S13" s="3" t="s">
        <v>99</v>
      </c>
      <c r="AJ13" s="7">
        <f t="shared" si="1"/>
        <v>1.6161974848639291</v>
      </c>
      <c r="AK13" s="7">
        <f t="shared" si="2"/>
        <v>1.383903921758401</v>
      </c>
      <c r="AL13" s="7">
        <f t="shared" si="3"/>
        <v>1.1050000000000015</v>
      </c>
      <c r="AM13" s="7">
        <f t="shared" si="4"/>
        <v>1.3823342208972549</v>
      </c>
      <c r="AN13" s="7">
        <f t="shared" si="5"/>
        <v>1.9774592383206269</v>
      </c>
      <c r="AO13" s="7">
        <f t="shared" si="6"/>
        <v>1.5380002885548447</v>
      </c>
    </row>
    <row r="14" spans="1:41" x14ac:dyDescent="0.25">
      <c r="A14" s="4">
        <v>45189.588888888888</v>
      </c>
      <c r="B14" s="2">
        <v>0.39573120856100902</v>
      </c>
      <c r="C14" s="5">
        <v>1.90134334671753E-5</v>
      </c>
      <c r="D14" s="5">
        <v>1.17680658520211E-5</v>
      </c>
      <c r="E14" s="6">
        <v>4.7746587630888201E-4</v>
      </c>
      <c r="F14" s="5">
        <v>1.85315482535712E-5</v>
      </c>
      <c r="G14" s="5">
        <v>1.9483402081028001E-5</v>
      </c>
      <c r="H14" s="5">
        <v>3.6304853892261698E-5</v>
      </c>
      <c r="I14" s="3" t="s">
        <v>32</v>
      </c>
      <c r="K14" s="4">
        <v>45148.010416666664</v>
      </c>
      <c r="L14" s="2">
        <v>0.39953381599999999</v>
      </c>
      <c r="M14" s="5">
        <v>1.1155301283157499E-5</v>
      </c>
      <c r="N14" s="5">
        <v>7.8797236263774998E-6</v>
      </c>
      <c r="O14" s="3">
        <v>3.80244317784449E-4</v>
      </c>
      <c r="P14" s="5">
        <v>1.2434722857851199E-5</v>
      </c>
      <c r="Q14" s="5">
        <v>9.7086854022988994E-6</v>
      </c>
      <c r="R14" s="5">
        <v>2.1615291757642601E-5</v>
      </c>
      <c r="S14" s="3" t="s">
        <v>100</v>
      </c>
      <c r="AJ14" s="7">
        <f t="shared" si="1"/>
        <v>1.6150878323822884</v>
      </c>
      <c r="AK14" s="7">
        <f t="shared" si="2"/>
        <v>1.3887865720771682</v>
      </c>
      <c r="AL14" s="7">
        <f t="shared" si="3"/>
        <v>1.8264462809917406</v>
      </c>
      <c r="AM14" s="7">
        <f t="shared" si="4"/>
        <v>1.3860032265854749</v>
      </c>
      <c r="AN14" s="7">
        <f t="shared" si="5"/>
        <v>1.9640392097302635</v>
      </c>
      <c r="AO14" s="7">
        <f t="shared" si="6"/>
        <v>1.5479039010974367</v>
      </c>
    </row>
    <row r="15" spans="1:41" x14ac:dyDescent="0.25">
      <c r="A15" s="4">
        <v>45189.588888888888</v>
      </c>
      <c r="B15" s="2">
        <v>0.39573120856100902</v>
      </c>
      <c r="C15" s="5">
        <v>1.90134334671753E-5</v>
      </c>
      <c r="D15" s="5">
        <v>1.17680658520211E-5</v>
      </c>
      <c r="E15" s="6">
        <v>4.7746587630888201E-4</v>
      </c>
      <c r="F15" s="5">
        <v>1.85315482535712E-5</v>
      </c>
      <c r="G15" s="5">
        <v>1.9483402081028001E-5</v>
      </c>
      <c r="H15" s="5">
        <v>3.6304853892261698E-5</v>
      </c>
      <c r="I15" s="3" t="s">
        <v>32</v>
      </c>
      <c r="K15" s="4">
        <v>45148.291666666664</v>
      </c>
      <c r="L15" s="2">
        <v>0.39953381599999999</v>
      </c>
      <c r="M15" s="5">
        <v>1.21555223789909E-5</v>
      </c>
      <c r="N15" s="5">
        <v>8.5108921571154908E-6</v>
      </c>
      <c r="O15" s="3">
        <v>3.8672575501941101E-4</v>
      </c>
      <c r="P15" s="5">
        <v>1.34237752694392E-5</v>
      </c>
      <c r="Q15" s="5">
        <v>1.0738496233332299E-5</v>
      </c>
      <c r="R15" s="5">
        <v>2.34333456593813E-5</v>
      </c>
      <c r="S15" s="3" t="s">
        <v>101</v>
      </c>
      <c r="AJ15" s="7">
        <f t="shared" si="1"/>
        <v>1.7044302959241602</v>
      </c>
      <c r="AK15" s="7">
        <f t="shared" si="2"/>
        <v>1.4934617519613649</v>
      </c>
      <c r="AL15" s="7">
        <f t="shared" si="3"/>
        <v>1.2556818181818183</v>
      </c>
      <c r="AM15" s="7">
        <f t="shared" si="4"/>
        <v>1.4903064962055432</v>
      </c>
      <c r="AN15" s="7">
        <f t="shared" si="5"/>
        <v>2.0068012582233394</v>
      </c>
      <c r="AO15" s="7">
        <f t="shared" si="6"/>
        <v>1.6795912032704927</v>
      </c>
    </row>
    <row r="16" spans="1:41" x14ac:dyDescent="0.25">
      <c r="A16" s="4">
        <v>45189.588888888888</v>
      </c>
      <c r="B16" s="2">
        <v>0.39573120856100902</v>
      </c>
      <c r="C16" s="5">
        <v>1.90134334671753E-5</v>
      </c>
      <c r="D16" s="5">
        <v>1.17680658520211E-5</v>
      </c>
      <c r="E16" s="6">
        <v>4.7746587630888201E-4</v>
      </c>
      <c r="F16" s="5">
        <v>1.85315482535712E-5</v>
      </c>
      <c r="G16" s="5">
        <v>1.9483402081028001E-5</v>
      </c>
      <c r="H16" s="5">
        <v>3.6304853892261698E-5</v>
      </c>
      <c r="I16" s="3" t="s">
        <v>32</v>
      </c>
      <c r="K16" s="4">
        <v>45148.645833333336</v>
      </c>
      <c r="L16" s="2">
        <v>0.39953381599999999</v>
      </c>
      <c r="M16" s="5">
        <v>1.22642636444682E-5</v>
      </c>
      <c r="N16" s="5">
        <v>8.9783737786361207E-6</v>
      </c>
      <c r="O16" s="3">
        <v>3.7592335962780698E-4</v>
      </c>
      <c r="P16" s="5">
        <v>1.41442861998561E-5</v>
      </c>
      <c r="Q16" s="5">
        <v>1.00380647995848E-5</v>
      </c>
      <c r="R16" s="5">
        <v>2.4294647269364902E-5</v>
      </c>
      <c r="S16" s="3" t="s">
        <v>102</v>
      </c>
      <c r="AJ16" s="7">
        <f t="shared" si="1"/>
        <v>1.5641806970005112</v>
      </c>
      <c r="AK16" s="7">
        <f t="shared" si="2"/>
        <v>1.3827064936056632</v>
      </c>
      <c r="AL16" s="7">
        <f t="shared" si="3"/>
        <v>1.2346368715083806</v>
      </c>
      <c r="AM16" s="7">
        <f t="shared" si="4"/>
        <v>1.3805019736705846</v>
      </c>
      <c r="AN16" s="7">
        <f t="shared" si="5"/>
        <v>1.8143510653336645</v>
      </c>
      <c r="AO16" s="7">
        <f t="shared" si="6"/>
        <v>1.5492817124782787</v>
      </c>
    </row>
    <row r="17" spans="1:41" x14ac:dyDescent="0.25">
      <c r="A17" s="4">
        <v>45189.638194444444</v>
      </c>
      <c r="B17" s="2">
        <v>0.452968146379014</v>
      </c>
      <c r="C17" s="5">
        <v>2.4865280330097399E-5</v>
      </c>
      <c r="D17" s="5">
        <v>1.6175033284986099E-5</v>
      </c>
      <c r="E17" s="6">
        <v>7.84253905430426E-4</v>
      </c>
      <c r="F17" s="5">
        <v>2.5434742648810199E-5</v>
      </c>
      <c r="G17" s="5">
        <v>2.4282464787393301E-5</v>
      </c>
      <c r="H17" s="5">
        <v>4.87254193614906E-5</v>
      </c>
      <c r="I17" s="3" t="s">
        <v>7</v>
      </c>
      <c r="K17" s="4">
        <v>45140.541666666664</v>
      </c>
      <c r="L17" s="2">
        <v>0.44939223900000003</v>
      </c>
      <c r="M17" s="5">
        <v>1.17103991474925E-5</v>
      </c>
      <c r="N17" s="5">
        <v>8.6464234351696805E-6</v>
      </c>
      <c r="O17" s="3">
        <v>2.16047907832073E-4</v>
      </c>
      <c r="P17" s="5">
        <v>1.3625053832421099E-5</v>
      </c>
      <c r="Q17" s="5">
        <v>9.4140570981038905E-6</v>
      </c>
      <c r="R17" s="5">
        <v>2.3928058730989902E-5</v>
      </c>
      <c r="S17" s="3" t="s">
        <v>103</v>
      </c>
      <c r="AJ17" s="7">
        <f t="shared" si="1"/>
        <v>1.5503118669298432</v>
      </c>
      <c r="AK17" s="7">
        <f t="shared" si="2"/>
        <v>1.3107124009498248</v>
      </c>
      <c r="AL17" s="7">
        <f t="shared" si="3"/>
        <v>1.2701149425287375</v>
      </c>
      <c r="AM17" s="7">
        <f t="shared" si="4"/>
        <v>1.3101791063701564</v>
      </c>
      <c r="AN17" s="7">
        <f t="shared" si="5"/>
        <v>1.9409520131643185</v>
      </c>
      <c r="AO17" s="7">
        <f t="shared" si="6"/>
        <v>1.4943560813925232</v>
      </c>
    </row>
    <row r="18" spans="1:41" x14ac:dyDescent="0.25">
      <c r="A18" s="4">
        <v>45189.638194444444</v>
      </c>
      <c r="B18" s="2">
        <v>0.452968146379014</v>
      </c>
      <c r="C18" s="5">
        <v>2.4865280330097399E-5</v>
      </c>
      <c r="D18" s="5">
        <v>1.6175033284986099E-5</v>
      </c>
      <c r="E18" s="6">
        <v>7.84253905430426E-4</v>
      </c>
      <c r="F18" s="5">
        <v>2.5434742648810199E-5</v>
      </c>
      <c r="G18" s="5">
        <v>2.4282464787393301E-5</v>
      </c>
      <c r="H18" s="5">
        <v>4.87254193614906E-5</v>
      </c>
      <c r="I18" s="3" t="s">
        <v>7</v>
      </c>
      <c r="K18" s="4">
        <v>45141.739583333336</v>
      </c>
      <c r="L18" s="2">
        <v>0.44939223900000003</v>
      </c>
      <c r="M18" s="5">
        <v>1.15877895978313E-5</v>
      </c>
      <c r="N18" s="5">
        <v>8.6143893929626603E-6</v>
      </c>
      <c r="O18" s="3">
        <v>2.6573892663344999E-4</v>
      </c>
      <c r="P18" s="5">
        <v>1.35436032605697E-5</v>
      </c>
      <c r="Q18" s="5">
        <v>9.2262756049399703E-6</v>
      </c>
      <c r="R18" s="5">
        <v>2.3897207279963801E-5</v>
      </c>
      <c r="S18" s="3" t="s">
        <v>104</v>
      </c>
      <c r="AJ18" s="7">
        <f t="shared" si="1"/>
        <v>2.123350367217987</v>
      </c>
      <c r="AK18" s="7">
        <f t="shared" si="2"/>
        <v>1.8707195415844995</v>
      </c>
      <c r="AL18" s="7">
        <f t="shared" si="3"/>
        <v>3.6300000000000048</v>
      </c>
      <c r="AM18" s="7">
        <f t="shared" si="4"/>
        <v>1.8667627270791181</v>
      </c>
      <c r="AN18" s="7">
        <f t="shared" si="5"/>
        <v>2.5793836317695686</v>
      </c>
      <c r="AO18" s="7">
        <f t="shared" si="6"/>
        <v>2.0363298130150835</v>
      </c>
    </row>
    <row r="19" spans="1:41" x14ac:dyDescent="0.25">
      <c r="A19" s="4">
        <v>45189.638194444444</v>
      </c>
      <c r="B19" s="2">
        <v>0.452968146379014</v>
      </c>
      <c r="C19" s="5">
        <v>2.4865280330097399E-5</v>
      </c>
      <c r="D19" s="5">
        <v>1.6175033284986099E-5</v>
      </c>
      <c r="E19" s="6">
        <v>7.84253905430426E-4</v>
      </c>
      <c r="F19" s="5">
        <v>2.5434742648810199E-5</v>
      </c>
      <c r="G19" s="5">
        <v>2.4282464787393301E-5</v>
      </c>
      <c r="H19" s="5">
        <v>4.87254193614906E-5</v>
      </c>
      <c r="I19" s="3" t="s">
        <v>7</v>
      </c>
      <c r="K19" s="4">
        <v>45142.989583333336</v>
      </c>
      <c r="L19" s="2">
        <v>0.44939223900000003</v>
      </c>
      <c r="M19" s="5">
        <v>1.0684195468531801E-5</v>
      </c>
      <c r="N19" s="5">
        <v>7.9801418121096506E-6</v>
      </c>
      <c r="O19" s="3">
        <v>1.9876407520550701E-4</v>
      </c>
      <c r="P19" s="5">
        <v>1.2579283023381399E-5</v>
      </c>
      <c r="Q19" s="5">
        <v>8.3704838256386796E-6</v>
      </c>
      <c r="R19" s="5">
        <v>2.2132398582652199E-5</v>
      </c>
      <c r="S19" s="3" t="s">
        <v>105</v>
      </c>
      <c r="AJ19" s="7">
        <f t="shared" si="1"/>
        <v>2.1458173813193011</v>
      </c>
      <c r="AK19" s="7">
        <f t="shared" si="2"/>
        <v>1.8776761238817394</v>
      </c>
      <c r="AL19" s="7">
        <f t="shared" si="3"/>
        <v>2.9512195121951237</v>
      </c>
      <c r="AM19" s="7">
        <f t="shared" si="4"/>
        <v>1.8779893474035734</v>
      </c>
      <c r="AN19" s="7">
        <f t="shared" si="5"/>
        <v>2.6318815768295374</v>
      </c>
      <c r="AO19" s="7">
        <f t="shared" si="6"/>
        <v>2.0389587281332067</v>
      </c>
    </row>
    <row r="20" spans="1:41" x14ac:dyDescent="0.25">
      <c r="A20" s="4">
        <v>45189.638194444444</v>
      </c>
      <c r="B20" s="2">
        <v>0.452968146379014</v>
      </c>
      <c r="C20" s="5">
        <v>2.4865280330097399E-5</v>
      </c>
      <c r="D20" s="5">
        <v>1.6175033284986099E-5</v>
      </c>
      <c r="E20" s="6">
        <v>7.84253905430426E-4</v>
      </c>
      <c r="F20" s="5">
        <v>2.5434742648810199E-5</v>
      </c>
      <c r="G20" s="5">
        <v>2.4282464787393301E-5</v>
      </c>
      <c r="H20" s="5">
        <v>4.87254193614906E-5</v>
      </c>
      <c r="I20" s="3" t="s">
        <v>7</v>
      </c>
      <c r="K20" s="4">
        <v>45143.5</v>
      </c>
      <c r="L20" s="2">
        <v>0.44939223900000003</v>
      </c>
      <c r="M20" s="5">
        <v>1.14013024555368E-5</v>
      </c>
      <c r="N20" s="5">
        <v>8.5663403709211104E-6</v>
      </c>
      <c r="O20" s="3">
        <v>1.85801200735583E-4</v>
      </c>
      <c r="P20" s="5">
        <v>1.3497555586960699E-5</v>
      </c>
      <c r="Q20" s="5">
        <v>8.8201195505269795E-6</v>
      </c>
      <c r="R20" s="5">
        <v>2.3860876716923199E-5</v>
      </c>
      <c r="S20" s="3" t="s">
        <v>106</v>
      </c>
      <c r="AJ20" s="7">
        <f t="shared" si="1"/>
        <v>2.3272955276167679</v>
      </c>
      <c r="AK20" s="7">
        <f t="shared" si="2"/>
        <v>2.026910506833465</v>
      </c>
      <c r="AL20" s="7">
        <f t="shared" si="3"/>
        <v>3.9456521739130515</v>
      </c>
      <c r="AM20" s="7">
        <f t="shared" si="4"/>
        <v>2.0219548762464492</v>
      </c>
      <c r="AN20" s="7">
        <f t="shared" si="5"/>
        <v>2.9009631095655948</v>
      </c>
      <c r="AO20" s="7">
        <f t="shared" si="6"/>
        <v>2.2015426470623263</v>
      </c>
    </row>
    <row r="21" spans="1:41" x14ac:dyDescent="0.25">
      <c r="A21" s="4">
        <v>45189.638194444444</v>
      </c>
      <c r="B21" s="2">
        <v>0.452968146379014</v>
      </c>
      <c r="C21" s="5">
        <v>2.4865280330097399E-5</v>
      </c>
      <c r="D21" s="5">
        <v>1.6175033284986099E-5</v>
      </c>
      <c r="E21" s="6">
        <v>7.84253905430426E-4</v>
      </c>
      <c r="F21" s="5">
        <v>2.5434742648810199E-5</v>
      </c>
      <c r="G21" s="5">
        <v>2.4282464787393301E-5</v>
      </c>
      <c r="H21" s="5">
        <v>4.87254193614906E-5</v>
      </c>
      <c r="I21" s="3" t="s">
        <v>7</v>
      </c>
      <c r="K21" s="4">
        <v>45143.75</v>
      </c>
      <c r="L21" s="2">
        <v>0.44939223900000003</v>
      </c>
      <c r="M21" s="5">
        <v>1.1648389433414099E-5</v>
      </c>
      <c r="N21" s="5">
        <v>8.4666341798058493E-6</v>
      </c>
      <c r="O21" s="3">
        <v>3.3703473621803402E-4</v>
      </c>
      <c r="P21" s="5">
        <v>1.33498236765657E-5</v>
      </c>
      <c r="Q21" s="5">
        <v>9.6515086898065197E-6</v>
      </c>
      <c r="R21" s="5">
        <v>2.3364677068823399E-5</v>
      </c>
      <c r="S21" s="3" t="s">
        <v>107</v>
      </c>
      <c r="AJ21" s="7">
        <f t="shared" si="1"/>
        <v>2.1809157705505924</v>
      </c>
      <c r="AK21" s="7">
        <f t="shared" si="2"/>
        <v>1.888208101080491</v>
      </c>
      <c r="AL21" s="7">
        <f t="shared" si="3"/>
        <v>4.2209302325581399</v>
      </c>
      <c r="AM21" s="7">
        <f t="shared" si="4"/>
        <v>1.884396214184249</v>
      </c>
      <c r="AN21" s="7">
        <f t="shared" si="5"/>
        <v>2.7530766049472071</v>
      </c>
      <c r="AO21" s="7">
        <f t="shared" si="6"/>
        <v>2.0420632460219852</v>
      </c>
    </row>
    <row r="22" spans="1:41" x14ac:dyDescent="0.25">
      <c r="A22" s="4">
        <v>45189.64166666667</v>
      </c>
      <c r="B22" s="2">
        <v>0.49948880760551201</v>
      </c>
      <c r="C22" s="5">
        <v>3.2729522036105199E-5</v>
      </c>
      <c r="D22" s="5">
        <v>2.05532327060969E-5</v>
      </c>
      <c r="E22" s="6">
        <v>9.48450315382802E-4</v>
      </c>
      <c r="F22" s="5">
        <v>3.2301035006125902E-5</v>
      </c>
      <c r="G22" s="5">
        <v>3.3152469622410902E-5</v>
      </c>
      <c r="H22" s="5">
        <v>6.34588788355474E-5</v>
      </c>
      <c r="I22" s="3" t="s">
        <v>7</v>
      </c>
      <c r="K22" s="4">
        <v>45124.739583333336</v>
      </c>
      <c r="L22" s="2">
        <v>0.50323377899999999</v>
      </c>
      <c r="M22" s="5">
        <v>1.0337988599848E-5</v>
      </c>
      <c r="N22" s="5">
        <v>7.8853983541153495E-6</v>
      </c>
      <c r="O22" s="3">
        <v>1.10184432994357E-4</v>
      </c>
      <c r="P22" s="5">
        <v>1.24410059973563E-5</v>
      </c>
      <c r="Q22" s="5">
        <v>7.6791486055515793E-6</v>
      </c>
      <c r="R22" s="5">
        <v>2.1743408675047499E-5</v>
      </c>
      <c r="S22" s="3" t="s">
        <v>108</v>
      </c>
      <c r="AJ22" s="7">
        <f t="shared" si="1"/>
        <v>2.1346539341112565</v>
      </c>
      <c r="AK22" s="7">
        <f t="shared" si="2"/>
        <v>1.9104443325974683</v>
      </c>
      <c r="AL22" s="7">
        <f t="shared" si="3"/>
        <v>2.3269230769230789</v>
      </c>
      <c r="AM22" s="7">
        <f t="shared" si="4"/>
        <v>1.9052493325030491</v>
      </c>
      <c r="AN22" s="7">
        <f t="shared" si="5"/>
        <v>2.5159242526548544</v>
      </c>
      <c r="AO22" s="7">
        <f t="shared" si="6"/>
        <v>2.085430892880058</v>
      </c>
    </row>
    <row r="23" spans="1:41" x14ac:dyDescent="0.25">
      <c r="A23" s="4">
        <v>45189.64166666667</v>
      </c>
      <c r="B23" s="2">
        <v>0.49948880760551201</v>
      </c>
      <c r="C23" s="5">
        <v>3.2729522036105199E-5</v>
      </c>
      <c r="D23" s="5">
        <v>2.05532327060969E-5</v>
      </c>
      <c r="E23" s="6">
        <v>9.48450315382802E-4</v>
      </c>
      <c r="F23" s="5">
        <v>3.2301035006125902E-5</v>
      </c>
      <c r="G23" s="5">
        <v>3.3152469622410902E-5</v>
      </c>
      <c r="H23" s="5">
        <v>6.34588788355474E-5</v>
      </c>
      <c r="I23" s="3" t="s">
        <v>7</v>
      </c>
      <c r="K23" s="4">
        <v>45125.614583333336</v>
      </c>
      <c r="L23" s="2">
        <v>0.50323377899999999</v>
      </c>
      <c r="M23" s="5">
        <v>1.18673133830224E-5</v>
      </c>
      <c r="N23" s="5">
        <v>8.9834965472443503E-6</v>
      </c>
      <c r="O23" s="3">
        <v>2.0308503336214799E-4</v>
      </c>
      <c r="P23" s="5">
        <v>1.41441845908959E-5</v>
      </c>
      <c r="Q23" s="5">
        <v>9.0337233700550803E-6</v>
      </c>
      <c r="R23" s="5">
        <v>2.4765582034495399E-5</v>
      </c>
      <c r="S23" s="3" t="s">
        <v>109</v>
      </c>
      <c r="AJ23" s="7">
        <f t="shared" si="1"/>
        <v>3.1659468106384274</v>
      </c>
      <c r="AK23" s="7">
        <f t="shared" si="2"/>
        <v>2.6064926314559962</v>
      </c>
      <c r="AL23" s="7">
        <f t="shared" si="3"/>
        <v>8.6078431372549336</v>
      </c>
      <c r="AM23" s="7">
        <f t="shared" si="4"/>
        <v>2.596336261954205</v>
      </c>
      <c r="AN23" s="7">
        <f t="shared" si="5"/>
        <v>4.3172064151022669</v>
      </c>
      <c r="AO23" s="7">
        <f t="shared" si="6"/>
        <v>2.9185340616980686</v>
      </c>
    </row>
    <row r="24" spans="1:41" x14ac:dyDescent="0.25">
      <c r="A24" s="4">
        <v>45189.64166666667</v>
      </c>
      <c r="B24" s="2">
        <v>0.49948880760551201</v>
      </c>
      <c r="C24" s="5">
        <v>3.2729522036105199E-5</v>
      </c>
      <c r="D24" s="5">
        <v>2.05532327060969E-5</v>
      </c>
      <c r="E24" s="6">
        <v>9.48450315382802E-4</v>
      </c>
      <c r="F24" s="5">
        <v>3.2301035006125902E-5</v>
      </c>
      <c r="G24" s="5">
        <v>3.3152469622410902E-5</v>
      </c>
      <c r="H24" s="5">
        <v>6.34588788355474E-5</v>
      </c>
      <c r="I24" s="3" t="s">
        <v>7</v>
      </c>
      <c r="K24" s="4">
        <v>45125.75</v>
      </c>
      <c r="L24" s="2">
        <v>0.50323377899999999</v>
      </c>
      <c r="M24" s="5">
        <v>1.0313337596970499E-5</v>
      </c>
      <c r="N24" s="5">
        <v>7.6596813634240602E-6</v>
      </c>
      <c r="O24" s="3">
        <v>2.3333174045863899E-4</v>
      </c>
      <c r="P24" s="5">
        <v>1.2091352270409799E-5</v>
      </c>
      <c r="Q24" s="5">
        <v>8.1565331293804397E-6</v>
      </c>
      <c r="R24" s="5">
        <v>2.1024073626398802E-5</v>
      </c>
      <c r="S24" s="3" t="s">
        <v>110</v>
      </c>
      <c r="AJ24" s="7">
        <f t="shared" si="1"/>
        <v>2.7579554849312959</v>
      </c>
      <c r="AK24" s="7">
        <f t="shared" si="2"/>
        <v>2.2878878617036391</v>
      </c>
      <c r="AL24" s="7">
        <f t="shared" si="3"/>
        <v>4.6702127659574693</v>
      </c>
      <c r="AM24" s="7">
        <f t="shared" si="4"/>
        <v>2.2836972183548077</v>
      </c>
      <c r="AN24" s="7">
        <f t="shared" si="5"/>
        <v>3.6698566321285049</v>
      </c>
      <c r="AO24" s="7">
        <f t="shared" si="6"/>
        <v>2.5623818873772888</v>
      </c>
    </row>
    <row r="25" spans="1:41" x14ac:dyDescent="0.25">
      <c r="A25" s="4">
        <v>45189.64166666667</v>
      </c>
      <c r="B25" s="2">
        <v>0.49948880760551201</v>
      </c>
      <c r="C25" s="5">
        <v>3.2729522036105199E-5</v>
      </c>
      <c r="D25" s="5">
        <v>2.05532327060969E-5</v>
      </c>
      <c r="E25" s="6">
        <v>9.48450315382802E-4</v>
      </c>
      <c r="F25" s="5">
        <v>3.2301035006125902E-5</v>
      </c>
      <c r="G25" s="5">
        <v>3.3152469622410902E-5</v>
      </c>
      <c r="H25" s="5">
        <v>6.34588788355474E-5</v>
      </c>
      <c r="I25" s="3" t="s">
        <v>7</v>
      </c>
      <c r="K25" s="4">
        <v>45125.802083333336</v>
      </c>
      <c r="L25" s="2">
        <v>0.50323377899999999</v>
      </c>
      <c r="M25" s="5">
        <v>1.03549871740316E-5</v>
      </c>
      <c r="N25" s="5">
        <v>7.7111360386158999E-6</v>
      </c>
      <c r="O25" s="3">
        <v>1.771592844223E-4</v>
      </c>
      <c r="P25" s="5">
        <v>1.21619352606039E-5</v>
      </c>
      <c r="Q25" s="5">
        <v>8.1571137693703098E-6</v>
      </c>
      <c r="R25" s="5">
        <v>2.1237476060084999E-5</v>
      </c>
      <c r="S25" s="3" t="s">
        <v>111</v>
      </c>
      <c r="AJ25" s="7">
        <f t="shared" si="1"/>
        <v>3.1735140761531322</v>
      </c>
      <c r="AK25" s="7">
        <f t="shared" si="2"/>
        <v>2.6833012668439662</v>
      </c>
      <c r="AL25" s="7">
        <f t="shared" si="3"/>
        <v>4.0648148148148184</v>
      </c>
      <c r="AM25" s="7">
        <f t="shared" si="4"/>
        <v>2.6714162554980425</v>
      </c>
      <c r="AN25" s="7">
        <f t="shared" si="5"/>
        <v>4.0645295122989493</v>
      </c>
      <c r="AO25" s="7">
        <f t="shared" si="6"/>
        <v>3.0183912006408451</v>
      </c>
    </row>
    <row r="26" spans="1:41" x14ac:dyDescent="0.25">
      <c r="A26" s="4">
        <v>45189.64166666667</v>
      </c>
      <c r="B26" s="2">
        <v>0.49948880760551201</v>
      </c>
      <c r="C26" s="5">
        <v>3.2729522036105199E-5</v>
      </c>
      <c r="D26" s="5">
        <v>2.05532327060969E-5</v>
      </c>
      <c r="E26" s="6">
        <v>9.48450315382802E-4</v>
      </c>
      <c r="F26" s="5">
        <v>3.2301035006125902E-5</v>
      </c>
      <c r="G26" s="5">
        <v>3.3152469622410902E-5</v>
      </c>
      <c r="H26" s="5">
        <v>6.34588788355474E-5</v>
      </c>
      <c r="I26" s="3" t="s">
        <v>7</v>
      </c>
      <c r="K26" s="4">
        <v>45125.833333333336</v>
      </c>
      <c r="L26" s="2">
        <v>0.50323377899999999</v>
      </c>
      <c r="M26" s="5">
        <v>1.06516879853795E-5</v>
      </c>
      <c r="N26" s="5">
        <v>8.0601554732132195E-6</v>
      </c>
      <c r="O26" s="3">
        <v>1.4907305640413001E-4</v>
      </c>
      <c r="P26" s="5">
        <v>1.27053155803973E-5</v>
      </c>
      <c r="Q26" s="5">
        <v>8.0926363182176503E-6</v>
      </c>
      <c r="R26" s="5">
        <v>2.23406371335024E-5</v>
      </c>
      <c r="S26" s="3" t="s">
        <v>112</v>
      </c>
      <c r="AJ26" s="7">
        <f t="shared" si="1"/>
        <v>3.1607496451743375</v>
      </c>
      <c r="AK26" s="7">
        <f t="shared" si="2"/>
        <v>2.6653962014377943</v>
      </c>
      <c r="AL26" s="7">
        <f t="shared" si="3"/>
        <v>5.3536585365853702</v>
      </c>
      <c r="AM26" s="7">
        <f t="shared" si="4"/>
        <v>2.6559124279142066</v>
      </c>
      <c r="AN26" s="7">
        <f t="shared" si="5"/>
        <v>4.064240190800982</v>
      </c>
      <c r="AO26" s="7">
        <f t="shared" si="6"/>
        <v>2.9880612298754214</v>
      </c>
    </row>
    <row r="27" spans="1:41" x14ac:dyDescent="0.25">
      <c r="A27" s="4">
        <v>45190.444444444445</v>
      </c>
      <c r="B27" s="2">
        <v>0.559252924609559</v>
      </c>
      <c r="C27" s="5">
        <v>3.20023145662864E-5</v>
      </c>
      <c r="D27" s="5">
        <v>1.9515627927160801E-5</v>
      </c>
      <c r="E27" s="6">
        <v>7.4536528202065304E-4</v>
      </c>
      <c r="F27" s="5">
        <v>3.0676662889353397E-5</v>
      </c>
      <c r="G27" s="5">
        <v>3.3275194984422199E-5</v>
      </c>
      <c r="H27" s="5">
        <v>6.05125252374507E-5</v>
      </c>
      <c r="I27" s="3" t="s">
        <v>8</v>
      </c>
      <c r="K27" s="4">
        <v>45121.75</v>
      </c>
      <c r="L27" s="2">
        <v>0.56216848100000005</v>
      </c>
      <c r="M27" s="5">
        <v>1.0240113075910099E-5</v>
      </c>
      <c r="N27" s="5">
        <v>7.9291476471975499E-6</v>
      </c>
      <c r="O27" s="3">
        <v>1.9012215889222401E-4</v>
      </c>
      <c r="P27" s="5">
        <v>1.25027539353358E-5</v>
      </c>
      <c r="Q27" s="5">
        <v>7.3075285509042097E-6</v>
      </c>
      <c r="R27" s="5">
        <v>2.1718746636232202E-5</v>
      </c>
      <c r="S27" s="3" t="s">
        <v>113</v>
      </c>
      <c r="AJ27" s="7">
        <f t="shared" si="1"/>
        <v>3.0727075446661334</v>
      </c>
      <c r="AK27" s="7">
        <f t="shared" si="2"/>
        <v>2.549979683940669</v>
      </c>
      <c r="AL27" s="7">
        <f t="shared" si="3"/>
        <v>6.3623188405797357</v>
      </c>
      <c r="AM27" s="7">
        <f t="shared" si="4"/>
        <v>2.5423244941638701</v>
      </c>
      <c r="AN27" s="7">
        <f t="shared" si="5"/>
        <v>4.0966217087724655</v>
      </c>
      <c r="AO27" s="7">
        <f t="shared" si="6"/>
        <v>2.840513386271486</v>
      </c>
    </row>
    <row r="28" spans="1:41" x14ac:dyDescent="0.25">
      <c r="A28" s="4">
        <v>45190.444444444445</v>
      </c>
      <c r="B28" s="2">
        <v>0.559252924609559</v>
      </c>
      <c r="C28" s="5">
        <v>3.20023145662864E-5</v>
      </c>
      <c r="D28" s="5">
        <v>1.9515627927160801E-5</v>
      </c>
      <c r="E28" s="6">
        <v>7.4536528202065304E-4</v>
      </c>
      <c r="F28" s="5">
        <v>3.0676662889353397E-5</v>
      </c>
      <c r="G28" s="5">
        <v>3.3275194984422199E-5</v>
      </c>
      <c r="H28" s="5">
        <v>6.05125252374507E-5</v>
      </c>
      <c r="I28" s="3" t="s">
        <v>8</v>
      </c>
      <c r="K28" s="4">
        <v>45121.8125</v>
      </c>
      <c r="L28" s="2">
        <v>0.56216848100000005</v>
      </c>
      <c r="M28" s="5">
        <v>1.0643006377590301E-5</v>
      </c>
      <c r="N28" s="5">
        <v>8.1100310227295295E-6</v>
      </c>
      <c r="O28" s="3">
        <v>1.1666587022931899E-4</v>
      </c>
      <c r="P28" s="5">
        <v>1.27753084616911E-5</v>
      </c>
      <c r="Q28" s="5">
        <v>7.95853745977731E-6</v>
      </c>
      <c r="R28" s="5">
        <v>2.2130704825700299E-5</v>
      </c>
      <c r="S28" s="3" t="s">
        <v>114</v>
      </c>
      <c r="AJ28" s="7">
        <f t="shared" si="1"/>
        <v>3.1251915217198092</v>
      </c>
      <c r="AK28" s="7">
        <f t="shared" si="2"/>
        <v>2.4612516748957671</v>
      </c>
      <c r="AL28" s="7">
        <f t="shared" si="3"/>
        <v>3.9204545454545565</v>
      </c>
      <c r="AM28" s="7">
        <f t="shared" si="4"/>
        <v>2.4535924683484129</v>
      </c>
      <c r="AN28" s="7">
        <f t="shared" si="5"/>
        <v>4.5535497744042113</v>
      </c>
      <c r="AO28" s="7">
        <f t="shared" si="6"/>
        <v>2.7861886438925971</v>
      </c>
    </row>
    <row r="29" spans="1:41" x14ac:dyDescent="0.25">
      <c r="A29" s="4">
        <v>45190.444444444445</v>
      </c>
      <c r="B29" s="2">
        <v>0.559252924609559</v>
      </c>
      <c r="C29" s="5">
        <v>3.20023145662864E-5</v>
      </c>
      <c r="D29" s="5">
        <v>1.9515627927160801E-5</v>
      </c>
      <c r="E29" s="6">
        <v>7.4536528202065304E-4</v>
      </c>
      <c r="F29" s="5">
        <v>3.0676662889353397E-5</v>
      </c>
      <c r="G29" s="5">
        <v>3.3275194984422199E-5</v>
      </c>
      <c r="H29" s="5">
        <v>6.05125252374507E-5</v>
      </c>
      <c r="I29" s="3" t="s">
        <v>8</v>
      </c>
      <c r="K29" s="4">
        <v>45129.5625</v>
      </c>
      <c r="L29" s="2">
        <v>0.56216848100000005</v>
      </c>
      <c r="M29" s="5">
        <v>1.1702367312793301E-5</v>
      </c>
      <c r="N29" s="5">
        <v>8.9443360268077206E-6</v>
      </c>
      <c r="O29" s="3">
        <v>1.4907305640413001E-4</v>
      </c>
      <c r="P29" s="5">
        <v>1.40940577239636E-5</v>
      </c>
      <c r="Q29" s="5">
        <v>8.6745626172476701E-6</v>
      </c>
      <c r="R29" s="5">
        <v>2.46828935558184E-5</v>
      </c>
      <c r="S29" s="3" t="s">
        <v>115</v>
      </c>
      <c r="AJ29" s="7">
        <f t="shared" si="1"/>
        <v>3.0068867226904823</v>
      </c>
      <c r="AK29" s="7">
        <f t="shared" si="2"/>
        <v>2.4063567540574682</v>
      </c>
      <c r="AL29" s="7">
        <f t="shared" si="3"/>
        <v>6.3888888888889221</v>
      </c>
      <c r="AM29" s="7">
        <f t="shared" si="4"/>
        <v>2.4012463559171588</v>
      </c>
      <c r="AN29" s="7">
        <f t="shared" si="5"/>
        <v>4.1810690912238639</v>
      </c>
      <c r="AO29" s="7">
        <f t="shared" si="6"/>
        <v>2.7343243567723041</v>
      </c>
    </row>
    <row r="30" spans="1:41" x14ac:dyDescent="0.25">
      <c r="A30" s="4">
        <v>45190.444444444445</v>
      </c>
      <c r="B30" s="2">
        <v>0.559252924609559</v>
      </c>
      <c r="C30" s="5">
        <v>3.20023145662864E-5</v>
      </c>
      <c r="D30" s="5">
        <v>1.9515627927160801E-5</v>
      </c>
      <c r="E30" s="6">
        <v>7.4536528202065304E-4</v>
      </c>
      <c r="F30" s="5">
        <v>3.0676662889353397E-5</v>
      </c>
      <c r="G30" s="5">
        <v>3.3275194984422199E-5</v>
      </c>
      <c r="H30" s="5">
        <v>6.05125252374507E-5</v>
      </c>
      <c r="I30" s="3" t="s">
        <v>8</v>
      </c>
      <c r="K30" s="4">
        <v>45131.03125</v>
      </c>
      <c r="L30" s="2">
        <v>0.56216848100000005</v>
      </c>
      <c r="M30" s="5">
        <v>1.1404927743207799E-5</v>
      </c>
      <c r="N30" s="5">
        <v>8.6471460443852106E-6</v>
      </c>
      <c r="O30" s="3">
        <v>2.89504196494978E-4</v>
      </c>
      <c r="P30" s="5">
        <v>1.3609142101353601E-5</v>
      </c>
      <c r="Q30" s="5">
        <v>8.6565370632305305E-6</v>
      </c>
      <c r="R30" s="5">
        <v>2.4024499271058699E-5</v>
      </c>
      <c r="S30" s="3" t="s">
        <v>116</v>
      </c>
      <c r="AJ30" s="7">
        <f t="shared" si="1"/>
        <v>2.734687239845969</v>
      </c>
      <c r="AK30" s="7">
        <f t="shared" si="2"/>
        <v>2.1818978925511177</v>
      </c>
      <c r="AL30" s="7">
        <f t="shared" si="3"/>
        <v>5.0000000000000204</v>
      </c>
      <c r="AM30" s="7">
        <f t="shared" si="4"/>
        <v>2.1765671384469365</v>
      </c>
      <c r="AN30" s="7">
        <f t="shared" si="5"/>
        <v>3.8359507507918598</v>
      </c>
      <c r="AO30" s="7">
        <f t="shared" si="6"/>
        <v>2.4515977067521049</v>
      </c>
    </row>
    <row r="31" spans="1:41" x14ac:dyDescent="0.25">
      <c r="A31" s="4">
        <v>45190.444444444445</v>
      </c>
      <c r="B31" s="2">
        <v>0.559252924609559</v>
      </c>
      <c r="C31" s="5">
        <v>3.20023145662864E-5</v>
      </c>
      <c r="D31" s="5">
        <v>1.9515627927160801E-5</v>
      </c>
      <c r="E31" s="6">
        <v>7.4536528202065304E-4</v>
      </c>
      <c r="F31" s="5">
        <v>3.0676662889353397E-5</v>
      </c>
      <c r="G31" s="5">
        <v>3.3275194984422199E-5</v>
      </c>
      <c r="H31" s="5">
        <v>6.05125252374507E-5</v>
      </c>
      <c r="I31" s="3" t="s">
        <v>8</v>
      </c>
      <c r="K31" s="4">
        <v>45131.65625</v>
      </c>
      <c r="L31" s="2">
        <v>0.56216848100000005</v>
      </c>
      <c r="M31" s="5">
        <v>1.26906637045341E-5</v>
      </c>
      <c r="N31" s="5">
        <v>9.5877701345353301E-6</v>
      </c>
      <c r="O31" s="3">
        <v>2.18208386910394E-4</v>
      </c>
      <c r="P31" s="5">
        <v>1.50802367252214E-5</v>
      </c>
      <c r="Q31" s="5">
        <v>9.7309487915971802E-6</v>
      </c>
      <c r="R31" s="5">
        <v>2.6403321185912401E-5</v>
      </c>
      <c r="S31" s="3" t="s">
        <v>117</v>
      </c>
      <c r="AJ31" s="7">
        <f t="shared" si="1"/>
        <v>2.8060076562383629</v>
      </c>
      <c r="AK31" s="7">
        <f t="shared" si="2"/>
        <v>2.2568865874345612</v>
      </c>
      <c r="AL31" s="7">
        <f t="shared" si="3"/>
        <v>2.5746268656716444</v>
      </c>
      <c r="AM31" s="7">
        <f t="shared" si="4"/>
        <v>2.2541217264754856</v>
      </c>
      <c r="AN31" s="7">
        <f t="shared" si="5"/>
        <v>3.8439383718186542</v>
      </c>
      <c r="AO31" s="7">
        <f t="shared" si="6"/>
        <v>2.5187840360255742</v>
      </c>
    </row>
    <row r="32" spans="1:41" x14ac:dyDescent="0.25">
      <c r="A32" s="4">
        <v>45190.445833333331</v>
      </c>
      <c r="B32" s="2">
        <v>0.56639289032680296</v>
      </c>
      <c r="C32" s="5">
        <v>3.4750602929770602E-5</v>
      </c>
      <c r="D32" s="5">
        <v>2.1295661010322899E-5</v>
      </c>
      <c r="E32" s="6">
        <v>7.3456288662904895E-4</v>
      </c>
      <c r="F32" s="5">
        <v>3.3456841347806697E-5</v>
      </c>
      <c r="G32" s="5">
        <v>3.5997895768729003E-5</v>
      </c>
      <c r="H32" s="5">
        <v>6.4764646565544897E-5</v>
      </c>
      <c r="I32" s="3" t="s">
        <v>8</v>
      </c>
      <c r="K32" s="4">
        <v>45122.729166666664</v>
      </c>
      <c r="L32" s="2">
        <v>0.562700329</v>
      </c>
      <c r="M32" s="5">
        <v>9.8282466467186501E-6</v>
      </c>
      <c r="N32" s="5">
        <v>7.6188257732343596E-6</v>
      </c>
      <c r="O32" s="3">
        <v>1.2098682838596101E-4</v>
      </c>
      <c r="P32" s="5">
        <v>1.20159863771935E-5</v>
      </c>
      <c r="Q32" s="5">
        <v>6.9860430898470503E-6</v>
      </c>
      <c r="R32" s="5">
        <v>2.08308144280564E-5</v>
      </c>
      <c r="S32" s="3" t="s">
        <v>118</v>
      </c>
      <c r="AJ32" s="7">
        <f t="shared" si="1"/>
        <v>2.5217211102089689</v>
      </c>
      <c r="AK32" s="7">
        <f t="shared" si="2"/>
        <v>2.0354709857785531</v>
      </c>
      <c r="AL32" s="7">
        <f t="shared" si="3"/>
        <v>3.4158415841584171</v>
      </c>
      <c r="AM32" s="7">
        <f t="shared" si="4"/>
        <v>2.0342295315594932</v>
      </c>
      <c r="AN32" s="7">
        <f t="shared" si="5"/>
        <v>3.4195221552451112</v>
      </c>
      <c r="AO32" s="7">
        <f t="shared" si="6"/>
        <v>2.2918527866766021</v>
      </c>
    </row>
    <row r="33" spans="1:41" x14ac:dyDescent="0.25">
      <c r="A33" s="4">
        <v>45190.445833333331</v>
      </c>
      <c r="B33" s="2">
        <v>0.56639289032680296</v>
      </c>
      <c r="C33" s="5">
        <v>3.4750602929770602E-5</v>
      </c>
      <c r="D33" s="5">
        <v>2.1295661010322899E-5</v>
      </c>
      <c r="E33" s="6">
        <v>7.3456288662904895E-4</v>
      </c>
      <c r="F33" s="5">
        <v>3.3456841347806697E-5</v>
      </c>
      <c r="G33" s="5">
        <v>3.5997895768729003E-5</v>
      </c>
      <c r="H33" s="5">
        <v>6.4764646565544897E-5</v>
      </c>
      <c r="I33" s="3" t="s">
        <v>8</v>
      </c>
      <c r="K33" s="4">
        <v>45131.802083333336</v>
      </c>
      <c r="L33" s="2">
        <v>0.562700329</v>
      </c>
      <c r="M33" s="5">
        <v>1.08871079687436E-5</v>
      </c>
      <c r="N33" s="5">
        <v>8.1143601459620494E-6</v>
      </c>
      <c r="O33" s="3">
        <v>2.2468982414535599E-4</v>
      </c>
      <c r="P33" s="5">
        <v>1.2805372501325701E-5</v>
      </c>
      <c r="Q33" s="5">
        <v>8.5486823439542004E-6</v>
      </c>
      <c r="R33" s="5">
        <v>2.2278821536138301E-5</v>
      </c>
      <c r="S33" s="3" t="s">
        <v>119</v>
      </c>
      <c r="AJ33" s="7">
        <f t="shared" si="1"/>
        <v>3.5357886486673351</v>
      </c>
      <c r="AK33" s="7">
        <f t="shared" si="2"/>
        <v>2.7951368943409269</v>
      </c>
      <c r="AL33" s="7">
        <f t="shared" si="3"/>
        <v>6.0714285714285712</v>
      </c>
      <c r="AM33" s="7">
        <f t="shared" si="4"/>
        <v>2.7843607921617006</v>
      </c>
      <c r="AN33" s="7">
        <f t="shared" si="5"/>
        <v>5.1528304801104694</v>
      </c>
      <c r="AO33" s="7">
        <f t="shared" si="6"/>
        <v>3.1090789459635979</v>
      </c>
    </row>
    <row r="34" spans="1:41" x14ac:dyDescent="0.25">
      <c r="A34" s="4">
        <v>45190.445833333331</v>
      </c>
      <c r="B34" s="2">
        <v>0.56639289032680296</v>
      </c>
      <c r="C34" s="5">
        <v>3.4750602929770602E-5</v>
      </c>
      <c r="D34" s="5">
        <v>2.1295661010322899E-5</v>
      </c>
      <c r="E34" s="6">
        <v>7.3456288662904895E-4</v>
      </c>
      <c r="F34" s="5">
        <v>3.3456841347806697E-5</v>
      </c>
      <c r="G34" s="5">
        <v>3.5997895768729003E-5</v>
      </c>
      <c r="H34" s="5">
        <v>6.4764646565544897E-5</v>
      </c>
      <c r="I34" s="3" t="s">
        <v>8</v>
      </c>
      <c r="K34" s="4">
        <v>45131.822916666664</v>
      </c>
      <c r="L34" s="2">
        <v>0.562700329</v>
      </c>
      <c r="M34" s="5">
        <v>1.07014826689323E-5</v>
      </c>
      <c r="N34" s="5">
        <v>8.1122739690742604E-6</v>
      </c>
      <c r="O34" s="3">
        <v>2.1388742875375199E-4</v>
      </c>
      <c r="P34" s="5">
        <v>1.27899274107231E-5</v>
      </c>
      <c r="Q34" s="5">
        <v>8.09077596896846E-6</v>
      </c>
      <c r="R34" s="5">
        <v>2.2272709470740599E-5</v>
      </c>
      <c r="S34" s="3" t="s">
        <v>120</v>
      </c>
      <c r="AJ34" s="7">
        <f t="shared" si="1"/>
        <v>3.1919039500240127</v>
      </c>
      <c r="AK34" s="7">
        <f t="shared" si="2"/>
        <v>2.6244411915732213</v>
      </c>
      <c r="AL34" s="7">
        <f t="shared" si="3"/>
        <v>3.2692307692307714</v>
      </c>
      <c r="AM34" s="7">
        <f t="shared" si="4"/>
        <v>2.6127191024191614</v>
      </c>
      <c r="AN34" s="7">
        <f t="shared" si="5"/>
        <v>4.2109291608182673</v>
      </c>
      <c r="AO34" s="7">
        <f t="shared" si="6"/>
        <v>2.9070050433543209</v>
      </c>
    </row>
    <row r="35" spans="1:41" x14ac:dyDescent="0.25">
      <c r="A35" s="4">
        <v>45190.450694444444</v>
      </c>
      <c r="B35" s="2">
        <v>0.47994966020721702</v>
      </c>
      <c r="C35" s="5">
        <v>3.0690122650268203E-5</v>
      </c>
      <c r="D35" s="5">
        <v>1.8569743078620101E-5</v>
      </c>
      <c r="E35" s="6">
        <v>7.7129103096050197E-4</v>
      </c>
      <c r="F35" s="5">
        <v>2.92005668798482E-5</v>
      </c>
      <c r="G35" s="5">
        <v>3.211065384099E-5</v>
      </c>
      <c r="H35" s="5">
        <v>5.68150891096771E-5</v>
      </c>
      <c r="I35" s="3" t="s">
        <v>9</v>
      </c>
      <c r="K35" s="4">
        <v>45121.791666666664</v>
      </c>
      <c r="L35" s="2">
        <v>0.475692385</v>
      </c>
      <c r="M35" s="5">
        <v>1.08763489067749E-5</v>
      </c>
      <c r="N35" s="5">
        <v>8.2154446018861604E-6</v>
      </c>
      <c r="O35" s="3">
        <v>2.2252934506703499E-4</v>
      </c>
      <c r="P35" s="5">
        <v>1.29486947221905E-5</v>
      </c>
      <c r="Q35" s="5">
        <v>8.3018811338709796E-6</v>
      </c>
      <c r="R35" s="5">
        <v>2.2582291106424199E-5</v>
      </c>
      <c r="S35" s="3" t="s">
        <v>121</v>
      </c>
      <c r="AJ35" s="7">
        <f t="shared" si="1"/>
        <v>3.2472699349087217</v>
      </c>
      <c r="AK35" s="7">
        <f t="shared" si="2"/>
        <v>2.6251161008006578</v>
      </c>
      <c r="AL35" s="7">
        <f t="shared" si="3"/>
        <v>3.4343434343434422</v>
      </c>
      <c r="AM35" s="7">
        <f t="shared" si="4"/>
        <v>2.6158742167493787</v>
      </c>
      <c r="AN35" s="7">
        <f t="shared" si="5"/>
        <v>4.4492513334686468</v>
      </c>
      <c r="AO35" s="7">
        <f t="shared" si="6"/>
        <v>2.9078027821727512</v>
      </c>
    </row>
    <row r="36" spans="1:41" x14ac:dyDescent="0.25">
      <c r="A36" s="4">
        <v>45190.450694444444</v>
      </c>
      <c r="B36" s="2">
        <v>0.47994966020721702</v>
      </c>
      <c r="C36" s="5">
        <v>3.0690122650268203E-5</v>
      </c>
      <c r="D36" s="5">
        <v>1.8569743078620101E-5</v>
      </c>
      <c r="E36" s="6">
        <v>7.7129103096050197E-4</v>
      </c>
      <c r="F36" s="5">
        <v>2.92005668798482E-5</v>
      </c>
      <c r="G36" s="5">
        <v>3.211065384099E-5</v>
      </c>
      <c r="H36" s="5">
        <v>5.68150891096771E-5</v>
      </c>
      <c r="I36" s="3" t="s">
        <v>9</v>
      </c>
      <c r="K36" s="4">
        <v>45130.9375</v>
      </c>
      <c r="L36" s="2">
        <v>0.475692385</v>
      </c>
      <c r="M36" s="5">
        <v>1.03861985696529E-5</v>
      </c>
      <c r="N36" s="5">
        <v>7.9815853975255596E-6</v>
      </c>
      <c r="O36" s="5">
        <v>9.5061079446112195E-5</v>
      </c>
      <c r="P36" s="5">
        <v>1.25826559899673E-5</v>
      </c>
      <c r="Q36" s="5">
        <v>7.5777436874146202E-6</v>
      </c>
      <c r="R36" s="5">
        <v>2.2084241329660801E-5</v>
      </c>
      <c r="S36" s="3" t="s">
        <v>122</v>
      </c>
      <c r="AJ36" s="7">
        <f t="shared" si="1"/>
        <v>2.8217302436069573</v>
      </c>
      <c r="AK36" s="7">
        <f t="shared" si="2"/>
        <v>2.2603454807980481</v>
      </c>
      <c r="AL36" s="7">
        <f t="shared" si="3"/>
        <v>3.4660194174757373</v>
      </c>
      <c r="AM36" s="7">
        <f t="shared" si="4"/>
        <v>2.2550973288300993</v>
      </c>
      <c r="AN36" s="7">
        <f t="shared" si="5"/>
        <v>3.8678768490169322</v>
      </c>
      <c r="AO36" s="7">
        <f t="shared" si="6"/>
        <v>2.5159134138304671</v>
      </c>
    </row>
    <row r="37" spans="1:41" x14ac:dyDescent="0.25">
      <c r="A37" s="4">
        <v>45190.450694444444</v>
      </c>
      <c r="B37" s="2">
        <v>0.47994966020721702</v>
      </c>
      <c r="C37" s="5">
        <v>3.0690122650268203E-5</v>
      </c>
      <c r="D37" s="5">
        <v>1.8569743078620101E-5</v>
      </c>
      <c r="E37" s="6">
        <v>7.7129103096050197E-4</v>
      </c>
      <c r="F37" s="5">
        <v>2.92005668798482E-5</v>
      </c>
      <c r="G37" s="5">
        <v>3.211065384099E-5</v>
      </c>
      <c r="H37" s="5">
        <v>5.68150891096771E-5</v>
      </c>
      <c r="I37" s="3" t="s">
        <v>9</v>
      </c>
      <c r="K37" s="4">
        <v>45131.739583333336</v>
      </c>
      <c r="L37" s="2">
        <v>0.475692385</v>
      </c>
      <c r="M37" s="5">
        <v>1.05257968314366E-5</v>
      </c>
      <c r="N37" s="5">
        <v>7.9699248526587795E-6</v>
      </c>
      <c r="O37" s="3">
        <v>1.2962874469924399E-4</v>
      </c>
      <c r="P37" s="5">
        <v>1.2570136317746901E-5</v>
      </c>
      <c r="Q37" s="5">
        <v>7.9734568506883607E-6</v>
      </c>
      <c r="R37" s="5">
        <v>2.1921143941074601E-5</v>
      </c>
      <c r="S37" s="3" t="s">
        <v>123</v>
      </c>
      <c r="AJ37" s="7">
        <f t="shared" si="1"/>
        <v>2.9548946560621983</v>
      </c>
      <c r="AK37" s="7">
        <f t="shared" si="2"/>
        <v>2.3265732500183569</v>
      </c>
      <c r="AL37" s="7">
        <f t="shared" si="3"/>
        <v>8.1136363636363722</v>
      </c>
      <c r="AM37" s="7">
        <f t="shared" si="4"/>
        <v>2.3206997714259283</v>
      </c>
      <c r="AN37" s="7">
        <f t="shared" si="5"/>
        <v>4.237495376667396</v>
      </c>
      <c r="AO37" s="7">
        <f t="shared" si="6"/>
        <v>2.5726529728404186</v>
      </c>
    </row>
    <row r="38" spans="1:41" x14ac:dyDescent="0.25">
      <c r="A38" s="4">
        <v>45190.450694444444</v>
      </c>
      <c r="B38" s="2">
        <v>0.47994966020721702</v>
      </c>
      <c r="C38" s="5">
        <v>3.0690122650268203E-5</v>
      </c>
      <c r="D38" s="5">
        <v>1.8569743078620101E-5</v>
      </c>
      <c r="E38" s="6">
        <v>7.7129103096050197E-4</v>
      </c>
      <c r="F38" s="5">
        <v>2.92005668798482E-5</v>
      </c>
      <c r="G38" s="5">
        <v>3.211065384099E-5</v>
      </c>
      <c r="H38" s="5">
        <v>5.68150891096771E-5</v>
      </c>
      <c r="I38" s="3" t="s">
        <v>9</v>
      </c>
      <c r="K38" s="4">
        <v>45131.78125</v>
      </c>
      <c r="L38" s="2">
        <v>0.475692385</v>
      </c>
      <c r="M38" s="5">
        <v>1.0155468712654E-5</v>
      </c>
      <c r="N38" s="5">
        <v>7.7314662610539695E-6</v>
      </c>
      <c r="O38" s="3">
        <v>1.6851736810901701E-4</v>
      </c>
      <c r="P38" s="5">
        <v>1.2206481596866E-5</v>
      </c>
      <c r="Q38" s="5">
        <v>7.5675751983104302E-6</v>
      </c>
      <c r="R38" s="5">
        <v>2.1379303050026002E-5</v>
      </c>
      <c r="S38" s="3" t="s">
        <v>124</v>
      </c>
      <c r="AJ38" s="7">
        <f t="shared" si="1"/>
        <v>2.9157053990067849</v>
      </c>
      <c r="AK38" s="7">
        <f t="shared" si="2"/>
        <v>2.3299771857227998</v>
      </c>
      <c r="AL38" s="7">
        <f t="shared" si="3"/>
        <v>5.950000000000002</v>
      </c>
      <c r="AM38" s="7">
        <f t="shared" si="4"/>
        <v>2.3230111545108665</v>
      </c>
      <c r="AN38" s="7">
        <f t="shared" si="5"/>
        <v>4.0271935300205248</v>
      </c>
      <c r="AO38" s="7">
        <f t="shared" si="6"/>
        <v>2.591793989510748</v>
      </c>
    </row>
    <row r="39" spans="1:41" x14ac:dyDescent="0.25">
      <c r="A39" s="4">
        <v>45190.451388888891</v>
      </c>
      <c r="B39" s="2">
        <v>0.47939185305731202</v>
      </c>
      <c r="C39" s="5">
        <v>2.6396715786245701E-5</v>
      </c>
      <c r="D39" s="5">
        <v>1.6218660918437701E-5</v>
      </c>
      <c r="E39" s="6">
        <v>6.9135330506263403E-4</v>
      </c>
      <c r="F39" s="5">
        <v>2.5510539990300699E-5</v>
      </c>
      <c r="G39" s="5">
        <v>2.72540918817656E-5</v>
      </c>
      <c r="H39" s="5">
        <v>4.9690548003291298E-5</v>
      </c>
      <c r="I39" s="3" t="s">
        <v>9</v>
      </c>
      <c r="K39" s="4">
        <v>45121.791666666664</v>
      </c>
      <c r="L39" s="2">
        <v>0.475692385</v>
      </c>
      <c r="M39" s="5">
        <v>1.08763489067749E-5</v>
      </c>
      <c r="N39" s="5">
        <v>8.2154446018861604E-6</v>
      </c>
      <c r="O39" s="3">
        <v>2.2252934506703499E-4</v>
      </c>
      <c r="P39" s="5">
        <v>1.29486947221905E-5</v>
      </c>
      <c r="Q39" s="5">
        <v>8.3018811338709796E-6</v>
      </c>
      <c r="R39" s="5">
        <v>2.2582291106424199E-5</v>
      </c>
      <c r="S39" s="3" t="s">
        <v>121</v>
      </c>
      <c r="AJ39" s="7">
        <f t="shared" si="1"/>
        <v>3.0220291666132009</v>
      </c>
      <c r="AK39" s="7">
        <f t="shared" si="2"/>
        <v>2.4018397612574764</v>
      </c>
      <c r="AL39" s="7">
        <f t="shared" si="3"/>
        <v>4.5769230769230829</v>
      </c>
      <c r="AM39" s="7">
        <f t="shared" si="4"/>
        <v>2.3922181546028307</v>
      </c>
      <c r="AN39" s="7">
        <f t="shared" si="5"/>
        <v>4.2431892646615736</v>
      </c>
      <c r="AO39" s="7">
        <f t="shared" si="6"/>
        <v>2.6574808812398589</v>
      </c>
    </row>
    <row r="40" spans="1:41" x14ac:dyDescent="0.25">
      <c r="A40" s="4">
        <v>45190.451388888891</v>
      </c>
      <c r="B40" s="2">
        <v>0.47939185305731202</v>
      </c>
      <c r="C40" s="5">
        <v>2.6396715786245701E-5</v>
      </c>
      <c r="D40" s="5">
        <v>1.6218660918437701E-5</v>
      </c>
      <c r="E40" s="6">
        <v>6.9135330506263403E-4</v>
      </c>
      <c r="F40" s="5">
        <v>2.5510539990300699E-5</v>
      </c>
      <c r="G40" s="5">
        <v>2.72540918817656E-5</v>
      </c>
      <c r="H40" s="5">
        <v>4.9690548003291298E-5</v>
      </c>
      <c r="I40" s="3" t="s">
        <v>9</v>
      </c>
      <c r="K40" s="4">
        <v>45130.9375</v>
      </c>
      <c r="L40" s="2">
        <v>0.475692385</v>
      </c>
      <c r="M40" s="5">
        <v>1.03861985696529E-5</v>
      </c>
      <c r="N40" s="5">
        <v>7.9815853975255596E-6</v>
      </c>
      <c r="O40" s="5">
        <v>9.5061079446112195E-5</v>
      </c>
      <c r="P40" s="5">
        <v>1.25826559899673E-5</v>
      </c>
      <c r="Q40" s="5">
        <v>7.5777436874146202E-6</v>
      </c>
      <c r="R40" s="5">
        <v>2.2084241329660801E-5</v>
      </c>
      <c r="S40" s="3" t="s">
        <v>122</v>
      </c>
      <c r="AJ40" s="7">
        <f t="shared" si="1"/>
        <v>2.4269831735356644</v>
      </c>
      <c r="AK40" s="7">
        <f t="shared" si="2"/>
        <v>1.9741671576379574</v>
      </c>
      <c r="AL40" s="7">
        <f t="shared" si="3"/>
        <v>3.1067961165048592</v>
      </c>
      <c r="AM40" s="7">
        <f t="shared" si="4"/>
        <v>1.9701244440169443</v>
      </c>
      <c r="AN40" s="7">
        <f t="shared" si="5"/>
        <v>3.2828814870127672</v>
      </c>
      <c r="AO40" s="7">
        <f t="shared" si="6"/>
        <v>2.2004210188024436</v>
      </c>
    </row>
    <row r="41" spans="1:41" x14ac:dyDescent="0.25">
      <c r="A41" s="4">
        <v>45190.451388888891</v>
      </c>
      <c r="B41" s="2">
        <v>0.47939185305731202</v>
      </c>
      <c r="C41" s="5">
        <v>2.6396715786245701E-5</v>
      </c>
      <c r="D41" s="5">
        <v>1.6218660918437701E-5</v>
      </c>
      <c r="E41" s="6">
        <v>6.9135330506263403E-4</v>
      </c>
      <c r="F41" s="5">
        <v>2.5510539990300699E-5</v>
      </c>
      <c r="G41" s="5">
        <v>2.72540918817656E-5</v>
      </c>
      <c r="H41" s="5">
        <v>4.9690548003291298E-5</v>
      </c>
      <c r="I41" s="3" t="s">
        <v>9</v>
      </c>
      <c r="K41" s="4">
        <v>45131.739583333336</v>
      </c>
      <c r="L41" s="2">
        <v>0.475692385</v>
      </c>
      <c r="M41" s="5">
        <v>1.05257968314366E-5</v>
      </c>
      <c r="N41" s="5">
        <v>7.9699248526587795E-6</v>
      </c>
      <c r="O41" s="3">
        <v>1.2962874469924399E-4</v>
      </c>
      <c r="P41" s="5">
        <v>1.2570136317746901E-5</v>
      </c>
      <c r="Q41" s="5">
        <v>7.9734568506883607E-6</v>
      </c>
      <c r="R41" s="5">
        <v>2.1921143941074601E-5</v>
      </c>
      <c r="S41" s="3" t="s">
        <v>123</v>
      </c>
      <c r="AJ41" s="7">
        <f t="shared" si="1"/>
        <v>2.5415184977662006</v>
      </c>
      <c r="AK41" s="7">
        <f t="shared" si="2"/>
        <v>2.0320099467288526</v>
      </c>
      <c r="AL41" s="7">
        <f t="shared" si="3"/>
        <v>7.2727272727272716</v>
      </c>
      <c r="AM41" s="7">
        <f t="shared" si="4"/>
        <v>2.0274368154578304</v>
      </c>
      <c r="AN41" s="7">
        <f t="shared" si="5"/>
        <v>3.5965972202293068</v>
      </c>
      <c r="AO41" s="7">
        <f t="shared" si="6"/>
        <v>2.2500455080860373</v>
      </c>
    </row>
    <row r="42" spans="1:41" x14ac:dyDescent="0.25">
      <c r="A42" s="4">
        <v>45190.451388888891</v>
      </c>
      <c r="B42" s="2">
        <v>0.47939185305731202</v>
      </c>
      <c r="C42" s="5">
        <v>2.6396715786245701E-5</v>
      </c>
      <c r="D42" s="5">
        <v>1.6218660918437701E-5</v>
      </c>
      <c r="E42" s="6">
        <v>6.9135330506263403E-4</v>
      </c>
      <c r="F42" s="5">
        <v>2.5510539990300699E-5</v>
      </c>
      <c r="G42" s="5">
        <v>2.72540918817656E-5</v>
      </c>
      <c r="H42" s="5">
        <v>4.9690548003291298E-5</v>
      </c>
      <c r="I42" s="3" t="s">
        <v>9</v>
      </c>
      <c r="K42" s="4">
        <v>45131.78125</v>
      </c>
      <c r="L42" s="2">
        <v>0.475692385</v>
      </c>
      <c r="M42" s="5">
        <v>1.0155468712654E-5</v>
      </c>
      <c r="N42" s="5">
        <v>7.7314662610539695E-6</v>
      </c>
      <c r="O42" s="3">
        <v>1.6851736810901701E-4</v>
      </c>
      <c r="P42" s="5">
        <v>1.2206481596866E-5</v>
      </c>
      <c r="Q42" s="5">
        <v>7.5675751983104302E-6</v>
      </c>
      <c r="R42" s="5">
        <v>2.1379303050026002E-5</v>
      </c>
      <c r="S42" s="3" t="s">
        <v>124</v>
      </c>
      <c r="AJ42" s="7">
        <f t="shared" si="1"/>
        <v>2.5078116373487878</v>
      </c>
      <c r="AK42" s="7">
        <f t="shared" si="2"/>
        <v>2.0349829161848532</v>
      </c>
      <c r="AL42" s="7">
        <f t="shared" si="3"/>
        <v>5.3333333333333286</v>
      </c>
      <c r="AM42" s="7">
        <f t="shared" si="4"/>
        <v>2.029456112920919</v>
      </c>
      <c r="AN42" s="7">
        <f t="shared" si="5"/>
        <v>3.418102385468194</v>
      </c>
      <c r="AO42" s="7">
        <f t="shared" si="6"/>
        <v>2.2667862652087218</v>
      </c>
    </row>
    <row r="43" spans="1:41" x14ac:dyDescent="0.25">
      <c r="AJ43" s="7">
        <f t="shared" si="1"/>
        <v>2.5992611993727723</v>
      </c>
      <c r="AK43" s="7">
        <f t="shared" si="2"/>
        <v>2.0977470987795193</v>
      </c>
      <c r="AL43" s="7">
        <f t="shared" si="3"/>
        <v>4.1025641025641031</v>
      </c>
      <c r="AM43" s="7">
        <f t="shared" si="4"/>
        <v>2.0899175399445569</v>
      </c>
      <c r="AN43" s="7">
        <f t="shared" si="5"/>
        <v>3.6014299385951878</v>
      </c>
      <c r="AO43" s="7">
        <f t="shared" si="6"/>
        <v>2.3242361028803913</v>
      </c>
    </row>
    <row r="44" spans="1:41" x14ac:dyDescent="0.25">
      <c r="AJ44" s="7"/>
      <c r="AK44" s="7"/>
      <c r="AL44" s="7"/>
      <c r="AM44" s="7"/>
      <c r="AN44" s="7"/>
      <c r="AO44" s="7"/>
    </row>
    <row r="45" spans="1:41" x14ac:dyDescent="0.25">
      <c r="AI45" t="s">
        <v>27</v>
      </c>
      <c r="AJ45" s="7">
        <f>AVERAGE(AJ3:AJ43)</f>
        <v>2.3865552327512338</v>
      </c>
      <c r="AK45" s="9">
        <f>AVERAGE(AK3:AK43)</f>
        <v>1.9738592177556802</v>
      </c>
      <c r="AL45" s="7">
        <f t="shared" ref="AL45:AO45" si="7">AVERAGE(AL3:AL43)</f>
        <v>3.7085609496792515</v>
      </c>
      <c r="AM45" s="9">
        <f>AVERAGE(AM3:AM43)</f>
        <v>1.9690905584264888</v>
      </c>
      <c r="AN45" s="7">
        <f t="shared" si="7"/>
        <v>3.1730412678564432</v>
      </c>
      <c r="AO45" s="7">
        <f t="shared" si="7"/>
        <v>2.1963772958020664</v>
      </c>
    </row>
    <row r="46" spans="1:41" x14ac:dyDescent="0.25">
      <c r="AI46" t="s">
        <v>28</v>
      </c>
      <c r="AJ46" s="7">
        <f>MIN(AJ3:AJ43)</f>
        <v>1.4394365654148733</v>
      </c>
      <c r="AK46" s="9">
        <f t="shared" ref="AK46:AO46" si="8">MIN(AK3:AK43)</f>
        <v>1.2122713639881819</v>
      </c>
      <c r="AL46" s="7">
        <f t="shared" si="8"/>
        <v>1.1050000000000015</v>
      </c>
      <c r="AM46" s="9">
        <f t="shared" si="8"/>
        <v>1.2144659161144622</v>
      </c>
      <c r="AN46" s="7">
        <f t="shared" si="8"/>
        <v>1.7704525670855242</v>
      </c>
      <c r="AO46" s="7">
        <f t="shared" si="8"/>
        <v>1.3488490290980917</v>
      </c>
    </row>
    <row r="47" spans="1:41" x14ac:dyDescent="0.25">
      <c r="D47" s="3"/>
      <c r="AI47" t="s">
        <v>29</v>
      </c>
      <c r="AJ47" s="7">
        <f>MAX(AJ3:AJ43)</f>
        <v>3.5357886486673351</v>
      </c>
      <c r="AK47" s="9">
        <f t="shared" ref="AK47:AO47" si="9">MAX(AK3:AK43)</f>
        <v>2.7951368943409269</v>
      </c>
      <c r="AL47" s="7">
        <f t="shared" si="9"/>
        <v>8.6078431372549336</v>
      </c>
      <c r="AM47" s="9">
        <f t="shared" si="9"/>
        <v>2.7843607921617006</v>
      </c>
      <c r="AN47" s="7">
        <f t="shared" si="9"/>
        <v>5.1528304801104694</v>
      </c>
      <c r="AO47" s="7">
        <f t="shared" si="9"/>
        <v>3.1090789459635979</v>
      </c>
    </row>
    <row r="48" spans="1:41" x14ac:dyDescent="0.25">
      <c r="D48" s="4"/>
      <c r="AI48" t="s">
        <v>31</v>
      </c>
      <c r="AJ48" s="7">
        <f>MEDIAN(AJ3:AJ43)</f>
        <v>2.4269831735356644</v>
      </c>
      <c r="AK48" s="9">
        <f t="shared" ref="AK48:AO48" si="10">MEDIAN(AK3:AK43)</f>
        <v>2.026910506833465</v>
      </c>
      <c r="AL48" s="7">
        <f t="shared" si="10"/>
        <v>3.4520547945205546</v>
      </c>
      <c r="AM48" s="9">
        <f t="shared" si="10"/>
        <v>2.0219548762464492</v>
      </c>
      <c r="AN48" s="7">
        <f t="shared" si="10"/>
        <v>3.2828814870127672</v>
      </c>
      <c r="AO48" s="7">
        <f t="shared" si="10"/>
        <v>2.2015426470623263</v>
      </c>
    </row>
    <row r="49" spans="4:41" x14ac:dyDescent="0.25">
      <c r="D49" s="4"/>
      <c r="AI49" t="s">
        <v>30</v>
      </c>
      <c r="AJ49" s="7">
        <f>_xlfn.STDEV.P(AJ3:AJ43)</f>
        <v>0.61638972525646341</v>
      </c>
      <c r="AK49" s="9">
        <f t="shared" ref="AK49:AO49" si="11">_xlfn.STDEV.P(AK3:AK43)</f>
        <v>0.47000461341503202</v>
      </c>
      <c r="AL49" s="7">
        <f t="shared" si="11"/>
        <v>1.9013042088095014</v>
      </c>
      <c r="AM49" s="9">
        <f t="shared" si="11"/>
        <v>0.46708506697548147</v>
      </c>
      <c r="AN49" s="7">
        <f t="shared" si="11"/>
        <v>0.94932495168853426</v>
      </c>
      <c r="AO49" s="7">
        <f t="shared" si="11"/>
        <v>0.52545753129012385</v>
      </c>
    </row>
    <row r="50" spans="4:41" x14ac:dyDescent="0.25">
      <c r="D50" s="4"/>
      <c r="AM50" s="10"/>
    </row>
    <row r="51" spans="4:41" x14ac:dyDescent="0.25">
      <c r="D51" s="4"/>
    </row>
    <row r="52" spans="4:41" x14ac:dyDescent="0.25">
      <c r="D52" s="4"/>
    </row>
    <row r="53" spans="4:41" x14ac:dyDescent="0.25">
      <c r="D53" s="4"/>
    </row>
    <row r="54" spans="4:41" x14ac:dyDescent="0.25">
      <c r="D54" s="4"/>
    </row>
    <row r="55" spans="4:41" x14ac:dyDescent="0.25">
      <c r="D55" s="4"/>
    </row>
    <row r="56" spans="4:41" x14ac:dyDescent="0.25">
      <c r="D56" s="4"/>
    </row>
    <row r="57" spans="4:41" x14ac:dyDescent="0.25">
      <c r="D57" s="4"/>
    </row>
    <row r="58" spans="4:41" x14ac:dyDescent="0.25">
      <c r="D58" s="4"/>
    </row>
    <row r="59" spans="4:41" x14ac:dyDescent="0.25">
      <c r="D59" s="4"/>
    </row>
    <row r="60" spans="4:41" x14ac:dyDescent="0.25">
      <c r="D60" s="4"/>
    </row>
    <row r="61" spans="4:41" x14ac:dyDescent="0.25">
      <c r="D61" s="4"/>
    </row>
    <row r="62" spans="4:41" x14ac:dyDescent="0.25">
      <c r="D62" s="4"/>
    </row>
    <row r="63" spans="4:41" x14ac:dyDescent="0.25">
      <c r="D63" s="4"/>
    </row>
    <row r="64" spans="4:41" x14ac:dyDescent="0.25">
      <c r="D64" s="4"/>
    </row>
    <row r="65" spans="4:37" x14ac:dyDescent="0.25">
      <c r="D65" s="4"/>
      <c r="AI65" t="s">
        <v>126</v>
      </c>
      <c r="AK65" t="s">
        <v>127</v>
      </c>
    </row>
    <row r="66" spans="4:37" x14ac:dyDescent="0.25">
      <c r="D66" s="4"/>
      <c r="AI66" s="11">
        <f>170-4.0311</f>
        <v>165.96889999999999</v>
      </c>
    </row>
    <row r="67" spans="4:37" x14ac:dyDescent="0.25">
      <c r="D67" s="4"/>
      <c r="AI67" s="11">
        <f>AI66/2.587</f>
        <v>64.154967143409351</v>
      </c>
      <c r="AJ67">
        <f>12831/200</f>
        <v>64.155000000000001</v>
      </c>
    </row>
    <row r="68" spans="4:37" x14ac:dyDescent="0.25">
      <c r="D68" s="4"/>
      <c r="AH68" t="s">
        <v>125</v>
      </c>
      <c r="AI68" s="12">
        <f>EXP(AI67)</f>
        <v>7.2802822537033916E+27</v>
      </c>
      <c r="AK68" s="7">
        <f>(170+0.6343)/5.7076</f>
        <v>29.895980797533113</v>
      </c>
    </row>
    <row r="69" spans="4:37" x14ac:dyDescent="0.25">
      <c r="D69" s="4"/>
      <c r="AI69" s="12"/>
    </row>
    <row r="70" spans="4:37" x14ac:dyDescent="0.25">
      <c r="D70" s="4"/>
      <c r="AI70" s="12">
        <f>LN(AI68)</f>
        <v>64.154967143409351</v>
      </c>
    </row>
    <row r="71" spans="4:37" x14ac:dyDescent="0.25">
      <c r="D71" s="4"/>
      <c r="AI71" s="12"/>
    </row>
    <row r="72" spans="4:37" x14ac:dyDescent="0.25">
      <c r="D72" s="4"/>
    </row>
    <row r="73" spans="4:37" x14ac:dyDescent="0.25">
      <c r="D73" s="4"/>
    </row>
    <row r="74" spans="4:37" x14ac:dyDescent="0.25">
      <c r="D74" s="4"/>
    </row>
    <row r="75" spans="4:37" x14ac:dyDescent="0.25">
      <c r="D75" s="4"/>
    </row>
    <row r="76" spans="4:37" x14ac:dyDescent="0.25">
      <c r="D76" s="4"/>
    </row>
    <row r="77" spans="4:37" x14ac:dyDescent="0.25">
      <c r="D77" s="4"/>
    </row>
    <row r="78" spans="4:37" x14ac:dyDescent="0.25">
      <c r="D78" s="4"/>
    </row>
    <row r="79" spans="4:37" x14ac:dyDescent="0.25">
      <c r="D79" s="4"/>
    </row>
    <row r="80" spans="4:37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 Nunez, Nicole (huck4481@vandals.uidaho.edu)</cp:lastModifiedBy>
  <dcterms:created xsi:type="dcterms:W3CDTF">2015-06-05T18:17:20Z</dcterms:created>
  <dcterms:modified xsi:type="dcterms:W3CDTF">2025-11-17T21:34:23Z</dcterms:modified>
</cp:coreProperties>
</file>